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b7aa219b6f386/Documents/FOODBASE/coding/WILLY_DATA_PREP/"/>
    </mc:Choice>
  </mc:AlternateContent>
  <xr:revisionPtr revIDLastSave="10428" documentId="13_ncr:1_{95A846BC-C618-8C46-8FFF-2762E2F08A9C}" xr6:coauthVersionLast="47" xr6:coauthVersionMax="47" xr10:uidLastSave="{BE2CC24A-D194-4642-B3CD-4D6AE8373410}"/>
  <bookViews>
    <workbookView xWindow="4815" yWindow="-16320" windowWidth="29040" windowHeight="15720" activeTab="4" xr2:uid="{7E6E70CC-A560-6F49-A5CF-99135300495F}"/>
  </bookViews>
  <sheets>
    <sheet name="BRAND" sheetId="3" r:id="rId1"/>
    <sheet name="BRAND_READS" sheetId="15" r:id="rId2"/>
    <sheet name="VARIANT" sheetId="4" r:id="rId3"/>
    <sheet name="SUB_VARIANT" sheetId="5" r:id="rId4"/>
    <sheet name="TAG_MAPPING" sheetId="9" r:id="rId5"/>
    <sheet name="CATEGORY" sheetId="6" r:id="rId6"/>
    <sheet name="HUISMERK" sheetId="16" r:id="rId7"/>
    <sheet name="Sheet1" sheetId="10" r:id="rId8"/>
    <sheet name="Sheet2" sheetId="11" r:id="rId9"/>
    <sheet name="Sheet3" sheetId="12" r:id="rId10"/>
    <sheet name="Sheet4" sheetId="13" r:id="rId11"/>
    <sheet name="Sheet5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5" i="3" l="1"/>
  <c r="E1239" i="3"/>
  <c r="E1454" i="3"/>
  <c r="E1167" i="3"/>
  <c r="E1301" i="3"/>
  <c r="E1365" i="3"/>
  <c r="E1168" i="3"/>
  <c r="E1169" i="3"/>
  <c r="E1302" i="3"/>
  <c r="E1303" i="3"/>
  <c r="E1170" i="3"/>
  <c r="E1366" i="3"/>
  <c r="E1171" i="3"/>
  <c r="E1172" i="3"/>
  <c r="E1039" i="3"/>
  <c r="E1091" i="3"/>
  <c r="E1240" i="3"/>
  <c r="E1455" i="3"/>
  <c r="E1173" i="3"/>
  <c r="E992" i="3"/>
  <c r="E1367" i="3"/>
  <c r="E1025" i="3"/>
  <c r="E1040" i="3"/>
  <c r="E1174" i="3"/>
  <c r="E1481" i="3"/>
  <c r="E1175" i="3"/>
  <c r="E1304" i="3"/>
  <c r="E1492" i="3"/>
  <c r="E1000" i="3"/>
  <c r="E1368" i="3"/>
  <c r="E1241" i="3"/>
  <c r="E994" i="3"/>
  <c r="E1137" i="3"/>
  <c r="E1369" i="3"/>
  <c r="E1092" i="3"/>
  <c r="E1176" i="3"/>
  <c r="E1456" i="3"/>
  <c r="E761" i="3"/>
  <c r="E1138" i="3"/>
  <c r="E1242" i="3"/>
  <c r="E1457" i="3"/>
  <c r="E1243" i="3"/>
  <c r="E1422" i="3"/>
  <c r="E1177" i="3"/>
  <c r="E1494" i="3"/>
  <c r="E1093" i="3"/>
  <c r="E1370" i="3"/>
  <c r="E1178" i="3"/>
  <c r="E1094" i="3"/>
  <c r="E1423" i="3"/>
  <c r="E1244" i="3"/>
  <c r="E1371" i="3"/>
  <c r="E1305" i="3"/>
  <c r="E1372" i="3"/>
  <c r="E1306" i="3"/>
  <c r="E1179" i="3"/>
  <c r="E1095" i="3"/>
  <c r="E1096" i="3"/>
  <c r="E995" i="3"/>
  <c r="E1373" i="3"/>
  <c r="E1006" i="3"/>
  <c r="E1458" i="3"/>
  <c r="E1017" i="3"/>
  <c r="E1374" i="3"/>
  <c r="E1375" i="3"/>
  <c r="E1376" i="3"/>
  <c r="E1459" i="3"/>
  <c r="E1060" i="3"/>
  <c r="E1097" i="3"/>
  <c r="E1482" i="3"/>
  <c r="E1424" i="3"/>
  <c r="E1460" i="3"/>
  <c r="I1763" i="9"/>
  <c r="I1764" i="9"/>
  <c r="I1765" i="9"/>
  <c r="I1766" i="9"/>
  <c r="I1767" i="9"/>
  <c r="I1768" i="9"/>
  <c r="I1769" i="9"/>
  <c r="I2330" i="9"/>
  <c r="I4927" i="9"/>
  <c r="I4928" i="9"/>
  <c r="I4929" i="9"/>
  <c r="I4930" i="9"/>
  <c r="I2331" i="9"/>
  <c r="I2332" i="9"/>
  <c r="I2333" i="9"/>
  <c r="I2334" i="9"/>
  <c r="I2335" i="9"/>
  <c r="I2336" i="9"/>
  <c r="I4554" i="9"/>
  <c r="I4555" i="9"/>
  <c r="I4556" i="9"/>
  <c r="I4557" i="9"/>
  <c r="I4558" i="9"/>
  <c r="I6588" i="9"/>
  <c r="I6589" i="9"/>
  <c r="I6590" i="9"/>
  <c r="I6591" i="9"/>
  <c r="I6592" i="9"/>
  <c r="I6593" i="9"/>
  <c r="I6594" i="9"/>
  <c r="I4924" i="9"/>
  <c r="I4925" i="9"/>
  <c r="I4926" i="9"/>
  <c r="I8029" i="9"/>
  <c r="I8030" i="9"/>
  <c r="I8031" i="9"/>
  <c r="I8032" i="9"/>
  <c r="I8033" i="9"/>
  <c r="I8034" i="9"/>
  <c r="I8035" i="9"/>
  <c r="I8036" i="9"/>
  <c r="I2577" i="9"/>
  <c r="I7231" i="9"/>
  <c r="I7232" i="9"/>
  <c r="I7233" i="9"/>
  <c r="I7234" i="9"/>
  <c r="I7235" i="9"/>
  <c r="I7236" i="9"/>
  <c r="I7237" i="9"/>
  <c r="I7238" i="9"/>
  <c r="I7239" i="9"/>
  <c r="I101" i="9"/>
  <c r="I102" i="9"/>
  <c r="I103" i="9"/>
  <c r="I2763" i="9"/>
  <c r="I8495" i="9"/>
  <c r="I1516" i="9"/>
  <c r="I1611" i="9"/>
  <c r="I1612" i="9"/>
  <c r="I1613" i="9"/>
  <c r="I1614" i="9"/>
  <c r="I2020" i="9"/>
  <c r="I2634" i="9"/>
  <c r="I3773" i="9"/>
  <c r="I3774" i="9"/>
  <c r="I1432" i="9"/>
  <c r="I79" i="9"/>
  <c r="I80" i="9"/>
  <c r="I6682" i="9"/>
  <c r="I6001" i="9"/>
  <c r="I6002" i="9"/>
  <c r="I6003" i="9"/>
  <c r="I6004" i="9"/>
  <c r="I6005" i="9"/>
  <c r="I6006" i="9"/>
  <c r="I6007" i="9"/>
  <c r="I4200" i="9"/>
  <c r="I4201" i="9"/>
  <c r="I4202" i="9"/>
  <c r="I4203" i="9"/>
  <c r="I4306" i="9"/>
  <c r="I4307" i="9"/>
  <c r="I4308" i="9"/>
  <c r="I4309" i="9"/>
  <c r="I4310" i="9"/>
  <c r="I4713" i="9"/>
  <c r="I4714" i="9"/>
  <c r="I5261" i="9"/>
  <c r="I5262" i="9"/>
  <c r="I5263" i="9"/>
  <c r="I5264" i="9"/>
  <c r="I5265" i="9"/>
  <c r="I5266" i="9"/>
  <c r="I5267" i="9"/>
  <c r="I5268" i="9"/>
  <c r="I5269" i="9"/>
  <c r="I5270" i="9"/>
  <c r="I5271" i="9"/>
  <c r="I5000" i="9"/>
  <c r="I5433" i="9"/>
  <c r="I4950" i="9"/>
  <c r="I4951" i="9"/>
  <c r="I5025" i="9"/>
  <c r="I3212" i="9"/>
  <c r="I6370" i="9"/>
  <c r="I6371" i="9"/>
  <c r="I6372" i="9"/>
  <c r="I6373" i="9"/>
  <c r="I6374" i="9"/>
  <c r="I6375" i="9"/>
  <c r="I6596" i="9"/>
  <c r="I7009" i="9"/>
  <c r="I7010" i="9"/>
  <c r="I7011" i="9"/>
  <c r="I7012" i="9"/>
  <c r="I7013" i="9"/>
  <c r="I7014" i="9"/>
  <c r="I7479" i="9"/>
  <c r="I7480" i="9"/>
  <c r="I7481" i="9"/>
  <c r="I7604" i="9"/>
  <c r="I7605" i="9"/>
  <c r="I7606" i="9"/>
  <c r="I7607" i="9"/>
  <c r="I6939" i="9"/>
  <c r="I8858" i="9"/>
  <c r="I8862" i="9"/>
  <c r="I8859" i="9"/>
  <c r="I8860" i="9"/>
  <c r="I8861" i="9"/>
  <c r="I8980" i="9"/>
  <c r="I335" i="9"/>
  <c r="I8927" i="9"/>
  <c r="I8928" i="9"/>
  <c r="I8929" i="9"/>
  <c r="I8930" i="9"/>
  <c r="I8931" i="9"/>
  <c r="I8932" i="9"/>
  <c r="I8933" i="9"/>
  <c r="I8934" i="9"/>
  <c r="I8935" i="9"/>
  <c r="I8936" i="9"/>
  <c r="I1272" i="9"/>
  <c r="I1273" i="9"/>
  <c r="I1274" i="9"/>
  <c r="I1275" i="9"/>
  <c r="I1276" i="9"/>
  <c r="I1277" i="9"/>
  <c r="I1278" i="9"/>
  <c r="I1279" i="9"/>
  <c r="I1280" i="9"/>
  <c r="I6008" i="9"/>
  <c r="I4985" i="9"/>
  <c r="I4986" i="9"/>
  <c r="I4987" i="9"/>
  <c r="I4988" i="9"/>
  <c r="I4989" i="9"/>
  <c r="I6346" i="9"/>
  <c r="I6347" i="9"/>
  <c r="I6348" i="9"/>
  <c r="I6349" i="9"/>
  <c r="I6350" i="9"/>
  <c r="I6351" i="9"/>
  <c r="I6352" i="9"/>
  <c r="I6353" i="9"/>
  <c r="I6354" i="9"/>
  <c r="I7578" i="9"/>
  <c r="I6355" i="9"/>
  <c r="I6356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2217" i="9"/>
  <c r="I2218" i="9"/>
  <c r="I2219" i="9"/>
  <c r="I2220" i="9"/>
  <c r="I2221" i="9"/>
  <c r="I222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6429" i="9"/>
  <c r="I6430" i="9"/>
  <c r="I2996" i="9"/>
  <c r="I5001" i="9"/>
  <c r="I4205" i="9"/>
  <c r="I4206" i="9"/>
  <c r="I4207" i="9"/>
  <c r="I4208" i="9"/>
  <c r="I4209" i="9"/>
  <c r="I4210" i="9"/>
  <c r="I4211" i="9"/>
  <c r="I4212" i="9"/>
  <c r="I4213" i="9"/>
  <c r="I4214" i="9"/>
  <c r="I4311" i="9"/>
  <c r="I4312" i="9"/>
  <c r="I4313" i="9"/>
  <c r="I4314" i="9"/>
  <c r="I4315" i="9"/>
  <c r="I4316" i="9"/>
  <c r="I4317" i="9"/>
  <c r="I4318" i="9"/>
  <c r="I4319" i="9"/>
  <c r="I4320" i="9"/>
  <c r="I4665" i="9"/>
  <c r="I4666" i="9"/>
  <c r="I4667" i="9"/>
  <c r="I4668" i="9"/>
  <c r="I4669" i="9"/>
  <c r="I4670" i="9"/>
  <c r="I1914" i="9"/>
  <c r="I1915" i="9"/>
  <c r="I1916" i="9"/>
  <c r="I1917" i="9"/>
  <c r="I1918" i="9"/>
  <c r="I1919" i="9"/>
  <c r="I2058" i="9"/>
  <c r="I6483" i="9"/>
  <c r="I6484" i="9"/>
  <c r="I6485" i="9"/>
  <c r="I6486" i="9"/>
  <c r="I6487" i="9"/>
  <c r="I6488" i="9"/>
  <c r="I6489" i="9"/>
  <c r="I6490" i="9"/>
  <c r="I6491" i="9"/>
  <c r="I6492" i="9"/>
  <c r="I6493" i="9"/>
  <c r="I6494" i="9"/>
  <c r="I6495" i="9"/>
  <c r="I6496" i="9"/>
  <c r="I6497" i="9"/>
  <c r="I6498" i="9"/>
  <c r="I6499" i="9"/>
  <c r="I6500" i="9"/>
  <c r="I6501" i="9"/>
  <c r="I6502" i="9"/>
  <c r="I2479" i="9"/>
  <c r="I2480" i="9"/>
  <c r="I2481" i="9"/>
  <c r="I2482" i="9"/>
  <c r="I2483" i="9"/>
  <c r="I2484" i="9"/>
  <c r="I4973" i="9"/>
  <c r="I4974" i="9"/>
  <c r="I4975" i="9"/>
  <c r="I4976" i="9"/>
  <c r="I5643" i="9"/>
  <c r="I3150" i="9"/>
  <c r="I5956" i="9"/>
  <c r="I5957" i="9"/>
  <c r="I5958" i="9"/>
  <c r="I5959" i="9"/>
  <c r="I6037" i="9"/>
  <c r="I8412" i="9"/>
  <c r="I6097" i="9"/>
  <c r="I6098" i="9"/>
  <c r="I6099" i="9"/>
  <c r="I6100" i="9"/>
  <c r="I6101" i="9"/>
  <c r="I6102" i="9"/>
  <c r="I6103" i="9"/>
  <c r="I6104" i="9"/>
  <c r="I6105" i="9"/>
  <c r="I6106" i="9"/>
  <c r="I6107" i="9"/>
  <c r="I6108" i="9"/>
  <c r="I6109" i="9"/>
  <c r="I6110" i="9"/>
  <c r="I6111" i="9"/>
  <c r="I6112" i="9"/>
  <c r="I6113" i="9"/>
  <c r="I6114" i="9"/>
  <c r="I6115" i="9"/>
  <c r="I6116" i="9"/>
  <c r="I6117" i="9"/>
  <c r="I6265" i="9"/>
  <c r="I6266" i="9"/>
  <c r="I6267" i="9"/>
  <c r="I6268" i="9"/>
  <c r="I6431" i="9"/>
  <c r="I6432" i="9"/>
  <c r="I6433" i="9"/>
  <c r="I6434" i="9"/>
  <c r="I6435" i="9"/>
  <c r="I6436" i="9"/>
  <c r="I6437" i="9"/>
  <c r="I6438" i="9"/>
  <c r="I6439" i="9"/>
  <c r="I6440" i="9"/>
  <c r="I6441" i="9"/>
  <c r="I6442" i="9"/>
  <c r="I6443" i="9"/>
  <c r="I6444" i="9"/>
  <c r="I6445" i="9"/>
  <c r="I6446" i="9"/>
  <c r="I6447" i="9"/>
  <c r="I6448" i="9"/>
  <c r="I6449" i="9"/>
  <c r="I6450" i="9"/>
  <c r="I6451" i="9"/>
  <c r="I6452" i="9"/>
  <c r="I6503" i="9"/>
  <c r="I6504" i="9"/>
  <c r="I6505" i="9"/>
  <c r="I6506" i="9"/>
  <c r="I6507" i="9"/>
  <c r="I6508" i="9"/>
  <c r="I6509" i="9"/>
  <c r="I6510" i="9"/>
  <c r="I6511" i="9"/>
  <c r="I6512" i="9"/>
  <c r="I6513" i="9"/>
  <c r="I6514" i="9"/>
  <c r="I6515" i="9"/>
  <c r="I6516" i="9"/>
  <c r="I6517" i="9"/>
  <c r="I6518" i="9"/>
  <c r="I6519" i="9"/>
  <c r="I6520" i="9"/>
  <c r="I6521" i="9"/>
  <c r="I6522" i="9"/>
  <c r="I6523" i="9"/>
  <c r="I6524" i="9"/>
  <c r="I6525" i="9"/>
  <c r="I8795" i="9"/>
  <c r="I5208" i="9"/>
  <c r="I5211" i="9"/>
  <c r="I5212" i="9"/>
  <c r="I5213" i="9"/>
  <c r="I9161" i="9"/>
  <c r="I9162" i="9"/>
  <c r="I9163" i="9"/>
  <c r="I9164" i="9"/>
  <c r="I7728" i="9"/>
  <c r="I7987" i="9"/>
  <c r="I7988" i="9"/>
  <c r="I7989" i="9"/>
  <c r="I7990" i="9"/>
  <c r="I7991" i="9"/>
  <c r="I7992" i="9"/>
  <c r="I3772" i="9"/>
  <c r="I5301" i="9"/>
  <c r="E1238" i="3"/>
  <c r="J7627" i="9"/>
  <c r="J7631" i="9"/>
  <c r="J7632" i="9"/>
  <c r="J3855" i="9"/>
  <c r="J3854" i="9"/>
  <c r="J7468" i="9"/>
  <c r="J7466" i="9"/>
  <c r="J5804" i="9"/>
  <c r="J5806" i="9"/>
  <c r="J5802" i="9"/>
  <c r="J5800" i="9"/>
  <c r="J5801" i="9"/>
  <c r="J5812" i="9"/>
  <c r="J5813" i="9"/>
  <c r="J5805" i="9"/>
  <c r="J5781" i="9"/>
  <c r="J5784" i="9"/>
  <c r="J5791" i="9"/>
  <c r="J5787" i="9"/>
  <c r="J5780" i="9"/>
  <c r="J5785" i="9"/>
  <c r="J5788" i="9"/>
  <c r="J1717" i="9"/>
  <c r="J1718" i="9"/>
  <c r="J1719" i="9"/>
  <c r="J2258" i="9"/>
  <c r="J2532" i="9"/>
  <c r="J2543" i="9"/>
  <c r="J2549" i="9"/>
  <c r="J2548" i="9"/>
  <c r="J2533" i="9"/>
  <c r="J2541" i="9"/>
  <c r="J2527" i="9"/>
  <c r="J2540" i="9"/>
  <c r="J2542" i="9"/>
  <c r="J2536" i="9"/>
  <c r="J2537" i="9"/>
  <c r="J2551" i="9"/>
  <c r="J4997" i="9"/>
  <c r="J4993" i="9"/>
  <c r="J4994" i="9"/>
  <c r="J4995" i="9"/>
  <c r="J3247" i="9"/>
  <c r="J5245" i="9"/>
  <c r="J7341" i="9"/>
  <c r="J7339" i="9"/>
  <c r="J7342" i="9"/>
  <c r="J142" i="9"/>
  <c r="J143" i="9"/>
  <c r="J149" i="9"/>
  <c r="J2272" i="9"/>
  <c r="J2267" i="9"/>
  <c r="J2269" i="9"/>
  <c r="J2264" i="9"/>
  <c r="J2277" i="9"/>
  <c r="J2273" i="9"/>
  <c r="J2278" i="9"/>
  <c r="J2274" i="9"/>
  <c r="J2283" i="9"/>
  <c r="J2266" i="9"/>
  <c r="J2270" i="9"/>
  <c r="J2275" i="9"/>
  <c r="J2285" i="9"/>
  <c r="J7364" i="9"/>
  <c r="J8957" i="9"/>
  <c r="J8953" i="9"/>
  <c r="J8955" i="9"/>
  <c r="J1394" i="9"/>
  <c r="J8426" i="9"/>
  <c r="J8434" i="9"/>
  <c r="J8437" i="9"/>
  <c r="J8425" i="9"/>
  <c r="J8427" i="9"/>
  <c r="J8424" i="9"/>
  <c r="J8440" i="9"/>
  <c r="J8438" i="9"/>
  <c r="J8423" i="9"/>
  <c r="J8428" i="9"/>
  <c r="J8431" i="9"/>
  <c r="J4360" i="9"/>
  <c r="J4356" i="9"/>
  <c r="J4358" i="9"/>
  <c r="J6715" i="9"/>
  <c r="J6711" i="9"/>
  <c r="J6712" i="9"/>
  <c r="J6708" i="9"/>
  <c r="J6709" i="9"/>
  <c r="J5040" i="9"/>
  <c r="J5041" i="9"/>
  <c r="J5046" i="9"/>
  <c r="J5047" i="9"/>
  <c r="J5044" i="9"/>
  <c r="J3560" i="9"/>
  <c r="J3411" i="9"/>
  <c r="J3409" i="9"/>
  <c r="J3406" i="9"/>
  <c r="J3148" i="9"/>
  <c r="J3146" i="9"/>
  <c r="J3151" i="9"/>
  <c r="J3046" i="9"/>
  <c r="J3047" i="9"/>
  <c r="J3050" i="9"/>
  <c r="J3055" i="9"/>
  <c r="J3048" i="9"/>
  <c r="J3051" i="9"/>
  <c r="J3038" i="9"/>
  <c r="J3039" i="9"/>
  <c r="J3040" i="9"/>
  <c r="J3043" i="9"/>
  <c r="J2879" i="9"/>
  <c r="J2877" i="9"/>
  <c r="J2880" i="9"/>
  <c r="J2884" i="9"/>
  <c r="J2796" i="9"/>
  <c r="J2793" i="9"/>
  <c r="J2792" i="9"/>
  <c r="J2746" i="9"/>
  <c r="J2749" i="9"/>
  <c r="J2747" i="9"/>
  <c r="J2743" i="9"/>
  <c r="J7918" i="9"/>
  <c r="J2518" i="9"/>
  <c r="J7916" i="9"/>
  <c r="J4321" i="9"/>
  <c r="J2520" i="9"/>
  <c r="J7919" i="9"/>
  <c r="J343" i="9"/>
  <c r="J344" i="9"/>
  <c r="J2259" i="9"/>
  <c r="J2260" i="9"/>
  <c r="J2037" i="9"/>
  <c r="J2038" i="9"/>
  <c r="J2042" i="9"/>
  <c r="J2031" i="9"/>
  <c r="J2043" i="9"/>
  <c r="J2032" i="9"/>
  <c r="J2011" i="9"/>
  <c r="J2009" i="9"/>
  <c r="J2010" i="9"/>
  <c r="J1981" i="9"/>
  <c r="J1982" i="9"/>
  <c r="J1964" i="9"/>
  <c r="J7601" i="9"/>
  <c r="J1959" i="9"/>
  <c r="J7435" i="9"/>
  <c r="J1962" i="9"/>
  <c r="J7439" i="9"/>
  <c r="J1960" i="9"/>
  <c r="J7309" i="9"/>
  <c r="J1966" i="9"/>
  <c r="J7312" i="9"/>
  <c r="J1863" i="9"/>
  <c r="J7308" i="9"/>
  <c r="J1864" i="9"/>
  <c r="J7306" i="9"/>
  <c r="J1865" i="9"/>
  <c r="J7151" i="9"/>
  <c r="J1752" i="9"/>
  <c r="J1746" i="9"/>
  <c r="J7154" i="9"/>
  <c r="J1740" i="9"/>
  <c r="J7155" i="9"/>
  <c r="J1741" i="9"/>
  <c r="J7149" i="9"/>
  <c r="J1760" i="9"/>
  <c r="J7110" i="9"/>
  <c r="J1750" i="9"/>
  <c r="J7019" i="9"/>
  <c r="J1747" i="9"/>
  <c r="J6958" i="9"/>
  <c r="J1742" i="9"/>
  <c r="J6954" i="9"/>
  <c r="J1743" i="9"/>
  <c r="J6959" i="9"/>
  <c r="J1753" i="9"/>
  <c r="J6961" i="9"/>
  <c r="J1761" i="9"/>
  <c r="J6866" i="9"/>
  <c r="J1703" i="9"/>
  <c r="J6196" i="9"/>
  <c r="J1713" i="9"/>
  <c r="J6197" i="9"/>
  <c r="J1696" i="9"/>
  <c r="J6186" i="9"/>
  <c r="J1700" i="9"/>
  <c r="J6128" i="9"/>
  <c r="J1709" i="9"/>
  <c r="J6129" i="9"/>
  <c r="J1705" i="9"/>
  <c r="J6089" i="9"/>
  <c r="J1698" i="9"/>
  <c r="J5964" i="9"/>
  <c r="J1704" i="9"/>
  <c r="J5962" i="9"/>
  <c r="J1710" i="9"/>
  <c r="J5965" i="9"/>
  <c r="J1706" i="9"/>
  <c r="J5969" i="9"/>
  <c r="J1714" i="9"/>
  <c r="J5970" i="9"/>
  <c r="J1857" i="9"/>
  <c r="J5932" i="9"/>
  <c r="J1858" i="9"/>
  <c r="J5933" i="9"/>
  <c r="J1860" i="9"/>
  <c r="J5849" i="9"/>
  <c r="J8823" i="9"/>
  <c r="J4701" i="9"/>
  <c r="J8825" i="9"/>
  <c r="J4700" i="9"/>
  <c r="J8822" i="9"/>
  <c r="J4283" i="9"/>
  <c r="J8820" i="9"/>
  <c r="J4284" i="9"/>
  <c r="J8826" i="9"/>
  <c r="J4279" i="9"/>
  <c r="J8832" i="9"/>
  <c r="J4277" i="9"/>
  <c r="J2778" i="9"/>
  <c r="J2766" i="9"/>
  <c r="J4287" i="9"/>
  <c r="J2769" i="9"/>
  <c r="J4280" i="9"/>
  <c r="J2774" i="9"/>
  <c r="J4281" i="9"/>
  <c r="J2772" i="9"/>
  <c r="J4278" i="9"/>
  <c r="J2773" i="9"/>
  <c r="J4282" i="9"/>
  <c r="J2474" i="9"/>
  <c r="J2156" i="9"/>
  <c r="J4285" i="9"/>
  <c r="J2142" i="9"/>
  <c r="J4286" i="9"/>
  <c r="J2144" i="9"/>
  <c r="J4290" i="9"/>
  <c r="J2143" i="9"/>
  <c r="J4288" i="9"/>
  <c r="J2146" i="9"/>
  <c r="J4289" i="9"/>
  <c r="J2150" i="9"/>
  <c r="J4027" i="9"/>
  <c r="J2152" i="9"/>
  <c r="J4028" i="9"/>
  <c r="J2155" i="9"/>
  <c r="J4029" i="9"/>
  <c r="J2145" i="9"/>
  <c r="J3979" i="9"/>
  <c r="J88" i="9"/>
  <c r="J3978" i="9"/>
  <c r="J86" i="9"/>
  <c r="J3692" i="9"/>
  <c r="J7478" i="9"/>
  <c r="J3527" i="9"/>
  <c r="J7476" i="9"/>
  <c r="J3506" i="9"/>
  <c r="J7475" i="9"/>
  <c r="J3381" i="9"/>
  <c r="J2758" i="9"/>
  <c r="J3111" i="9"/>
  <c r="J2760" i="9"/>
  <c r="J3091" i="9"/>
  <c r="J1303" i="9"/>
  <c r="J3090" i="9"/>
  <c r="J1299" i="9"/>
  <c r="J3072" i="9"/>
  <c r="J1305" i="9"/>
  <c r="J3016" i="9"/>
  <c r="J1301" i="9"/>
  <c r="J2859" i="9"/>
  <c r="J1297" i="9"/>
  <c r="J2784" i="9"/>
  <c r="J1298" i="9"/>
  <c r="J2788" i="9"/>
  <c r="J1304" i="9"/>
  <c r="J2786" i="9"/>
  <c r="J2309" i="9"/>
  <c r="J2785" i="9"/>
  <c r="J2317" i="9"/>
  <c r="J2787" i="9"/>
  <c r="J2310" i="9"/>
  <c r="J2789" i="9"/>
  <c r="J2316" i="9"/>
  <c r="J2781" i="9"/>
  <c r="J2318" i="9"/>
  <c r="J2780" i="9"/>
  <c r="J1210" i="9"/>
  <c r="J2783" i="9"/>
  <c r="J1218" i="9"/>
  <c r="J2782" i="9"/>
  <c r="J1212" i="9"/>
  <c r="J2738" i="9"/>
  <c r="J1214" i="9"/>
  <c r="J2739" i="9"/>
  <c r="J1188" i="9"/>
  <c r="J2255" i="9"/>
  <c r="J1191" i="9"/>
  <c r="J2254" i="9"/>
  <c r="J1194" i="9"/>
  <c r="J2253" i="9"/>
  <c r="J1286" i="9"/>
  <c r="J2256" i="9"/>
  <c r="J428" i="9"/>
  <c r="J2078" i="9"/>
  <c r="J436" i="9"/>
  <c r="J2076" i="9"/>
  <c r="J425" i="9"/>
  <c r="J2077" i="9"/>
  <c r="J433" i="9"/>
  <c r="J1933" i="9"/>
  <c r="J429" i="9"/>
  <c r="J1209" i="9"/>
  <c r="J434" i="9"/>
  <c r="J460" i="9"/>
  <c r="J430" i="9"/>
  <c r="J461" i="9"/>
  <c r="J444" i="9"/>
  <c r="J459" i="9"/>
  <c r="J435" i="9"/>
  <c r="J291" i="9"/>
  <c r="J437" i="9"/>
  <c r="J290" i="9"/>
  <c r="J442" i="9"/>
  <c r="J289" i="9"/>
  <c r="J416" i="9"/>
  <c r="J288" i="9"/>
  <c r="J417" i="9"/>
  <c r="J247" i="9"/>
  <c r="J420" i="9"/>
  <c r="J248" i="9"/>
  <c r="J414" i="9"/>
  <c r="J249" i="9"/>
  <c r="J415" i="9"/>
  <c r="J6870" i="9"/>
  <c r="J318" i="9"/>
  <c r="J6871" i="9"/>
  <c r="J311" i="9"/>
  <c r="J6869" i="9"/>
  <c r="J316" i="9"/>
  <c r="J6872" i="9"/>
  <c r="J314" i="9"/>
  <c r="J6873" i="9"/>
  <c r="J312" i="9"/>
  <c r="J7506" i="9"/>
  <c r="J308" i="9"/>
  <c r="J8877" i="9"/>
  <c r="J315" i="9"/>
  <c r="J8875" i="9"/>
  <c r="J321" i="9"/>
  <c r="J8876" i="9"/>
  <c r="J319" i="9"/>
  <c r="J7652" i="9"/>
  <c r="J217" i="9"/>
  <c r="J7651" i="9"/>
  <c r="J222" i="9"/>
  <c r="J7650" i="9"/>
  <c r="J219" i="9"/>
  <c r="J7648" i="9"/>
  <c r="J220" i="9"/>
  <c r="J4422" i="9"/>
  <c r="J4427" i="9"/>
  <c r="J204" i="9"/>
  <c r="J4421" i="9"/>
  <c r="J210" i="9"/>
  <c r="J4420" i="9"/>
  <c r="J201" i="9"/>
  <c r="J4448" i="9"/>
  <c r="J205" i="9"/>
  <c r="J4418" i="9"/>
  <c r="J206" i="9"/>
  <c r="J4419" i="9"/>
  <c r="J124" i="9"/>
  <c r="J4449" i="9"/>
  <c r="J112" i="9"/>
  <c r="J4450" i="9"/>
  <c r="J76" i="9"/>
  <c r="J7737" i="9"/>
  <c r="J72" i="9"/>
  <c r="J7738" i="9"/>
  <c r="J61" i="9"/>
  <c r="J7647" i="9"/>
  <c r="J3852" i="9"/>
  <c r="J7646" i="9"/>
  <c r="J6931" i="9"/>
  <c r="J7649" i="9"/>
  <c r="J2423" i="9"/>
  <c r="J3738" i="9"/>
  <c r="J2425" i="9"/>
  <c r="J3732" i="9"/>
  <c r="J6139" i="9"/>
  <c r="J5346" i="9"/>
  <c r="J2424" i="9"/>
  <c r="J5347" i="9"/>
  <c r="J11" i="9"/>
  <c r="J4451" i="9"/>
  <c r="J26" i="9"/>
  <c r="J7653" i="9"/>
  <c r="J16" i="9"/>
  <c r="J4423" i="9"/>
  <c r="J13" i="9"/>
  <c r="J4424" i="9"/>
  <c r="J9" i="9"/>
  <c r="J4430" i="9"/>
  <c r="J15" i="9"/>
  <c r="J9024" i="9"/>
  <c r="J8" i="9"/>
  <c r="J9027" i="9"/>
  <c r="J20" i="9"/>
  <c r="J9026" i="9"/>
  <c r="J21" i="9"/>
  <c r="J5336" i="9"/>
  <c r="J8987" i="9"/>
  <c r="J5330" i="9"/>
  <c r="J8991" i="9"/>
  <c r="J5331" i="9"/>
  <c r="J8989" i="9"/>
  <c r="J5332" i="9"/>
  <c r="J4586" i="9"/>
  <c r="J5572" i="9"/>
  <c r="J4444" i="9"/>
  <c r="J4587" i="9"/>
  <c r="J4234" i="9"/>
  <c r="J4589" i="9"/>
  <c r="J4235" i="9"/>
  <c r="J4592" i="9"/>
  <c r="J4244" i="9"/>
  <c r="J4625" i="9"/>
  <c r="J4236" i="9"/>
  <c r="J4628" i="9"/>
  <c r="J7500" i="9"/>
  <c r="J4618" i="9"/>
  <c r="J7505" i="9"/>
  <c r="J4593" i="9"/>
  <c r="J7507" i="9"/>
  <c r="J4590" i="9"/>
  <c r="J4452" i="9"/>
  <c r="J4594" i="9"/>
  <c r="J593" i="9"/>
  <c r="J594" i="9"/>
  <c r="J5324" i="9"/>
  <c r="J4619" i="9"/>
  <c r="J5325" i="9"/>
  <c r="J4588" i="9"/>
  <c r="J595" i="9"/>
  <c r="J596" i="9"/>
  <c r="J5326" i="9"/>
  <c r="J4595" i="9"/>
  <c r="J5327" i="9"/>
  <c r="J4622" i="9"/>
  <c r="J597" i="9"/>
  <c r="J598" i="9"/>
  <c r="J5340" i="9"/>
  <c r="J4611" i="9"/>
  <c r="J4453" i="9"/>
  <c r="J4610" i="9"/>
  <c r="J599" i="9"/>
  <c r="J600" i="9"/>
  <c r="J9237" i="9"/>
  <c r="J4612" i="9"/>
  <c r="J601" i="9"/>
  <c r="J602" i="9"/>
  <c r="J4435" i="9"/>
  <c r="J4603" i="9"/>
  <c r="J603" i="9"/>
  <c r="J604" i="9"/>
  <c r="J605" i="9"/>
  <c r="J606" i="9"/>
  <c r="J4436" i="9"/>
  <c r="J4623" i="9"/>
  <c r="J2224" i="9"/>
  <c r="J4604" i="9"/>
  <c r="J2225" i="9"/>
  <c r="J4650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2226" i="9"/>
  <c r="J4649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2227" i="9"/>
  <c r="J4609" i="9"/>
  <c r="J341" i="9"/>
  <c r="J3147" i="9"/>
  <c r="J633" i="9"/>
  <c r="J634" i="9"/>
  <c r="J635" i="9"/>
  <c r="J636" i="9"/>
  <c r="J637" i="9"/>
  <c r="J638" i="9"/>
  <c r="J639" i="9"/>
  <c r="J640" i="9"/>
  <c r="J641" i="9"/>
  <c r="J642" i="9"/>
  <c r="J4431" i="9"/>
  <c r="J5935" i="9"/>
  <c r="J4596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4425" i="9"/>
  <c r="J8476" i="9"/>
  <c r="J3798" i="9"/>
  <c r="J342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4299" i="9"/>
  <c r="J9023" i="9"/>
  <c r="J3789" i="9"/>
  <c r="J2008" i="9"/>
  <c r="J671" i="9"/>
  <c r="J672" i="9"/>
  <c r="J673" i="9"/>
  <c r="J674" i="9"/>
  <c r="J675" i="9"/>
  <c r="J676" i="9"/>
  <c r="J677" i="9"/>
  <c r="J678" i="9"/>
  <c r="J3601" i="9"/>
  <c r="J9029" i="9"/>
  <c r="J3830" i="9"/>
  <c r="J581" i="9"/>
  <c r="J582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3466" i="9"/>
  <c r="J9028" i="9"/>
  <c r="J379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2600" i="9"/>
  <c r="J9025" i="9"/>
  <c r="J3793" i="9"/>
  <c r="J3407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1287" i="9"/>
  <c r="J4426" i="9"/>
  <c r="J3806" i="9"/>
  <c r="J4591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1288" i="9"/>
  <c r="J3730" i="9"/>
  <c r="J3799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1289" i="9"/>
  <c r="J4454" i="9"/>
  <c r="J3786" i="9"/>
  <c r="J412" i="9"/>
  <c r="J583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1290" i="9"/>
  <c r="J4462" i="9"/>
  <c r="J556" i="9"/>
  <c r="J307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1292" i="9"/>
  <c r="J4428" i="9"/>
  <c r="J557" i="9"/>
  <c r="J1744" i="9"/>
  <c r="J2528" i="9"/>
  <c r="J584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4463" i="9"/>
  <c r="J6534" i="9"/>
  <c r="J552" i="9"/>
  <c r="J62" i="9"/>
  <c r="J202" i="9"/>
  <c r="J203" i="9"/>
  <c r="J66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1344" i="9"/>
  <c r="J2724" i="9"/>
  <c r="J2725" i="9"/>
  <c r="J4437" i="9"/>
  <c r="J5198" i="9"/>
  <c r="J5848" i="9"/>
  <c r="J558" i="9"/>
  <c r="J3788" i="9"/>
  <c r="J4597" i="9"/>
  <c r="J4585" i="9"/>
  <c r="J4598" i="9"/>
  <c r="J207" i="9"/>
  <c r="J208" i="9"/>
  <c r="J2261" i="9"/>
  <c r="J2529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1971" i="9"/>
  <c r="J7504" i="9"/>
  <c r="J8140" i="9"/>
  <c r="J576" i="9"/>
  <c r="J4600" i="9"/>
  <c r="J4599" i="9"/>
  <c r="J413" i="9"/>
  <c r="J1694" i="9"/>
  <c r="J8421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1879" i="9"/>
  <c r="J2726" i="9"/>
  <c r="J3308" i="9"/>
  <c r="J3309" i="9"/>
  <c r="J6333" i="9"/>
  <c r="J7502" i="9"/>
  <c r="J8136" i="9"/>
  <c r="J554" i="9"/>
  <c r="J4601" i="9"/>
  <c r="J8986" i="9"/>
  <c r="J209" i="9"/>
  <c r="J2147" i="9"/>
  <c r="J1695" i="9"/>
  <c r="J1961" i="9"/>
  <c r="J8422" i="9"/>
  <c r="J2530" i="9"/>
  <c r="J5799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2727" i="9"/>
  <c r="J4835" i="9"/>
  <c r="J7501" i="9"/>
  <c r="J8137" i="9"/>
  <c r="J8960" i="9"/>
  <c r="J559" i="9"/>
  <c r="J309" i="9"/>
  <c r="J2148" i="9"/>
  <c r="J1697" i="9"/>
  <c r="J1745" i="9"/>
  <c r="J2262" i="9"/>
  <c r="J2263" i="9"/>
  <c r="J2531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2107" i="9"/>
  <c r="J2387" i="9"/>
  <c r="J2418" i="9"/>
  <c r="J2728" i="9"/>
  <c r="J2964" i="9"/>
  <c r="J3630" i="9"/>
  <c r="J3895" i="9"/>
  <c r="J5251" i="9"/>
  <c r="J5252" i="9"/>
  <c r="J5605" i="9"/>
  <c r="J6689" i="9"/>
  <c r="J6941" i="9"/>
  <c r="J7146" i="9"/>
  <c r="J7255" i="9"/>
  <c r="J7503" i="9"/>
  <c r="J8138" i="9"/>
  <c r="J8892" i="9"/>
  <c r="J8578" i="9"/>
  <c r="J551" i="9"/>
  <c r="J555" i="9"/>
  <c r="J4602" i="9"/>
  <c r="J2767" i="9"/>
  <c r="J1699" i="9"/>
  <c r="J345" i="9"/>
  <c r="J3408" i="9"/>
  <c r="J106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1880" i="9"/>
  <c r="J3631" i="9"/>
  <c r="J3896" i="9"/>
  <c r="J4836" i="9"/>
  <c r="J5601" i="9"/>
  <c r="J560" i="9"/>
  <c r="J4605" i="9"/>
  <c r="J4606" i="9"/>
  <c r="J310" i="9"/>
  <c r="J418" i="9"/>
  <c r="J424" i="9"/>
  <c r="J2149" i="9"/>
  <c r="J2768" i="9"/>
  <c r="J1701" i="9"/>
  <c r="J1702" i="9"/>
  <c r="J1963" i="9"/>
  <c r="J2794" i="9"/>
  <c r="J70" i="9"/>
  <c r="J585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2300" i="9"/>
  <c r="J3109" i="9"/>
  <c r="J3128" i="9"/>
  <c r="J3508" i="9"/>
  <c r="J3632" i="9"/>
  <c r="J4035" i="9"/>
  <c r="J5602" i="9"/>
  <c r="J5989" i="9"/>
  <c r="J6304" i="9"/>
  <c r="J7147" i="9"/>
  <c r="J7148" i="9"/>
  <c r="J7886" i="9"/>
  <c r="J8835" i="9"/>
  <c r="J8961" i="9"/>
  <c r="J561" i="9"/>
  <c r="J565" i="9"/>
  <c r="J562" i="9"/>
  <c r="J563" i="9"/>
  <c r="J564" i="9"/>
  <c r="J4607" i="9"/>
  <c r="J4608" i="9"/>
  <c r="J419" i="9"/>
  <c r="J426" i="9"/>
  <c r="J1965" i="9"/>
  <c r="J2534" i="9"/>
  <c r="J2535" i="9"/>
  <c r="J5782" i="9"/>
  <c r="J92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142" i="9"/>
  <c r="J1178" i="9"/>
  <c r="J1196" i="9"/>
  <c r="J1345" i="9"/>
  <c r="J1881" i="9"/>
  <c r="J1882" i="9"/>
  <c r="J1934" i="9"/>
  <c r="J1972" i="9"/>
  <c r="J1974" i="9"/>
  <c r="J1985" i="9"/>
  <c r="J2084" i="9"/>
  <c r="J2184" i="9"/>
  <c r="J2288" i="9"/>
  <c r="J2295" i="9"/>
  <c r="J2729" i="9"/>
  <c r="J2730" i="9"/>
  <c r="J2790" i="9"/>
  <c r="J2956" i="9"/>
  <c r="J2965" i="9"/>
  <c r="J3027" i="9"/>
  <c r="J3070" i="9"/>
  <c r="J3071" i="9"/>
  <c r="J3310" i="9"/>
  <c r="J3447" i="9"/>
  <c r="J3495" i="9"/>
  <c r="J3520" i="9"/>
  <c r="J3728" i="9"/>
  <c r="J3729" i="9"/>
  <c r="J3948" i="9"/>
  <c r="J3949" i="9"/>
  <c r="J4052" i="9"/>
  <c r="J4053" i="9"/>
  <c r="J4059" i="9"/>
  <c r="J4185" i="9"/>
  <c r="J4333" i="9"/>
  <c r="J4413" i="9"/>
  <c r="J4416" i="9"/>
  <c r="J4417" i="9"/>
  <c r="J4795" i="9"/>
  <c r="J5322" i="9"/>
  <c r="J5323" i="9"/>
  <c r="J5363" i="9"/>
  <c r="J5507" i="9"/>
  <c r="J5523" i="9"/>
  <c r="J5553" i="9"/>
  <c r="J5603" i="9"/>
  <c r="J5845" i="9"/>
  <c r="J5846" i="9"/>
  <c r="J5850" i="9"/>
  <c r="J5990" i="9"/>
  <c r="J5997" i="9"/>
  <c r="J6026" i="9"/>
  <c r="J6027" i="9"/>
  <c r="J6028" i="9"/>
  <c r="J6170" i="9"/>
  <c r="J6185" i="9"/>
  <c r="J6239" i="9"/>
  <c r="J6424" i="9"/>
  <c r="J7016" i="9"/>
  <c r="J7024" i="9"/>
  <c r="J7114" i="9"/>
  <c r="J7129" i="9"/>
  <c r="J7130" i="9"/>
  <c r="J7150" i="9"/>
  <c r="J7178" i="9"/>
  <c r="J7432" i="9"/>
  <c r="J7668" i="9"/>
  <c r="J7742" i="9"/>
  <c r="J7790" i="9"/>
  <c r="J7792" i="9"/>
  <c r="J7868" i="9"/>
  <c r="J8117" i="9"/>
  <c r="J8151" i="9"/>
  <c r="J8238" i="9"/>
  <c r="J8375" i="9"/>
  <c r="J8624" i="9"/>
  <c r="J8836" i="9"/>
  <c r="J8901" i="9"/>
  <c r="J9216" i="9"/>
  <c r="J9250" i="9"/>
  <c r="J525" i="9"/>
  <c r="J567" i="9"/>
  <c r="J566" i="9"/>
  <c r="J427" i="9"/>
  <c r="J87" i="9"/>
  <c r="J1748" i="9"/>
  <c r="J1749" i="9"/>
  <c r="J7915" i="9"/>
  <c r="J2795" i="9"/>
  <c r="J2538" i="9"/>
  <c r="J2539" i="9"/>
  <c r="J5783" i="9"/>
  <c r="J64" i="9"/>
  <c r="J93" i="9"/>
  <c r="J403" i="9"/>
  <c r="J486" i="9"/>
  <c r="J586" i="9"/>
  <c r="J587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125" i="9"/>
  <c r="J1179" i="9"/>
  <c r="J1180" i="9"/>
  <c r="J1353" i="9"/>
  <c r="J1361" i="9"/>
  <c r="J1521" i="9"/>
  <c r="J1650" i="9"/>
  <c r="J1772" i="9"/>
  <c r="J1883" i="9"/>
  <c r="J1920" i="9"/>
  <c r="J1935" i="9"/>
  <c r="J2085" i="9"/>
  <c r="J2131" i="9"/>
  <c r="J2731" i="9"/>
  <c r="J2966" i="9"/>
  <c r="J2998" i="9"/>
  <c r="J3028" i="9"/>
  <c r="J3092" i="9"/>
  <c r="J3093" i="9"/>
  <c r="J3112" i="9"/>
  <c r="J3113" i="9"/>
  <c r="J3114" i="9"/>
  <c r="J3115" i="9"/>
  <c r="J3129" i="9"/>
  <c r="J3130" i="9"/>
  <c r="J3186" i="9"/>
  <c r="J3187" i="9"/>
  <c r="J3311" i="9"/>
  <c r="J3312" i="9"/>
  <c r="J3313" i="9"/>
  <c r="J3314" i="9"/>
  <c r="J3326" i="9"/>
  <c r="J3387" i="9"/>
  <c r="J3388" i="9"/>
  <c r="J3389" i="9"/>
  <c r="J3473" i="9"/>
  <c r="J3509" i="9"/>
  <c r="J3521" i="9"/>
  <c r="J3552" i="9"/>
  <c r="J3594" i="9"/>
  <c r="J3595" i="9"/>
  <c r="J3617" i="9"/>
  <c r="J3731" i="9"/>
  <c r="J3950" i="9"/>
  <c r="J4219" i="9"/>
  <c r="J4220" i="9"/>
  <c r="J4221" i="9"/>
  <c r="J4338" i="9"/>
  <c r="J4429" i="9"/>
  <c r="J4498" i="9"/>
  <c r="J4796" i="9"/>
  <c r="J5177" i="9"/>
  <c r="J5328" i="9"/>
  <c r="J5329" i="9"/>
  <c r="J5483" i="9"/>
  <c r="J5485" i="9"/>
  <c r="J5486" i="9"/>
  <c r="J5604" i="9"/>
  <c r="J5821" i="9"/>
  <c r="J5991" i="9"/>
  <c r="J6171" i="9"/>
  <c r="J6231" i="9"/>
  <c r="J6305" i="9"/>
  <c r="J6331" i="9"/>
  <c r="J6637" i="9"/>
  <c r="J7131" i="9"/>
  <c r="J7135" i="9"/>
  <c r="J7136" i="9"/>
  <c r="J7152" i="9"/>
  <c r="J7153" i="9"/>
  <c r="J7307" i="9"/>
  <c r="J7420" i="9"/>
  <c r="J7433" i="9"/>
  <c r="J7659" i="9"/>
  <c r="J7743" i="9"/>
  <c r="J7867" i="9"/>
  <c r="J7967" i="9"/>
  <c r="J8118" i="9"/>
  <c r="J8239" i="9"/>
  <c r="J8269" i="9"/>
  <c r="J8376" i="9"/>
  <c r="J8377" i="9"/>
  <c r="J8378" i="9"/>
  <c r="J8381" i="9"/>
  <c r="J8479" i="9"/>
  <c r="J8625" i="9"/>
  <c r="J8908" i="9"/>
  <c r="J9033" i="9"/>
  <c r="J9150" i="9"/>
  <c r="J9151" i="9"/>
  <c r="J9251" i="9"/>
  <c r="J553" i="9"/>
  <c r="J4616" i="9"/>
  <c r="J4613" i="9"/>
  <c r="J4617" i="9"/>
  <c r="J4614" i="9"/>
  <c r="J4615" i="9"/>
  <c r="J2422" i="9"/>
  <c r="J313" i="9"/>
  <c r="J431" i="9"/>
  <c r="J432" i="9"/>
  <c r="J89" i="9"/>
  <c r="J2151" i="9"/>
  <c r="J2475" i="9"/>
  <c r="J2770" i="9"/>
  <c r="J1707" i="9"/>
  <c r="J1693" i="9"/>
  <c r="J1708" i="9"/>
  <c r="J1751" i="9"/>
  <c r="J1967" i="9"/>
  <c r="J1968" i="9"/>
  <c r="J2797" i="9"/>
  <c r="J3410" i="9"/>
  <c r="J2265" i="9"/>
  <c r="J5786" i="9"/>
  <c r="J65" i="9"/>
  <c r="J114" i="9"/>
  <c r="J128" i="9"/>
  <c r="J462" i="9"/>
  <c r="J463" i="9"/>
  <c r="J464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241" i="9"/>
  <c r="J1354" i="9"/>
  <c r="J1355" i="9"/>
  <c r="J1522" i="9"/>
  <c r="J1559" i="9"/>
  <c r="J1803" i="9"/>
  <c r="J1884" i="9"/>
  <c r="J1885" i="9"/>
  <c r="J1891" i="9"/>
  <c r="J1921" i="9"/>
  <c r="J1936" i="9"/>
  <c r="J1937" i="9"/>
  <c r="J1951" i="9"/>
  <c r="J1952" i="9"/>
  <c r="J1975" i="9"/>
  <c r="J2100" i="9"/>
  <c r="J2132" i="9"/>
  <c r="J2161" i="9"/>
  <c r="J2296" i="9"/>
  <c r="J2301" i="9"/>
  <c r="J2511" i="9"/>
  <c r="J2623" i="9"/>
  <c r="J2624" i="9"/>
  <c r="J2732" i="9"/>
  <c r="J2845" i="9"/>
  <c r="J2847" i="9"/>
  <c r="J2942" i="9"/>
  <c r="J2957" i="9"/>
  <c r="J2958" i="9"/>
  <c r="J2999" i="9"/>
  <c r="J3012" i="9"/>
  <c r="J3029" i="9"/>
  <c r="J3108" i="9"/>
  <c r="J3116" i="9"/>
  <c r="J3117" i="9"/>
  <c r="J3135" i="9"/>
  <c r="J3170" i="9"/>
  <c r="J3188" i="9"/>
  <c r="J3315" i="9"/>
  <c r="J3316" i="9"/>
  <c r="J3455" i="9"/>
  <c r="J3530" i="9"/>
  <c r="J3596" i="9"/>
  <c r="J3597" i="9"/>
  <c r="J3598" i="9"/>
  <c r="J3599" i="9"/>
  <c r="J3633" i="9"/>
  <c r="J3757" i="9"/>
  <c r="J3791" i="9"/>
  <c r="J3897" i="9"/>
  <c r="J3898" i="9"/>
  <c r="J3967" i="9"/>
  <c r="J4222" i="9"/>
  <c r="J4223" i="9"/>
  <c r="J4224" i="9"/>
  <c r="J4339" i="9"/>
  <c r="J4340" i="9"/>
  <c r="J4341" i="9"/>
  <c r="J4350" i="9"/>
  <c r="J4432" i="9"/>
  <c r="J4433" i="9"/>
  <c r="J4434" i="9"/>
  <c r="J4543" i="9"/>
  <c r="J4582" i="9"/>
  <c r="J4675" i="9"/>
  <c r="J4687" i="9"/>
  <c r="J4691" i="9"/>
  <c r="J4797" i="9"/>
  <c r="J4837" i="9"/>
  <c r="J4838" i="9"/>
  <c r="J5179" i="9"/>
  <c r="J5290" i="9"/>
  <c r="J5306" i="9"/>
  <c r="J5333" i="9"/>
  <c r="J5334" i="9"/>
  <c r="J5335" i="9"/>
  <c r="J5460" i="9"/>
  <c r="J5482" i="9"/>
  <c r="J5487" i="9"/>
  <c r="J5514" i="9"/>
  <c r="J5517" i="9"/>
  <c r="J5554" i="9"/>
  <c r="J5555" i="9"/>
  <c r="J5591" i="9"/>
  <c r="J5606" i="9"/>
  <c r="J5607" i="9"/>
  <c r="J5669" i="9"/>
  <c r="J5746" i="9"/>
  <c r="J5830" i="9"/>
  <c r="J5851" i="9"/>
  <c r="J5871" i="9"/>
  <c r="J5889" i="9"/>
  <c r="J5992" i="9"/>
  <c r="J6029" i="9"/>
  <c r="J6223" i="9"/>
  <c r="J6293" i="9"/>
  <c r="J6306" i="9"/>
  <c r="J6307" i="9"/>
  <c r="J6332" i="9"/>
  <c r="J6382" i="9"/>
  <c r="J6410" i="9"/>
  <c r="J6425" i="9"/>
  <c r="J6457" i="9"/>
  <c r="J6458" i="9"/>
  <c r="J6464" i="9"/>
  <c r="J6650" i="9"/>
  <c r="J6740" i="9"/>
  <c r="J6744" i="9"/>
  <c r="J6963" i="9"/>
  <c r="J7018" i="9"/>
  <c r="J7066" i="9"/>
  <c r="J7067" i="9"/>
  <c r="J7137" i="9"/>
  <c r="J7156" i="9"/>
  <c r="J7181" i="9"/>
  <c r="J7211" i="9"/>
  <c r="J7271" i="9"/>
  <c r="J7288" i="9"/>
  <c r="J7319" i="9"/>
  <c r="J7345" i="9"/>
  <c r="J7669" i="9"/>
  <c r="J7670" i="9"/>
  <c r="J7696" i="9"/>
  <c r="J7716" i="9"/>
  <c r="J7744" i="9"/>
  <c r="J7763" i="9"/>
  <c r="J7791" i="9"/>
  <c r="J7869" i="9"/>
  <c r="J7887" i="9"/>
  <c r="J7936" i="9"/>
  <c r="J7968" i="9"/>
  <c r="J8037" i="9"/>
  <c r="J8074" i="9"/>
  <c r="J8088" i="9"/>
  <c r="J8095" i="9"/>
  <c r="J8183" i="9"/>
  <c r="J8240" i="9"/>
  <c r="J8270" i="9"/>
  <c r="J8385" i="9"/>
  <c r="J8513" i="9"/>
  <c r="J8547" i="9"/>
  <c r="J8626" i="9"/>
  <c r="J8834" i="9"/>
  <c r="J8878" i="9"/>
  <c r="J8893" i="9"/>
  <c r="J9252" i="9"/>
  <c r="J572" i="9"/>
  <c r="J568" i="9"/>
  <c r="J571" i="9"/>
  <c r="J569" i="9"/>
  <c r="J570" i="9"/>
  <c r="J3792" i="9"/>
  <c r="J3787" i="9"/>
  <c r="J4620" i="9"/>
  <c r="J4621" i="9"/>
  <c r="J5573" i="9"/>
  <c r="J421" i="9"/>
  <c r="J1300" i="9"/>
  <c r="J9010" i="9"/>
  <c r="J9011" i="9"/>
  <c r="J9006" i="9"/>
  <c r="J9012" i="9"/>
  <c r="J9018" i="9"/>
  <c r="J9014" i="9"/>
  <c r="J9016" i="9"/>
  <c r="J9008" i="9"/>
  <c r="J574" i="9"/>
  <c r="J577" i="9"/>
  <c r="J3805" i="9"/>
  <c r="J3794" i="9"/>
  <c r="J3802" i="9"/>
  <c r="J3796" i="9"/>
  <c r="J3803" i="9"/>
  <c r="J3795" i="9"/>
  <c r="J4626" i="9"/>
  <c r="J4624" i="9"/>
  <c r="J4627" i="9"/>
  <c r="J8990" i="9"/>
  <c r="J8988" i="9"/>
  <c r="J22" i="9"/>
  <c r="J27" i="9"/>
  <c r="J10" i="9"/>
  <c r="J23" i="9"/>
  <c r="J12" i="9"/>
  <c r="J25" i="9"/>
  <c r="J14" i="9"/>
  <c r="J19" i="9"/>
  <c r="J63" i="9"/>
  <c r="J1412" i="9"/>
  <c r="J1175" i="9"/>
  <c r="J4184" i="9"/>
  <c r="J2426" i="9"/>
  <c r="J75" i="9"/>
  <c r="J71" i="9"/>
  <c r="J77" i="9"/>
  <c r="J123" i="9"/>
  <c r="J125" i="9"/>
  <c r="J218" i="9"/>
  <c r="J215" i="9"/>
  <c r="J223" i="9"/>
  <c r="J322" i="9"/>
  <c r="J323" i="9"/>
  <c r="J324" i="9"/>
  <c r="J320" i="9"/>
  <c r="J317" i="9"/>
  <c r="J325" i="9"/>
  <c r="J438" i="9"/>
  <c r="J440" i="9"/>
  <c r="J443" i="9"/>
  <c r="J441" i="9"/>
  <c r="J439" i="9"/>
  <c r="J445" i="9"/>
  <c r="J1192" i="9"/>
  <c r="J1193" i="9"/>
  <c r="J1189" i="9"/>
  <c r="J1190" i="9"/>
  <c r="J1213" i="9"/>
  <c r="J2312" i="9"/>
  <c r="J2313" i="9"/>
  <c r="J2314" i="9"/>
  <c r="J2315" i="9"/>
  <c r="J2311" i="9"/>
  <c r="J1307" i="9"/>
  <c r="J1306" i="9"/>
  <c r="J1310" i="9"/>
  <c r="J1302" i="9"/>
  <c r="J1308" i="9"/>
  <c r="J1309" i="9"/>
  <c r="J1311" i="9"/>
  <c r="J2759" i="9"/>
  <c r="J2757" i="9"/>
  <c r="J7474" i="9"/>
  <c r="J7477" i="9"/>
  <c r="J90" i="9"/>
  <c r="J2158" i="9"/>
  <c r="J2157" i="9"/>
  <c r="J2153" i="9"/>
  <c r="J2154" i="9"/>
  <c r="J2771" i="9"/>
  <c r="J2775" i="9"/>
  <c r="J2779" i="9"/>
  <c r="J8827" i="9"/>
  <c r="J8824" i="9"/>
  <c r="J8828" i="9"/>
  <c r="J8829" i="9"/>
  <c r="J8821" i="9"/>
  <c r="J8830" i="9"/>
  <c r="J8831" i="9"/>
  <c r="J1859" i="9"/>
  <c r="J1861" i="9"/>
  <c r="J1862" i="9"/>
  <c r="J1711" i="9"/>
  <c r="J1712" i="9"/>
  <c r="J1756" i="9"/>
  <c r="J1754" i="9"/>
  <c r="J1757" i="9"/>
  <c r="J1755" i="9"/>
  <c r="J1758" i="9"/>
  <c r="J1759" i="9"/>
  <c r="J1866" i="9"/>
  <c r="J1867" i="9"/>
  <c r="J1969" i="9"/>
  <c r="J1983" i="9"/>
  <c r="J1984" i="9"/>
  <c r="J2012" i="9"/>
  <c r="J2039" i="9"/>
  <c r="J2034" i="9"/>
  <c r="J2035" i="9"/>
  <c r="J2040" i="9"/>
  <c r="J2030" i="9"/>
  <c r="J2036" i="9"/>
  <c r="J2041" i="9"/>
  <c r="J7113" i="9"/>
  <c r="J2522" i="9"/>
  <c r="J7917" i="9"/>
  <c r="J2519" i="9"/>
  <c r="J2521" i="9"/>
  <c r="J7920" i="9"/>
  <c r="J2744" i="9"/>
  <c r="J2748" i="9"/>
  <c r="J2745" i="9"/>
  <c r="J2881" i="9"/>
  <c r="J2878" i="9"/>
  <c r="J2883" i="9"/>
  <c r="J2882" i="9"/>
  <c r="J2887" i="9"/>
  <c r="J3041" i="9"/>
  <c r="J3042" i="9"/>
  <c r="J3037" i="9"/>
  <c r="J3052" i="9"/>
  <c r="J3053" i="9"/>
  <c r="J3044" i="9"/>
  <c r="J3045" i="9"/>
  <c r="J3049" i="9"/>
  <c r="J3054" i="9"/>
  <c r="J3088" i="9"/>
  <c r="J3149" i="9"/>
  <c r="J3559" i="9"/>
  <c r="J5042" i="9"/>
  <c r="J1396" i="9"/>
  <c r="J5039" i="9"/>
  <c r="J7338" i="9"/>
  <c r="J5043" i="9"/>
  <c r="J5045" i="9"/>
  <c r="J6716" i="9"/>
  <c r="J6710" i="9"/>
  <c r="J6713" i="9"/>
  <c r="J6714" i="9"/>
  <c r="J4357" i="9"/>
  <c r="J4361" i="9"/>
  <c r="J4359" i="9"/>
  <c r="J8441" i="9"/>
  <c r="J8436" i="9"/>
  <c r="J8442" i="9"/>
  <c r="J8439" i="9"/>
  <c r="J8435" i="9"/>
  <c r="J8429" i="9"/>
  <c r="J8432" i="9"/>
  <c r="J8433" i="9"/>
  <c r="J8430" i="9"/>
  <c r="J1692" i="9"/>
  <c r="J1395" i="9"/>
  <c r="J8954" i="9"/>
  <c r="J8956" i="9"/>
  <c r="J7365" i="9"/>
  <c r="J2268" i="9"/>
  <c r="J2279" i="9"/>
  <c r="J2280" i="9"/>
  <c r="J2281" i="9"/>
  <c r="J2271" i="9"/>
  <c r="J2276" i="9"/>
  <c r="J2286" i="9"/>
  <c r="J2284" i="9"/>
  <c r="J2282" i="9"/>
  <c r="J146" i="9"/>
  <c r="J147" i="9"/>
  <c r="J148" i="9"/>
  <c r="J6595" i="9"/>
  <c r="J7344" i="9"/>
  <c r="J7343" i="9"/>
  <c r="J7340" i="9"/>
  <c r="J5244" i="9"/>
  <c r="J3246" i="9"/>
  <c r="J4996" i="9"/>
  <c r="J4998" i="9"/>
  <c r="J4999" i="9"/>
  <c r="J2544" i="9"/>
  <c r="J2545" i="9"/>
  <c r="J2547" i="9"/>
  <c r="J2550" i="9"/>
  <c r="J2546" i="9"/>
  <c r="J6932" i="9"/>
  <c r="J1720" i="9"/>
  <c r="J1721" i="9"/>
  <c r="J1716" i="9"/>
  <c r="J5789" i="9"/>
  <c r="J5790" i="9"/>
  <c r="J5792" i="9"/>
  <c r="J5809" i="9"/>
  <c r="J5810" i="9"/>
  <c r="J5811" i="9"/>
  <c r="J5803" i="9"/>
  <c r="J5807" i="9"/>
  <c r="J5808" i="9"/>
  <c r="J7467" i="9"/>
  <c r="J7465" i="9"/>
  <c r="J3857" i="9"/>
  <c r="J3853" i="9"/>
  <c r="J3856" i="9"/>
  <c r="J7629" i="9"/>
  <c r="J7628" i="9"/>
  <c r="J7630" i="9"/>
  <c r="I525" i="9"/>
  <c r="I8579" i="9"/>
  <c r="I8578" i="9"/>
  <c r="I9020" i="9"/>
  <c r="I9010" i="9"/>
  <c r="I9019" i="9"/>
  <c r="I9011" i="9"/>
  <c r="I9017" i="9"/>
  <c r="I9006" i="9"/>
  <c r="I9015" i="9"/>
  <c r="I9012" i="9"/>
  <c r="I9013" i="9"/>
  <c r="I9018" i="9"/>
  <c r="I9007" i="9"/>
  <c r="I9014" i="9"/>
  <c r="I9004" i="9"/>
  <c r="I9016" i="9"/>
  <c r="I9003" i="9"/>
  <c r="I9008" i="9"/>
  <c r="I572" i="9"/>
  <c r="I568" i="9"/>
  <c r="I553" i="9"/>
  <c r="I571" i="9"/>
  <c r="I567" i="9"/>
  <c r="I574" i="9"/>
  <c r="I561" i="9"/>
  <c r="I577" i="9"/>
  <c r="I560" i="9"/>
  <c r="I569" i="9"/>
  <c r="I551" i="9"/>
  <c r="I555" i="9"/>
  <c r="I559" i="9"/>
  <c r="I565" i="9"/>
  <c r="I554" i="9"/>
  <c r="I562" i="9"/>
  <c r="I576" i="9"/>
  <c r="I563" i="9"/>
  <c r="I558" i="9"/>
  <c r="I564" i="9"/>
  <c r="I552" i="9"/>
  <c r="I566" i="9"/>
  <c r="I557" i="9"/>
  <c r="I570" i="9"/>
  <c r="I556" i="9"/>
  <c r="I3805" i="9"/>
  <c r="I3786" i="9"/>
  <c r="I3794" i="9"/>
  <c r="I3799" i="9"/>
  <c r="I3792" i="9"/>
  <c r="I3806" i="9"/>
  <c r="I3802" i="9"/>
  <c r="I3793" i="9"/>
  <c r="I3787" i="9"/>
  <c r="I3790" i="9"/>
  <c r="I3788" i="9"/>
  <c r="I3830" i="9"/>
  <c r="I3796" i="9"/>
  <c r="I3789" i="9"/>
  <c r="I3803" i="9"/>
  <c r="I3798" i="9"/>
  <c r="I3795" i="9"/>
  <c r="I4596" i="9"/>
  <c r="I4620" i="9"/>
  <c r="I4609" i="9"/>
  <c r="I4600" i="9"/>
  <c r="I4649" i="9"/>
  <c r="I4616" i="9"/>
  <c r="I4650" i="9"/>
  <c r="I4613" i="9"/>
  <c r="I4604" i="9"/>
  <c r="I4607" i="9"/>
  <c r="I4623" i="9"/>
  <c r="I4621" i="9"/>
  <c r="I4603" i="9"/>
  <c r="I4597" i="9"/>
  <c r="I4612" i="9"/>
  <c r="I4601" i="9"/>
  <c r="I4610" i="9"/>
  <c r="I4617" i="9"/>
  <c r="I4611" i="9"/>
  <c r="I4599" i="9"/>
  <c r="I4622" i="9"/>
  <c r="I4586" i="9"/>
  <c r="I4595" i="9"/>
  <c r="I4614" i="9"/>
  <c r="I4588" i="9"/>
  <c r="I4626" i="9"/>
  <c r="I4619" i="9"/>
  <c r="I4585" i="9"/>
  <c r="I4594" i="9"/>
  <c r="I4605" i="9"/>
  <c r="I4590" i="9"/>
  <c r="I4606" i="9"/>
  <c r="I4593" i="9"/>
  <c r="I4624" i="9"/>
  <c r="I4618" i="9"/>
  <c r="I4591" i="9"/>
  <c r="I4628" i="9"/>
  <c r="I4615" i="9"/>
  <c r="I4625" i="9"/>
  <c r="I4598" i="9"/>
  <c r="I4592" i="9"/>
  <c r="I4608" i="9"/>
  <c r="I4589" i="9"/>
  <c r="I4627" i="9"/>
  <c r="I4587" i="9"/>
  <c r="I4602" i="9"/>
  <c r="I5572" i="9"/>
  <c r="I5573" i="9"/>
  <c r="I8989" i="9"/>
  <c r="I8990" i="9"/>
  <c r="I8991" i="9"/>
  <c r="I8986" i="9"/>
  <c r="I8987" i="9"/>
  <c r="I8988" i="9"/>
  <c r="I21" i="9"/>
  <c r="I22" i="9"/>
  <c r="I20" i="9"/>
  <c r="I27" i="9"/>
  <c r="I8" i="9"/>
  <c r="I10" i="9"/>
  <c r="I15" i="9"/>
  <c r="I23" i="9"/>
  <c r="I9" i="9"/>
  <c r="I12" i="9"/>
  <c r="I13" i="9"/>
  <c r="I25" i="9"/>
  <c r="I16" i="9"/>
  <c r="I14" i="9"/>
  <c r="I26" i="9"/>
  <c r="I19" i="9"/>
  <c r="I11" i="9"/>
  <c r="I63" i="9"/>
  <c r="I2424" i="9"/>
  <c r="I1412" i="9"/>
  <c r="I6139" i="9"/>
  <c r="I1175" i="9"/>
  <c r="I2425" i="9"/>
  <c r="I2422" i="9"/>
  <c r="I2423" i="9"/>
  <c r="I4184" i="9"/>
  <c r="I6931" i="9"/>
  <c r="I2426" i="9"/>
  <c r="I3852" i="9"/>
  <c r="I62" i="9"/>
  <c r="I61" i="9"/>
  <c r="I75" i="9"/>
  <c r="I72" i="9"/>
  <c r="I71" i="9"/>
  <c r="I76" i="9"/>
  <c r="I77" i="9"/>
  <c r="I112" i="9"/>
  <c r="I123" i="9"/>
  <c r="I124" i="9"/>
  <c r="I125" i="9"/>
  <c r="I206" i="9"/>
  <c r="I207" i="9"/>
  <c r="I205" i="9"/>
  <c r="I209" i="9"/>
  <c r="I201" i="9"/>
  <c r="I202" i="9"/>
  <c r="I210" i="9"/>
  <c r="I203" i="9"/>
  <c r="I204" i="9"/>
  <c r="I208" i="9"/>
  <c r="I220" i="9"/>
  <c r="I218" i="9"/>
  <c r="I219" i="9"/>
  <c r="I215" i="9"/>
  <c r="I222" i="9"/>
  <c r="I223" i="9"/>
  <c r="I217" i="9"/>
  <c r="I322" i="9"/>
  <c r="I319" i="9"/>
  <c r="I307" i="9"/>
  <c r="I321" i="9"/>
  <c r="I323" i="9"/>
  <c r="I315" i="9"/>
  <c r="I324" i="9"/>
  <c r="I308" i="9"/>
  <c r="I320" i="9"/>
  <c r="I312" i="9"/>
  <c r="I310" i="9"/>
  <c r="I314" i="9"/>
  <c r="I309" i="9"/>
  <c r="I316" i="9"/>
  <c r="I313" i="9"/>
  <c r="I311" i="9"/>
  <c r="I317" i="9"/>
  <c r="I318" i="9"/>
  <c r="I325" i="9"/>
  <c r="I415" i="9"/>
  <c r="I418" i="9"/>
  <c r="I414" i="9"/>
  <c r="I413" i="9"/>
  <c r="I420" i="9"/>
  <c r="I421" i="9"/>
  <c r="I417" i="9"/>
  <c r="I412" i="9"/>
  <c r="I416" i="9"/>
  <c r="I419" i="9"/>
  <c r="I442" i="9"/>
  <c r="I438" i="9"/>
  <c r="I437" i="9"/>
  <c r="I440" i="9"/>
  <c r="I435" i="9"/>
  <c r="I443" i="9"/>
  <c r="I444" i="9"/>
  <c r="I431" i="9"/>
  <c r="I430" i="9"/>
  <c r="I426" i="9"/>
  <c r="I434" i="9"/>
  <c r="I424" i="9"/>
  <c r="I429" i="9"/>
  <c r="I441" i="9"/>
  <c r="I433" i="9"/>
  <c r="I427" i="9"/>
  <c r="I425" i="9"/>
  <c r="I439" i="9"/>
  <c r="I436" i="9"/>
  <c r="I445" i="9"/>
  <c r="I428" i="9"/>
  <c r="I432" i="9"/>
  <c r="I1286" i="9"/>
  <c r="I1192" i="9"/>
  <c r="I1194" i="9"/>
  <c r="I1193" i="9"/>
  <c r="I1191" i="9"/>
  <c r="I1189" i="9"/>
  <c r="I1188" i="9"/>
  <c r="I1190" i="9"/>
  <c r="I1214" i="9"/>
  <c r="I1212" i="9"/>
  <c r="I1218" i="9"/>
  <c r="I1213" i="9"/>
  <c r="I1210" i="9"/>
  <c r="I2312" i="9"/>
  <c r="I2318" i="9"/>
  <c r="I2313" i="9"/>
  <c r="I2316" i="9"/>
  <c r="I2314" i="9"/>
  <c r="I2310" i="9"/>
  <c r="I2315" i="9"/>
  <c r="I2317" i="9"/>
  <c r="I2311" i="9"/>
  <c r="I2309" i="9"/>
  <c r="I1307" i="9"/>
  <c r="I1304" i="9"/>
  <c r="I1306" i="9"/>
  <c r="I1298" i="9"/>
  <c r="I1310" i="9"/>
  <c r="I1297" i="9"/>
  <c r="I1302" i="9"/>
  <c r="I1301" i="9"/>
  <c r="I1308" i="9"/>
  <c r="I1305" i="9"/>
  <c r="I1309" i="9"/>
  <c r="I1299" i="9"/>
  <c r="I1300" i="9"/>
  <c r="I1303" i="9"/>
  <c r="I1311" i="9"/>
  <c r="I2760" i="9"/>
  <c r="I2759" i="9"/>
  <c r="I2758" i="9"/>
  <c r="I2757" i="9"/>
  <c r="I7475" i="9"/>
  <c r="I7474" i="9"/>
  <c r="I7476" i="9"/>
  <c r="I7477" i="9"/>
  <c r="I7478" i="9"/>
  <c r="I89" i="9"/>
  <c r="I86" i="9"/>
  <c r="I87" i="9"/>
  <c r="I88" i="9"/>
  <c r="I90" i="9"/>
  <c r="I2145" i="9"/>
  <c r="I2151" i="9"/>
  <c r="I2155" i="9"/>
  <c r="I2148" i="9"/>
  <c r="I2152" i="9"/>
  <c r="I2158" i="9"/>
  <c r="I2150" i="9"/>
  <c r="I2157" i="9"/>
  <c r="I2146" i="9"/>
  <c r="I2149" i="9"/>
  <c r="I2143" i="9"/>
  <c r="I2153" i="9"/>
  <c r="I2144" i="9"/>
  <c r="I2154" i="9"/>
  <c r="I2142" i="9"/>
  <c r="I2147" i="9"/>
  <c r="I2156" i="9"/>
  <c r="I2475" i="9"/>
  <c r="I2474" i="9"/>
  <c r="I2771" i="9"/>
  <c r="I2773" i="9"/>
  <c r="I2768" i="9"/>
  <c r="I2772" i="9"/>
  <c r="I2775" i="9"/>
  <c r="I2774" i="9"/>
  <c r="I2767" i="9"/>
  <c r="I2769" i="9"/>
  <c r="I2770" i="9"/>
  <c r="I2766" i="9"/>
  <c r="I2779" i="9"/>
  <c r="I2778" i="9"/>
  <c r="I8827" i="9"/>
  <c r="I8832" i="9"/>
  <c r="I8824" i="9"/>
  <c r="I8826" i="9"/>
  <c r="I8828" i="9"/>
  <c r="I8820" i="9"/>
  <c r="I8829" i="9"/>
  <c r="I8822" i="9"/>
  <c r="I8821" i="9"/>
  <c r="I8825" i="9"/>
  <c r="I8830" i="9"/>
  <c r="I8823" i="9"/>
  <c r="I8831" i="9"/>
  <c r="I1860" i="9"/>
  <c r="I1859" i="9"/>
  <c r="I1858" i="9"/>
  <c r="I1861" i="9"/>
  <c r="I1857" i="9"/>
  <c r="I1862" i="9"/>
  <c r="I1714" i="9"/>
  <c r="I1711" i="9"/>
  <c r="I1706" i="9"/>
  <c r="I1695" i="9"/>
  <c r="I1710" i="9"/>
  <c r="I1699" i="9"/>
  <c r="I1704" i="9"/>
  <c r="I1712" i="9"/>
  <c r="I1698" i="9"/>
  <c r="I1707" i="9"/>
  <c r="I1705" i="9"/>
  <c r="I1693" i="9"/>
  <c r="I1709" i="9"/>
  <c r="I1708" i="9"/>
  <c r="I1700" i="9"/>
  <c r="I1697" i="9"/>
  <c r="I1696" i="9"/>
  <c r="I1701" i="9"/>
  <c r="I1713" i="9"/>
  <c r="I1702" i="9"/>
  <c r="I1703" i="9"/>
  <c r="I1694" i="9"/>
  <c r="I1761" i="9"/>
  <c r="I1756" i="9"/>
  <c r="I1753" i="9"/>
  <c r="I1748" i="9"/>
  <c r="I1743" i="9"/>
  <c r="I1751" i="9"/>
  <c r="I1742" i="9"/>
  <c r="I1754" i="9"/>
  <c r="I1747" i="9"/>
  <c r="I1744" i="9"/>
  <c r="I1750" i="9"/>
  <c r="I1757" i="9"/>
  <c r="I1760" i="9"/>
  <c r="I1755" i="9"/>
  <c r="I1741" i="9"/>
  <c r="I1749" i="9"/>
  <c r="I1740" i="9"/>
  <c r="I1758" i="9"/>
  <c r="I1746" i="9"/>
  <c r="I1759" i="9"/>
  <c r="I1752" i="9"/>
  <c r="I1745" i="9"/>
  <c r="I1865" i="9"/>
  <c r="I1866" i="9"/>
  <c r="I1864" i="9"/>
  <c r="I1867" i="9"/>
  <c r="I1863" i="9"/>
  <c r="I1963" i="9"/>
  <c r="I1966" i="9"/>
  <c r="I1969" i="9"/>
  <c r="I1960" i="9"/>
  <c r="I1961" i="9"/>
  <c r="I1962" i="9"/>
  <c r="I1967" i="9"/>
  <c r="I1959" i="9"/>
  <c r="I1968" i="9"/>
  <c r="I1964" i="9"/>
  <c r="I1965" i="9"/>
  <c r="I1982" i="9"/>
  <c r="I1983" i="9"/>
  <c r="I1981" i="9"/>
  <c r="I1984" i="9"/>
  <c r="I2010" i="9"/>
  <c r="I2012" i="9"/>
  <c r="I2009" i="9"/>
  <c r="I2008" i="9"/>
  <c r="I2011" i="9"/>
  <c r="I2039" i="9"/>
  <c r="I2032" i="9"/>
  <c r="I2034" i="9"/>
  <c r="I2043" i="9"/>
  <c r="I2035" i="9"/>
  <c r="I2031" i="9"/>
  <c r="I2040" i="9"/>
  <c r="I2042" i="9"/>
  <c r="I2030" i="9"/>
  <c r="I2038" i="9"/>
  <c r="I2036" i="9"/>
  <c r="I2037" i="9"/>
  <c r="I2041" i="9"/>
  <c r="I2260" i="9"/>
  <c r="I7113" i="9"/>
  <c r="I2259" i="9"/>
  <c r="I345" i="9"/>
  <c r="I344" i="9"/>
  <c r="I342" i="9"/>
  <c r="I343" i="9"/>
  <c r="I341" i="9"/>
  <c r="I7919" i="9"/>
  <c r="I2522" i="9"/>
  <c r="I2520" i="9"/>
  <c r="I7917" i="9"/>
  <c r="I4321" i="9"/>
  <c r="I2519" i="9"/>
  <c r="I7916" i="9"/>
  <c r="I7915" i="9"/>
  <c r="I2518" i="9"/>
  <c r="I2521" i="9"/>
  <c r="I7918" i="9"/>
  <c r="I7920" i="9"/>
  <c r="I2743" i="9"/>
  <c r="I2744" i="9"/>
  <c r="I2747" i="9"/>
  <c r="I2748" i="9"/>
  <c r="I2749" i="9"/>
  <c r="I2745" i="9"/>
  <c r="I2746" i="9"/>
  <c r="I2797" i="9"/>
  <c r="I2792" i="9"/>
  <c r="I2795" i="9"/>
  <c r="I2793" i="9"/>
  <c r="I2794" i="9"/>
  <c r="I2796" i="9"/>
  <c r="I2881" i="9"/>
  <c r="I2884" i="9"/>
  <c r="I2878" i="9"/>
  <c r="I2880" i="9"/>
  <c r="I2883" i="9"/>
  <c r="I2877" i="9"/>
  <c r="I2882" i="9"/>
  <c r="I2879" i="9"/>
  <c r="I2887" i="9"/>
  <c r="I3043" i="9"/>
  <c r="I3041" i="9"/>
  <c r="I3040" i="9"/>
  <c r="I3042" i="9"/>
  <c r="I3039" i="9"/>
  <c r="I3037" i="9"/>
  <c r="I3038" i="9"/>
  <c r="I3052" i="9"/>
  <c r="I3051" i="9"/>
  <c r="I3053" i="9"/>
  <c r="I3048" i="9"/>
  <c r="I3044" i="9"/>
  <c r="I3055" i="9"/>
  <c r="I3045" i="9"/>
  <c r="I3050" i="9"/>
  <c r="I3049" i="9"/>
  <c r="I3047" i="9"/>
  <c r="I3054" i="9"/>
  <c r="I3046" i="9"/>
  <c r="I3088" i="9"/>
  <c r="I3151" i="9"/>
  <c r="I3149" i="9"/>
  <c r="I3146" i="9"/>
  <c r="I3147" i="9"/>
  <c r="I3148" i="9"/>
  <c r="I3407" i="9"/>
  <c r="I3406" i="9"/>
  <c r="I3410" i="9"/>
  <c r="I3409" i="9"/>
  <c r="I3408" i="9"/>
  <c r="I3411" i="9"/>
  <c r="I3559" i="9"/>
  <c r="I3560" i="9"/>
  <c r="I5042" i="9"/>
  <c r="I5044" i="9"/>
  <c r="I1396" i="9"/>
  <c r="I5047" i="9"/>
  <c r="I5039" i="9"/>
  <c r="I5046" i="9"/>
  <c r="I7338" i="9"/>
  <c r="I5041" i="9"/>
  <c r="I5043" i="9"/>
  <c r="I5040" i="9"/>
  <c r="I5045" i="9"/>
  <c r="I6709" i="9"/>
  <c r="I6716" i="9"/>
  <c r="I6708" i="9"/>
  <c r="I6710" i="9"/>
  <c r="I6712" i="9"/>
  <c r="I6713" i="9"/>
  <c r="I6711" i="9"/>
  <c r="I6714" i="9"/>
  <c r="I6715" i="9"/>
  <c r="I4357" i="9"/>
  <c r="I4358" i="9"/>
  <c r="I4361" i="9"/>
  <c r="I4356" i="9"/>
  <c r="I4359" i="9"/>
  <c r="I4360" i="9"/>
  <c r="I8441" i="9"/>
  <c r="I8431" i="9"/>
  <c r="I8436" i="9"/>
  <c r="I8428" i="9"/>
  <c r="I8442" i="9"/>
  <c r="I8423" i="9"/>
  <c r="I8439" i="9"/>
  <c r="I8438" i="9"/>
  <c r="I8435" i="9"/>
  <c r="I8440" i="9"/>
  <c r="I8429" i="9"/>
  <c r="I8424" i="9"/>
  <c r="I8432" i="9"/>
  <c r="I8427" i="9"/>
  <c r="I8433" i="9"/>
  <c r="I8425" i="9"/>
  <c r="I8421" i="9"/>
  <c r="I8437" i="9"/>
  <c r="I8430" i="9"/>
  <c r="I8434" i="9"/>
  <c r="I8422" i="9"/>
  <c r="I8426" i="9"/>
  <c r="I1692" i="9"/>
  <c r="I1394" i="9"/>
  <c r="I1395" i="9"/>
  <c r="I8955" i="9"/>
  <c r="I8954" i="9"/>
  <c r="I8953" i="9"/>
  <c r="I8956" i="9"/>
  <c r="I8957" i="9"/>
  <c r="I7365" i="9"/>
  <c r="I7364" i="9"/>
  <c r="I2268" i="9"/>
  <c r="I2285" i="9"/>
  <c r="I2279" i="9"/>
  <c r="I2275" i="9"/>
  <c r="I2280" i="9"/>
  <c r="I2270" i="9"/>
  <c r="I2281" i="9"/>
  <c r="I2266" i="9"/>
  <c r="I2271" i="9"/>
  <c r="I2283" i="9"/>
  <c r="I2276" i="9"/>
  <c r="I2274" i="9"/>
  <c r="I2286" i="9"/>
  <c r="I2278" i="9"/>
  <c r="I2284" i="9"/>
  <c r="I2273" i="9"/>
  <c r="I2282" i="9"/>
  <c r="I2277" i="9"/>
  <c r="I2262" i="9"/>
  <c r="I2264" i="9"/>
  <c r="I2261" i="9"/>
  <c r="I2269" i="9"/>
  <c r="I2263" i="9"/>
  <c r="I2267" i="9"/>
  <c r="I2265" i="9"/>
  <c r="I2272" i="9"/>
  <c r="I146" i="9"/>
  <c r="I149" i="9"/>
  <c r="I147" i="9"/>
  <c r="I143" i="9"/>
  <c r="I148" i="9"/>
  <c r="I142" i="9"/>
  <c r="I6595" i="9"/>
  <c r="I7342" i="9"/>
  <c r="I7344" i="9"/>
  <c r="I7339" i="9"/>
  <c r="I7343" i="9"/>
  <c r="I7341" i="9"/>
  <c r="I7340" i="9"/>
  <c r="I5245" i="9"/>
  <c r="I5244" i="9"/>
  <c r="I3247" i="9"/>
  <c r="I3246" i="9"/>
  <c r="I4995" i="9"/>
  <c r="I4996" i="9"/>
  <c r="I4994" i="9"/>
  <c r="I4998" i="9"/>
  <c r="I4993" i="9"/>
  <c r="I4999" i="9"/>
  <c r="I4997" i="9"/>
  <c r="I2534" i="9"/>
  <c r="I2551" i="9"/>
  <c r="I2528" i="9"/>
  <c r="I2537" i="9"/>
  <c r="I2544" i="9"/>
  <c r="I2536" i="9"/>
  <c r="I2545" i="9"/>
  <c r="I2542" i="9"/>
  <c r="I2547" i="9"/>
  <c r="I2540" i="9"/>
  <c r="I2550" i="9"/>
  <c r="I2527" i="9"/>
  <c r="I2535" i="9"/>
  <c r="I2541" i="9"/>
  <c r="I2531" i="9"/>
  <c r="I2533" i="9"/>
  <c r="I2530" i="9"/>
  <c r="I2548" i="9"/>
  <c r="I2529" i="9"/>
  <c r="I2549" i="9"/>
  <c r="I2546" i="9"/>
  <c r="I2543" i="9"/>
  <c r="I2538" i="9"/>
  <c r="I2532" i="9"/>
  <c r="I2539" i="9"/>
  <c r="I2258" i="9"/>
  <c r="I6932" i="9"/>
  <c r="I1719" i="9"/>
  <c r="I1720" i="9"/>
  <c r="I1718" i="9"/>
  <c r="I1721" i="9"/>
  <c r="I1717" i="9"/>
  <c r="I1716" i="9"/>
  <c r="I5788" i="9"/>
  <c r="I5789" i="9"/>
  <c r="I5785" i="9"/>
  <c r="I5783" i="9"/>
  <c r="I5780" i="9"/>
  <c r="I5786" i="9"/>
  <c r="I5787" i="9"/>
  <c r="I5791" i="9"/>
  <c r="I5782" i="9"/>
  <c r="I5784" i="9"/>
  <c r="I5790" i="9"/>
  <c r="I5781" i="9"/>
  <c r="I5792" i="9"/>
  <c r="I5805" i="9"/>
  <c r="I5809" i="9"/>
  <c r="I5813" i="9"/>
  <c r="I5810" i="9"/>
  <c r="I5812" i="9"/>
  <c r="I5799" i="9"/>
  <c r="I5801" i="9"/>
  <c r="I5811" i="9"/>
  <c r="I5800" i="9"/>
  <c r="I5803" i="9"/>
  <c r="I5802" i="9"/>
  <c r="I5807" i="9"/>
  <c r="I5806" i="9"/>
  <c r="I5808" i="9"/>
  <c r="I5804" i="9"/>
  <c r="I7467" i="9"/>
  <c r="I7466" i="9"/>
  <c r="I7465" i="9"/>
  <c r="I7468" i="9"/>
  <c r="I3857" i="9"/>
  <c r="I3854" i="9"/>
  <c r="I3853" i="9"/>
  <c r="I3855" i="9"/>
  <c r="I3856" i="9"/>
  <c r="I7632" i="9"/>
  <c r="I7629" i="9"/>
  <c r="I7631" i="9"/>
  <c r="I7628" i="9"/>
  <c r="I7627" i="9"/>
  <c r="I7630" i="9"/>
  <c r="E1350" i="3"/>
  <c r="E1411" i="3"/>
  <c r="E1163" i="3"/>
  <c r="E1351" i="3"/>
  <c r="E1352" i="3"/>
  <c r="E1476" i="3"/>
  <c r="E1229" i="3"/>
  <c r="E1447" i="3"/>
  <c r="E1477" i="3"/>
  <c r="E1412" i="3"/>
  <c r="E1448" i="3"/>
  <c r="E1002" i="3"/>
  <c r="E1035" i="3"/>
  <c r="E1132" i="3"/>
  <c r="E1003" i="3"/>
  <c r="E1011" i="3"/>
  <c r="E1413" i="3"/>
  <c r="E1353" i="3"/>
  <c r="E1055" i="3"/>
  <c r="E1354" i="3"/>
  <c r="E1230" i="3"/>
  <c r="E1291" i="3"/>
  <c r="E1355" i="3"/>
  <c r="E1490" i="3"/>
  <c r="E1414" i="3"/>
  <c r="E1133" i="3"/>
  <c r="E1231" i="3"/>
  <c r="E1232" i="3"/>
  <c r="E1356" i="3"/>
  <c r="E1036" i="3"/>
  <c r="E1015" i="3"/>
  <c r="E1134" i="3"/>
  <c r="E1056" i="3"/>
  <c r="E1164" i="3"/>
  <c r="E1449" i="3"/>
  <c r="E1135" i="3"/>
  <c r="E1057" i="3"/>
  <c r="E1233" i="3"/>
  <c r="E1357" i="3"/>
  <c r="E1088" i="3"/>
  <c r="E1089" i="3"/>
  <c r="E1292" i="3"/>
  <c r="E1491" i="3"/>
  <c r="E1358" i="3"/>
  <c r="E1016" i="3"/>
  <c r="E1234" i="3"/>
  <c r="E1450" i="3"/>
  <c r="E1478" i="3"/>
  <c r="E1479" i="3"/>
  <c r="E1293" i="3"/>
  <c r="E1294" i="3"/>
  <c r="E1235" i="3"/>
  <c r="E1359" i="3"/>
  <c r="E1295" i="3"/>
  <c r="E1296" i="3"/>
  <c r="E1415" i="3"/>
  <c r="E1416" i="3"/>
  <c r="E1236" i="3"/>
  <c r="E1480" i="3"/>
  <c r="E1037" i="3"/>
  <c r="E1360" i="3"/>
  <c r="E1417" i="3"/>
  <c r="E1165" i="3"/>
  <c r="E1090" i="3"/>
  <c r="E1004" i="3"/>
  <c r="E1058" i="3"/>
  <c r="E1418" i="3"/>
  <c r="E1361" i="3"/>
  <c r="E1059" i="3"/>
  <c r="E1166" i="3"/>
  <c r="E998" i="3"/>
  <c r="E993" i="3"/>
  <c r="E1237" i="3"/>
  <c r="E1362" i="3"/>
  <c r="E1005" i="3"/>
  <c r="E1419" i="3"/>
  <c r="E1297" i="3"/>
  <c r="E1363" i="3"/>
  <c r="E1136" i="3"/>
  <c r="E1298" i="3"/>
  <c r="E1420" i="3"/>
  <c r="E1364" i="3"/>
  <c r="E1299" i="3"/>
  <c r="E1451" i="3"/>
  <c r="E1452" i="3"/>
  <c r="E1300" i="3"/>
  <c r="E1421" i="3"/>
  <c r="E1012" i="3"/>
  <c r="E1038" i="3"/>
  <c r="E1453" i="3"/>
  <c r="E2466" i="3"/>
  <c r="I6022" i="9"/>
  <c r="I8609" i="9"/>
  <c r="I1471" i="9"/>
  <c r="I1579" i="9"/>
  <c r="I5928" i="9"/>
  <c r="I7065" i="9"/>
  <c r="I7066" i="9"/>
  <c r="I7867" i="9"/>
  <c r="I1222" i="9"/>
  <c r="E1474" i="3"/>
  <c r="E1276" i="3"/>
  <c r="E1405" i="3"/>
  <c r="E1083" i="3"/>
  <c r="E1406" i="3"/>
  <c r="E1407" i="3"/>
  <c r="E1124" i="3"/>
  <c r="E1024" i="3"/>
  <c r="E1156" i="3"/>
  <c r="E1443" i="3"/>
  <c r="E1342" i="3"/>
  <c r="E1218" i="3"/>
  <c r="E1219" i="3"/>
  <c r="E1013" i="3"/>
  <c r="E1277" i="3"/>
  <c r="E1475" i="3"/>
  <c r="E1408" i="3"/>
  <c r="E1220" i="3"/>
  <c r="E1084" i="3"/>
  <c r="E1221" i="3"/>
  <c r="E1278" i="3"/>
  <c r="E1279" i="3"/>
  <c r="E1125" i="3"/>
  <c r="E1157" i="3"/>
  <c r="E1085" i="3"/>
  <c r="E1126" i="3"/>
  <c r="E1343" i="3"/>
  <c r="E1444" i="3"/>
  <c r="E1158" i="3"/>
  <c r="E1280" i="3"/>
  <c r="E1281" i="3"/>
  <c r="E1282" i="3"/>
  <c r="E1159" i="3"/>
  <c r="E1127" i="3"/>
  <c r="E1033" i="3"/>
  <c r="E1344" i="3"/>
  <c r="E1345" i="3"/>
  <c r="E1009" i="3"/>
  <c r="E1409" i="3"/>
  <c r="E1160" i="3"/>
  <c r="E1222" i="3"/>
  <c r="E1223" i="3"/>
  <c r="E1346" i="3"/>
  <c r="E1128" i="3"/>
  <c r="E1050" i="3"/>
  <c r="E1224" i="3"/>
  <c r="E1014" i="3"/>
  <c r="E1225" i="3"/>
  <c r="E1051" i="3"/>
  <c r="E1161" i="3"/>
  <c r="E1445" i="3"/>
  <c r="E1283" i="3"/>
  <c r="E1347" i="3"/>
  <c r="E1052" i="3"/>
  <c r="E1284" i="3"/>
  <c r="E1285" i="3"/>
  <c r="E1286" i="3"/>
  <c r="E1442" i="3"/>
  <c r="I8196" i="9"/>
  <c r="E1152" i="3"/>
  <c r="E1077" i="3"/>
  <c r="E1078" i="3"/>
  <c r="E1331" i="3"/>
  <c r="E1332" i="3"/>
  <c r="E1400" i="3"/>
  <c r="E1079" i="3"/>
  <c r="E1436" i="3"/>
  <c r="E1208" i="3"/>
  <c r="E1437" i="3"/>
  <c r="E1438" i="3"/>
  <c r="E1044" i="3"/>
  <c r="E1470" i="3"/>
  <c r="E1080" i="3"/>
  <c r="E1268" i="3"/>
  <c r="E1153" i="3"/>
  <c r="E1401" i="3"/>
  <c r="E1471" i="3"/>
  <c r="E1032" i="3"/>
  <c r="E1209" i="3"/>
  <c r="E1210" i="3"/>
  <c r="E1045" i="3"/>
  <c r="E1118" i="3"/>
  <c r="E1211" i="3"/>
  <c r="E1119" i="3"/>
  <c r="E1120" i="3"/>
  <c r="E1333" i="3"/>
  <c r="E1269" i="3"/>
  <c r="E1334" i="3"/>
  <c r="E1212" i="3"/>
  <c r="E1213" i="3"/>
  <c r="E1154" i="3"/>
  <c r="E1214" i="3"/>
  <c r="E1402" i="3"/>
  <c r="E1008" i="3"/>
  <c r="E1215" i="3"/>
  <c r="E1335" i="3"/>
  <c r="E6" i="3"/>
  <c r="E1403" i="3"/>
  <c r="E1270" i="3"/>
  <c r="E1081" i="3"/>
  <c r="E1271" i="3"/>
  <c r="E1155" i="3"/>
  <c r="E1121" i="3"/>
  <c r="E1272" i="3"/>
  <c r="E1472" i="3"/>
  <c r="E1439" i="3"/>
  <c r="E1336" i="3"/>
  <c r="E1440" i="3"/>
  <c r="E1046" i="3"/>
  <c r="E1337" i="3"/>
  <c r="E1082" i="3"/>
  <c r="E1473" i="3"/>
  <c r="E1047" i="3"/>
  <c r="E1273" i="3"/>
  <c r="E1338" i="3"/>
  <c r="E1216" i="3"/>
  <c r="E1122" i="3"/>
  <c r="E1048" i="3"/>
  <c r="E1274" i="3"/>
  <c r="E1441" i="3"/>
  <c r="E1275" i="3"/>
  <c r="E1049" i="3"/>
  <c r="E1339" i="3"/>
  <c r="E1217" i="3"/>
  <c r="E1404" i="3"/>
  <c r="E1340" i="3"/>
  <c r="E1341" i="3"/>
  <c r="A8222" i="9"/>
  <c r="A5506" i="9"/>
  <c r="A5505" i="9"/>
  <c r="A1792" i="9"/>
  <c r="A9297" i="9"/>
  <c r="A7786" i="9"/>
  <c r="A4571" i="9"/>
  <c r="A5904" i="9"/>
  <c r="A5903" i="9"/>
  <c r="A5902" i="9"/>
  <c r="A5901" i="9"/>
  <c r="A5900" i="9"/>
  <c r="A5899" i="9"/>
  <c r="A5508" i="9"/>
  <c r="A5504" i="9"/>
  <c r="A1989" i="9"/>
  <c r="A1409" i="9"/>
  <c r="A8806" i="9"/>
  <c r="A3936" i="9"/>
  <c r="A3892" i="9"/>
  <c r="A1791" i="9"/>
  <c r="A1790" i="9"/>
  <c r="A1789" i="9"/>
  <c r="A533" i="9"/>
  <c r="A2117" i="9"/>
  <c r="A5596" i="9"/>
  <c r="A5503" i="9"/>
  <c r="A5441" i="9"/>
  <c r="A3649" i="9"/>
  <c r="A8874" i="9"/>
  <c r="A2129" i="9"/>
  <c r="I6628" i="9"/>
  <c r="I6629" i="9"/>
  <c r="E1086" i="3"/>
  <c r="E1053" i="3"/>
  <c r="E1349" i="3"/>
  <c r="E1034" i="3"/>
  <c r="E1287" i="3"/>
  <c r="E1054" i="3"/>
  <c r="E1288" i="3"/>
  <c r="E1289" i="3"/>
  <c r="E983" i="3"/>
  <c r="E1290" i="3"/>
  <c r="E1446" i="3"/>
  <c r="E1226" i="3"/>
  <c r="E1129" i="3"/>
  <c r="E1227" i="3"/>
  <c r="E1130" i="3"/>
  <c r="E1087" i="3"/>
  <c r="E1228" i="3"/>
  <c r="E1010" i="3"/>
  <c r="E1410" i="3"/>
  <c r="E1131" i="3"/>
  <c r="E1162" i="3"/>
  <c r="I106" i="9"/>
  <c r="I7503" i="9"/>
  <c r="I7501" i="9"/>
  <c r="I7502" i="9"/>
  <c r="I7504" i="9"/>
  <c r="I4437" i="9"/>
  <c r="I4463" i="9"/>
  <c r="I4428" i="9"/>
  <c r="I4462" i="9"/>
  <c r="I4454" i="9"/>
  <c r="I3730" i="9"/>
  <c r="I4426" i="9"/>
  <c r="I9025" i="9"/>
  <c r="I9028" i="9"/>
  <c r="I9029" i="9"/>
  <c r="I9023" i="9"/>
  <c r="I4425" i="9"/>
  <c r="I4431" i="9"/>
  <c r="I2227" i="9"/>
  <c r="I2226" i="9"/>
  <c r="I2225" i="9"/>
  <c r="I2224" i="9"/>
  <c r="I4436" i="9"/>
  <c r="I4435" i="9"/>
  <c r="I9237" i="9"/>
  <c r="I4453" i="9"/>
  <c r="I5340" i="9"/>
  <c r="I5327" i="9"/>
  <c r="I5326" i="9"/>
  <c r="I5325" i="9"/>
  <c r="I5324" i="9"/>
  <c r="I4452" i="9"/>
  <c r="I7507" i="9"/>
  <c r="I7505" i="9"/>
  <c r="I7500" i="9"/>
  <c r="I4236" i="9"/>
  <c r="I4244" i="9"/>
  <c r="I4235" i="9"/>
  <c r="I4234" i="9"/>
  <c r="I4444" i="9"/>
  <c r="I5332" i="9"/>
  <c r="I5331" i="9"/>
  <c r="I5330" i="9"/>
  <c r="I5336" i="9"/>
  <c r="I9026" i="9"/>
  <c r="I9027" i="9"/>
  <c r="I9024" i="9"/>
  <c r="I4430" i="9"/>
  <c r="I4424" i="9"/>
  <c r="I4423" i="9"/>
  <c r="I7653" i="9"/>
  <c r="I4451" i="9"/>
  <c r="I5347" i="9"/>
  <c r="I5346" i="9"/>
  <c r="I3732" i="9"/>
  <c r="I3738" i="9"/>
  <c r="I7649" i="9"/>
  <c r="I7646" i="9"/>
  <c r="I7647" i="9"/>
  <c r="I7738" i="9"/>
  <c r="I7737" i="9"/>
  <c r="I4450" i="9"/>
  <c r="I4449" i="9"/>
  <c r="I4419" i="9"/>
  <c r="I4418" i="9"/>
  <c r="I4448" i="9"/>
  <c r="I4420" i="9"/>
  <c r="I4421" i="9"/>
  <c r="I4427" i="9"/>
  <c r="I4422" i="9"/>
  <c r="I7648" i="9"/>
  <c r="I7650" i="9"/>
  <c r="I7651" i="9"/>
  <c r="I7652" i="9"/>
  <c r="I8876" i="9"/>
  <c r="I8875" i="9"/>
  <c r="I8877" i="9"/>
  <c r="I7506" i="9"/>
  <c r="I6873" i="9"/>
  <c r="I6872" i="9"/>
  <c r="I6869" i="9"/>
  <c r="I6871" i="9"/>
  <c r="I6870" i="9"/>
  <c r="I249" i="9"/>
  <c r="I248" i="9"/>
  <c r="I247" i="9"/>
  <c r="I288" i="9"/>
  <c r="I289" i="9"/>
  <c r="I290" i="9"/>
  <c r="I291" i="9"/>
  <c r="I459" i="9"/>
  <c r="I461" i="9"/>
  <c r="I460" i="9"/>
  <c r="I1209" i="9"/>
  <c r="I1933" i="9"/>
  <c r="I2077" i="9"/>
  <c r="I2076" i="9"/>
  <c r="I2078" i="9"/>
  <c r="I2256" i="9"/>
  <c r="I2253" i="9"/>
  <c r="I2254" i="9"/>
  <c r="I2255" i="9"/>
  <c r="I2739" i="9"/>
  <c r="I2738" i="9"/>
  <c r="I2782" i="9"/>
  <c r="I2783" i="9"/>
  <c r="I2780" i="9"/>
  <c r="I2781" i="9"/>
  <c r="I2789" i="9"/>
  <c r="I2787" i="9"/>
  <c r="I2785" i="9"/>
  <c r="I2786" i="9"/>
  <c r="I2788" i="9"/>
  <c r="I2784" i="9"/>
  <c r="I2859" i="9"/>
  <c r="I3016" i="9"/>
  <c r="I3072" i="9"/>
  <c r="I3090" i="9"/>
  <c r="I3091" i="9"/>
  <c r="I3111" i="9"/>
  <c r="I3381" i="9"/>
  <c r="I3506" i="9"/>
  <c r="I3527" i="9"/>
  <c r="I3692" i="9"/>
  <c r="I3978" i="9"/>
  <c r="I3979" i="9"/>
  <c r="I4029" i="9"/>
  <c r="I4028" i="9"/>
  <c r="I4027" i="9"/>
  <c r="I4289" i="9"/>
  <c r="I4288" i="9"/>
  <c r="I4290" i="9"/>
  <c r="I4286" i="9"/>
  <c r="I4285" i="9"/>
  <c r="I4282" i="9"/>
  <c r="I4278" i="9"/>
  <c r="I4281" i="9"/>
  <c r="I4280" i="9"/>
  <c r="I4287" i="9"/>
  <c r="I4277" i="9"/>
  <c r="I4279" i="9"/>
  <c r="I4284" i="9"/>
  <c r="I4283" i="9"/>
  <c r="I4700" i="9"/>
  <c r="I4701" i="9"/>
  <c r="I5849" i="9"/>
  <c r="I5933" i="9"/>
  <c r="I5932" i="9"/>
  <c r="I5970" i="9"/>
  <c r="I5969" i="9"/>
  <c r="I5965" i="9"/>
  <c r="I5962" i="9"/>
  <c r="I5964" i="9"/>
  <c r="I6089" i="9"/>
  <c r="I6129" i="9"/>
  <c r="I6128" i="9"/>
  <c r="I6186" i="9"/>
  <c r="I6197" i="9"/>
  <c r="I6196" i="9"/>
  <c r="I6866" i="9"/>
  <c r="I6961" i="9"/>
  <c r="I6959" i="9"/>
  <c r="I6954" i="9"/>
  <c r="I6958" i="9"/>
  <c r="I7019" i="9"/>
  <c r="I7110" i="9"/>
  <c r="I7149" i="9"/>
  <c r="I7155" i="9"/>
  <c r="I7154" i="9"/>
  <c r="I7151" i="9"/>
  <c r="I7306" i="9"/>
  <c r="I7308" i="9"/>
  <c r="I7312" i="9"/>
  <c r="I7309" i="9"/>
  <c r="I7439" i="9"/>
  <c r="I7435" i="9"/>
  <c r="I7601" i="9"/>
  <c r="I5524" i="9"/>
  <c r="I5521" i="9"/>
  <c r="I2205" i="9"/>
  <c r="I2204" i="9"/>
  <c r="I2203" i="9"/>
  <c r="I2206" i="9"/>
  <c r="E1348" i="3"/>
  <c r="E1123" i="3"/>
  <c r="E2335" i="3"/>
  <c r="E1556" i="3"/>
  <c r="E1904" i="3"/>
  <c r="E1976" i="3"/>
  <c r="I3113" i="9"/>
  <c r="I3112" i="9"/>
  <c r="I3095" i="9"/>
  <c r="E2330" i="3"/>
  <c r="E2328" i="3"/>
  <c r="E1267" i="3"/>
  <c r="E1075" i="3"/>
  <c r="E1327" i="3"/>
  <c r="E1328" i="3"/>
  <c r="E1263" i="3"/>
  <c r="E1116" i="3"/>
  <c r="E1076" i="3"/>
  <c r="E1264" i="3"/>
  <c r="E1396" i="3"/>
  <c r="E1031" i="3"/>
  <c r="E1469" i="3"/>
  <c r="E1265" i="3"/>
  <c r="E1329" i="3"/>
  <c r="E1206" i="3"/>
  <c r="E1397" i="3"/>
  <c r="E1434" i="3"/>
  <c r="E1117" i="3"/>
  <c r="E1398" i="3"/>
  <c r="E1435" i="3"/>
  <c r="E2396" i="3"/>
  <c r="E1330" i="3"/>
  <c r="E1266" i="3"/>
  <c r="E1399" i="3"/>
  <c r="E1207" i="3"/>
  <c r="E1489" i="3"/>
  <c r="E2485" i="3"/>
  <c r="E2483" i="3"/>
  <c r="E2520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4" i="3"/>
  <c r="E2482" i="3"/>
  <c r="E2481" i="3"/>
  <c r="E2480" i="3"/>
  <c r="E2479" i="3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G2" i="16"/>
  <c r="H2" i="16"/>
  <c r="I2" i="16"/>
  <c r="J2" i="16"/>
  <c r="K2" i="16"/>
  <c r="L2" i="16"/>
  <c r="M2" i="16"/>
  <c r="N2" i="16"/>
  <c r="O2" i="16"/>
  <c r="P2" i="16"/>
  <c r="Q2" i="16"/>
  <c r="R2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2" i="16"/>
  <c r="I7775" i="9"/>
  <c r="I5436" i="9"/>
  <c r="I5437" i="9"/>
  <c r="E2117" i="3"/>
  <c r="I8087" i="9"/>
  <c r="I8088" i="9"/>
  <c r="I5604" i="9"/>
  <c r="I5603" i="9"/>
  <c r="I5602" i="9"/>
  <c r="I5601" i="9"/>
  <c r="I8138" i="9"/>
  <c r="I8137" i="9"/>
  <c r="I8136" i="9"/>
  <c r="I8140" i="9"/>
  <c r="I5198" i="9"/>
  <c r="I6534" i="9"/>
  <c r="I1292" i="9"/>
  <c r="I1290" i="9"/>
  <c r="I1289" i="9"/>
  <c r="I1288" i="9"/>
  <c r="I1287" i="9"/>
  <c r="I2600" i="9"/>
  <c r="I3466" i="9"/>
  <c r="I3601" i="9"/>
  <c r="I4299" i="9"/>
  <c r="I8476" i="9"/>
  <c r="I5935" i="9"/>
  <c r="I1511" i="9"/>
  <c r="I24" i="9"/>
  <c r="I285" i="9"/>
  <c r="I371" i="9"/>
  <c r="I484" i="9"/>
  <c r="I490" i="9"/>
  <c r="I504" i="9"/>
  <c r="I1167" i="9"/>
  <c r="I1207" i="9"/>
  <c r="I1351" i="9"/>
  <c r="I1408" i="9"/>
  <c r="I1414" i="9"/>
  <c r="I1448" i="9"/>
  <c r="I1461" i="9"/>
  <c r="I1465" i="9"/>
  <c r="I1493" i="9"/>
  <c r="I1566" i="9"/>
  <c r="I1567" i="9"/>
  <c r="I1568" i="9"/>
  <c r="I1569" i="9"/>
  <c r="I1570" i="9"/>
  <c r="I1783" i="9"/>
  <c r="I1784" i="9"/>
  <c r="I1785" i="9"/>
  <c r="I1911" i="9"/>
  <c r="I2021" i="9"/>
  <c r="I2045" i="9"/>
  <c r="I2110" i="9"/>
  <c r="I2197" i="9"/>
  <c r="I2237" i="9"/>
  <c r="I2392" i="9"/>
  <c r="I2445" i="9"/>
  <c r="I2462" i="9"/>
  <c r="I2470" i="9"/>
  <c r="I2473" i="9"/>
  <c r="I2592" i="9"/>
  <c r="I2678" i="9"/>
  <c r="I2682" i="9"/>
  <c r="I2851" i="9"/>
  <c r="I2860" i="9"/>
  <c r="I2891" i="9"/>
  <c r="I2892" i="9"/>
  <c r="I2935" i="9"/>
  <c r="I2944" i="9"/>
  <c r="I2950" i="9"/>
  <c r="I3013" i="9"/>
  <c r="I3024" i="9"/>
  <c r="I3033" i="9"/>
  <c r="I3069" i="9"/>
  <c r="I3099" i="9"/>
  <c r="I3125" i="9"/>
  <c r="I3126" i="9"/>
  <c r="I3184" i="9"/>
  <c r="I3198" i="9"/>
  <c r="I3213" i="9"/>
  <c r="I3216" i="9"/>
  <c r="I3232" i="9"/>
  <c r="I3292" i="9"/>
  <c r="I3370" i="9"/>
  <c r="I3392" i="9"/>
  <c r="I3416" i="9"/>
  <c r="I3425" i="9"/>
  <c r="I3478" i="9"/>
  <c r="I3485" i="9"/>
  <c r="I3511" i="9"/>
  <c r="I3512" i="9"/>
  <c r="I3554" i="9"/>
  <c r="I3612" i="9"/>
  <c r="I3651" i="9"/>
  <c r="I3704" i="9"/>
  <c r="I3888" i="9"/>
  <c r="I3913" i="9"/>
  <c r="I3914" i="9"/>
  <c r="I3928" i="9"/>
  <c r="I4176" i="9"/>
  <c r="I4178" i="9"/>
  <c r="I4330" i="9"/>
  <c r="I4475" i="9"/>
  <c r="I4486" i="9"/>
  <c r="I4539" i="9"/>
  <c r="I4583" i="9"/>
  <c r="I4661" i="9"/>
  <c r="I4856" i="9"/>
  <c r="I4912" i="9"/>
  <c r="I4920" i="9"/>
  <c r="I4956" i="9"/>
  <c r="I5007" i="9"/>
  <c r="I5013" i="9"/>
  <c r="I5091" i="9"/>
  <c r="I5095" i="9"/>
  <c r="I5100" i="9"/>
  <c r="I5145" i="9"/>
  <c r="I5150" i="9"/>
  <c r="I5152" i="9"/>
  <c r="I5158" i="9"/>
  <c r="I5167" i="9"/>
  <c r="I5174" i="9"/>
  <c r="I5199" i="9"/>
  <c r="I5209" i="9"/>
  <c r="I5214" i="9"/>
  <c r="I5422" i="9"/>
  <c r="I5425" i="9"/>
  <c r="I5427" i="9"/>
  <c r="I5449" i="9"/>
  <c r="I5568" i="9"/>
  <c r="I5619" i="9"/>
  <c r="I5651" i="9"/>
  <c r="I5673" i="9"/>
  <c r="I5674" i="9"/>
  <c r="I5704" i="9"/>
  <c r="I5757" i="9"/>
  <c r="I5862" i="9"/>
  <c r="I5879" i="9"/>
  <c r="I5980" i="9"/>
  <c r="I6079" i="9"/>
  <c r="I6085" i="9"/>
  <c r="I6092" i="9"/>
  <c r="I6093" i="9"/>
  <c r="I6121" i="9"/>
  <c r="I6125" i="9"/>
  <c r="I6133" i="9"/>
  <c r="I6146" i="9"/>
  <c r="I6232" i="9"/>
  <c r="I6240" i="9"/>
  <c r="I6288" i="9"/>
  <c r="I6302" i="9"/>
  <c r="I6327" i="9"/>
  <c r="I6342" i="9"/>
  <c r="I6363" i="9"/>
  <c r="I6381" i="9"/>
  <c r="I6404" i="9"/>
  <c r="I6421" i="9"/>
  <c r="I6557" i="9"/>
  <c r="I6585" i="9"/>
  <c r="I6603" i="9"/>
  <c r="I6604" i="9"/>
  <c r="I6605" i="9"/>
  <c r="I6606" i="9"/>
  <c r="I6620" i="9"/>
  <c r="I6645" i="9"/>
  <c r="I6646" i="9"/>
  <c r="I6647" i="9"/>
  <c r="I6695" i="9"/>
  <c r="I6705" i="9"/>
  <c r="I6735" i="9"/>
  <c r="I6842" i="9"/>
  <c r="I6843" i="9"/>
  <c r="I6852" i="9"/>
  <c r="I6863" i="9"/>
  <c r="I6868" i="9"/>
  <c r="I6876" i="9"/>
  <c r="I6882" i="9"/>
  <c r="I6883" i="9"/>
  <c r="I6890" i="9"/>
  <c r="I6895" i="9"/>
  <c r="I6898" i="9"/>
  <c r="I6950" i="9"/>
  <c r="I6967" i="9"/>
  <c r="I6983" i="9"/>
  <c r="I6997" i="9"/>
  <c r="I7003" i="9"/>
  <c r="I7021" i="9"/>
  <c r="I7080" i="9"/>
  <c r="I7081" i="9"/>
  <c r="I7165" i="9"/>
  <c r="I7175" i="9"/>
  <c r="I7196" i="9"/>
  <c r="I7254" i="9"/>
  <c r="I7302" i="9"/>
  <c r="I7316" i="9"/>
  <c r="I7323" i="9"/>
  <c r="I7357" i="9"/>
  <c r="I7363" i="9"/>
  <c r="I7463" i="9"/>
  <c r="I7470" i="9"/>
  <c r="I7590" i="9"/>
  <c r="I7636" i="9"/>
  <c r="I7663" i="9"/>
  <c r="I7693" i="9"/>
  <c r="I7705" i="9"/>
  <c r="I7724" i="9"/>
  <c r="I7751" i="9"/>
  <c r="I7752" i="9"/>
  <c r="I7767" i="9"/>
  <c r="I7794" i="9"/>
  <c r="I7882" i="9"/>
  <c r="I7935" i="9"/>
  <c r="I7970" i="9"/>
  <c r="I7971" i="9"/>
  <c r="I7994" i="9"/>
  <c r="I8044" i="9"/>
  <c r="I8098" i="9"/>
  <c r="I8110" i="9"/>
  <c r="I8127" i="9"/>
  <c r="I8128" i="9"/>
  <c r="I8166" i="9"/>
  <c r="I8178" i="9"/>
  <c r="I8232" i="9"/>
  <c r="I8264" i="9"/>
  <c r="I8458" i="9"/>
  <c r="I8472" i="9"/>
  <c r="I8473" i="9"/>
  <c r="I8530" i="9"/>
  <c r="I8536" i="9"/>
  <c r="I8634" i="9"/>
  <c r="I8654" i="9"/>
  <c r="I8655" i="9"/>
  <c r="I8681" i="9"/>
  <c r="I8732" i="9"/>
  <c r="I8758" i="9"/>
  <c r="I8798" i="9"/>
  <c r="I8843" i="9"/>
  <c r="I8891" i="9"/>
  <c r="I8905" i="9"/>
  <c r="I8910" i="9"/>
  <c r="I8981" i="9"/>
  <c r="I8996" i="9"/>
  <c r="I9041" i="9"/>
  <c r="I9139" i="9"/>
  <c r="I9155" i="9"/>
  <c r="I9287" i="9"/>
  <c r="I140" i="9"/>
  <c r="I181" i="9"/>
  <c r="I185" i="9"/>
  <c r="I363" i="9"/>
  <c r="I388" i="9"/>
  <c r="I392" i="9"/>
  <c r="I407" i="9"/>
  <c r="I452" i="9"/>
  <c r="I473" i="9"/>
  <c r="I481" i="9"/>
  <c r="I485" i="9"/>
  <c r="I1146" i="9"/>
  <c r="I1168" i="9"/>
  <c r="I1169" i="9"/>
  <c r="I1176" i="9"/>
  <c r="I1202" i="9"/>
  <c r="I1267" i="9"/>
  <c r="I1426" i="9"/>
  <c r="I1506" i="9"/>
  <c r="I1546" i="9"/>
  <c r="I1571" i="9"/>
  <c r="I1590" i="9"/>
  <c r="I1813" i="9"/>
  <c r="I1993" i="9"/>
  <c r="I2046" i="9"/>
  <c r="I2047" i="9"/>
  <c r="I2198" i="9"/>
  <c r="I2360" i="9"/>
  <c r="I2381" i="9"/>
  <c r="I2382" i="9"/>
  <c r="I2386" i="9"/>
  <c r="I2595" i="9"/>
  <c r="I2607" i="9"/>
  <c r="I2608" i="9"/>
  <c r="I2645" i="9"/>
  <c r="I2659" i="9"/>
  <c r="I2801" i="9"/>
  <c r="I2951" i="9"/>
  <c r="I3107" i="9"/>
  <c r="I3137" i="9"/>
  <c r="I3160" i="9"/>
  <c r="I3161" i="9"/>
  <c r="I3162" i="9"/>
  <c r="I3207" i="9"/>
  <c r="I3217" i="9"/>
  <c r="I3221" i="9"/>
  <c r="I3230" i="9"/>
  <c r="I3255" i="9"/>
  <c r="I3259" i="9"/>
  <c r="I3261" i="9"/>
  <c r="I3305" i="9"/>
  <c r="I3426" i="9"/>
  <c r="I3428" i="9"/>
  <c r="I3434" i="9"/>
  <c r="I3479" i="9"/>
  <c r="I3557" i="9"/>
  <c r="I3646" i="9"/>
  <c r="I3659" i="9"/>
  <c r="I3705" i="9"/>
  <c r="I3706" i="9"/>
  <c r="I3708" i="9"/>
  <c r="I3709" i="9"/>
  <c r="I3719" i="9"/>
  <c r="I3752" i="9"/>
  <c r="I3765" i="9"/>
  <c r="I3766" i="9"/>
  <c r="I3767" i="9"/>
  <c r="I3782" i="9"/>
  <c r="I3929" i="9"/>
  <c r="I4120" i="9"/>
  <c r="I4121" i="9"/>
  <c r="I4122" i="9"/>
  <c r="I4126" i="9"/>
  <c r="I4151" i="9"/>
  <c r="I4152" i="9"/>
  <c r="I4153" i="9"/>
  <c r="I4157" i="9"/>
  <c r="I4167" i="9"/>
  <c r="I4169" i="9"/>
  <c r="I4172" i="9"/>
  <c r="I4259" i="9"/>
  <c r="I4260" i="9"/>
  <c r="I4268" i="9"/>
  <c r="I4300" i="9"/>
  <c r="I4469" i="9"/>
  <c r="I4470" i="9"/>
  <c r="I4490" i="9"/>
  <c r="I4549" i="9"/>
  <c r="I4576" i="9"/>
  <c r="I4673" i="9"/>
  <c r="I4708" i="9"/>
  <c r="I4709" i="9"/>
  <c r="I4888" i="9"/>
  <c r="I4935" i="9"/>
  <c r="I5021" i="9"/>
  <c r="I5120" i="9"/>
  <c r="I5284" i="9"/>
  <c r="I5371" i="9"/>
  <c r="I5644" i="9"/>
  <c r="I5675" i="9"/>
  <c r="I5676" i="9"/>
  <c r="I5740" i="9"/>
  <c r="I5762" i="9"/>
  <c r="I5863" i="9"/>
  <c r="I5874" i="9"/>
  <c r="I5875" i="9"/>
  <c r="I5954" i="9"/>
  <c r="I5971" i="9"/>
  <c r="I5996" i="9"/>
  <c r="I5998" i="9"/>
  <c r="I6143" i="9"/>
  <c r="I6144" i="9"/>
  <c r="I6233" i="9"/>
  <c r="I6252" i="9"/>
  <c r="I6260" i="9"/>
  <c r="I6280" i="9"/>
  <c r="I6294" i="9"/>
  <c r="I6416" i="9"/>
  <c r="I6471" i="9"/>
  <c r="I6607" i="9"/>
  <c r="I6627" i="9"/>
  <c r="I6648" i="9"/>
  <c r="I6662" i="9"/>
  <c r="I6681" i="9"/>
  <c r="I6736" i="9"/>
  <c r="I6747" i="9"/>
  <c r="I6766" i="9"/>
  <c r="I6770" i="9"/>
  <c r="I6844" i="9"/>
  <c r="I6853" i="9"/>
  <c r="I6854" i="9"/>
  <c r="I6864" i="9"/>
  <c r="I6877" i="9"/>
  <c r="I6907" i="9"/>
  <c r="I6966" i="9"/>
  <c r="I6968" i="9"/>
  <c r="I6971" i="9"/>
  <c r="I6972" i="9"/>
  <c r="I7005" i="9"/>
  <c r="I7042" i="9"/>
  <c r="I7082" i="9"/>
  <c r="I7083" i="9"/>
  <c r="I7108" i="9"/>
  <c r="I7176" i="9"/>
  <c r="I7203" i="9"/>
  <c r="I7222" i="9"/>
  <c r="I7241" i="9"/>
  <c r="I7293" i="9"/>
  <c r="I7324" i="9"/>
  <c r="I7424" i="9"/>
  <c r="I7457" i="9"/>
  <c r="I7472" i="9"/>
  <c r="I7571" i="9"/>
  <c r="I7580" i="9"/>
  <c r="I7681" i="9"/>
  <c r="I7682" i="9"/>
  <c r="I7721" i="9"/>
  <c r="I7722" i="9"/>
  <c r="I7784" i="9"/>
  <c r="I7795" i="9"/>
  <c r="I7812" i="9"/>
  <c r="I7873" i="9"/>
  <c r="I7874" i="9"/>
  <c r="I7946" i="9"/>
  <c r="I7972" i="9"/>
  <c r="I8050" i="9"/>
  <c r="I8072" i="9"/>
  <c r="I8099" i="9"/>
  <c r="I8111" i="9"/>
  <c r="I8129" i="9"/>
  <c r="I8190" i="9"/>
  <c r="I8246" i="9"/>
  <c r="I8252" i="9"/>
  <c r="I8301" i="9"/>
  <c r="I8302" i="9"/>
  <c r="I8615" i="9"/>
  <c r="I8620" i="9"/>
  <c r="I8656" i="9"/>
  <c r="I8657" i="9"/>
  <c r="I8658" i="9"/>
  <c r="I8677" i="9"/>
  <c r="I8733" i="9"/>
  <c r="I8921" i="9"/>
  <c r="I8945" i="9"/>
  <c r="I8949" i="9"/>
  <c r="I9042" i="9"/>
  <c r="I9053" i="9"/>
  <c r="I9082" i="9"/>
  <c r="I9145" i="9"/>
  <c r="I9160" i="9"/>
  <c r="I9203" i="9"/>
  <c r="I9242" i="9"/>
  <c r="I9259" i="9"/>
  <c r="I9268" i="9"/>
  <c r="I9282" i="9"/>
  <c r="I3240" i="9"/>
  <c r="I7317" i="9"/>
  <c r="I9294" i="9"/>
  <c r="I3241" i="9"/>
  <c r="I9086" i="9"/>
  <c r="I528" i="9"/>
  <c r="I529" i="9"/>
  <c r="I5221" i="9"/>
  <c r="I5222" i="9"/>
  <c r="I5237" i="9"/>
  <c r="I5275" i="9"/>
  <c r="I5276" i="9"/>
  <c r="I5299" i="9"/>
  <c r="I5310" i="9"/>
  <c r="I5428" i="9"/>
  <c r="I5429" i="9"/>
  <c r="I5452" i="9"/>
  <c r="I5453" i="9"/>
  <c r="I5454" i="9"/>
  <c r="I5493" i="9"/>
  <c r="I5494" i="9"/>
  <c r="I5495" i="9"/>
  <c r="I5496" i="9"/>
  <c r="I5569" i="9"/>
  <c r="I5621" i="9"/>
  <c r="I5622" i="9"/>
  <c r="I5706" i="9"/>
  <c r="I5745" i="9"/>
  <c r="I5814" i="9"/>
  <c r="I5882" i="9"/>
  <c r="I5883" i="9"/>
  <c r="I5884" i="9"/>
  <c r="I5929" i="9"/>
  <c r="I6030" i="9"/>
  <c r="I6031" i="9"/>
  <c r="I6080" i="9"/>
  <c r="I6131" i="9"/>
  <c r="I6137" i="9"/>
  <c r="I6234" i="9"/>
  <c r="I6235" i="9"/>
  <c r="I6241" i="9"/>
  <c r="I6245" i="9"/>
  <c r="I6274" i="9"/>
  <c r="I6275" i="9"/>
  <c r="I6295" i="9"/>
  <c r="I6296" i="9"/>
  <c r="I6314" i="9"/>
  <c r="I6315" i="9"/>
  <c r="I6316" i="9"/>
  <c r="I6317" i="9"/>
  <c r="I6318" i="9"/>
  <c r="I6319" i="9"/>
  <c r="I6328" i="9"/>
  <c r="I6364" i="9"/>
  <c r="I6406" i="9"/>
  <c r="I6417" i="9"/>
  <c r="I6474" i="9"/>
  <c r="I6475" i="9"/>
  <c r="I6541" i="9"/>
  <c r="I6558" i="9"/>
  <c r="I6608" i="9"/>
  <c r="I6613" i="9"/>
  <c r="I6611" i="9"/>
  <c r="I6624" i="9"/>
  <c r="I6651" i="9"/>
  <c r="I6676" i="9"/>
  <c r="I6677" i="9"/>
  <c r="I6685" i="9"/>
  <c r="I6686" i="9"/>
  <c r="I6697" i="9"/>
  <c r="I6698" i="9"/>
  <c r="I6699" i="9"/>
  <c r="I6700" i="9"/>
  <c r="I6749" i="9"/>
  <c r="I6758" i="9"/>
  <c r="I6878" i="9"/>
  <c r="I6880" i="9"/>
  <c r="I6935" i="9"/>
  <c r="I6969" i="9"/>
  <c r="I6984" i="9"/>
  <c r="I7044" i="9"/>
  <c r="I7084" i="9"/>
  <c r="I7085" i="9"/>
  <c r="I7086" i="9"/>
  <c r="I7101" i="9"/>
  <c r="I4304" i="9"/>
  <c r="I7166" i="9"/>
  <c r="I7167" i="9"/>
  <c r="I7168" i="9"/>
  <c r="I7169" i="9"/>
  <c r="I7190" i="9"/>
  <c r="I7200" i="9"/>
  <c r="I7217" i="9"/>
  <c r="I7223" i="9"/>
  <c r="I7224" i="9"/>
  <c r="I7225" i="9"/>
  <c r="I7226" i="9"/>
  <c r="I7251" i="9"/>
  <c r="I7257" i="9"/>
  <c r="I7359" i="9"/>
  <c r="I7417" i="9"/>
  <c r="I7573" i="9"/>
  <c r="I7574" i="9"/>
  <c r="I7595" i="9"/>
  <c r="I7612" i="9"/>
  <c r="I7613" i="9"/>
  <c r="I7614" i="9"/>
  <c r="I7637" i="9"/>
  <c r="I7638" i="9"/>
  <c r="I7639" i="9"/>
  <c r="I7664" i="9"/>
  <c r="I7665" i="9"/>
  <c r="I7706" i="9"/>
  <c r="I7725" i="9"/>
  <c r="I2181" i="9"/>
  <c r="I7730" i="9"/>
  <c r="I7770" i="9"/>
  <c r="I7815" i="9"/>
  <c r="I7818" i="9"/>
  <c r="I7820" i="9"/>
  <c r="I7940" i="9"/>
  <c r="I7973" i="9"/>
  <c r="I7974" i="9"/>
  <c r="I7975" i="9"/>
  <c r="I8004" i="9"/>
  <c r="I8045" i="9"/>
  <c r="I8053" i="9"/>
  <c r="I8076" i="9"/>
  <c r="I8080" i="9"/>
  <c r="I8113" i="9"/>
  <c r="I8123" i="9"/>
  <c r="I8133" i="9"/>
  <c r="I8147" i="9"/>
  <c r="I8148" i="9"/>
  <c r="I8168" i="9"/>
  <c r="I8179" i="9"/>
  <c r="I8180" i="9"/>
  <c r="I8197" i="9"/>
  <c r="I8198" i="9"/>
  <c r="I8199" i="9"/>
  <c r="I8200" i="9"/>
  <c r="I8233" i="9"/>
  <c r="I8234" i="9"/>
  <c r="I8265" i="9"/>
  <c r="I8266" i="9"/>
  <c r="I8279" i="9"/>
  <c r="I8280" i="9"/>
  <c r="I8281" i="9"/>
  <c r="I8282" i="9"/>
  <c r="I8283" i="9"/>
  <c r="I8364" i="9"/>
  <c r="I8365" i="9"/>
  <c r="I8366" i="9"/>
  <c r="I8367" i="9"/>
  <c r="I8368" i="9"/>
  <c r="I8409" i="9"/>
  <c r="I8452" i="9"/>
  <c r="I8459" i="9"/>
  <c r="I8462" i="9"/>
  <c r="I8488" i="9"/>
  <c r="I7581" i="9"/>
  <c r="I8499" i="9"/>
  <c r="I8500" i="9"/>
  <c r="I8501" i="9"/>
  <c r="I8502" i="9"/>
  <c r="I8523" i="9"/>
  <c r="I8524" i="9"/>
  <c r="I8525" i="9"/>
  <c r="I8537" i="9"/>
  <c r="I8538" i="9"/>
  <c r="I8660" i="9"/>
  <c r="I8661" i="9"/>
  <c r="I8668" i="9"/>
  <c r="I8685" i="9"/>
  <c r="I8726" i="9"/>
  <c r="I8759" i="9"/>
  <c r="I8760" i="9"/>
  <c r="I8773" i="9"/>
  <c r="I8774" i="9"/>
  <c r="I8799" i="9"/>
  <c r="I8800" i="9"/>
  <c r="I8809" i="9"/>
  <c r="I8810" i="9"/>
  <c r="I42" i="9"/>
  <c r="I8911" i="9"/>
  <c r="I8978" i="9"/>
  <c r="I8982" i="9"/>
  <c r="I8983" i="9"/>
  <c r="I8997" i="9"/>
  <c r="I8998" i="9"/>
  <c r="I8999" i="9"/>
  <c r="I9043" i="9"/>
  <c r="I9044" i="9"/>
  <c r="I9137" i="9"/>
  <c r="I9140" i="9"/>
  <c r="I9147" i="9"/>
  <c r="I9166" i="9"/>
  <c r="I9167" i="9"/>
  <c r="I9187" i="9"/>
  <c r="I9188" i="9"/>
  <c r="I9204" i="9"/>
  <c r="I9221" i="9"/>
  <c r="I2597" i="9"/>
  <c r="I9243" i="9"/>
  <c r="I9303" i="9"/>
  <c r="I9309" i="9"/>
  <c r="I9310" i="9"/>
  <c r="I3775" i="9"/>
  <c r="I3934" i="9"/>
  <c r="I4023" i="9"/>
  <c r="I4024" i="9"/>
  <c r="I4477" i="9"/>
  <c r="I4938" i="9"/>
  <c r="I5440" i="9"/>
  <c r="I5501" i="9"/>
  <c r="I5502" i="9"/>
  <c r="I5931" i="9"/>
  <c r="I6478" i="9"/>
  <c r="I6479" i="9"/>
  <c r="I7090" i="9"/>
  <c r="I7103" i="9"/>
  <c r="I7281" i="9"/>
  <c r="I7618" i="9"/>
  <c r="I7619" i="9"/>
  <c r="I7620" i="9"/>
  <c r="I7621" i="9"/>
  <c r="I7801" i="9"/>
  <c r="I7933" i="9"/>
  <c r="I8115" i="9"/>
  <c r="I8135" i="9"/>
  <c r="I9305" i="9"/>
  <c r="I3387" i="9"/>
  <c r="I3617" i="9"/>
  <c r="I7696" i="9"/>
  <c r="I7890" i="9"/>
  <c r="I4572" i="9"/>
  <c r="I7092" i="9"/>
  <c r="I1251" i="9"/>
  <c r="I1374" i="9"/>
  <c r="I5626" i="9"/>
  <c r="I7697" i="9"/>
  <c r="I7875" i="9"/>
  <c r="I1375" i="9"/>
  <c r="I3525" i="9"/>
  <c r="I3526" i="9"/>
  <c r="I3831" i="9"/>
  <c r="I4916" i="9"/>
  <c r="I7698" i="9"/>
  <c r="I7891" i="9"/>
  <c r="I8509" i="9"/>
  <c r="I9269" i="9"/>
  <c r="I543" i="9"/>
  <c r="I2200" i="9"/>
  <c r="I2229" i="9"/>
  <c r="I2994" i="9"/>
  <c r="I3670" i="9"/>
  <c r="I4092" i="9"/>
  <c r="I7699" i="9"/>
  <c r="I7739" i="9"/>
  <c r="I7883" i="9"/>
  <c r="I7892" i="9"/>
  <c r="I7980" i="9"/>
  <c r="I8254" i="9"/>
  <c r="I8255" i="9"/>
  <c r="I8382" i="9"/>
  <c r="I9245" i="9"/>
  <c r="I9270" i="9"/>
  <c r="I85" i="9"/>
  <c r="I155" i="9"/>
  <c r="I227" i="9"/>
  <c r="I457" i="9"/>
  <c r="I482" i="9"/>
  <c r="I1533" i="9"/>
  <c r="I1547" i="9"/>
  <c r="I1869" i="9"/>
  <c r="I2130" i="9"/>
  <c r="I2179" i="9"/>
  <c r="I2241" i="9"/>
  <c r="I2361" i="9"/>
  <c r="I2579" i="9"/>
  <c r="I3163" i="9"/>
  <c r="I3306" i="9"/>
  <c r="I3338" i="9"/>
  <c r="I3393" i="9"/>
  <c r="I3463" i="9"/>
  <c r="I3528" i="9"/>
  <c r="I3547" i="9"/>
  <c r="I3776" i="9"/>
  <c r="I4123" i="9"/>
  <c r="I4251" i="9"/>
  <c r="I4252" i="9"/>
  <c r="I4697" i="9"/>
  <c r="I4843" i="9"/>
  <c r="I4917" i="9"/>
  <c r="I4922" i="9"/>
  <c r="I5202" i="9"/>
  <c r="I5627" i="9"/>
  <c r="I6045" i="9"/>
  <c r="I6340" i="9"/>
  <c r="I6563" i="9"/>
  <c r="I6981" i="9"/>
  <c r="I6998" i="9"/>
  <c r="I7093" i="9"/>
  <c r="I7118" i="9"/>
  <c r="I7425" i="9"/>
  <c r="I7684" i="9"/>
  <c r="I7700" i="9"/>
  <c r="I7701" i="9"/>
  <c r="I7702" i="9"/>
  <c r="I7754" i="9"/>
  <c r="I7884" i="9"/>
  <c r="I7931" i="9"/>
  <c r="I8089" i="9"/>
  <c r="I8220" i="9"/>
  <c r="I8256" i="9"/>
  <c r="I8260" i="9"/>
  <c r="I8446" i="9"/>
  <c r="I8511" i="9"/>
  <c r="I8845" i="9"/>
  <c r="I8922" i="9"/>
  <c r="I9021" i="9"/>
  <c r="I9271" i="9"/>
  <c r="I545" i="9"/>
  <c r="I1170" i="9"/>
  <c r="I1203" i="9"/>
  <c r="I3223" i="9"/>
  <c r="I4090" i="9"/>
  <c r="I6765" i="9"/>
  <c r="I8007" i="9"/>
  <c r="I8257" i="9"/>
  <c r="I8548" i="9"/>
  <c r="I9247" i="9"/>
  <c r="I9076" i="9"/>
  <c r="I591" i="9"/>
  <c r="I780" i="9"/>
  <c r="I781" i="9"/>
  <c r="I952" i="9"/>
  <c r="I994" i="9"/>
  <c r="I995" i="9"/>
  <c r="I1047" i="9"/>
  <c r="I1920" i="9"/>
  <c r="I2131" i="9"/>
  <c r="I1921" i="9"/>
  <c r="I2132" i="9"/>
  <c r="I1922" i="9"/>
  <c r="I2133" i="9"/>
  <c r="I3373" i="9"/>
  <c r="I1923" i="9"/>
  <c r="I1924" i="9"/>
  <c r="I2231" i="9"/>
  <c r="I1925" i="9"/>
  <c r="I1926" i="9"/>
  <c r="I1927" i="9"/>
  <c r="I2134" i="9"/>
  <c r="I2135" i="9"/>
  <c r="I2232" i="9"/>
  <c r="I3955" i="9"/>
  <c r="I7981" i="9"/>
  <c r="I156" i="9"/>
  <c r="I179" i="9"/>
  <c r="I182" i="9"/>
  <c r="I183" i="9"/>
  <c r="I186" i="9"/>
  <c r="I189" i="9"/>
  <c r="I229" i="9"/>
  <c r="I233" i="9"/>
  <c r="I255" i="9"/>
  <c r="I258" i="9"/>
  <c r="I280" i="9"/>
  <c r="I287" i="9"/>
  <c r="I292" i="9"/>
  <c r="I333" i="9"/>
  <c r="I372" i="9"/>
  <c r="I391" i="9"/>
  <c r="I393" i="9"/>
  <c r="I394" i="9"/>
  <c r="I411" i="9"/>
  <c r="I423" i="9"/>
  <c r="I451" i="9"/>
  <c r="I455" i="9"/>
  <c r="I458" i="9"/>
  <c r="I478" i="9"/>
  <c r="I501" i="9"/>
  <c r="I505" i="9"/>
  <c r="I521" i="9"/>
  <c r="I579" i="9"/>
  <c r="I580" i="9"/>
  <c r="I1123" i="9"/>
  <c r="I1128" i="9"/>
  <c r="I1147" i="9"/>
  <c r="I1204" i="9"/>
  <c r="I1208" i="9"/>
  <c r="I1225" i="9"/>
  <c r="I1238" i="9"/>
  <c r="I1240" i="9"/>
  <c r="I1253" i="9"/>
  <c r="I1268" i="9"/>
  <c r="I1284" i="9"/>
  <c r="I1312" i="9"/>
  <c r="I1350" i="9"/>
  <c r="I1377" i="9"/>
  <c r="I1427" i="9"/>
  <c r="I1440" i="9"/>
  <c r="I1443" i="9"/>
  <c r="I1467" i="9"/>
  <c r="I1472" i="9"/>
  <c r="I1479" i="9"/>
  <c r="I1489" i="9"/>
  <c r="I1494" i="9"/>
  <c r="I1508" i="9"/>
  <c r="I1510" i="9"/>
  <c r="I1539" i="9"/>
  <c r="I1545" i="9"/>
  <c r="I1549" i="9"/>
  <c r="I1551" i="9"/>
  <c r="I1552" i="9"/>
  <c r="I1555" i="9"/>
  <c r="I1558" i="9"/>
  <c r="I1572" i="9"/>
  <c r="I1577" i="9"/>
  <c r="I1603" i="9"/>
  <c r="I1607" i="9"/>
  <c r="I1610" i="9"/>
  <c r="I1617" i="9"/>
  <c r="I1622" i="9"/>
  <c r="I1623" i="9"/>
  <c r="I1627" i="9"/>
  <c r="I1691" i="9"/>
  <c r="I1723" i="9"/>
  <c r="I1731" i="9"/>
  <c r="I1829" i="9"/>
  <c r="I1871" i="9"/>
  <c r="I1877" i="9"/>
  <c r="I1878" i="9"/>
  <c r="I1890" i="9"/>
  <c r="I1913" i="9"/>
  <c r="I1928" i="9"/>
  <c r="I1929" i="9"/>
  <c r="I1950" i="9"/>
  <c r="I1957" i="9"/>
  <c r="I1970" i="9"/>
  <c r="I1994" i="9"/>
  <c r="I2003" i="9"/>
  <c r="I2013" i="9"/>
  <c r="I2016" i="9"/>
  <c r="I2024" i="9"/>
  <c r="I2025" i="9"/>
  <c r="I2029" i="9"/>
  <c r="I2048" i="9"/>
  <c r="I2049" i="9"/>
  <c r="I2094" i="9"/>
  <c r="I2095" i="9"/>
  <c r="I2096" i="9"/>
  <c r="I2127" i="9"/>
  <c r="I2136" i="9"/>
  <c r="I2137" i="9"/>
  <c r="I2138" i="9"/>
  <c r="I2168" i="9"/>
  <c r="I2188" i="9"/>
  <c r="I2214" i="9"/>
  <c r="I2216" i="9"/>
  <c r="I2223" i="9"/>
  <c r="I2234" i="9"/>
  <c r="I2238" i="9"/>
  <c r="I2242" i="9"/>
  <c r="I2245" i="9"/>
  <c r="I2246" i="9"/>
  <c r="I2249" i="9"/>
  <c r="I2251" i="9"/>
  <c r="I2320" i="9"/>
  <c r="I2362" i="9"/>
  <c r="I2377" i="9"/>
  <c r="I2421" i="9"/>
  <c r="I2431" i="9"/>
  <c r="I2442" i="9"/>
  <c r="I2457" i="9"/>
  <c r="I2506" i="9"/>
  <c r="I2517" i="9"/>
  <c r="I2599" i="9"/>
  <c r="I2609" i="9"/>
  <c r="I2614" i="9"/>
  <c r="I2616" i="9"/>
  <c r="I2639" i="9"/>
  <c r="I2640" i="9"/>
  <c r="I2644" i="9"/>
  <c r="I2646" i="9"/>
  <c r="I2654" i="9"/>
  <c r="I2656" i="9"/>
  <c r="I2670" i="9"/>
  <c r="I2674" i="9"/>
  <c r="I2679" i="9"/>
  <c r="I2699" i="9"/>
  <c r="I2721" i="9"/>
  <c r="I2742" i="9"/>
  <c r="I2752" i="9"/>
  <c r="I2791" i="9"/>
  <c r="I2808" i="9"/>
  <c r="I2815" i="9"/>
  <c r="I2824" i="9"/>
  <c r="I2857" i="9"/>
  <c r="I2861" i="9"/>
  <c r="I2864" i="9"/>
  <c r="I2902" i="9"/>
  <c r="I2904" i="9"/>
  <c r="I2911" i="9"/>
  <c r="I2933" i="9"/>
  <c r="I2937" i="9"/>
  <c r="I2943" i="9"/>
  <c r="I2947" i="9"/>
  <c r="I2952" i="9"/>
  <c r="I2997" i="9"/>
  <c r="I3002" i="9"/>
  <c r="I3018" i="9"/>
  <c r="I3021" i="9"/>
  <c r="I3026" i="9"/>
  <c r="I3034" i="9"/>
  <c r="I3059" i="9"/>
  <c r="I3068" i="9"/>
  <c r="I3082" i="9"/>
  <c r="I3083" i="9"/>
  <c r="I3138" i="9"/>
  <c r="I3141" i="9"/>
  <c r="I3145" i="9"/>
  <c r="I3164" i="9"/>
  <c r="I3165" i="9"/>
  <c r="I3169" i="9"/>
  <c r="I3202" i="9"/>
  <c r="I3203" i="9"/>
  <c r="I3209" i="9"/>
  <c r="I3211" i="9"/>
  <c r="I3214" i="9"/>
  <c r="I3219" i="9"/>
  <c r="I3243" i="9"/>
  <c r="I3245" i="9"/>
  <c r="I3303" i="9"/>
  <c r="I3371" i="9"/>
  <c r="I3375" i="9"/>
  <c r="I3377" i="9"/>
  <c r="I3379" i="9"/>
  <c r="I3399" i="9"/>
  <c r="I3413" i="9"/>
  <c r="I3418" i="9"/>
  <c r="I3424" i="9"/>
  <c r="I3427" i="9"/>
  <c r="I3437" i="9"/>
  <c r="I3439" i="9"/>
  <c r="I3464" i="9"/>
  <c r="I3480" i="9"/>
  <c r="I3494" i="9"/>
  <c r="I3499" i="9"/>
  <c r="I3507" i="9"/>
  <c r="I3513" i="9"/>
  <c r="I3519" i="9"/>
  <c r="I3536" i="9"/>
  <c r="I3541" i="9"/>
  <c r="I3544" i="9"/>
  <c r="I3558" i="9"/>
  <c r="I3562" i="9"/>
  <c r="I3570" i="9"/>
  <c r="I3592" i="9"/>
  <c r="I3652" i="9"/>
  <c r="I3671" i="9"/>
  <c r="I3694" i="9"/>
  <c r="I3720" i="9"/>
  <c r="I3753" i="9"/>
  <c r="I3756" i="9"/>
  <c r="I3777" i="9"/>
  <c r="I3837" i="9"/>
  <c r="I3840" i="9"/>
  <c r="I3894" i="9"/>
  <c r="I3945" i="9"/>
  <c r="I3946" i="9"/>
  <c r="I3947" i="9"/>
  <c r="I3964" i="9"/>
  <c r="I3965" i="9"/>
  <c r="I3982" i="9"/>
  <c r="I4011" i="9"/>
  <c r="I4013" i="9"/>
  <c r="I4022" i="9"/>
  <c r="I4033" i="9"/>
  <c r="I4034" i="9"/>
  <c r="I4088" i="9"/>
  <c r="I4115" i="9"/>
  <c r="I4116" i="9"/>
  <c r="I4124" i="9"/>
  <c r="I4127" i="9"/>
  <c r="I4154" i="9"/>
  <c r="I4156" i="9"/>
  <c r="I4158" i="9"/>
  <c r="I4164" i="9"/>
  <c r="I4168" i="9"/>
  <c r="I4170" i="9"/>
  <c r="I4177" i="9"/>
  <c r="I4180" i="9"/>
  <c r="I4181" i="9"/>
  <c r="I4199" i="9"/>
  <c r="I4218" i="9"/>
  <c r="I4263" i="9"/>
  <c r="I4266" i="9"/>
  <c r="I4274" i="9"/>
  <c r="I4291" i="9"/>
  <c r="I4297" i="9"/>
  <c r="I4298" i="9"/>
  <c r="I4351" i="9"/>
  <c r="I4355" i="9"/>
  <c r="I4372" i="9"/>
  <c r="I4406" i="9"/>
  <c r="I4410" i="9"/>
  <c r="I4411" i="9"/>
  <c r="I4473" i="9"/>
  <c r="I4497" i="9"/>
  <c r="I4502" i="9"/>
  <c r="I4507" i="9"/>
  <c r="I4540" i="9"/>
  <c r="I4542" i="9"/>
  <c r="I4577" i="9"/>
  <c r="I4651" i="9"/>
  <c r="I4652" i="9"/>
  <c r="I4660" i="9"/>
  <c r="I4664" i="9"/>
  <c r="I4674" i="9"/>
  <c r="I4685" i="9"/>
  <c r="I4690" i="9"/>
  <c r="I4699" i="9"/>
  <c r="I4704" i="9"/>
  <c r="I4705" i="9"/>
  <c r="I4707" i="9"/>
  <c r="I4715" i="9"/>
  <c r="I4718" i="9"/>
  <c r="I4759" i="9"/>
  <c r="I4760" i="9"/>
  <c r="I4762" i="9"/>
  <c r="I4765" i="9"/>
  <c r="I4771" i="9"/>
  <c r="I4778" i="9"/>
  <c r="I4779" i="9"/>
  <c r="I4789" i="9"/>
  <c r="I4790" i="9"/>
  <c r="I4844" i="9"/>
  <c r="I4857" i="9"/>
  <c r="I4900" i="9"/>
  <c r="I4907" i="9"/>
  <c r="I4913" i="9"/>
  <c r="I4918" i="9"/>
  <c r="I4923" i="9"/>
  <c r="I4943" i="9"/>
  <c r="I4944" i="9"/>
  <c r="I4948" i="9"/>
  <c r="I4960" i="9"/>
  <c r="I4972" i="9"/>
  <c r="I4984" i="9"/>
  <c r="I5023" i="9"/>
  <c r="I5036" i="9"/>
  <c r="I5049" i="9"/>
  <c r="I5050" i="9"/>
  <c r="I5062" i="9"/>
  <c r="I5065" i="9"/>
  <c r="I5107" i="9"/>
  <c r="I5108" i="9"/>
  <c r="I5109" i="9"/>
  <c r="I5121" i="9"/>
  <c r="I5157" i="9"/>
  <c r="I5170" i="9"/>
  <c r="I5173" i="9"/>
  <c r="I5204" i="9"/>
  <c r="I5218" i="9"/>
  <c r="I5239" i="9"/>
  <c r="I5248" i="9"/>
  <c r="I5258" i="9"/>
  <c r="I5281" i="9"/>
  <c r="I5312" i="9"/>
  <c r="I5318" i="9"/>
  <c r="I5319" i="9"/>
  <c r="I5361" i="9"/>
  <c r="I5368" i="9"/>
  <c r="I5372" i="9"/>
  <c r="I5374" i="9"/>
  <c r="I5379" i="9"/>
  <c r="I5421" i="9"/>
  <c r="I5432" i="9"/>
  <c r="I5459" i="9"/>
  <c r="I5466" i="9"/>
  <c r="I5533" i="9"/>
  <c r="I5538" i="9"/>
  <c r="I5567" i="9"/>
  <c r="I5593" i="9"/>
  <c r="I5597" i="9"/>
  <c r="I5646" i="9"/>
  <c r="I5677" i="9"/>
  <c r="I5717" i="9"/>
  <c r="I5725" i="9"/>
  <c r="I5730" i="9"/>
  <c r="I5737" i="9"/>
  <c r="I5741" i="9"/>
  <c r="I5774" i="9"/>
  <c r="I5778" i="9"/>
  <c r="I5828" i="9"/>
  <c r="I5839" i="9"/>
  <c r="I5843" i="9"/>
  <c r="I5864" i="9"/>
  <c r="I5869" i="9"/>
  <c r="I5876" i="9"/>
  <c r="I5877" i="9"/>
  <c r="I5888" i="9"/>
  <c r="I5892" i="9"/>
  <c r="I5894" i="9"/>
  <c r="I5897" i="9"/>
  <c r="I5934" i="9"/>
  <c r="I5946" i="9"/>
  <c r="I5976" i="9"/>
  <c r="I5978" i="9"/>
  <c r="I5982" i="9"/>
  <c r="I5984" i="9"/>
  <c r="I5987" i="9"/>
  <c r="I5988" i="9"/>
  <c r="I5999" i="9"/>
  <c r="I6000" i="9"/>
  <c r="I6010" i="9"/>
  <c r="I6023" i="9"/>
  <c r="I6034" i="9"/>
  <c r="I6043" i="9"/>
  <c r="I6069" i="9"/>
  <c r="I6074" i="9"/>
  <c r="I6077" i="9"/>
  <c r="I6082" i="9"/>
  <c r="I6083" i="9"/>
  <c r="I6094" i="9"/>
  <c r="I6118" i="9"/>
  <c r="I6120" i="9"/>
  <c r="I6135" i="9"/>
  <c r="I6142" i="9"/>
  <c r="I6177" i="9"/>
  <c r="I6181" i="9"/>
  <c r="I6183" i="9"/>
  <c r="I6225" i="9"/>
  <c r="I6229" i="9"/>
  <c r="I6230" i="9"/>
  <c r="I6238" i="9"/>
  <c r="I6247" i="9"/>
  <c r="I6249" i="9"/>
  <c r="I6253" i="9"/>
  <c r="I6256" i="9"/>
  <c r="I6264" i="9"/>
  <c r="I6281" i="9"/>
  <c r="I6283" i="9"/>
  <c r="I6292" i="9"/>
  <c r="I6303" i="9"/>
  <c r="I6326" i="9"/>
  <c r="I6358" i="9"/>
  <c r="I6362" i="9"/>
  <c r="I6369" i="9"/>
  <c r="I6379" i="9"/>
  <c r="I6384" i="9"/>
  <c r="I6408" i="9"/>
  <c r="I6423" i="9"/>
  <c r="I6453" i="9"/>
  <c r="I6466" i="9"/>
  <c r="I6468" i="9"/>
  <c r="I6482" i="9"/>
  <c r="I6526" i="9"/>
  <c r="I6527" i="9"/>
  <c r="I6529" i="9"/>
  <c r="I6543" i="9"/>
  <c r="I6552" i="9"/>
  <c r="I6553" i="9"/>
  <c r="I6559" i="9"/>
  <c r="I6580" i="9"/>
  <c r="I6581" i="9"/>
  <c r="I6587" i="9"/>
  <c r="I6621" i="9"/>
  <c r="I6634" i="9"/>
  <c r="I6635" i="9"/>
  <c r="I6636" i="9"/>
  <c r="I6649" i="9"/>
  <c r="I6665" i="9"/>
  <c r="I6680" i="9"/>
  <c r="I6684" i="9"/>
  <c r="I6691" i="9"/>
  <c r="I6696" i="9"/>
  <c r="I6707" i="9"/>
  <c r="I6719" i="9"/>
  <c r="I6737" i="9"/>
  <c r="I6742" i="9"/>
  <c r="I6751" i="9"/>
  <c r="I6755" i="9"/>
  <c r="I6760" i="9"/>
  <c r="I6761" i="9"/>
  <c r="I6772" i="9"/>
  <c r="I6832" i="9"/>
  <c r="I6837" i="9"/>
  <c r="I6845" i="9"/>
  <c r="I6847" i="9"/>
  <c r="I6848" i="9"/>
  <c r="I6849" i="9"/>
  <c r="I6856" i="9"/>
  <c r="I6865" i="9"/>
  <c r="I6892" i="9"/>
  <c r="I6909" i="9"/>
  <c r="I6921" i="9"/>
  <c r="I6923" i="9"/>
  <c r="I6924" i="9"/>
  <c r="I6937" i="9"/>
  <c r="I6973" i="9"/>
  <c r="I6980" i="9"/>
  <c r="I6982" i="9"/>
  <c r="I6991" i="9"/>
  <c r="I6999" i="9"/>
  <c r="I7002" i="9"/>
  <c r="I7004" i="9"/>
  <c r="I7094" i="9"/>
  <c r="I7105" i="9"/>
  <c r="I7127" i="9"/>
  <c r="I7177" i="9"/>
  <c r="I7184" i="9"/>
  <c r="I7242" i="9"/>
  <c r="I7253" i="9"/>
  <c r="I7269" i="9"/>
  <c r="I7270" i="9"/>
  <c r="I7284" i="9"/>
  <c r="I7286" i="9"/>
  <c r="I7294" i="9"/>
  <c r="I7297" i="9"/>
  <c r="I7299" i="9"/>
  <c r="I7300" i="9"/>
  <c r="I7301" i="9"/>
  <c r="I7325" i="9"/>
  <c r="I7336" i="9"/>
  <c r="I7356" i="9"/>
  <c r="I7361" i="9"/>
  <c r="I7383" i="9"/>
  <c r="I7426" i="9"/>
  <c r="I7431" i="9"/>
  <c r="I7462" i="9"/>
  <c r="I7469" i="9"/>
  <c r="I7486" i="9"/>
  <c r="I7489" i="9"/>
  <c r="I7494" i="9"/>
  <c r="I7498" i="9"/>
  <c r="I7499" i="9"/>
  <c r="I7508" i="9"/>
  <c r="I7559" i="9"/>
  <c r="I7577" i="9"/>
  <c r="I7583" i="9"/>
  <c r="I7586" i="9"/>
  <c r="I7592" i="9"/>
  <c r="I7597" i="9"/>
  <c r="I7603" i="9"/>
  <c r="I7626" i="9"/>
  <c r="I7634" i="9"/>
  <c r="I7644" i="9"/>
  <c r="I7654" i="9"/>
  <c r="I7658" i="9"/>
  <c r="I7661" i="9"/>
  <c r="I7685" i="9"/>
  <c r="I7708" i="9"/>
  <c r="I7710" i="9"/>
  <c r="I7712" i="9"/>
  <c r="I7715" i="9"/>
  <c r="I7723" i="9"/>
  <c r="I7727" i="9"/>
  <c r="I7733" i="9"/>
  <c r="I7734" i="9"/>
  <c r="I7741" i="9"/>
  <c r="I7787" i="9"/>
  <c r="I7817" i="9"/>
  <c r="I7878" i="9"/>
  <c r="I7885" i="9"/>
  <c r="I7897" i="9"/>
  <c r="I7909" i="9"/>
  <c r="I7932" i="9"/>
  <c r="I7948" i="9"/>
  <c r="I7953" i="9"/>
  <c r="I7964" i="9"/>
  <c r="I7986" i="9"/>
  <c r="I7995" i="9"/>
  <c r="I7997" i="9"/>
  <c r="I7998" i="9"/>
  <c r="I8010" i="9"/>
  <c r="I8047" i="9"/>
  <c r="I8073" i="9"/>
  <c r="I8086" i="9"/>
  <c r="I8090" i="9"/>
  <c r="I8094" i="9"/>
  <c r="I8100" i="9"/>
  <c r="I8103" i="9"/>
  <c r="I8108" i="9"/>
  <c r="I8143" i="9"/>
  <c r="I8144" i="9"/>
  <c r="I8158" i="9"/>
  <c r="I8159" i="9"/>
  <c r="I8177" i="9"/>
  <c r="I8193" i="9"/>
  <c r="I8221" i="9"/>
  <c r="I8223" i="9"/>
  <c r="I8224" i="9"/>
  <c r="I8228" i="9"/>
  <c r="I8248" i="9"/>
  <c r="I8258" i="9"/>
  <c r="I8263" i="9"/>
  <c r="I8289" i="9"/>
  <c r="I8295" i="9"/>
  <c r="I8303" i="9"/>
  <c r="I8307" i="9"/>
  <c r="I8352" i="9"/>
  <c r="I8358" i="9"/>
  <c r="I8400" i="9"/>
  <c r="I8411" i="9"/>
  <c r="I8449" i="9"/>
  <c r="I8450" i="9"/>
  <c r="I8454" i="9"/>
  <c r="I8465" i="9"/>
  <c r="I8468" i="9"/>
  <c r="I8474" i="9"/>
  <c r="I8490" i="9"/>
  <c r="I8507" i="9"/>
  <c r="I8533" i="9"/>
  <c r="I8541" i="9"/>
  <c r="I8543" i="9"/>
  <c r="I8573" i="9"/>
  <c r="I8613" i="9"/>
  <c r="I8621" i="9"/>
  <c r="I8664" i="9"/>
  <c r="I8679" i="9"/>
  <c r="I8682" i="9"/>
  <c r="I8734" i="9"/>
  <c r="I8763" i="9"/>
  <c r="I8766" i="9"/>
  <c r="I8797" i="9"/>
  <c r="I8817" i="9"/>
  <c r="I8819" i="9"/>
  <c r="I8847" i="9"/>
  <c r="I8849" i="9"/>
  <c r="I8855" i="9"/>
  <c r="I8917" i="9"/>
  <c r="I8920" i="9"/>
  <c r="I8923" i="9"/>
  <c r="I8924" i="9"/>
  <c r="I8939" i="9"/>
  <c r="I8943" i="9"/>
  <c r="I8951" i="9"/>
  <c r="I9031" i="9"/>
  <c r="I9047" i="9"/>
  <c r="I9054" i="9"/>
  <c r="I9088" i="9"/>
  <c r="I9132" i="9"/>
  <c r="I9146" i="9"/>
  <c r="I9159" i="9"/>
  <c r="I9199" i="9"/>
  <c r="I9201" i="9"/>
  <c r="I9210" i="9"/>
  <c r="I9226" i="9"/>
  <c r="I9228" i="9"/>
  <c r="I9233" i="9"/>
  <c r="I9248" i="9"/>
  <c r="I9272" i="9"/>
  <c r="I9289" i="9"/>
  <c r="I9298" i="9"/>
  <c r="I9300" i="9"/>
  <c r="I9302" i="9"/>
  <c r="I1930" i="9"/>
  <c r="I2139" i="9"/>
  <c r="I2140" i="9"/>
  <c r="I113" i="9"/>
  <c r="I1971" i="9"/>
  <c r="I2295" i="9"/>
  <c r="I7790" i="9"/>
  <c r="I1972" i="9"/>
  <c r="I7432" i="9"/>
  <c r="I64" i="9"/>
  <c r="I7791" i="9"/>
  <c r="I5514" i="9"/>
  <c r="I8834" i="9"/>
  <c r="I2842" i="9"/>
  <c r="I7434" i="9"/>
  <c r="I2287" i="9"/>
  <c r="I2173" i="9"/>
  <c r="I2297" i="9"/>
  <c r="I2843" i="9"/>
  <c r="I1973" i="9"/>
  <c r="I2299" i="9"/>
  <c r="I8116" i="9"/>
  <c r="I2844" i="9"/>
  <c r="I3225" i="9"/>
  <c r="I1815" i="9"/>
  <c r="I4835" i="9"/>
  <c r="I3630" i="9"/>
  <c r="I2387" i="9"/>
  <c r="I8892" i="9"/>
  <c r="I2300" i="9"/>
  <c r="I6304" i="9"/>
  <c r="I3109" i="9"/>
  <c r="I2288" i="9"/>
  <c r="I3949" i="9"/>
  <c r="I8151" i="9"/>
  <c r="I7792" i="9"/>
  <c r="I5990" i="9"/>
  <c r="I1934" i="9"/>
  <c r="I2184" i="9"/>
  <c r="I5553" i="9"/>
  <c r="I1974" i="9"/>
  <c r="I4416" i="9"/>
  <c r="I4417" i="9"/>
  <c r="I5845" i="9"/>
  <c r="I5846" i="9"/>
  <c r="I4333" i="9"/>
  <c r="I4795" i="9"/>
  <c r="I5322" i="9"/>
  <c r="I6185" i="9"/>
  <c r="I6424" i="9"/>
  <c r="I8117" i="9"/>
  <c r="I3728" i="9"/>
  <c r="I3729" i="9"/>
  <c r="I7129" i="9"/>
  <c r="I5323" i="9"/>
  <c r="I5363" i="9"/>
  <c r="I6170" i="9"/>
  <c r="I7024" i="9"/>
  <c r="I8238" i="9"/>
  <c r="I8375" i="9"/>
  <c r="I8624" i="9"/>
  <c r="I7130" i="9"/>
  <c r="I5177" i="9"/>
  <c r="I1521" i="9"/>
  <c r="I2845" i="9"/>
  <c r="I1522" i="9"/>
  <c r="I65" i="9"/>
  <c r="I5709" i="9"/>
  <c r="I3110" i="9"/>
  <c r="I2174" i="9"/>
  <c r="I5710" i="9"/>
  <c r="I5515" i="9"/>
  <c r="I2097" i="9"/>
  <c r="I5742" i="9"/>
  <c r="I5847" i="9"/>
  <c r="I7017" i="9"/>
  <c r="I7761" i="9"/>
  <c r="I5516" i="9"/>
  <c r="I5178" i="9"/>
  <c r="I2355" i="9"/>
  <c r="I3778" i="9"/>
  <c r="I9142" i="9"/>
  <c r="I9143" i="9"/>
  <c r="I5162" i="9"/>
  <c r="I4494" i="9"/>
  <c r="I7762" i="9"/>
  <c r="I581" i="9"/>
  <c r="I582" i="9"/>
  <c r="I583" i="9"/>
  <c r="I584" i="9"/>
  <c r="I5848" i="9"/>
  <c r="I1344" i="9"/>
  <c r="I66" i="9"/>
  <c r="I2724" i="9"/>
  <c r="I2725" i="9"/>
  <c r="I1879" i="9"/>
  <c r="I2726" i="9"/>
  <c r="I3308" i="9"/>
  <c r="I3309" i="9"/>
  <c r="I2727" i="9"/>
  <c r="I8960" i="9"/>
  <c r="I2418" i="9"/>
  <c r="I2728" i="9"/>
  <c r="I7146" i="9"/>
  <c r="I4836" i="9"/>
  <c r="I1880" i="9"/>
  <c r="I70" i="9"/>
  <c r="I8961" i="9"/>
  <c r="I7147" i="9"/>
  <c r="I7148" i="9"/>
  <c r="I1985" i="9"/>
  <c r="I4185" i="9"/>
  <c r="I4052" i="9"/>
  <c r="I6027" i="9"/>
  <c r="I4053" i="9"/>
  <c r="I6028" i="9"/>
  <c r="I3310" i="9"/>
  <c r="I1881" i="9"/>
  <c r="I1345" i="9"/>
  <c r="I3027" i="9"/>
  <c r="I7178" i="9"/>
  <c r="I92" i="9"/>
  <c r="I1882" i="9"/>
  <c r="I2956" i="9"/>
  <c r="I2729" i="9"/>
  <c r="I5850" i="9"/>
  <c r="I7150" i="9"/>
  <c r="I2730" i="9"/>
  <c r="I3495" i="9"/>
  <c r="I2965" i="9"/>
  <c r="I2084" i="9"/>
  <c r="I3950" i="9"/>
  <c r="I8908" i="9"/>
  <c r="I9033" i="9"/>
  <c r="I1180" i="9"/>
  <c r="I3186" i="9"/>
  <c r="I3187" i="9"/>
  <c r="I1935" i="9"/>
  <c r="I1883" i="9"/>
  <c r="I2731" i="9"/>
  <c r="I6231" i="9"/>
  <c r="I7152" i="9"/>
  <c r="I7153" i="9"/>
  <c r="I4219" i="9"/>
  <c r="I4220" i="9"/>
  <c r="I4221" i="9"/>
  <c r="I1650" i="9"/>
  <c r="I4429" i="9"/>
  <c r="I4796" i="9"/>
  <c r="I586" i="9"/>
  <c r="I5991" i="9"/>
  <c r="I3326" i="9"/>
  <c r="I3731" i="9"/>
  <c r="I4338" i="9"/>
  <c r="I5328" i="9"/>
  <c r="I8118" i="9"/>
  <c r="I1353" i="9"/>
  <c r="I1361" i="9"/>
  <c r="I3092" i="9"/>
  <c r="I3311" i="9"/>
  <c r="I5329" i="9"/>
  <c r="I3312" i="9"/>
  <c r="I3313" i="9"/>
  <c r="I3314" i="9"/>
  <c r="I587" i="9"/>
  <c r="I5821" i="9"/>
  <c r="I3595" i="9"/>
  <c r="I3115" i="9"/>
  <c r="I8376" i="9"/>
  <c r="I8377" i="9"/>
  <c r="I93" i="9"/>
  <c r="I3093" i="9"/>
  <c r="I6171" i="9"/>
  <c r="I7131" i="9"/>
  <c r="I7307" i="9"/>
  <c r="I8239" i="9"/>
  <c r="I8378" i="9"/>
  <c r="I8625" i="9"/>
  <c r="I2966" i="9"/>
  <c r="I2085" i="9"/>
  <c r="I3455" i="9"/>
  <c r="I5889" i="9"/>
  <c r="I3898" i="9"/>
  <c r="I7067" i="9"/>
  <c r="I464" i="9"/>
  <c r="I3791" i="9"/>
  <c r="I7670" i="9"/>
  <c r="I1241" i="9"/>
  <c r="I1891" i="9"/>
  <c r="I3188" i="9"/>
  <c r="I4675" i="9"/>
  <c r="I5179" i="9"/>
  <c r="I7181" i="9"/>
  <c r="I1936" i="9"/>
  <c r="I1937" i="9"/>
  <c r="I2732" i="9"/>
  <c r="I7156" i="9"/>
  <c r="I4222" i="9"/>
  <c r="I4223" i="9"/>
  <c r="I4224" i="9"/>
  <c r="I5517" i="9"/>
  <c r="I3598" i="9"/>
  <c r="I8893" i="9"/>
  <c r="I3170" i="9"/>
  <c r="I6650" i="9"/>
  <c r="I6744" i="9"/>
  <c r="I8547" i="9"/>
  <c r="I1975" i="9"/>
  <c r="I4432" i="9"/>
  <c r="I4433" i="9"/>
  <c r="I4434" i="9"/>
  <c r="I5554" i="9"/>
  <c r="I5555" i="9"/>
  <c r="I5851" i="9"/>
  <c r="I4797" i="9"/>
  <c r="I8037" i="9"/>
  <c r="I2511" i="9"/>
  <c r="I128" i="9"/>
  <c r="I1952" i="9"/>
  <c r="I3029" i="9"/>
  <c r="I4691" i="9"/>
  <c r="I3967" i="9"/>
  <c r="I4350" i="9"/>
  <c r="I6307" i="9"/>
  <c r="I8270" i="9"/>
  <c r="I5333" i="9"/>
  <c r="I7018" i="9"/>
  <c r="I8240" i="9"/>
  <c r="I1354" i="9"/>
  <c r="I1884" i="9"/>
  <c r="I2957" i="9"/>
  <c r="I4339" i="9"/>
  <c r="I3315" i="9"/>
  <c r="I1885" i="9"/>
  <c r="I2958" i="9"/>
  <c r="I1355" i="9"/>
  <c r="I5830" i="9"/>
  <c r="I6457" i="9"/>
  <c r="I6458" i="9"/>
  <c r="I3316" i="9"/>
  <c r="I4340" i="9"/>
  <c r="I5334" i="9"/>
  <c r="I6425" i="9"/>
  <c r="I8385" i="9"/>
  <c r="I4341" i="9"/>
  <c r="I5335" i="9"/>
  <c r="I1559" i="9"/>
  <c r="I5606" i="9"/>
  <c r="I2623" i="9"/>
  <c r="I2624" i="9"/>
  <c r="I3599" i="9"/>
  <c r="I4838" i="9"/>
  <c r="I3116" i="9"/>
  <c r="I3117" i="9"/>
  <c r="I8878" i="9"/>
  <c r="I7345" i="9"/>
  <c r="I114" i="9"/>
  <c r="I3757" i="9"/>
  <c r="I4543" i="9"/>
  <c r="I5290" i="9"/>
  <c r="I5607" i="9"/>
  <c r="I8513" i="9"/>
  <c r="I8105" i="9"/>
  <c r="I7898" i="9"/>
  <c r="I1816" i="9"/>
  <c r="I1990" i="9"/>
  <c r="I2912" i="9"/>
  <c r="I3003" i="9"/>
  <c r="I4783" i="9"/>
  <c r="I5118" i="9"/>
  <c r="I7349" i="9"/>
  <c r="I8915" i="9"/>
  <c r="I134" i="9"/>
  <c r="I507" i="9"/>
  <c r="I476" i="9"/>
  <c r="I1314" i="9"/>
  <c r="I2090" i="9"/>
  <c r="I2695" i="9"/>
  <c r="I2754" i="9"/>
  <c r="I2934" i="9"/>
  <c r="I3235" i="9"/>
  <c r="I3920" i="9"/>
  <c r="I4653" i="9"/>
  <c r="I5190" i="9"/>
  <c r="I6874" i="9"/>
  <c r="I7774" i="9"/>
  <c r="I7924" i="9"/>
  <c r="I7955" i="9"/>
  <c r="I8645" i="9"/>
  <c r="I1892" i="9"/>
  <c r="I2582" i="9"/>
  <c r="I3248" i="9"/>
  <c r="I3758" i="9"/>
  <c r="I4060" i="9"/>
  <c r="I7773" i="9"/>
  <c r="I366" i="9"/>
  <c r="I6654" i="9"/>
  <c r="I1496" i="9"/>
  <c r="I4037" i="9"/>
  <c r="I352" i="9"/>
  <c r="I1242" i="9"/>
  <c r="I1497" i="9"/>
  <c r="I3166" i="9"/>
  <c r="I3189" i="9"/>
  <c r="I4563" i="9"/>
  <c r="I5434" i="9"/>
  <c r="I6938" i="9"/>
  <c r="I7036" i="9"/>
  <c r="I7805" i="9"/>
  <c r="I8272" i="9"/>
  <c r="I1938" i="9"/>
  <c r="I1939" i="9"/>
  <c r="I4225" i="9"/>
  <c r="I4226" i="9"/>
  <c r="I4182" i="9"/>
  <c r="I5375" i="9"/>
  <c r="I2686" i="9"/>
  <c r="I5556" i="9"/>
  <c r="I2446" i="9"/>
  <c r="I4438" i="9"/>
  <c r="I4439" i="9"/>
  <c r="I4440" i="9"/>
  <c r="I4441" i="9"/>
  <c r="I4334" i="9"/>
  <c r="I2647" i="9"/>
  <c r="I1523" i="9"/>
  <c r="I5337" i="9"/>
  <c r="I1886" i="9"/>
  <c r="I6942" i="9"/>
  <c r="I3101" i="9"/>
  <c r="I4342" i="9"/>
  <c r="I5338" i="9"/>
  <c r="I5339" i="9"/>
  <c r="I5832" i="9"/>
  <c r="I7025" i="9"/>
  <c r="I7436" i="9"/>
  <c r="I3094" i="9"/>
  <c r="I3317" i="9"/>
  <c r="I588" i="9"/>
  <c r="I4403" i="9"/>
  <c r="I399" i="9"/>
  <c r="I5822" i="9"/>
  <c r="I6655" i="9"/>
  <c r="I6899" i="9"/>
  <c r="I7072" i="9"/>
  <c r="I4258" i="9"/>
  <c r="I7943" i="9"/>
  <c r="I5826" i="9"/>
  <c r="I2583" i="9"/>
  <c r="I4070" i="9"/>
  <c r="I2625" i="9"/>
  <c r="I3118" i="9"/>
  <c r="I8241" i="9"/>
  <c r="I8879" i="9"/>
  <c r="I2968" i="9"/>
  <c r="I3291" i="9"/>
  <c r="I6555" i="9"/>
  <c r="I2086" i="9"/>
  <c r="I7422" i="9"/>
  <c r="I97" i="9"/>
  <c r="I115" i="9"/>
  <c r="I270" i="9"/>
  <c r="I336" i="9"/>
  <c r="I1498" i="9"/>
  <c r="I1991" i="9"/>
  <c r="I2913" i="9"/>
  <c r="I4187" i="9"/>
  <c r="I4677" i="9"/>
  <c r="I3902" i="9"/>
  <c r="I3903" i="9"/>
  <c r="I6657" i="9"/>
  <c r="I1725" i="9"/>
  <c r="I3759" i="9"/>
  <c r="I5253" i="9"/>
  <c r="I5254" i="9"/>
  <c r="I8837" i="9"/>
  <c r="I1893" i="9"/>
  <c r="I4165" i="9"/>
  <c r="I1499" i="9"/>
  <c r="I33" i="9"/>
  <c r="I5667" i="9"/>
  <c r="I5668" i="9"/>
  <c r="I353" i="9"/>
  <c r="I1211" i="9"/>
  <c r="I2894" i="9"/>
  <c r="I3060" i="9"/>
  <c r="I4564" i="9"/>
  <c r="I6568" i="9"/>
  <c r="I7037" i="9"/>
  <c r="I4227" i="9"/>
  <c r="I5518" i="9"/>
  <c r="I4228" i="9"/>
  <c r="I3382" i="9"/>
  <c r="I1651" i="9"/>
  <c r="I4678" i="9"/>
  <c r="I4964" i="9"/>
  <c r="I4071" i="9"/>
  <c r="I4965" i="9"/>
  <c r="I5852" i="9"/>
  <c r="I4442" i="9"/>
  <c r="I4443" i="9"/>
  <c r="I4798" i="9"/>
  <c r="I4799" i="9"/>
  <c r="I6626" i="9"/>
  <c r="I2512" i="9"/>
  <c r="I3733" i="9"/>
  <c r="I4343" i="9"/>
  <c r="I4344" i="9"/>
  <c r="I5342" i="9"/>
  <c r="I5343" i="9"/>
  <c r="I5344" i="9"/>
  <c r="I6187" i="9"/>
  <c r="I6955" i="9"/>
  <c r="I6956" i="9"/>
  <c r="I3318" i="9"/>
  <c r="I7437" i="9"/>
  <c r="I7438" i="9"/>
  <c r="I4293" i="9"/>
  <c r="I3376" i="9"/>
  <c r="I1313" i="9"/>
  <c r="I264" i="9"/>
  <c r="I502" i="9"/>
  <c r="I5764" i="9"/>
  <c r="I8671" i="9"/>
  <c r="I9285" i="9"/>
  <c r="I2508" i="9"/>
  <c r="I573" i="9"/>
  <c r="I7073" i="9"/>
  <c r="I5823" i="9"/>
  <c r="I2626" i="9"/>
  <c r="I1850" i="9"/>
  <c r="I3602" i="9"/>
  <c r="I2969" i="9"/>
  <c r="I2970" i="9"/>
  <c r="I2971" i="9"/>
  <c r="I354" i="9"/>
  <c r="I116" i="9"/>
  <c r="I117" i="9"/>
  <c r="I29" i="9"/>
  <c r="I163" i="9"/>
  <c r="I408" i="9"/>
  <c r="I1500" i="9"/>
  <c r="I2761" i="9"/>
  <c r="I2914" i="9"/>
  <c r="I3419" i="9"/>
  <c r="I3710" i="9"/>
  <c r="I4188" i="9"/>
  <c r="I4891" i="9"/>
  <c r="I5610" i="9"/>
  <c r="I6672" i="9"/>
  <c r="I7244" i="9"/>
  <c r="I8039" i="9"/>
  <c r="I9056" i="9"/>
  <c r="I6745" i="9"/>
  <c r="I271" i="9"/>
  <c r="I1851" i="9"/>
  <c r="I3636" i="9"/>
  <c r="I5255" i="9"/>
  <c r="I1895" i="9"/>
  <c r="I2585" i="9"/>
  <c r="I7471" i="9"/>
  <c r="I8838" i="9"/>
  <c r="I1852" i="9"/>
  <c r="I3564" i="9"/>
  <c r="I6673" i="9"/>
  <c r="I6943" i="9"/>
  <c r="I355" i="9"/>
  <c r="I4072" i="9"/>
  <c r="I1986" i="9"/>
  <c r="I3190" i="9"/>
  <c r="I3191" i="9"/>
  <c r="I5134" i="9"/>
  <c r="I5993" i="9"/>
  <c r="I6285" i="9"/>
  <c r="I6309" i="9"/>
  <c r="I4229" i="9"/>
  <c r="I4230" i="9"/>
  <c r="I3383" i="9"/>
  <c r="I4231" i="9"/>
  <c r="I2954" i="9"/>
  <c r="I3154" i="9"/>
  <c r="I5163" i="9"/>
  <c r="I7346" i="9"/>
  <c r="I5229" i="9"/>
  <c r="I5376" i="9"/>
  <c r="I5611" i="9"/>
  <c r="I1732" i="9"/>
  <c r="I1774" i="9"/>
  <c r="I7560" i="9"/>
  <c r="I4445" i="9"/>
  <c r="I4446" i="9"/>
  <c r="I4447" i="9"/>
  <c r="I4800" i="9"/>
  <c r="I6910" i="9"/>
  <c r="I6911" i="9"/>
  <c r="I3023" i="9"/>
  <c r="I3085" i="9"/>
  <c r="I4791" i="9"/>
  <c r="I5647" i="9"/>
  <c r="I7912" i="9"/>
  <c r="I190" i="9"/>
  <c r="I191" i="9"/>
  <c r="I6850" i="9"/>
  <c r="I8767" i="9"/>
  <c r="I98" i="9"/>
  <c r="I2513" i="9"/>
  <c r="I6756" i="9"/>
  <c r="I6172" i="9"/>
  <c r="I7440" i="9"/>
  <c r="I8379" i="9"/>
  <c r="I8386" i="9"/>
  <c r="I8628" i="9"/>
  <c r="I4294" i="9"/>
  <c r="I5345" i="9"/>
  <c r="I5833" i="9"/>
  <c r="I5963" i="9"/>
  <c r="I6459" i="9"/>
  <c r="I6957" i="9"/>
  <c r="I7132" i="9"/>
  <c r="I1887" i="9"/>
  <c r="I4345" i="9"/>
  <c r="I3327" i="9"/>
  <c r="I5230" i="9"/>
  <c r="I2498" i="9"/>
  <c r="I6119" i="9"/>
  <c r="I2" i="9"/>
  <c r="I2875" i="9"/>
  <c r="I5285" i="9"/>
  <c r="I5286" i="9"/>
  <c r="I6834" i="9"/>
  <c r="I1137" i="9"/>
  <c r="I1462" i="9"/>
  <c r="I1585" i="9"/>
  <c r="I2687" i="9"/>
  <c r="I3006" i="9"/>
  <c r="I4914" i="9"/>
  <c r="I5231" i="9"/>
  <c r="I5947" i="9"/>
  <c r="I6565" i="9"/>
  <c r="I7999" i="9"/>
  <c r="I9275" i="9"/>
  <c r="I512" i="9"/>
  <c r="I526" i="9"/>
  <c r="I1987" i="9"/>
  <c r="I3022" i="9"/>
  <c r="I3542" i="9"/>
  <c r="I3797" i="9"/>
  <c r="I3925" i="9"/>
  <c r="I4495" i="9"/>
  <c r="I4526" i="9"/>
  <c r="I5313" i="9"/>
  <c r="I5612" i="9"/>
  <c r="I5732" i="9"/>
  <c r="I6718" i="9"/>
  <c r="I6889" i="9"/>
  <c r="I7561" i="9"/>
  <c r="I8443" i="9"/>
  <c r="I8514" i="9"/>
  <c r="I4061" i="9"/>
  <c r="I7074" i="9"/>
  <c r="I245" i="9"/>
  <c r="I508" i="9"/>
  <c r="I2499" i="9"/>
  <c r="I3119" i="9"/>
  <c r="I1806" i="9"/>
  <c r="I2087" i="9"/>
  <c r="I2683" i="9"/>
  <c r="I3711" i="9"/>
  <c r="I509" i="9"/>
  <c r="I5634" i="9"/>
  <c r="I5738" i="9"/>
  <c r="I8840" i="9"/>
  <c r="I7901" i="9"/>
  <c r="I7902" i="9"/>
  <c r="I118" i="9"/>
  <c r="I6078" i="9"/>
  <c r="I7903" i="9"/>
  <c r="I8184" i="9"/>
  <c r="I73" i="9"/>
  <c r="I221" i="9"/>
  <c r="I272" i="9"/>
  <c r="I337" i="9"/>
  <c r="I395" i="9"/>
  <c r="I1134" i="9"/>
  <c r="I2064" i="9"/>
  <c r="I2849" i="9"/>
  <c r="I3449" i="9"/>
  <c r="I3496" i="9"/>
  <c r="I3589" i="9"/>
  <c r="I3639" i="9"/>
  <c r="I4189" i="9"/>
  <c r="I4840" i="9"/>
  <c r="I4970" i="9"/>
  <c r="I5207" i="9"/>
  <c r="I5759" i="9"/>
  <c r="I6140" i="9"/>
  <c r="I7797" i="9"/>
  <c r="I8156" i="9"/>
  <c r="I8481" i="9"/>
  <c r="I8850" i="9"/>
  <c r="I119" i="9"/>
  <c r="I135" i="9"/>
  <c r="I144" i="9"/>
  <c r="I281" i="9"/>
  <c r="I367" i="9"/>
  <c r="I1152" i="9"/>
  <c r="I1542" i="9"/>
  <c r="I1673" i="9"/>
  <c r="I1809" i="9"/>
  <c r="I1907" i="9"/>
  <c r="I1995" i="9"/>
  <c r="I2091" i="9"/>
  <c r="I2696" i="9"/>
  <c r="I2735" i="9"/>
  <c r="I2810" i="9"/>
  <c r="I2921" i="9"/>
  <c r="I3180" i="9"/>
  <c r="I3236" i="9"/>
  <c r="I3458" i="9"/>
  <c r="I3760" i="9"/>
  <c r="I3961" i="9"/>
  <c r="I4499" i="9"/>
  <c r="I4544" i="9"/>
  <c r="I4892" i="9"/>
  <c r="I5192" i="9"/>
  <c r="I6658" i="9"/>
  <c r="I6857" i="9"/>
  <c r="I7608" i="9"/>
  <c r="I7798" i="9"/>
  <c r="I7928" i="9"/>
  <c r="I8673" i="9"/>
  <c r="I8903" i="9"/>
  <c r="I8975" i="9"/>
  <c r="I9035" i="9"/>
  <c r="I9079" i="9"/>
  <c r="I9192" i="9"/>
  <c r="I3906" i="9"/>
  <c r="I6145" i="9"/>
  <c r="I2419" i="9"/>
  <c r="I2588" i="9"/>
  <c r="I2807" i="9"/>
  <c r="I3181" i="9"/>
  <c r="I3640" i="9"/>
  <c r="I4545" i="9"/>
  <c r="I4681" i="9"/>
  <c r="I4693" i="9"/>
  <c r="I3606" i="9"/>
  <c r="I7212" i="9"/>
  <c r="I7414" i="9"/>
  <c r="I104" i="9"/>
  <c r="I126" i="9"/>
  <c r="I130" i="9"/>
  <c r="I132" i="9"/>
  <c r="I136" i="9"/>
  <c r="I145" i="9"/>
  <c r="I160" i="9"/>
  <c r="I273" i="9"/>
  <c r="I282" i="9"/>
  <c r="I338" i="9"/>
  <c r="I360" i="9"/>
  <c r="I499" i="9"/>
  <c r="I513" i="9"/>
  <c r="I1138" i="9"/>
  <c r="I1148" i="9"/>
  <c r="I1228" i="9"/>
  <c r="I1235" i="9"/>
  <c r="I1244" i="9"/>
  <c r="I1257" i="9"/>
  <c r="I1291" i="9"/>
  <c r="I1346" i="9"/>
  <c r="I1383" i="9"/>
  <c r="I1422" i="9"/>
  <c r="I1450" i="9"/>
  <c r="I1454" i="9"/>
  <c r="I1457" i="9"/>
  <c r="I1473" i="9"/>
  <c r="I1483" i="9"/>
  <c r="I1485" i="9"/>
  <c r="I1543" i="9"/>
  <c r="I1580" i="9"/>
  <c r="I1619" i="9"/>
  <c r="I1674" i="9"/>
  <c r="I1727" i="9"/>
  <c r="I1733" i="9"/>
  <c r="I1737" i="9"/>
  <c r="I1802" i="9"/>
  <c r="I1804" i="9"/>
  <c r="I1817" i="9"/>
  <c r="I1853" i="9"/>
  <c r="I1897" i="9"/>
  <c r="I1908" i="9"/>
  <c r="I1996" i="9"/>
  <c r="I2028" i="9"/>
  <c r="I2065" i="9"/>
  <c r="I2092" i="9"/>
  <c r="I2122" i="9"/>
  <c r="I2163" i="9"/>
  <c r="I2324" i="9"/>
  <c r="I2378" i="9"/>
  <c r="I2460" i="9"/>
  <c r="I2463" i="9"/>
  <c r="I2468" i="9"/>
  <c r="I2471" i="9"/>
  <c r="I2523" i="9"/>
  <c r="I2664" i="9"/>
  <c r="I2751" i="9"/>
  <c r="I2756" i="9"/>
  <c r="I2819" i="9"/>
  <c r="I2895" i="9"/>
  <c r="I2907" i="9"/>
  <c r="I2922" i="9"/>
  <c r="I3062" i="9"/>
  <c r="I3176" i="9"/>
  <c r="I3182" i="9"/>
  <c r="I3237" i="9"/>
  <c r="I3265" i="9"/>
  <c r="I3394" i="9"/>
  <c r="I3420" i="9"/>
  <c r="I3430" i="9"/>
  <c r="I3450" i="9"/>
  <c r="I3470" i="9"/>
  <c r="I3549" i="9"/>
  <c r="I3565" i="9"/>
  <c r="I3590" i="9"/>
  <c r="I3761" i="9"/>
  <c r="I3779" i="9"/>
  <c r="I3800" i="9"/>
  <c r="I3921" i="9"/>
  <c r="I3923" i="9"/>
  <c r="I4040" i="9"/>
  <c r="I4084" i="9"/>
  <c r="I4118" i="9"/>
  <c r="I4190" i="9"/>
  <c r="I4270" i="9"/>
  <c r="I4322" i="9"/>
  <c r="I4362" i="9"/>
  <c r="I4363" i="9"/>
  <c r="I4401" i="9"/>
  <c r="I4546" i="9"/>
  <c r="I4566" i="9"/>
  <c r="I4672" i="9"/>
  <c r="I4784" i="9"/>
  <c r="I4793" i="9"/>
  <c r="I4893" i="9"/>
  <c r="I4967" i="9"/>
  <c r="I4977" i="9"/>
  <c r="I5026" i="9"/>
  <c r="I5058" i="9"/>
  <c r="I5086" i="9"/>
  <c r="I5126" i="9"/>
  <c r="I5164" i="9"/>
  <c r="I5193" i="9"/>
  <c r="I5242" i="9"/>
  <c r="I5273" i="9"/>
  <c r="I5293" i="9"/>
  <c r="I5614" i="9"/>
  <c r="I5635" i="9"/>
  <c r="I5641" i="9"/>
  <c r="I5719" i="9"/>
  <c r="I5794" i="9"/>
  <c r="I5895" i="9"/>
  <c r="I6039" i="9"/>
  <c r="I6248" i="9"/>
  <c r="I6286" i="9"/>
  <c r="I6376" i="9"/>
  <c r="I6533" i="9"/>
  <c r="I6569" i="9"/>
  <c r="I6659" i="9"/>
  <c r="I6667" i="9"/>
  <c r="I6858" i="9"/>
  <c r="I6901" i="9"/>
  <c r="I6920" i="9"/>
  <c r="I6976" i="9"/>
  <c r="I7038" i="9"/>
  <c r="I7068" i="9"/>
  <c r="I7078" i="9"/>
  <c r="I7202" i="9"/>
  <c r="I7205" i="9"/>
  <c r="I7213" i="9"/>
  <c r="I7245" i="9"/>
  <c r="I7351" i="9"/>
  <c r="I7423" i="9"/>
  <c r="I7565" i="9"/>
  <c r="I7594" i="9"/>
  <c r="I7609" i="9"/>
  <c r="I7764" i="9"/>
  <c r="I7778" i="9"/>
  <c r="I7921" i="9"/>
  <c r="I7958" i="9"/>
  <c r="I8084" i="9"/>
  <c r="I8185" i="9"/>
  <c r="I8194" i="9"/>
  <c r="I8305" i="9"/>
  <c r="I8360" i="9"/>
  <c r="I8414" i="9"/>
  <c r="I8451" i="9"/>
  <c r="I8467" i="9"/>
  <c r="I8470" i="9"/>
  <c r="I8475" i="9"/>
  <c r="I8496" i="9"/>
  <c r="I8647" i="9"/>
  <c r="I8665" i="9"/>
  <c r="I8674" i="9"/>
  <c r="I8683" i="9"/>
  <c r="I8841" i="9"/>
  <c r="I8853" i="9"/>
  <c r="I8867" i="9"/>
  <c r="I8904" i="9"/>
  <c r="I8919" i="9"/>
  <c r="I9036" i="9"/>
  <c r="I9080" i="9"/>
  <c r="I9136" i="9"/>
  <c r="I9193" i="9"/>
  <c r="I9239" i="9"/>
  <c r="I9266" i="9"/>
  <c r="I9273" i="9"/>
  <c r="I1480" i="9"/>
  <c r="I1670" i="9"/>
  <c r="I6570" i="9"/>
  <c r="I8195" i="9"/>
  <c r="I7904" i="9"/>
  <c r="I8012" i="9"/>
  <c r="I8013" i="9"/>
  <c r="I7905" i="9"/>
  <c r="I1586" i="9"/>
  <c r="I2612" i="9"/>
  <c r="I2472" i="9"/>
  <c r="I8130" i="9"/>
  <c r="I2207" i="9"/>
  <c r="I3395" i="9"/>
  <c r="I28" i="9"/>
  <c r="I74" i="9"/>
  <c r="I274" i="9"/>
  <c r="I381" i="9"/>
  <c r="I1818" i="9"/>
  <c r="I2469" i="9"/>
  <c r="I2476" i="9"/>
  <c r="I2688" i="9"/>
  <c r="I2703" i="9"/>
  <c r="I2948" i="9"/>
  <c r="I3712" i="9"/>
  <c r="I4073" i="9"/>
  <c r="I4785" i="9"/>
  <c r="I5073" i="9"/>
  <c r="I6548" i="9"/>
  <c r="I7187" i="9"/>
  <c r="I7188" i="9"/>
  <c r="I7189" i="9"/>
  <c r="I7206" i="9"/>
  <c r="I7260" i="9"/>
  <c r="I7264" i="9"/>
  <c r="I7566" i="9"/>
  <c r="I9037" i="9"/>
  <c r="I7688" i="9"/>
  <c r="I400" i="9"/>
  <c r="I1153" i="9"/>
  <c r="I1182" i="9"/>
  <c r="I2051" i="9"/>
  <c r="I2066" i="9"/>
  <c r="I2108" i="9"/>
  <c r="I2627" i="9"/>
  <c r="I3063" i="9"/>
  <c r="I3177" i="9"/>
  <c r="I3193" i="9"/>
  <c r="I4302" i="9"/>
  <c r="I4694" i="9"/>
  <c r="I4780" i="9"/>
  <c r="I4792" i="9"/>
  <c r="I4841" i="9"/>
  <c r="I4906" i="9"/>
  <c r="I4931" i="9"/>
  <c r="I5488" i="9"/>
  <c r="I5510" i="9"/>
  <c r="I5948" i="9"/>
  <c r="I7246" i="9"/>
  <c r="I7567" i="9"/>
  <c r="I7809" i="9"/>
  <c r="I8163" i="9"/>
  <c r="I8274" i="9"/>
  <c r="I9038" i="9"/>
  <c r="I9154" i="9"/>
  <c r="I1356" i="9"/>
  <c r="I1940" i="9"/>
  <c r="I1941" i="9"/>
  <c r="I5348" i="9"/>
  <c r="I5364" i="9"/>
  <c r="I6173" i="9"/>
  <c r="I7026" i="9"/>
  <c r="I7441" i="9"/>
  <c r="I8243" i="9"/>
  <c r="I8380" i="9"/>
  <c r="I8387" i="9"/>
  <c r="I1362" i="9"/>
  <c r="I3102" i="9"/>
  <c r="I2059" i="9"/>
  <c r="I4232" i="9"/>
  <c r="I4233" i="9"/>
  <c r="I5519" i="9"/>
  <c r="I3205" i="9"/>
  <c r="I1876" i="9"/>
  <c r="I3019" i="9"/>
  <c r="I3155" i="9"/>
  <c r="I8186" i="9"/>
  <c r="I8517" i="9"/>
  <c r="I2589" i="9"/>
  <c r="I9262" i="9"/>
  <c r="I3451" i="9"/>
  <c r="I235" i="9"/>
  <c r="I7157" i="9"/>
  <c r="I1976" i="9"/>
  <c r="I1977" i="9"/>
  <c r="I7192" i="9"/>
  <c r="I1978" i="9"/>
  <c r="I2447" i="9"/>
  <c r="I5557" i="9"/>
  <c r="I7158" i="9"/>
  <c r="I4455" i="9"/>
  <c r="I4456" i="9"/>
  <c r="I4457" i="9"/>
  <c r="I4458" i="9"/>
  <c r="I4459" i="9"/>
  <c r="I4460" i="9"/>
  <c r="I4461" i="9"/>
  <c r="I5558" i="9"/>
  <c r="I5853" i="9"/>
  <c r="I1342" i="9"/>
  <c r="I2448" i="9"/>
  <c r="I5559" i="9"/>
  <c r="I5854" i="9"/>
  <c r="I7159" i="9"/>
  <c r="I2915" i="9"/>
  <c r="I4801" i="9"/>
  <c r="I4802" i="9"/>
  <c r="I4803" i="9"/>
  <c r="I3153" i="9"/>
  <c r="I3" i="9"/>
  <c r="I2492" i="9"/>
  <c r="I3086" i="9"/>
  <c r="I4005" i="9"/>
  <c r="I7929" i="9"/>
  <c r="I8000" i="9"/>
  <c r="I346" i="9"/>
  <c r="I2515" i="9"/>
  <c r="I6312" i="9"/>
  <c r="I1183" i="9"/>
  <c r="I1437" i="9"/>
  <c r="I1625" i="9"/>
  <c r="I1954" i="9"/>
  <c r="I3970" i="9"/>
  <c r="I5489" i="9"/>
  <c r="I5747" i="9"/>
  <c r="I5994" i="9"/>
  <c r="I7179" i="9"/>
  <c r="I7810" i="9"/>
  <c r="I8262" i="9"/>
  <c r="I1525" i="9"/>
  <c r="I1955" i="9"/>
  <c r="I2501" i="9"/>
  <c r="I3971" i="9"/>
  <c r="I5748" i="9"/>
  <c r="I1363" i="9"/>
  <c r="I2959" i="9"/>
  <c r="I3103" i="9"/>
  <c r="I3328" i="9"/>
  <c r="I8388" i="9"/>
  <c r="I3076" i="9"/>
  <c r="I6057" i="9"/>
  <c r="I3096" i="9"/>
  <c r="I3329" i="9"/>
  <c r="I3319" i="9"/>
  <c r="I1357" i="9"/>
  <c r="I2960" i="9"/>
  <c r="I3077" i="9"/>
  <c r="I3330" i="9"/>
  <c r="I4560" i="9"/>
  <c r="I5349" i="9"/>
  <c r="I5365" i="9"/>
  <c r="I5866" i="9"/>
  <c r="I6188" i="9"/>
  <c r="I6269" i="9"/>
  <c r="I6944" i="9"/>
  <c r="I7020" i="9"/>
  <c r="I8389" i="9"/>
  <c r="I8629" i="9"/>
  <c r="I3734" i="9"/>
  <c r="I5834" i="9"/>
  <c r="I5835" i="9"/>
  <c r="I6426" i="9"/>
  <c r="I6631" i="9"/>
  <c r="I7133" i="9"/>
  <c r="I7160" i="9"/>
  <c r="I7193" i="9"/>
  <c r="I7311" i="9"/>
  <c r="I8244" i="9"/>
  <c r="I7442" i="9"/>
  <c r="I8390" i="9"/>
  <c r="I4474" i="9"/>
  <c r="I5232" i="9"/>
  <c r="I7894" i="9"/>
  <c r="I4894" i="9"/>
  <c r="I9057" i="9"/>
  <c r="I547" i="9"/>
  <c r="I3007" i="9"/>
  <c r="I3563" i="9"/>
  <c r="I256" i="9"/>
  <c r="I8894" i="9"/>
  <c r="I8082" i="9"/>
  <c r="I3548" i="9"/>
  <c r="I3801" i="9"/>
  <c r="I5256" i="9"/>
  <c r="I1912" i="9"/>
  <c r="I1931" i="9"/>
  <c r="I3607" i="9"/>
  <c r="I6571" i="9"/>
  <c r="I7568" i="9"/>
  <c r="I7569" i="9"/>
  <c r="I9048" i="9"/>
  <c r="I8014" i="9"/>
  <c r="I8015" i="9"/>
  <c r="I192" i="9"/>
  <c r="I2649" i="9"/>
  <c r="I2973" i="9"/>
  <c r="I5648" i="9"/>
  <c r="I9009" i="9"/>
  <c r="I3907" i="9"/>
  <c r="I2799" i="9"/>
  <c r="I4074" i="9"/>
  <c r="I4480" i="9"/>
  <c r="I99" i="9"/>
  <c r="I2628" i="9"/>
  <c r="I2629" i="9"/>
  <c r="I2630" i="9"/>
  <c r="I3608" i="9"/>
  <c r="I246" i="9"/>
  <c r="I8415" i="9"/>
  <c r="I469" i="9"/>
  <c r="I3886" i="9"/>
  <c r="I4075" i="9"/>
  <c r="I5087" i="9"/>
  <c r="I5760" i="9"/>
  <c r="I3120" i="9"/>
  <c r="I3121" i="9"/>
  <c r="I3331" i="9"/>
  <c r="I5350" i="9"/>
  <c r="I7443" i="9"/>
  <c r="I2733" i="9"/>
  <c r="I2974" i="9"/>
  <c r="I4041" i="9"/>
  <c r="I275" i="9"/>
  <c r="I2088" i="9"/>
  <c r="I2477" i="9"/>
  <c r="I2876" i="9"/>
  <c r="I8466" i="9"/>
  <c r="I283" i="9"/>
  <c r="I373" i="9"/>
  <c r="I1245" i="9"/>
  <c r="I2896" i="9"/>
  <c r="I4781" i="9"/>
  <c r="I5059" i="9"/>
  <c r="I5132" i="9"/>
  <c r="I2123" i="9"/>
  <c r="I1205" i="9"/>
  <c r="I2176" i="9"/>
  <c r="I2458" i="9"/>
  <c r="I7335" i="9"/>
  <c r="I8575" i="9"/>
  <c r="I4580" i="9"/>
  <c r="I8188" i="9"/>
  <c r="I30" i="9"/>
  <c r="I110" i="9"/>
  <c r="I120" i="9"/>
  <c r="I127" i="9"/>
  <c r="I138" i="9"/>
  <c r="I157" i="9"/>
  <c r="I161" i="9"/>
  <c r="I184" i="9"/>
  <c r="I214" i="9"/>
  <c r="I265" i="9"/>
  <c r="I284" i="9"/>
  <c r="I339" i="9"/>
  <c r="I365" i="9"/>
  <c r="I369" i="9"/>
  <c r="I374" i="9"/>
  <c r="I378" i="9"/>
  <c r="I379" i="9"/>
  <c r="I385" i="9"/>
  <c r="I396" i="9"/>
  <c r="I409" i="9"/>
  <c r="I410" i="9"/>
  <c r="I447" i="9"/>
  <c r="I466" i="9"/>
  <c r="I510" i="9"/>
  <c r="I1149" i="9"/>
  <c r="I1154" i="9"/>
  <c r="I1164" i="9"/>
  <c r="I1165" i="9"/>
  <c r="I1236" i="9"/>
  <c r="I1246" i="9"/>
  <c r="I1247" i="9"/>
  <c r="I1259" i="9"/>
  <c r="I1260" i="9"/>
  <c r="I1293" i="9"/>
  <c r="I1347" i="9"/>
  <c r="I1372" i="9"/>
  <c r="I1384" i="9"/>
  <c r="I1438" i="9"/>
  <c r="I1441" i="9"/>
  <c r="I1442" i="9"/>
  <c r="I1458" i="9"/>
  <c r="I1459" i="9"/>
  <c r="I1463" i="9"/>
  <c r="I1557" i="9"/>
  <c r="I1581" i="9"/>
  <c r="I1675" i="9"/>
  <c r="I1734" i="9"/>
  <c r="I1738" i="9"/>
  <c r="I1811" i="9"/>
  <c r="I1820" i="9"/>
  <c r="I1821" i="9"/>
  <c r="I1854" i="9"/>
  <c r="I1910" i="9"/>
  <c r="I2014" i="9"/>
  <c r="I2067" i="9"/>
  <c r="I2093" i="9"/>
  <c r="I2102" i="9"/>
  <c r="I2103" i="9"/>
  <c r="I2159" i="9"/>
  <c r="I2196" i="9"/>
  <c r="I2304" i="9"/>
  <c r="I2325" i="9"/>
  <c r="I2399" i="9"/>
  <c r="I2405" i="9"/>
  <c r="I2461" i="9"/>
  <c r="I2464" i="9"/>
  <c r="I2493" i="9"/>
  <c r="I2666" i="9"/>
  <c r="I2776" i="9"/>
  <c r="I2820" i="9"/>
  <c r="I2823" i="9"/>
  <c r="I2850" i="9"/>
  <c r="I2897" i="9"/>
  <c r="I2908" i="9"/>
  <c r="I2924" i="9"/>
  <c r="I2925" i="9"/>
  <c r="I3004" i="9"/>
  <c r="I3035" i="9"/>
  <c r="I3064" i="9"/>
  <c r="I3156" i="9"/>
  <c r="I3171" i="9"/>
  <c r="I3178" i="9"/>
  <c r="I3183" i="9"/>
  <c r="I3206" i="9"/>
  <c r="I3215" i="9"/>
  <c r="I3266" i="9"/>
  <c r="I3396" i="9"/>
  <c r="I3421" i="9"/>
  <c r="I3431" i="9"/>
  <c r="I3456" i="9"/>
  <c r="I3459" i="9"/>
  <c r="I3460" i="9"/>
  <c r="I3465" i="9"/>
  <c r="I3497" i="9"/>
  <c r="I3514" i="9"/>
  <c r="I3567" i="9"/>
  <c r="I3713" i="9"/>
  <c r="I3714" i="9"/>
  <c r="I3762" i="9"/>
  <c r="I3781" i="9"/>
  <c r="I3922" i="9"/>
  <c r="I4010" i="9"/>
  <c r="I4012" i="9"/>
  <c r="I4047" i="9"/>
  <c r="I4054" i="9"/>
  <c r="I4076" i="9"/>
  <c r="I4082" i="9"/>
  <c r="I4119" i="9"/>
  <c r="I4183" i="9"/>
  <c r="I4192" i="9"/>
  <c r="I4352" i="9"/>
  <c r="I4402" i="9"/>
  <c r="I4412" i="9"/>
  <c r="I4501" i="9"/>
  <c r="I4547" i="9"/>
  <c r="I4682" i="9"/>
  <c r="I4777" i="9"/>
  <c r="I4842" i="9"/>
  <c r="I4911" i="9"/>
  <c r="I4933" i="9"/>
  <c r="I4934" i="9"/>
  <c r="I4937" i="9"/>
  <c r="I4942" i="9"/>
  <c r="I4947" i="9"/>
  <c r="I4949" i="9"/>
  <c r="I4952" i="9"/>
  <c r="I4953" i="9"/>
  <c r="I5019" i="9"/>
  <c r="I5020" i="9"/>
  <c r="I5030" i="9"/>
  <c r="I5060" i="9"/>
  <c r="I5097" i="9"/>
  <c r="I5105" i="9"/>
  <c r="I5144" i="9"/>
  <c r="I5165" i="9"/>
  <c r="I5195" i="9"/>
  <c r="I5303" i="9"/>
  <c r="I5307" i="9"/>
  <c r="I5314" i="9"/>
  <c r="I5315" i="9"/>
  <c r="I5616" i="9"/>
  <c r="I5629" i="9"/>
  <c r="I5720" i="9"/>
  <c r="I5744" i="9"/>
  <c r="I5761" i="9"/>
  <c r="I5890" i="9"/>
  <c r="I5940" i="9"/>
  <c r="I6141" i="9"/>
  <c r="I6313" i="9"/>
  <c r="I6402" i="9"/>
  <c r="I6414" i="9"/>
  <c r="I6467" i="9"/>
  <c r="I6538" i="9"/>
  <c r="I1429" i="9"/>
  <c r="I6660" i="9"/>
  <c r="I6841" i="9"/>
  <c r="I6859" i="9"/>
  <c r="I6875" i="9"/>
  <c r="I6903" i="9"/>
  <c r="I6904" i="9"/>
  <c r="I6914" i="9"/>
  <c r="I6933" i="9"/>
  <c r="I7039" i="9"/>
  <c r="I7040" i="9"/>
  <c r="I7214" i="9"/>
  <c r="I7220" i="9"/>
  <c r="I7352" i="9"/>
  <c r="I7366" i="9"/>
  <c r="I7781" i="9"/>
  <c r="I7800" i="9"/>
  <c r="I7907" i="9"/>
  <c r="I8042" i="9"/>
  <c r="I8067" i="9"/>
  <c r="I8259" i="9"/>
  <c r="I8361" i="9"/>
  <c r="I8520" i="9"/>
  <c r="I8534" i="9"/>
  <c r="I8652" i="9"/>
  <c r="I8666" i="9"/>
  <c r="I8675" i="9"/>
  <c r="I8676" i="9"/>
  <c r="I8851" i="9"/>
  <c r="I8869" i="9"/>
  <c r="I8895" i="9"/>
  <c r="I9081" i="9"/>
  <c r="I9084" i="9"/>
  <c r="I9241" i="9"/>
  <c r="I9267" i="9"/>
  <c r="I362" i="9"/>
  <c r="I370" i="9"/>
  <c r="I375" i="9"/>
  <c r="I1150" i="9"/>
  <c r="I1248" i="9"/>
  <c r="I1348" i="9"/>
  <c r="I1464" i="9"/>
  <c r="I1855" i="9"/>
  <c r="I2305" i="9"/>
  <c r="I2494" i="9"/>
  <c r="I3065" i="9"/>
  <c r="I3432" i="9"/>
  <c r="I3461" i="9"/>
  <c r="I3754" i="9"/>
  <c r="I4019" i="9"/>
  <c r="I4055" i="9"/>
  <c r="I5081" i="9"/>
  <c r="I5617" i="9"/>
  <c r="I5721" i="9"/>
  <c r="I5795" i="9"/>
  <c r="I5941" i="9"/>
  <c r="I6403" i="9"/>
  <c r="I6539" i="9"/>
  <c r="I6572" i="9"/>
  <c r="I6661" i="9"/>
  <c r="I6905" i="9"/>
  <c r="I7215" i="9"/>
  <c r="I7735" i="9"/>
  <c r="I7765" i="9"/>
  <c r="I7782" i="9"/>
  <c r="I8043" i="9"/>
  <c r="I8157" i="9"/>
  <c r="I8362" i="9"/>
  <c r="I8653" i="9"/>
  <c r="I8896" i="9"/>
  <c r="I9264" i="9"/>
  <c r="I386" i="9"/>
  <c r="I4548" i="9"/>
  <c r="I111" i="9"/>
  <c r="I139" i="9"/>
  <c r="I1477" i="9"/>
  <c r="I1901" i="9"/>
  <c r="I1902" i="9"/>
  <c r="I2380" i="9"/>
  <c r="I2391" i="9"/>
  <c r="I2451" i="9"/>
  <c r="I2821" i="9"/>
  <c r="I3066" i="9"/>
  <c r="I4567" i="9"/>
  <c r="I4568" i="9"/>
  <c r="I5110" i="9"/>
  <c r="I5166" i="9"/>
  <c r="I5936" i="9"/>
  <c r="I5975" i="9"/>
  <c r="I7069" i="9"/>
  <c r="I1219" i="9"/>
  <c r="I1439" i="9"/>
  <c r="I1690" i="9"/>
  <c r="I2465" i="9"/>
  <c r="I2591" i="9"/>
  <c r="I2610" i="9"/>
  <c r="I2764" i="9"/>
  <c r="I2926" i="9"/>
  <c r="I3610" i="9"/>
  <c r="I3763" i="9"/>
  <c r="I3911" i="9"/>
  <c r="I3942" i="9"/>
  <c r="I3954" i="9"/>
  <c r="I3973" i="9"/>
  <c r="I4083" i="9"/>
  <c r="I4175" i="9"/>
  <c r="I5196" i="9"/>
  <c r="I5796" i="9"/>
  <c r="I5937" i="9"/>
  <c r="I7006" i="9"/>
  <c r="I8848" i="9"/>
  <c r="I9219" i="9"/>
  <c r="I1781" i="9"/>
  <c r="I3179" i="9"/>
  <c r="I4895" i="9"/>
  <c r="I5378" i="9"/>
  <c r="I6124" i="9"/>
  <c r="I6906" i="9"/>
  <c r="I7032" i="9"/>
  <c r="I8535" i="9"/>
  <c r="I389" i="9"/>
  <c r="I8572" i="9"/>
  <c r="I8941" i="9"/>
  <c r="I162" i="9"/>
  <c r="I212" i="9"/>
  <c r="I515" i="9"/>
  <c r="I1460" i="9"/>
  <c r="I1735" i="9"/>
  <c r="I2160" i="9"/>
  <c r="I2189" i="9"/>
  <c r="I2777" i="9"/>
  <c r="I3715" i="9"/>
  <c r="I4048" i="9"/>
  <c r="I4364" i="9"/>
  <c r="I4407" i="9"/>
  <c r="I5016" i="9"/>
  <c r="I5017" i="9"/>
  <c r="I5031" i="9"/>
  <c r="I5274" i="9"/>
  <c r="I5295" i="9"/>
  <c r="I7041" i="9"/>
  <c r="I7207" i="9"/>
  <c r="I7247" i="9"/>
  <c r="I7353" i="9"/>
  <c r="I8068" i="9"/>
  <c r="I8455" i="9"/>
  <c r="I8909" i="9"/>
  <c r="I3403" i="9"/>
  <c r="I7678" i="9"/>
  <c r="I2208" i="9"/>
  <c r="I6597" i="9"/>
  <c r="I2209" i="9"/>
  <c r="I6598" i="9"/>
  <c r="I2667" i="9"/>
  <c r="I2704" i="9"/>
  <c r="I2750" i="9"/>
  <c r="I224" i="9"/>
  <c r="I4954" i="9"/>
  <c r="I4955" i="9"/>
  <c r="I5128" i="9"/>
  <c r="I7266" i="9"/>
  <c r="I7278" i="9"/>
  <c r="I7279" i="9"/>
  <c r="I8887" i="9"/>
  <c r="I121" i="9"/>
  <c r="I8016" i="9"/>
  <c r="I8017" i="9"/>
  <c r="I340" i="9"/>
  <c r="I493" i="9"/>
  <c r="I516" i="9"/>
  <c r="I589" i="9"/>
  <c r="I590" i="9"/>
  <c r="I1400" i="9"/>
  <c r="I1455" i="9"/>
  <c r="I1903" i="9"/>
  <c r="I2052" i="9"/>
  <c r="I2053" i="9"/>
  <c r="I2909" i="9"/>
  <c r="I3195" i="9"/>
  <c r="I3196" i="9"/>
  <c r="I3545" i="9"/>
  <c r="I3716" i="9"/>
  <c r="I5032" i="9"/>
  <c r="I5308" i="9"/>
  <c r="I5439" i="9"/>
  <c r="I5491" i="9"/>
  <c r="I5492" i="9"/>
  <c r="I5949" i="9"/>
  <c r="I6042" i="9"/>
  <c r="I7248" i="9"/>
  <c r="I7811" i="9"/>
  <c r="I8056" i="9"/>
  <c r="I8276" i="9"/>
  <c r="I1942" i="9"/>
  <c r="I1943" i="9"/>
  <c r="I1944" i="9"/>
  <c r="I1285" i="9"/>
  <c r="I2060" i="9"/>
  <c r="I3384" i="9"/>
  <c r="I4237" i="9"/>
  <c r="I5520" i="9"/>
  <c r="I5522" i="9"/>
  <c r="I8883" i="9"/>
  <c r="I2185" i="9"/>
  <c r="I4238" i="9"/>
  <c r="I3385" i="9"/>
  <c r="I4239" i="9"/>
  <c r="I4240" i="9"/>
  <c r="I4241" i="9"/>
  <c r="I8884" i="9"/>
  <c r="I4242" i="9"/>
  <c r="I2061" i="9"/>
  <c r="I4243" i="9"/>
  <c r="I3721" i="9"/>
  <c r="I4193" i="9"/>
  <c r="I4327" i="9"/>
  <c r="I1166" i="9"/>
  <c r="I4958" i="9"/>
  <c r="I7945" i="9"/>
  <c r="I7985" i="9"/>
  <c r="I7996" i="9"/>
  <c r="I8448" i="9"/>
  <c r="I8521" i="9"/>
  <c r="I1652" i="9"/>
  <c r="I2658" i="9"/>
  <c r="I4328" i="9"/>
  <c r="I4329" i="9"/>
  <c r="I5233" i="9"/>
  <c r="I5234" i="9"/>
  <c r="I6470" i="9"/>
  <c r="I1653" i="9"/>
  <c r="I6573" i="9"/>
  <c r="I1979" i="9"/>
  <c r="I2449" i="9"/>
  <c r="I5560" i="9"/>
  <c r="I7161" i="9"/>
  <c r="I7384" i="9"/>
  <c r="I5855" i="9"/>
  <c r="I6567" i="9"/>
  <c r="I7194" i="9"/>
  <c r="I4464" i="9"/>
  <c r="I4465" i="9"/>
  <c r="I4466" i="9"/>
  <c r="I4467" i="9"/>
  <c r="I4468" i="9"/>
  <c r="I5561" i="9"/>
  <c r="I5562" i="9"/>
  <c r="I5563" i="9"/>
  <c r="I5856" i="9"/>
  <c r="I4335" i="9"/>
  <c r="I4336" i="9"/>
  <c r="I4804" i="9"/>
  <c r="I4805" i="9"/>
  <c r="I4806" i="9"/>
  <c r="I34" i="9"/>
  <c r="I4527" i="9"/>
  <c r="I517" i="9"/>
  <c r="I1999" i="9"/>
  <c r="I4086" i="9"/>
  <c r="I4716" i="9"/>
  <c r="I193" i="9"/>
  <c r="I334" i="9"/>
  <c r="I2004" i="9"/>
  <c r="I2291" i="9"/>
  <c r="I2292" i="9"/>
  <c r="I2356" i="9"/>
  <c r="I3515" i="9"/>
  <c r="I3644" i="9"/>
  <c r="I8770" i="9"/>
  <c r="I5755" i="9"/>
  <c r="I1526" i="9"/>
  <c r="I2054" i="9"/>
  <c r="I2055" i="9"/>
  <c r="I2056" i="9"/>
  <c r="I2432" i="9"/>
  <c r="I2002" i="9"/>
  <c r="I8391" i="9"/>
  <c r="I3320" i="9"/>
  <c r="I3098" i="9"/>
  <c r="I3104" i="9"/>
  <c r="I2961" i="9"/>
  <c r="I7162" i="9"/>
  <c r="I94" i="9"/>
  <c r="I1358" i="9"/>
  <c r="I3078" i="9"/>
  <c r="I3332" i="9"/>
  <c r="I4295" i="9"/>
  <c r="I5366" i="9"/>
  <c r="I5867" i="9"/>
  <c r="I6259" i="9"/>
  <c r="I6270" i="9"/>
  <c r="I6427" i="9"/>
  <c r="I7444" i="9"/>
  <c r="I8392" i="9"/>
  <c r="I8633" i="9"/>
  <c r="I4346" i="9"/>
  <c r="I5351" i="9"/>
  <c r="I1888" i="9"/>
  <c r="I3333" i="9"/>
  <c r="I3334" i="9"/>
  <c r="I3335" i="9"/>
  <c r="I3735" i="9"/>
  <c r="I3736" i="9"/>
  <c r="I3737" i="9"/>
  <c r="I4347" i="9"/>
  <c r="I5321" i="9"/>
  <c r="I5352" i="9"/>
  <c r="I5353" i="9"/>
  <c r="I5354" i="9"/>
  <c r="I5355" i="9"/>
  <c r="I5966" i="9"/>
  <c r="I5967" i="9"/>
  <c r="I5968" i="9"/>
  <c r="I6086" i="9"/>
  <c r="I6087" i="9"/>
  <c r="I6189" i="9"/>
  <c r="I6271" i="9"/>
  <c r="I6462" i="9"/>
  <c r="I6960" i="9"/>
  <c r="I7027" i="9"/>
  <c r="I7314" i="9"/>
  <c r="I7315" i="9"/>
  <c r="I7445" i="9"/>
  <c r="I8119" i="9"/>
  <c r="I8245" i="9"/>
  <c r="I1889" i="9"/>
  <c r="I5356" i="9"/>
  <c r="I3105" i="9"/>
  <c r="I3322" i="9"/>
  <c r="I7655" i="9"/>
  <c r="I7656" i="9"/>
  <c r="I7679" i="9"/>
  <c r="I1671" i="9"/>
  <c r="I2502" i="9"/>
  <c r="I3433" i="9"/>
  <c r="I3516" i="9"/>
  <c r="I4404" i="9"/>
  <c r="I4569" i="9"/>
  <c r="I5027" i="9"/>
  <c r="I5111" i="9"/>
  <c r="I5112" i="9"/>
  <c r="I5181" i="9"/>
  <c r="I5739" i="9"/>
  <c r="I575" i="9"/>
  <c r="I1782" i="9"/>
  <c r="I5824" i="9"/>
  <c r="I8977" i="9"/>
  <c r="I6884" i="9"/>
  <c r="I2734" i="9"/>
  <c r="I35" i="9"/>
  <c r="I7881" i="9"/>
  <c r="I3976" i="9"/>
  <c r="I5938" i="9"/>
  <c r="I7337" i="9"/>
  <c r="I8863" i="9"/>
  <c r="I8942" i="9"/>
  <c r="I8018" i="9"/>
  <c r="I8019" i="9"/>
  <c r="I8020" i="9"/>
  <c r="I194" i="9"/>
  <c r="I5649" i="9"/>
  <c r="I5650" i="9"/>
  <c r="I2395" i="9"/>
  <c r="I2487" i="9"/>
  <c r="I8816" i="9"/>
  <c r="I2124" i="9"/>
  <c r="I2503" i="9"/>
  <c r="I3611" i="9"/>
  <c r="I250" i="9"/>
  <c r="I251" i="9"/>
  <c r="I1388" i="9"/>
  <c r="I1624" i="9"/>
  <c r="I6912" i="9"/>
  <c r="I6913" i="9"/>
  <c r="I1874" i="9"/>
  <c r="I4021" i="9"/>
  <c r="I7180" i="9"/>
  <c r="I8897" i="9"/>
  <c r="I1456" i="9"/>
  <c r="I5061" i="9"/>
  <c r="I9301" i="9"/>
  <c r="I3912" i="9"/>
  <c r="I276" i="9"/>
  <c r="I2444" i="9"/>
  <c r="I2495" i="9"/>
  <c r="I2817" i="9"/>
  <c r="I3717" i="9"/>
  <c r="I3887" i="9"/>
  <c r="I4056" i="9"/>
  <c r="I4166" i="9"/>
  <c r="I4629" i="9"/>
  <c r="I5756" i="9"/>
  <c r="I5891" i="9"/>
  <c r="I6227" i="9"/>
  <c r="I6668" i="9"/>
  <c r="I7895" i="9"/>
  <c r="I7952" i="9"/>
  <c r="I8522" i="9"/>
  <c r="I3123" i="9"/>
  <c r="I3124" i="9"/>
  <c r="I2962" i="9"/>
  <c r="I7104" i="9"/>
  <c r="I8880" i="9"/>
  <c r="I8881" i="9"/>
  <c r="I5197" i="9"/>
  <c r="I5726" i="9"/>
  <c r="I8576" i="9"/>
  <c r="I8938" i="9"/>
  <c r="I1588" i="9"/>
  <c r="I8898" i="9"/>
  <c r="I277" i="9"/>
  <c r="I306" i="9"/>
  <c r="I356" i="9"/>
  <c r="I448" i="9"/>
  <c r="I456" i="9"/>
  <c r="I518" i="9"/>
  <c r="I549" i="9"/>
  <c r="I1139" i="9"/>
  <c r="I1151" i="9"/>
  <c r="I1160" i="9"/>
  <c r="I1249" i="9"/>
  <c r="I1393" i="9"/>
  <c r="I1397" i="9"/>
  <c r="I1399" i="9"/>
  <c r="I1407" i="9"/>
  <c r="I1413" i="9"/>
  <c r="I1582" i="9"/>
  <c r="I1805" i="9"/>
  <c r="I1822" i="9"/>
  <c r="I2068" i="9"/>
  <c r="I2089" i="9"/>
  <c r="I2306" i="9"/>
  <c r="I2618" i="9"/>
  <c r="I2689" i="9"/>
  <c r="I2705" i="9"/>
  <c r="I2898" i="9"/>
  <c r="I2931" i="9"/>
  <c r="I3197" i="9"/>
  <c r="I3462" i="9"/>
  <c r="I3517" i="9"/>
  <c r="I3764" i="9"/>
  <c r="I3804" i="9"/>
  <c r="I4057" i="9"/>
  <c r="I4064" i="9"/>
  <c r="I4077" i="9"/>
  <c r="I4194" i="9"/>
  <c r="I4981" i="9"/>
  <c r="I5012" i="9"/>
  <c r="I5033" i="9"/>
  <c r="I5066" i="9"/>
  <c r="I5069" i="9"/>
  <c r="I5074" i="9"/>
  <c r="I5512" i="9"/>
  <c r="I5618" i="9"/>
  <c r="I5630" i="9"/>
  <c r="I5722" i="9"/>
  <c r="I5950" i="9"/>
  <c r="I6415" i="9"/>
  <c r="I6540" i="9"/>
  <c r="I7095" i="9"/>
  <c r="I7249" i="9"/>
  <c r="I7570" i="9"/>
  <c r="I7704" i="9"/>
  <c r="I7736" i="9"/>
  <c r="I7757" i="9"/>
  <c r="I7766" i="9"/>
  <c r="I7793" i="9"/>
  <c r="I7908" i="9"/>
  <c r="I8001" i="9"/>
  <c r="I8277" i="9"/>
  <c r="I8278" i="9"/>
  <c r="I8456" i="9"/>
  <c r="I8771" i="9"/>
  <c r="I9134" i="9"/>
  <c r="I7783" i="9"/>
  <c r="I2175" i="9"/>
  <c r="I7496" i="9"/>
  <c r="I390" i="9"/>
  <c r="I1129" i="9"/>
  <c r="I1949" i="9"/>
  <c r="I2372" i="9"/>
  <c r="I2684" i="9"/>
  <c r="I3304" i="9"/>
  <c r="I3718" i="9"/>
  <c r="I4890" i="9"/>
  <c r="I4945" i="9"/>
  <c r="I4992" i="9"/>
  <c r="I5038" i="9"/>
  <c r="I5048" i="9"/>
  <c r="I5161" i="9"/>
  <c r="I5227" i="9"/>
  <c r="I8617" i="9"/>
  <c r="I8813" i="9"/>
  <c r="I122" i="9"/>
  <c r="I4581" i="9"/>
  <c r="I6551" i="9"/>
  <c r="I260" i="9"/>
  <c r="I261" i="9"/>
  <c r="I1434" i="9"/>
  <c r="I7939" i="9"/>
  <c r="I82" i="9"/>
  <c r="I91" i="9"/>
  <c r="I100" i="9"/>
  <c r="I141" i="9"/>
  <c r="I150" i="9"/>
  <c r="I187" i="9"/>
  <c r="I269" i="9"/>
  <c r="I286" i="9"/>
  <c r="I294" i="9"/>
  <c r="I470" i="9"/>
  <c r="I491" i="9"/>
  <c r="I496" i="9"/>
  <c r="I1122" i="9"/>
  <c r="I1124" i="9"/>
  <c r="I1155" i="9"/>
  <c r="I1229" i="9"/>
  <c r="I1269" i="9"/>
  <c r="I1271" i="9"/>
  <c r="I1373" i="9"/>
  <c r="I1425" i="9"/>
  <c r="I1430" i="9"/>
  <c r="I1431" i="9"/>
  <c r="I1433" i="9"/>
  <c r="I1446" i="9"/>
  <c r="I1478" i="9"/>
  <c r="I1487" i="9"/>
  <c r="I1517" i="9"/>
  <c r="I1538" i="9"/>
  <c r="I1578" i="9"/>
  <c r="I1812" i="9"/>
  <c r="I1992" i="9"/>
  <c r="I2079" i="9"/>
  <c r="I2081" i="9"/>
  <c r="I2104" i="9"/>
  <c r="I2111" i="9"/>
  <c r="I2190" i="9"/>
  <c r="I2215" i="9"/>
  <c r="I2239" i="9"/>
  <c r="I2353" i="9"/>
  <c r="I2354" i="9"/>
  <c r="I2371" i="9"/>
  <c r="I2373" i="9"/>
  <c r="I2393" i="9"/>
  <c r="I2400" i="9"/>
  <c r="I2403" i="9"/>
  <c r="I2411" i="9"/>
  <c r="I2428" i="9"/>
  <c r="I2430" i="9"/>
  <c r="I2438" i="9"/>
  <c r="I2488" i="9"/>
  <c r="I2490" i="9"/>
  <c r="I2496" i="9"/>
  <c r="I2509" i="9"/>
  <c r="I2576" i="9"/>
  <c r="I2620" i="9"/>
  <c r="I2680" i="9"/>
  <c r="I2736" i="9"/>
  <c r="I2816" i="9"/>
  <c r="I2885" i="9"/>
  <c r="I2888" i="9"/>
  <c r="I3010" i="9"/>
  <c r="I3036" i="9"/>
  <c r="I3139" i="9"/>
  <c r="I3172" i="9"/>
  <c r="I3233" i="9"/>
  <c r="I3321" i="9"/>
  <c r="I3404" i="9"/>
  <c r="I3429" i="9"/>
  <c r="I3438" i="9"/>
  <c r="I3457" i="9"/>
  <c r="I3467" i="9"/>
  <c r="I3653" i="9"/>
  <c r="I3693" i="9"/>
  <c r="I3835" i="9"/>
  <c r="I3850" i="9"/>
  <c r="I3859" i="9"/>
  <c r="I3943" i="9"/>
  <c r="I4046" i="9"/>
  <c r="I4049" i="9"/>
  <c r="I4171" i="9"/>
  <c r="I4204" i="9"/>
  <c r="I4215" i="9"/>
  <c r="I4292" i="9"/>
  <c r="I4325" i="9"/>
  <c r="I4476" i="9"/>
  <c r="I4488" i="9"/>
  <c r="I4553" i="9"/>
  <c r="I4886" i="9"/>
  <c r="I4896" i="9"/>
  <c r="I4897" i="9"/>
  <c r="I4946" i="9"/>
  <c r="I4962" i="9"/>
  <c r="I4968" i="9"/>
  <c r="I4979" i="9"/>
  <c r="I5004" i="9"/>
  <c r="I5010" i="9"/>
  <c r="I5011" i="9"/>
  <c r="I5064" i="9"/>
  <c r="I5070" i="9"/>
  <c r="I5075" i="9"/>
  <c r="I5099" i="9"/>
  <c r="I5102" i="9"/>
  <c r="I5113" i="9"/>
  <c r="I5125" i="9"/>
  <c r="I5139" i="9"/>
  <c r="I5140" i="9"/>
  <c r="I5141" i="9"/>
  <c r="I5143" i="9"/>
  <c r="I5219" i="9"/>
  <c r="I5272" i="9"/>
  <c r="I5420" i="9"/>
  <c r="I5458" i="9"/>
  <c r="I5536" i="9"/>
  <c r="I5571" i="9"/>
  <c r="I5640" i="9"/>
  <c r="I5723" i="9"/>
  <c r="I5727" i="9"/>
  <c r="I5768" i="9"/>
  <c r="I5817" i="9"/>
  <c r="I5865" i="9"/>
  <c r="I5870" i="9"/>
  <c r="I5878" i="9"/>
  <c r="I5974" i="9"/>
  <c r="I5977" i="9"/>
  <c r="I5979" i="9"/>
  <c r="I6009" i="9"/>
  <c r="I6035" i="9"/>
  <c r="I6036" i="9"/>
  <c r="I6040" i="9"/>
  <c r="I6070" i="9"/>
  <c r="I6126" i="9"/>
  <c r="I6127" i="9"/>
  <c r="I6134" i="9"/>
  <c r="I6178" i="9"/>
  <c r="I6198" i="9"/>
  <c r="I6244" i="9"/>
  <c r="I6287" i="9"/>
  <c r="I6334" i="9"/>
  <c r="I6359" i="9"/>
  <c r="I6361" i="9"/>
  <c r="I6578" i="9"/>
  <c r="I6586" i="9"/>
  <c r="I6669" i="9"/>
  <c r="I6706" i="9"/>
  <c r="I6743" i="9"/>
  <c r="I6831" i="9"/>
  <c r="I6888" i="9"/>
  <c r="I6928" i="9"/>
  <c r="I6934" i="9"/>
  <c r="I6947" i="9"/>
  <c r="I6953" i="9"/>
  <c r="I6979" i="9"/>
  <c r="I6986" i="9"/>
  <c r="I7126" i="9"/>
  <c r="I7204" i="9"/>
  <c r="I7221" i="9"/>
  <c r="I7276" i="9"/>
  <c r="I7350" i="9"/>
  <c r="I7487" i="9"/>
  <c r="I7488" i="9"/>
  <c r="I7493" i="9"/>
  <c r="I7497" i="9"/>
  <c r="I7602" i="9"/>
  <c r="I7729" i="9"/>
  <c r="I7732" i="9"/>
  <c r="I8131" i="9"/>
  <c r="I8141" i="9"/>
  <c r="I8237" i="9"/>
  <c r="I8290" i="9"/>
  <c r="I8418" i="9"/>
  <c r="I8856" i="9"/>
  <c r="I8865" i="9"/>
  <c r="I8890" i="9"/>
  <c r="I8952" i="9"/>
  <c r="I8995" i="9"/>
  <c r="I9135" i="9"/>
  <c r="I9156" i="9"/>
  <c r="I9234" i="9"/>
  <c r="I9235" i="9"/>
  <c r="I9236" i="9"/>
  <c r="I9265" i="9"/>
  <c r="I9278" i="9"/>
  <c r="I9307" i="9"/>
  <c r="I1495" i="9"/>
  <c r="I1770" i="9"/>
  <c r="I2074" i="9"/>
  <c r="I2080" i="9"/>
  <c r="I2402" i="9"/>
  <c r="I2417" i="9"/>
  <c r="I2427" i="9"/>
  <c r="I3174" i="9"/>
  <c r="I4078" i="9"/>
  <c r="I5280" i="9"/>
  <c r="I4276" i="9"/>
  <c r="I6193" i="9"/>
  <c r="I6250" i="9"/>
  <c r="I7961" i="9"/>
  <c r="I40" i="9"/>
  <c r="I471" i="9"/>
  <c r="I495" i="9"/>
  <c r="I497" i="9"/>
  <c r="I1505" i="9"/>
  <c r="I1730" i="9"/>
  <c r="I1875" i="9"/>
  <c r="I1904" i="9"/>
  <c r="I2105" i="9"/>
  <c r="I2401" i="9"/>
  <c r="I2593" i="9"/>
  <c r="I2668" i="9"/>
  <c r="I4365" i="9"/>
  <c r="I5072" i="9"/>
  <c r="I5129" i="9"/>
  <c r="I5131" i="9"/>
  <c r="I6176" i="9"/>
  <c r="I6224" i="9"/>
  <c r="I6987" i="9"/>
  <c r="I7070" i="9"/>
  <c r="I7598" i="9"/>
  <c r="I8667" i="9"/>
  <c r="I2075" i="9"/>
  <c r="I2384" i="9"/>
  <c r="I2466" i="9"/>
  <c r="I3067" i="9"/>
  <c r="I3613" i="9"/>
  <c r="I4711" i="9"/>
  <c r="I5002" i="9"/>
  <c r="I5106" i="9"/>
  <c r="I5282" i="9"/>
  <c r="I5711" i="9"/>
  <c r="I6757" i="9"/>
  <c r="I6771" i="9"/>
  <c r="I7358" i="9"/>
  <c r="I7419" i="9"/>
  <c r="I8457" i="9"/>
  <c r="I230" i="9"/>
  <c r="I234" i="9"/>
  <c r="I1380" i="9"/>
  <c r="I1418" i="9"/>
  <c r="I1609" i="9"/>
  <c r="I1616" i="9"/>
  <c r="I1771" i="9"/>
  <c r="I2167" i="9"/>
  <c r="I2486" i="9"/>
  <c r="I2615" i="9"/>
  <c r="I2655" i="9"/>
  <c r="I3015" i="9"/>
  <c r="I3158" i="9"/>
  <c r="I3944" i="9"/>
  <c r="I4275" i="9"/>
  <c r="I4898" i="9"/>
  <c r="I5024" i="9"/>
  <c r="I5034" i="9"/>
  <c r="I5076" i="9"/>
  <c r="I5077" i="9"/>
  <c r="I5080" i="9"/>
  <c r="I5117" i="9"/>
  <c r="I5130" i="9"/>
  <c r="I5206" i="9"/>
  <c r="I5250" i="9"/>
  <c r="I5279" i="9"/>
  <c r="I5531" i="9"/>
  <c r="I5840" i="9"/>
  <c r="I5955" i="9"/>
  <c r="I6179" i="9"/>
  <c r="I6182" i="9"/>
  <c r="I6263" i="9"/>
  <c r="I6330" i="9"/>
  <c r="I6378" i="9"/>
  <c r="I6409" i="9"/>
  <c r="I6577" i="9"/>
  <c r="I6618" i="9"/>
  <c r="I6666" i="9"/>
  <c r="I6754" i="9"/>
  <c r="I6774" i="9"/>
  <c r="I7111" i="9"/>
  <c r="I7243" i="9"/>
  <c r="I7415" i="9"/>
  <c r="I7934" i="9"/>
  <c r="I7962" i="9"/>
  <c r="I7963" i="9"/>
  <c r="I8477" i="9"/>
  <c r="I8478" i="9"/>
  <c r="I8491" i="9"/>
  <c r="I8493" i="9"/>
  <c r="I8494" i="9"/>
  <c r="I8610" i="9"/>
  <c r="I164" i="9"/>
  <c r="I1343" i="9"/>
  <c r="I1368" i="9"/>
  <c r="I1378" i="9"/>
  <c r="I1391" i="9"/>
  <c r="I1724" i="9"/>
  <c r="I4264" i="9"/>
  <c r="I5961" i="9"/>
  <c r="I6773" i="9"/>
  <c r="I8293" i="9"/>
  <c r="I8359" i="9"/>
  <c r="I5200" i="9"/>
  <c r="I4042" i="9"/>
  <c r="I195" i="9"/>
  <c r="I467" i="9"/>
  <c r="I1488" i="9"/>
  <c r="I2112" i="9"/>
  <c r="I1453" i="9"/>
  <c r="I1340" i="9"/>
  <c r="I4961" i="9"/>
  <c r="I5028" i="9"/>
  <c r="I5090" i="9"/>
  <c r="I5116" i="9"/>
  <c r="I5135" i="9"/>
  <c r="I5142" i="9"/>
  <c r="I5636" i="9"/>
  <c r="I5960" i="9"/>
  <c r="I4374" i="9"/>
  <c r="I4375" i="9"/>
  <c r="I7657" i="9"/>
  <c r="I7680" i="9"/>
  <c r="I3405" i="9"/>
  <c r="I8225" i="9"/>
  <c r="I8226" i="9"/>
  <c r="I2128" i="9"/>
  <c r="I2210" i="9"/>
  <c r="I6599" i="9"/>
  <c r="I2963" i="9"/>
  <c r="I4348" i="9"/>
  <c r="I6945" i="9"/>
  <c r="I6946" i="9"/>
  <c r="I7164" i="9"/>
  <c r="I3555" i="9"/>
  <c r="I5418" i="9"/>
  <c r="I5419" i="9"/>
  <c r="I78" i="9"/>
  <c r="I2396" i="9"/>
  <c r="I1435" i="9"/>
  <c r="I2177" i="9"/>
  <c r="I2397" i="9"/>
  <c r="I2433" i="9"/>
  <c r="I2437" i="9"/>
  <c r="I2439" i="9"/>
  <c r="I4016" i="9"/>
  <c r="I4980" i="9"/>
  <c r="I5005" i="9"/>
  <c r="I5063" i="9"/>
  <c r="I5071" i="9"/>
  <c r="I5598" i="9"/>
  <c r="I6284" i="9"/>
  <c r="I6835" i="9"/>
  <c r="I7259" i="9"/>
  <c r="I7261" i="9"/>
  <c r="I7263" i="9"/>
  <c r="I7267" i="9"/>
  <c r="I7273" i="9"/>
  <c r="I7277" i="9"/>
  <c r="I7280" i="9"/>
  <c r="I7283" i="9"/>
  <c r="I7509" i="9"/>
  <c r="I8622" i="9"/>
  <c r="I8764" i="9"/>
  <c r="I8962" i="9"/>
  <c r="I9261" i="9"/>
  <c r="I196" i="9"/>
  <c r="I243" i="9"/>
  <c r="I472" i="9"/>
  <c r="I1215" i="9"/>
  <c r="I1270" i="9"/>
  <c r="I1428" i="9"/>
  <c r="I1605" i="9"/>
  <c r="I1715" i="9"/>
  <c r="I2669" i="9"/>
  <c r="I3185" i="9"/>
  <c r="I4065" i="9"/>
  <c r="I4216" i="9"/>
  <c r="I4482" i="9"/>
  <c r="I4903" i="9"/>
  <c r="I4905" i="9"/>
  <c r="I4990" i="9"/>
  <c r="I5085" i="9"/>
  <c r="I5119" i="9"/>
  <c r="I5127" i="9"/>
  <c r="I5136" i="9"/>
  <c r="I5137" i="9"/>
  <c r="I5160" i="9"/>
  <c r="I5171" i="9"/>
  <c r="I5228" i="9"/>
  <c r="I5296" i="9"/>
  <c r="I5620" i="9"/>
  <c r="I6038" i="9"/>
  <c r="I6741" i="9"/>
  <c r="I6762" i="9"/>
  <c r="I8057" i="9"/>
  <c r="I8083" i="9"/>
  <c r="I9202" i="9"/>
  <c r="I36" i="9"/>
  <c r="I6061" i="9"/>
  <c r="I6062" i="9"/>
  <c r="I4409" i="9"/>
  <c r="I3386" i="9"/>
  <c r="I4245" i="9"/>
  <c r="I4246" i="9"/>
  <c r="I4247" i="9"/>
  <c r="I4261" i="9"/>
  <c r="I4262" i="9"/>
  <c r="I2905" i="9"/>
  <c r="I2906" i="9"/>
  <c r="I6622" i="9"/>
  <c r="I6623" i="9"/>
  <c r="I7367" i="9"/>
  <c r="I8993" i="9"/>
  <c r="I8994" i="9"/>
  <c r="I6194" i="9"/>
  <c r="I6195" i="9"/>
  <c r="I1762" i="9"/>
  <c r="I2685" i="9"/>
  <c r="I2693" i="9"/>
  <c r="I2694" i="9"/>
  <c r="I3401" i="9"/>
  <c r="I4719" i="9"/>
  <c r="I4959" i="9"/>
  <c r="I5731" i="9"/>
  <c r="I5819" i="9"/>
  <c r="I6554" i="9"/>
  <c r="I6763" i="9"/>
  <c r="I7635" i="9"/>
  <c r="I8611" i="9"/>
  <c r="I8963" i="9"/>
  <c r="I9092" i="9"/>
  <c r="I9131" i="9"/>
  <c r="I278" i="9"/>
  <c r="I1831" i="9"/>
  <c r="I2504" i="9"/>
  <c r="I4009" i="9"/>
  <c r="I1832" i="9"/>
  <c r="I7295" i="9"/>
  <c r="I3175" i="9"/>
  <c r="I3367" i="9"/>
  <c r="I8619" i="9"/>
  <c r="I5423" i="9"/>
  <c r="I2323" i="9"/>
  <c r="I3556" i="9"/>
  <c r="I4161" i="9"/>
  <c r="I5599" i="9"/>
  <c r="I5798" i="9"/>
  <c r="I5981" i="9"/>
  <c r="I6175" i="9"/>
  <c r="I7512" i="9"/>
  <c r="I8227" i="9"/>
  <c r="I8413" i="9"/>
  <c r="I8510" i="9"/>
  <c r="I8544" i="9"/>
  <c r="I211" i="9"/>
  <c r="I1144" i="9"/>
  <c r="I1654" i="9"/>
  <c r="I2170" i="9"/>
  <c r="I2252" i="9"/>
  <c r="I2507" i="9"/>
  <c r="I5220" i="9"/>
  <c r="I5818" i="9"/>
  <c r="I7643" i="9"/>
  <c r="I8146" i="9"/>
  <c r="I8250" i="9"/>
  <c r="I8251" i="9"/>
  <c r="I9223" i="9"/>
  <c r="I1655" i="9"/>
  <c r="I2125" i="9"/>
  <c r="I3836" i="9"/>
  <c r="I4159" i="9"/>
  <c r="I6184" i="9"/>
  <c r="I6455" i="9"/>
  <c r="I8406" i="9"/>
  <c r="I8937" i="9"/>
  <c r="I228" i="9"/>
  <c r="I5793" i="9"/>
  <c r="I6615" i="9"/>
  <c r="I5844" i="9"/>
  <c r="I4807" i="9"/>
  <c r="I4808" i="9"/>
  <c r="I4809" i="9"/>
  <c r="I2183" i="9"/>
  <c r="I2050" i="9"/>
  <c r="I5287" i="9"/>
  <c r="I5288" i="9"/>
  <c r="I5289" i="9"/>
  <c r="I5724" i="9"/>
  <c r="I5749" i="9"/>
  <c r="I5750" i="9"/>
  <c r="I6063" i="9"/>
  <c r="I6064" i="9"/>
  <c r="I6065" i="9"/>
  <c r="I6066" i="9"/>
  <c r="I7198" i="9"/>
  <c r="I7199" i="9"/>
  <c r="I7585" i="9"/>
  <c r="I8021" i="9"/>
  <c r="I8022" i="9"/>
  <c r="I1868" i="9"/>
  <c r="I5751" i="9"/>
  <c r="I2806" i="9"/>
  <c r="I2916" i="9"/>
  <c r="I81" i="9"/>
  <c r="I231" i="9"/>
  <c r="I1466" i="9"/>
  <c r="I2478" i="9"/>
  <c r="I4195" i="9"/>
  <c r="I5639" i="9"/>
  <c r="I5678" i="9"/>
  <c r="I5816" i="9"/>
  <c r="I6091" i="9"/>
  <c r="I6753" i="9"/>
  <c r="I7106" i="9"/>
  <c r="I7662" i="9"/>
  <c r="I1589" i="9"/>
  <c r="I2000" i="9"/>
  <c r="I2005" i="9"/>
  <c r="I2169" i="9"/>
  <c r="I3307" i="9"/>
  <c r="I5769" i="9"/>
  <c r="I6096" i="9"/>
  <c r="I7303" i="9"/>
  <c r="I7347" i="9"/>
  <c r="I8023" i="9"/>
  <c r="I8024" i="9"/>
  <c r="I1216" i="9"/>
  <c r="I1444" i="9"/>
  <c r="I2552" i="9"/>
  <c r="I4963" i="9"/>
  <c r="I8992" i="9"/>
  <c r="I9290" i="9"/>
  <c r="I67" i="9"/>
  <c r="I2057" i="9"/>
  <c r="I6343" i="9"/>
  <c r="I1527" i="9"/>
  <c r="I1528" i="9"/>
  <c r="I1529" i="9"/>
  <c r="I1530" i="9"/>
  <c r="I1531" i="9"/>
  <c r="I5985" i="9"/>
  <c r="I1364" i="9"/>
  <c r="I1359" i="9"/>
  <c r="I3336" i="9"/>
  <c r="I4349" i="9"/>
  <c r="I5357" i="9"/>
  <c r="I5367" i="9"/>
  <c r="I8635" i="9"/>
  <c r="I3739" i="9"/>
  <c r="I3740" i="9"/>
  <c r="I3741" i="9"/>
  <c r="I7134" i="9"/>
  <c r="I7446" i="9"/>
  <c r="I5358" i="9"/>
  <c r="I6632" i="9"/>
  <c r="I69" i="9"/>
  <c r="I2019" i="9"/>
  <c r="I3323" i="9"/>
  <c r="I37" i="9"/>
  <c r="I6067" i="9"/>
  <c r="I6068" i="9"/>
  <c r="I7871" i="9"/>
  <c r="I7872" i="9"/>
  <c r="I8025" i="9"/>
  <c r="I8026" i="9"/>
  <c r="I8419" i="9"/>
  <c r="I8420" i="9"/>
  <c r="I2690" i="9"/>
  <c r="I2691" i="9"/>
  <c r="I44" i="9"/>
  <c r="I1379" i="9"/>
  <c r="I5201" i="9"/>
  <c r="I6891" i="9"/>
  <c r="I9089" i="9"/>
  <c r="I9090" i="9"/>
  <c r="I159" i="9"/>
  <c r="I506" i="9"/>
  <c r="I1417" i="9"/>
  <c r="I4217" i="9"/>
  <c r="I6339" i="9"/>
  <c r="I7030" i="9"/>
  <c r="I84" i="9"/>
  <c r="I188" i="9"/>
  <c r="I1140" i="9"/>
  <c r="I2753" i="9"/>
  <c r="I2765" i="9"/>
  <c r="I5067" i="9"/>
  <c r="I5084" i="9"/>
  <c r="I5123" i="9"/>
  <c r="I5138" i="9"/>
  <c r="I5159" i="9"/>
  <c r="I5172" i="9"/>
  <c r="I5182" i="9"/>
  <c r="I6974" i="9"/>
  <c r="I7208" i="9"/>
  <c r="I8142" i="9"/>
  <c r="I8145" i="9"/>
  <c r="I9238" i="9"/>
  <c r="I165" i="9"/>
  <c r="I3422" i="9"/>
  <c r="I5426" i="9"/>
  <c r="I6025" i="9"/>
  <c r="I7758" i="9"/>
  <c r="I9158" i="9"/>
  <c r="I1486" i="9"/>
  <c r="I1131" i="9"/>
  <c r="I1132" i="9"/>
  <c r="I6885" i="9"/>
  <c r="I6886" i="9"/>
  <c r="I6887" i="9"/>
  <c r="I3561" i="9"/>
  <c r="I8833" i="9"/>
  <c r="I347" i="9"/>
  <c r="I1162" i="9"/>
  <c r="I2917" i="9"/>
  <c r="I5187" i="9"/>
  <c r="I5509" i="9"/>
  <c r="I6095" i="9"/>
  <c r="I6717" i="9"/>
  <c r="I6846" i="9"/>
  <c r="I8175" i="9"/>
  <c r="I9030" i="9"/>
  <c r="I2082" i="9"/>
  <c r="I7694" i="9"/>
  <c r="I8636" i="9"/>
  <c r="I1534" i="9"/>
  <c r="I4706" i="9"/>
  <c r="I5188" i="9"/>
  <c r="I6752" i="9"/>
  <c r="I7124" i="9"/>
  <c r="I8944" i="9"/>
  <c r="I7287" i="9"/>
  <c r="I1932" i="9"/>
  <c r="I6940" i="9"/>
  <c r="I7292" i="9"/>
  <c r="I5652" i="9"/>
  <c r="I5089" i="9"/>
  <c r="I7645" i="9"/>
  <c r="I2525" i="9"/>
  <c r="I2526" i="9"/>
  <c r="I3571" i="9"/>
  <c r="I3572" i="9"/>
  <c r="I262" i="9"/>
  <c r="I263" i="9"/>
  <c r="I5718" i="9"/>
  <c r="I1576" i="9"/>
  <c r="I7686" i="9"/>
  <c r="I2692" i="9"/>
  <c r="I5260" i="9"/>
  <c r="I9276" i="9"/>
  <c r="I7495" i="9"/>
  <c r="I1130" i="9"/>
  <c r="I2018" i="9"/>
  <c r="I2434" i="9"/>
  <c r="I2594" i="9"/>
  <c r="I2740" i="9"/>
  <c r="I3372" i="9"/>
  <c r="I5642" i="9"/>
  <c r="I8101" i="9"/>
  <c r="I8461" i="9"/>
  <c r="I2364" i="9"/>
  <c r="I2631" i="9"/>
  <c r="I2632" i="9"/>
  <c r="I3614" i="9"/>
  <c r="I3615" i="9"/>
  <c r="I252" i="9"/>
  <c r="I107" i="9"/>
  <c r="I2702" i="9"/>
  <c r="I1339" i="9"/>
  <c r="I1389" i="9"/>
  <c r="I1390" i="9"/>
  <c r="I5115" i="9"/>
  <c r="I5773" i="9"/>
  <c r="I5708" i="9"/>
  <c r="I1583" i="9"/>
  <c r="I7923" i="9"/>
  <c r="I9144" i="9"/>
  <c r="I1156" i="9"/>
  <c r="I1419" i="9"/>
  <c r="I1958" i="9"/>
  <c r="I2485" i="9"/>
  <c r="I3084" i="9"/>
  <c r="I3889" i="9"/>
  <c r="I1512" i="9"/>
  <c r="I3127" i="9"/>
  <c r="I6838" i="9"/>
  <c r="I1220" i="9"/>
  <c r="I1221" i="9"/>
  <c r="I1382" i="9"/>
  <c r="I2977" i="9"/>
  <c r="I1186" i="9"/>
  <c r="I1385" i="9"/>
  <c r="I1386" i="9"/>
  <c r="I1392" i="9"/>
  <c r="I1398" i="9"/>
  <c r="I1411" i="9"/>
  <c r="I1415" i="9"/>
  <c r="I1447" i="9"/>
  <c r="I2321" i="9"/>
  <c r="I2435" i="9"/>
  <c r="I2436" i="9"/>
  <c r="I2524" i="9"/>
  <c r="I2617" i="9"/>
  <c r="I2953" i="9"/>
  <c r="I5186" i="9"/>
  <c r="I5767" i="9"/>
  <c r="I6180" i="9"/>
  <c r="I6833" i="9"/>
  <c r="I6992" i="9"/>
  <c r="I7015" i="9"/>
  <c r="I9055" i="9"/>
  <c r="I6738" i="9"/>
  <c r="I6739" i="9"/>
  <c r="I8189" i="9"/>
  <c r="I376" i="9"/>
  <c r="I519" i="9"/>
  <c r="I1349" i="9"/>
  <c r="I1481" i="9"/>
  <c r="I1736" i="9"/>
  <c r="I1905" i="9"/>
  <c r="I2069" i="9"/>
  <c r="I2307" i="9"/>
  <c r="I2651" i="9"/>
  <c r="I3593" i="9"/>
  <c r="I3645" i="9"/>
  <c r="I4686" i="9"/>
  <c r="I5014" i="9"/>
  <c r="I5101" i="9"/>
  <c r="I5122" i="9"/>
  <c r="I5297" i="9"/>
  <c r="I5511" i="9"/>
  <c r="I6335" i="9"/>
  <c r="I6574" i="9"/>
  <c r="I7216" i="9"/>
  <c r="I7250" i="9"/>
  <c r="I7354" i="9"/>
  <c r="I7768" i="9"/>
  <c r="I8363" i="9"/>
  <c r="I8416" i="9"/>
  <c r="I9165" i="9"/>
  <c r="I4079" i="9"/>
  <c r="I5645" i="9"/>
  <c r="I31" i="9"/>
  <c r="I32" i="9"/>
  <c r="I41" i="9"/>
  <c r="I1157" i="9"/>
  <c r="I2113" i="9"/>
  <c r="I2114" i="9"/>
  <c r="I2467" i="9"/>
  <c r="I2497" i="9"/>
  <c r="I2510" i="9"/>
  <c r="I2619" i="9"/>
  <c r="I2671" i="9"/>
  <c r="I2672" i="9"/>
  <c r="I2755" i="9"/>
  <c r="I2852" i="9"/>
  <c r="I3005" i="9"/>
  <c r="I3025" i="9"/>
  <c r="I3168" i="9"/>
  <c r="I3400" i="9"/>
  <c r="I4080" i="9"/>
  <c r="I4196" i="9"/>
  <c r="I4991" i="9"/>
  <c r="I5298" i="9"/>
  <c r="I5637" i="9"/>
  <c r="I8132" i="9"/>
  <c r="I8659" i="9"/>
  <c r="I2099" i="9"/>
  <c r="I9227" i="9"/>
  <c r="I377" i="9"/>
  <c r="I5257" i="9"/>
  <c r="I6575" i="9"/>
  <c r="I6977" i="9"/>
  <c r="I330" i="9"/>
  <c r="I7416" i="9"/>
  <c r="I1237" i="9"/>
  <c r="I1550" i="9"/>
  <c r="I3173" i="9"/>
  <c r="I3498" i="9"/>
  <c r="I3839" i="9"/>
  <c r="I5082" i="9"/>
  <c r="I38" i="9"/>
  <c r="I2366" i="9"/>
  <c r="I2367" i="9"/>
  <c r="I357" i="9"/>
  <c r="I2505" i="9"/>
  <c r="I382" i="9"/>
  <c r="I383" i="9"/>
  <c r="I7268" i="9"/>
  <c r="I9229" i="9"/>
  <c r="I8191" i="9"/>
  <c r="I279" i="9"/>
  <c r="I468" i="9"/>
  <c r="I1135" i="9"/>
  <c r="I1141" i="9"/>
  <c r="I1217" i="9"/>
  <c r="I2596" i="9"/>
  <c r="I2762" i="9"/>
  <c r="I2927" i="9"/>
  <c r="I3238" i="9"/>
  <c r="I3915" i="9"/>
  <c r="I4303" i="9"/>
  <c r="I4570" i="9"/>
  <c r="I4899" i="9"/>
  <c r="I5078" i="9"/>
  <c r="I5133" i="9"/>
  <c r="I5153" i="9"/>
  <c r="I6663" i="9"/>
  <c r="I6748" i="9"/>
  <c r="I7007" i="9"/>
  <c r="I7572" i="9"/>
  <c r="I8002" i="9"/>
  <c r="I8444" i="9"/>
  <c r="I8844" i="9"/>
  <c r="I2062" i="9"/>
  <c r="I8885" i="9"/>
  <c r="I2319" i="9"/>
  <c r="I2368" i="9"/>
  <c r="I2369" i="9"/>
  <c r="I8192" i="9"/>
  <c r="I4478" i="9"/>
  <c r="I4408" i="9"/>
  <c r="I226" i="9"/>
  <c r="I449" i="9"/>
  <c r="I1451" i="9"/>
  <c r="I1591" i="9"/>
  <c r="I1856" i="9"/>
  <c r="I2070" i="9"/>
  <c r="I2673" i="9"/>
  <c r="I2681" i="9"/>
  <c r="I2918" i="9"/>
  <c r="I3020" i="9"/>
  <c r="I3167" i="9"/>
  <c r="I3267" i="9"/>
  <c r="I3591" i="9"/>
  <c r="I4197" i="9"/>
  <c r="I4683" i="9"/>
  <c r="I5079" i="9"/>
  <c r="I5183" i="9"/>
  <c r="I5309" i="9"/>
  <c r="I5513" i="9"/>
  <c r="I5765" i="9"/>
  <c r="I5880" i="9"/>
  <c r="I6405" i="9"/>
  <c r="I6576" i="9"/>
  <c r="I7043" i="9"/>
  <c r="I7209" i="9"/>
  <c r="I7633" i="9"/>
  <c r="I7759" i="9"/>
  <c r="I7930" i="9"/>
  <c r="I8167" i="9"/>
  <c r="I8772" i="9"/>
  <c r="I9075" i="9"/>
  <c r="I216" i="9"/>
  <c r="I1507" i="9"/>
  <c r="I1786" i="9"/>
  <c r="I2308" i="9"/>
  <c r="I2853" i="9"/>
  <c r="I2899" i="9"/>
  <c r="I2910" i="9"/>
  <c r="I2919" i="9"/>
  <c r="I3239" i="9"/>
  <c r="I3974" i="9"/>
  <c r="I4089" i="9"/>
  <c r="I4162" i="9"/>
  <c r="I4353" i="9"/>
  <c r="I5022" i="9"/>
  <c r="I5114" i="9"/>
  <c r="I5316" i="9"/>
  <c r="I5631" i="9"/>
  <c r="I7008" i="9"/>
  <c r="I8684" i="9"/>
  <c r="I5752" i="9"/>
  <c r="I7893" i="9"/>
  <c r="I9231" i="9"/>
  <c r="I1672" i="9"/>
  <c r="I454" i="9"/>
  <c r="I2886" i="9"/>
  <c r="I3647" i="9"/>
  <c r="I4472" i="9"/>
  <c r="I5736" i="9"/>
  <c r="I6472" i="9"/>
  <c r="I8350" i="9"/>
  <c r="I39" i="9"/>
  <c r="I511" i="9"/>
  <c r="I520" i="9"/>
  <c r="I1158" i="9"/>
  <c r="I1161" i="9"/>
  <c r="I1195" i="9"/>
  <c r="I1250" i="9"/>
  <c r="I1294" i="9"/>
  <c r="I1366" i="9"/>
  <c r="I1423" i="9"/>
  <c r="I1823" i="9"/>
  <c r="I2015" i="9"/>
  <c r="I2115" i="9"/>
  <c r="I2165" i="9"/>
  <c r="I2199" i="9"/>
  <c r="I2660" i="9"/>
  <c r="I3518" i="9"/>
  <c r="I4179" i="9"/>
  <c r="I4331" i="9"/>
  <c r="I4541" i="9"/>
  <c r="I4782" i="9"/>
  <c r="I5235" i="9"/>
  <c r="I5236" i="9"/>
  <c r="I5881" i="9"/>
  <c r="I5942" i="9"/>
  <c r="I6473" i="9"/>
  <c r="I6670" i="9"/>
  <c r="I6764" i="9"/>
  <c r="I7785" i="9"/>
  <c r="I8003" i="9"/>
  <c r="I8253" i="9"/>
  <c r="I8612" i="9"/>
  <c r="I8678" i="9"/>
  <c r="I9230" i="9"/>
  <c r="I259" i="9"/>
  <c r="I1159" i="9"/>
  <c r="I1449" i="9"/>
  <c r="I2955" i="9"/>
  <c r="I3157" i="9"/>
  <c r="I3966" i="9"/>
  <c r="I3975" i="9"/>
  <c r="I2450" i="9"/>
  <c r="I5564" i="9"/>
  <c r="I5857" i="9"/>
  <c r="I8027" i="9"/>
  <c r="I8028" i="9"/>
  <c r="I5083" i="9"/>
  <c r="I527" i="9"/>
  <c r="I6344" i="9"/>
  <c r="I68" i="9"/>
  <c r="I8393" i="9"/>
  <c r="I3742" i="9"/>
  <c r="I6058" i="9"/>
  <c r="I6962" i="9"/>
  <c r="I7163" i="9"/>
  <c r="I8120" i="9"/>
  <c r="I3324" i="9"/>
  <c r="I2370" i="9"/>
  <c r="I4479" i="9"/>
  <c r="I8899" i="9"/>
  <c r="I450" i="9"/>
  <c r="I2071" i="9"/>
  <c r="I2928" i="9"/>
  <c r="I4982" i="9"/>
  <c r="I5825" i="9"/>
  <c r="I8058" i="9"/>
  <c r="I2083" i="9"/>
  <c r="I6272" i="9"/>
  <c r="I7695" i="9"/>
  <c r="I8637" i="9"/>
  <c r="I257" i="9"/>
  <c r="I8174" i="9"/>
  <c r="I2006" i="9"/>
  <c r="I2920" i="9"/>
  <c r="I3616" i="9"/>
  <c r="I4058" i="9"/>
  <c r="I1474" i="9"/>
  <c r="I8294" i="9"/>
  <c r="I6908" i="9"/>
  <c r="I1956" i="9"/>
  <c r="I8974" i="9"/>
  <c r="I4481" i="9"/>
  <c r="I2633" i="9"/>
  <c r="I6345" i="9"/>
  <c r="I151" i="9"/>
  <c r="I397" i="9"/>
  <c r="I4966" i="9"/>
  <c r="I8059" i="9"/>
  <c r="I2116" i="9"/>
  <c r="I7033" i="9"/>
  <c r="I9085" i="9"/>
  <c r="I5712" i="9"/>
  <c r="I9295" i="9"/>
  <c r="I3957" i="9"/>
  <c r="I3958" i="9"/>
  <c r="I5713" i="9"/>
  <c r="I8407" i="9"/>
  <c r="I8408" i="9"/>
  <c r="I3087" i="9"/>
  <c r="I2945" i="9"/>
  <c r="I2946" i="9"/>
  <c r="I7210" i="9"/>
  <c r="I8483" i="9"/>
  <c r="I8484" i="9"/>
  <c r="I9296" i="9"/>
  <c r="I7769" i="9"/>
  <c r="I3208" i="9"/>
  <c r="I7034" i="9"/>
  <c r="I7035" i="9"/>
  <c r="I9087" i="9"/>
  <c r="I5714" i="9"/>
  <c r="I8485" i="9"/>
  <c r="I8486" i="9"/>
  <c r="I8487" i="9"/>
  <c r="I1143" i="9"/>
  <c r="I3537" i="9"/>
  <c r="I8284" i="9"/>
  <c r="I9148" i="9"/>
  <c r="I9222" i="9"/>
  <c r="I6081" i="9"/>
  <c r="I5930" i="9"/>
  <c r="I2182" i="9"/>
  <c r="I3220" i="9"/>
  <c r="I3538" i="9"/>
  <c r="I3755" i="9"/>
  <c r="I3930" i="9"/>
  <c r="I4662" i="9"/>
  <c r="I4889" i="9"/>
  <c r="I4978" i="9"/>
  <c r="I5006" i="9"/>
  <c r="I5008" i="9"/>
  <c r="I5146" i="9"/>
  <c r="I5168" i="9"/>
  <c r="I5570" i="9"/>
  <c r="I5707" i="9"/>
  <c r="I5815" i="9"/>
  <c r="I6032" i="9"/>
  <c r="I6033" i="9"/>
  <c r="I6242" i="9"/>
  <c r="I6625" i="9"/>
  <c r="I6652" i="9"/>
  <c r="I6687" i="9"/>
  <c r="I6759" i="9"/>
  <c r="I6936" i="9"/>
  <c r="I6970" i="9"/>
  <c r="I6985" i="9"/>
  <c r="I7170" i="9"/>
  <c r="I7218" i="9"/>
  <c r="I7227" i="9"/>
  <c r="I7252" i="9"/>
  <c r="I8149" i="9"/>
  <c r="I8235" i="9"/>
  <c r="I8369" i="9"/>
  <c r="I8370" i="9"/>
  <c r="I8453" i="9"/>
  <c r="I8503" i="9"/>
  <c r="I8526" i="9"/>
  <c r="I8539" i="9"/>
  <c r="I8662" i="9"/>
  <c r="I8669" i="9"/>
  <c r="I8761" i="9"/>
  <c r="I8984" i="9"/>
  <c r="I9000" i="9"/>
  <c r="I5215" i="9"/>
  <c r="I6701" i="9"/>
  <c r="I7171" i="9"/>
  <c r="I7228" i="9"/>
  <c r="I7596" i="9"/>
  <c r="I8371" i="9"/>
  <c r="I3768" i="9"/>
  <c r="I3916" i="9"/>
  <c r="I3917" i="9"/>
  <c r="I8489" i="9"/>
  <c r="I3568" i="9"/>
  <c r="I5009" i="9"/>
  <c r="I5277" i="9"/>
  <c r="I6609" i="9"/>
  <c r="I6879" i="9"/>
  <c r="I7418" i="9"/>
  <c r="I8169" i="9"/>
  <c r="I8504" i="9"/>
  <c r="I8527" i="9"/>
  <c r="I8540" i="9"/>
  <c r="I9045" i="9"/>
  <c r="I5216" i="9"/>
  <c r="I5300" i="9"/>
  <c r="I6418" i="9"/>
  <c r="I6750" i="9"/>
  <c r="I8912" i="9"/>
  <c r="I2698" i="9"/>
  <c r="I4020" i="9"/>
  <c r="I4552" i="9"/>
  <c r="I5092" i="9"/>
  <c r="I5147" i="9"/>
  <c r="I5154" i="9"/>
  <c r="I5155" i="9"/>
  <c r="I5223" i="9"/>
  <c r="I5885" i="9"/>
  <c r="I6236" i="9"/>
  <c r="I6246" i="9"/>
  <c r="I6297" i="9"/>
  <c r="I6612" i="9"/>
  <c r="I6688" i="9"/>
  <c r="I6702" i="9"/>
  <c r="I7172" i="9"/>
  <c r="I7173" i="9"/>
  <c r="I7771" i="9"/>
  <c r="I7941" i="9"/>
  <c r="I8081" i="9"/>
  <c r="I8181" i="9"/>
  <c r="I8236" i="9"/>
  <c r="I8372" i="9"/>
  <c r="I8373" i="9"/>
  <c r="I8460" i="9"/>
  <c r="I8811" i="9"/>
  <c r="I8979" i="9"/>
  <c r="I8985" i="9"/>
  <c r="I9001" i="9"/>
  <c r="I3769" i="9"/>
  <c r="I8201" i="9"/>
  <c r="I8735" i="9"/>
  <c r="I8202" i="9"/>
  <c r="I4354" i="9"/>
  <c r="I5175" i="9"/>
  <c r="I5455" i="9"/>
  <c r="I6298" i="9"/>
  <c r="I8812" i="9"/>
  <c r="I9002" i="9"/>
  <c r="I7976" i="9"/>
  <c r="I7977" i="9"/>
  <c r="I7978" i="9"/>
  <c r="I8114" i="9"/>
  <c r="I9168" i="9"/>
  <c r="I3783" i="9"/>
  <c r="I6407" i="9"/>
  <c r="I7191" i="9"/>
  <c r="I7258" i="9"/>
  <c r="I8005" i="9"/>
  <c r="I8077" i="9"/>
  <c r="I8762" i="9"/>
  <c r="I3368" i="9"/>
  <c r="I3435" i="9"/>
  <c r="I3452" i="9"/>
  <c r="I3784" i="9"/>
  <c r="I3785" i="9"/>
  <c r="I4305" i="9"/>
  <c r="I4492" i="9"/>
  <c r="I4663" i="9"/>
  <c r="I5224" i="9"/>
  <c r="I6678" i="9"/>
  <c r="I8285" i="9"/>
  <c r="I9046" i="9"/>
  <c r="I7229" i="9"/>
  <c r="I6476" i="9"/>
  <c r="I9169" i="9"/>
  <c r="I3218" i="9"/>
  <c r="I4301" i="9"/>
  <c r="I5098" i="9"/>
  <c r="I5148" i="9"/>
  <c r="I6237" i="9"/>
  <c r="I8182" i="9"/>
  <c r="I8528" i="9"/>
  <c r="I4630" i="9"/>
  <c r="I5238" i="9"/>
  <c r="I7707" i="9"/>
  <c r="I4631" i="9"/>
  <c r="I5156" i="9"/>
  <c r="I5886" i="9"/>
  <c r="I8410" i="9"/>
  <c r="I8505" i="9"/>
  <c r="I8775" i="9"/>
  <c r="I4794" i="9"/>
  <c r="I8134" i="9"/>
  <c r="I7201" i="9"/>
  <c r="I5184" i="9"/>
  <c r="I5623" i="9"/>
  <c r="I6276" i="9"/>
  <c r="I8150" i="9"/>
  <c r="I9311" i="9"/>
  <c r="I3931" i="9"/>
  <c r="I6365" i="9"/>
  <c r="I8267" i="9"/>
  <c r="I8268" i="9"/>
  <c r="I5497" i="9"/>
  <c r="I5498" i="9"/>
  <c r="I8286" i="9"/>
  <c r="I5499" i="9"/>
  <c r="I5500" i="9"/>
  <c r="I6320" i="9"/>
  <c r="I6321" i="9"/>
  <c r="I6322" i="9"/>
  <c r="I6323" i="9"/>
  <c r="I8287" i="9"/>
  <c r="I3858" i="9"/>
  <c r="I6324" i="9"/>
  <c r="I6325" i="9"/>
  <c r="I3546" i="9"/>
  <c r="I6477" i="9"/>
  <c r="I9304" i="9"/>
  <c r="I7640" i="9"/>
  <c r="I43" i="9"/>
  <c r="I3454" i="9"/>
  <c r="I3770" i="9"/>
  <c r="I5015" i="9"/>
  <c r="I5093" i="9"/>
  <c r="I6679" i="9"/>
  <c r="I7575" i="9"/>
  <c r="I7582" i="9"/>
  <c r="I7726" i="9"/>
  <c r="I8124" i="9"/>
  <c r="I9189" i="9"/>
  <c r="I9190" i="9"/>
  <c r="I5456" i="9"/>
  <c r="I7641" i="9"/>
  <c r="I9244" i="9"/>
  <c r="I7102" i="9"/>
  <c r="I9138" i="9"/>
  <c r="I4332" i="9"/>
  <c r="I5169" i="9"/>
  <c r="I5311" i="9"/>
  <c r="I6703" i="9"/>
  <c r="I6881" i="9"/>
  <c r="I7576" i="9"/>
  <c r="I7642" i="9"/>
  <c r="I8054" i="9"/>
  <c r="I5624" i="9"/>
  <c r="I7360" i="9"/>
  <c r="I8463" i="9"/>
  <c r="I5094" i="9"/>
  <c r="I4066" i="9"/>
  <c r="I7819" i="9"/>
  <c r="I7821" i="9"/>
  <c r="I6329" i="9"/>
  <c r="I7087" i="9"/>
  <c r="I7088" i="9"/>
  <c r="I8727" i="9"/>
  <c r="I9141" i="9"/>
  <c r="I7089" i="9"/>
  <c r="I8801" i="9"/>
  <c r="I8776" i="9"/>
  <c r="I3397" i="9"/>
  <c r="I5430" i="9"/>
  <c r="I3959" i="9"/>
  <c r="I3960" i="9"/>
  <c r="I7666" i="9"/>
  <c r="I7667" i="9"/>
  <c r="I5035" i="9"/>
  <c r="I6138" i="9"/>
  <c r="I2598" i="9"/>
  <c r="I7731" i="9"/>
  <c r="I8506" i="9"/>
  <c r="I3890" i="9"/>
  <c r="I5149" i="9"/>
  <c r="I5278" i="9"/>
  <c r="I5431" i="9"/>
  <c r="I5457" i="9"/>
  <c r="I6704" i="9"/>
  <c r="I7615" i="9"/>
  <c r="I3293" i="9"/>
  <c r="I3932" i="9"/>
  <c r="I7616" i="9"/>
  <c r="I3242" i="9"/>
  <c r="I3771" i="9"/>
  <c r="I5887" i="9"/>
  <c r="I6277" i="9"/>
  <c r="I7230" i="9"/>
  <c r="I8203" i="9"/>
  <c r="I8204" i="9"/>
  <c r="I8288" i="9"/>
  <c r="I8686" i="9"/>
  <c r="I9205" i="9"/>
  <c r="I3436" i="9"/>
  <c r="I3569" i="9"/>
  <c r="I3933" i="9"/>
  <c r="I6132" i="9"/>
  <c r="I6542" i="9"/>
  <c r="I6614" i="9"/>
  <c r="I7045" i="9"/>
  <c r="I7617" i="9"/>
  <c r="I7816" i="9"/>
  <c r="I8046" i="9"/>
  <c r="I8663" i="9"/>
  <c r="I8802" i="9"/>
  <c r="I7714" i="9"/>
  <c r="I108" i="9"/>
  <c r="I2026" i="9"/>
  <c r="I2489" i="9"/>
  <c r="I2825" i="9"/>
  <c r="I5259" i="9"/>
  <c r="I5302" i="9"/>
  <c r="I5625" i="9"/>
  <c r="I6915" i="9"/>
  <c r="I7622" i="9"/>
  <c r="I8401" i="9"/>
  <c r="I9170" i="9"/>
  <c r="I9171" i="9"/>
  <c r="I9172" i="9"/>
  <c r="I6075" i="9"/>
  <c r="I331" i="9"/>
  <c r="I2294" i="9"/>
  <c r="I6076" i="9"/>
  <c r="I6916" i="9"/>
  <c r="I6917" i="9"/>
  <c r="I7623" i="9"/>
  <c r="I4025" i="9"/>
  <c r="I5893" i="9"/>
  <c r="I7107" i="9"/>
  <c r="I7942" i="9"/>
  <c r="I8469" i="9"/>
  <c r="I9173" i="9"/>
  <c r="I9211" i="9"/>
  <c r="I3234" i="9"/>
  <c r="I4026" i="9"/>
  <c r="I6988" i="9"/>
  <c r="I8870" i="9"/>
  <c r="I7112" i="9"/>
  <c r="I8871" i="9"/>
  <c r="I9174" i="9"/>
  <c r="I9175" i="9"/>
  <c r="I7624" i="9"/>
  <c r="I2141" i="9"/>
  <c r="I3573" i="9"/>
  <c r="I7274" i="9"/>
  <c r="I1381" i="9"/>
  <c r="I3369" i="9"/>
  <c r="I5951" i="9"/>
  <c r="I7128" i="9"/>
  <c r="I3199" i="9"/>
  <c r="I4324" i="9"/>
  <c r="I9176" i="9"/>
  <c r="I9177" i="9"/>
  <c r="I158" i="9"/>
  <c r="I7029" i="9"/>
  <c r="I6480" i="9"/>
  <c r="I4160" i="9"/>
  <c r="I3648" i="9"/>
  <c r="I3263" i="9"/>
  <c r="I5986" i="9"/>
  <c r="I4904" i="9"/>
  <c r="I7979" i="9"/>
  <c r="I3935" i="9"/>
  <c r="I6692" i="9"/>
  <c r="I8055" i="9"/>
  <c r="I9178" i="9"/>
  <c r="I9306" i="9"/>
  <c r="I6975" i="9"/>
  <c r="I8623" i="9"/>
  <c r="I4" i="9"/>
  <c r="I9179" i="9"/>
  <c r="I7802" i="9"/>
  <c r="I7125" i="9"/>
  <c r="I7625" i="9"/>
  <c r="I7091" i="9"/>
  <c r="I3200" i="9"/>
  <c r="I6664" i="9"/>
  <c r="I4684" i="9"/>
  <c r="I9180" i="9"/>
  <c r="I7922" i="9"/>
  <c r="I152" i="9"/>
  <c r="I1187" i="9"/>
  <c r="I6855" i="9"/>
  <c r="I7772" i="9"/>
  <c r="I9181" i="9"/>
  <c r="I6918" i="9"/>
  <c r="I6419" i="9"/>
  <c r="I6919" i="9"/>
  <c r="I2964" i="9"/>
  <c r="I3128" i="9"/>
  <c r="I5507" i="9"/>
  <c r="I5523" i="9"/>
  <c r="I5997" i="9"/>
  <c r="I3388" i="9"/>
  <c r="I3389" i="9"/>
  <c r="I7135" i="9"/>
  <c r="I3129" i="9"/>
  <c r="I3130" i="9"/>
  <c r="I7136" i="9"/>
  <c r="I8381" i="9"/>
  <c r="I6963" i="9"/>
  <c r="I7137" i="9"/>
  <c r="I5442" i="9"/>
  <c r="I3390" i="9"/>
  <c r="I7138" i="9"/>
  <c r="I4044" i="9"/>
  <c r="I8900" i="9"/>
  <c r="I2228" i="9"/>
  <c r="I4248" i="9"/>
  <c r="I4496" i="9"/>
  <c r="I5653" i="9"/>
  <c r="I7913" i="9"/>
  <c r="I7448" i="9"/>
  <c r="I8394" i="9"/>
  <c r="I4081" i="9"/>
  <c r="I2855" i="9"/>
  <c r="I3226" i="9"/>
  <c r="I3227" i="9"/>
  <c r="I542" i="9"/>
  <c r="I3228" i="9"/>
  <c r="I1532" i="9"/>
  <c r="I7753" i="9"/>
  <c r="I8640" i="9"/>
  <c r="I3080" i="9"/>
  <c r="I8395" i="9"/>
  <c r="I8641" i="9"/>
  <c r="I7139" i="9"/>
  <c r="I7140" i="9"/>
  <c r="I7449" i="9"/>
  <c r="I200" i="9"/>
  <c r="I4067" i="9"/>
  <c r="I3131" i="9"/>
  <c r="I7450" i="9"/>
  <c r="I2119" i="9"/>
  <c r="I3229" i="9"/>
  <c r="I5304" i="9"/>
  <c r="I5305" i="9"/>
  <c r="I2289" i="9"/>
  <c r="I5443" i="9"/>
  <c r="I4249" i="9"/>
  <c r="I5525" i="9"/>
  <c r="I3391" i="9"/>
  <c r="I5526" i="9"/>
  <c r="I4250" i="9"/>
  <c r="I5527" i="9"/>
  <c r="I5858" i="9"/>
  <c r="I7876" i="9"/>
  <c r="I2293" i="9"/>
  <c r="I2357" i="9"/>
  <c r="I1365" i="9"/>
  <c r="I3081" i="9"/>
  <c r="I5359" i="9"/>
  <c r="I7022" i="9"/>
  <c r="I7451" i="9"/>
  <c r="I8396" i="9"/>
  <c r="I8642" i="9"/>
  <c r="I7141" i="9"/>
  <c r="I7142" i="9"/>
  <c r="I7143" i="9"/>
  <c r="I5360" i="9"/>
  <c r="I7683" i="9"/>
  <c r="I253" i="9"/>
  <c r="I254" i="9"/>
  <c r="I3132" i="9"/>
  <c r="I4068" i="9"/>
  <c r="I1252" i="9"/>
  <c r="I1814" i="9"/>
  <c r="I2120" i="9"/>
  <c r="I2290" i="9"/>
  <c r="I2581" i="9"/>
  <c r="I3398" i="9"/>
  <c r="I6929" i="9"/>
  <c r="I8006" i="9"/>
  <c r="I8846" i="9"/>
  <c r="I3618" i="9"/>
  <c r="I2211" i="9"/>
  <c r="I2230" i="9"/>
  <c r="I6600" i="9"/>
  <c r="I7023" i="9"/>
  <c r="I4069" i="9"/>
  <c r="I1945" i="9"/>
  <c r="I1946" i="9"/>
  <c r="I5528" i="9"/>
  <c r="I5529" i="9"/>
  <c r="I9246" i="9"/>
  <c r="I6690" i="9"/>
  <c r="I2601" i="9"/>
  <c r="I2001" i="9"/>
  <c r="I2637" i="9"/>
  <c r="I2652" i="9"/>
  <c r="I3222" i="9"/>
  <c r="I544" i="9"/>
  <c r="I1295" i="9"/>
  <c r="I1370" i="9"/>
  <c r="I3009" i="9"/>
  <c r="I3468" i="9"/>
  <c r="I4007" i="9"/>
  <c r="I4939" i="9"/>
  <c r="I7304" i="9"/>
  <c r="I95" i="9"/>
  <c r="I7755" i="9"/>
  <c r="I3743" i="9"/>
  <c r="I6261" i="9"/>
  <c r="I7144" i="9"/>
  <c r="I7452" i="9"/>
  <c r="I8397" i="9"/>
  <c r="I8398" i="9"/>
  <c r="I7877" i="9"/>
  <c r="I2932" i="9"/>
  <c r="I6420" i="9"/>
  <c r="I7740" i="9"/>
  <c r="I8643" i="9"/>
  <c r="I8888" i="9"/>
  <c r="I5444" i="9"/>
  <c r="I3893" i="9"/>
  <c r="I3133" i="9"/>
  <c r="I8383" i="9"/>
  <c r="I7453" i="9"/>
  <c r="I2995" i="9"/>
  <c r="I3832" i="9"/>
  <c r="I1475" i="9"/>
  <c r="I5203" i="9"/>
  <c r="I2121" i="9"/>
  <c r="I4573" i="9"/>
  <c r="I7947" i="9"/>
  <c r="I5859" i="9"/>
  <c r="I6964" i="9"/>
  <c r="I7145" i="9"/>
  <c r="I6481" i="9"/>
  <c r="I5715" i="9"/>
  <c r="I8901" i="9"/>
  <c r="I7803" i="9"/>
  <c r="I1947" i="9"/>
  <c r="I8405" i="9"/>
  <c r="I153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4413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799" i="9"/>
  <c r="I1100" i="9"/>
  <c r="I1101" i="9"/>
  <c r="I1102" i="9"/>
  <c r="I1103" i="9"/>
  <c r="I1104" i="9"/>
  <c r="I1105" i="9"/>
  <c r="I1106" i="9"/>
  <c r="I1107" i="9"/>
  <c r="I1108" i="9"/>
  <c r="I1109" i="9"/>
  <c r="I2638" i="9"/>
  <c r="I1110" i="9"/>
  <c r="I1111" i="9"/>
  <c r="I1112" i="9"/>
  <c r="I1113" i="9"/>
  <c r="I8170" i="9"/>
  <c r="I4414" i="9"/>
  <c r="I1114" i="9"/>
  <c r="I1115" i="9"/>
  <c r="I1116" i="9"/>
  <c r="I1117" i="9"/>
  <c r="I1118" i="9"/>
  <c r="I1119" i="9"/>
  <c r="I2233" i="9"/>
  <c r="I4415" i="9"/>
  <c r="I1120" i="9"/>
  <c r="I1121" i="9"/>
  <c r="I8545" i="9"/>
  <c r="I1800" i="9"/>
  <c r="I8913" i="9"/>
  <c r="I2429" i="9"/>
  <c r="I8066" i="9"/>
  <c r="I109" i="9"/>
  <c r="I154" i="9"/>
  <c r="I225" i="9"/>
  <c r="I268" i="9"/>
  <c r="I332" i="9"/>
  <c r="I364" i="9"/>
  <c r="I387" i="9"/>
  <c r="I453" i="9"/>
  <c r="I475" i="9"/>
  <c r="I1136" i="9"/>
  <c r="I1174" i="9"/>
  <c r="I1452" i="9"/>
  <c r="I1520" i="9"/>
  <c r="I1688" i="9"/>
  <c r="I2326" i="9"/>
  <c r="I2383" i="9"/>
  <c r="I2441" i="9"/>
  <c r="I2580" i="9"/>
  <c r="I2661" i="9"/>
  <c r="I2941" i="9"/>
  <c r="I3224" i="9"/>
  <c r="I3231" i="9"/>
  <c r="I3417" i="9"/>
  <c r="I3469" i="9"/>
  <c r="I3472" i="9"/>
  <c r="I3672" i="9"/>
  <c r="I3834" i="9"/>
  <c r="I3972" i="9"/>
  <c r="I3981" i="9"/>
  <c r="I4198" i="9"/>
  <c r="I4269" i="9"/>
  <c r="I4373" i="9"/>
  <c r="I4538" i="9"/>
  <c r="I4559" i="9"/>
  <c r="I4584" i="9"/>
  <c r="I4656" i="9"/>
  <c r="I4761" i="9"/>
  <c r="I4983" i="9"/>
  <c r="I5037" i="9"/>
  <c r="I5176" i="9"/>
  <c r="I5185" i="9"/>
  <c r="I5241" i="9"/>
  <c r="I5243" i="9"/>
  <c r="I5450" i="9"/>
  <c r="I5565" i="9"/>
  <c r="I5638" i="9"/>
  <c r="I5729" i="9"/>
  <c r="I5943" i="9"/>
  <c r="I5973" i="9"/>
  <c r="I6024" i="9"/>
  <c r="I6060" i="9"/>
  <c r="I6071" i="9"/>
  <c r="I6257" i="9"/>
  <c r="I6366" i="9"/>
  <c r="I6367" i="9"/>
  <c r="I6564" i="9"/>
  <c r="I6610" i="9"/>
  <c r="I6952" i="9"/>
  <c r="I7473" i="9"/>
  <c r="I7482" i="9"/>
  <c r="I7813" i="9"/>
  <c r="I7911" i="9"/>
  <c r="I7938" i="9"/>
  <c r="I8008" i="9"/>
  <c r="I8048" i="9"/>
  <c r="I8155" i="9"/>
  <c r="I8355" i="9"/>
  <c r="I8404" i="9"/>
  <c r="I8417" i="9"/>
  <c r="I8907" i="9"/>
  <c r="I8914" i="9"/>
  <c r="I8959" i="9"/>
  <c r="I1226" i="9"/>
  <c r="I3505" i="9"/>
  <c r="I2929" i="9"/>
  <c r="I4550" i="9"/>
  <c r="I3726" i="9"/>
  <c r="I2811" i="9"/>
  <c r="I3262" i="9"/>
  <c r="I3551" i="9"/>
  <c r="I3918" i="9"/>
  <c r="I4763" i="9"/>
  <c r="I5320" i="9"/>
  <c r="I6550" i="9"/>
  <c r="I8796" i="9"/>
  <c r="I9220" i="9"/>
  <c r="I9263" i="9"/>
  <c r="I2452" i="9"/>
  <c r="I2611" i="9"/>
  <c r="I2856" i="9"/>
  <c r="I3144" i="9"/>
  <c r="I3919" i="9"/>
  <c r="I3977" i="9"/>
  <c r="I4272" i="9"/>
  <c r="I4491" i="9"/>
  <c r="I6243" i="9"/>
  <c r="I8902" i="9"/>
  <c r="I1341" i="9"/>
  <c r="I1870" i="9"/>
  <c r="I2643" i="9"/>
  <c r="I2813" i="9"/>
  <c r="I2936" i="9"/>
  <c r="I2949" i="9"/>
  <c r="I3256" i="9"/>
  <c r="I4698" i="9"/>
  <c r="I5896" i="9"/>
  <c r="I6084" i="9"/>
  <c r="I6546" i="9"/>
  <c r="I8351" i="9"/>
  <c r="I9308" i="9"/>
  <c r="I1420" i="9"/>
  <c r="I2613" i="9"/>
  <c r="I5317" i="9"/>
  <c r="I2212" i="9"/>
  <c r="I2235" i="9"/>
  <c r="I3339" i="9"/>
  <c r="I6601" i="9"/>
  <c r="I2622" i="9"/>
  <c r="I1352" i="9"/>
  <c r="I1849" i="9"/>
  <c r="I2166" i="9"/>
  <c r="I2893" i="9"/>
  <c r="I8070" i="9"/>
  <c r="I8078" i="9"/>
  <c r="I8112" i="9"/>
  <c r="I213" i="9"/>
  <c r="I494" i="9"/>
  <c r="I1255" i="9"/>
  <c r="I1261" i="9"/>
  <c r="I1296" i="9"/>
  <c r="I1548" i="9"/>
  <c r="I5632" i="9"/>
  <c r="I5952" i="9"/>
  <c r="I8231" i="9"/>
  <c r="I3744" i="9"/>
  <c r="I2063" i="9"/>
  <c r="I2186" i="9"/>
  <c r="I4253" i="9"/>
  <c r="I5530" i="9"/>
  <c r="I8886" i="9"/>
  <c r="I1367" i="9"/>
  <c r="I5766" i="9"/>
  <c r="I7484" i="9"/>
  <c r="I8873" i="9"/>
  <c r="I8946" i="9"/>
  <c r="I1830" i="9"/>
  <c r="I2858" i="9"/>
  <c r="I3374" i="9"/>
  <c r="I4710" i="9"/>
  <c r="I6469" i="9"/>
  <c r="I1177" i="9"/>
  <c r="I2602" i="9"/>
  <c r="I1421" i="9"/>
  <c r="I6341" i="9"/>
  <c r="I8104" i="9"/>
  <c r="I236" i="9"/>
  <c r="I244" i="9"/>
  <c r="I7195" i="9"/>
  <c r="I1980" i="9"/>
  <c r="I4471" i="9"/>
  <c r="I4337" i="9"/>
  <c r="I4810" i="9"/>
  <c r="I9260" i="9"/>
  <c r="I2201" i="9"/>
  <c r="I4014" i="9"/>
  <c r="I1371" i="9"/>
  <c r="I1482" i="9"/>
  <c r="I1604" i="9"/>
  <c r="I1739" i="9"/>
  <c r="I2180" i="9"/>
  <c r="I3011" i="9"/>
  <c r="I3014" i="9"/>
  <c r="I4045" i="9"/>
  <c r="I4257" i="9"/>
  <c r="I4921" i="9"/>
  <c r="I5758" i="9"/>
  <c r="I5797" i="9"/>
  <c r="I6041" i="9"/>
  <c r="I7197" i="9"/>
  <c r="I7305" i="9"/>
  <c r="I7348" i="9"/>
  <c r="I8531" i="9"/>
  <c r="I8574" i="9"/>
  <c r="I2007" i="9"/>
  <c r="I2202" i="9"/>
  <c r="I2365" i="9"/>
  <c r="I2653" i="9"/>
  <c r="I4008" i="9"/>
  <c r="I4712" i="9"/>
  <c r="I6046" i="9"/>
  <c r="I6147" i="9"/>
  <c r="I6930" i="9"/>
  <c r="I8532" i="9"/>
  <c r="I8906" i="9"/>
  <c r="I1540" i="9"/>
  <c r="I173" i="9"/>
  <c r="I2491" i="9"/>
  <c r="I96" i="9"/>
  <c r="I7756" i="9"/>
  <c r="I1360" i="9"/>
  <c r="I3100" i="9"/>
  <c r="I5362" i="9"/>
  <c r="I5868" i="9"/>
  <c r="I5972" i="9"/>
  <c r="I6059" i="9"/>
  <c r="I6088" i="9"/>
  <c r="I6174" i="9"/>
  <c r="I6190" i="9"/>
  <c r="I6262" i="9"/>
  <c r="I6273" i="9"/>
  <c r="I6428" i="9"/>
  <c r="I6454" i="9"/>
  <c r="I6456" i="9"/>
  <c r="I6463" i="9"/>
  <c r="I6633" i="9"/>
  <c r="I6965" i="9"/>
  <c r="I7028" i="9"/>
  <c r="I8121" i="9"/>
  <c r="I8399" i="9"/>
  <c r="I8546" i="9"/>
  <c r="I174" i="9"/>
  <c r="I2106" i="9"/>
  <c r="I3325" i="9"/>
  <c r="I5829" i="9"/>
  <c r="I5836" i="9"/>
  <c r="I4254" i="9"/>
  <c r="I1669" i="9"/>
  <c r="I8261" i="9"/>
  <c r="I8950" i="9"/>
  <c r="I398" i="9"/>
  <c r="I1424" i="9"/>
  <c r="I1490" i="9"/>
  <c r="I2657" i="9"/>
  <c r="I2662" i="9"/>
  <c r="I3089" i="9"/>
  <c r="I5088" i="9"/>
  <c r="I5705" i="9"/>
  <c r="I6122" i="9"/>
  <c r="I6289" i="9"/>
  <c r="I6951" i="9"/>
  <c r="I8049" i="9"/>
  <c r="I8051" i="9"/>
  <c r="I8125" i="9"/>
  <c r="I8670" i="9"/>
  <c r="I8864" i="9"/>
  <c r="I8925" i="9"/>
  <c r="I9288" i="9"/>
  <c r="I1282" i="9"/>
  <c r="I3380" i="9"/>
  <c r="I133" i="9"/>
  <c r="I550" i="9"/>
  <c r="I4487" i="9"/>
  <c r="I5424" i="9"/>
  <c r="I9022" i="9"/>
  <c r="I1376" i="9"/>
  <c r="I3453" i="9"/>
  <c r="I7046" i="9"/>
  <c r="I8549" i="9"/>
  <c r="I3486" i="9"/>
  <c r="I6630" i="9"/>
  <c r="I7318" i="9"/>
  <c r="I7703" i="9"/>
  <c r="I8644" i="9"/>
  <c r="I8889" i="9"/>
  <c r="I9032" i="9"/>
  <c r="I1537" i="9"/>
  <c r="I2374" i="9"/>
  <c r="I402" i="9"/>
  <c r="I2805" i="9"/>
  <c r="I4493" i="9"/>
  <c r="I5820" i="9"/>
  <c r="I9284" i="9"/>
  <c r="I1541" i="9"/>
  <c r="I4717" i="9"/>
  <c r="I8512" i="9"/>
  <c r="I105" i="9"/>
  <c r="I5772" i="9"/>
  <c r="I3980" i="9"/>
  <c r="I8616" i="9"/>
  <c r="I4366" i="9"/>
  <c r="I3529" i="9"/>
  <c r="I3134" i="9"/>
  <c r="I8247" i="9"/>
  <c r="I8384" i="9"/>
  <c r="I7454" i="9"/>
  <c r="I8882" i="9"/>
  <c r="I3838" i="9"/>
  <c r="I380" i="9"/>
  <c r="I1476" i="9"/>
  <c r="I1948" i="9"/>
  <c r="I4323" i="9"/>
  <c r="I5068" i="9"/>
  <c r="I5210" i="9"/>
  <c r="I5249" i="9"/>
  <c r="I8447" i="9"/>
  <c r="I8529" i="9"/>
  <c r="I1515" i="9"/>
  <c r="I6894" i="9"/>
  <c r="I7447" i="9"/>
  <c r="I7119" i="9"/>
  <c r="I7120" i="9"/>
  <c r="I7121" i="9"/>
  <c r="I7122" i="9"/>
  <c r="I7123" i="9"/>
  <c r="I8638" i="9"/>
  <c r="I9249" i="9"/>
  <c r="I9277" i="9"/>
  <c r="I7096" i="9"/>
  <c r="I7097" i="9"/>
  <c r="I7098" i="9"/>
  <c r="I7099" i="9"/>
  <c r="I7100" i="9"/>
  <c r="I3079" i="9"/>
  <c r="I3487" i="9"/>
  <c r="I3488" i="9"/>
  <c r="I3489" i="9"/>
  <c r="I6380" i="9"/>
  <c r="I2741" i="9"/>
  <c r="I2930" i="9"/>
  <c r="I5600" i="9"/>
  <c r="I5770" i="9"/>
  <c r="I3269" i="9"/>
  <c r="I3270" i="9"/>
  <c r="I3271" i="9"/>
  <c r="I3289" i="9"/>
  <c r="I3272" i="9"/>
  <c r="I3273" i="9"/>
  <c r="I3274" i="9"/>
  <c r="I3275" i="9"/>
  <c r="I3276" i="9"/>
  <c r="I3277" i="9"/>
  <c r="I3290" i="9"/>
  <c r="I3278" i="9"/>
  <c r="I3279" i="9"/>
  <c r="I3280" i="9"/>
  <c r="I3281" i="9"/>
  <c r="I3282" i="9"/>
  <c r="I3283" i="9"/>
  <c r="I3284" i="9"/>
  <c r="I3285" i="9"/>
  <c r="I3286" i="9"/>
  <c r="I3287" i="9"/>
  <c r="I3288" i="9"/>
  <c r="I5541" i="9"/>
  <c r="I5552" i="9"/>
  <c r="I5542" i="9"/>
  <c r="I5543" i="9"/>
  <c r="I5544" i="9"/>
  <c r="I5545" i="9"/>
  <c r="I5546" i="9"/>
  <c r="I5547" i="9"/>
  <c r="I5548" i="9"/>
  <c r="I5549" i="9"/>
  <c r="I5550" i="9"/>
  <c r="I5551" i="9"/>
  <c r="I2257" i="9"/>
  <c r="I3337" i="9"/>
  <c r="I8639" i="9"/>
  <c r="I7713" i="9"/>
  <c r="I585" i="9"/>
  <c r="I8482" i="9"/>
  <c r="I8498" i="9"/>
  <c r="I8518" i="9"/>
  <c r="I8519" i="9"/>
  <c r="I8542" i="9"/>
  <c r="I8630" i="9"/>
  <c r="I8631" i="9"/>
  <c r="I8632" i="9"/>
  <c r="I8648" i="9"/>
  <c r="I8649" i="9"/>
  <c r="I8650" i="9"/>
  <c r="I8651" i="9"/>
  <c r="I8731" i="9"/>
  <c r="I8815" i="9"/>
  <c r="I8842" i="9"/>
  <c r="I8854" i="9"/>
  <c r="I8868" i="9"/>
  <c r="I8872" i="9"/>
  <c r="I8916" i="9"/>
  <c r="I8948" i="9"/>
  <c r="I8976" i="9"/>
  <c r="I9039" i="9"/>
  <c r="I9040" i="9"/>
  <c r="I9050" i="9"/>
  <c r="I9051" i="9"/>
  <c r="I9052" i="9"/>
  <c r="I9083" i="9"/>
  <c r="I9133" i="9"/>
  <c r="I9182" i="9"/>
  <c r="I9183" i="9"/>
  <c r="I9186" i="9"/>
  <c r="I9194" i="9"/>
  <c r="I9195" i="9"/>
  <c r="I9196" i="9"/>
  <c r="I9200" i="9"/>
  <c r="I9214" i="9"/>
  <c r="I9215" i="9"/>
  <c r="I9224" i="9"/>
  <c r="I9225" i="9"/>
  <c r="I9232" i="9"/>
  <c r="I9240" i="9"/>
  <c r="I9256" i="9"/>
  <c r="I9257" i="9"/>
  <c r="I9258" i="9"/>
  <c r="I9281" i="9"/>
  <c r="I9286" i="9"/>
  <c r="I9293" i="9"/>
  <c r="I9299" i="9"/>
  <c r="I3896" i="9"/>
  <c r="I3508" i="9"/>
  <c r="I3632" i="9"/>
  <c r="I4035" i="9"/>
  <c r="I5989" i="9"/>
  <c r="I7886" i="9"/>
  <c r="I8835" i="9"/>
  <c r="I1142" i="9"/>
  <c r="I1178" i="9"/>
  <c r="I1196" i="9"/>
  <c r="I2790" i="9"/>
  <c r="I3070" i="9"/>
  <c r="I3071" i="9"/>
  <c r="I3520" i="9"/>
  <c r="I3948" i="9"/>
  <c r="I6026" i="9"/>
  <c r="I7016" i="9"/>
  <c r="I7114" i="9"/>
  <c r="I7668" i="9"/>
  <c r="I7742" i="9"/>
  <c r="I7868" i="9"/>
  <c r="I9216" i="9"/>
  <c r="I9250" i="9"/>
  <c r="I403" i="9"/>
  <c r="I486" i="9"/>
  <c r="I1125" i="9"/>
  <c r="I3521" i="9"/>
  <c r="I5483" i="9"/>
  <c r="I7420" i="9"/>
  <c r="I7211" i="9"/>
  <c r="I5484" i="9"/>
  <c r="I8728" i="9"/>
  <c r="I5189" i="9"/>
  <c r="I2846" i="9"/>
  <c r="I2098" i="9"/>
  <c r="I6941" i="9"/>
  <c r="I7255" i="9"/>
  <c r="I3447" i="9"/>
  <c r="I4059" i="9"/>
  <c r="I6239" i="9"/>
  <c r="I8836" i="9"/>
  <c r="I1179" i="9"/>
  <c r="I1772" i="9"/>
  <c r="I2998" i="9"/>
  <c r="I3028" i="9"/>
  <c r="I3114" i="9"/>
  <c r="I3473" i="9"/>
  <c r="I3509" i="9"/>
  <c r="I3552" i="9"/>
  <c r="I3594" i="9"/>
  <c r="I4498" i="9"/>
  <c r="I5485" i="9"/>
  <c r="I5486" i="9"/>
  <c r="I6305" i="9"/>
  <c r="I6331" i="9"/>
  <c r="I6637" i="9"/>
  <c r="I7659" i="9"/>
  <c r="I7743" i="9"/>
  <c r="I7967" i="9"/>
  <c r="I8269" i="9"/>
  <c r="I8479" i="9"/>
  <c r="I9150" i="9"/>
  <c r="I9151" i="9"/>
  <c r="I9251" i="9"/>
  <c r="I462" i="9"/>
  <c r="I463" i="9"/>
  <c r="I1803" i="9"/>
  <c r="I2100" i="9"/>
  <c r="I2161" i="9"/>
  <c r="I2301" i="9"/>
  <c r="I2847" i="9"/>
  <c r="I2942" i="9"/>
  <c r="I2999" i="9"/>
  <c r="I3012" i="9"/>
  <c r="I3135" i="9"/>
  <c r="I3530" i="9"/>
  <c r="I3596" i="9"/>
  <c r="I3597" i="9"/>
  <c r="I3633" i="9"/>
  <c r="I3897" i="9"/>
  <c r="I4582" i="9"/>
  <c r="I4687" i="9"/>
  <c r="I4837" i="9"/>
  <c r="I5306" i="9"/>
  <c r="I5460" i="9"/>
  <c r="I5487" i="9"/>
  <c r="I5591" i="9"/>
  <c r="I5669" i="9"/>
  <c r="I5746" i="9"/>
  <c r="I5871" i="9"/>
  <c r="I5992" i="9"/>
  <c r="I6029" i="9"/>
  <c r="I6223" i="9"/>
  <c r="I6293" i="9"/>
  <c r="I6306" i="9"/>
  <c r="I6332" i="9"/>
  <c r="I6382" i="9"/>
  <c r="I6410" i="9"/>
  <c r="I6464" i="9"/>
  <c r="I6740" i="9"/>
  <c r="I7271" i="9"/>
  <c r="I7288" i="9"/>
  <c r="I7319" i="9"/>
  <c r="I7669" i="9"/>
  <c r="I7716" i="9"/>
  <c r="I7744" i="9"/>
  <c r="I7763" i="9"/>
  <c r="I7869" i="9"/>
  <c r="I7887" i="9"/>
  <c r="I7936" i="9"/>
  <c r="I7968" i="9"/>
  <c r="I8074" i="9"/>
  <c r="I8095" i="9"/>
  <c r="I8183" i="9"/>
  <c r="I8626" i="9"/>
  <c r="I9252" i="9"/>
  <c r="I5" i="9"/>
  <c r="I6" i="9"/>
  <c r="I7" i="9"/>
  <c r="I1181" i="9"/>
  <c r="I1197" i="9"/>
  <c r="I1262" i="9"/>
  <c r="I1401" i="9"/>
  <c r="I1560" i="9"/>
  <c r="I1606" i="9"/>
  <c r="I1953" i="9"/>
  <c r="I2406" i="9"/>
  <c r="I2967" i="9"/>
  <c r="I3073" i="9"/>
  <c r="I3257" i="9"/>
  <c r="I3264" i="9"/>
  <c r="I3490" i="9"/>
  <c r="I3522" i="9"/>
  <c r="I3531" i="9"/>
  <c r="I3539" i="9"/>
  <c r="I3600" i="9"/>
  <c r="I3634" i="9"/>
  <c r="I3695" i="9"/>
  <c r="I3707" i="9"/>
  <c r="I3899" i="9"/>
  <c r="I3900" i="9"/>
  <c r="I3901" i="9"/>
  <c r="I3968" i="9"/>
  <c r="I4036" i="9"/>
  <c r="I4186" i="9"/>
  <c r="I4489" i="9"/>
  <c r="I4551" i="9"/>
  <c r="I4562" i="9"/>
  <c r="I5051" i="9"/>
  <c r="I5056" i="9"/>
  <c r="I5096" i="9"/>
  <c r="I5461" i="9"/>
  <c r="I5670" i="9"/>
  <c r="I5763" i="9"/>
  <c r="I5831" i="9"/>
  <c r="I5953" i="9"/>
  <c r="I6308" i="9"/>
  <c r="I6638" i="9"/>
  <c r="I6671" i="9"/>
  <c r="I6897" i="9"/>
  <c r="I6989" i="9"/>
  <c r="I7071" i="9"/>
  <c r="I7115" i="9"/>
  <c r="I7174" i="9"/>
  <c r="I7421" i="9"/>
  <c r="I7804" i="9"/>
  <c r="I7949" i="9"/>
  <c r="I7954" i="9"/>
  <c r="I7983" i="9"/>
  <c r="I8271" i="9"/>
  <c r="I8291" i="9"/>
  <c r="I8480" i="9"/>
  <c r="I9291" i="9"/>
  <c r="I1227" i="9"/>
  <c r="I1281" i="9"/>
  <c r="I1573" i="9"/>
  <c r="I2027" i="9"/>
  <c r="I2191" i="9"/>
  <c r="I2412" i="9"/>
  <c r="I3523" i="9"/>
  <c r="I3635" i="9"/>
  <c r="I3654" i="9"/>
  <c r="I3956" i="9"/>
  <c r="I4117" i="9"/>
  <c r="I4173" i="9"/>
  <c r="I4676" i="9"/>
  <c r="I4702" i="9"/>
  <c r="I4957" i="9"/>
  <c r="I5191" i="9"/>
  <c r="I5291" i="9"/>
  <c r="I5341" i="9"/>
  <c r="I5608" i="9"/>
  <c r="I5609" i="9"/>
  <c r="I5860" i="9"/>
  <c r="I5983" i="9"/>
  <c r="I6258" i="9"/>
  <c r="I6336" i="9"/>
  <c r="I6383" i="9"/>
  <c r="I6547" i="9"/>
  <c r="I6656" i="9"/>
  <c r="I7717" i="9"/>
  <c r="I8071" i="9"/>
  <c r="I8096" i="9"/>
  <c r="I8947" i="9"/>
  <c r="I175" i="9"/>
  <c r="I326" i="9"/>
  <c r="I477" i="9"/>
  <c r="I1171" i="9"/>
  <c r="I1243" i="9"/>
  <c r="I1387" i="9"/>
  <c r="I1524" i="9"/>
  <c r="I1561" i="9"/>
  <c r="I1773" i="9"/>
  <c r="I1894" i="9"/>
  <c r="I1906" i="9"/>
  <c r="I2022" i="9"/>
  <c r="I2072" i="9"/>
  <c r="I2247" i="9"/>
  <c r="I2302" i="9"/>
  <c r="I2363" i="9"/>
  <c r="I2459" i="9"/>
  <c r="I2584" i="9"/>
  <c r="I2648" i="9"/>
  <c r="I2848" i="9"/>
  <c r="I3074" i="9"/>
  <c r="I3075" i="9"/>
  <c r="I3249" i="9"/>
  <c r="I3474" i="9"/>
  <c r="I3951" i="9"/>
  <c r="I3969" i="9"/>
  <c r="I4038" i="9"/>
  <c r="I4255" i="9"/>
  <c r="I4839" i="9"/>
  <c r="I4919" i="9"/>
  <c r="I5753" i="9"/>
  <c r="I5771" i="9"/>
  <c r="I6465" i="9"/>
  <c r="I6639" i="9"/>
  <c r="I6653" i="9"/>
  <c r="I6839" i="9"/>
  <c r="I6840" i="9"/>
  <c r="I6925" i="9"/>
  <c r="I7031" i="9"/>
  <c r="I7116" i="9"/>
  <c r="I7117" i="9"/>
  <c r="I7485" i="9"/>
  <c r="I7579" i="9"/>
  <c r="I7589" i="9"/>
  <c r="I7711" i="9"/>
  <c r="I7879" i="9"/>
  <c r="I7896" i="9"/>
  <c r="I8038" i="9"/>
  <c r="I8052" i="9"/>
  <c r="I8627" i="9"/>
  <c r="I8814" i="9"/>
  <c r="I9005" i="9"/>
  <c r="I9078" i="9"/>
  <c r="I9185" i="9"/>
  <c r="I9191" i="9"/>
  <c r="I9217" i="9"/>
  <c r="I83" i="9"/>
  <c r="I129" i="9"/>
  <c r="I176" i="9"/>
  <c r="I180" i="9"/>
  <c r="I232" i="9"/>
  <c r="I293" i="9"/>
  <c r="I358" i="9"/>
  <c r="I359" i="9"/>
  <c r="I384" i="9"/>
  <c r="I404" i="9"/>
  <c r="I405" i="9"/>
  <c r="I446" i="9"/>
  <c r="I474" i="9"/>
  <c r="I479" i="9"/>
  <c r="I480" i="9"/>
  <c r="I487" i="9"/>
  <c r="I498" i="9"/>
  <c r="I503" i="9"/>
  <c r="I522" i="9"/>
  <c r="I1126" i="9"/>
  <c r="I1133" i="9"/>
  <c r="I1145" i="9"/>
  <c r="I1163" i="9"/>
  <c r="I1172" i="9"/>
  <c r="I1198" i="9"/>
  <c r="I1239" i="9"/>
  <c r="I1263" i="9"/>
  <c r="I1264" i="9"/>
  <c r="I1283" i="9"/>
  <c r="I1402" i="9"/>
  <c r="I1403" i="9"/>
  <c r="I1404" i="9"/>
  <c r="I1436" i="9"/>
  <c r="I1484" i="9"/>
  <c r="I1491" i="9"/>
  <c r="I1501" i="9"/>
  <c r="I1509" i="9"/>
  <c r="I1518" i="9"/>
  <c r="I1535" i="9"/>
  <c r="I1553" i="9"/>
  <c r="I1556" i="9"/>
  <c r="I1562" i="9"/>
  <c r="I1563" i="9"/>
  <c r="I1564" i="9"/>
  <c r="I1618" i="9"/>
  <c r="I1689" i="9"/>
  <c r="I1722" i="9"/>
  <c r="I1726" i="9"/>
  <c r="I1775" i="9"/>
  <c r="I1776" i="9"/>
  <c r="I1801" i="9"/>
  <c r="I1808" i="9"/>
  <c r="I1872" i="9"/>
  <c r="I1896" i="9"/>
  <c r="I2017" i="9"/>
  <c r="I2023" i="9"/>
  <c r="I2033" i="9"/>
  <c r="I2101" i="9"/>
  <c r="I2162" i="9"/>
  <c r="I2192" i="9"/>
  <c r="I2213" i="9"/>
  <c r="I2236" i="9"/>
  <c r="I2243" i="9"/>
  <c r="I2303" i="9"/>
  <c r="I2375" i="9"/>
  <c r="I2388" i="9"/>
  <c r="I2389" i="9"/>
  <c r="I2390" i="9"/>
  <c r="I2404" i="9"/>
  <c r="I2440" i="9"/>
  <c r="I2443" i="9"/>
  <c r="I2453" i="9"/>
  <c r="I2454" i="9"/>
  <c r="I2455" i="9"/>
  <c r="I2500" i="9"/>
  <c r="I2514" i="9"/>
  <c r="I2586" i="9"/>
  <c r="I2587" i="9"/>
  <c r="I2603" i="9"/>
  <c r="I2641" i="9"/>
  <c r="I2663" i="9"/>
  <c r="I2675" i="9"/>
  <c r="I2722" i="9"/>
  <c r="I2723" i="9"/>
  <c r="I2737" i="9"/>
  <c r="I2798" i="9"/>
  <c r="I2812" i="9"/>
  <c r="I2818" i="9"/>
  <c r="I2889" i="9"/>
  <c r="I2900" i="9"/>
  <c r="I2938" i="9"/>
  <c r="I2972" i="9"/>
  <c r="I3000" i="9"/>
  <c r="I3001" i="9"/>
  <c r="I3030" i="9"/>
  <c r="I3031" i="9"/>
  <c r="I3056" i="9"/>
  <c r="I3061" i="9"/>
  <c r="I3142" i="9"/>
  <c r="I3192" i="9"/>
  <c r="I3204" i="9"/>
  <c r="I3210" i="9"/>
  <c r="I3244" i="9"/>
  <c r="I3250" i="9"/>
  <c r="I3251" i="9"/>
  <c r="I3448" i="9"/>
  <c r="I3475" i="9"/>
  <c r="I3476" i="9"/>
  <c r="I3481" i="9"/>
  <c r="I3482" i="9"/>
  <c r="I3491" i="9"/>
  <c r="I3492" i="9"/>
  <c r="I3493" i="9"/>
  <c r="I3500" i="9"/>
  <c r="I3501" i="9"/>
  <c r="I3503" i="9"/>
  <c r="I3524" i="9"/>
  <c r="I3532" i="9"/>
  <c r="I3533" i="9"/>
  <c r="I3540" i="9"/>
  <c r="I3553" i="9"/>
  <c r="I3603" i="9"/>
  <c r="I3604" i="9"/>
  <c r="I3605" i="9"/>
  <c r="I3637" i="9"/>
  <c r="I3638" i="9"/>
  <c r="I3655" i="9"/>
  <c r="I3656" i="9"/>
  <c r="I3696" i="9"/>
  <c r="I3697" i="9"/>
  <c r="I3698" i="9"/>
  <c r="I3725" i="9"/>
  <c r="I3885" i="9"/>
  <c r="I3904" i="9"/>
  <c r="I3905" i="9"/>
  <c r="I3926" i="9"/>
  <c r="I3927" i="9"/>
  <c r="I3952" i="9"/>
  <c r="I4017" i="9"/>
  <c r="I4030" i="9"/>
  <c r="I4039" i="9"/>
  <c r="I4062" i="9"/>
  <c r="I4265" i="9"/>
  <c r="I4267" i="9"/>
  <c r="I4296" i="9"/>
  <c r="I4326" i="9"/>
  <c r="I4368" i="9"/>
  <c r="I4369" i="9"/>
  <c r="I4370" i="9"/>
  <c r="I4405" i="9"/>
  <c r="I4503" i="9"/>
  <c r="I4506" i="9"/>
  <c r="I4525" i="9"/>
  <c r="I4565" i="9"/>
  <c r="I4574" i="9"/>
  <c r="I4578" i="9"/>
  <c r="I4654" i="9"/>
  <c r="I4657" i="9"/>
  <c r="I4671" i="9"/>
  <c r="I4679" i="9"/>
  <c r="I4680" i="9"/>
  <c r="I4688" i="9"/>
  <c r="I4692" i="9"/>
  <c r="I4770" i="9"/>
  <c r="I4772" i="9"/>
  <c r="I4776" i="9"/>
  <c r="I4786" i="9"/>
  <c r="I4787" i="9"/>
  <c r="I4853" i="9"/>
  <c r="I4858" i="9"/>
  <c r="I4887" i="9"/>
  <c r="I4902" i="9"/>
  <c r="I4908" i="9"/>
  <c r="I4915" i="9"/>
  <c r="I4940" i="9"/>
  <c r="I4941" i="9"/>
  <c r="I4969" i="9"/>
  <c r="I5029" i="9"/>
  <c r="I5052" i="9"/>
  <c r="I5057" i="9"/>
  <c r="I5103" i="9"/>
  <c r="I5104" i="9"/>
  <c r="I5151" i="9"/>
  <c r="I5205" i="9"/>
  <c r="I5217" i="9"/>
  <c r="I5225" i="9"/>
  <c r="I5283" i="9"/>
  <c r="I5292" i="9"/>
  <c r="I5373" i="9"/>
  <c r="I5435" i="9"/>
  <c r="I5445" i="9"/>
  <c r="I5446" i="9"/>
  <c r="I5532" i="9"/>
  <c r="I5534" i="9"/>
  <c r="I5539" i="9"/>
  <c r="I5566" i="9"/>
  <c r="I5592" i="9"/>
  <c r="I5613" i="9"/>
  <c r="I5628" i="9"/>
  <c r="I5633" i="9"/>
  <c r="I5671" i="9"/>
  <c r="I5672" i="9"/>
  <c r="I5716" i="9"/>
  <c r="I5734" i="9"/>
  <c r="I5743" i="9"/>
  <c r="I5775" i="9"/>
  <c r="I5776" i="9"/>
  <c r="I5779" i="9"/>
  <c r="I5827" i="9"/>
  <c r="I5837" i="9"/>
  <c r="I5841" i="9"/>
  <c r="I5872" i="9"/>
  <c r="I6090" i="9"/>
  <c r="I6123" i="9"/>
  <c r="I6136" i="9"/>
  <c r="I6226" i="9"/>
  <c r="I6251" i="9"/>
  <c r="I6282" i="9"/>
  <c r="I6290" i="9"/>
  <c r="I6291" i="9"/>
  <c r="I6299" i="9"/>
  <c r="I6301" i="9"/>
  <c r="I6310" i="9"/>
  <c r="I6311" i="9"/>
  <c r="I6337" i="9"/>
  <c r="I6411" i="9"/>
  <c r="I6530" i="9"/>
  <c r="I6531" i="9"/>
  <c r="I6532" i="9"/>
  <c r="I6544" i="9"/>
  <c r="I6562" i="9"/>
  <c r="I6582" i="9"/>
  <c r="I6616" i="9"/>
  <c r="I6640" i="9"/>
  <c r="I6641" i="9"/>
  <c r="I6674" i="9"/>
  <c r="I6732" i="9"/>
  <c r="I6733" i="9"/>
  <c r="I6767" i="9"/>
  <c r="I6836" i="9"/>
  <c r="I6900" i="9"/>
  <c r="I6948" i="9"/>
  <c r="I6990" i="9"/>
  <c r="I6993" i="9"/>
  <c r="I6994" i="9"/>
  <c r="I6995" i="9"/>
  <c r="I7075" i="9"/>
  <c r="I7076" i="9"/>
  <c r="I7077" i="9"/>
  <c r="I7109" i="9"/>
  <c r="I7256" i="9"/>
  <c r="I7262" i="9"/>
  <c r="I7272" i="9"/>
  <c r="I7275" i="9"/>
  <c r="I7285" i="9"/>
  <c r="I7289" i="9"/>
  <c r="I7310" i="9"/>
  <c r="I7320" i="9"/>
  <c r="I7413" i="9"/>
  <c r="I7455" i="9"/>
  <c r="I7456" i="9"/>
  <c r="I7458" i="9"/>
  <c r="I7459" i="9"/>
  <c r="I7460" i="9"/>
  <c r="I7464" i="9"/>
  <c r="I7562" i="9"/>
  <c r="I7563" i="9"/>
  <c r="I7564" i="9"/>
  <c r="I7587" i="9"/>
  <c r="I7591" i="9"/>
  <c r="I7593" i="9"/>
  <c r="I7599" i="9"/>
  <c r="I7600" i="9"/>
  <c r="I7671" i="9"/>
  <c r="I7672" i="9"/>
  <c r="I7687" i="9"/>
  <c r="I7718" i="9"/>
  <c r="I7745" i="9"/>
  <c r="I7746" i="9"/>
  <c r="I7776" i="9"/>
  <c r="I7777" i="9"/>
  <c r="I7796" i="9"/>
  <c r="I7806" i="9"/>
  <c r="I7807" i="9"/>
  <c r="I7808" i="9"/>
  <c r="I7888" i="9"/>
  <c r="I7899" i="9"/>
  <c r="I7900" i="9"/>
  <c r="I7914" i="9"/>
  <c r="I7925" i="9"/>
  <c r="I7926" i="9"/>
  <c r="I7927" i="9"/>
  <c r="I7937" i="9"/>
  <c r="I7950" i="9"/>
  <c r="I7956" i="9"/>
  <c r="I7957" i="9"/>
  <c r="I7969" i="9"/>
  <c r="I7982" i="9"/>
  <c r="I7984" i="9"/>
  <c r="I8011" i="9"/>
  <c r="I8040" i="9"/>
  <c r="I8041" i="9"/>
  <c r="I8069" i="9"/>
  <c r="I8075" i="9"/>
  <c r="I8079" i="9"/>
  <c r="I8091" i="9"/>
  <c r="I8102" i="9"/>
  <c r="I8109" i="9"/>
  <c r="I8139" i="9"/>
  <c r="I8152" i="9"/>
  <c r="I8160" i="9"/>
  <c r="I8161" i="9"/>
  <c r="I8162" i="9"/>
  <c r="I8171" i="9"/>
  <c r="I8172" i="9"/>
  <c r="I8176" i="9"/>
  <c r="I8242" i="9"/>
  <c r="I8273" i="9"/>
  <c r="I8292" i="9"/>
  <c r="I8296" i="9"/>
  <c r="I8297" i="9"/>
  <c r="I8298" i="9"/>
  <c r="I8304" i="9"/>
  <c r="I8306" i="9"/>
  <c r="I8356" i="9"/>
  <c r="I8402" i="9"/>
  <c r="I8464" i="9"/>
  <c r="I8492" i="9"/>
  <c r="I8497" i="9"/>
  <c r="I8508" i="9"/>
  <c r="I8515" i="9"/>
  <c r="I8516" i="9"/>
  <c r="I8614" i="9"/>
  <c r="I8618" i="9"/>
  <c r="I8646" i="9"/>
  <c r="I8672" i="9"/>
  <c r="I8680" i="9"/>
  <c r="I8729" i="9"/>
  <c r="I8730" i="9"/>
  <c r="I8765" i="9"/>
  <c r="I8768" i="9"/>
  <c r="I8769" i="9"/>
  <c r="I8807" i="9"/>
  <c r="I8808" i="9"/>
  <c r="I8818" i="9"/>
  <c r="I8839" i="9"/>
  <c r="I8852" i="9"/>
  <c r="I8866" i="9"/>
  <c r="I8918" i="9"/>
  <c r="I8926" i="9"/>
  <c r="I8940" i="9"/>
  <c r="I8958" i="9"/>
  <c r="I9034" i="9"/>
  <c r="I9049" i="9"/>
  <c r="I9149" i="9"/>
  <c r="I9152" i="9"/>
  <c r="I9153" i="9"/>
  <c r="I9157" i="9"/>
  <c r="I9197" i="9"/>
  <c r="I9198" i="9"/>
  <c r="I9212" i="9"/>
  <c r="I9213" i="9"/>
  <c r="I9218" i="9"/>
  <c r="I9253" i="9"/>
  <c r="I9254" i="9"/>
  <c r="I9255" i="9"/>
  <c r="I9279" i="9"/>
  <c r="I9280" i="9"/>
  <c r="I9283" i="9"/>
  <c r="I9292" i="9"/>
  <c r="I17" i="9"/>
  <c r="I18" i="9"/>
  <c r="I131" i="9"/>
  <c r="I137" i="9"/>
  <c r="I177" i="9"/>
  <c r="I178" i="9"/>
  <c r="I266" i="9"/>
  <c r="I267" i="9"/>
  <c r="I327" i="9"/>
  <c r="I328" i="9"/>
  <c r="I329" i="9"/>
  <c r="I361" i="9"/>
  <c r="I368" i="9"/>
  <c r="I401" i="9"/>
  <c r="I406" i="9"/>
  <c r="I422" i="9"/>
  <c r="I465" i="9"/>
  <c r="I483" i="9"/>
  <c r="I488" i="9"/>
  <c r="I489" i="9"/>
  <c r="I492" i="9"/>
  <c r="I500" i="9"/>
  <c r="I514" i="9"/>
  <c r="I523" i="9"/>
  <c r="I548" i="9"/>
  <c r="I1127" i="9"/>
  <c r="I1173" i="9"/>
  <c r="I1184" i="9"/>
  <c r="I1185" i="9"/>
  <c r="I1199" i="9"/>
  <c r="I1200" i="9"/>
  <c r="I1201" i="9"/>
  <c r="I1206" i="9"/>
  <c r="I1254" i="9"/>
  <c r="I1258" i="9"/>
  <c r="I1265" i="9"/>
  <c r="I1266" i="9"/>
  <c r="I1405" i="9"/>
  <c r="I1406" i="9"/>
  <c r="I1410" i="9"/>
  <c r="I1416" i="9"/>
  <c r="I1445" i="9"/>
  <c r="I1492" i="9"/>
  <c r="I1502" i="9"/>
  <c r="I1503" i="9"/>
  <c r="I1504" i="9"/>
  <c r="I1513" i="9"/>
  <c r="I1514" i="9"/>
  <c r="I1519" i="9"/>
  <c r="I1536" i="9"/>
  <c r="I1544" i="9"/>
  <c r="I1554" i="9"/>
  <c r="I1565" i="9"/>
  <c r="I1574" i="9"/>
  <c r="I1575" i="9"/>
  <c r="I1587" i="9"/>
  <c r="I1608" i="9"/>
  <c r="I1615" i="9"/>
  <c r="I1620" i="9"/>
  <c r="I1621" i="9"/>
  <c r="I1626" i="9"/>
  <c r="I1728" i="9"/>
  <c r="I1729" i="9"/>
  <c r="I1777" i="9"/>
  <c r="I1778" i="9"/>
  <c r="I1779" i="9"/>
  <c r="I1780" i="9"/>
  <c r="I1807" i="9"/>
  <c r="I1810" i="9"/>
  <c r="I1819" i="9"/>
  <c r="I1873" i="9"/>
  <c r="I1898" i="9"/>
  <c r="I1899" i="9"/>
  <c r="I1900" i="9"/>
  <c r="I1909" i="9"/>
  <c r="I1988" i="9"/>
  <c r="I1998" i="9"/>
  <c r="I2044" i="9"/>
  <c r="I2073" i="9"/>
  <c r="I2109" i="9"/>
  <c r="I2126" i="9"/>
  <c r="I2164" i="9"/>
  <c r="I2178" i="9"/>
  <c r="I2187" i="9"/>
  <c r="I2193" i="9"/>
  <c r="I2194" i="9"/>
  <c r="I2195" i="9"/>
  <c r="I2240" i="9"/>
  <c r="I2244" i="9"/>
  <c r="I2248" i="9"/>
  <c r="I2250" i="9"/>
  <c r="I2358" i="9"/>
  <c r="I2359" i="9"/>
  <c r="I2376" i="9"/>
  <c r="I2379" i="9"/>
  <c r="I2385" i="9"/>
  <c r="I2394" i="9"/>
  <c r="I2398" i="9"/>
  <c r="I2407" i="9"/>
  <c r="I2408" i="9"/>
  <c r="I2409" i="9"/>
  <c r="I2410" i="9"/>
  <c r="I2413" i="9"/>
  <c r="I2420" i="9"/>
  <c r="I2456" i="9"/>
  <c r="I2516" i="9"/>
  <c r="I2590" i="9"/>
  <c r="I2604" i="9"/>
  <c r="I2605" i="9"/>
  <c r="I2606" i="9"/>
  <c r="I2621" i="9"/>
  <c r="I2642" i="9"/>
  <c r="I2650" i="9"/>
  <c r="I2665" i="9"/>
  <c r="I2676" i="9"/>
  <c r="I2677" i="9"/>
  <c r="I2697" i="9"/>
  <c r="I2719" i="9"/>
  <c r="I2720" i="9"/>
  <c r="I2800" i="9"/>
  <c r="I2814" i="9"/>
  <c r="I2822" i="9"/>
  <c r="I2862" i="9"/>
  <c r="I2863" i="9"/>
  <c r="I2890" i="9"/>
  <c r="I2901" i="9"/>
  <c r="I2903" i="9"/>
  <c r="I2923" i="9"/>
  <c r="I2939" i="9"/>
  <c r="I2940" i="9"/>
  <c r="I2975" i="9"/>
  <c r="I2976" i="9"/>
  <c r="I3008" i="9"/>
  <c r="I3017" i="9"/>
  <c r="I3032" i="9"/>
  <c r="I3057" i="9"/>
  <c r="I3058" i="9"/>
  <c r="I3097" i="9"/>
  <c r="I3106" i="9"/>
  <c r="I3122" i="9"/>
  <c r="I3136" i="9"/>
  <c r="I3140" i="9"/>
  <c r="I3143" i="9"/>
  <c r="I3152" i="9"/>
  <c r="I3159" i="9"/>
  <c r="I3194" i="9"/>
  <c r="I3252" i="9"/>
  <c r="I3253" i="9"/>
  <c r="I3254" i="9"/>
  <c r="I3258" i="9"/>
  <c r="I3260" i="9"/>
  <c r="I3378" i="9"/>
  <c r="I3412" i="9"/>
  <c r="I3414" i="9"/>
  <c r="I3415" i="9"/>
  <c r="I3423" i="9"/>
  <c r="I3446" i="9"/>
  <c r="I3471" i="9"/>
  <c r="I3477" i="9"/>
  <c r="I3483" i="9"/>
  <c r="I3484" i="9"/>
  <c r="I3502" i="9"/>
  <c r="I3504" i="9"/>
  <c r="I3510" i="9"/>
  <c r="I3534" i="9"/>
  <c r="I3535" i="9"/>
  <c r="I3543" i="9"/>
  <c r="I3550" i="9"/>
  <c r="I3566" i="9"/>
  <c r="I3609" i="9"/>
  <c r="I3641" i="9"/>
  <c r="I3642" i="9"/>
  <c r="I3643" i="9"/>
  <c r="I3650" i="9"/>
  <c r="I3657" i="9"/>
  <c r="I3658" i="9"/>
  <c r="I3699" i="9"/>
  <c r="I3700" i="9"/>
  <c r="I3701" i="9"/>
  <c r="I3702" i="9"/>
  <c r="I3703" i="9"/>
  <c r="I3722" i="9"/>
  <c r="I3727" i="9"/>
  <c r="I3749" i="9"/>
  <c r="I3750" i="9"/>
  <c r="I3751" i="9"/>
  <c r="I3780" i="9"/>
  <c r="I3908" i="9"/>
  <c r="I3909" i="9"/>
  <c r="I3910" i="9"/>
  <c r="I3924" i="9"/>
  <c r="I3953" i="9"/>
  <c r="I3962" i="9"/>
  <c r="I3963" i="9"/>
  <c r="I4015" i="9"/>
  <c r="I4018" i="9"/>
  <c r="I4031" i="9"/>
  <c r="I4032" i="9"/>
  <c r="I4050" i="9"/>
  <c r="I4051" i="9"/>
  <c r="I4063" i="9"/>
  <c r="I4091" i="9"/>
  <c r="I4125" i="9"/>
  <c r="I4155" i="9"/>
  <c r="I4174" i="9"/>
  <c r="I4191" i="9"/>
  <c r="I4256" i="9"/>
  <c r="I4271" i="9"/>
  <c r="I4273" i="9"/>
  <c r="I4371" i="9"/>
  <c r="I4483" i="9"/>
  <c r="I4484" i="9"/>
  <c r="I4485" i="9"/>
  <c r="I4500" i="9"/>
  <c r="I4504" i="9"/>
  <c r="I4505" i="9"/>
  <c r="I4575" i="9"/>
  <c r="I4579" i="9"/>
  <c r="I4655" i="9"/>
  <c r="I4658" i="9"/>
  <c r="I4659" i="9"/>
  <c r="I4689" i="9"/>
  <c r="I4695" i="9"/>
  <c r="I4696" i="9"/>
  <c r="I4703" i="9"/>
  <c r="I4764" i="9"/>
  <c r="I4773" i="9"/>
  <c r="I4774" i="9"/>
  <c r="I4775" i="9"/>
  <c r="I4788" i="9"/>
  <c r="I4854" i="9"/>
  <c r="I4855" i="9"/>
  <c r="I4859" i="9"/>
  <c r="I4909" i="9"/>
  <c r="I4910" i="9"/>
  <c r="I4932" i="9"/>
  <c r="I4936" i="9"/>
  <c r="I4971" i="9"/>
  <c r="I5018" i="9"/>
  <c r="I5053" i="9"/>
  <c r="I5054" i="9"/>
  <c r="I5055" i="9"/>
  <c r="I5180" i="9"/>
  <c r="I5194" i="9"/>
  <c r="I5226" i="9"/>
  <c r="I5294" i="9"/>
  <c r="I5369" i="9"/>
  <c r="I5370" i="9"/>
  <c r="I5377" i="9"/>
  <c r="I5438" i="9"/>
  <c r="I5447" i="9"/>
  <c r="I5448" i="9"/>
  <c r="I5451" i="9"/>
  <c r="I5462" i="9"/>
  <c r="I5463" i="9"/>
  <c r="I5464" i="9"/>
  <c r="I5465" i="9"/>
  <c r="I5490" i="9"/>
  <c r="I5535" i="9"/>
  <c r="I5537" i="9"/>
  <c r="I5540" i="9"/>
  <c r="I5594" i="9"/>
  <c r="I5595" i="9"/>
  <c r="I5615" i="9"/>
  <c r="I5728" i="9"/>
  <c r="I5735" i="9"/>
  <c r="I5754" i="9"/>
  <c r="I5777" i="9"/>
  <c r="I5838" i="9"/>
  <c r="I5842" i="9"/>
  <c r="I5861" i="9"/>
  <c r="I5873" i="9"/>
  <c r="I5939" i="9"/>
  <c r="I5945" i="9"/>
  <c r="I5995" i="9"/>
  <c r="I6044" i="9"/>
  <c r="I6073" i="9"/>
  <c r="I6130" i="9"/>
  <c r="I6192" i="9"/>
  <c r="I6254" i="9"/>
  <c r="I6255" i="9"/>
  <c r="I6278" i="9"/>
  <c r="I6279" i="9"/>
  <c r="I6300" i="9"/>
  <c r="I6338" i="9"/>
  <c r="I6357" i="9"/>
  <c r="I6360" i="9"/>
  <c r="I6368" i="9"/>
  <c r="I6377" i="9"/>
  <c r="I6412" i="9"/>
  <c r="I6413" i="9"/>
  <c r="I6422" i="9"/>
  <c r="I6460" i="9"/>
  <c r="I6461" i="9"/>
  <c r="I6528" i="9"/>
  <c r="I6535" i="9"/>
  <c r="I6536" i="9"/>
  <c r="I6537" i="9"/>
  <c r="I6545" i="9"/>
  <c r="I6549" i="9"/>
  <c r="I6556" i="9"/>
  <c r="I6560" i="9"/>
  <c r="I6561" i="9"/>
  <c r="I6579" i="9"/>
  <c r="I6583" i="9"/>
  <c r="I6584" i="9"/>
  <c r="I6602" i="9"/>
  <c r="I6617" i="9"/>
  <c r="I6619" i="9"/>
  <c r="I6642" i="9"/>
  <c r="I6643" i="9"/>
  <c r="I6644" i="9"/>
  <c r="I6675" i="9"/>
  <c r="I6683" i="9"/>
  <c r="I6693" i="9"/>
  <c r="I6694" i="9"/>
  <c r="I6734" i="9"/>
  <c r="I6746" i="9"/>
  <c r="I6768" i="9"/>
  <c r="I6769" i="9"/>
  <c r="I6851" i="9"/>
  <c r="I6860" i="9"/>
  <c r="I6861" i="9"/>
  <c r="I6862" i="9"/>
  <c r="I6867" i="9"/>
  <c r="I6896" i="9"/>
  <c r="I6902" i="9"/>
  <c r="I6922" i="9"/>
  <c r="I6926" i="9"/>
  <c r="I6927" i="9"/>
  <c r="I6949" i="9"/>
  <c r="I6978" i="9"/>
  <c r="I6996" i="9"/>
  <c r="I7000" i="9"/>
  <c r="I7001" i="9"/>
  <c r="I7079" i="9"/>
  <c r="I7182" i="9"/>
  <c r="I7183" i="9"/>
  <c r="I7219" i="9"/>
  <c r="I7240" i="9"/>
  <c r="I7265" i="9"/>
  <c r="I7282" i="9"/>
  <c r="I7290" i="9"/>
  <c r="I7291" i="9"/>
  <c r="I7296" i="9"/>
  <c r="I7298" i="9"/>
  <c r="I7313" i="9"/>
  <c r="I7321" i="9"/>
  <c r="I7322" i="9"/>
  <c r="I7334" i="9"/>
  <c r="I7355" i="9"/>
  <c r="I7362" i="9"/>
  <c r="I7382" i="9"/>
  <c r="I7461" i="9"/>
  <c r="I7483" i="9"/>
  <c r="I7490" i="9"/>
  <c r="I7491" i="9"/>
  <c r="I7492" i="9"/>
  <c r="I7584" i="9"/>
  <c r="I7588" i="9"/>
  <c r="I7610" i="9"/>
  <c r="I7611" i="9"/>
  <c r="I7660" i="9"/>
  <c r="I7673" i="9"/>
  <c r="I7674" i="9"/>
  <c r="I7675" i="9"/>
  <c r="I7676" i="9"/>
  <c r="I7677" i="9"/>
  <c r="I7689" i="9"/>
  <c r="I7690" i="9"/>
  <c r="I7691" i="9"/>
  <c r="I7692" i="9"/>
  <c r="I7709" i="9"/>
  <c r="I7719" i="9"/>
  <c r="I7720" i="9"/>
  <c r="I7747" i="9"/>
  <c r="I7748" i="9"/>
  <c r="I7749" i="9"/>
  <c r="I7750" i="9"/>
  <c r="I7779" i="9"/>
  <c r="I7780" i="9"/>
  <c r="I7799" i="9"/>
  <c r="I7870" i="9"/>
  <c r="I7880" i="9"/>
  <c r="I7889" i="9"/>
  <c r="I7906" i="9"/>
  <c r="I7910" i="9"/>
  <c r="I7944" i="9"/>
  <c r="I7951" i="9"/>
  <c r="I7959" i="9"/>
  <c r="I7960" i="9"/>
  <c r="I7966" i="9"/>
  <c r="I7993" i="9"/>
  <c r="I8009" i="9"/>
  <c r="I8085" i="9"/>
  <c r="I8092" i="9"/>
  <c r="I8093" i="9"/>
  <c r="I8097" i="9"/>
  <c r="I8106" i="9"/>
  <c r="I8107" i="9"/>
  <c r="I8122" i="9"/>
  <c r="I8126" i="9"/>
  <c r="I8153" i="9"/>
  <c r="I8154" i="9"/>
  <c r="I8164" i="9"/>
  <c r="I8165" i="9"/>
  <c r="I8173" i="9"/>
  <c r="I8187" i="9"/>
  <c r="I8229" i="9"/>
  <c r="I8230" i="9"/>
  <c r="I8249" i="9"/>
  <c r="I8275" i="9"/>
  <c r="I8299" i="9"/>
  <c r="I8300" i="9"/>
  <c r="I8357" i="9"/>
  <c r="I8374" i="9"/>
  <c r="I8403" i="9"/>
  <c r="I8471" i="9"/>
  <c r="I1951" i="9"/>
  <c r="I2296" i="9"/>
  <c r="I3108" i="9"/>
  <c r="I5482" i="9"/>
  <c r="I4561" i="9"/>
  <c r="I546" i="9"/>
  <c r="I9077" i="9"/>
  <c r="I2298" i="9"/>
  <c r="I6333" i="9"/>
  <c r="I2107" i="9"/>
  <c r="I3895" i="9"/>
  <c r="I5251" i="9"/>
  <c r="I5252" i="9"/>
  <c r="I5605" i="9"/>
  <c r="I6689" i="9"/>
  <c r="I3631" i="9"/>
  <c r="I7433" i="9"/>
  <c r="E1684" i="3"/>
  <c r="E2047" i="3"/>
  <c r="E1685" i="3"/>
  <c r="E2119" i="3"/>
  <c r="E1204" i="3"/>
  <c r="E1326" i="3"/>
  <c r="E1205" i="3"/>
  <c r="E1074" i="3"/>
  <c r="H45" i="14" a="1"/>
  <c r="H45" i="14"/>
  <c r="H46" i="14" a="1"/>
  <c r="H46" i="14"/>
  <c r="H47" i="14" a="1"/>
  <c r="H47" i="14"/>
  <c r="H48" i="14" a="1"/>
  <c r="H48" i="14"/>
  <c r="H49" i="14" a="1"/>
  <c r="H49" i="14"/>
  <c r="H50" i="14" a="1"/>
  <c r="H50" i="14"/>
  <c r="H51" i="14" a="1"/>
  <c r="H51" i="14"/>
  <c r="H52" i="14" a="1"/>
  <c r="H52" i="14"/>
  <c r="H53" i="14" a="1"/>
  <c r="H53" i="14" s="1"/>
  <c r="H54" i="14" a="1"/>
  <c r="H54" i="14"/>
  <c r="H55" i="14" a="1"/>
  <c r="H55" i="14"/>
  <c r="H56" i="14" a="1"/>
  <c r="H56" i="14" s="1"/>
  <c r="H57" i="14" a="1"/>
  <c r="H57" i="14"/>
  <c r="H58" i="14" a="1"/>
  <c r="H58" i="14" s="1"/>
  <c r="H59" i="14" a="1"/>
  <c r="H59" i="14" s="1"/>
  <c r="H60" i="14" a="1"/>
  <c r="H60" i="14" s="1"/>
  <c r="H61" i="14" a="1"/>
  <c r="H61" i="14" s="1"/>
  <c r="H62" i="14" a="1"/>
  <c r="H62" i="14" s="1"/>
  <c r="H63" i="14" a="1"/>
  <c r="H63" i="14" s="1"/>
  <c r="H64" i="14" a="1"/>
  <c r="H64" i="14" s="1"/>
  <c r="H65" i="14" a="1"/>
  <c r="H65" i="14" s="1"/>
  <c r="H66" i="14" a="1"/>
  <c r="H66" i="14" s="1"/>
  <c r="H67" i="14" a="1"/>
  <c r="H67" i="14" s="1"/>
  <c r="H68" i="14" a="1"/>
  <c r="H68" i="14"/>
  <c r="H69" i="14" a="1"/>
  <c r="H69" i="14" s="1"/>
  <c r="H70" i="14" a="1"/>
  <c r="H70" i="14" s="1"/>
  <c r="H71" i="14" a="1"/>
  <c r="H71" i="14" s="1"/>
  <c r="H72" i="14" a="1"/>
  <c r="H72" i="14" s="1"/>
  <c r="H73" i="14" a="1"/>
  <c r="H73" i="14" s="1"/>
  <c r="H74" i="14" a="1"/>
  <c r="H74" i="14" s="1"/>
  <c r="H75" i="14" a="1"/>
  <c r="H75" i="14" s="1"/>
  <c r="H76" i="14" a="1"/>
  <c r="H76" i="14" s="1"/>
  <c r="H77" i="14" a="1"/>
  <c r="H77" i="14" s="1"/>
  <c r="H78" i="14" a="1"/>
  <c r="H78" i="14" s="1"/>
  <c r="H79" i="14" a="1"/>
  <c r="H79" i="14" s="1"/>
  <c r="H80" i="14" a="1"/>
  <c r="H80" i="14" s="1"/>
  <c r="H81" i="14" a="1"/>
  <c r="H81" i="14" s="1"/>
  <c r="H82" i="14" a="1"/>
  <c r="H82" i="14" s="1"/>
  <c r="H83" i="14" a="1"/>
  <c r="H83" i="14" s="1"/>
  <c r="H84" i="14" a="1"/>
  <c r="H84" i="14" s="1"/>
  <c r="H85" i="14" a="1"/>
  <c r="H85" i="14" s="1"/>
  <c r="H86" i="14" a="1"/>
  <c r="H86" i="14" s="1"/>
  <c r="H87" i="14" a="1"/>
  <c r="H87" i="14" s="1"/>
  <c r="H88" i="14" a="1"/>
  <c r="H88" i="14" s="1"/>
  <c r="H89" i="14" a="1"/>
  <c r="H89" i="14" s="1"/>
  <c r="H90" i="14" a="1"/>
  <c r="H90" i="14" s="1"/>
  <c r="H91" i="14" a="1"/>
  <c r="H91" i="14" s="1"/>
  <c r="H92" i="14" a="1"/>
  <c r="H92" i="14" s="1"/>
  <c r="H93" i="14" a="1"/>
  <c r="H93" i="14" s="1"/>
  <c r="H94" i="14" a="1"/>
  <c r="H94" i="14" s="1"/>
  <c r="H95" i="14" a="1"/>
  <c r="H95" i="14" s="1"/>
  <c r="H96" i="14" a="1"/>
  <c r="H96" i="14" s="1"/>
  <c r="H97" i="14" a="1"/>
  <c r="H97" i="14" s="1"/>
  <c r="H98" i="14" a="1"/>
  <c r="H98" i="14" s="1"/>
  <c r="H99" i="14" a="1"/>
  <c r="H99" i="14" s="1"/>
  <c r="H100" i="14" a="1"/>
  <c r="H100" i="14" s="1"/>
  <c r="H101" i="14" a="1"/>
  <c r="H101" i="14" s="1"/>
  <c r="H102" i="14" a="1"/>
  <c r="H102" i="14" s="1"/>
  <c r="H103" i="14" a="1"/>
  <c r="H103" i="14" s="1"/>
  <c r="H104" i="14" a="1"/>
  <c r="H104" i="14" s="1"/>
  <c r="H105" i="14" a="1"/>
  <c r="H105" i="14" s="1"/>
  <c r="H106" i="14" a="1"/>
  <c r="H106" i="14" s="1"/>
  <c r="H107" i="14" a="1"/>
  <c r="H107" i="14" s="1"/>
  <c r="H108" i="14" a="1"/>
  <c r="H108" i="14" s="1"/>
  <c r="H109" i="14" a="1"/>
  <c r="H109" i="14" s="1"/>
  <c r="H110" i="14" a="1"/>
  <c r="H110" i="14" s="1"/>
  <c r="H111" i="14" a="1"/>
  <c r="H111" i="14" s="1"/>
  <c r="H112" i="14" a="1"/>
  <c r="H112" i="14" s="1"/>
  <c r="H113" i="14" a="1"/>
  <c r="H113" i="14" s="1"/>
  <c r="H114" i="14" a="1"/>
  <c r="H114" i="14" s="1"/>
  <c r="H115" i="14" a="1"/>
  <c r="H115" i="14" s="1"/>
  <c r="H116" i="14" a="1"/>
  <c r="H116" i="14" s="1"/>
  <c r="H117" i="14" a="1"/>
  <c r="H117" i="14" s="1"/>
  <c r="H118" i="14" a="1"/>
  <c r="H118" i="14" s="1"/>
  <c r="H119" i="14" a="1"/>
  <c r="H119" i="14" s="1"/>
  <c r="H120" i="14" a="1"/>
  <c r="H120" i="14" s="1"/>
  <c r="H121" i="14" a="1"/>
  <c r="H121" i="14" s="1"/>
  <c r="H122" i="14" a="1"/>
  <c r="H122" i="14" s="1"/>
  <c r="H123" i="14" a="1"/>
  <c r="H123" i="14" s="1"/>
  <c r="H124" i="14" a="1"/>
  <c r="H124" i="14" s="1"/>
  <c r="H125" i="14" a="1"/>
  <c r="H125" i="14" s="1"/>
  <c r="H126" i="14" a="1"/>
  <c r="H126" i="14" s="1"/>
  <c r="H127" i="14" a="1"/>
  <c r="H127" i="14" s="1"/>
  <c r="H128" i="14" a="1"/>
  <c r="H128" i="14" s="1"/>
  <c r="H129" i="14" a="1"/>
  <c r="H129" i="14" s="1"/>
  <c r="H130" i="14" a="1"/>
  <c r="H130" i="14" s="1"/>
  <c r="H131" i="14" a="1"/>
  <c r="H131" i="14" s="1"/>
  <c r="H132" i="14" a="1"/>
  <c r="H132" i="14" s="1"/>
  <c r="H133" i="14" a="1"/>
  <c r="H133" i="14" s="1"/>
  <c r="H134" i="14" a="1"/>
  <c r="H134" i="14" s="1"/>
  <c r="H135" i="14" a="1"/>
  <c r="H135" i="14" s="1"/>
  <c r="H136" i="14" a="1"/>
  <c r="H136" i="14" s="1"/>
  <c r="H137" i="14" a="1"/>
  <c r="H137" i="14" s="1"/>
  <c r="H138" i="14" a="1"/>
  <c r="H138" i="14" s="1"/>
  <c r="H139" i="14" a="1"/>
  <c r="H139" i="14" s="1"/>
  <c r="H140" i="14" a="1"/>
  <c r="H140" i="14" s="1"/>
  <c r="H141" i="14" a="1"/>
  <c r="H141" i="14" s="1"/>
  <c r="H142" i="14" a="1"/>
  <c r="H142" i="14" s="1"/>
  <c r="H143" i="14" a="1"/>
  <c r="H143" i="14" s="1"/>
  <c r="H144" i="14" a="1"/>
  <c r="H144" i="14" s="1"/>
  <c r="H145" i="14" a="1"/>
  <c r="H145" i="14" s="1"/>
  <c r="H146" i="14" a="1"/>
  <c r="H146" i="14" s="1"/>
  <c r="H147" i="14" a="1"/>
  <c r="H147" i="14" s="1"/>
  <c r="H148" i="14" a="1"/>
  <c r="H148" i="14" s="1"/>
  <c r="H149" i="14" a="1"/>
  <c r="H149" i="14" s="1"/>
  <c r="H150" i="14" a="1"/>
  <c r="H150" i="14" s="1"/>
  <c r="H151" i="14" a="1"/>
  <c r="H151" i="14" s="1"/>
  <c r="H152" i="14" a="1"/>
  <c r="H152" i="14" s="1"/>
  <c r="H153" i="14" a="1"/>
  <c r="H153" i="14" s="1"/>
  <c r="H154" i="14" a="1"/>
  <c r="H154" i="14" s="1"/>
  <c r="H155" i="14" a="1"/>
  <c r="H155" i="14" s="1"/>
  <c r="H156" i="14" a="1"/>
  <c r="H156" i="14" s="1"/>
  <c r="H157" i="14" a="1"/>
  <c r="H157" i="14" s="1"/>
  <c r="H158" i="14" a="1"/>
  <c r="H158" i="14" s="1"/>
  <c r="H159" i="14" a="1"/>
  <c r="H159" i="14" s="1"/>
  <c r="H160" i="14" a="1"/>
  <c r="H160" i="14" s="1"/>
  <c r="H161" i="14" a="1"/>
  <c r="H161" i="14" s="1"/>
  <c r="H162" i="14" a="1"/>
  <c r="H162" i="14" s="1"/>
  <c r="H163" i="14" a="1"/>
  <c r="H163" i="14" s="1"/>
  <c r="H164" i="14" a="1"/>
  <c r="H164" i="14" s="1"/>
  <c r="H165" i="14" a="1"/>
  <c r="H165" i="14" s="1"/>
  <c r="H166" i="14" a="1"/>
  <c r="H166" i="14" s="1"/>
  <c r="H167" i="14" a="1"/>
  <c r="H167" i="14" s="1"/>
  <c r="H168" i="14" a="1"/>
  <c r="H168" i="14" s="1"/>
  <c r="H169" i="14" a="1"/>
  <c r="H169" i="14" s="1"/>
  <c r="H170" i="14" a="1"/>
  <c r="H170" i="14" s="1"/>
  <c r="H171" i="14" a="1"/>
  <c r="H171" i="14" s="1"/>
  <c r="H172" i="14" a="1"/>
  <c r="H172" i="14" s="1"/>
  <c r="H173" i="14" a="1"/>
  <c r="H173" i="14" s="1"/>
  <c r="H174" i="14" a="1"/>
  <c r="H174" i="14" s="1"/>
  <c r="H175" i="14" a="1"/>
  <c r="H175" i="14" s="1"/>
  <c r="H176" i="14" a="1"/>
  <c r="H176" i="14" s="1"/>
  <c r="H177" i="14" a="1"/>
  <c r="H177" i="14" s="1"/>
  <c r="H178" i="14" a="1"/>
  <c r="H178" i="14" s="1"/>
  <c r="H179" i="14" a="1"/>
  <c r="H179" i="14" s="1"/>
  <c r="H180" i="14" a="1"/>
  <c r="H180" i="14" s="1"/>
  <c r="H181" i="14" a="1"/>
  <c r="H181" i="14" s="1"/>
  <c r="H182" i="14" a="1"/>
  <c r="H182" i="14" s="1"/>
  <c r="H183" i="14" a="1"/>
  <c r="H183" i="14" s="1"/>
  <c r="H184" i="14" a="1"/>
  <c r="H184" i="14" s="1"/>
  <c r="H185" i="14" a="1"/>
  <c r="H185" i="14" s="1"/>
  <c r="H186" i="14" a="1"/>
  <c r="H186" i="14" s="1"/>
  <c r="H187" i="14" a="1"/>
  <c r="H187" i="14" s="1"/>
  <c r="H188" i="14" a="1"/>
  <c r="H188" i="14" s="1"/>
  <c r="H189" i="14" a="1"/>
  <c r="H189" i="14" s="1"/>
  <c r="H190" i="14" a="1"/>
  <c r="H190" i="14" s="1"/>
  <c r="H191" i="14" a="1"/>
  <c r="H191" i="14" s="1"/>
  <c r="H192" i="14" a="1"/>
  <c r="H192" i="14" s="1"/>
  <c r="H193" i="14" a="1"/>
  <c r="H193" i="14" s="1"/>
  <c r="H194" i="14" a="1"/>
  <c r="H194" i="14" s="1"/>
  <c r="H195" i="14" a="1"/>
  <c r="H195" i="14" s="1"/>
  <c r="H196" i="14" a="1"/>
  <c r="H196" i="14"/>
  <c r="H197" i="14" a="1"/>
  <c r="H197" i="14" s="1"/>
  <c r="H198" i="14" a="1"/>
  <c r="H198" i="14" s="1"/>
  <c r="H199" i="14" a="1"/>
  <c r="H199" i="14" s="1"/>
  <c r="H200" i="14" a="1"/>
  <c r="H200" i="14" s="1"/>
  <c r="H201" i="14" a="1"/>
  <c r="H201" i="14" s="1"/>
  <c r="H202" i="14" a="1"/>
  <c r="H202" i="14" s="1"/>
  <c r="H203" i="14" a="1"/>
  <c r="H204" i="14" a="1"/>
  <c r="H204" i="14"/>
  <c r="H205" i="14" a="1"/>
  <c r="H205" i="14" s="1"/>
  <c r="H206" i="14" a="1"/>
  <c r="H206" i="14" s="1"/>
  <c r="H207" i="14" a="1"/>
  <c r="H207" i="14" s="1"/>
  <c r="H208" i="14" a="1"/>
  <c r="H208" i="14" s="1"/>
  <c r="H209" i="14" a="1"/>
  <c r="H209" i="14" s="1"/>
  <c r="H210" i="14" a="1"/>
  <c r="H210" i="14" s="1"/>
  <c r="H211" i="14" a="1"/>
  <c r="H211" i="14" s="1"/>
  <c r="H212" i="14" a="1"/>
  <c r="H212" i="14" s="1"/>
  <c r="H213" i="14" a="1"/>
  <c r="H213" i="14" s="1"/>
  <c r="H214" i="14" a="1"/>
  <c r="H214" i="14" s="1"/>
  <c r="H215" i="14" a="1"/>
  <c r="H215" i="14" s="1"/>
  <c r="H216" i="14" a="1"/>
  <c r="H216" i="14" s="1"/>
  <c r="H217" i="14" a="1"/>
  <c r="H217" i="14" s="1"/>
  <c r="H218" i="14" a="1"/>
  <c r="H218" i="14" s="1"/>
  <c r="H219" i="14" a="1"/>
  <c r="H219" i="14" s="1"/>
  <c r="H220" i="14" a="1"/>
  <c r="H220" i="14" s="1"/>
  <c r="H221" i="14" a="1"/>
  <c r="H221" i="14" s="1"/>
  <c r="H222" i="14" a="1"/>
  <c r="H222" i="14" s="1"/>
  <c r="H223" i="14" a="1"/>
  <c r="H223" i="14" s="1"/>
  <c r="H224" i="14" a="1"/>
  <c r="H224" i="14" s="1"/>
  <c r="H225" i="14" a="1"/>
  <c r="H225" i="14" s="1"/>
  <c r="H226" i="14" a="1"/>
  <c r="H226" i="14" s="1"/>
  <c r="H227" i="14" a="1"/>
  <c r="H227" i="14" s="1"/>
  <c r="H228" i="14" a="1"/>
  <c r="H228" i="14" s="1"/>
  <c r="H229" i="14" a="1"/>
  <c r="H229" i="14" s="1"/>
  <c r="H230" i="14" a="1"/>
  <c r="H230" i="14" s="1"/>
  <c r="H231" i="14" a="1"/>
  <c r="H231" i="14" s="1"/>
  <c r="H232" i="14" a="1"/>
  <c r="H232" i="14" s="1"/>
  <c r="H233" i="14" a="1"/>
  <c r="H233" i="14" s="1"/>
  <c r="H234" i="14" a="1"/>
  <c r="H234" i="14" s="1"/>
  <c r="H235" i="14" a="1"/>
  <c r="H235" i="14" s="1"/>
  <c r="H236" i="14" a="1"/>
  <c r="H236" i="14" s="1"/>
  <c r="H237" i="14" a="1"/>
  <c r="H237" i="14" s="1"/>
  <c r="H238" i="14" a="1"/>
  <c r="H238" i="14" s="1"/>
  <c r="H239" i="14" a="1"/>
  <c r="H239" i="14" s="1"/>
  <c r="H240" i="14" a="1"/>
  <c r="H240" i="14" s="1"/>
  <c r="H241" i="14" a="1"/>
  <c r="H241" i="14" s="1"/>
  <c r="H242" i="14" a="1"/>
  <c r="H242" i="14" s="1"/>
  <c r="H243" i="14" a="1"/>
  <c r="H243" i="14" s="1"/>
  <c r="H244" i="14" a="1"/>
  <c r="H244" i="14" s="1"/>
  <c r="H245" i="14" a="1"/>
  <c r="H245" i="14" s="1"/>
  <c r="H246" i="14" a="1"/>
  <c r="H246" i="14" s="1"/>
  <c r="H247" i="14" a="1"/>
  <c r="H247" i="14" s="1"/>
  <c r="H248" i="14" a="1"/>
  <c r="H248" i="14" s="1"/>
  <c r="H249" i="14" a="1"/>
  <c r="H249" i="14" s="1"/>
  <c r="H250" i="14" a="1"/>
  <c r="H250" i="14" s="1"/>
  <c r="H251" i="14" a="1"/>
  <c r="H251" i="14" s="1"/>
  <c r="H252" i="14" a="1"/>
  <c r="H252" i="14" s="1"/>
  <c r="H253" i="14" a="1"/>
  <c r="H253" i="14" s="1"/>
  <c r="H254" i="14" a="1"/>
  <c r="H254" i="14" s="1"/>
  <c r="H255" i="14" a="1"/>
  <c r="H255" i="14" s="1"/>
  <c r="H256" i="14" a="1"/>
  <c r="H256" i="14" s="1"/>
  <c r="H257" i="14" a="1"/>
  <c r="H257" i="14" s="1"/>
  <c r="H258" i="14" a="1"/>
  <c r="H258" i="14" s="1"/>
  <c r="H259" i="14" a="1"/>
  <c r="H259" i="14" s="1"/>
  <c r="H260" i="14" a="1"/>
  <c r="H260" i="14" s="1"/>
  <c r="H261" i="14" a="1"/>
  <c r="H261" i="14" s="1"/>
  <c r="H262" i="14" a="1"/>
  <c r="H262" i="14" s="1"/>
  <c r="H263" i="14" a="1"/>
  <c r="H263" i="14" s="1"/>
  <c r="H264" i="14" a="1"/>
  <c r="H264" i="14" s="1"/>
  <c r="H265" i="14" a="1"/>
  <c r="H265" i="14" s="1"/>
  <c r="H266" i="14" a="1"/>
  <c r="H266" i="14" s="1"/>
  <c r="H267" i="14" a="1"/>
  <c r="H267" i="14" s="1"/>
  <c r="H268" i="14" a="1"/>
  <c r="H268" i="14" s="1"/>
  <c r="H269" i="14" a="1"/>
  <c r="H269" i="14" s="1"/>
  <c r="H270" i="14" a="1"/>
  <c r="H270" i="14" s="1"/>
  <c r="H271" i="14" a="1"/>
  <c r="H271" i="14" s="1"/>
  <c r="H272" i="14" a="1"/>
  <c r="H272" i="14" s="1"/>
  <c r="H273" i="14" a="1"/>
  <c r="H273" i="14" s="1"/>
  <c r="H274" i="14" a="1"/>
  <c r="H274" i="14" s="1"/>
  <c r="H275" i="14" a="1"/>
  <c r="H275" i="14" s="1"/>
  <c r="H276" i="14" a="1"/>
  <c r="H276" i="14" s="1"/>
  <c r="H277" i="14" a="1"/>
  <c r="H277" i="14" s="1"/>
  <c r="H278" i="14" a="1"/>
  <c r="H278" i="14" s="1"/>
  <c r="H279" i="14" a="1"/>
  <c r="H279" i="14" s="1"/>
  <c r="H280" i="14" a="1"/>
  <c r="H280" i="14" s="1"/>
  <c r="H281" i="14" a="1"/>
  <c r="H281" i="14" s="1"/>
  <c r="H282" i="14" a="1"/>
  <c r="H282" i="14" s="1"/>
  <c r="H283" i="14" a="1"/>
  <c r="H283" i="14" s="1"/>
  <c r="H284" i="14" a="1"/>
  <c r="H284" i="14" s="1"/>
  <c r="H285" i="14" a="1"/>
  <c r="H285" i="14" s="1"/>
  <c r="H286" i="14" a="1"/>
  <c r="H286" i="14" s="1"/>
  <c r="H287" i="14" a="1"/>
  <c r="H287" i="14" s="1"/>
  <c r="H288" i="14" a="1"/>
  <c r="H288" i="14" s="1"/>
  <c r="H289" i="14" a="1"/>
  <c r="H289" i="14" s="1"/>
  <c r="H290" i="14" a="1"/>
  <c r="H290" i="14" s="1"/>
  <c r="H291" i="14" a="1"/>
  <c r="H291" i="14" s="1"/>
  <c r="H292" i="14" a="1"/>
  <c r="H292" i="14" s="1"/>
  <c r="H293" i="14" a="1"/>
  <c r="H293" i="14" s="1"/>
  <c r="H294" i="14" a="1"/>
  <c r="H294" i="14" s="1"/>
  <c r="H295" i="14" a="1"/>
  <c r="H295" i="14" s="1"/>
  <c r="H296" i="14" a="1"/>
  <c r="H296" i="14" s="1"/>
  <c r="H297" i="14" a="1"/>
  <c r="H297" i="14" s="1"/>
  <c r="H298" i="14" a="1"/>
  <c r="H298" i="14" s="1"/>
  <c r="H299" i="14" a="1"/>
  <c r="H299" i="14" s="1"/>
  <c r="H300" i="14" a="1"/>
  <c r="H300" i="14" s="1"/>
  <c r="H301" i="14" a="1"/>
  <c r="H301" i="14" s="1"/>
  <c r="H302" i="14" a="1"/>
  <c r="H302" i="14" s="1"/>
  <c r="H303" i="14" a="1"/>
  <c r="H303" i="14" s="1"/>
  <c r="H304" i="14" a="1"/>
  <c r="H304" i="14" s="1"/>
  <c r="H305" i="14" a="1"/>
  <c r="H305" i="14" s="1"/>
  <c r="H306" i="14" a="1"/>
  <c r="H306" i="14" s="1"/>
  <c r="H307" i="14" a="1"/>
  <c r="H307" i="14" s="1"/>
  <c r="H308" i="14" a="1"/>
  <c r="H308" i="14" s="1"/>
  <c r="H309" i="14" a="1"/>
  <c r="H309" i="14" s="1"/>
  <c r="H310" i="14" a="1"/>
  <c r="H310" i="14" s="1"/>
  <c r="H311" i="14" a="1"/>
  <c r="H311" i="14" s="1"/>
  <c r="H312" i="14" a="1"/>
  <c r="H312" i="14" s="1"/>
  <c r="H313" i="14" a="1"/>
  <c r="H313" i="14" s="1"/>
  <c r="H314" i="14" a="1"/>
  <c r="H314" i="14" s="1"/>
  <c r="H315" i="14" a="1"/>
  <c r="H315" i="14" s="1"/>
  <c r="H316" i="14" a="1"/>
  <c r="H316" i="14" s="1"/>
  <c r="H317" i="14" a="1"/>
  <c r="H317" i="14" s="1"/>
  <c r="H318" i="14" a="1"/>
  <c r="H318" i="14" s="1"/>
  <c r="H319" i="14" a="1"/>
  <c r="H319" i="14" s="1"/>
  <c r="H320" i="14" a="1"/>
  <c r="H320" i="14" s="1"/>
  <c r="H321" i="14" a="1"/>
  <c r="H321" i="14" s="1"/>
  <c r="H322" i="14" a="1"/>
  <c r="H322" i="14" s="1"/>
  <c r="H323" i="14" a="1"/>
  <c r="H323" i="14" s="1"/>
  <c r="H324" i="14" a="1"/>
  <c r="H324" i="14" s="1"/>
  <c r="H325" i="14" a="1"/>
  <c r="H325" i="14" s="1"/>
  <c r="H326" i="14" a="1"/>
  <c r="H326" i="14" s="1"/>
  <c r="H327" i="14" a="1"/>
  <c r="H327" i="14" s="1"/>
  <c r="H328" i="14" a="1"/>
  <c r="H328" i="14" s="1"/>
  <c r="H329" i="14" a="1"/>
  <c r="H329" i="14" s="1"/>
  <c r="H330" i="14" a="1"/>
  <c r="H330" i="14" s="1"/>
  <c r="H331" i="14" a="1"/>
  <c r="H331" i="14" s="1"/>
  <c r="H332" i="14" a="1"/>
  <c r="H332" i="14" s="1"/>
  <c r="H333" i="14" a="1"/>
  <c r="H333" i="14" s="1"/>
  <c r="H334" i="14" a="1"/>
  <c r="H334" i="14" s="1"/>
  <c r="H335" i="14" a="1"/>
  <c r="H335" i="14" s="1"/>
  <c r="H336" i="14" a="1"/>
  <c r="H336" i="14" s="1"/>
  <c r="H337" i="14" a="1"/>
  <c r="H337" i="14" s="1"/>
  <c r="H338" i="14" a="1"/>
  <c r="H338" i="14" s="1"/>
  <c r="H339" i="14" a="1"/>
  <c r="H339" i="14" s="1"/>
  <c r="H340" i="14" a="1"/>
  <c r="H340" i="14" s="1"/>
  <c r="H341" i="14" a="1"/>
  <c r="H341" i="14" s="1"/>
  <c r="H342" i="14" a="1"/>
  <c r="H342" i="14" s="1"/>
  <c r="H343" i="14" a="1"/>
  <c r="H343" i="14" s="1"/>
  <c r="H344" i="14" a="1"/>
  <c r="H344" i="14" s="1"/>
  <c r="H345" i="14" a="1"/>
  <c r="H345" i="14" s="1"/>
  <c r="H346" i="14" a="1"/>
  <c r="H346" i="14" s="1"/>
  <c r="H347" i="14" a="1"/>
  <c r="H347" i="14" s="1"/>
  <c r="H348" i="14" a="1"/>
  <c r="H348" i="14" s="1"/>
  <c r="H349" i="14" a="1"/>
  <c r="H349" i="14" s="1"/>
  <c r="H350" i="14" a="1"/>
  <c r="H350" i="14" s="1"/>
  <c r="H351" i="14" a="1"/>
  <c r="H351" i="14" s="1"/>
  <c r="H352" i="14" a="1"/>
  <c r="H352" i="14" s="1"/>
  <c r="H353" i="14" a="1"/>
  <c r="H353" i="14" s="1"/>
  <c r="H354" i="14" a="1"/>
  <c r="H354" i="14" s="1"/>
  <c r="H355" i="14" a="1"/>
  <c r="H355" i="14" s="1"/>
  <c r="H356" i="14" a="1"/>
  <c r="H356" i="14" s="1"/>
  <c r="H357" i="14" a="1"/>
  <c r="H357" i="14" s="1"/>
  <c r="H358" i="14" a="1"/>
  <c r="H358" i="14" s="1"/>
  <c r="H359" i="14" a="1"/>
  <c r="H359" i="14" s="1"/>
  <c r="H360" i="14" a="1"/>
  <c r="H360" i="14" s="1"/>
  <c r="H361" i="14" a="1"/>
  <c r="H361" i="14" s="1"/>
  <c r="H362" i="14" a="1"/>
  <c r="H362" i="14" s="1"/>
  <c r="H363" i="14" a="1"/>
  <c r="H363" i="14" s="1"/>
  <c r="H364" i="14" a="1"/>
  <c r="H364" i="14" s="1"/>
  <c r="H365" i="14" a="1"/>
  <c r="H365" i="14" s="1"/>
  <c r="H366" i="14" a="1"/>
  <c r="H366" i="14" s="1"/>
  <c r="H367" i="14" a="1"/>
  <c r="H367" i="14" s="1"/>
  <c r="H368" i="14" a="1"/>
  <c r="H368" i="14" s="1"/>
  <c r="H369" i="14" a="1"/>
  <c r="H369" i="14" s="1"/>
  <c r="H370" i="14" a="1"/>
  <c r="H370" i="14" s="1"/>
  <c r="H371" i="14" a="1"/>
  <c r="H371" i="14" s="1"/>
  <c r="H372" i="14" a="1"/>
  <c r="H372" i="14" s="1"/>
  <c r="H373" i="14" a="1"/>
  <c r="H373" i="14" s="1"/>
  <c r="H374" i="14" a="1"/>
  <c r="H374" i="14" s="1"/>
  <c r="H375" i="14" a="1"/>
  <c r="H375" i="14" s="1"/>
  <c r="H376" i="14" a="1"/>
  <c r="H376" i="14" s="1"/>
  <c r="H377" i="14" a="1"/>
  <c r="H377" i="14" s="1"/>
  <c r="H378" i="14" a="1"/>
  <c r="H378" i="14" s="1"/>
  <c r="H379" i="14" a="1"/>
  <c r="H379" i="14" s="1"/>
  <c r="H380" i="14" a="1"/>
  <c r="H380" i="14" s="1"/>
  <c r="H381" i="14" a="1"/>
  <c r="H381" i="14" s="1"/>
  <c r="H382" i="14" a="1"/>
  <c r="H382" i="14" s="1"/>
  <c r="H383" i="14" a="1"/>
  <c r="H383" i="14" s="1"/>
  <c r="H384" i="14" a="1"/>
  <c r="H384" i="14" s="1"/>
  <c r="H385" i="14" a="1"/>
  <c r="H385" i="14" s="1"/>
  <c r="H386" i="14" a="1"/>
  <c r="H386" i="14" s="1"/>
  <c r="H387" i="14" a="1"/>
  <c r="H387" i="14" s="1"/>
  <c r="H388" i="14" a="1"/>
  <c r="H388" i="14" s="1"/>
  <c r="H389" i="14" a="1"/>
  <c r="H389" i="14" s="1"/>
  <c r="H390" i="14" a="1"/>
  <c r="H390" i="14" s="1"/>
  <c r="H391" i="14" a="1"/>
  <c r="H391" i="14" s="1"/>
  <c r="H392" i="14" a="1"/>
  <c r="H392" i="14" s="1"/>
  <c r="H393" i="14" a="1"/>
  <c r="H393" i="14" s="1"/>
  <c r="H394" i="14" a="1"/>
  <c r="H394" i="14" s="1"/>
  <c r="H395" i="14" a="1"/>
  <c r="H395" i="14" s="1"/>
  <c r="H396" i="14" a="1"/>
  <c r="H396" i="14" s="1"/>
  <c r="H397" i="14" a="1"/>
  <c r="H397" i="14" s="1"/>
  <c r="H398" i="14" a="1"/>
  <c r="H398" i="14" s="1"/>
  <c r="H399" i="14" a="1"/>
  <c r="H399" i="14" s="1"/>
  <c r="H400" i="14" a="1"/>
  <c r="H400" i="14" s="1"/>
  <c r="H401" i="14" a="1"/>
  <c r="H401" i="14" s="1"/>
  <c r="H402" i="14" a="1"/>
  <c r="H402" i="14" s="1"/>
  <c r="H403" i="14" a="1"/>
  <c r="H403" i="14" s="1"/>
  <c r="H404" i="14" a="1"/>
  <c r="H404" i="14" s="1"/>
  <c r="H405" i="14" a="1"/>
  <c r="H405" i="14" s="1"/>
  <c r="H406" i="14" a="1"/>
  <c r="H406" i="14" s="1"/>
  <c r="H407" i="14" a="1"/>
  <c r="H407" i="14" s="1"/>
  <c r="H408" i="14" a="1"/>
  <c r="H408" i="14" s="1"/>
  <c r="H409" i="14" a="1"/>
  <c r="H409" i="14" s="1"/>
  <c r="H410" i="14" a="1"/>
  <c r="H411" i="14" a="1"/>
  <c r="H411" i="14" s="1"/>
  <c r="H412" i="14" a="1"/>
  <c r="H412" i="14" s="1"/>
  <c r="H413" i="14" a="1"/>
  <c r="H413" i="14" s="1"/>
  <c r="H414" i="14" a="1"/>
  <c r="H414" i="14" s="1"/>
  <c r="H415" i="14" a="1"/>
  <c r="H415" i="14" s="1"/>
  <c r="H416" i="14" a="1"/>
  <c r="H416" i="14" s="1"/>
  <c r="H417" i="14" a="1"/>
  <c r="H417" i="14" s="1"/>
  <c r="H418" i="14" a="1"/>
  <c r="H418" i="14" s="1"/>
  <c r="H419" i="14" a="1"/>
  <c r="H419" i="14" s="1"/>
  <c r="H420" i="14" a="1"/>
  <c r="H420" i="14" s="1"/>
  <c r="H421" i="14" a="1"/>
  <c r="H421" i="14" s="1"/>
  <c r="H422" i="14" a="1"/>
  <c r="H422" i="14" s="1"/>
  <c r="H423" i="14" a="1"/>
  <c r="H423" i="14" s="1"/>
  <c r="H424" i="14" a="1"/>
  <c r="H424" i="14" s="1"/>
  <c r="H425" i="14" a="1"/>
  <c r="H425" i="14" s="1"/>
  <c r="H426" i="14" a="1"/>
  <c r="H426" i="14" s="1"/>
  <c r="H427" i="14" a="1"/>
  <c r="H427" i="14" s="1"/>
  <c r="H428" i="14" a="1"/>
  <c r="H428" i="14" s="1"/>
  <c r="H429" i="14" a="1"/>
  <c r="H429" i="14" s="1"/>
  <c r="H430" i="14" a="1"/>
  <c r="H430" i="14" s="1"/>
  <c r="H431" i="14" a="1"/>
  <c r="H431" i="14" s="1"/>
  <c r="H432" i="14" a="1"/>
  <c r="H432" i="14" s="1"/>
  <c r="H433" i="14" a="1"/>
  <c r="H433" i="14" s="1"/>
  <c r="H434" i="14" a="1"/>
  <c r="H434" i="14" s="1"/>
  <c r="H435" i="14" a="1"/>
  <c r="H435" i="14" s="1"/>
  <c r="H436" i="14" a="1"/>
  <c r="H436" i="14" s="1"/>
  <c r="H437" i="14" a="1"/>
  <c r="H437" i="14" s="1"/>
  <c r="H438" i="14" a="1"/>
  <c r="H438" i="14" s="1"/>
  <c r="H439" i="14" a="1"/>
  <c r="H439" i="14" s="1"/>
  <c r="H440" i="14" a="1"/>
  <c r="H440" i="14" s="1"/>
  <c r="H441" i="14" a="1"/>
  <c r="H442" i="14" a="1"/>
  <c r="H442" i="14" s="1"/>
  <c r="H443" i="14" a="1"/>
  <c r="H443" i="14" s="1"/>
  <c r="H444" i="14" a="1"/>
  <c r="H444" i="14" s="1"/>
  <c r="H445" i="14" a="1"/>
  <c r="H445" i="14" s="1"/>
  <c r="H446" i="14" a="1"/>
  <c r="H446" i="14" s="1"/>
  <c r="H447" i="14" a="1"/>
  <c r="H447" i="14" s="1"/>
  <c r="H448" i="14" a="1"/>
  <c r="H448" i="14" s="1"/>
  <c r="H449" i="14" a="1"/>
  <c r="H449" i="14" s="1"/>
  <c r="H450" i="14" a="1"/>
  <c r="H450" i="14" s="1"/>
  <c r="H451" i="14" a="1"/>
  <c r="H451" i="14" s="1"/>
  <c r="H452" i="14" a="1"/>
  <c r="H452" i="14" s="1"/>
  <c r="H453" i="14" a="1"/>
  <c r="H453" i="14" s="1"/>
  <c r="H454" i="14" a="1"/>
  <c r="H454" i="14" s="1"/>
  <c r="H455" i="14" a="1"/>
  <c r="H455" i="14" s="1"/>
  <c r="H456" i="14" a="1"/>
  <c r="H456" i="14" s="1"/>
  <c r="H457" i="14" a="1"/>
  <c r="H457" i="14" s="1"/>
  <c r="H458" i="14" a="1"/>
  <c r="H458" i="14" s="1"/>
  <c r="H459" i="14" a="1"/>
  <c r="H459" i="14" s="1"/>
  <c r="H460" i="14" a="1"/>
  <c r="H460" i="14" s="1"/>
  <c r="H461" i="14" a="1"/>
  <c r="H461" i="14" s="1"/>
  <c r="H462" i="14" a="1"/>
  <c r="H462" i="14" s="1"/>
  <c r="H463" i="14" a="1"/>
  <c r="H463" i="14" s="1"/>
  <c r="H464" i="14" a="1"/>
  <c r="H464" i="14" s="1"/>
  <c r="H465" i="14" a="1"/>
  <c r="H465" i="14" s="1"/>
  <c r="H466" i="14" a="1"/>
  <c r="H466" i="14" s="1"/>
  <c r="H467" i="14" a="1"/>
  <c r="H467" i="14" s="1"/>
  <c r="H468" i="14" a="1"/>
  <c r="H468" i="14" s="1"/>
  <c r="H469" i="14" a="1"/>
  <c r="H469" i="14" s="1"/>
  <c r="H470" i="14" a="1"/>
  <c r="H470" i="14" s="1"/>
  <c r="H471" i="14" a="1"/>
  <c r="H471" i="14" s="1"/>
  <c r="H472" i="14" a="1"/>
  <c r="H472" i="14" s="1"/>
  <c r="H473" i="14" a="1"/>
  <c r="H473" i="14" s="1"/>
  <c r="H474" i="14" a="1"/>
  <c r="H474" i="14" s="1"/>
  <c r="H475" i="14" a="1"/>
  <c r="H475" i="14" s="1"/>
  <c r="H476" i="14" a="1"/>
  <c r="H476" i="14" s="1"/>
  <c r="H477" i="14" a="1"/>
  <c r="H477" i="14" s="1"/>
  <c r="H478" i="14" a="1"/>
  <c r="H478" i="14" s="1"/>
  <c r="H479" i="14" a="1"/>
  <c r="H479" i="14" s="1"/>
  <c r="H480" i="14" a="1"/>
  <c r="H480" i="14" s="1"/>
  <c r="H481" i="14" a="1"/>
  <c r="H481" i="14" s="1"/>
  <c r="H482" i="14" a="1"/>
  <c r="H482" i="14" s="1"/>
  <c r="H483" i="14" a="1"/>
  <c r="H483" i="14" s="1"/>
  <c r="H484" i="14" a="1"/>
  <c r="H484" i="14" s="1"/>
  <c r="H485" i="14" a="1"/>
  <c r="H485" i="14" s="1"/>
  <c r="H486" i="14" a="1"/>
  <c r="H486" i="14" s="1"/>
  <c r="H487" i="14" a="1"/>
  <c r="H487" i="14" s="1"/>
  <c r="H488" i="14" a="1"/>
  <c r="H488" i="14" s="1"/>
  <c r="H489" i="14" a="1"/>
  <c r="H489" i="14" s="1"/>
  <c r="H490" i="14" a="1"/>
  <c r="H490" i="14" s="1"/>
  <c r="H491" i="14" a="1"/>
  <c r="H491" i="14" s="1"/>
  <c r="H492" i="14" a="1"/>
  <c r="H492" i="14" s="1"/>
  <c r="H493" i="14" a="1"/>
  <c r="H493" i="14" s="1"/>
  <c r="H494" i="14" a="1"/>
  <c r="H494" i="14" s="1"/>
  <c r="H495" i="14" a="1"/>
  <c r="H495" i="14" s="1"/>
  <c r="H496" i="14" a="1"/>
  <c r="H496" i="14" s="1"/>
  <c r="H497" i="14" a="1"/>
  <c r="H497" i="14" s="1"/>
  <c r="H498" i="14" a="1"/>
  <c r="H498" i="14" s="1"/>
  <c r="H499" i="14" a="1"/>
  <c r="H499" i="14" s="1"/>
  <c r="H500" i="14" a="1"/>
  <c r="H500" i="14" s="1"/>
  <c r="H501" i="14" a="1"/>
  <c r="H501" i="14" s="1"/>
  <c r="H502" i="14" a="1"/>
  <c r="H502" i="14" s="1"/>
  <c r="H503" i="14" a="1"/>
  <c r="H503" i="14" s="1"/>
  <c r="H504" i="14" a="1"/>
  <c r="H504" i="14" s="1"/>
  <c r="H505" i="14" a="1"/>
  <c r="H505" i="14" s="1"/>
  <c r="H506" i="14" a="1"/>
  <c r="H506" i="14" s="1"/>
  <c r="H507" i="14" a="1"/>
  <c r="H507" i="14" s="1"/>
  <c r="H508" i="14" a="1"/>
  <c r="H508" i="14" s="1"/>
  <c r="H509" i="14" a="1"/>
  <c r="H509" i="14" s="1"/>
  <c r="H510" i="14" a="1"/>
  <c r="H510" i="14" s="1"/>
  <c r="H511" i="14" a="1"/>
  <c r="H511" i="14" s="1"/>
  <c r="H512" i="14" a="1"/>
  <c r="H512" i="14" s="1"/>
  <c r="H513" i="14" a="1"/>
  <c r="H513" i="14" s="1"/>
  <c r="H514" i="14" a="1"/>
  <c r="H514" i="14" s="1"/>
  <c r="H515" i="14" a="1"/>
  <c r="H515" i="14" s="1"/>
  <c r="H516" i="14" a="1"/>
  <c r="H516" i="14" s="1"/>
  <c r="H517" i="14" a="1"/>
  <c r="H517" i="14" s="1"/>
  <c r="H518" i="14" a="1"/>
  <c r="H518" i="14" s="1"/>
  <c r="H519" i="14" a="1"/>
  <c r="H519" i="14" s="1"/>
  <c r="H520" i="14" a="1"/>
  <c r="H520" i="14" s="1"/>
  <c r="H521" i="14" a="1"/>
  <c r="H521" i="14" s="1"/>
  <c r="H522" i="14" a="1"/>
  <c r="H522" i="14" s="1"/>
  <c r="H523" i="14" a="1"/>
  <c r="H523" i="14" s="1"/>
  <c r="H524" i="14" a="1"/>
  <c r="H524" i="14" s="1"/>
  <c r="H525" i="14" a="1"/>
  <c r="H525" i="14" s="1"/>
  <c r="H526" i="14" a="1"/>
  <c r="H526" i="14" s="1"/>
  <c r="H527" i="14" a="1"/>
  <c r="H527" i="14" s="1"/>
  <c r="H528" i="14" a="1"/>
  <c r="H528" i="14" s="1"/>
  <c r="H529" i="14" a="1"/>
  <c r="H529" i="14" s="1"/>
  <c r="H530" i="14" a="1"/>
  <c r="H530" i="14" s="1"/>
  <c r="H531" i="14" a="1"/>
  <c r="H531" i="14" s="1"/>
  <c r="H532" i="14" a="1"/>
  <c r="H532" i="14" s="1"/>
  <c r="H533" i="14" a="1"/>
  <c r="H533" i="14" s="1"/>
  <c r="H534" i="14" a="1"/>
  <c r="H534" i="14" s="1"/>
  <c r="H535" i="14" a="1"/>
  <c r="H535" i="14" s="1"/>
  <c r="H536" i="14" a="1"/>
  <c r="H536" i="14" s="1"/>
  <c r="H537" i="14" a="1"/>
  <c r="H537" i="14" s="1"/>
  <c r="H538" i="14" a="1"/>
  <c r="H538" i="14" s="1"/>
  <c r="H539" i="14" a="1"/>
  <c r="H539" i="14" s="1"/>
  <c r="H540" i="14" a="1"/>
  <c r="H540" i="14" s="1"/>
  <c r="H541" i="14" a="1"/>
  <c r="H541" i="14" s="1"/>
  <c r="H542" i="14" a="1"/>
  <c r="H542" i="14" s="1"/>
  <c r="H543" i="14" a="1"/>
  <c r="H543" i="14" s="1"/>
  <c r="H544" i="14" a="1"/>
  <c r="H544" i="14" s="1"/>
  <c r="H545" i="14" a="1"/>
  <c r="H545" i="14" s="1"/>
  <c r="H546" i="14" a="1"/>
  <c r="H546" i="14" s="1"/>
  <c r="H547" i="14" a="1"/>
  <c r="H547" i="14" s="1"/>
  <c r="H548" i="14" a="1"/>
  <c r="H548" i="14" s="1"/>
  <c r="H549" i="14" a="1"/>
  <c r="H549" i="14" s="1"/>
  <c r="H550" i="14" a="1"/>
  <c r="H550" i="14" s="1"/>
  <c r="H551" i="14" a="1"/>
  <c r="H551" i="14" s="1"/>
  <c r="H552" i="14" a="1"/>
  <c r="H552" i="14" s="1"/>
  <c r="H553" i="14" a="1"/>
  <c r="H553" i="14" s="1"/>
  <c r="H554" i="14" a="1"/>
  <c r="H554" i="14" s="1"/>
  <c r="H555" i="14" a="1"/>
  <c r="H555" i="14" s="1"/>
  <c r="H556" i="14" a="1"/>
  <c r="H556" i="14" s="1"/>
  <c r="H557" i="14" a="1"/>
  <c r="H557" i="14" s="1"/>
  <c r="H558" i="14" a="1"/>
  <c r="H558" i="14" s="1"/>
  <c r="H559" i="14" a="1"/>
  <c r="H559" i="14" s="1"/>
  <c r="H560" i="14" a="1"/>
  <c r="H560" i="14" s="1"/>
  <c r="H561" i="14" a="1"/>
  <c r="H561" i="14" s="1"/>
  <c r="H562" i="14" a="1"/>
  <c r="H562" i="14" s="1"/>
  <c r="H563" i="14" a="1"/>
  <c r="H563" i="14" s="1"/>
  <c r="H564" i="14" a="1"/>
  <c r="H564" i="14" s="1"/>
  <c r="H565" i="14" a="1"/>
  <c r="H565" i="14" s="1"/>
  <c r="H566" i="14" a="1"/>
  <c r="H566" i="14" s="1"/>
  <c r="H567" i="14" a="1"/>
  <c r="H567" i="14" s="1"/>
  <c r="H568" i="14" a="1"/>
  <c r="H568" i="14" s="1"/>
  <c r="H569" i="14" a="1"/>
  <c r="H569" i="14" s="1"/>
  <c r="H570" i="14" a="1"/>
  <c r="H570" i="14" s="1"/>
  <c r="H571" i="14" a="1"/>
  <c r="H571" i="14" s="1"/>
  <c r="H572" i="14" a="1"/>
  <c r="H572" i="14" s="1"/>
  <c r="H573" i="14" a="1"/>
  <c r="H573" i="14" s="1"/>
  <c r="H574" i="14" a="1"/>
  <c r="H574" i="14" s="1"/>
  <c r="H575" i="14" a="1"/>
  <c r="H575" i="14" s="1"/>
  <c r="H576" i="14" a="1"/>
  <c r="H576" i="14" s="1"/>
  <c r="H577" i="14" a="1"/>
  <c r="H577" i="14" s="1"/>
  <c r="H578" i="14" a="1"/>
  <c r="H578" i="14" s="1"/>
  <c r="H579" i="14" a="1"/>
  <c r="H579" i="14" s="1"/>
  <c r="H580" i="14" a="1"/>
  <c r="H580" i="14" s="1"/>
  <c r="H581" i="14" a="1"/>
  <c r="H581" i="14" s="1"/>
  <c r="H582" i="14" a="1"/>
  <c r="H582" i="14" s="1"/>
  <c r="H583" i="14" a="1"/>
  <c r="H583" i="14" s="1"/>
  <c r="H584" i="14" a="1"/>
  <c r="H584" i="14" s="1"/>
  <c r="H585" i="14" a="1"/>
  <c r="H585" i="14" s="1"/>
  <c r="H586" i="14" a="1"/>
  <c r="H586" i="14" s="1"/>
  <c r="H587" i="14" a="1"/>
  <c r="H587" i="14" s="1"/>
  <c r="H588" i="14" a="1"/>
  <c r="H588" i="14" s="1"/>
  <c r="H589" i="14" a="1"/>
  <c r="H589" i="14" s="1"/>
  <c r="H590" i="14" a="1"/>
  <c r="H590" i="14" s="1"/>
  <c r="H591" i="14" a="1"/>
  <c r="H591" i="14" s="1"/>
  <c r="H592" i="14" a="1"/>
  <c r="H592" i="14" s="1"/>
  <c r="H593" i="14" a="1"/>
  <c r="H593" i="14" s="1"/>
  <c r="H594" i="14" a="1"/>
  <c r="H594" i="14" s="1"/>
  <c r="H595" i="14" a="1"/>
  <c r="H595" i="14" s="1"/>
  <c r="H596" i="14" a="1"/>
  <c r="H596" i="14" s="1"/>
  <c r="H597" i="14" a="1"/>
  <c r="H597" i="14" s="1"/>
  <c r="H598" i="14" a="1"/>
  <c r="H598" i="14" s="1"/>
  <c r="H599" i="14" a="1"/>
  <c r="H599" i="14" s="1"/>
  <c r="H600" i="14" a="1"/>
  <c r="H600" i="14" s="1"/>
  <c r="H601" i="14" a="1"/>
  <c r="H601" i="14" s="1"/>
  <c r="H602" i="14" a="1"/>
  <c r="H602" i="14" s="1"/>
  <c r="H603" i="14" a="1"/>
  <c r="H603" i="14" s="1"/>
  <c r="H604" i="14" a="1"/>
  <c r="H604" i="14" s="1"/>
  <c r="H605" i="14" a="1"/>
  <c r="H605" i="14" s="1"/>
  <c r="H606" i="14" a="1"/>
  <c r="H606" i="14" s="1"/>
  <c r="H607" i="14" a="1"/>
  <c r="H607" i="14" s="1"/>
  <c r="H608" i="14" a="1"/>
  <c r="H608" i="14" s="1"/>
  <c r="H609" i="14" a="1"/>
  <c r="H609" i="14" s="1"/>
  <c r="H610" i="14" a="1"/>
  <c r="H610" i="14" s="1"/>
  <c r="H611" i="14" a="1"/>
  <c r="H611" i="14" s="1"/>
  <c r="H612" i="14" a="1"/>
  <c r="H612" i="14" s="1"/>
  <c r="H613" i="14" a="1"/>
  <c r="H613" i="14" s="1"/>
  <c r="H614" i="14" a="1"/>
  <c r="H614" i="14" s="1"/>
  <c r="H615" i="14" a="1"/>
  <c r="H615" i="14" s="1"/>
  <c r="H616" i="14" a="1"/>
  <c r="H616" i="14" s="1"/>
  <c r="H617" i="14" a="1"/>
  <c r="H617" i="14" s="1"/>
  <c r="H618" i="14" a="1"/>
  <c r="H618" i="14" s="1"/>
  <c r="H619" i="14" a="1"/>
  <c r="H619" i="14" s="1"/>
  <c r="H620" i="14" a="1"/>
  <c r="H620" i="14" s="1"/>
  <c r="H621" i="14" a="1"/>
  <c r="H621" i="14" s="1"/>
  <c r="H622" i="14" a="1"/>
  <c r="H622" i="14" s="1"/>
  <c r="H623" i="14" a="1"/>
  <c r="H623" i="14" s="1"/>
  <c r="H624" i="14" a="1"/>
  <c r="H624" i="14" s="1"/>
  <c r="H625" i="14" a="1"/>
  <c r="H625" i="14" s="1"/>
  <c r="H626" i="14" a="1"/>
  <c r="H626" i="14" s="1"/>
  <c r="H627" i="14" a="1"/>
  <c r="H627" i="14" s="1"/>
  <c r="H628" i="14" a="1"/>
  <c r="H628" i="14" s="1"/>
  <c r="H629" i="14" a="1"/>
  <c r="H629" i="14" s="1"/>
  <c r="H630" i="14" a="1"/>
  <c r="H630" i="14" s="1"/>
  <c r="H631" i="14" a="1"/>
  <c r="H631" i="14" s="1"/>
  <c r="H632" i="14" a="1"/>
  <c r="H632" i="14" s="1"/>
  <c r="H633" i="14" a="1"/>
  <c r="H633" i="14" s="1"/>
  <c r="H634" i="14" a="1"/>
  <c r="H634" i="14" s="1"/>
  <c r="H635" i="14" a="1"/>
  <c r="H635" i="14" s="1"/>
  <c r="H636" i="14" a="1"/>
  <c r="H636" i="14" s="1"/>
  <c r="H637" i="14" a="1"/>
  <c r="H637" i="14" s="1"/>
  <c r="H638" i="14" a="1"/>
  <c r="H638" i="14" s="1"/>
  <c r="H639" i="14" a="1"/>
  <c r="H639" i="14" s="1"/>
  <c r="H640" i="14" a="1"/>
  <c r="H640" i="14" s="1"/>
  <c r="H641" i="14" a="1"/>
  <c r="H641" i="14" s="1"/>
  <c r="H642" i="14" a="1"/>
  <c r="H642" i="14" s="1"/>
  <c r="H643" i="14" a="1"/>
  <c r="H643" i="14" s="1"/>
  <c r="H644" i="14" a="1"/>
  <c r="H644" i="14" s="1"/>
  <c r="H645" i="14" a="1"/>
  <c r="H645" i="14" s="1"/>
  <c r="H646" i="14" a="1"/>
  <c r="H646" i="14" s="1"/>
  <c r="H647" i="14" a="1"/>
  <c r="H647" i="14" s="1"/>
  <c r="H648" i="14" a="1"/>
  <c r="H648" i="14" s="1"/>
  <c r="H649" i="14" a="1"/>
  <c r="H649" i="14" s="1"/>
  <c r="H650" i="14" a="1"/>
  <c r="H650" i="14" s="1"/>
  <c r="H651" i="14" a="1"/>
  <c r="H651" i="14" s="1"/>
  <c r="H652" i="14" a="1"/>
  <c r="H652" i="14" s="1"/>
  <c r="H653" i="14" a="1"/>
  <c r="H653" i="14" s="1"/>
  <c r="H654" i="14" a="1"/>
  <c r="H654" i="14" s="1"/>
  <c r="H655" i="14" a="1"/>
  <c r="H655" i="14" s="1"/>
  <c r="H656" i="14" a="1"/>
  <c r="H656" i="14" s="1"/>
  <c r="H657" i="14" a="1"/>
  <c r="H657" i="14" s="1"/>
  <c r="H658" i="14" a="1"/>
  <c r="H658" i="14" s="1"/>
  <c r="H659" i="14" a="1"/>
  <c r="H659" i="14" s="1"/>
  <c r="H660" i="14" a="1"/>
  <c r="H660" i="14" s="1"/>
  <c r="H661" i="14" a="1"/>
  <c r="H661" i="14" s="1"/>
  <c r="H662" i="14" a="1"/>
  <c r="H662" i="14" s="1"/>
  <c r="H663" i="14" a="1"/>
  <c r="H663" i="14" s="1"/>
  <c r="H664" i="14" a="1"/>
  <c r="H664" i="14" s="1"/>
  <c r="H665" i="14" a="1"/>
  <c r="H665" i="14" s="1"/>
  <c r="H666" i="14" a="1"/>
  <c r="H666" i="14" s="1"/>
  <c r="H667" i="14" a="1"/>
  <c r="H667" i="14" s="1"/>
  <c r="H668" i="14" a="1"/>
  <c r="H668" i="14" s="1"/>
  <c r="H669" i="14" a="1"/>
  <c r="H669" i="14" s="1"/>
  <c r="H670" i="14" a="1"/>
  <c r="H670" i="14" s="1"/>
  <c r="H671" i="14" a="1"/>
  <c r="H671" i="14" s="1"/>
  <c r="H672" i="14" a="1"/>
  <c r="H672" i="14" s="1"/>
  <c r="H673" i="14" a="1"/>
  <c r="H673" i="14" s="1"/>
  <c r="H674" i="14" a="1"/>
  <c r="H674" i="14" s="1"/>
  <c r="H675" i="14" a="1"/>
  <c r="H675" i="14" s="1"/>
  <c r="H676" i="14" a="1"/>
  <c r="H676" i="14" s="1"/>
  <c r="H677" i="14" a="1"/>
  <c r="H677" i="14" s="1"/>
  <c r="H678" i="14" a="1"/>
  <c r="H678" i="14" s="1"/>
  <c r="H679" i="14" a="1"/>
  <c r="H679" i="14" s="1"/>
  <c r="H680" i="14" a="1"/>
  <c r="H680" i="14" s="1"/>
  <c r="H681" i="14" a="1"/>
  <c r="H681" i="14" s="1"/>
  <c r="H682" i="14" a="1"/>
  <c r="H682" i="14" s="1"/>
  <c r="H683" i="14" a="1"/>
  <c r="H683" i="14" s="1"/>
  <c r="H684" i="14" a="1"/>
  <c r="H684" i="14" s="1"/>
  <c r="H685" i="14" a="1"/>
  <c r="H685" i="14" s="1"/>
  <c r="H686" i="14" a="1"/>
  <c r="H686" i="14" s="1"/>
  <c r="H687" i="14" a="1"/>
  <c r="H687" i="14" s="1"/>
  <c r="H688" i="14" a="1"/>
  <c r="H688" i="14" s="1"/>
  <c r="H689" i="14" a="1"/>
  <c r="H689" i="14" s="1"/>
  <c r="H690" i="14" a="1"/>
  <c r="H690" i="14" s="1"/>
  <c r="H691" i="14" a="1"/>
  <c r="H691" i="14" s="1"/>
  <c r="H692" i="14" a="1"/>
  <c r="H692" i="14" s="1"/>
  <c r="H693" i="14" a="1"/>
  <c r="H693" i="14" s="1"/>
  <c r="H694" i="14" a="1"/>
  <c r="H694" i="14" s="1"/>
  <c r="H695" i="14" a="1"/>
  <c r="H695" i="14" s="1"/>
  <c r="H696" i="14" a="1"/>
  <c r="H696" i="14" s="1"/>
  <c r="H697" i="14" a="1"/>
  <c r="H697" i="14" s="1"/>
  <c r="H698" i="14" a="1"/>
  <c r="H698" i="14" s="1"/>
  <c r="H699" i="14" a="1"/>
  <c r="H699" i="14" s="1"/>
  <c r="H700" i="14" a="1"/>
  <c r="H700" i="14" s="1"/>
  <c r="H701" i="14" a="1"/>
  <c r="H701" i="14" s="1"/>
  <c r="H702" i="14" a="1"/>
  <c r="H702" i="14" s="1"/>
  <c r="H703" i="14" a="1"/>
  <c r="H703" i="14" s="1"/>
  <c r="H704" i="14" a="1"/>
  <c r="H704" i="14" s="1"/>
  <c r="H705" i="14" a="1"/>
  <c r="H705" i="14" s="1"/>
  <c r="H706" i="14" a="1"/>
  <c r="H706" i="14" s="1"/>
  <c r="H707" i="14" a="1"/>
  <c r="H707" i="14" s="1"/>
  <c r="H708" i="14" a="1"/>
  <c r="H708" i="14" s="1"/>
  <c r="H709" i="14" a="1"/>
  <c r="H709" i="14" s="1"/>
  <c r="H710" i="14" a="1"/>
  <c r="H710" i="14" s="1"/>
  <c r="H711" i="14" a="1"/>
  <c r="H711" i="14" s="1"/>
  <c r="H712" i="14" a="1"/>
  <c r="H712" i="14" s="1"/>
  <c r="H713" i="14" a="1"/>
  <c r="H713" i="14" s="1"/>
  <c r="H714" i="14" a="1"/>
  <c r="H714" i="14" s="1"/>
  <c r="H715" i="14" a="1"/>
  <c r="H715" i="14" s="1"/>
  <c r="H716" i="14" a="1"/>
  <c r="H716" i="14" s="1"/>
  <c r="H717" i="14" a="1"/>
  <c r="H717" i="14" s="1"/>
  <c r="H718" i="14" a="1"/>
  <c r="H718" i="14" s="1"/>
  <c r="H719" i="14" a="1"/>
  <c r="H719" i="14" s="1"/>
  <c r="H720" i="14" a="1"/>
  <c r="H720" i="14" s="1"/>
  <c r="H721" i="14" a="1"/>
  <c r="H721" i="14" s="1"/>
  <c r="H722" i="14" a="1"/>
  <c r="H722" i="14" s="1"/>
  <c r="H723" i="14" a="1"/>
  <c r="H723" i="14" s="1"/>
  <c r="H724" i="14" a="1"/>
  <c r="H724" i="14" s="1"/>
  <c r="H725" i="14" a="1"/>
  <c r="H725" i="14" s="1"/>
  <c r="H726" i="14" a="1"/>
  <c r="H726" i="14" s="1"/>
  <c r="H727" i="14" a="1"/>
  <c r="H727" i="14" s="1"/>
  <c r="H728" i="14" a="1"/>
  <c r="H728" i="14" s="1"/>
  <c r="H729" i="14" a="1"/>
  <c r="H729" i="14" s="1"/>
  <c r="H730" i="14" a="1"/>
  <c r="H730" i="14" s="1"/>
  <c r="H731" i="14" a="1"/>
  <c r="H731" i="14" s="1"/>
  <c r="H732" i="14" a="1"/>
  <c r="H732" i="14" s="1"/>
  <c r="H733" i="14" a="1"/>
  <c r="H733" i="14" s="1"/>
  <c r="H734" i="14" a="1"/>
  <c r="H734" i="14" s="1"/>
  <c r="H735" i="14" a="1"/>
  <c r="H735" i="14" s="1"/>
  <c r="H736" i="14" a="1"/>
  <c r="H736" i="14" s="1"/>
  <c r="H737" i="14" a="1"/>
  <c r="H737" i="14" s="1"/>
  <c r="H738" i="14" a="1"/>
  <c r="H738" i="14" s="1"/>
  <c r="H739" i="14" a="1"/>
  <c r="H739" i="14" s="1"/>
  <c r="H740" i="14" a="1"/>
  <c r="H740" i="14" s="1"/>
  <c r="H741" i="14" a="1"/>
  <c r="H741" i="14" s="1"/>
  <c r="H742" i="14" a="1"/>
  <c r="H742" i="14" s="1"/>
  <c r="H743" i="14" a="1"/>
  <c r="H743" i="14" s="1"/>
  <c r="H744" i="14" a="1"/>
  <c r="H744" i="14" s="1"/>
  <c r="H745" i="14" a="1"/>
  <c r="H745" i="14" s="1"/>
  <c r="H746" i="14" a="1"/>
  <c r="H746" i="14" s="1"/>
  <c r="H747" i="14" a="1"/>
  <c r="H747" i="14" s="1"/>
  <c r="H748" i="14" a="1"/>
  <c r="H748" i="14" s="1"/>
  <c r="H749" i="14" a="1"/>
  <c r="H749" i="14" s="1"/>
  <c r="H750" i="14" a="1"/>
  <c r="H750" i="14" s="1"/>
  <c r="H751" i="14" a="1"/>
  <c r="H751" i="14" s="1"/>
  <c r="H752" i="14" a="1"/>
  <c r="H752" i="14" s="1"/>
  <c r="H753" i="14" a="1"/>
  <c r="H753" i="14" s="1"/>
  <c r="H754" i="14" a="1"/>
  <c r="H754" i="14" s="1"/>
  <c r="H755" i="14" a="1"/>
  <c r="H755" i="14" s="1"/>
  <c r="H756" i="14" a="1"/>
  <c r="H756" i="14" s="1"/>
  <c r="H757" i="14" a="1"/>
  <c r="H757" i="14" s="1"/>
  <c r="H758" i="14" a="1"/>
  <c r="H758" i="14" s="1"/>
  <c r="H759" i="14" a="1"/>
  <c r="H759" i="14" s="1"/>
  <c r="H760" i="14" a="1"/>
  <c r="H760" i="14" s="1"/>
  <c r="H761" i="14" a="1"/>
  <c r="H761" i="14" s="1"/>
  <c r="H762" i="14" a="1"/>
  <c r="H762" i="14" s="1"/>
  <c r="H763" i="14" a="1"/>
  <c r="H763" i="14" s="1"/>
  <c r="H764" i="14" a="1"/>
  <c r="H764" i="14" s="1"/>
  <c r="H765" i="14" a="1"/>
  <c r="H765" i="14" s="1"/>
  <c r="H766" i="14" a="1"/>
  <c r="H766" i="14" s="1"/>
  <c r="H767" i="14" a="1"/>
  <c r="H767" i="14" s="1"/>
  <c r="H768" i="14" a="1"/>
  <c r="H768" i="14" s="1"/>
  <c r="H769" i="14" a="1"/>
  <c r="H769" i="14" s="1"/>
  <c r="H770" i="14" a="1"/>
  <c r="H770" i="14" s="1"/>
  <c r="H771" i="14" a="1"/>
  <c r="H771" i="14" s="1"/>
  <c r="H772" i="14" a="1"/>
  <c r="H772" i="14" s="1"/>
  <c r="H773" i="14" a="1"/>
  <c r="H773" i="14" s="1"/>
  <c r="H774" i="14" a="1"/>
  <c r="H774" i="14" s="1"/>
  <c r="H775" i="14" a="1"/>
  <c r="H775" i="14" s="1"/>
  <c r="H776" i="14" a="1"/>
  <c r="H776" i="14" s="1"/>
  <c r="H777" i="14" a="1"/>
  <c r="H777" i="14" s="1"/>
  <c r="H778" i="14" a="1"/>
  <c r="H778" i="14" s="1"/>
  <c r="H779" i="14" a="1"/>
  <c r="H779" i="14" s="1"/>
  <c r="H780" i="14" a="1"/>
  <c r="H780" i="14" s="1"/>
  <c r="H781" i="14" a="1"/>
  <c r="H781" i="14" s="1"/>
  <c r="H782" i="14" a="1"/>
  <c r="H782" i="14" s="1"/>
  <c r="H783" i="14" a="1"/>
  <c r="H783" i="14" s="1"/>
  <c r="H784" i="14" a="1"/>
  <c r="H784" i="14" s="1"/>
  <c r="H785" i="14" a="1"/>
  <c r="H785" i="14" s="1"/>
  <c r="H786" i="14" a="1"/>
  <c r="H786" i="14" s="1"/>
  <c r="H787" i="14" a="1"/>
  <c r="H787" i="14" s="1"/>
  <c r="H788" i="14" a="1"/>
  <c r="H788" i="14" s="1"/>
  <c r="H789" i="14" a="1"/>
  <c r="H789" i="14" s="1"/>
  <c r="H790" i="14" a="1"/>
  <c r="H790" i="14" s="1"/>
  <c r="H791" i="14" a="1"/>
  <c r="H791" i="14" s="1"/>
  <c r="H792" i="14" a="1"/>
  <c r="H792" i="14" s="1"/>
  <c r="H793" i="14" a="1"/>
  <c r="H793" i="14" s="1"/>
  <c r="H794" i="14" a="1"/>
  <c r="H794" i="14" s="1"/>
  <c r="H795" i="14" a="1"/>
  <c r="H795" i="14" s="1"/>
  <c r="H796" i="14" a="1"/>
  <c r="H796" i="14" s="1"/>
  <c r="H797" i="14" a="1"/>
  <c r="H797" i="14" s="1"/>
  <c r="H798" i="14" a="1"/>
  <c r="H798" i="14" s="1"/>
  <c r="H799" i="14" a="1"/>
  <c r="H799" i="14" s="1"/>
  <c r="H800" i="14" a="1"/>
  <c r="H800" i="14" s="1"/>
  <c r="H801" i="14" a="1"/>
  <c r="H801" i="14" s="1"/>
  <c r="H802" i="14" a="1"/>
  <c r="H802" i="14" s="1"/>
  <c r="H803" i="14" a="1"/>
  <c r="H803" i="14" s="1"/>
  <c r="H804" i="14" a="1"/>
  <c r="H804" i="14" s="1"/>
  <c r="H805" i="14" a="1"/>
  <c r="H805" i="14" s="1"/>
  <c r="H806" i="14" a="1"/>
  <c r="H806" i="14" s="1"/>
  <c r="H807" i="14" a="1"/>
  <c r="H807" i="14" s="1"/>
  <c r="H808" i="14" a="1"/>
  <c r="H808" i="14" s="1"/>
  <c r="H809" i="14" a="1"/>
  <c r="H809" i="14" s="1"/>
  <c r="H810" i="14" a="1"/>
  <c r="H810" i="14" s="1"/>
  <c r="H811" i="14" a="1"/>
  <c r="H811" i="14" s="1"/>
  <c r="H812" i="14" a="1"/>
  <c r="H812" i="14" s="1"/>
  <c r="H813" i="14" a="1"/>
  <c r="H813" i="14" s="1"/>
  <c r="H814" i="14" a="1"/>
  <c r="H814" i="14" s="1"/>
  <c r="H815" i="14" a="1"/>
  <c r="H815" i="14" s="1"/>
  <c r="H816" i="14" a="1"/>
  <c r="H816" i="14" s="1"/>
  <c r="H817" i="14" a="1"/>
  <c r="H817" i="14" s="1"/>
  <c r="H818" i="14" a="1"/>
  <c r="H818" i="14" s="1"/>
  <c r="H819" i="14" a="1"/>
  <c r="H819" i="14" s="1"/>
  <c r="H820" i="14" a="1"/>
  <c r="H820" i="14" s="1"/>
  <c r="H821" i="14" a="1"/>
  <c r="H821" i="14" s="1"/>
  <c r="H822" i="14" a="1"/>
  <c r="H822" i="14" s="1"/>
  <c r="H823" i="14" a="1"/>
  <c r="H823" i="14" s="1"/>
  <c r="H824" i="14" a="1"/>
  <c r="H824" i="14" s="1"/>
  <c r="H825" i="14" a="1"/>
  <c r="H825" i="14" s="1"/>
  <c r="H826" i="14" a="1"/>
  <c r="H826" i="14" s="1"/>
  <c r="H827" i="14" a="1"/>
  <c r="H827" i="14" s="1"/>
  <c r="H828" i="14" a="1"/>
  <c r="H828" i="14" s="1"/>
  <c r="H829" i="14" a="1"/>
  <c r="H829" i="14" s="1"/>
  <c r="H830" i="14" a="1"/>
  <c r="H830" i="14" s="1"/>
  <c r="H831" i="14" a="1"/>
  <c r="H831" i="14" s="1"/>
  <c r="H832" i="14" a="1"/>
  <c r="H832" i="14" s="1"/>
  <c r="H833" i="14" a="1"/>
  <c r="H833" i="14" s="1"/>
  <c r="H834" i="14" a="1"/>
  <c r="H834" i="14" s="1"/>
  <c r="H835" i="14" a="1"/>
  <c r="H835" i="14" s="1"/>
  <c r="H836" i="14" a="1"/>
  <c r="H836" i="14" s="1"/>
  <c r="H837" i="14" a="1"/>
  <c r="H837" i="14" s="1"/>
  <c r="H838" i="14" a="1"/>
  <c r="H838" i="14" s="1"/>
  <c r="H839" i="14" a="1"/>
  <c r="H839" i="14" s="1"/>
  <c r="H840" i="14" a="1"/>
  <c r="H840" i="14" s="1"/>
  <c r="H841" i="14" a="1"/>
  <c r="H841" i="14" s="1"/>
  <c r="H842" i="14" a="1"/>
  <c r="H842" i="14" s="1"/>
  <c r="H843" i="14" a="1"/>
  <c r="H843" i="14" s="1"/>
  <c r="H844" i="14" a="1"/>
  <c r="H844" i="14" s="1"/>
  <c r="H845" i="14" a="1"/>
  <c r="H845" i="14" s="1"/>
  <c r="H846" i="14" a="1"/>
  <c r="H846" i="14" s="1"/>
  <c r="H847" i="14" a="1"/>
  <c r="H847" i="14" s="1"/>
  <c r="H848" i="14" a="1"/>
  <c r="H848" i="14" s="1"/>
  <c r="H849" i="14" a="1"/>
  <c r="H849" i="14" s="1"/>
  <c r="H850" i="14" a="1"/>
  <c r="H850" i="14" s="1"/>
  <c r="H851" i="14" a="1"/>
  <c r="H851" i="14" s="1"/>
  <c r="H852" i="14" a="1"/>
  <c r="H852" i="14" s="1"/>
  <c r="H853" i="14" a="1"/>
  <c r="H853" i="14" s="1"/>
  <c r="H854" i="14" a="1"/>
  <c r="H854" i="14" s="1"/>
  <c r="H855" i="14" a="1"/>
  <c r="H855" i="14" s="1"/>
  <c r="H856" i="14" a="1"/>
  <c r="H856" i="14" s="1"/>
  <c r="H857" i="14" a="1"/>
  <c r="H857" i="14" s="1"/>
  <c r="H858" i="14" a="1"/>
  <c r="H858" i="14" s="1"/>
  <c r="H859" i="14" a="1"/>
  <c r="H859" i="14" s="1"/>
  <c r="H860" i="14" a="1"/>
  <c r="H860" i="14" s="1"/>
  <c r="H861" i="14" a="1"/>
  <c r="H861" i="14" s="1"/>
  <c r="H862" i="14" a="1"/>
  <c r="H862" i="14" s="1"/>
  <c r="H863" i="14" a="1"/>
  <c r="H863" i="14" s="1"/>
  <c r="H864" i="14" a="1"/>
  <c r="H864" i="14" s="1"/>
  <c r="H865" i="14" a="1"/>
  <c r="H865" i="14" s="1"/>
  <c r="H866" i="14" a="1"/>
  <c r="H866" i="14" s="1"/>
  <c r="H867" i="14" a="1"/>
  <c r="H867" i="14" s="1"/>
  <c r="H868" i="14" a="1"/>
  <c r="H868" i="14" s="1"/>
  <c r="H869" i="14" a="1"/>
  <c r="H869" i="14" s="1"/>
  <c r="H870" i="14" a="1"/>
  <c r="H870" i="14" s="1"/>
  <c r="H871" i="14" a="1"/>
  <c r="H871" i="14" s="1"/>
  <c r="H872" i="14" a="1"/>
  <c r="H872" i="14" s="1"/>
  <c r="H873" i="14" a="1"/>
  <c r="H873" i="14" s="1"/>
  <c r="H874" i="14" a="1"/>
  <c r="H874" i="14" s="1"/>
  <c r="H875" i="14" a="1"/>
  <c r="H875" i="14" s="1"/>
  <c r="H876" i="14" a="1"/>
  <c r="H876" i="14" s="1"/>
  <c r="H877" i="14" a="1"/>
  <c r="H877" i="14" s="1"/>
  <c r="H878" i="14" a="1"/>
  <c r="H878" i="14" s="1"/>
  <c r="H879" i="14" a="1"/>
  <c r="H879" i="14" s="1"/>
  <c r="H880" i="14" a="1"/>
  <c r="H880" i="14" s="1"/>
  <c r="H881" i="14" a="1"/>
  <c r="H881" i="14" s="1"/>
  <c r="H882" i="14" a="1"/>
  <c r="H882" i="14" s="1"/>
  <c r="H883" i="14" a="1"/>
  <c r="H883" i="14" s="1"/>
  <c r="H884" i="14" a="1"/>
  <c r="H884" i="14" s="1"/>
  <c r="H885" i="14" a="1"/>
  <c r="H885" i="14" s="1"/>
  <c r="H886" i="14" a="1"/>
  <c r="H886" i="14" s="1"/>
  <c r="H887" i="14" a="1"/>
  <c r="H887" i="14" s="1"/>
  <c r="H888" i="14" a="1"/>
  <c r="H888" i="14" s="1"/>
  <c r="H889" i="14" a="1"/>
  <c r="H889" i="14" s="1"/>
  <c r="H890" i="14" a="1"/>
  <c r="H890" i="14" s="1"/>
  <c r="H891" i="14" a="1"/>
  <c r="H891" i="14" s="1"/>
  <c r="H892" i="14" a="1"/>
  <c r="H892" i="14" s="1"/>
  <c r="H893" i="14" a="1"/>
  <c r="H893" i="14" s="1"/>
  <c r="H894" i="14" a="1"/>
  <c r="H894" i="14" s="1"/>
  <c r="H895" i="14" a="1"/>
  <c r="H895" i="14" s="1"/>
  <c r="H896" i="14" a="1"/>
  <c r="H896" i="14" s="1"/>
  <c r="H897" i="14" a="1"/>
  <c r="H897" i="14" s="1"/>
  <c r="H898" i="14" a="1"/>
  <c r="H898" i="14" s="1"/>
  <c r="H899" i="14" a="1"/>
  <c r="H899" i="14" s="1"/>
  <c r="H900" i="14" a="1"/>
  <c r="H900" i="14" s="1"/>
  <c r="H901" i="14" a="1"/>
  <c r="H901" i="14" s="1"/>
  <c r="H902" i="14" a="1"/>
  <c r="H902" i="14" s="1"/>
  <c r="H903" i="14" a="1"/>
  <c r="H903" i="14" s="1"/>
  <c r="H904" i="14" a="1"/>
  <c r="H904" i="14" s="1"/>
  <c r="H905" i="14" a="1"/>
  <c r="H905" i="14" s="1"/>
  <c r="H906" i="14" a="1"/>
  <c r="H906" i="14" s="1"/>
  <c r="H907" i="14" a="1"/>
  <c r="H907" i="14" s="1"/>
  <c r="H908" i="14" a="1"/>
  <c r="H908" i="14" s="1"/>
  <c r="H909" i="14" a="1"/>
  <c r="H909" i="14" s="1"/>
  <c r="H910" i="14" a="1"/>
  <c r="H910" i="14" s="1"/>
  <c r="H911" i="14" a="1"/>
  <c r="H911" i="14" s="1"/>
  <c r="H912" i="14" a="1"/>
  <c r="H912" i="14" s="1"/>
  <c r="H913" i="14" a="1"/>
  <c r="H913" i="14" s="1"/>
  <c r="H914" i="14" a="1"/>
  <c r="H914" i="14" s="1"/>
  <c r="H915" i="14" a="1"/>
  <c r="H915" i="14" s="1"/>
  <c r="H916" i="14" a="1"/>
  <c r="H916" i="14" s="1"/>
  <c r="H917" i="14" a="1"/>
  <c r="H917" i="14" s="1"/>
  <c r="H918" i="14" a="1"/>
  <c r="H918" i="14" s="1"/>
  <c r="H919" i="14" a="1"/>
  <c r="H919" i="14" s="1"/>
  <c r="H920" i="14" a="1"/>
  <c r="H920" i="14" s="1"/>
  <c r="H921" i="14" a="1"/>
  <c r="H921" i="14" s="1"/>
  <c r="H922" i="14" a="1"/>
  <c r="H922" i="14" s="1"/>
  <c r="H923" i="14" a="1"/>
  <c r="H923" i="14" s="1"/>
  <c r="H924" i="14" a="1"/>
  <c r="H924" i="14" s="1"/>
  <c r="H925" i="14" a="1"/>
  <c r="H925" i="14" s="1"/>
  <c r="H926" i="14" a="1"/>
  <c r="H926" i="14" s="1"/>
  <c r="H927" i="14" a="1"/>
  <c r="H927" i="14" s="1"/>
  <c r="H928" i="14" a="1"/>
  <c r="H928" i="14" s="1"/>
  <c r="H929" i="14" a="1"/>
  <c r="H929" i="14" s="1"/>
  <c r="H930" i="14" a="1"/>
  <c r="H930" i="14" s="1"/>
  <c r="H931" i="14" a="1"/>
  <c r="H931" i="14" s="1"/>
  <c r="H932" i="14" a="1"/>
  <c r="H932" i="14" s="1"/>
  <c r="H933" i="14" a="1"/>
  <c r="H933" i="14" s="1"/>
  <c r="H934" i="14" a="1"/>
  <c r="H934" i="14" s="1"/>
  <c r="H935" i="14" a="1"/>
  <c r="H935" i="14" s="1"/>
  <c r="H936" i="14" a="1"/>
  <c r="H936" i="14" s="1"/>
  <c r="H937" i="14" a="1"/>
  <c r="H937" i="14" s="1"/>
  <c r="H938" i="14" a="1"/>
  <c r="H938" i="14" s="1"/>
  <c r="H939" i="14" a="1"/>
  <c r="H939" i="14" s="1"/>
  <c r="H940" i="14" a="1"/>
  <c r="H940" i="14" s="1"/>
  <c r="H941" i="14" a="1"/>
  <c r="H941" i="14" s="1"/>
  <c r="H942" i="14" a="1"/>
  <c r="H942" i="14" s="1"/>
  <c r="H943" i="14" a="1"/>
  <c r="H943" i="14" s="1"/>
  <c r="H944" i="14" a="1"/>
  <c r="H944" i="14" s="1"/>
  <c r="H945" i="14" a="1"/>
  <c r="H945" i="14" s="1"/>
  <c r="H946" i="14" a="1"/>
  <c r="H946" i="14" s="1"/>
  <c r="H947" i="14" a="1"/>
  <c r="H947" i="14" s="1"/>
  <c r="H948" i="14" a="1"/>
  <c r="H948" i="14" s="1"/>
  <c r="H949" i="14" a="1"/>
  <c r="H949" i="14" s="1"/>
  <c r="H950" i="14" a="1"/>
  <c r="H950" i="14" s="1"/>
  <c r="H951" i="14" a="1"/>
  <c r="H951" i="14" s="1"/>
  <c r="H952" i="14" a="1"/>
  <c r="H952" i="14" s="1"/>
  <c r="H953" i="14" a="1"/>
  <c r="H953" i="14" s="1"/>
  <c r="H954" i="14" a="1"/>
  <c r="H954" i="14" s="1"/>
  <c r="H955" i="14" a="1"/>
  <c r="H955" i="14" s="1"/>
  <c r="H956" i="14" a="1"/>
  <c r="H956" i="14" s="1"/>
  <c r="H957" i="14" a="1"/>
  <c r="H957" i="14" s="1"/>
  <c r="H958" i="14" a="1"/>
  <c r="H958" i="14" s="1"/>
  <c r="H959" i="14" a="1"/>
  <c r="H959" i="14" s="1"/>
  <c r="H960" i="14" a="1"/>
  <c r="H960" i="14" s="1"/>
  <c r="H961" i="14" a="1"/>
  <c r="H961" i="14" s="1"/>
  <c r="H962" i="14" a="1"/>
  <c r="H962" i="14" s="1"/>
  <c r="H963" i="14" a="1"/>
  <c r="H963" i="14" s="1"/>
  <c r="H964" i="14" a="1"/>
  <c r="H964" i="14" s="1"/>
  <c r="H965" i="14" a="1"/>
  <c r="H965" i="14" s="1"/>
  <c r="H966" i="14" a="1"/>
  <c r="H966" i="14" s="1"/>
  <c r="H967" i="14" a="1"/>
  <c r="H967" i="14" s="1"/>
  <c r="H968" i="14" a="1"/>
  <c r="H968" i="14" s="1"/>
  <c r="H969" i="14" a="1"/>
  <c r="H969" i="14" s="1"/>
  <c r="H970" i="14" a="1"/>
  <c r="H970" i="14" s="1"/>
  <c r="H971" i="14" a="1"/>
  <c r="H971" i="14" s="1"/>
  <c r="H972" i="14" a="1"/>
  <c r="H972" i="14" s="1"/>
  <c r="H973" i="14" a="1"/>
  <c r="H973" i="14" s="1"/>
  <c r="H974" i="14" a="1"/>
  <c r="H974" i="14" s="1"/>
  <c r="H975" i="14" a="1"/>
  <c r="H975" i="14" s="1"/>
  <c r="H976" i="14" a="1"/>
  <c r="H976" i="14" s="1"/>
  <c r="H977" i="14" a="1"/>
  <c r="H977" i="14" s="1"/>
  <c r="H978" i="14" a="1"/>
  <c r="H978" i="14" s="1"/>
  <c r="H979" i="14" a="1"/>
  <c r="H979" i="14" s="1"/>
  <c r="H980" i="14" a="1"/>
  <c r="H980" i="14" s="1"/>
  <c r="H981" i="14" a="1"/>
  <c r="H981" i="14" s="1"/>
  <c r="H982" i="14" a="1"/>
  <c r="H982" i="14" s="1"/>
  <c r="H983" i="14" a="1"/>
  <c r="H983" i="14" s="1"/>
  <c r="H984" i="14" a="1"/>
  <c r="H984" i="14" s="1"/>
  <c r="H985" i="14" a="1"/>
  <c r="H985" i="14" s="1"/>
  <c r="H986" i="14" a="1"/>
  <c r="H986" i="14" s="1"/>
  <c r="H987" i="14" a="1"/>
  <c r="H987" i="14" s="1"/>
  <c r="H988" i="14" a="1"/>
  <c r="H988" i="14" s="1"/>
  <c r="H989" i="14" a="1"/>
  <c r="H989" i="14" s="1"/>
  <c r="H990" i="14" a="1"/>
  <c r="H990" i="14" s="1"/>
  <c r="H991" i="14" a="1"/>
  <c r="H991" i="14" s="1"/>
  <c r="H992" i="14" a="1"/>
  <c r="H992" i="14" s="1"/>
  <c r="H993" i="14" a="1"/>
  <c r="H993" i="14" s="1"/>
  <c r="H994" i="14" a="1"/>
  <c r="H994" i="14" s="1"/>
  <c r="H995" i="14" a="1"/>
  <c r="H995" i="14" s="1"/>
  <c r="H996" i="14" a="1"/>
  <c r="H996" i="14" s="1"/>
  <c r="H997" i="14" a="1"/>
  <c r="H997" i="14" s="1"/>
  <c r="H998" i="14" a="1"/>
  <c r="H998" i="14" s="1"/>
  <c r="H999" i="14" a="1"/>
  <c r="H999" i="14" s="1"/>
  <c r="H1000" i="14" a="1"/>
  <c r="H1000" i="14" s="1"/>
  <c r="H1001" i="14" a="1"/>
  <c r="H1001" i="14" s="1"/>
  <c r="H1002" i="14" a="1"/>
  <c r="H1002" i="14" s="1"/>
  <c r="H1003" i="14" a="1"/>
  <c r="H1003" i="14" s="1"/>
  <c r="H1004" i="14" a="1"/>
  <c r="H1004" i="14" s="1"/>
  <c r="H1005" i="14" a="1"/>
  <c r="H1005" i="14" s="1"/>
  <c r="H1006" i="14" a="1"/>
  <c r="H1006" i="14"/>
  <c r="H1007" i="14" a="1"/>
  <c r="H1007" i="14" s="1"/>
  <c r="H1008" i="14" a="1"/>
  <c r="H1008" i="14" s="1"/>
  <c r="H1009" i="14" a="1"/>
  <c r="H1009" i="14" s="1"/>
  <c r="H1010" i="14" a="1"/>
  <c r="H1010" i="14" s="1"/>
  <c r="H1011" i="14" a="1"/>
  <c r="H1011" i="14" s="1"/>
  <c r="H1012" i="14" a="1"/>
  <c r="H1012" i="14" s="1"/>
  <c r="H1013" i="14" a="1"/>
  <c r="H1013" i="14" s="1"/>
  <c r="H1014" i="14" a="1"/>
  <c r="H1014" i="14" s="1"/>
  <c r="H1015" i="14" a="1"/>
  <c r="H1015" i="14" s="1"/>
  <c r="H1016" i="14" a="1"/>
  <c r="H1016" i="14" s="1"/>
  <c r="H1017" i="14" a="1"/>
  <c r="H1017" i="14" s="1"/>
  <c r="H1018" i="14" a="1"/>
  <c r="H1018" i="14" s="1"/>
  <c r="H1019" i="14" a="1"/>
  <c r="H1019" i="14" s="1"/>
  <c r="H1020" i="14" a="1"/>
  <c r="H1020" i="14" s="1"/>
  <c r="H1021" i="14" a="1"/>
  <c r="H1021" i="14" s="1"/>
  <c r="H1022" i="14" a="1"/>
  <c r="H1022" i="14" s="1"/>
  <c r="H1023" i="14" a="1"/>
  <c r="H1023" i="14" s="1"/>
  <c r="H1024" i="14" a="1"/>
  <c r="H1024" i="14" s="1"/>
  <c r="H1025" i="14" a="1"/>
  <c r="H1025" i="14" s="1"/>
  <c r="H1026" i="14" a="1"/>
  <c r="H1026" i="14" s="1"/>
  <c r="H1027" i="14" a="1"/>
  <c r="H1027" i="14" s="1"/>
  <c r="H1028" i="14" a="1"/>
  <c r="H1028" i="14" s="1"/>
  <c r="H1029" i="14" a="1"/>
  <c r="H1029" i="14" s="1"/>
  <c r="H1030" i="14" a="1"/>
  <c r="H1030" i="14" s="1"/>
  <c r="H1031" i="14" a="1"/>
  <c r="H1031" i="14" s="1"/>
  <c r="H1032" i="14" a="1"/>
  <c r="H1032" i="14" s="1"/>
  <c r="H1033" i="14" a="1"/>
  <c r="H1033" i="14" s="1"/>
  <c r="H1034" i="14" a="1"/>
  <c r="H1034" i="14" s="1"/>
  <c r="H1035" i="14" a="1"/>
  <c r="H1035" i="14" s="1"/>
  <c r="H1036" i="14" a="1"/>
  <c r="H1036" i="14" s="1"/>
  <c r="H1037" i="14" a="1"/>
  <c r="H1037" i="14" s="1"/>
  <c r="H1038" i="14" a="1"/>
  <c r="H1038" i="14" s="1"/>
  <c r="H1039" i="14" a="1"/>
  <c r="H1039" i="14" s="1"/>
  <c r="H1040" i="14" a="1"/>
  <c r="H1040" i="14" s="1"/>
  <c r="H1041" i="14" a="1"/>
  <c r="H1041" i="14" s="1"/>
  <c r="H1042" i="14" a="1"/>
  <c r="H1042" i="14" s="1"/>
  <c r="H1043" i="14" a="1"/>
  <c r="H1043" i="14" s="1"/>
  <c r="H1044" i="14" a="1"/>
  <c r="H1044" i="14" s="1"/>
  <c r="H1045" i="14" a="1"/>
  <c r="H1045" i="14" s="1"/>
  <c r="H1046" i="14" a="1"/>
  <c r="H1046" i="14" s="1"/>
  <c r="H1047" i="14" a="1"/>
  <c r="H1047" i="14" s="1"/>
  <c r="H1048" i="14" a="1"/>
  <c r="H1048" i="14" s="1"/>
  <c r="H1049" i="14" a="1"/>
  <c r="H1049" i="14" s="1"/>
  <c r="H1050" i="14" a="1"/>
  <c r="H1050" i="14" s="1"/>
  <c r="H1051" i="14" a="1"/>
  <c r="H1051" i="14" s="1"/>
  <c r="H1052" i="14" a="1"/>
  <c r="H1052" i="14" s="1"/>
  <c r="H1053" i="14" a="1"/>
  <c r="H1053" i="14" s="1"/>
  <c r="H1054" i="14" a="1"/>
  <c r="H1054" i="14" s="1"/>
  <c r="H1055" i="14" a="1"/>
  <c r="H1055" i="14" s="1"/>
  <c r="H1056" i="14" a="1"/>
  <c r="H1056" i="14" s="1"/>
  <c r="H1057" i="14" a="1"/>
  <c r="H1057" i="14" s="1"/>
  <c r="H1058" i="14" a="1"/>
  <c r="H1058" i="14" s="1"/>
  <c r="H1059" i="14" a="1"/>
  <c r="H1059" i="14" s="1"/>
  <c r="H1060" i="14" a="1"/>
  <c r="H1060" i="14" s="1"/>
  <c r="H1061" i="14" a="1"/>
  <c r="H1061" i="14" s="1"/>
  <c r="H1062" i="14" a="1"/>
  <c r="H1062" i="14" s="1"/>
  <c r="H1063" i="14" a="1"/>
  <c r="H1063" i="14" s="1"/>
  <c r="H1064" i="14" a="1"/>
  <c r="H1064" i="14" s="1"/>
  <c r="H1065" i="14" a="1"/>
  <c r="H1065" i="14" s="1"/>
  <c r="H1066" i="14" a="1"/>
  <c r="H1066" i="14" s="1"/>
  <c r="H1067" i="14" a="1"/>
  <c r="H1067" i="14" s="1"/>
  <c r="H1068" i="14" a="1"/>
  <c r="H1068" i="14" s="1"/>
  <c r="H1069" i="14" a="1"/>
  <c r="H1069" i="14" s="1"/>
  <c r="H1070" i="14" a="1"/>
  <c r="H1070" i="14" s="1"/>
  <c r="H1071" i="14" a="1"/>
  <c r="H1071" i="14" s="1"/>
  <c r="H1072" i="14" a="1"/>
  <c r="H1072" i="14" s="1"/>
  <c r="H1073" i="14" a="1"/>
  <c r="H1073" i="14" s="1"/>
  <c r="H1074" i="14" a="1"/>
  <c r="H1074" i="14" s="1"/>
  <c r="H1075" i="14" a="1"/>
  <c r="H1075" i="14" s="1"/>
  <c r="H1076" i="14" a="1"/>
  <c r="H1076" i="14" s="1"/>
  <c r="H1077" i="14" a="1"/>
  <c r="H1077" i="14" s="1"/>
  <c r="H1078" i="14" a="1"/>
  <c r="H1078" i="14" s="1"/>
  <c r="H1079" i="14" a="1"/>
  <c r="H1079" i="14" s="1"/>
  <c r="H1080" i="14" a="1"/>
  <c r="H1080" i="14" s="1"/>
  <c r="H1081" i="14" a="1"/>
  <c r="H1081" i="14" s="1"/>
  <c r="H1082" i="14" a="1"/>
  <c r="H1082" i="14" s="1"/>
  <c r="H1083" i="14" a="1"/>
  <c r="H1083" i="14" s="1"/>
  <c r="H1084" i="14" a="1"/>
  <c r="H1084" i="14" s="1"/>
  <c r="H1085" i="14" a="1"/>
  <c r="H1085" i="14" s="1"/>
  <c r="H1086" i="14" a="1"/>
  <c r="H1086" i="14" s="1"/>
  <c r="H1087" i="14" a="1"/>
  <c r="H1087" i="14" s="1"/>
  <c r="H1088" i="14" a="1"/>
  <c r="H1088" i="14" s="1"/>
  <c r="H1089" i="14" a="1"/>
  <c r="H1089" i="14" s="1"/>
  <c r="H1090" i="14" a="1"/>
  <c r="H1090" i="14" s="1"/>
  <c r="H1091" i="14" a="1"/>
  <c r="H1091" i="14" s="1"/>
  <c r="H1092" i="14" a="1"/>
  <c r="H1092" i="14" s="1"/>
  <c r="H1093" i="14" a="1"/>
  <c r="H1093" i="14" s="1"/>
  <c r="H1094" i="14" a="1"/>
  <c r="H1094" i="14" s="1"/>
  <c r="H1095" i="14" a="1"/>
  <c r="H1095" i="14" s="1"/>
  <c r="H1096" i="14" a="1"/>
  <c r="H1096" i="14" s="1"/>
  <c r="H1097" i="14" a="1"/>
  <c r="H1097" i="14" s="1"/>
  <c r="H1098" i="14" a="1"/>
  <c r="H1098" i="14" s="1"/>
  <c r="H1099" i="14" a="1"/>
  <c r="H1099" i="14" s="1"/>
  <c r="H1100" i="14" a="1"/>
  <c r="H1100" i="14" s="1"/>
  <c r="H1101" i="14" a="1"/>
  <c r="H1101" i="14" s="1"/>
  <c r="H1102" i="14" a="1"/>
  <c r="H1102" i="14" s="1"/>
  <c r="H1103" i="14" a="1"/>
  <c r="H1103" i="14" s="1"/>
  <c r="H1104" i="14" a="1"/>
  <c r="H1104" i="14" s="1"/>
  <c r="H1105" i="14" a="1"/>
  <c r="H1105" i="14" s="1"/>
  <c r="H1106" i="14" a="1"/>
  <c r="H1106" i="14" s="1"/>
  <c r="H1107" i="14" a="1"/>
  <c r="H1107" i="14" s="1"/>
  <c r="H1108" i="14" a="1"/>
  <c r="H1108" i="14" s="1"/>
  <c r="H1109" i="14" a="1"/>
  <c r="H1109" i="14" s="1"/>
  <c r="H1110" i="14" a="1"/>
  <c r="H1110" i="14" s="1"/>
  <c r="H1111" i="14" a="1"/>
  <c r="H1111" i="14" s="1"/>
  <c r="H1112" i="14" a="1"/>
  <c r="H1112" i="14" s="1"/>
  <c r="H1113" i="14" a="1"/>
  <c r="H1113" i="14" s="1"/>
  <c r="H1114" i="14" a="1"/>
  <c r="H1114" i="14" s="1"/>
  <c r="H1115" i="14" a="1"/>
  <c r="H1115" i="14" s="1"/>
  <c r="H1116" i="14" a="1"/>
  <c r="H1116" i="14" s="1"/>
  <c r="H1117" i="14" a="1"/>
  <c r="H1117" i="14" s="1"/>
  <c r="H1118" i="14" a="1"/>
  <c r="H1118" i="14" s="1"/>
  <c r="H1119" i="14" a="1"/>
  <c r="H1119" i="14" s="1"/>
  <c r="H1120" i="14" a="1"/>
  <c r="H1120" i="14" s="1"/>
  <c r="H1121" i="14" a="1"/>
  <c r="H1121" i="14" s="1"/>
  <c r="H1122" i="14" a="1"/>
  <c r="H1122" i="14" s="1"/>
  <c r="H1123" i="14" a="1"/>
  <c r="H1123" i="14" s="1"/>
  <c r="H1124" i="14" a="1"/>
  <c r="H1124" i="14" s="1"/>
  <c r="H1125" i="14" a="1"/>
  <c r="H1125" i="14" s="1"/>
  <c r="H1126" i="14" a="1"/>
  <c r="H1126" i="14" s="1"/>
  <c r="H43" i="14" a="1"/>
  <c r="H43" i="14"/>
  <c r="H44" i="14" a="1"/>
  <c r="H44" i="14" s="1"/>
  <c r="H2" i="14" a="1"/>
  <c r="H2" i="14"/>
  <c r="H3" i="14" a="1"/>
  <c r="H3" i="14"/>
  <c r="H4" i="14" a="1"/>
  <c r="H4" i="14"/>
  <c r="H5" i="14" a="1"/>
  <c r="H5" i="14"/>
  <c r="H6" i="14" a="1"/>
  <c r="H6" i="14"/>
  <c r="H7" i="14" a="1"/>
  <c r="H7" i="14"/>
  <c r="H8" i="14" a="1"/>
  <c r="H8" i="14"/>
  <c r="H9" i="14" a="1"/>
  <c r="H9" i="14"/>
  <c r="H10" i="14" a="1"/>
  <c r="H10" i="14"/>
  <c r="H11" i="14" a="1"/>
  <c r="H11" i="14"/>
  <c r="H12" i="14" a="1"/>
  <c r="H12" i="14"/>
  <c r="H13" i="14" a="1"/>
  <c r="H13" i="14" s="1"/>
  <c r="H14" i="14" a="1"/>
  <c r="H14" i="14"/>
  <c r="H15" i="14" a="1"/>
  <c r="H15" i="14"/>
  <c r="H16" i="14" a="1"/>
  <c r="H16" i="14" s="1"/>
  <c r="H17" i="14" a="1"/>
  <c r="H17" i="14"/>
  <c r="H18" i="14" a="1"/>
  <c r="H18" i="14"/>
  <c r="H19" i="14" a="1"/>
  <c r="H19" i="14"/>
  <c r="H20" i="14" a="1"/>
  <c r="H20" i="14"/>
  <c r="H21" i="14" a="1"/>
  <c r="H21" i="14"/>
  <c r="H22" i="14" a="1"/>
  <c r="H22" i="14"/>
  <c r="H23" i="14" a="1"/>
  <c r="H23" i="14"/>
  <c r="H24" i="14" a="1"/>
  <c r="H24" i="14"/>
  <c r="H25" i="14" a="1"/>
  <c r="H25" i="14"/>
  <c r="H26" i="14" a="1"/>
  <c r="H26" i="14" s="1"/>
  <c r="H27" i="14" a="1"/>
  <c r="H27" i="14" s="1"/>
  <c r="H28" i="14" a="1"/>
  <c r="H28" i="14"/>
  <c r="H29" i="14" a="1"/>
  <c r="H29" i="14"/>
  <c r="H30" i="14" a="1"/>
  <c r="H30" i="14" s="1"/>
  <c r="H31" i="14" a="1"/>
  <c r="H31" i="14"/>
  <c r="H32" i="14" a="1"/>
  <c r="H32" i="14"/>
  <c r="H33" i="14" a="1"/>
  <c r="H33" i="14"/>
  <c r="H34" i="14" a="1"/>
  <c r="H34" i="14" s="1"/>
  <c r="H35" i="14" a="1"/>
  <c r="H35" i="14"/>
  <c r="H36" i="14" a="1"/>
  <c r="H36" i="14" s="1"/>
  <c r="H37" i="14" a="1"/>
  <c r="H37" i="14" s="1"/>
  <c r="H38" i="14" a="1"/>
  <c r="H38" i="14" s="1"/>
  <c r="H39" i="14" a="1"/>
  <c r="H39" i="14" s="1"/>
  <c r="H40" i="14" a="1"/>
  <c r="H40" i="14" s="1"/>
  <c r="H41" i="14" a="1"/>
  <c r="H41" i="14" s="1"/>
  <c r="H1" i="14" a="1"/>
  <c r="H1" i="14"/>
  <c r="E984" i="3"/>
  <c r="E1483" i="3"/>
  <c r="E1484" i="3"/>
  <c r="E1485" i="3"/>
  <c r="E1461" i="3"/>
  <c r="E1462" i="3"/>
  <c r="E1425" i="3"/>
  <c r="E1426" i="3"/>
  <c r="E1427" i="3"/>
  <c r="E1428" i="3"/>
  <c r="E1379" i="3"/>
  <c r="E1380" i="3"/>
  <c r="E1381" i="3"/>
  <c r="E1382" i="3"/>
  <c r="E1383" i="3"/>
  <c r="E1384" i="3"/>
  <c r="E1307" i="3"/>
  <c r="E1308" i="3"/>
  <c r="E1309" i="3"/>
  <c r="E1310" i="3"/>
  <c r="E1311" i="3"/>
  <c r="E1312" i="3"/>
  <c r="E1313" i="3"/>
  <c r="E1314" i="3"/>
  <c r="E1385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989" i="3"/>
  <c r="E1195" i="3"/>
  <c r="E1196" i="3"/>
  <c r="E1139" i="3"/>
  <c r="E1140" i="3"/>
  <c r="E1141" i="3"/>
  <c r="E1142" i="3"/>
  <c r="E1143" i="3"/>
  <c r="E1144" i="3"/>
  <c r="E1145" i="3"/>
  <c r="E1146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061" i="3"/>
  <c r="E1062" i="3"/>
  <c r="E1063" i="3"/>
  <c r="E1064" i="3"/>
  <c r="E1065" i="3"/>
  <c r="E1041" i="3"/>
  <c r="E1042" i="3"/>
  <c r="E1043" i="3"/>
  <c r="E1026" i="3"/>
  <c r="E1027" i="3"/>
  <c r="E1028" i="3"/>
  <c r="E1018" i="3"/>
  <c r="E1019" i="3"/>
  <c r="E1020" i="3"/>
  <c r="E1021" i="3"/>
  <c r="E1377" i="3"/>
  <c r="E1315" i="3"/>
  <c r="E1386" i="3"/>
  <c r="E1316" i="3"/>
  <c r="E1197" i="3"/>
  <c r="E1317" i="3"/>
  <c r="E1463" i="3"/>
  <c r="E1486" i="3"/>
  <c r="E1318" i="3"/>
  <c r="E1258" i="3"/>
  <c r="E1147" i="3"/>
  <c r="E1429" i="3"/>
  <c r="E1198" i="3"/>
  <c r="E999" i="3"/>
  <c r="E1001" i="3"/>
  <c r="E1464" i="3"/>
  <c r="E1430" i="3"/>
  <c r="E1487" i="3"/>
  <c r="E1022" i="3"/>
  <c r="E1066" i="3"/>
  <c r="E1007" i="3"/>
  <c r="E1387" i="3"/>
  <c r="E1431" i="3"/>
  <c r="E1259" i="3"/>
  <c r="E997" i="3"/>
  <c r="E1432" i="3"/>
  <c r="E1260" i="3"/>
  <c r="E1261" i="3"/>
  <c r="E1388" i="3"/>
  <c r="E1112" i="3"/>
  <c r="E996" i="3"/>
  <c r="E1067" i="3"/>
  <c r="E1148" i="3"/>
  <c r="E1029" i="3"/>
  <c r="E1465" i="3"/>
  <c r="E1378" i="3"/>
  <c r="E1466" i="3"/>
  <c r="E1389" i="3"/>
  <c r="E1199" i="3"/>
  <c r="E1068" i="3"/>
  <c r="E1069" i="3"/>
  <c r="E1319" i="3"/>
  <c r="E1320" i="3"/>
  <c r="E1390" i="3"/>
  <c r="E1391" i="3"/>
  <c r="E1070" i="3"/>
  <c r="E1321" i="3"/>
  <c r="E1322" i="3"/>
  <c r="E1113" i="3"/>
  <c r="E1149" i="3"/>
  <c r="E2478" i="3"/>
  <c r="E1262" i="3"/>
  <c r="E1200" i="3"/>
  <c r="E1467" i="3"/>
  <c r="E1201" i="3"/>
  <c r="E1071" i="3"/>
  <c r="E1114" i="3"/>
  <c r="E1392" i="3"/>
  <c r="E1493" i="3"/>
  <c r="E1115" i="3"/>
  <c r="E1030" i="3"/>
  <c r="E1323" i="3"/>
  <c r="E1468" i="3"/>
  <c r="E1150" i="3"/>
  <c r="E1072" i="3"/>
  <c r="E1202" i="3"/>
  <c r="E1433" i="3"/>
  <c r="E1151" i="3"/>
  <c r="E1324" i="3"/>
  <c r="E1488" i="3"/>
  <c r="E1393" i="3"/>
  <c r="E1394" i="3"/>
  <c r="E2333" i="3"/>
  <c r="E2332" i="3"/>
  <c r="E2337" i="3"/>
  <c r="E2334" i="3"/>
  <c r="E2336" i="3"/>
  <c r="E2476" i="3"/>
  <c r="E2477" i="3"/>
  <c r="E2469" i="3"/>
  <c r="E2470" i="3"/>
  <c r="E2471" i="3"/>
  <c r="E2472" i="3"/>
  <c r="E2473" i="3"/>
  <c r="E2474" i="3"/>
  <c r="E2475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7" i="3"/>
  <c r="E2468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19" i="3"/>
  <c r="E2420" i="3"/>
  <c r="E2421" i="3"/>
  <c r="E2422" i="3"/>
  <c r="E2423" i="3"/>
  <c r="E2424" i="3"/>
  <c r="E2425" i="3"/>
  <c r="E2426" i="3"/>
  <c r="E2427" i="3"/>
  <c r="E2429" i="3"/>
  <c r="E2430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7" i="3"/>
  <c r="E2370" i="3"/>
  <c r="E2371" i="3"/>
  <c r="E2372" i="3"/>
  <c r="E2373" i="3"/>
  <c r="E2374" i="3"/>
  <c r="E2375" i="3"/>
  <c r="E2376" i="3"/>
  <c r="E2377" i="3"/>
  <c r="E2378" i="3"/>
  <c r="E2379" i="3"/>
  <c r="E2365" i="3"/>
  <c r="E2366" i="3"/>
  <c r="E2367" i="3"/>
  <c r="E2368" i="3"/>
  <c r="E2369" i="3"/>
  <c r="E2361" i="3"/>
  <c r="E2362" i="3"/>
  <c r="E2363" i="3"/>
  <c r="E2364" i="3"/>
  <c r="E2428" i="3"/>
  <c r="E2357" i="3"/>
  <c r="E2358" i="3"/>
  <c r="E2359" i="3"/>
  <c r="E2353" i="3"/>
  <c r="E2354" i="3"/>
  <c r="E2398" i="3"/>
  <c r="E2355" i="3"/>
  <c r="E2347" i="3"/>
  <c r="E2348" i="3"/>
  <c r="E2349" i="3"/>
  <c r="E2350" i="3"/>
  <c r="E2351" i="3"/>
  <c r="E2352" i="3"/>
  <c r="E3" i="3"/>
  <c r="E2344" i="3"/>
  <c r="E2345" i="3"/>
  <c r="E2346" i="3"/>
  <c r="E2341" i="3"/>
  <c r="E2342" i="3"/>
  <c r="E2343" i="3"/>
  <c r="E2340" i="3"/>
  <c r="E2339" i="3"/>
  <c r="E2417" i="3"/>
  <c r="E2356" i="3"/>
  <c r="E2360" i="3"/>
  <c r="E2380" i="3"/>
  <c r="E2211" i="3"/>
  <c r="E2212" i="3"/>
  <c r="E1395" i="3"/>
  <c r="E1325" i="3"/>
  <c r="E1073" i="3"/>
  <c r="E1023" i="3"/>
  <c r="E1203" i="3"/>
  <c r="E2049" i="3"/>
  <c r="E2121" i="3"/>
  <c r="E2122" i="3"/>
  <c r="E2050" i="3"/>
  <c r="E1644" i="3"/>
  <c r="E1840" i="3"/>
  <c r="E2168" i="3"/>
  <c r="E1577" i="3"/>
  <c r="E2169" i="3"/>
  <c r="E2051" i="3"/>
  <c r="E1787" i="3"/>
  <c r="E1730" i="3"/>
  <c r="E1841" i="3"/>
  <c r="E1645" i="3"/>
  <c r="E1687" i="3"/>
  <c r="E1842" i="3"/>
  <c r="E1978" i="3"/>
  <c r="E2170" i="3"/>
  <c r="E2118" i="3"/>
  <c r="E1843" i="3"/>
  <c r="E2171" i="3"/>
  <c r="E1906" i="3"/>
  <c r="E1731" i="3"/>
  <c r="E2235" i="3"/>
  <c r="E1907" i="3"/>
  <c r="E2123" i="3"/>
  <c r="E1612" i="3"/>
  <c r="E2236" i="3"/>
  <c r="E2284" i="3"/>
  <c r="E1908" i="3"/>
  <c r="E1688" i="3"/>
  <c r="E2052" i="3"/>
  <c r="E1844" i="3"/>
  <c r="E1732" i="3"/>
  <c r="E1689" i="3"/>
  <c r="E1909" i="3"/>
  <c r="E2237" i="3"/>
  <c r="E2053" i="3"/>
  <c r="E1646" i="3"/>
  <c r="E1979" i="3"/>
  <c r="E1910" i="3"/>
  <c r="E1911" i="3"/>
  <c r="E1980" i="3"/>
  <c r="E1690" i="3"/>
  <c r="E1845" i="3"/>
  <c r="E1788" i="3"/>
  <c r="E1647" i="3"/>
  <c r="E1545" i="3"/>
  <c r="E2172" i="3"/>
  <c r="E1846" i="3"/>
  <c r="E1518" i="3"/>
  <c r="E1847" i="3"/>
  <c r="E2124" i="3"/>
  <c r="E1613" i="3"/>
  <c r="E1912" i="3"/>
  <c r="E1733" i="3"/>
  <c r="E1789" i="3"/>
  <c r="E2238" i="3"/>
  <c r="E2173" i="3"/>
  <c r="E2054" i="3"/>
  <c r="E1913" i="3"/>
  <c r="E1734" i="3"/>
  <c r="E1614" i="3"/>
  <c r="E1914" i="3"/>
  <c r="E1981" i="3"/>
  <c r="E1530" i="3"/>
  <c r="E1790" i="3"/>
  <c r="E1558" i="3"/>
  <c r="E1578" i="3"/>
  <c r="E1579" i="3"/>
  <c r="E2055" i="3"/>
  <c r="E1915" i="3"/>
  <c r="E2239" i="3"/>
  <c r="E2240" i="3"/>
  <c r="E1848" i="3"/>
  <c r="E2285" i="3"/>
  <c r="E2286" i="3"/>
  <c r="E1982" i="3"/>
  <c r="E1849" i="3"/>
  <c r="E1508" i="3"/>
  <c r="E2125" i="3"/>
  <c r="E2056" i="3"/>
  <c r="E2057" i="3"/>
  <c r="E1983" i="3"/>
  <c r="E1511" i="3"/>
  <c r="E2058" i="3"/>
  <c r="E2126" i="3"/>
  <c r="E2174" i="3"/>
  <c r="E1791" i="3"/>
  <c r="E1984" i="3"/>
  <c r="E2059" i="3"/>
  <c r="E1580" i="3"/>
  <c r="E2060" i="3"/>
  <c r="E1512" i="3"/>
  <c r="E1615" i="3"/>
  <c r="E2061" i="3"/>
  <c r="E1985" i="3"/>
  <c r="E2175" i="3"/>
  <c r="E2176" i="3"/>
  <c r="E1986" i="3"/>
  <c r="E1691" i="3"/>
  <c r="E2241" i="3"/>
  <c r="E1792" i="3"/>
  <c r="E1531" i="3"/>
  <c r="E1496" i="3"/>
  <c r="E1735" i="3"/>
  <c r="E1793" i="3"/>
  <c r="E2242" i="3"/>
  <c r="E2062" i="3"/>
  <c r="E2243" i="3"/>
  <c r="E1736" i="3"/>
  <c r="E1794" i="3"/>
  <c r="E1795" i="3"/>
  <c r="E2338" i="3"/>
  <c r="E1692" i="3"/>
  <c r="E2063" i="3"/>
  <c r="E2064" i="3"/>
  <c r="E1916" i="3"/>
  <c r="E1850" i="3"/>
  <c r="E1560" i="3"/>
  <c r="E1616" i="3"/>
  <c r="E1796" i="3"/>
  <c r="E1737" i="3"/>
  <c r="E1648" i="3"/>
  <c r="E1561" i="3"/>
  <c r="E1617" i="3"/>
  <c r="E1917" i="3"/>
  <c r="E1505" i="3"/>
  <c r="E1506" i="3"/>
  <c r="E1581" i="3"/>
  <c r="E1851" i="3"/>
  <c r="E1797" i="3"/>
  <c r="E1798" i="3"/>
  <c r="E1987" i="3"/>
  <c r="E2065" i="3"/>
  <c r="E1799" i="3"/>
  <c r="E1918" i="3"/>
  <c r="E2177" i="3"/>
  <c r="E1919" i="3"/>
  <c r="E1988" i="3"/>
  <c r="E1920" i="3"/>
  <c r="E1800" i="3"/>
  <c r="E1693" i="3"/>
  <c r="E1523" i="3"/>
  <c r="E1852" i="3"/>
  <c r="E1738" i="3"/>
  <c r="E1546" i="3"/>
  <c r="E1989" i="3"/>
  <c r="E1649" i="3"/>
  <c r="E1801" i="3"/>
  <c r="E1990" i="3"/>
  <c r="E1582" i="3"/>
  <c r="E1921" i="3"/>
  <c r="E2178" i="3"/>
  <c r="E2244" i="3"/>
  <c r="E1618" i="3"/>
  <c r="E2179" i="3"/>
  <c r="E1532" i="3"/>
  <c r="E2127" i="3"/>
  <c r="E1991" i="3"/>
  <c r="E2066" i="3"/>
  <c r="E1992" i="3"/>
  <c r="E2067" i="3"/>
  <c r="E1993" i="3"/>
  <c r="E1994" i="3"/>
  <c r="E1995" i="3"/>
  <c r="E2180" i="3"/>
  <c r="E2128" i="3"/>
  <c r="E1739" i="3"/>
  <c r="E1922" i="3"/>
  <c r="E1996" i="3"/>
  <c r="E2181" i="3"/>
  <c r="E1853" i="3"/>
  <c r="E1740" i="3"/>
  <c r="E2129" i="3"/>
  <c r="E1997" i="3"/>
  <c r="E1998" i="3"/>
  <c r="E1923" i="3"/>
  <c r="E1802" i="3"/>
  <c r="E1924" i="3"/>
  <c r="E1519" i="3"/>
  <c r="E1925" i="3"/>
  <c r="E1926" i="3"/>
  <c r="E1583" i="3"/>
  <c r="E2245" i="3"/>
  <c r="E2130" i="3"/>
  <c r="E2068" i="3"/>
  <c r="E2246" i="3"/>
  <c r="E2131" i="3"/>
  <c r="E1803" i="3"/>
  <c r="E1804" i="3"/>
  <c r="E2182" i="3"/>
  <c r="E2069" i="3"/>
  <c r="E1547" i="3"/>
  <c r="E1741" i="3"/>
  <c r="E2070" i="3"/>
  <c r="E1805" i="3"/>
  <c r="E1927" i="3"/>
  <c r="E1999" i="3"/>
  <c r="E1854" i="3"/>
  <c r="E1855" i="3"/>
  <c r="E1524" i="3"/>
  <c r="E1694" i="3"/>
  <c r="E1584" i="3"/>
  <c r="E1928" i="3"/>
  <c r="E1742" i="3"/>
  <c r="E1743" i="3"/>
  <c r="E1525" i="3"/>
  <c r="E1856" i="3"/>
  <c r="E2000" i="3"/>
  <c r="E1806" i="3"/>
  <c r="E1929" i="3"/>
  <c r="E1744" i="3"/>
  <c r="E2001" i="3"/>
  <c r="E1619" i="3"/>
  <c r="E1585" i="3"/>
  <c r="E2132" i="3"/>
  <c r="E1620" i="3"/>
  <c r="E1513" i="3"/>
  <c r="E1930" i="3"/>
  <c r="E1695" i="3"/>
  <c r="E1586" i="3"/>
  <c r="E2133" i="3"/>
  <c r="E1562" i="3"/>
  <c r="E1931" i="3"/>
  <c r="E1857" i="3"/>
  <c r="E2183" i="3"/>
  <c r="E1807" i="3"/>
  <c r="E1587" i="3"/>
  <c r="E1650" i="3"/>
  <c r="E2071" i="3"/>
  <c r="E1932" i="3"/>
  <c r="E1588" i="3"/>
  <c r="E1933" i="3"/>
  <c r="E2184" i="3"/>
  <c r="E2247" i="3"/>
  <c r="E1808" i="3"/>
  <c r="E2248" i="3"/>
  <c r="E1858" i="3"/>
  <c r="E1859" i="3"/>
  <c r="E2002" i="3"/>
  <c r="E1589" i="3"/>
  <c r="E2134" i="3"/>
  <c r="E1860" i="3"/>
  <c r="E2135" i="3"/>
  <c r="E2185" i="3"/>
  <c r="E2003" i="3"/>
  <c r="E1861" i="3"/>
  <c r="E1621" i="3"/>
  <c r="E1934" i="3"/>
  <c r="E2249" i="3"/>
  <c r="E2072" i="3"/>
  <c r="E2186" i="3"/>
  <c r="E1745" i="3"/>
  <c r="E2187" i="3"/>
  <c r="E1862" i="3"/>
  <c r="E2188" i="3"/>
  <c r="E1809" i="3"/>
  <c r="E2004" i="3"/>
  <c r="E1935" i="3"/>
  <c r="E1533" i="3"/>
  <c r="E2073" i="3"/>
  <c r="E1810" i="3"/>
  <c r="E2287" i="3"/>
  <c r="E1863" i="3"/>
  <c r="E2005" i="3"/>
  <c r="E1651" i="3"/>
  <c r="E1746" i="3"/>
  <c r="E1747" i="3"/>
  <c r="E1748" i="3"/>
  <c r="E1696" i="3"/>
  <c r="E2250" i="3"/>
  <c r="E2074" i="3"/>
  <c r="E2251" i="3"/>
  <c r="E1936" i="3"/>
  <c r="E2075" i="3"/>
  <c r="E2189" i="3"/>
  <c r="E2190" i="3"/>
  <c r="E2076" i="3"/>
  <c r="E1749" i="3"/>
  <c r="E1622" i="3"/>
  <c r="E1750" i="3"/>
  <c r="E1937" i="3"/>
  <c r="E1864" i="3"/>
  <c r="E1590" i="3"/>
  <c r="E2006" i="3"/>
  <c r="E2077" i="3"/>
  <c r="E1534" i="3"/>
  <c r="E1938" i="3"/>
  <c r="E2288" i="3"/>
  <c r="E2136" i="3"/>
  <c r="E2252" i="3"/>
  <c r="E2191" i="3"/>
  <c r="E2192" i="3"/>
  <c r="E1811" i="3"/>
  <c r="E2078" i="3"/>
  <c r="E2289" i="3"/>
  <c r="E2193" i="3"/>
  <c r="E1865" i="3"/>
  <c r="E1866" i="3"/>
  <c r="E2194" i="3"/>
  <c r="E2195" i="3"/>
  <c r="E1939" i="3"/>
  <c r="E1535" i="3"/>
  <c r="E2079" i="3"/>
  <c r="E1548" i="3"/>
  <c r="E1563" i="3"/>
  <c r="E1591" i="3"/>
  <c r="E2290" i="3"/>
  <c r="E2196" i="3"/>
  <c r="E2197" i="3"/>
  <c r="E1751" i="3"/>
  <c r="E1623" i="3"/>
  <c r="E1697" i="3"/>
  <c r="E1549" i="3"/>
  <c r="E2253" i="3"/>
  <c r="E2198" i="3"/>
  <c r="E1867" i="3"/>
  <c r="E1940" i="3"/>
  <c r="E2080" i="3"/>
  <c r="E1624" i="3"/>
  <c r="E2081" i="3"/>
  <c r="E1752" i="3"/>
  <c r="E1698" i="3"/>
  <c r="E1941" i="3"/>
  <c r="E2007" i="3"/>
  <c r="E1592" i="3"/>
  <c r="E1942" i="3"/>
  <c r="E1868" i="3"/>
  <c r="E1652" i="3"/>
  <c r="E2008" i="3"/>
  <c r="E2254" i="3"/>
  <c r="E1699" i="3"/>
  <c r="E1653" i="3"/>
  <c r="E1943" i="3"/>
  <c r="E1625" i="3"/>
  <c r="E1812" i="3"/>
  <c r="E1753" i="3"/>
  <c r="E2255" i="3"/>
  <c r="E2256" i="3"/>
  <c r="E1520" i="3"/>
  <c r="E2009" i="3"/>
  <c r="E1654" i="3"/>
  <c r="E1564" i="3"/>
  <c r="E1565" i="3"/>
  <c r="E1944" i="3"/>
  <c r="E1754" i="3"/>
  <c r="E1813" i="3"/>
  <c r="E2082" i="3"/>
  <c r="E1593" i="3"/>
  <c r="E2083" i="3"/>
  <c r="E2199" i="3"/>
  <c r="E1566" i="3"/>
  <c r="E2010" i="3"/>
  <c r="E1945" i="3"/>
  <c r="E1869" i="3"/>
  <c r="E1567" i="3"/>
  <c r="E1655" i="3"/>
  <c r="E1514" i="3"/>
  <c r="E1550" i="3"/>
  <c r="E1700" i="3"/>
  <c r="E1814" i="3"/>
  <c r="E1568" i="3"/>
  <c r="E1626" i="3"/>
  <c r="E1946" i="3"/>
  <c r="E1569" i="3"/>
  <c r="E1656" i="3"/>
  <c r="E2137" i="3"/>
  <c r="E1627" i="3"/>
  <c r="E1870" i="3"/>
  <c r="E1755" i="3"/>
  <c r="E1657" i="3"/>
  <c r="E1815" i="3"/>
  <c r="E1507" i="3"/>
  <c r="E1658" i="3"/>
  <c r="E1756" i="3"/>
  <c r="E1701" i="3"/>
  <c r="E1816" i="3"/>
  <c r="E2084" i="3"/>
  <c r="E1659" i="3"/>
  <c r="E1871" i="3"/>
  <c r="E1702" i="3"/>
  <c r="E1817" i="3"/>
  <c r="E2200" i="3"/>
  <c r="E1703" i="3"/>
  <c r="E2257" i="3"/>
  <c r="E2138" i="3"/>
  <c r="E1872" i="3"/>
  <c r="E1594" i="3"/>
  <c r="E1818" i="3"/>
  <c r="E2139" i="3"/>
  <c r="E1704" i="3"/>
  <c r="E1660" i="3"/>
  <c r="E1526" i="3"/>
  <c r="E2140" i="3"/>
  <c r="E2141" i="3"/>
  <c r="E1705" i="3"/>
  <c r="E2201" i="3"/>
  <c r="E1757" i="3"/>
  <c r="E1947" i="3"/>
  <c r="E2258" i="3"/>
  <c r="E2085" i="3"/>
  <c r="E1661" i="3"/>
  <c r="E1570" i="3"/>
  <c r="E1504" i="3"/>
  <c r="E1595" i="3"/>
  <c r="E1758" i="3"/>
  <c r="E1571" i="3"/>
  <c r="E2011" i="3"/>
  <c r="E1536" i="3"/>
  <c r="E1706" i="3"/>
  <c r="E2086" i="3"/>
  <c r="E2012" i="3"/>
  <c r="E1819" i="3"/>
  <c r="E2291" i="3"/>
  <c r="E1707" i="3"/>
  <c r="E2142" i="3"/>
  <c r="E1873" i="3"/>
  <c r="E2087" i="3"/>
  <c r="E2088" i="3"/>
  <c r="E2143" i="3"/>
  <c r="E1628" i="3"/>
  <c r="E2259" i="3"/>
  <c r="E1537" i="3"/>
  <c r="E1596" i="3"/>
  <c r="E1820" i="3"/>
  <c r="E1759" i="3"/>
  <c r="E1874" i="3"/>
  <c r="E1821" i="3"/>
  <c r="E1662" i="3"/>
  <c r="E1629" i="3"/>
  <c r="E2013" i="3"/>
  <c r="E1509" i="3"/>
  <c r="E1875" i="3"/>
  <c r="E2260" i="3"/>
  <c r="E1527" i="3"/>
  <c r="E2014" i="3"/>
  <c r="E2202" i="3"/>
  <c r="E1497" i="3"/>
  <c r="E1499" i="3"/>
  <c r="E2015" i="3"/>
  <c r="E1559" i="3"/>
  <c r="E2144" i="3"/>
  <c r="E1876" i="3"/>
  <c r="E2089" i="3"/>
  <c r="E1760" i="3"/>
  <c r="E2016" i="3"/>
  <c r="E1761" i="3"/>
  <c r="E2145" i="3"/>
  <c r="E2261" i="3"/>
  <c r="E2017" i="3"/>
  <c r="E1597" i="3"/>
  <c r="E1822" i="3"/>
  <c r="E1823" i="3"/>
  <c r="E1598" i="3"/>
  <c r="E1762" i="3"/>
  <c r="E1538" i="3"/>
  <c r="E1528" i="3"/>
  <c r="E1877" i="3"/>
  <c r="E2090" i="3"/>
  <c r="E2091" i="3"/>
  <c r="E1630" i="3"/>
  <c r="E2092" i="3"/>
  <c r="E2093" i="3"/>
  <c r="E1948" i="3"/>
  <c r="E2094" i="3"/>
  <c r="E1521" i="3"/>
  <c r="E1708" i="3"/>
  <c r="E1515" i="3"/>
  <c r="E1878" i="3"/>
  <c r="E2095" i="3"/>
  <c r="E1879" i="3"/>
  <c r="E2203" i="3"/>
  <c r="E1631" i="3"/>
  <c r="E2018" i="3"/>
  <c r="E1599" i="3"/>
  <c r="E2204" i="3"/>
  <c r="E1539" i="3"/>
  <c r="E1880" i="3"/>
  <c r="E1663" i="3"/>
  <c r="E1824" i="3"/>
  <c r="E1529" i="3"/>
  <c r="E1949" i="3"/>
  <c r="E1664" i="3"/>
  <c r="E1881" i="3"/>
  <c r="E1665" i="3"/>
  <c r="E2262" i="3"/>
  <c r="E2146" i="3"/>
  <c r="E1540" i="3"/>
  <c r="E1763" i="3"/>
  <c r="E1950" i="3"/>
  <c r="E1503" i="3"/>
  <c r="E2019" i="3"/>
  <c r="E2292" i="3"/>
  <c r="E2147" i="3"/>
  <c r="E1666" i="3"/>
  <c r="E1825" i="3"/>
  <c r="E2263" i="3"/>
  <c r="E2264" i="3"/>
  <c r="E2265" i="3"/>
  <c r="E1709" i="3"/>
  <c r="E2148" i="3"/>
  <c r="E2149" i="3"/>
  <c r="E1632" i="3"/>
  <c r="E1667" i="3"/>
  <c r="E2150" i="3"/>
  <c r="E1951" i="3"/>
  <c r="E2020" i="3"/>
  <c r="E2021" i="3"/>
  <c r="E1600" i="3"/>
  <c r="E1601" i="3"/>
  <c r="E2151" i="3"/>
  <c r="E2205" i="3"/>
  <c r="E2206" i="3"/>
  <c r="E1668" i="3"/>
  <c r="E2207" i="3"/>
  <c r="E1882" i="3"/>
  <c r="E1883" i="3"/>
  <c r="E1952" i="3"/>
  <c r="E2022" i="3"/>
  <c r="E1884" i="3"/>
  <c r="E2152" i="3"/>
  <c r="E1885" i="3"/>
  <c r="E2023" i="3"/>
  <c r="E1500" i="3"/>
  <c r="E2266" i="3"/>
  <c r="E1710" i="3"/>
  <c r="E1572" i="3"/>
  <c r="E2208" i="3"/>
  <c r="E1764" i="3"/>
  <c r="E1886" i="3"/>
  <c r="E2153" i="3"/>
  <c r="E1887" i="3"/>
  <c r="E2267" i="3"/>
  <c r="E1633" i="3"/>
  <c r="E1765" i="3"/>
  <c r="E1953" i="3"/>
  <c r="E1602" i="3"/>
  <c r="E2154" i="3"/>
  <c r="E1516" i="3"/>
  <c r="E1954" i="3"/>
  <c r="E2024" i="3"/>
  <c r="E1634" i="3"/>
  <c r="E1766" i="3"/>
  <c r="E1711" i="3"/>
  <c r="E2209" i="3"/>
  <c r="E2025" i="3"/>
  <c r="E1669" i="3"/>
  <c r="E1670" i="3"/>
  <c r="E2096" i="3"/>
  <c r="E1551" i="3"/>
  <c r="E1767" i="3"/>
  <c r="E2155" i="3"/>
  <c r="E1635" i="3"/>
  <c r="E2097" i="3"/>
  <c r="E1826" i="3"/>
  <c r="E2210" i="3"/>
  <c r="E2293" i="3"/>
  <c r="E2156" i="3"/>
  <c r="E2268" i="3"/>
  <c r="E2329" i="3"/>
  <c r="E1955" i="3"/>
  <c r="E1956" i="3"/>
  <c r="E2269" i="3"/>
  <c r="E2026" i="3"/>
  <c r="E2213" i="3"/>
  <c r="E2214" i="3"/>
  <c r="E1671" i="3"/>
  <c r="E2270" i="3"/>
  <c r="E2271" i="3"/>
  <c r="E2294" i="3"/>
  <c r="E1957" i="3"/>
  <c r="E2098" i="3"/>
  <c r="E1888" i="3"/>
  <c r="E1768" i="3"/>
  <c r="E1827" i="3"/>
  <c r="E2215" i="3"/>
  <c r="E1769" i="3"/>
  <c r="E2027" i="3"/>
  <c r="E2216" i="3"/>
  <c r="E2272" i="3"/>
  <c r="E2099" i="3"/>
  <c r="E1958" i="3"/>
  <c r="E2028" i="3"/>
  <c r="E1889" i="3"/>
  <c r="E1636" i="3"/>
  <c r="E2029" i="3"/>
  <c r="E1672" i="3"/>
  <c r="E2273" i="3"/>
  <c r="E2295" i="3"/>
  <c r="E1541" i="3"/>
  <c r="E1959" i="3"/>
  <c r="E2217" i="3"/>
  <c r="E2030" i="3"/>
  <c r="E2157" i="3"/>
  <c r="E1890" i="3"/>
  <c r="E1712" i="3"/>
  <c r="E2031" i="3"/>
  <c r="E2032" i="3"/>
  <c r="E2100" i="3"/>
  <c r="E2033" i="3"/>
  <c r="E1770" i="3"/>
  <c r="E2158" i="3"/>
  <c r="E1713" i="3"/>
  <c r="E1603" i="3"/>
  <c r="E1673" i="3"/>
  <c r="E2034" i="3"/>
  <c r="E1891" i="3"/>
  <c r="E1771" i="3"/>
  <c r="E1573" i="3"/>
  <c r="E1604" i="3"/>
  <c r="E1960" i="3"/>
  <c r="E2159" i="3"/>
  <c r="E2101" i="3"/>
  <c r="E1892" i="3"/>
  <c r="E2102" i="3"/>
  <c r="E1637" i="3"/>
  <c r="E1574" i="3"/>
  <c r="E2218" i="3"/>
  <c r="E2219" i="3"/>
  <c r="E2220" i="3"/>
  <c r="E1893" i="3"/>
  <c r="E1714" i="3"/>
  <c r="E2221" i="3"/>
  <c r="E2222" i="3"/>
  <c r="E2160" i="3"/>
  <c r="E1772" i="3"/>
  <c r="E2223" i="3"/>
  <c r="E2274" i="3"/>
  <c r="E1674" i="3"/>
  <c r="E1894" i="3"/>
  <c r="E1895" i="3"/>
  <c r="E1715" i="3"/>
  <c r="E2103" i="3"/>
  <c r="E2035" i="3"/>
  <c r="E1675" i="3"/>
  <c r="E1676" i="3"/>
  <c r="E1517" i="3"/>
  <c r="E1828" i="3"/>
  <c r="E2275" i="3"/>
  <c r="E2161" i="3"/>
  <c r="E2104" i="3"/>
  <c r="E2036" i="3"/>
  <c r="E1961" i="3"/>
  <c r="E1502" i="3"/>
  <c r="E1638" i="3"/>
  <c r="E1896" i="3"/>
  <c r="E1962" i="3"/>
  <c r="E1963" i="3"/>
  <c r="E1716" i="3"/>
  <c r="E2037" i="3"/>
  <c r="E2224" i="3"/>
  <c r="E1964" i="3"/>
  <c r="E1639" i="3"/>
  <c r="E1717" i="3"/>
  <c r="E2225" i="3"/>
  <c r="E1829" i="3"/>
  <c r="E2038" i="3"/>
  <c r="E2276" i="3"/>
  <c r="E1897" i="3"/>
  <c r="E2105" i="3"/>
  <c r="E2226" i="3"/>
  <c r="E1965" i="3"/>
  <c r="E2106" i="3"/>
  <c r="E2039" i="3"/>
  <c r="E2107" i="3"/>
  <c r="E2040" i="3"/>
  <c r="E2108" i="3"/>
  <c r="E1830" i="3"/>
  <c r="E1718" i="3"/>
  <c r="E1966" i="3"/>
  <c r="E2109" i="3"/>
  <c r="E1967" i="3"/>
  <c r="E1773" i="3"/>
  <c r="E1831" i="3"/>
  <c r="E1605" i="3"/>
  <c r="E1774" i="3"/>
  <c r="E2162" i="3"/>
  <c r="E1898" i="3"/>
  <c r="E1832" i="3"/>
  <c r="E2227" i="3"/>
  <c r="E1775" i="3"/>
  <c r="E2296" i="3"/>
  <c r="E2110" i="3"/>
  <c r="E1776" i="3"/>
  <c r="E1777" i="3"/>
  <c r="E1606" i="3"/>
  <c r="E1542" i="3"/>
  <c r="E1552" i="3"/>
  <c r="E1575" i="3"/>
  <c r="E1543" i="3"/>
  <c r="E2111" i="3"/>
  <c r="E2112" i="3"/>
  <c r="E2041" i="3"/>
  <c r="E1833" i="3"/>
  <c r="E1677" i="3"/>
  <c r="E1778" i="3"/>
  <c r="E2042" i="3"/>
  <c r="E1779" i="3"/>
  <c r="E1719" i="3"/>
  <c r="E1780" i="3"/>
  <c r="E2163" i="3"/>
  <c r="E2228" i="3"/>
  <c r="E1968" i="3"/>
  <c r="E1899" i="3"/>
  <c r="E2113" i="3"/>
  <c r="E1900" i="3"/>
  <c r="E1969" i="3"/>
  <c r="E1834" i="3"/>
  <c r="E1781" i="3"/>
  <c r="E1553" i="3"/>
  <c r="E1782" i="3"/>
  <c r="E1970" i="3"/>
  <c r="E1510" i="3"/>
  <c r="E1678" i="3"/>
  <c r="E2277" i="3"/>
  <c r="E2278" i="3"/>
  <c r="E1835" i="3"/>
  <c r="E2279" i="3"/>
  <c r="E1554" i="3"/>
  <c r="E2043" i="3"/>
  <c r="E1607" i="3"/>
  <c r="E1971" i="3"/>
  <c r="E1501" i="3"/>
  <c r="E1608" i="3"/>
  <c r="E2044" i="3"/>
  <c r="E1836" i="3"/>
  <c r="E2114" i="3"/>
  <c r="E1720" i="3"/>
  <c r="E2164" i="3"/>
  <c r="E2165" i="3"/>
  <c r="E1837" i="3"/>
  <c r="E2045" i="3"/>
  <c r="E1576" i="3"/>
  <c r="E2115" i="3"/>
  <c r="E1609" i="3"/>
  <c r="E2229" i="3"/>
  <c r="E1721" i="3"/>
  <c r="E1722" i="3"/>
  <c r="E1610" i="3"/>
  <c r="E1679" i="3"/>
  <c r="E1723" i="3"/>
  <c r="E1783" i="3"/>
  <c r="E1838" i="3"/>
  <c r="E1640" i="3"/>
  <c r="E2116" i="3"/>
  <c r="E1611" i="3"/>
  <c r="E1724" i="3"/>
  <c r="E1784" i="3"/>
  <c r="E1725" i="3"/>
  <c r="E1498" i="3"/>
  <c r="E1680" i="3"/>
  <c r="E1901" i="3"/>
  <c r="E2297" i="3"/>
  <c r="E2230" i="3"/>
  <c r="E2231" i="3"/>
  <c r="E2331" i="3"/>
  <c r="E1681" i="3"/>
  <c r="E1555" i="3"/>
  <c r="E2166" i="3"/>
  <c r="E2232" i="3"/>
  <c r="E1641" i="3"/>
  <c r="E1682" i="3"/>
  <c r="E1522" i="3"/>
  <c r="E2280" i="3"/>
  <c r="E1785" i="3"/>
  <c r="E1557" i="3"/>
  <c r="E1972" i="3"/>
  <c r="E1544" i="3"/>
  <c r="E1973" i="3"/>
  <c r="E1974" i="3"/>
  <c r="E1726" i="3"/>
  <c r="E2281" i="3"/>
  <c r="E2282" i="3"/>
  <c r="E1727" i="3"/>
  <c r="E1642" i="3"/>
  <c r="E1683" i="3"/>
  <c r="E1839" i="3"/>
  <c r="E1902" i="3"/>
  <c r="E2046" i="3"/>
  <c r="E1975" i="3"/>
  <c r="E1686" i="3"/>
  <c r="E1903" i="3"/>
  <c r="E2233" i="3"/>
  <c r="E2283" i="3"/>
  <c r="E2167" i="3"/>
  <c r="E1728" i="3"/>
  <c r="E2048" i="3"/>
  <c r="E1643" i="3"/>
  <c r="E1977" i="3"/>
  <c r="E1786" i="3"/>
  <c r="E2234" i="3"/>
  <c r="E1905" i="3"/>
  <c r="E1729" i="3"/>
  <c r="E2120" i="3"/>
  <c r="J5221" i="9"/>
  <c r="J5222" i="9"/>
  <c r="J5237" i="9"/>
  <c r="J5275" i="9"/>
  <c r="J5276" i="9"/>
  <c r="J5299" i="9"/>
  <c r="J5310" i="9"/>
  <c r="J5428" i="9"/>
  <c r="J5429" i="9"/>
  <c r="J5452" i="9"/>
  <c r="J5453" i="9"/>
  <c r="J5454" i="9"/>
  <c r="J5493" i="9"/>
  <c r="J5494" i="9"/>
  <c r="J5495" i="9"/>
  <c r="J5496" i="9"/>
  <c r="J5569" i="9"/>
  <c r="J5621" i="9"/>
  <c r="J5622" i="9"/>
  <c r="J5706" i="9"/>
  <c r="J5745" i="9"/>
  <c r="J5814" i="9"/>
  <c r="J5882" i="9"/>
  <c r="J5883" i="9"/>
  <c r="J5884" i="9"/>
  <c r="J5929" i="9"/>
  <c r="J6030" i="9"/>
  <c r="J6031" i="9"/>
  <c r="J6080" i="9"/>
  <c r="J6131" i="9"/>
  <c r="J6137" i="9"/>
  <c r="J6234" i="9"/>
  <c r="J6235" i="9"/>
  <c r="J6241" i="9"/>
  <c r="J6245" i="9"/>
  <c r="J6274" i="9"/>
  <c r="J6275" i="9"/>
  <c r="J6295" i="9"/>
  <c r="J6296" i="9"/>
  <c r="J6314" i="9"/>
  <c r="J6315" i="9"/>
  <c r="J6316" i="9"/>
  <c r="J6317" i="9"/>
  <c r="J6318" i="9"/>
  <c r="J6319" i="9"/>
  <c r="J6328" i="9"/>
  <c r="J6364" i="9"/>
  <c r="J6406" i="9"/>
  <c r="J6417" i="9"/>
  <c r="J6474" i="9"/>
  <c r="J6475" i="9"/>
  <c r="J6541" i="9"/>
  <c r="J6558" i="9"/>
  <c r="J6608" i="9"/>
  <c r="J6613" i="9"/>
  <c r="J6611" i="9"/>
  <c r="J6624" i="9"/>
  <c r="J6651" i="9"/>
  <c r="J6676" i="9"/>
  <c r="J6677" i="9"/>
  <c r="J6685" i="9"/>
  <c r="J6686" i="9"/>
  <c r="J6697" i="9"/>
  <c r="J6698" i="9"/>
  <c r="J6699" i="9"/>
  <c r="J6700" i="9"/>
  <c r="J6749" i="9"/>
  <c r="J6758" i="9"/>
  <c r="J6878" i="9"/>
  <c r="J6880" i="9"/>
  <c r="J6935" i="9"/>
  <c r="J6969" i="9"/>
  <c r="J6984" i="9"/>
  <c r="J7044" i="9"/>
  <c r="J7084" i="9"/>
  <c r="J7085" i="9"/>
  <c r="J7086" i="9"/>
  <c r="J7101" i="9"/>
  <c r="J4304" i="9"/>
  <c r="J7166" i="9"/>
  <c r="J7167" i="9"/>
  <c r="J7168" i="9"/>
  <c r="J7169" i="9"/>
  <c r="J7190" i="9"/>
  <c r="J7200" i="9"/>
  <c r="J7217" i="9"/>
  <c r="J7223" i="9"/>
  <c r="J7224" i="9"/>
  <c r="J7225" i="9"/>
  <c r="J7226" i="9"/>
  <c r="J7251" i="9"/>
  <c r="J7257" i="9"/>
  <c r="J7359" i="9"/>
  <c r="J7417" i="9"/>
  <c r="J7573" i="9"/>
  <c r="J7574" i="9"/>
  <c r="J7595" i="9"/>
  <c r="J7612" i="9"/>
  <c r="J7613" i="9"/>
  <c r="J7614" i="9"/>
  <c r="J7637" i="9"/>
  <c r="J7638" i="9"/>
  <c r="J7639" i="9"/>
  <c r="J7664" i="9"/>
  <c r="J7665" i="9"/>
  <c r="J7706" i="9"/>
  <c r="J7725" i="9"/>
  <c r="J2181" i="9"/>
  <c r="J7730" i="9"/>
  <c r="J7770" i="9"/>
  <c r="J7815" i="9"/>
  <c r="J7818" i="9"/>
  <c r="J7820" i="9"/>
  <c r="J7940" i="9"/>
  <c r="J7973" i="9"/>
  <c r="J7974" i="9"/>
  <c r="J7975" i="9"/>
  <c r="J8004" i="9"/>
  <c r="J8045" i="9"/>
  <c r="J8053" i="9"/>
  <c r="J8076" i="9"/>
  <c r="J8080" i="9"/>
  <c r="J8113" i="9"/>
  <c r="J8123" i="9"/>
  <c r="J8133" i="9"/>
  <c r="J8147" i="9"/>
  <c r="J8148" i="9"/>
  <c r="J8168" i="9"/>
  <c r="J8179" i="9"/>
  <c r="J8180" i="9"/>
  <c r="J8197" i="9"/>
  <c r="J8198" i="9"/>
  <c r="J8199" i="9"/>
  <c r="J8200" i="9"/>
  <c r="J8233" i="9"/>
  <c r="J8234" i="9"/>
  <c r="J8265" i="9"/>
  <c r="J8266" i="9"/>
  <c r="J8279" i="9"/>
  <c r="J8280" i="9"/>
  <c r="J8281" i="9"/>
  <c r="J8282" i="9"/>
  <c r="J8283" i="9"/>
  <c r="J8364" i="9"/>
  <c r="J8365" i="9"/>
  <c r="J8366" i="9"/>
  <c r="J8367" i="9"/>
  <c r="J8368" i="9"/>
  <c r="J8409" i="9"/>
  <c r="J8452" i="9"/>
  <c r="J8459" i="9"/>
  <c r="J8462" i="9"/>
  <c r="J8488" i="9"/>
  <c r="J7581" i="9"/>
  <c r="J8499" i="9"/>
  <c r="J8500" i="9"/>
  <c r="J8501" i="9"/>
  <c r="J8502" i="9"/>
  <c r="J8523" i="9"/>
  <c r="J8524" i="9"/>
  <c r="J8525" i="9"/>
  <c r="J8537" i="9"/>
  <c r="J8538" i="9"/>
  <c r="J8660" i="9"/>
  <c r="J8661" i="9"/>
  <c r="J8668" i="9"/>
  <c r="J8685" i="9"/>
  <c r="J8726" i="9"/>
  <c r="J8759" i="9"/>
  <c r="J8760" i="9"/>
  <c r="J8773" i="9"/>
  <c r="J8774" i="9"/>
  <c r="J8799" i="9"/>
  <c r="J8800" i="9"/>
  <c r="J8809" i="9"/>
  <c r="J8810" i="9"/>
  <c r="J42" i="9"/>
  <c r="J8911" i="9"/>
  <c r="J8978" i="9"/>
  <c r="J8982" i="9"/>
  <c r="J8983" i="9"/>
  <c r="J8997" i="9"/>
  <c r="J8998" i="9"/>
  <c r="J8999" i="9"/>
  <c r="J9043" i="9"/>
  <c r="J9044" i="9"/>
  <c r="J9137" i="9"/>
  <c r="J9140" i="9"/>
  <c r="J9147" i="9"/>
  <c r="J9166" i="9"/>
  <c r="J9167" i="9"/>
  <c r="J9187" i="9"/>
  <c r="J9188" i="9"/>
  <c r="J9204" i="9"/>
  <c r="J9221" i="9"/>
  <c r="J2597" i="9"/>
  <c r="J9243" i="9"/>
  <c r="J9303" i="9"/>
  <c r="J9309" i="9"/>
  <c r="J9310" i="9"/>
  <c r="E875" i="3"/>
  <c r="E112" i="3"/>
  <c r="E113" i="3"/>
  <c r="T1" i="12"/>
  <c r="K57" i="12"/>
  <c r="K43" i="12"/>
  <c r="K6" i="12"/>
  <c r="K58" i="12"/>
  <c r="K50" i="12"/>
  <c r="K14" i="12"/>
  <c r="K3" i="12"/>
  <c r="K26" i="12"/>
  <c r="K55" i="12"/>
  <c r="K39" i="12"/>
  <c r="K59" i="12"/>
  <c r="K60" i="12"/>
  <c r="K61" i="12"/>
  <c r="K8" i="12"/>
  <c r="K18" i="12"/>
  <c r="K22" i="12"/>
  <c r="K62" i="12"/>
  <c r="K63" i="12"/>
  <c r="K64" i="12"/>
  <c r="K27" i="12"/>
  <c r="K54" i="12"/>
  <c r="K65" i="12"/>
  <c r="K66" i="12"/>
  <c r="K67" i="12"/>
  <c r="K68" i="12"/>
  <c r="K15" i="12"/>
  <c r="K47" i="12"/>
  <c r="K69" i="12"/>
  <c r="K42" i="12"/>
  <c r="K70" i="12"/>
  <c r="K71" i="12"/>
  <c r="K72" i="12"/>
  <c r="K36" i="12"/>
  <c r="K45" i="12"/>
  <c r="K4" i="12"/>
  <c r="K31" i="12"/>
  <c r="K35" i="12"/>
  <c r="K73" i="12"/>
  <c r="K48" i="12"/>
  <c r="K53" i="12"/>
  <c r="K74" i="12"/>
  <c r="K75" i="12"/>
  <c r="K37" i="12"/>
  <c r="K40" i="12"/>
  <c r="K29" i="12"/>
  <c r="K23" i="12"/>
  <c r="K76" i="12"/>
  <c r="K16" i="12"/>
  <c r="K12" i="12"/>
  <c r="K24" i="12"/>
  <c r="K19" i="12"/>
  <c r="K77" i="12"/>
  <c r="K13" i="12"/>
  <c r="K21" i="12"/>
  <c r="K9" i="12"/>
  <c r="K38" i="12"/>
  <c r="K78" i="12"/>
  <c r="K28" i="12"/>
  <c r="K79" i="12"/>
  <c r="K80" i="12"/>
  <c r="K81" i="12"/>
  <c r="K17" i="12"/>
  <c r="K20" i="12"/>
  <c r="K41" i="12"/>
  <c r="K82" i="12"/>
  <c r="K83" i="12"/>
  <c r="K84" i="12"/>
  <c r="K52" i="12"/>
  <c r="K85" i="12"/>
  <c r="K86" i="12"/>
  <c r="K2" i="12"/>
  <c r="K49" i="12"/>
  <c r="K87" i="12"/>
  <c r="K46" i="12"/>
  <c r="K88" i="12"/>
  <c r="K89" i="12"/>
  <c r="K7" i="12"/>
  <c r="K30" i="12"/>
  <c r="K90" i="12"/>
  <c r="K91" i="12"/>
  <c r="K33" i="12"/>
  <c r="K44" i="12"/>
  <c r="K92" i="12"/>
  <c r="K93" i="12"/>
  <c r="K94" i="12"/>
  <c r="K5" i="12"/>
  <c r="K95" i="12"/>
  <c r="K11" i="12"/>
  <c r="K96" i="12"/>
  <c r="K97" i="12"/>
  <c r="K56" i="12"/>
  <c r="K98" i="12"/>
  <c r="K10" i="12"/>
  <c r="K51" i="12"/>
  <c r="K99" i="12"/>
  <c r="K25" i="12"/>
  <c r="K100" i="12"/>
  <c r="K101" i="12"/>
  <c r="K102" i="12"/>
  <c r="K103" i="12"/>
  <c r="K34" i="12"/>
  <c r="K104" i="12"/>
  <c r="K32" i="12"/>
  <c r="K105" i="12"/>
  <c r="K106" i="12"/>
  <c r="K107" i="12"/>
  <c r="K1" i="12"/>
  <c r="D2" i="12" a="1"/>
  <c r="D2" i="12"/>
  <c r="D3" i="12" a="1"/>
  <c r="D3" i="12" s="1"/>
  <c r="D4" i="12" a="1"/>
  <c r="D4" i="12" s="1"/>
  <c r="D5" i="12" a="1"/>
  <c r="D5" i="12"/>
  <c r="D6" i="12" a="1"/>
  <c r="D6" i="12" s="1"/>
  <c r="D7" i="12" a="1"/>
  <c r="D7" i="12" s="1"/>
  <c r="D8" i="12" a="1"/>
  <c r="D8" i="12" s="1"/>
  <c r="D9" i="12" a="1"/>
  <c r="D9" i="12"/>
  <c r="D10" i="12" a="1"/>
  <c r="D10" i="12"/>
  <c r="D11" i="12" a="1"/>
  <c r="D11" i="12"/>
  <c r="D12" i="12" a="1"/>
  <c r="D12" i="12"/>
  <c r="D13" i="12" a="1"/>
  <c r="D13" i="12"/>
  <c r="D14" i="12" a="1"/>
  <c r="D14" i="12"/>
  <c r="D15" i="12" a="1"/>
  <c r="D15" i="12" s="1"/>
  <c r="D16" i="12" a="1"/>
  <c r="D16" i="12" s="1"/>
  <c r="D17" i="12" a="1"/>
  <c r="D17" i="12"/>
  <c r="D18" i="12" a="1"/>
  <c r="D18" i="12" s="1"/>
  <c r="D19" i="12" a="1"/>
  <c r="D19" i="12"/>
  <c r="D20" i="12" a="1"/>
  <c r="D20" i="12"/>
  <c r="D21" i="12" a="1"/>
  <c r="D21" i="12"/>
  <c r="D22" i="12" a="1"/>
  <c r="D22" i="12"/>
  <c r="D23" i="12" a="1"/>
  <c r="D23" i="12" s="1"/>
  <c r="D24" i="12" a="1"/>
  <c r="D24" i="12" s="1"/>
  <c r="D25" i="12" a="1"/>
  <c r="D25" i="12" s="1"/>
  <c r="D26" i="12" a="1"/>
  <c r="D26" i="12" s="1"/>
  <c r="D27" i="12" a="1"/>
  <c r="D27" i="12"/>
  <c r="D28" i="12" a="1"/>
  <c r="D28" i="12" s="1"/>
  <c r="D29" i="12" a="1"/>
  <c r="D29" i="12" s="1"/>
  <c r="D30" i="12" a="1"/>
  <c r="D30" i="12"/>
  <c r="D31" i="12" a="1"/>
  <c r="D31" i="12" s="1"/>
  <c r="D32" i="12" a="1"/>
  <c r="D32" i="12" s="1"/>
  <c r="D33" i="12" a="1"/>
  <c r="D33" i="12" s="1"/>
  <c r="D34" i="12" a="1"/>
  <c r="D34" i="12" s="1"/>
  <c r="D35" i="12" a="1"/>
  <c r="D35" i="12"/>
  <c r="D36" i="12" a="1"/>
  <c r="D36" i="12"/>
  <c r="D37" i="12" a="1"/>
  <c r="D37" i="12" s="1"/>
  <c r="D38" i="12" a="1"/>
  <c r="D38" i="12" s="1"/>
  <c r="D39" i="12" a="1"/>
  <c r="D39" i="12" s="1"/>
  <c r="D40" i="12" a="1"/>
  <c r="D40" i="12" s="1"/>
  <c r="D41" i="12" a="1"/>
  <c r="D41" i="12" s="1"/>
  <c r="D42" i="12" a="1"/>
  <c r="D42" i="12" s="1"/>
  <c r="D43" i="12" a="1"/>
  <c r="D43" i="12"/>
  <c r="D44" i="12" a="1"/>
  <c r="D44" i="12"/>
  <c r="D45" i="12" a="1"/>
  <c r="D45" i="12" s="1"/>
  <c r="D46" i="12" a="1"/>
  <c r="D46" i="12"/>
  <c r="D47" i="12" a="1"/>
  <c r="D47" i="12" s="1"/>
  <c r="D48" i="12" a="1"/>
  <c r="D48" i="12" s="1"/>
  <c r="D49" i="12" a="1"/>
  <c r="D49" i="12" s="1"/>
  <c r="D50" i="12" a="1"/>
  <c r="D50" i="12" s="1"/>
  <c r="D51" i="12" a="1"/>
  <c r="D51" i="12"/>
  <c r="D52" i="12" a="1"/>
  <c r="D52" i="12"/>
  <c r="D53" i="12" a="1"/>
  <c r="D53" i="12" s="1"/>
  <c r="D54" i="12" a="1"/>
  <c r="D54" i="12"/>
  <c r="D55" i="12" a="1"/>
  <c r="D55" i="12" s="1"/>
  <c r="D56" i="12" a="1"/>
  <c r="D56" i="12" s="1"/>
  <c r="D57" i="12" a="1"/>
  <c r="D57" i="12" s="1"/>
  <c r="D58" i="12" a="1"/>
  <c r="D58" i="12" s="1"/>
  <c r="D59" i="12" a="1"/>
  <c r="D59" i="12" s="1"/>
  <c r="D60" i="12" a="1"/>
  <c r="D60" i="12"/>
  <c r="D61" i="12" a="1"/>
  <c r="D61" i="12" s="1"/>
  <c r="D62" i="12" a="1"/>
  <c r="D62" i="12" s="1"/>
  <c r="D63" i="12" a="1"/>
  <c r="D63" i="12" s="1"/>
  <c r="D64" i="12" a="1"/>
  <c r="D64" i="12" s="1"/>
  <c r="D65" i="12" a="1"/>
  <c r="D65" i="12" s="1"/>
  <c r="D66" i="12" a="1"/>
  <c r="D66" i="12" s="1"/>
  <c r="D67" i="12" a="1"/>
  <c r="D67" i="12" s="1"/>
  <c r="D68" i="12" a="1"/>
  <c r="D68" i="12"/>
  <c r="D69" i="12" a="1"/>
  <c r="D69" i="12" s="1"/>
  <c r="D70" i="12" a="1"/>
  <c r="D70" i="12" s="1"/>
  <c r="D71" i="12" a="1"/>
  <c r="D71" i="12" s="1"/>
  <c r="D72" i="12" a="1"/>
  <c r="D72" i="12" s="1"/>
  <c r="D73" i="12" a="1"/>
  <c r="D73" i="12" s="1"/>
  <c r="D74" i="12" a="1"/>
  <c r="D74" i="12" s="1"/>
  <c r="D75" i="12" a="1"/>
  <c r="D75" i="12" s="1"/>
  <c r="D76" i="12" a="1"/>
  <c r="D76" i="12"/>
  <c r="D77" i="12" a="1"/>
  <c r="D77" i="12" s="1"/>
  <c r="D78" i="12" a="1"/>
  <c r="D78" i="12" s="1"/>
  <c r="D79" i="12" a="1"/>
  <c r="D79" i="12" s="1"/>
  <c r="D80" i="12" a="1"/>
  <c r="D80" i="12" s="1"/>
  <c r="D81" i="12" a="1"/>
  <c r="D81" i="12" s="1"/>
  <c r="D82" i="12" a="1"/>
  <c r="D82" i="12" s="1"/>
  <c r="D83" i="12" a="1"/>
  <c r="D83" i="12" s="1"/>
  <c r="D84" i="12" a="1"/>
  <c r="D84" i="12"/>
  <c r="D85" i="12" a="1"/>
  <c r="D85" i="12" s="1"/>
  <c r="D86" i="12" a="1"/>
  <c r="D86" i="12" s="1"/>
  <c r="D87" i="12" a="1"/>
  <c r="D87" i="12" s="1"/>
  <c r="D88" i="12" a="1"/>
  <c r="D88" i="12" s="1"/>
  <c r="D89" i="12" a="1"/>
  <c r="D89" i="12" s="1"/>
  <c r="D90" i="12" a="1"/>
  <c r="D90" i="12" s="1"/>
  <c r="D91" i="12" a="1"/>
  <c r="D91" i="12" s="1"/>
  <c r="D92" i="12" a="1"/>
  <c r="D92" i="12" s="1"/>
  <c r="D93" i="12" a="1"/>
  <c r="D93" i="12" s="1"/>
  <c r="D94" i="12" a="1"/>
  <c r="D94" i="12" s="1"/>
  <c r="D95" i="12" a="1"/>
  <c r="D95" i="12" s="1"/>
  <c r="D96" i="12" a="1"/>
  <c r="D96" i="12" s="1"/>
  <c r="D97" i="12" a="1"/>
  <c r="D97" i="12" s="1"/>
  <c r="D98" i="12" a="1"/>
  <c r="D98" i="12" s="1"/>
  <c r="D99" i="12" a="1"/>
  <c r="D99" i="12" s="1"/>
  <c r="D100" i="12" a="1"/>
  <c r="D100" i="12" s="1"/>
  <c r="D101" i="12" a="1"/>
  <c r="D101" i="12" s="1"/>
  <c r="D102" i="12" a="1"/>
  <c r="D102" i="12" s="1"/>
  <c r="D103" i="12" a="1"/>
  <c r="D103" i="12" s="1"/>
  <c r="D104" i="12" a="1"/>
  <c r="D104" i="12" s="1"/>
  <c r="D105" i="12" a="1"/>
  <c r="D105" i="12" s="1"/>
  <c r="D106" i="12" a="1"/>
  <c r="D106" i="12" s="1"/>
  <c r="D107" i="12" a="1"/>
  <c r="D107" i="12" s="1"/>
  <c r="D108" i="12" a="1"/>
  <c r="D108" i="12" s="1"/>
  <c r="D109" i="12" a="1"/>
  <c r="D109" i="12" s="1"/>
  <c r="D110" i="12" a="1"/>
  <c r="D110" i="12" s="1"/>
  <c r="D111" i="12" a="1"/>
  <c r="D111" i="12" s="1"/>
  <c r="D112" i="12" a="1"/>
  <c r="D112" i="12" s="1"/>
  <c r="D1" i="12" a="1"/>
  <c r="D1" i="12" s="1"/>
  <c r="B3" i="12"/>
  <c r="B14" i="12"/>
  <c r="B15" i="12"/>
  <c r="B16" i="12"/>
  <c r="B17" i="12"/>
  <c r="B11" i="12"/>
  <c r="B9" i="12"/>
  <c r="B18" i="12"/>
  <c r="B19" i="12"/>
  <c r="B20" i="12"/>
  <c r="B21" i="12"/>
  <c r="B22" i="12"/>
  <c r="B8" i="12"/>
  <c r="B23" i="12"/>
  <c r="B5" i="12"/>
  <c r="B24" i="12"/>
  <c r="B25" i="12"/>
  <c r="B26" i="12"/>
  <c r="B27" i="12"/>
  <c r="B28" i="12"/>
  <c r="B29" i="12"/>
  <c r="B4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12" i="12"/>
  <c r="B52" i="12"/>
  <c r="B53" i="12"/>
  <c r="B54" i="12"/>
  <c r="B55" i="12"/>
  <c r="B56" i="12"/>
  <c r="B10" i="12"/>
  <c r="B57" i="12"/>
  <c r="B58" i="12"/>
  <c r="B59" i="12"/>
  <c r="B60" i="12"/>
  <c r="B2" i="12"/>
  <c r="B61" i="12"/>
  <c r="B62" i="12"/>
  <c r="B63" i="12"/>
  <c r="B64" i="12"/>
  <c r="B6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7" i="12"/>
  <c r="B85" i="12"/>
  <c r="B13" i="12"/>
  <c r="H203" i="14" l="1"/>
  <c r="H410" i="14"/>
  <c r="H441" i="14"/>
  <c r="A2" i="11" l="1"/>
  <c r="A1" i="11"/>
  <c r="E986" i="3"/>
  <c r="E4" i="3"/>
  <c r="E415" i="3"/>
  <c r="A533" i="10"/>
  <c r="A532" i="10"/>
  <c r="A531" i="10"/>
  <c r="A530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E757" i="3" l="1"/>
  <c r="E988" i="3"/>
  <c r="E991" i="3"/>
  <c r="E990" i="3"/>
  <c r="E622" i="3"/>
  <c r="E8" i="3"/>
  <c r="E7" i="3"/>
  <c r="E17" i="3"/>
  <c r="E11" i="3"/>
  <c r="E12" i="3"/>
  <c r="E10" i="3"/>
  <c r="E9" i="3"/>
  <c r="E15" i="3"/>
  <c r="E16" i="3"/>
  <c r="E14" i="3"/>
  <c r="E25" i="3"/>
  <c r="E26" i="3"/>
  <c r="E501" i="3"/>
  <c r="E18" i="3"/>
  <c r="E19" i="3"/>
  <c r="E13" i="3"/>
  <c r="E31" i="3"/>
  <c r="E32" i="3"/>
  <c r="E20" i="3"/>
  <c r="E21" i="3"/>
  <c r="E22" i="3"/>
  <c r="E23" i="3"/>
  <c r="E39" i="3"/>
  <c r="E40" i="3"/>
  <c r="E41" i="3"/>
  <c r="E42" i="3"/>
  <c r="E43" i="3"/>
  <c r="E44" i="3"/>
  <c r="E45" i="3"/>
  <c r="E27" i="3"/>
  <c r="E28" i="3"/>
  <c r="E29" i="3"/>
  <c r="E30" i="3"/>
  <c r="E50" i="3"/>
  <c r="E68" i="3"/>
  <c r="E51" i="3"/>
  <c r="E52" i="3"/>
  <c r="E53" i="3"/>
  <c r="E34" i="3"/>
  <c r="E35" i="3"/>
  <c r="E36" i="3"/>
  <c r="E37" i="3"/>
  <c r="E60" i="3"/>
  <c r="E61" i="3"/>
  <c r="E62" i="3"/>
  <c r="E63" i="3"/>
  <c r="E64" i="3"/>
  <c r="E65" i="3"/>
  <c r="E66" i="3"/>
  <c r="E67" i="3"/>
  <c r="E69" i="3"/>
  <c r="E70" i="3"/>
  <c r="E71" i="3"/>
  <c r="E72" i="3"/>
  <c r="E46" i="3"/>
  <c r="E47" i="3"/>
  <c r="E48" i="3"/>
  <c r="E49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6" i="3"/>
  <c r="E97" i="3"/>
  <c r="E99" i="3"/>
  <c r="E100" i="3"/>
  <c r="E57" i="3"/>
  <c r="E58" i="3"/>
  <c r="E59" i="3"/>
  <c r="E104" i="3"/>
  <c r="E105" i="3"/>
  <c r="E106" i="3"/>
  <c r="E107" i="3"/>
  <c r="E108" i="3"/>
  <c r="E109" i="3"/>
  <c r="E33" i="3"/>
  <c r="E110" i="3"/>
  <c r="E111" i="3"/>
  <c r="E114" i="3"/>
  <c r="E115" i="3"/>
  <c r="E116" i="3"/>
  <c r="E117" i="3"/>
  <c r="E118" i="3"/>
  <c r="E119" i="3"/>
  <c r="E120" i="3"/>
  <c r="E121" i="3"/>
  <c r="E122" i="3"/>
  <c r="E123" i="3"/>
  <c r="E124" i="3"/>
  <c r="E73" i="3"/>
  <c r="E74" i="3"/>
  <c r="E75" i="3"/>
  <c r="E129" i="3"/>
  <c r="E130" i="3"/>
  <c r="E131" i="3"/>
  <c r="E2327" i="3"/>
  <c r="E132" i="3"/>
  <c r="E133" i="3"/>
  <c r="E134" i="3"/>
  <c r="E135" i="3"/>
  <c r="E136" i="3"/>
  <c r="E137" i="3"/>
  <c r="E138" i="3"/>
  <c r="E139" i="3"/>
  <c r="E140" i="3"/>
  <c r="E141" i="3"/>
  <c r="E230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578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01" i="3"/>
  <c r="E102" i="3"/>
  <c r="E103" i="3"/>
  <c r="E180" i="3"/>
  <c r="E181" i="3"/>
  <c r="E182" i="3"/>
  <c r="E183" i="3"/>
  <c r="E184" i="3"/>
  <c r="E185" i="3"/>
  <c r="E186" i="3"/>
  <c r="E187" i="3"/>
  <c r="E54" i="3"/>
  <c r="E188" i="3"/>
  <c r="E189" i="3"/>
  <c r="E190" i="3"/>
  <c r="E191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755" i="3"/>
  <c r="E229" i="3"/>
  <c r="E125" i="3"/>
  <c r="E126" i="3"/>
  <c r="E127" i="3"/>
  <c r="E234" i="3"/>
  <c r="E231" i="3"/>
  <c r="E235" i="3"/>
  <c r="E236" i="3"/>
  <c r="E237" i="3"/>
  <c r="E238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963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55" i="3"/>
  <c r="E306" i="3"/>
  <c r="E307" i="3"/>
  <c r="E177" i="3"/>
  <c r="E178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5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56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232" i="3"/>
  <c r="E233" i="3"/>
  <c r="E416" i="3"/>
  <c r="E417" i="3"/>
  <c r="E418" i="3"/>
  <c r="E419" i="3"/>
  <c r="E420" i="3"/>
  <c r="E421" i="3"/>
  <c r="E962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308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500" i="3"/>
  <c r="E603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310" i="3"/>
  <c r="E503" i="3"/>
  <c r="E504" i="3"/>
  <c r="E505" i="3"/>
  <c r="E506" i="3"/>
  <c r="E507" i="3"/>
  <c r="E508" i="3"/>
  <c r="E509" i="3"/>
  <c r="E510" i="3"/>
  <c r="E985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5" i="3"/>
  <c r="E596" i="3"/>
  <c r="E597" i="3"/>
  <c r="E598" i="3"/>
  <c r="E599" i="3"/>
  <c r="E600" i="3"/>
  <c r="E601" i="3"/>
  <c r="E602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3" i="3"/>
  <c r="E684" i="3"/>
  <c r="E685" i="3"/>
  <c r="E686" i="3"/>
  <c r="E687" i="3"/>
  <c r="E688" i="3"/>
  <c r="E689" i="3"/>
  <c r="E690" i="3"/>
  <c r="E987" i="3"/>
  <c r="E691" i="3"/>
  <c r="E692" i="3"/>
  <c r="E693" i="3"/>
  <c r="E694" i="3"/>
  <c r="E695" i="3"/>
  <c r="E696" i="3"/>
  <c r="E697" i="3"/>
  <c r="E698" i="3"/>
  <c r="E699" i="3"/>
  <c r="E700" i="3"/>
  <c r="E2418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5" i="3"/>
  <c r="E746" i="3"/>
  <c r="E747" i="3"/>
  <c r="E748" i="3"/>
  <c r="E749" i="3"/>
  <c r="E750" i="3"/>
  <c r="E751" i="3"/>
  <c r="E752" i="3"/>
  <c r="E753" i="3"/>
  <c r="E754" i="3"/>
  <c r="E758" i="3"/>
  <c r="E759" i="3"/>
  <c r="E760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7" i="3"/>
  <c r="E778" i="3"/>
  <c r="E779" i="3"/>
  <c r="E780" i="3"/>
  <c r="E781" i="3"/>
  <c r="E782" i="3"/>
  <c r="E783" i="3"/>
  <c r="E784" i="3"/>
  <c r="E786" i="3"/>
  <c r="E785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6" i="3"/>
  <c r="E877" i="3"/>
  <c r="E879" i="3"/>
  <c r="E880" i="3"/>
  <c r="E881" i="3"/>
  <c r="E882" i="3"/>
  <c r="E883" i="3"/>
  <c r="E884" i="3"/>
  <c r="E885" i="3"/>
  <c r="E886" i="3"/>
  <c r="E887" i="3"/>
  <c r="E888" i="3"/>
  <c r="E776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309" i="3"/>
  <c r="E951" i="3"/>
  <c r="E952" i="3"/>
  <c r="E953" i="3"/>
  <c r="E954" i="3"/>
  <c r="E955" i="3"/>
  <c r="E956" i="3"/>
  <c r="E957" i="3"/>
  <c r="E958" i="3"/>
  <c r="E959" i="3"/>
  <c r="E960" i="3"/>
  <c r="E961" i="3"/>
  <c r="E966" i="3"/>
  <c r="E968" i="3"/>
  <c r="E756" i="3"/>
  <c r="E969" i="3"/>
  <c r="E970" i="3"/>
  <c r="E971" i="3"/>
  <c r="E972" i="3"/>
  <c r="E973" i="3"/>
  <c r="E974" i="3"/>
  <c r="E975" i="3"/>
  <c r="E976" i="3"/>
  <c r="E980" i="3"/>
  <c r="E981" i="3"/>
  <c r="E982" i="3"/>
  <c r="E806" i="3"/>
  <c r="E128" i="3"/>
  <c r="E192" i="3"/>
  <c r="E967" i="3"/>
  <c r="E977" i="3"/>
  <c r="E878" i="3"/>
  <c r="E682" i="3"/>
  <c r="E24" i="3"/>
  <c r="E744" i="3"/>
  <c r="E964" i="3"/>
  <c r="E965" i="3"/>
  <c r="E979" i="3"/>
  <c r="E978" i="3"/>
  <c r="E95" i="3"/>
  <c r="E874" i="3"/>
  <c r="E239" i="3"/>
  <c r="E38" i="3"/>
  <c r="E98" i="3"/>
  <c r="E728" i="3"/>
  <c r="E594" i="3"/>
  <c r="E502" i="3"/>
  <c r="E17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<sst xmlns="http://schemas.openxmlformats.org/spreadsheetml/2006/main" count="69656" uniqueCount="15549">
  <si>
    <t>7UP</t>
  </si>
  <si>
    <t>ADEPT</t>
  </si>
  <si>
    <t>ADLER</t>
  </si>
  <si>
    <t>ADRIAEN_BROUWER</t>
  </si>
  <si>
    <t>ALMDUDLER</t>
  </si>
  <si>
    <t>APPLETISER</t>
  </si>
  <si>
    <t>AQUARIUS</t>
  </si>
  <si>
    <t>ASAHI</t>
  </si>
  <si>
    <t>AVERBODE</t>
  </si>
  <si>
    <t>BABYLONE</t>
  </si>
  <si>
    <t>BAILEYS</t>
  </si>
  <si>
    <t>BAR_BELGE</t>
  </si>
  <si>
    <t>BAR_BIPPA</t>
  </si>
  <si>
    <t>BAR_BLANCHE</t>
  </si>
  <si>
    <t>BARET</t>
  </si>
  <si>
    <t>BAVARIA</t>
  </si>
  <si>
    <t>BEL_PILS</t>
  </si>
  <si>
    <t>BENNO</t>
  </si>
  <si>
    <t>BIONADE</t>
  </si>
  <si>
    <t>BIRRA_MORETTI</t>
  </si>
  <si>
    <t>BLANCHE_DE_BRUGES</t>
  </si>
  <si>
    <t>BLANCHE_DE_HAINAUT</t>
  </si>
  <si>
    <t>BLANCHE_DES_NEIGES</t>
  </si>
  <si>
    <t>BLANCHE_DE_NAMUR</t>
  </si>
  <si>
    <t>BLOEMEKEI</t>
  </si>
  <si>
    <t>BLONDE_STOOT</t>
  </si>
  <si>
    <t>BOER_BLOEM</t>
  </si>
  <si>
    <t>BOLLEKE</t>
  </si>
  <si>
    <t>BOOTJESBIER</t>
  </si>
  <si>
    <t>BRUGGE_TRIPEL</t>
  </si>
  <si>
    <t>BRUGS_WIT</t>
  </si>
  <si>
    <t>BRUNEHAUT</t>
  </si>
  <si>
    <t>BRUXELLENSIS</t>
  </si>
  <si>
    <t>CADIX</t>
  </si>
  <si>
    <t>CANADA_DRY</t>
  </si>
  <si>
    <t>CAPPUCCINO</t>
  </si>
  <si>
    <t>CAPRI_SUN</t>
  </si>
  <si>
    <t>CARLSBERG</t>
  </si>
  <si>
    <t>CASS</t>
  </si>
  <si>
    <t>CAVA</t>
  </si>
  <si>
    <t>CLUB_MATE</t>
  </si>
  <si>
    <t>COBRA</t>
  </si>
  <si>
    <t>COCA_COLA</t>
  </si>
  <si>
    <t>CORONA</t>
  </si>
  <si>
    <t>CRABBELAER</t>
  </si>
  <si>
    <t>CUBANISTO</t>
  </si>
  <si>
    <t>CURTIUS</t>
  </si>
  <si>
    <t>DE_POES</t>
  </si>
  <si>
    <t>DE_VLEESHALLE_TRIPEL</t>
  </si>
  <si>
    <t>DELTA_IPA</t>
  </si>
  <si>
    <t>DELVAUX</t>
  </si>
  <si>
    <t>DESPERADOS</t>
  </si>
  <si>
    <t>DEUGNIET</t>
  </si>
  <si>
    <t>DIKKENEK</t>
  </si>
  <si>
    <t>DUCHESSE_DE_BOURGOGNE</t>
  </si>
  <si>
    <t>DULLE_GRIET</t>
  </si>
  <si>
    <t>DUVEL</t>
  </si>
  <si>
    <t>EILANDJE</t>
  </si>
  <si>
    <t>ELEGANT</t>
  </si>
  <si>
    <t>ENERGIBAJER</t>
  </si>
  <si>
    <t>ESKIMO</t>
  </si>
  <si>
    <t>ESTAMINET</t>
  </si>
  <si>
    <t>EZEL</t>
  </si>
  <si>
    <t>SAN_PELLEGRINO</t>
  </si>
  <si>
    <t>EVIAN</t>
  </si>
  <si>
    <t>FEVER_TREE</t>
  </si>
  <si>
    <t>FILOU</t>
  </si>
  <si>
    <t>FOOD</t>
  </si>
  <si>
    <t>FORCE_MAJEURE</t>
  </si>
  <si>
    <t>FOURCHETTE</t>
  </si>
  <si>
    <t>FRISTI</t>
  </si>
  <si>
    <t>GAGELEER</t>
  </si>
  <si>
    <t>GAULOISE</t>
  </si>
  <si>
    <t>GENTSE_STROP</t>
  </si>
  <si>
    <t>GENTSE_TRIPEL</t>
  </si>
  <si>
    <t>GEROLDSTEINER</t>
  </si>
  <si>
    <t>GEUZE_MORIAU</t>
  </si>
  <si>
    <t>GILDENBIER</t>
  </si>
  <si>
    <t>GINETTE</t>
  </si>
  <si>
    <t>GINGER_BEER</t>
  </si>
  <si>
    <t>GINI</t>
  </si>
  <si>
    <t>GOEDENDAG</t>
  </si>
  <si>
    <t>GOLDEN_TRICKY</t>
  </si>
  <si>
    <t>GOLDING_CAMPINA</t>
  </si>
  <si>
    <t>GOOSE_IPA</t>
  </si>
  <si>
    <t>GREGORIUS</t>
  </si>
  <si>
    <t>GULDENBERG</t>
  </si>
  <si>
    <t>HAPKIN</t>
  </si>
  <si>
    <t>HEINEKEN</t>
  </si>
  <si>
    <t>HERBERG</t>
  </si>
  <si>
    <t>HOMMELBIER</t>
  </si>
  <si>
    <t>HOPUS</t>
  </si>
  <si>
    <t>HOPVERDOMME</t>
  </si>
  <si>
    <t>IJWIT</t>
  </si>
  <si>
    <t>JAMBE_DE_BOIS</t>
  </si>
  <si>
    <t>JARR_KOMBUCHA</t>
  </si>
  <si>
    <t>JUDAS</t>
  </si>
  <si>
    <t>JUICE_JUNKIE</t>
  </si>
  <si>
    <t>JULIA</t>
  </si>
  <si>
    <t>JUNGLE_JOY</t>
  </si>
  <si>
    <t>JUS_DE_MER</t>
  </si>
  <si>
    <t>KAPITTEL</t>
  </si>
  <si>
    <t>KEREL_KAISHAKU</t>
  </si>
  <si>
    <t>KEYTE</t>
  </si>
  <si>
    <t>KING_MULE</t>
  </si>
  <si>
    <t>KINGFISHER</t>
  </si>
  <si>
    <t>KOEKETIENE</t>
  </si>
  <si>
    <t>KRIEK_MAX</t>
  </si>
  <si>
    <t>KRIEK_MYSTIC</t>
  </si>
  <si>
    <t>KRIEKENBIER</t>
  </si>
  <si>
    <t>KROMBACHER</t>
  </si>
  <si>
    <t>KWAREMONT</t>
  </si>
  <si>
    <t>LA_GUILLOTINE</t>
  </si>
  <si>
    <t>LAGUNITAS</t>
  </si>
  <si>
    <t>LATTE</t>
  </si>
  <si>
    <t>LEFORT</t>
  </si>
  <si>
    <t>LELIJKEN_DAS</t>
  </si>
  <si>
    <t>LEMONAID</t>
  </si>
  <si>
    <t>LOKALES</t>
  </si>
  <si>
    <t>LUCIE</t>
  </si>
  <si>
    <t>MAES</t>
  </si>
  <si>
    <t>MAK_ES_PRUUVE</t>
  </si>
  <si>
    <t>MANEBLUSSER</t>
  </si>
  <si>
    <t>MAZOUT</t>
  </si>
  <si>
    <t>MIEK_EXOTIEK</t>
  </si>
  <si>
    <t>MINUTE_MAID</t>
  </si>
  <si>
    <t>MIRINDA</t>
  </si>
  <si>
    <t>MOEDER_OVERSTE</t>
  </si>
  <si>
    <t>MOINETTE</t>
  </si>
  <si>
    <t>MOJITO</t>
  </si>
  <si>
    <t>MONSTER_ENERGY</t>
  </si>
  <si>
    <t>NALU</t>
  </si>
  <si>
    <t>NIVARD</t>
  </si>
  <si>
    <t>NONKEL_PATER</t>
  </si>
  <si>
    <t>OASIS</t>
  </si>
  <si>
    <t>OMER</t>
  </si>
  <si>
    <t>OMMEGANG</t>
  </si>
  <si>
    <t>OPS_ALE</t>
  </si>
  <si>
    <t>ORANGINA</t>
  </si>
  <si>
    <t>ORVAL</t>
  </si>
  <si>
    <t>OUWEN_DUIKER</t>
  </si>
  <si>
    <t>PADEL</t>
  </si>
  <si>
    <t>PAIX_DIEU</t>
  </si>
  <si>
    <t>PALM</t>
  </si>
  <si>
    <t>PAPEGAEI</t>
  </si>
  <si>
    <t>PARANOIA</t>
  </si>
  <si>
    <t>PATERNOSTER</t>
  </si>
  <si>
    <t>PATIENCE</t>
  </si>
  <si>
    <t>PAX_PILS</t>
  </si>
  <si>
    <t>PEPSI</t>
  </si>
  <si>
    <t>PERONI</t>
  </si>
  <si>
    <t>PERRIER</t>
  </si>
  <si>
    <t>PICO_BELLO</t>
  </si>
  <si>
    <t>PIRAAT</t>
  </si>
  <si>
    <t>PLAYGROUND</t>
  </si>
  <si>
    <t>PRIMUS</t>
  </si>
  <si>
    <t>RAGNAROCK</t>
  </si>
  <si>
    <t>RAMON</t>
  </si>
  <si>
    <t>REBEL_LOCAL</t>
  </si>
  <si>
    <t>RED_BULL</t>
  </si>
  <si>
    <t>RICARD</t>
  </si>
  <si>
    <t>ROYAL_BLISS</t>
  </si>
  <si>
    <t>SAISON_DUPONT</t>
  </si>
  <si>
    <t>SAISONNEKE</t>
  </si>
  <si>
    <t>SALITOS</t>
  </si>
  <si>
    <t>SAMBUCA</t>
  </si>
  <si>
    <t>SAN_MIGUEL</t>
  </si>
  <si>
    <t>SAPPORO</t>
  </si>
  <si>
    <t>SCHUPPEN_BOER</t>
  </si>
  <si>
    <t>SCHWEPPES</t>
  </si>
  <si>
    <t>SCOTCH_CTS</t>
  </si>
  <si>
    <t>SEEF_BIER</t>
  </si>
  <si>
    <t>SERGEANT</t>
  </si>
  <si>
    <t>SIMPLEX</t>
  </si>
  <si>
    <t>SLOEBER</t>
  </si>
  <si>
    <t>SMASH</t>
  </si>
  <si>
    <t>SPA_REINE</t>
  </si>
  <si>
    <t>SPACE_CADET</t>
  </si>
  <si>
    <t>SPORTZOT</t>
  </si>
  <si>
    <t>SPRITE</t>
  </si>
  <si>
    <t>STAR_LIGHT</t>
  </si>
  <si>
    <t>STEENUILKE</t>
  </si>
  <si>
    <t>STELLA_ARTOIS</t>
  </si>
  <si>
    <t>STOUTERIK</t>
  </si>
  <si>
    <t>STROOM</t>
  </si>
  <si>
    <t>SUPER_BOCK</t>
  </si>
  <si>
    <t>SUPER_CADIX</t>
  </si>
  <si>
    <t>SUPER_NOAH</t>
  </si>
  <si>
    <t>SUZANNE</t>
  </si>
  <si>
    <t>TANK_7</t>
  </si>
  <si>
    <t>TARAS_BOULBA</t>
  </si>
  <si>
    <t>THRIVE</t>
  </si>
  <si>
    <t>TIETJE</t>
  </si>
  <si>
    <t>TJOLDER</t>
  </si>
  <si>
    <t>TOEKAN</t>
  </si>
  <si>
    <t>TONIC</t>
  </si>
  <si>
    <t>TORIA</t>
  </si>
  <si>
    <t>TOUT_BIEN</t>
  </si>
  <si>
    <t>TRIPEL_BERTHA</t>
  </si>
  <si>
    <t>TRIPEL_KANUNNIK</t>
  </si>
  <si>
    <t>TRIPEL_KARMELIET</t>
  </si>
  <si>
    <t>TROPICO</t>
  </si>
  <si>
    <t>UNWANTED_TATTOO</t>
  </si>
  <si>
    <t>VAL_DIEU</t>
  </si>
  <si>
    <t>VANDERGHINSTE_ROODBRUIN</t>
  </si>
  <si>
    <t>VERZET</t>
  </si>
  <si>
    <t>VICARIS</t>
  </si>
  <si>
    <t>VICTORIA</t>
  </si>
  <si>
    <t>VIEUX_TEMPS</t>
  </si>
  <si>
    <t>VISWIJF</t>
  </si>
  <si>
    <t>VITTEL</t>
  </si>
  <si>
    <t>VLASKOP</t>
  </si>
  <si>
    <t>VRIJWIT</t>
  </si>
  <si>
    <t>VUUR_&amp;_VLAM</t>
  </si>
  <si>
    <t>WAAR_IS_LOCA?</t>
  </si>
  <si>
    <t>WALK_THE_RED_CARPET</t>
  </si>
  <si>
    <t>WATER</t>
  </si>
  <si>
    <t>WEST_COAST_IPA</t>
  </si>
  <si>
    <t>WIEZE</t>
  </si>
  <si>
    <t>WILD_JO</t>
  </si>
  <si>
    <t>WILDEBEEST</t>
  </si>
  <si>
    <t>WINE_WHITE</t>
  </si>
  <si>
    <t>WITKAP</t>
  </si>
  <si>
    <t>WITTE_TRAPPIST</t>
  </si>
  <si>
    <t>WITTEKERKE</t>
  </si>
  <si>
    <t>YPRA</t>
  </si>
  <si>
    <t>ZENNE_PILS</t>
  </si>
  <si>
    <t>ZIEKE_GEEST</t>
  </si>
  <si>
    <t>ZINNEBIR</t>
  </si>
  <si>
    <t>ZUNDERT</t>
  </si>
  <si>
    <t>ROMAN_TONIC</t>
  </si>
  <si>
    <t>WATNEYS</t>
  </si>
  <si>
    <t>TUBORG</t>
  </si>
  <si>
    <t>NESTEA</t>
  </si>
  <si>
    <t>CECEMEL</t>
  </si>
  <si>
    <t>CUVEE_DES_TROLLS</t>
  </si>
  <si>
    <t>BRAND</t>
  </si>
  <si>
    <t>ACHEL</t>
  </si>
  <si>
    <t>AFFLIGEM</t>
  </si>
  <si>
    <t>AMSTEL</t>
  </si>
  <si>
    <t>ARTEVELDE</t>
  </si>
  <si>
    <t>AUGUSTIJN</t>
  </si>
  <si>
    <t>BAPTIST</t>
  </si>
  <si>
    <t>BARBAR</t>
  </si>
  <si>
    <t>BAVIK</t>
  </si>
  <si>
    <t>BELGOO</t>
  </si>
  <si>
    <t>BELLE_VUE</t>
  </si>
  <si>
    <t>BOCKOR</t>
  </si>
  <si>
    <t>BOON</t>
  </si>
  <si>
    <t>BORNEM</t>
  </si>
  <si>
    <t>BOSPROTTER</t>
  </si>
  <si>
    <t>BUSH</t>
  </si>
  <si>
    <t>CANTILLON</t>
  </si>
  <si>
    <t>CHOUFFE</t>
  </si>
  <si>
    <t>CHIMAY</t>
  </si>
  <si>
    <t>CORNET</t>
  </si>
  <si>
    <t>CORSENDONK</t>
  </si>
  <si>
    <t>DELIRIUM</t>
  </si>
  <si>
    <t>ENAME</t>
  </si>
  <si>
    <t>ERDINGER</t>
  </si>
  <si>
    <t>FLORIS</t>
  </si>
  <si>
    <t>FONY_S</t>
  </si>
  <si>
    <t>GRIMBERGEN</t>
  </si>
  <si>
    <t>GRISETTE</t>
  </si>
  <si>
    <t>GUINNESS</t>
  </si>
  <si>
    <t>GULPENER</t>
  </si>
  <si>
    <t>HOEGAARDEN</t>
  </si>
  <si>
    <t>JUPILER</t>
  </si>
  <si>
    <t>KEREL</t>
  </si>
  <si>
    <t>KWAK</t>
  </si>
  <si>
    <t>L_AROGANTE</t>
  </si>
  <si>
    <t>LEFFE</t>
  </si>
  <si>
    <t>LIEFMANS</t>
  </si>
  <si>
    <t>LINDEMANS</t>
  </si>
  <si>
    <t>LUPULUS</t>
  </si>
  <si>
    <t>LUVANIUM</t>
  </si>
  <si>
    <t>MALHEUR</t>
  </si>
  <si>
    <t>MAREDSOUS</t>
  </si>
  <si>
    <t>MARTHA</t>
  </si>
  <si>
    <t>MONGOZO</t>
  </si>
  <si>
    <t>PALJAS</t>
  </si>
  <si>
    <t>PETRUS</t>
  </si>
  <si>
    <t>PONY_S</t>
  </si>
  <si>
    <t>PORETTI</t>
  </si>
  <si>
    <t>POSTEL</t>
  </si>
  <si>
    <t>ROCHEFORT</t>
  </si>
  <si>
    <t>RODENBACH</t>
  </si>
  <si>
    <t>SLAAPMUTSKE</t>
  </si>
  <si>
    <t>SOMERSBY</t>
  </si>
  <si>
    <t>STEENBRUGGE</t>
  </si>
  <si>
    <t>STRONGBOW</t>
  </si>
  <si>
    <t>TAXANDRIA</t>
  </si>
  <si>
    <t>TONGERLO</t>
  </si>
  <si>
    <t>TRIPORTEUR</t>
  </si>
  <si>
    <t>TROUBADOUR</t>
  </si>
  <si>
    <t>VALEIR</t>
  </si>
  <si>
    <t>VEDETT</t>
  </si>
  <si>
    <t>VILLERS</t>
  </si>
  <si>
    <t>VIVEN</t>
  </si>
  <si>
    <t>WESTMALLE</t>
  </si>
  <si>
    <t>WESTVLETEREN</t>
  </si>
  <si>
    <t>ABBAYE_DES_ROCS</t>
  </si>
  <si>
    <t>BONNE_ESPERANCE</t>
  </si>
  <si>
    <t>BOUDELO</t>
  </si>
  <si>
    <t>BROGNE</t>
  </si>
  <si>
    <t>CINEY</t>
  </si>
  <si>
    <t>FLOREFFE</t>
  </si>
  <si>
    <t>LA_CAMBRE</t>
  </si>
  <si>
    <t>LA_RAMEE</t>
  </si>
  <si>
    <t>LA_TRAPPE</t>
  </si>
  <si>
    <t>LUTGARDE</t>
  </si>
  <si>
    <t>MAREDRET</t>
  </si>
  <si>
    <t>PERE</t>
  </si>
  <si>
    <t>TEMPELIER</t>
  </si>
  <si>
    <t>TITS</t>
  </si>
  <si>
    <t>VLIERBEEK</t>
  </si>
  <si>
    <t>WALCOURT</t>
  </si>
  <si>
    <t>WATOU</t>
  </si>
  <si>
    <t>ARCHIDUC</t>
  </si>
  <si>
    <t>CARACOLE</t>
  </si>
  <si>
    <t>CH_TI</t>
  </si>
  <si>
    <t>DIEKIRCH</t>
  </si>
  <si>
    <t>DIOLE</t>
  </si>
  <si>
    <t>DURBUY</t>
  </si>
  <si>
    <t>ELFIQUE</t>
  </si>
  <si>
    <t>FAGNES</t>
  </si>
  <si>
    <t>FORGE</t>
  </si>
  <si>
    <t>GOLIATH</t>
  </si>
  <si>
    <t>GORDON</t>
  </si>
  <si>
    <t>GRIBOUSINE</t>
  </si>
  <si>
    <t>KRAAIKE</t>
  </si>
  <si>
    <t>LA_FRANGINE</t>
  </si>
  <si>
    <t>LA_THAREE</t>
  </si>
  <si>
    <t>LAZARUS</t>
  </si>
  <si>
    <t>LEGIA</t>
  </si>
  <si>
    <t>LEIGNON</t>
  </si>
  <si>
    <t>MOKKE</t>
  </si>
  <si>
    <t>PHILOMENE</t>
  </si>
  <si>
    <t>PREARIS</t>
  </si>
  <si>
    <t>PREFACE</t>
  </si>
  <si>
    <t>ROCHEHAUT</t>
  </si>
  <si>
    <t>ROSTEKOP</t>
  </si>
  <si>
    <t>SILLY</t>
  </si>
  <si>
    <t>TEMBO</t>
  </si>
  <si>
    <t>TER_DOLEN</t>
  </si>
  <si>
    <t>TETE_DE_MORT</t>
  </si>
  <si>
    <t>TRIOMF</t>
  </si>
  <si>
    <t>TRIPICK</t>
  </si>
  <si>
    <t>VALDUC</t>
  </si>
  <si>
    <t>VOISIN</t>
  </si>
  <si>
    <t>VULPIO</t>
  </si>
  <si>
    <t>WILDEREN</t>
  </si>
  <si>
    <t>WITKAP_PATER</t>
  </si>
  <si>
    <t>ADELARDUS</t>
  </si>
  <si>
    <t>ANKER</t>
  </si>
  <si>
    <t>ARDENNE</t>
  </si>
  <si>
    <t>BACCHUS</t>
  </si>
  <si>
    <t>BARBE</t>
  </si>
  <si>
    <t>BARRY</t>
  </si>
  <si>
    <t>BATTIN</t>
  </si>
  <si>
    <t>BEL_CHIC</t>
  </si>
  <si>
    <t>BERTINCHAMPS</t>
  </si>
  <si>
    <t>BESSY</t>
  </si>
  <si>
    <t>BESTIALE</t>
  </si>
  <si>
    <t>CHERIE</t>
  </si>
  <si>
    <t>EMBUSCADE</t>
  </si>
  <si>
    <t>EYLENBOSCH</t>
  </si>
  <si>
    <t>GEMBLOUX</t>
  </si>
  <si>
    <t>GROLSCH</t>
  </si>
  <si>
    <t>HANSSENS</t>
  </si>
  <si>
    <t>HEDONIS</t>
  </si>
  <si>
    <t>HOPPY</t>
  </si>
  <si>
    <t>JART_ELLE</t>
  </si>
  <si>
    <t>KOBOI</t>
  </si>
  <si>
    <t>KOMPEL</t>
  </si>
  <si>
    <t>MIKKELLER</t>
  </si>
  <si>
    <t>MORETTI</t>
  </si>
  <si>
    <t>PJEIREFRETTER</t>
  </si>
  <si>
    <t>STONE</t>
  </si>
  <si>
    <t>TILQUIN</t>
  </si>
  <si>
    <t>TIMMERMANS</t>
  </si>
  <si>
    <t>WARSTEINER</t>
  </si>
  <si>
    <t>WATERLOO</t>
  </si>
  <si>
    <t>BITBURGER</t>
  </si>
  <si>
    <t>DEBOWE</t>
  </si>
  <si>
    <t>SAGRES</t>
  </si>
  <si>
    <t>ADRIANUS</t>
  </si>
  <si>
    <t>AIRBORNE</t>
  </si>
  <si>
    <t>ANOSTEKE</t>
  </si>
  <si>
    <t>ARA</t>
  </si>
  <si>
    <t>AREND</t>
  </si>
  <si>
    <t>AUBEL</t>
  </si>
  <si>
    <t>BARISTA</t>
  </si>
  <si>
    <t>BOFFERDING</t>
  </si>
  <si>
    <t>BORGIA</t>
  </si>
  <si>
    <t>BREWDOG</t>
  </si>
  <si>
    <t>BUDELS</t>
  </si>
  <si>
    <t>BUFFALO</t>
  </si>
  <si>
    <t>BUX</t>
  </si>
  <si>
    <t>CAZEAU</t>
  </si>
  <si>
    <t>CNUDDE</t>
  </si>
  <si>
    <t>DESIDEER</t>
  </si>
  <si>
    <t>DE_KOPEREN_MARKIES</t>
  </si>
  <si>
    <t>DUIVELS_BIER</t>
  </si>
  <si>
    <t>DURBOYSE</t>
  </si>
  <si>
    <t>FLO</t>
  </si>
  <si>
    <t>FLURK</t>
  </si>
  <si>
    <t>FONTANA</t>
  </si>
  <si>
    <t>FRONTAAL</t>
  </si>
  <si>
    <t>GEMINI</t>
  </si>
  <si>
    <t>GLEZIA</t>
  </si>
  <si>
    <t>HAESEVELD</t>
  </si>
  <si>
    <t>HOFMANN</t>
  </si>
  <si>
    <t>HOMMEL_BIER</t>
  </si>
  <si>
    <t>HOUPPE</t>
  </si>
  <si>
    <t>ICHTEGEMS</t>
  </si>
  <si>
    <t>ILLEGAAL</t>
  </si>
  <si>
    <t>IMMORTELLE</t>
  </si>
  <si>
    <t>JANINE</t>
  </si>
  <si>
    <t>JEAN_BRASSE</t>
  </si>
  <si>
    <t>JESSENHOFKE</t>
  </si>
  <si>
    <t>JOLLY</t>
  </si>
  <si>
    <t>KAMEHAMEHA</t>
  </si>
  <si>
    <t>KAMIL</t>
  </si>
  <si>
    <t>KEEKEBISJ</t>
  </si>
  <si>
    <t>KLEVERETIEN</t>
  </si>
  <si>
    <t>LA_5310</t>
  </si>
  <si>
    <t>LEUTE</t>
  </si>
  <si>
    <t>LIENNE</t>
  </si>
  <si>
    <t>MESSINA</t>
  </si>
  <si>
    <t>MILLEVERTUS</t>
  </si>
  <si>
    <t>MOBIUS</t>
  </si>
  <si>
    <t>MYTHOS</t>
  </si>
  <si>
    <t>NONNEKE</t>
  </si>
  <si>
    <t>NOSTRADAMUS</t>
  </si>
  <si>
    <t>ORGANICUS</t>
  </si>
  <si>
    <t>OSCAR</t>
  </si>
  <si>
    <t>PAPESSE</t>
  </si>
  <si>
    <t>PEETERMAN</t>
  </si>
  <si>
    <t>POORTER</t>
  </si>
  <si>
    <t>RUBBENS</t>
  </si>
  <si>
    <t>SATAN</t>
  </si>
  <si>
    <t>SENYOR_VOLTOR</t>
  </si>
  <si>
    <t>SEZOENS</t>
  </si>
  <si>
    <t>SINGLE</t>
  </si>
  <si>
    <t>STIEN</t>
  </si>
  <si>
    <t>TEXELS</t>
  </si>
  <si>
    <t>TORPAH</t>
  </si>
  <si>
    <t>TOURNAY</t>
  </si>
  <si>
    <t>TROUBLETTE</t>
  </si>
  <si>
    <t>TUMULUS</t>
  </si>
  <si>
    <t>VICUS</t>
  </si>
  <si>
    <t>VLETEREN</t>
  </si>
  <si>
    <t>WALSBERGER</t>
  </si>
  <si>
    <t>WEIHENSTEPHANER</t>
  </si>
  <si>
    <t>XXX_BITTER</t>
  </si>
  <si>
    <t>XX_BITTER</t>
  </si>
  <si>
    <t>ZATTE_BIE</t>
  </si>
  <si>
    <t>ZEEZUIPER</t>
  </si>
  <si>
    <t>ZWARTE_MADAM</t>
  </si>
  <si>
    <t>BASS</t>
  </si>
  <si>
    <t>BICYCLETTE</t>
  </si>
  <si>
    <t>BMX</t>
  </si>
  <si>
    <t>BOBBI</t>
  </si>
  <si>
    <t>BON_SECOURS</t>
  </si>
  <si>
    <t>BROUWERIJ__T_IJ</t>
  </si>
  <si>
    <t>CAULIER</t>
  </si>
  <si>
    <t>DE_RANKE</t>
  </si>
  <si>
    <t>DELTA</t>
  </si>
  <si>
    <t>DILLEKE</t>
  </si>
  <si>
    <t>DYNAMITE</t>
  </si>
  <si>
    <t>EVOYE!</t>
  </si>
  <si>
    <t>FUGUSHIMA</t>
  </si>
  <si>
    <t>JOPEN</t>
  </si>
  <si>
    <t>KEES</t>
  </si>
  <si>
    <t>MARCUS</t>
  </si>
  <si>
    <t>MARTIN_S</t>
  </si>
  <si>
    <t>OMAHA</t>
  </si>
  <si>
    <t>TANDEM</t>
  </si>
  <si>
    <t>UNPLUGGED</t>
  </si>
  <si>
    <t>URINE</t>
  </si>
  <si>
    <t>BRASA</t>
  </si>
  <si>
    <t>CIUCAS</t>
  </si>
  <si>
    <t>CRISTAL_ALKEN</t>
  </si>
  <si>
    <t>ESTRELLA_GALICIA</t>
  </si>
  <si>
    <t>FIELD</t>
  </si>
  <si>
    <t>ICHNUSA</t>
  </si>
  <si>
    <t>KIRIN</t>
  </si>
  <si>
    <t>KRUGER</t>
  </si>
  <si>
    <t>MANNEKEN</t>
  </si>
  <si>
    <t>MARTENS</t>
  </si>
  <si>
    <t>PERLA</t>
  </si>
  <si>
    <t>PIEDBOEUF</t>
  </si>
  <si>
    <t>SUPER_PILS</t>
  </si>
  <si>
    <t>TWISTED_CAT</t>
  </si>
  <si>
    <t>TYSKIE</t>
  </si>
  <si>
    <t>ZYWIEC</t>
  </si>
  <si>
    <t>HERCULE</t>
  </si>
  <si>
    <t>LEROY</t>
  </si>
  <si>
    <t>OESTERSTOUT</t>
  </si>
  <si>
    <t>ALKEN</t>
  </si>
  <si>
    <t>BIOLEGERE</t>
  </si>
  <si>
    <t>PANEM</t>
  </si>
  <si>
    <t>BOELENS</t>
  </si>
  <si>
    <t>CANAILLE</t>
  </si>
  <si>
    <t>FRANZISKANER</t>
  </si>
  <si>
    <t>ORGANIC</t>
  </si>
  <si>
    <t>PAULANER</t>
  </si>
  <si>
    <t>AVARITIA</t>
  </si>
  <si>
    <t>CLAUSTHALER</t>
  </si>
  <si>
    <t>DELIRIO</t>
  </si>
  <si>
    <t>LOWLANDER</t>
  </si>
  <si>
    <t>NA_DORST</t>
  </si>
  <si>
    <t>SUPERMALT</t>
  </si>
  <si>
    <t>TROTTINETTE</t>
  </si>
  <si>
    <t>VANDESTREEK</t>
  </si>
  <si>
    <t>3_MONTS</t>
  </si>
  <si>
    <t>888_TRIPEL_EIGHT</t>
  </si>
  <si>
    <t>BEERSEL</t>
  </si>
  <si>
    <t>BERSALIS</t>
  </si>
  <si>
    <t>BIERE_DES_AMIS</t>
  </si>
  <si>
    <t>BIG_NOSE</t>
  </si>
  <si>
    <t>BLINDE_MOL</t>
  </si>
  <si>
    <t>BLONDEN_OS</t>
  </si>
  <si>
    <t>BRASVAR</t>
  </si>
  <si>
    <t>BRAVEN</t>
  </si>
  <si>
    <t>BRAVEN_APOSTEL</t>
  </si>
  <si>
    <t>BRICE</t>
  </si>
  <si>
    <t>BRIGAND</t>
  </si>
  <si>
    <t>BRONZEN_BARON</t>
  </si>
  <si>
    <t>BRUGSE_ZOT</t>
  </si>
  <si>
    <t>BUSH_BEER</t>
  </si>
  <si>
    <t>CESAR</t>
  </si>
  <si>
    <t>CHARLES_QUINT</t>
  </si>
  <si>
    <t>TRIPEL</t>
  </si>
  <si>
    <t>SAISON</t>
  </si>
  <si>
    <t>BLOND</t>
  </si>
  <si>
    <t>SAISON_D_ERPE_MERE</t>
  </si>
  <si>
    <t>DEMI_DE_MELEE</t>
  </si>
  <si>
    <t>DRUPPEL_HOP</t>
  </si>
  <si>
    <t>DULLE_TEVE</t>
  </si>
  <si>
    <t>EPECTASE</t>
  </si>
  <si>
    <t>GEORGES_IV</t>
  </si>
  <si>
    <t>GOUYASSE</t>
  </si>
  <si>
    <t>GROTEN_DEUST</t>
  </si>
  <si>
    <t>HARMONY</t>
  </si>
  <si>
    <t>HEEREN</t>
  </si>
  <si>
    <t>HELLEKETEL</t>
  </si>
  <si>
    <t>JOSBOK</t>
  </si>
  <si>
    <t>KARTUIS</t>
  </si>
  <si>
    <t>KEIZER_KAMIEL</t>
  </si>
  <si>
    <t>KEMPISCH_VUUR</t>
  </si>
  <si>
    <t>KLETS</t>
  </si>
  <si>
    <t>KLOOTZAKSKE</t>
  </si>
  <si>
    <t>KORUS</t>
  </si>
  <si>
    <t>KRISTOFFEL</t>
  </si>
  <si>
    <t>KWIBUS</t>
  </si>
  <si>
    <t>L_IMPERATRICE</t>
  </si>
  <si>
    <t>LA_CHATTE</t>
  </si>
  <si>
    <t>LA_CORNE_DU_BOIS_DES_PENDUS</t>
  </si>
  <si>
    <t>TRINITE</t>
  </si>
  <si>
    <t>IPA</t>
  </si>
  <si>
    <t>MAARKEDALSE</t>
  </si>
  <si>
    <t>MUR_DE_HUY</t>
  </si>
  <si>
    <t>NARCIST</t>
  </si>
  <si>
    <t>NEROES</t>
  </si>
  <si>
    <t>NE_KEMPING</t>
  </si>
  <si>
    <t>NOBILEM</t>
  </si>
  <si>
    <t>NOG_EENDJE</t>
  </si>
  <si>
    <t>OERBIER</t>
  </si>
  <si>
    <t>ONDINEKE</t>
  </si>
  <si>
    <t>ORBIT</t>
  </si>
  <si>
    <t>OSTER</t>
  </si>
  <si>
    <t>PAALSTEEN</t>
  </si>
  <si>
    <t>PERE_DAMIEN</t>
  </si>
  <si>
    <t>PICHOU</t>
  </si>
  <si>
    <t>PLUGSTREET</t>
  </si>
  <si>
    <t>QUEUE_DE_CHARRUE</t>
  </si>
  <si>
    <t>RADIO_MINERVA</t>
  </si>
  <si>
    <t>REBELSE_STROP</t>
  </si>
  <si>
    <t>REMI</t>
  </si>
  <si>
    <t>RENE</t>
  </si>
  <si>
    <t>RIEBEDEBIE</t>
  </si>
  <si>
    <t>SAINTE_NITOUCHE</t>
  </si>
  <si>
    <t>SAINT_GERY</t>
  </si>
  <si>
    <t>DE_GLAZEN_TOREN</t>
  </si>
  <si>
    <t>SAISON_REGAL</t>
  </si>
  <si>
    <t>SEQUOIA</t>
  </si>
  <si>
    <t>STRAFFE_HENDRIK</t>
  </si>
  <si>
    <t>SUPER_FRESCA</t>
  </si>
  <si>
    <t>SUPER_DES_FAGNES</t>
  </si>
  <si>
    <t>TIPSY</t>
  </si>
  <si>
    <t>TO_TOUILLE</t>
  </si>
  <si>
    <t>TRIPLE_TROUBLE</t>
  </si>
  <si>
    <t>VAN_BULCK</t>
  </si>
  <si>
    <t>VLAAMSCHE_LEEUW</t>
  </si>
  <si>
    <t>VLIEGEND_VARKEN</t>
  </si>
  <si>
    <t>VLIET</t>
  </si>
  <si>
    <t>YETI_BANG</t>
  </si>
  <si>
    <t>ZEEVONK</t>
  </si>
  <si>
    <t>ST_BERNARDUS</t>
  </si>
  <si>
    <t>ST_LOUIS</t>
  </si>
  <si>
    <t>BIRD_OF_PREY</t>
  </si>
  <si>
    <t>BLONDE_HERBERG</t>
  </si>
  <si>
    <t>3_FONTEINEN</t>
  </si>
  <si>
    <t>DOK_BREWING</t>
  </si>
  <si>
    <t>FORT_LAPIN</t>
  </si>
  <si>
    <t>GENTSE_GRUUT</t>
  </si>
  <si>
    <t>MARIAGE_PARFAIT</t>
  </si>
  <si>
    <t>GOUDEN_CAROLUS</t>
  </si>
  <si>
    <t>GROSSE_BERTHA</t>
  </si>
  <si>
    <t>GULDEN_DRAAK</t>
  </si>
  <si>
    <t>MORT_SUBITE</t>
  </si>
  <si>
    <t>OUD_BEERSEL</t>
  </si>
  <si>
    <t>PATER_LIEVEN</t>
  </si>
  <si>
    <t>SINT_GUMMARUS</t>
  </si>
  <si>
    <t>SUPER_8</t>
  </si>
  <si>
    <t>ABBAYE_D_AULNE</t>
  </si>
  <si>
    <t>BROEDER_JACOB</t>
  </si>
  <si>
    <t>DOUBLE_ENGHIEN</t>
  </si>
  <si>
    <t>MONT_DES_CATS</t>
  </si>
  <si>
    <t>ST_HUBERTUS</t>
  </si>
  <si>
    <t>TRE_FONTANE</t>
  </si>
  <si>
    <t>TYNT_MEADOW</t>
  </si>
  <si>
    <t>DE_KONINCK</t>
  </si>
  <si>
    <t>DIKKE_MATHILDE</t>
  </si>
  <si>
    <t>FEMME_FATALE</t>
  </si>
  <si>
    <t>LE_FORT</t>
  </si>
  <si>
    <t>SAINT_MONON</t>
  </si>
  <si>
    <t>BLANCHE_DE_LIEGE</t>
  </si>
  <si>
    <t>BORINER_VICE</t>
  </si>
  <si>
    <t>DE_OUDE_CAM</t>
  </si>
  <si>
    <t>DE_TROCH</t>
  </si>
  <si>
    <t>JUICY_&amp;_WILD</t>
  </si>
  <si>
    <t>LA_REDOUTABLE</t>
  </si>
  <si>
    <t>LA_MARQUISE</t>
  </si>
  <si>
    <t>PINK_KILLER</t>
  </si>
  <si>
    <t>THE_POM</t>
  </si>
  <si>
    <t>BELLA_CIAO</t>
  </si>
  <si>
    <t>BLANCHE_DE_SILLY</t>
  </si>
  <si>
    <t>BRASSERIE_MINNE</t>
  </si>
  <si>
    <t>CHEVAL_GODET</t>
  </si>
  <si>
    <t>CUVEE_DES_JACOBINS</t>
  </si>
  <si>
    <t>DAME_JEANNE</t>
  </si>
  <si>
    <t>DE_BRABANDERE</t>
  </si>
  <si>
    <t>DE_DOLLE</t>
  </si>
  <si>
    <t>ENTRE_NOUS</t>
  </si>
  <si>
    <t>ESTRELLA_DAMM</t>
  </si>
  <si>
    <t>HERTOG_JAN</t>
  </si>
  <si>
    <t>LA_CHEVETOGNE</t>
  </si>
  <si>
    <t>LA_VERMONTOISE</t>
  </si>
  <si>
    <t>LA_VIEILLE</t>
  </si>
  <si>
    <t>LANGHARIG_TUIG</t>
  </si>
  <si>
    <t>LA_TENDUE</t>
  </si>
  <si>
    <t>MONTE_CRISTO</t>
  </si>
  <si>
    <t>OUD_BRUIN</t>
  </si>
  <si>
    <t>PIER_KLOEFFE</t>
  </si>
  <si>
    <t>BELLE_FLEUR</t>
  </si>
  <si>
    <t>FUNKY_FALCON</t>
  </si>
  <si>
    <t>FUUT_FIEUW</t>
  </si>
  <si>
    <t>GREEN_BULLET</t>
  </si>
  <si>
    <t>KISS_MY_NEIGHBOURS_WIFE</t>
  </si>
  <si>
    <t>LA_GOUDALE</t>
  </si>
  <si>
    <t>SUPER_KROON</t>
  </si>
  <si>
    <t>PILSNER_URQUELL</t>
  </si>
  <si>
    <t>SCOTCH_C.T.S.</t>
  </si>
  <si>
    <t>NOIR_DE_DOTTIGNIES</t>
  </si>
  <si>
    <t>BRUGS_TARWEBIER</t>
  </si>
  <si>
    <t>JAN_DE_LICHTE</t>
  </si>
  <si>
    <t>LA_DEFERLANTE</t>
  </si>
  <si>
    <t>WHITE_MAMBA</t>
  </si>
  <si>
    <t>BRETT_ELLE</t>
  </si>
  <si>
    <t>KASTEELBIER</t>
  </si>
  <si>
    <t>BONS_VOEUX</t>
  </si>
  <si>
    <t>BUFFALO_BITTER</t>
  </si>
  <si>
    <t>COAST</t>
  </si>
  <si>
    <t>ZENNE</t>
  </si>
  <si>
    <t>B_JOY</t>
  </si>
  <si>
    <t>CIRCUS</t>
  </si>
  <si>
    <t>DOMINICAINS</t>
  </si>
  <si>
    <t>DUNEKEUN</t>
  </si>
  <si>
    <t>EGOTRIPEL</t>
  </si>
  <si>
    <t>ENFANT_TERRIPLE</t>
  </si>
  <si>
    <t>ENGHIEN</t>
  </si>
  <si>
    <t>JULIUS</t>
  </si>
  <si>
    <t>LAMME_GOEDZAK</t>
  </si>
  <si>
    <t>LAMORAL</t>
  </si>
  <si>
    <t>LIEGEOISE</t>
  </si>
  <si>
    <t>LOTERBOL</t>
  </si>
  <si>
    <t>SAISON_DE_DOTTIGNIES</t>
  </si>
  <si>
    <t>SURFINE</t>
  </si>
  <si>
    <t>BRAND_WILDCARD</t>
  </si>
  <si>
    <t>BOCKOR;BOCKER</t>
  </si>
  <si>
    <t>STOOT;STOAT</t>
  </si>
  <si>
    <t>DUCHESSE</t>
  </si>
  <si>
    <t>1784</t>
  </si>
  <si>
    <t>ENERGIBAJER;ENERGIIBAJER;ENERGIEBAJER;ENERGIJABAJER;ENERGIJABJER;ENERGJEBAR;ENERGIBAGER;ENERGIJABIER;ENERGIBAYER;ENERGIJBIER;MIKKELER;MIKLER;MIKKLER</t>
  </si>
  <si>
    <t>FANTA</t>
  </si>
  <si>
    <t>GRUUT;GRUT</t>
  </si>
  <si>
    <t>FUZETEA</t>
  </si>
  <si>
    <t>GINET;GINETTE</t>
  </si>
  <si>
    <t>HAPKIN;HOPKIN</t>
  </si>
  <si>
    <t>DRAAK</t>
  </si>
  <si>
    <t>MYSTIC;MYSTIEK</t>
  </si>
  <si>
    <t>GUILLOTINE</t>
  </si>
  <si>
    <t>LOOZA</t>
  </si>
  <si>
    <t>MONSTER</t>
  </si>
  <si>
    <t>OVERSTE</t>
  </si>
  <si>
    <t>OMMEGANG;OMEGANG;OMGANG;OMMAGENG;OMMENGANG;ONMEGANG</t>
  </si>
  <si>
    <t>LIEVEN</t>
  </si>
  <si>
    <t>RAMON;RANON</t>
  </si>
  <si>
    <t>RITCHIE</t>
  </si>
  <si>
    <t>GUMMARUS;GUMARUS</t>
  </si>
  <si>
    <t>STEENUIL;STEENUILKE;STEENUILKEN</t>
  </si>
  <si>
    <t>NOAH</t>
  </si>
  <si>
    <t>FLANDRIEN</t>
  </si>
  <si>
    <t>KANUNNIK;KANUNIK;KANNUNIK</t>
  </si>
  <si>
    <t>VAL</t>
  </si>
  <si>
    <t>UNWANTED</t>
  </si>
  <si>
    <t>YUGEN</t>
  </si>
  <si>
    <t>TAO</t>
  </si>
  <si>
    <t>BIONINA</t>
  </si>
  <si>
    <t>BRU</t>
  </si>
  <si>
    <t>LIPTON</t>
  </si>
  <si>
    <t>BRUGSE_ZOT;BRUGGE_ZOT;BRUGSEZOT;BRUGSZOT;BRUGS_ZOT</t>
  </si>
  <si>
    <t>RANKE;XX_BITTER;XX_BITTER</t>
  </si>
  <si>
    <t>EXPORT_1784</t>
  </si>
  <si>
    <t>GENTSE_TRIPEL;GENTSE_TRIPLE</t>
  </si>
  <si>
    <t>GOOSE_IPA;GOOSE_ISLAND_IPA;GOOSE_ISLAND</t>
  </si>
  <si>
    <t>KINGFISHER;KING_FISHER</t>
  </si>
  <si>
    <t>LELIJKEN_DAS;LELIJKE_DAS</t>
  </si>
  <si>
    <t>SAN_MIGUEL;SAN_MIQUEL</t>
  </si>
  <si>
    <t>STAR_LIGHT;STARLIGHT;STAR_BLOND;STAR_0;STAR_ALCOLHOLFREE;STAR_ALCOHOL_FREE;STAR_ALCOHOLFREE</t>
  </si>
  <si>
    <t>TANK_7;TANK7</t>
  </si>
  <si>
    <t>TONISSTEINER</t>
  </si>
  <si>
    <t>VANDERGHINSTE;VANDERGHINSTE;VAN_DER_GINSTE;VANDER_GHINSTE;VANDER_GINSTE;VANDERGINST</t>
  </si>
  <si>
    <t>WAAR_IS_LOCA;WHERE_IS_LOCA</t>
  </si>
  <si>
    <t>WESTVLETERE;WEST_VLETERE;WESTVLETEREN;WEST_VLETEREN</t>
  </si>
  <si>
    <t>YUGEN_KOMBUCHA</t>
  </si>
  <si>
    <t>ZINNEBIR;ZINNEBIER;ZINNE_BIR;ZINNEBEER</t>
  </si>
  <si>
    <t>VARIANT</t>
  </si>
  <si>
    <t>VARIANT_WILDCARD</t>
  </si>
  <si>
    <t>RADLER</t>
  </si>
  <si>
    <t>GEUZE;GEUS;GUEU;LAMBIC;GUEUZE;GEUSE;GUEUSE;GEUZE;GUEUZ;GEUS;GUEUS;GEUZIC</t>
  </si>
  <si>
    <t>WINTER;WINTERBOCK</t>
  </si>
  <si>
    <t>NEIPA</t>
  </si>
  <si>
    <t>CHERRY</t>
  </si>
  <si>
    <t>LITE</t>
  </si>
  <si>
    <t>PATER</t>
  </si>
  <si>
    <t>CASSIS</t>
  </si>
  <si>
    <t>EXOTIC</t>
  </si>
  <si>
    <t>AMBER</t>
  </si>
  <si>
    <t>BREWMASTER</t>
  </si>
  <si>
    <t>CLASSIC</t>
  </si>
  <si>
    <t>VESPER</t>
  </si>
  <si>
    <t>SUMMER</t>
  </si>
  <si>
    <t>HIBERNATUS</t>
  </si>
  <si>
    <t>10</t>
  </si>
  <si>
    <t>12</t>
  </si>
  <si>
    <t>6</t>
  </si>
  <si>
    <t>BANANA</t>
  </si>
  <si>
    <t>MANGO</t>
  </si>
  <si>
    <t>8</t>
  </si>
  <si>
    <t>BLACK</t>
  </si>
  <si>
    <t>APPLE</t>
  </si>
  <si>
    <t>BRUT</t>
  </si>
  <si>
    <t>EXPORT</t>
  </si>
  <si>
    <t>LUX</t>
  </si>
  <si>
    <t>PRIOR</t>
  </si>
  <si>
    <t>TROPICAL</t>
  </si>
  <si>
    <t>IMPERIAL</t>
  </si>
  <si>
    <t>7</t>
  </si>
  <si>
    <t>DUBBEL</t>
  </si>
  <si>
    <t>SOUR</t>
  </si>
  <si>
    <t>GRAND_CRU</t>
  </si>
  <si>
    <t>RED</t>
  </si>
  <si>
    <t>WHITE</t>
  </si>
  <si>
    <t>PILSNER</t>
  </si>
  <si>
    <t>BOCK</t>
  </si>
  <si>
    <t>BOK;BOCK</t>
  </si>
  <si>
    <t>GUEUZE</t>
  </si>
  <si>
    <t>GOLD</t>
  </si>
  <si>
    <t>BLUE</t>
  </si>
  <si>
    <t>GR_RESERVE</t>
  </si>
  <si>
    <t>MC</t>
  </si>
  <si>
    <t>ANGUS</t>
  </si>
  <si>
    <t>HOP</t>
  </si>
  <si>
    <t>SMOKED</t>
  </si>
  <si>
    <t>XMAS</t>
  </si>
  <si>
    <t>PATER_DUBBEL</t>
  </si>
  <si>
    <t>NOCTURNUM</t>
  </si>
  <si>
    <t>EXTRA</t>
  </si>
  <si>
    <t>RUBY</t>
  </si>
  <si>
    <t>CARACTERE</t>
  </si>
  <si>
    <t>WINTERBOCK</t>
  </si>
  <si>
    <t>LENTEBOCK</t>
  </si>
  <si>
    <t>DUBBELBOCK</t>
  </si>
  <si>
    <t>OAKED</t>
  </si>
  <si>
    <t>RASPBERRY</t>
  </si>
  <si>
    <t>GREEN</t>
  </si>
  <si>
    <t>SILVER</t>
  </si>
  <si>
    <t>ZERO</t>
  </si>
  <si>
    <t>GLUTEN_FREE</t>
  </si>
  <si>
    <t>FRUITAGE</t>
  </si>
  <si>
    <t>VINTAGE</t>
  </si>
  <si>
    <t>SUB_VARIANT</t>
  </si>
  <si>
    <t>PRIORITY</t>
  </si>
  <si>
    <t>SUB_VARIANT_WILDCARD</t>
  </si>
  <si>
    <t>MOINE_DE_BXL</t>
  </si>
  <si>
    <t>WHITE_FLOWER</t>
  </si>
  <si>
    <t>CURTIS</t>
  </si>
  <si>
    <t>KRIEK_EXTRA</t>
  </si>
  <si>
    <t>PIED_BOEUF</t>
  </si>
  <si>
    <t>LOTJEN</t>
  </si>
  <si>
    <t>CUVEE_CHATEAU</t>
  </si>
  <si>
    <t>WOLF_7</t>
  </si>
  <si>
    <t>JOSKE</t>
  </si>
  <si>
    <t>CONTJE</t>
  </si>
  <si>
    <t>KNOTS</t>
  </si>
  <si>
    <t>HELLES</t>
  </si>
  <si>
    <t>FOLKOL</t>
  </si>
  <si>
    <t>BEER</t>
  </si>
  <si>
    <t>SOFT_DRINKS</t>
  </si>
  <si>
    <t>WINE</t>
  </si>
  <si>
    <t>HOT_DRINKS</t>
  </si>
  <si>
    <t>COCKTAILS</t>
  </si>
  <si>
    <t>STRONG_DRINKS</t>
  </si>
  <si>
    <t>STRONG;STERK;SPIRITS;SPIRIT;WHISKEY;RUM;VODKA;WODKA;GIN;COGNAC;LIQUOR;LIQUORS;LIKEUR;LIKEUREN;LIQUEUR;SHOT;SHOTS;ALCOOLS;ALCOHOL;STERKE;DIGESTIEF;DIGESTIEVEN;DIGESTIF;DIGESTIFS</t>
  </si>
  <si>
    <t>APERITIF</t>
  </si>
  <si>
    <t>CAFES;CAFE;Café;COFFEE;KOFFIE;THEE;TEA;TEAS;INFUSIONS;THE;BOISSONS_CHAUDES;WARME_DRANKEN</t>
  </si>
  <si>
    <t>CATEGORY</t>
  </si>
  <si>
    <t>CATEGORY_WILDCARD</t>
  </si>
  <si>
    <t>BALAST</t>
  </si>
  <si>
    <t>WITLOOF</t>
  </si>
  <si>
    <t>RUWET</t>
  </si>
  <si>
    <t>GARDIAAN</t>
  </si>
  <si>
    <t>NETHE</t>
  </si>
  <si>
    <t>HALVE_GARE</t>
  </si>
  <si>
    <t>MISBAKSEL</t>
  </si>
  <si>
    <t>FIVE</t>
  </si>
  <si>
    <t>QUADRUPEL</t>
  </si>
  <si>
    <t>ROUGE</t>
  </si>
  <si>
    <t>BROWN</t>
  </si>
  <si>
    <t>BLAUW</t>
  </si>
  <si>
    <t>GRAND_HOPS</t>
  </si>
  <si>
    <t>BRUT_BEER</t>
  </si>
  <si>
    <t>TRIPEL_BLOND</t>
  </si>
  <si>
    <t>BOCKBIER</t>
  </si>
  <si>
    <t>PUUR</t>
  </si>
  <si>
    <t>ROYALE</t>
  </si>
  <si>
    <t>ALTUS</t>
  </si>
  <si>
    <t>ABT_12</t>
  </si>
  <si>
    <t>ROUSSE</t>
  </si>
  <si>
    <t>TRIPEL_AMBER</t>
  </si>
  <si>
    <t>AMBRIO</t>
  </si>
  <si>
    <t>BARREL_AGED</t>
  </si>
  <si>
    <t>DOBBEL</t>
  </si>
  <si>
    <t>SPECIALE</t>
  </si>
  <si>
    <t>HOPTIMALE</t>
  </si>
  <si>
    <t>MAGMA</t>
  </si>
  <si>
    <t>DUCASSIS</t>
  </si>
  <si>
    <t>OUDE_GUEUZE</t>
  </si>
  <si>
    <t>OUDE_KRIEK</t>
  </si>
  <si>
    <t>OUDE_GEUZE</t>
  </si>
  <si>
    <t>BOSCOLI</t>
  </si>
  <si>
    <t>CLEMENTINE</t>
  </si>
  <si>
    <t>GEUZE</t>
  </si>
  <si>
    <t>PINK</t>
  </si>
  <si>
    <t>VIOLETTE</t>
  </si>
  <si>
    <t>FARO</t>
  </si>
  <si>
    <t>ROODBRUIN</t>
  </si>
  <si>
    <t>PECHE_MEL</t>
  </si>
  <si>
    <t>CUVEE</t>
  </si>
  <si>
    <t>FARO_LAMBIC</t>
  </si>
  <si>
    <t>GUEUZE_LAMBIC</t>
  </si>
  <si>
    <t>PECHE</t>
  </si>
  <si>
    <t>LIME</t>
  </si>
  <si>
    <t>BLOOD_ORANGE</t>
  </si>
  <si>
    <t>CHOCOLAT</t>
  </si>
  <si>
    <t>HONEY</t>
  </si>
  <si>
    <t>PASSION</t>
  </si>
  <si>
    <t>PEACH</t>
  </si>
  <si>
    <t>WATERMELON</t>
  </si>
  <si>
    <t>CITRUS</t>
  </si>
  <si>
    <t>BOS</t>
  </si>
  <si>
    <t>FOREST</t>
  </si>
  <si>
    <t>QUARTZ</t>
  </si>
  <si>
    <t>FRUITESSE</t>
  </si>
  <si>
    <t>TAROT_D_OR</t>
  </si>
  <si>
    <t>FRUCTUS</t>
  </si>
  <si>
    <t>KRIEK_LAMBIC</t>
  </si>
  <si>
    <t>RHUBARB</t>
  </si>
  <si>
    <t>SAKURA_LAMBIC</t>
  </si>
  <si>
    <t>UME_LAMBIC</t>
  </si>
  <si>
    <t>YUZU_LAMBIC</t>
  </si>
  <si>
    <t>COINTESSENCE</t>
  </si>
  <si>
    <t>JUNGLE</t>
  </si>
  <si>
    <t>ROSE</t>
  </si>
  <si>
    <t>GINGER</t>
  </si>
  <si>
    <t>ORIGINAL</t>
  </si>
  <si>
    <t>LAGER</t>
  </si>
  <si>
    <t>BAOBAB</t>
  </si>
  <si>
    <t>BATTELAAR</t>
  </si>
  <si>
    <t>DARK</t>
  </si>
  <si>
    <t>PRESTIGE</t>
  </si>
  <si>
    <t>GIVREE</t>
  </si>
  <si>
    <t>PORTAL</t>
  </si>
  <si>
    <t>STAFFSTUFF</t>
  </si>
  <si>
    <t>FESTIVE</t>
  </si>
  <si>
    <t>GAMBRINUS</t>
  </si>
  <si>
    <t>SUPERIOR</t>
  </si>
  <si>
    <t>PORTER</t>
  </si>
  <si>
    <t>STILLE_NACHT</t>
  </si>
  <si>
    <t>STOUT</t>
  </si>
  <si>
    <t>LA_CASQUETTE</t>
  </si>
  <si>
    <t>RED_BUTTON</t>
  </si>
  <si>
    <t>TANTEKE_MONT_DE_PIETE</t>
  </si>
  <si>
    <t>YODELEIR</t>
  </si>
  <si>
    <t>9</t>
  </si>
  <si>
    <t>TRADITION</t>
  </si>
  <si>
    <t>WHISKY_INFUSED</t>
  </si>
  <si>
    <t>CALVADOS</t>
  </si>
  <si>
    <t>GRAND_PRESTIGE</t>
  </si>
  <si>
    <t>WITGOUD</t>
  </si>
  <si>
    <t>ONDERGRONDS</t>
  </si>
  <si>
    <t>CUVEE_MEILLEURS_VOEUX</t>
  </si>
  <si>
    <t>HOUBLON_SAUVAGE</t>
  </si>
  <si>
    <t>SAINT_VINCENT</t>
  </si>
  <si>
    <t>HOPERA</t>
  </si>
  <si>
    <t>GENERAAL</t>
  </si>
  <si>
    <t>STRONG</t>
  </si>
  <si>
    <t>STRONG_DARK</t>
  </si>
  <si>
    <t>CUVEE_CLARISSE</t>
  </si>
  <si>
    <t>PALE_ALE</t>
  </si>
  <si>
    <t>AVALANCHE</t>
  </si>
  <si>
    <t>BRAVA_2022</t>
  </si>
  <si>
    <t>PAM!</t>
  </si>
  <si>
    <t>PECAN_QUEEN</t>
  </si>
  <si>
    <t>AMER_AMER</t>
  </si>
  <si>
    <t>TRIPEL_HOP</t>
  </si>
  <si>
    <t>NEW_ENGLAND_IPA</t>
  </si>
  <si>
    <t>CITRA</t>
  </si>
  <si>
    <t>HIBISCUS</t>
  </si>
  <si>
    <t>IMPERIAL_IPA</t>
  </si>
  <si>
    <t>MASTER_IPA</t>
  </si>
  <si>
    <t>EXTREME</t>
  </si>
  <si>
    <t>SCOTCH</t>
  </si>
  <si>
    <t>WINTER_GOUD</t>
  </si>
  <si>
    <t>ONYX</t>
  </si>
  <si>
    <t>OBSCURA</t>
  </si>
  <si>
    <t>WITBIER</t>
  </si>
  <si>
    <t>FREE_IPA</t>
  </si>
  <si>
    <t>PANACHE</t>
  </si>
  <si>
    <t>NILLIS</t>
  </si>
  <si>
    <t>PLACEBO</t>
  </si>
  <si>
    <t>SUNNY_MOON</t>
  </si>
  <si>
    <t>ZESTRA</t>
  </si>
  <si>
    <t>NANO</t>
  </si>
  <si>
    <t>NADA_IPA</t>
  </si>
  <si>
    <t>ALEXANDER</t>
  </si>
  <si>
    <t>LA_TRIPLE</t>
  </si>
  <si>
    <t>STRONG_BLOND</t>
  </si>
  <si>
    <t>GLUTENVRIJ_BIER</t>
  </si>
  <si>
    <t>DELIRIA</t>
  </si>
  <si>
    <t>TREMENS</t>
  </si>
  <si>
    <t>CUVEE_JEUN_HOMME</t>
  </si>
  <si>
    <t>CURIEUSE_NEUS</t>
  </si>
  <si>
    <t>VOGELPIK</t>
  </si>
  <si>
    <t>SIMPEL_DUIF</t>
  </si>
  <si>
    <t>HOPSINJOOR</t>
  </si>
  <si>
    <t>KAISHAKU</t>
  </si>
  <si>
    <t>LIEDERICQ</t>
  </si>
  <si>
    <t>BOVENGRONDS</t>
  </si>
  <si>
    <t>L_OR_NOIR</t>
  </si>
  <si>
    <t>PRION_DES_FLEURS</t>
  </si>
  <si>
    <t>PETITE</t>
  </si>
  <si>
    <t>GOLDEN_BLOND</t>
  </si>
  <si>
    <t>TRIPLE_BIO</t>
  </si>
  <si>
    <t>EPEAUTRE</t>
  </si>
  <si>
    <t>ESTIVALE</t>
  </si>
  <si>
    <t>IMPERIALE_21</t>
  </si>
  <si>
    <t>LA_GRANDE_10</t>
  </si>
  <si>
    <t>MOOSE</t>
  </si>
  <si>
    <t>PEARL</t>
  </si>
  <si>
    <t>DARK_BRUT</t>
  </si>
  <si>
    <t>INFINITUM</t>
  </si>
  <si>
    <t>CELESTE</t>
  </si>
  <si>
    <t>PLOEGSTEERT</t>
  </si>
  <si>
    <t>WILD</t>
  </si>
  <si>
    <t>4</t>
  </si>
  <si>
    <t>5</t>
  </si>
  <si>
    <t>AURA</t>
  </si>
  <si>
    <t>RITUEL</t>
  </si>
  <si>
    <t>BELGIAN</t>
  </si>
  <si>
    <t>STRAWBERRY</t>
  </si>
  <si>
    <t>ORANGE</t>
  </si>
  <si>
    <t>WEIZEN</t>
  </si>
  <si>
    <t>BOURBON</t>
  </si>
  <si>
    <t>PALE</t>
  </si>
  <si>
    <t>BRETT</t>
  </si>
  <si>
    <t>KOLSCH</t>
  </si>
  <si>
    <t>MAGNUM</t>
  </si>
  <si>
    <t>KEY</t>
  </si>
  <si>
    <t>TAG_WILDCARDS</t>
  </si>
  <si>
    <t>IN'FUSED</t>
  </si>
  <si>
    <t>COL'_HOPCATION</t>
  </si>
  <si>
    <t>KEY_TAG</t>
  </si>
  <si>
    <t>ST_FEUILLIEN</t>
  </si>
  <si>
    <t>ST_IDESBALD</t>
  </si>
  <si>
    <t>TERREST</t>
  </si>
  <si>
    <t>KLOSCH</t>
  </si>
  <si>
    <t>BASKWADDER</t>
  </si>
  <si>
    <t>BLITZ</t>
  </si>
  <si>
    <t>BOERINNEKEN</t>
  </si>
  <si>
    <t>ARMAND_&amp;_GASTON</t>
  </si>
  <si>
    <t>L_AMBREE</t>
  </si>
  <si>
    <t>L_TRIPLE</t>
  </si>
  <si>
    <t>LINDEMANS | FARO_LAMBIC</t>
  </si>
  <si>
    <t>KOMPEL | PRION_DES_FLEURS</t>
  </si>
  <si>
    <t>WEISSBIER</t>
  </si>
  <si>
    <t>CHEVALIER_DES_TEMPLIERS</t>
  </si>
  <si>
    <t>BARO</t>
  </si>
  <si>
    <t>GREY_GOOSE</t>
  </si>
  <si>
    <t>BOSKEUN</t>
  </si>
  <si>
    <t>BOSWANDELING</t>
  </si>
  <si>
    <t>BOURGOGNE_DES_FLANDRES</t>
  </si>
  <si>
    <t>CHARLES_LAMBERTS</t>
  </si>
  <si>
    <t>COPPERHEAD</t>
  </si>
  <si>
    <t>CUVEE_DE_CHATEAU</t>
  </si>
  <si>
    <t>DANGEROUSSE</t>
  </si>
  <si>
    <t>DEN_BRAS</t>
  </si>
  <si>
    <t>DEN_TSEUT</t>
  </si>
  <si>
    <t>DE_CAM</t>
  </si>
  <si>
    <t>DIKKE_LUL</t>
  </si>
  <si>
    <t>DIRTY_TALK</t>
  </si>
  <si>
    <t>ELIXIR_D_ANVERS</t>
  </si>
  <si>
    <t>FANTUME</t>
  </si>
  <si>
    <t>FILIP_DE_STOUT</t>
  </si>
  <si>
    <t>FOL_DOREE</t>
  </si>
  <si>
    <t>G.O.D.</t>
  </si>
  <si>
    <t>GEVAARLEUKE</t>
  </si>
  <si>
    <t>GIN_MARE</t>
  </si>
  <si>
    <t>GIRARDIN</t>
  </si>
  <si>
    <t>GOLDBERG</t>
  </si>
  <si>
    <t>GREEN_KILLER</t>
  </si>
  <si>
    <t>HADES</t>
  </si>
  <si>
    <t>HOOGHEID</t>
  </si>
  <si>
    <t>HOPPESNOET</t>
  </si>
  <si>
    <t>HOUTEN_KOP</t>
  </si>
  <si>
    <t>IWEIN_VAN_AALST</t>
  </si>
  <si>
    <t>KEIKOP</t>
  </si>
  <si>
    <t>KINKY_MEESTERESKE</t>
  </si>
  <si>
    <t>KIRR</t>
  </si>
  <si>
    <t>KOBBELKE</t>
  </si>
  <si>
    <t>KRIEK_BELL_VUE</t>
  </si>
  <si>
    <t>LEIJKEN_DAS</t>
  </si>
  <si>
    <t>LIMBURGSE_SCHONE</t>
  </si>
  <si>
    <t>MAEGHT_VAN_GOTTEM</t>
  </si>
  <si>
    <t>MALIBU</t>
  </si>
  <si>
    <t>CHAMPAGNE</t>
  </si>
  <si>
    <t>COMET</t>
  </si>
  <si>
    <t>CRYSTAL</t>
  </si>
  <si>
    <t>DE_GRAAL</t>
  </si>
  <si>
    <t>CLUYSENAER</t>
  </si>
  <si>
    <t>FLUITJE</t>
  </si>
  <si>
    <t>FOX_REYNAERT</t>
  </si>
  <si>
    <t>GIJZELAARSKE</t>
  </si>
  <si>
    <t>HENDRIK_GEERAERT</t>
  </si>
  <si>
    <t>HERCK</t>
  </si>
  <si>
    <t>HOPRUITER</t>
  </si>
  <si>
    <t>JUICY_PASSION</t>
  </si>
  <si>
    <t>KASTEL</t>
  </si>
  <si>
    <t>KLOKKE</t>
  </si>
  <si>
    <t>KOOLPUTTER</t>
  </si>
  <si>
    <t>LANGE_NEK</t>
  </si>
  <si>
    <t>LAPHROAIG</t>
  </si>
  <si>
    <t>LEOPOLD</t>
  </si>
  <si>
    <t>LICHTE_LORE</t>
  </si>
  <si>
    <t>MEESTER</t>
  </si>
  <si>
    <t>POILUCHETTE</t>
  </si>
  <si>
    <t>BERLINER</t>
  </si>
  <si>
    <t>EX_DE_TON</t>
  </si>
  <si>
    <t>GROS_PONEY</t>
  </si>
  <si>
    <t>SAISON_GEN</t>
  </si>
  <si>
    <t>SCHWARZBIER</t>
  </si>
  <si>
    <t>LAVENDER</t>
  </si>
  <si>
    <t>QUADRUPEL_GEN</t>
  </si>
  <si>
    <t>STOUT_GEN</t>
  </si>
  <si>
    <t>PALE_ALE_GEN</t>
  </si>
  <si>
    <t>VALS_PATERKE</t>
  </si>
  <si>
    <t>LIMBURGSE_WITTE</t>
  </si>
  <si>
    <t>BARKENTIJN</t>
  </si>
  <si>
    <t>BAR_BO</t>
  </si>
  <si>
    <t>BELGIAN_STARS_&amp;_STRIPES</t>
  </si>
  <si>
    <t>BIDON</t>
  </si>
  <si>
    <t>BLACK_ALBERT</t>
  </si>
  <si>
    <t>BLONDINE</t>
  </si>
  <si>
    <t>BOETELING</t>
  </si>
  <si>
    <t>BOLLETJE</t>
  </si>
  <si>
    <t>BUITENBEEN</t>
  </si>
  <si>
    <t>C.T.S</t>
  </si>
  <si>
    <t>CIAOCELLO</t>
  </si>
  <si>
    <t>CISTER</t>
  </si>
  <si>
    <t>COLOMBO</t>
  </si>
  <si>
    <t>DRAGORA</t>
  </si>
  <si>
    <t>FRAMBOISE_TIMMER</t>
  </si>
  <si>
    <t>HOPSCHEPPER</t>
  </si>
  <si>
    <t>KEYTJE</t>
  </si>
  <si>
    <t>KIVLA</t>
  </si>
  <si>
    <t>KLOEKE_DIVA</t>
  </si>
  <si>
    <t>MOEMOE</t>
  </si>
  <si>
    <t>MORIAU</t>
  </si>
  <si>
    <t>MUSKEBIERKE</t>
  </si>
  <si>
    <t>NATTE_LORE</t>
  </si>
  <si>
    <t>NONKEL_HOP</t>
  </si>
  <si>
    <t>NON_PEUT_ETRE</t>
  </si>
  <si>
    <t>N_ROSTEN</t>
  </si>
  <si>
    <t>OYENKERKE</t>
  </si>
  <si>
    <t>PANNEPOT</t>
  </si>
  <si>
    <t>PICON_BIERE</t>
  </si>
  <si>
    <t>PLEASURE_RED</t>
  </si>
  <si>
    <t>RICK_S_BIER</t>
  </si>
  <si>
    <t>SAINT_MARTIN_BLONDE</t>
  </si>
  <si>
    <t>SAMHAIN_33CL.</t>
  </si>
  <si>
    <t>SANCTUS_DOMINICUS_PRIOR</t>
  </si>
  <si>
    <t>SCHUPPENBOER</t>
  </si>
  <si>
    <t>SILENT_KILLER</t>
  </si>
  <si>
    <t>SNEEUWWITJE</t>
  </si>
  <si>
    <t>TULIPE</t>
  </si>
  <si>
    <t>VLOTTE_GRIET</t>
  </si>
  <si>
    <t>BLANCHE_DE_LIEGE_ROSE</t>
  </si>
  <si>
    <t>BLOEMENKEL</t>
  </si>
  <si>
    <t>FOU_DE_MER</t>
  </si>
  <si>
    <t>FOU_MER;FOU_DE_MER</t>
  </si>
  <si>
    <t>HEROES_AMAZING_BLOND</t>
  </si>
  <si>
    <t>KAAIMAN</t>
  </si>
  <si>
    <t>OPKIKKER</t>
  </si>
  <si>
    <t>SAMHAIN</t>
  </si>
  <si>
    <t>SINGILLIS</t>
  </si>
  <si>
    <t>THE_MONK</t>
  </si>
  <si>
    <t>ALTITUDE</t>
  </si>
  <si>
    <t>AMANTE_BEER</t>
  </si>
  <si>
    <t>ANTIGOON</t>
  </si>
  <si>
    <t>ARTIESTJE</t>
  </si>
  <si>
    <t>BABBELBIER</t>
  </si>
  <si>
    <t>BAMBER</t>
  </si>
  <si>
    <t>BIERE_THAOLANDAISE_SHINGA</t>
  </si>
  <si>
    <t>BOEKTBIER</t>
  </si>
  <si>
    <t>BOLDER</t>
  </si>
  <si>
    <t>BON_VOEUX</t>
  </si>
  <si>
    <t>BURGER</t>
  </si>
  <si>
    <t>CELTIC_DRY_CIDRE</t>
  </si>
  <si>
    <t>CHANG</t>
  </si>
  <si>
    <t>COCCINELLE</t>
  </si>
  <si>
    <t>COMPT</t>
  </si>
  <si>
    <t>CONINCK</t>
  </si>
  <si>
    <t>CUVEE_VANDERKELDER</t>
  </si>
  <si>
    <t>DEUGDEN</t>
  </si>
  <si>
    <t>DRIE_FONTEINEN</t>
  </si>
  <si>
    <t>DROOG_WEUSJE</t>
  </si>
  <si>
    <t>ERTEGEMSE_TREKKER</t>
  </si>
  <si>
    <t>GERMAIN</t>
  </si>
  <si>
    <t>GLORIAAN</t>
  </si>
  <si>
    <t>GRAND_CERF</t>
  </si>
  <si>
    <t>GRAND_CRU_MONK</t>
  </si>
  <si>
    <t>GRASHOPPER</t>
  </si>
  <si>
    <t>HOOGARDEN_ROSEE</t>
  </si>
  <si>
    <t>JOZEFKE</t>
  </si>
  <si>
    <t>KERSTPATER</t>
  </si>
  <si>
    <t>KIEKEBISJ_BIO</t>
  </si>
  <si>
    <t>KILKENNY</t>
  </si>
  <si>
    <t>KILKENNY_GLASS</t>
  </si>
  <si>
    <t>KLEPKEN</t>
  </si>
  <si>
    <t>KLEVERENTIEN</t>
  </si>
  <si>
    <t>LEIKEJARDS</t>
  </si>
  <si>
    <t>LEO</t>
  </si>
  <si>
    <t>MANCHEGO</t>
  </si>
  <si>
    <t>MONKS_GRAND_CRU</t>
  </si>
  <si>
    <t>MORIS</t>
  </si>
  <si>
    <t>MOTOR_OIL</t>
  </si>
  <si>
    <t>NEGENDEN</t>
  </si>
  <si>
    <t>NEMS</t>
  </si>
  <si>
    <t>NEPAL_ICE</t>
  </si>
  <si>
    <t>NE_NUVE</t>
  </si>
  <si>
    <t>NINOFF</t>
  </si>
  <si>
    <t>NOCTIS_BROWN</t>
  </si>
  <si>
    <t>NOVUS_PORTUS</t>
  </si>
  <si>
    <t>ORVELO</t>
  </si>
  <si>
    <t>PAPEGI</t>
  </si>
  <si>
    <t>PATRO</t>
  </si>
  <si>
    <t>PEERDEVISSCHER</t>
  </si>
  <si>
    <t>PERROQUET</t>
  </si>
  <si>
    <t>PLAASJKE</t>
  </si>
  <si>
    <t>POPPOLOU</t>
  </si>
  <si>
    <t>RAEDLER</t>
  </si>
  <si>
    <t>RASTA_TROLL</t>
  </si>
  <si>
    <t>ROMEO_KE</t>
  </si>
  <si>
    <t>SARDINES_ESPINELER</t>
  </si>
  <si>
    <t>SEUTJESBIER</t>
  </si>
  <si>
    <t>SHERPA_BEER</t>
  </si>
  <si>
    <t>SINGHA</t>
  </si>
  <si>
    <t>SJARLEWIED</t>
  </si>
  <si>
    <t>SMIRNOFF_ICE</t>
  </si>
  <si>
    <t>SNAKE_BITE</t>
  </si>
  <si>
    <t>SPINTJE</t>
  </si>
  <si>
    <t>STILLE_GENIETER</t>
  </si>
  <si>
    <t>SWIEKES</t>
  </si>
  <si>
    <t>TANGO</t>
  </si>
  <si>
    <t>THAI_THAI</t>
  </si>
  <si>
    <t>TITANIUM</t>
  </si>
  <si>
    <t>TONNEKE</t>
  </si>
  <si>
    <t>VERBODEN_VRUCHT</t>
  </si>
  <si>
    <t>WOESTE_TRIPLE</t>
  </si>
  <si>
    <t>YELLOW_FLO;FLO_58;RED_FLO;FLO_RED;FLO_YELLOW</t>
  </si>
  <si>
    <t>ALFA</t>
  </si>
  <si>
    <t>AMBIOROCKS</t>
  </si>
  <si>
    <t>ANTWAARPS_KROKSKE</t>
  </si>
  <si>
    <t>ARMADA</t>
  </si>
  <si>
    <t>B.D._FLANDRES</t>
  </si>
  <si>
    <t>BAST</t>
  </si>
  <si>
    <t>BECKS</t>
  </si>
  <si>
    <t>BEEKS_SCHEPPERKE</t>
  </si>
  <si>
    <t>BELVEDERE</t>
  </si>
  <si>
    <t>BIFE_ANCHO</t>
  </si>
  <si>
    <t>BINCHOISE</t>
  </si>
  <si>
    <t>BLUE_THRILL</t>
  </si>
  <si>
    <t>BOLLINGER</t>
  </si>
  <si>
    <t>BORELLE</t>
  </si>
  <si>
    <t>BOSTON_FUTO</t>
  </si>
  <si>
    <t>BROCHETTES</t>
  </si>
  <si>
    <t>BRUSCHETTONE_BRESAOLA_E_GRANA</t>
  </si>
  <si>
    <t>BUDWEISER</t>
  </si>
  <si>
    <t>BULOTS</t>
  </si>
  <si>
    <t>CANNONAU_DI_SARDEGNA_RISERVA</t>
  </si>
  <si>
    <t>CAPI.BE</t>
  </si>
  <si>
    <t>CARAVAN_SULTAN</t>
  </si>
  <si>
    <t>CASK_OBLIGATOIRE</t>
  </si>
  <si>
    <t>CASTLE_DANGER</t>
  </si>
  <si>
    <t>CENTOPASSI_GIATO</t>
  </si>
  <si>
    <t>CERCEUIL</t>
  </si>
  <si>
    <t>CHABLIS</t>
  </si>
  <si>
    <t>CHICKENSATE</t>
  </si>
  <si>
    <t>CHOOZE</t>
  </si>
  <si>
    <t>CLUB_COLOMBIA</t>
  </si>
  <si>
    <t>CORNE</t>
  </si>
  <si>
    <t>COSCE_DI_RANA</t>
  </si>
  <si>
    <t>CUVEE_PRESTIGE_DOMAIN_SKOURAS</t>
  </si>
  <si>
    <t>CUZQUEA</t>
  </si>
  <si>
    <t>DELUXE</t>
  </si>
  <si>
    <t>DEUS_BRUT_DES_FLANDRES</t>
  </si>
  <si>
    <t>DEVIL</t>
  </si>
  <si>
    <t>DIULE</t>
  </si>
  <si>
    <t>DORSTIGE_LAMBERTUS</t>
  </si>
  <si>
    <t>DOUBLE_TROUBLE</t>
  </si>
  <si>
    <t>DOUBLE_YOU_GIN,</t>
  </si>
  <si>
    <t>EDAMAME</t>
  </si>
  <si>
    <t>ED_BRUKSKE</t>
  </si>
  <si>
    <t>EPERVIER</t>
  </si>
  <si>
    <t>FILLIERS_DRY_GIN,</t>
  </si>
  <si>
    <t>FIREBALL</t>
  </si>
  <si>
    <t>FLUTE</t>
  </si>
  <si>
    <t>FRAM_BUSH</t>
  </si>
  <si>
    <t>FREEDAMM</t>
  </si>
  <si>
    <t>FUET</t>
  </si>
  <si>
    <t>FUNCK_BRICHER</t>
  </si>
  <si>
    <t>FUSEE</t>
  </si>
  <si>
    <t>GAMBERI_GALLIPOLINA</t>
  </si>
  <si>
    <t>GANDAHAM</t>
  </si>
  <si>
    <t>GARLIC_BREAD</t>
  </si>
  <si>
    <t>GARNAALKROKET</t>
  </si>
  <si>
    <t>GARNAALSTICKS</t>
  </si>
  <si>
    <t>GAUWD</t>
  </si>
  <si>
    <t>GIESBAARGS_MUURKEN</t>
  </si>
  <si>
    <t>GOUDSTER</t>
  </si>
  <si>
    <t>GRENADINE</t>
  </si>
  <si>
    <t>H._LIVINUS</t>
  </si>
  <si>
    <t>HABLA_DEL_SILENCIO</t>
  </si>
  <si>
    <t>HEFE_WINE</t>
  </si>
  <si>
    <t>HERTENHEER</t>
  </si>
  <si>
    <t>HOMEMADE_TAPENADE</t>
  </si>
  <si>
    <t>HOPFENTHALER_ALKOHOLFREI</t>
  </si>
  <si>
    <t>HORSE_ALE</t>
  </si>
  <si>
    <t>IKI_GINGER</t>
  </si>
  <si>
    <t>IKI_YUZU</t>
  </si>
  <si>
    <t>IMPERATRICE</t>
  </si>
  <si>
    <t>INSALATA_MISTA</t>
  </si>
  <si>
    <t>JUPITER</t>
  </si>
  <si>
    <t>KAMIKAZE</t>
  </si>
  <si>
    <t>KELDERRESTJE</t>
  </si>
  <si>
    <t>KLEINE_RUST</t>
  </si>
  <si>
    <t>KWINTELBIER</t>
  </si>
  <si>
    <t>LA_BACON</t>
  </si>
  <si>
    <t>LA_COLLECTION</t>
  </si>
  <si>
    <t>LA_COLLECTOR</t>
  </si>
  <si>
    <t>LA_CORNE</t>
  </si>
  <si>
    <t>LA_CROISADE_CINSAULT</t>
  </si>
  <si>
    <t>LA_JACKY</t>
  </si>
  <si>
    <t>LA_LGRE</t>
  </si>
  <si>
    <t>LA_SUGGESTION</t>
  </si>
  <si>
    <t>LA_TALOCHE</t>
  </si>
  <si>
    <t>LES_SARDINES_MILLESIMEES</t>
  </si>
  <si>
    <t>LE_METRE</t>
  </si>
  <si>
    <t>LOBO_TYMY</t>
  </si>
  <si>
    <t>LOUSBERG</t>
  </si>
  <si>
    <t>LUC_PIRLET</t>
  </si>
  <si>
    <t>MAMOS</t>
  </si>
  <si>
    <t>MANHAYDOISE</t>
  </si>
  <si>
    <t>MINERVA</t>
  </si>
  <si>
    <t>MINUTY</t>
  </si>
  <si>
    <t>MISTO</t>
  </si>
  <si>
    <t>MIXTO</t>
  </si>
  <si>
    <t>MOEDER_MADONNA</t>
  </si>
  <si>
    <t>MONACO</t>
  </si>
  <si>
    <t>MORELLINO_DI_SCANSANO_LE_PUPILLE</t>
  </si>
  <si>
    <t>MORTADELLA</t>
  </si>
  <si>
    <t>MUCHE_PICON</t>
  </si>
  <si>
    <t>MULE.BE</t>
  </si>
  <si>
    <t>NEW_YORK</t>
  </si>
  <si>
    <t>NISSOS</t>
  </si>
  <si>
    <t>NOVELUM</t>
  </si>
  <si>
    <t>OBIKWA_CHENIN_BLANC</t>
  </si>
  <si>
    <t>OH_MY_DEAR</t>
  </si>
  <si>
    <t>OMNIKRON</t>
  </si>
  <si>
    <t>ORIGIN</t>
  </si>
  <si>
    <t>PADRON_PEPERS</t>
  </si>
  <si>
    <t>PALM_ROYALE</t>
  </si>
  <si>
    <t>PANACH</t>
  </si>
  <si>
    <t>PANCHE</t>
  </si>
  <si>
    <t>PASTRAMI</t>
  </si>
  <si>
    <t>PATRASCHE</t>
  </si>
  <si>
    <t>PAUWEL_KWAK</t>
  </si>
  <si>
    <t>PECHEMELBUSH</t>
  </si>
  <si>
    <t>PEE_KLAK</t>
  </si>
  <si>
    <t>PETALO</t>
  </si>
  <si>
    <t>PETIT_BOULBA</t>
  </si>
  <si>
    <t>PETIT_MAKART</t>
  </si>
  <si>
    <t>PICATA_LOMBARDA</t>
  </si>
  <si>
    <t>POPULIST</t>
  </si>
  <si>
    <t>POUILLY_FUME</t>
  </si>
  <si>
    <t>PRINSKE</t>
  </si>
  <si>
    <t>REDOUTABLE</t>
  </si>
  <si>
    <t>RED_BY_PEIRSUS</t>
  </si>
  <si>
    <t>RED_FOX</t>
  </si>
  <si>
    <t>RENDANG</t>
  </si>
  <si>
    <t>RENDEZ_VOUS</t>
  </si>
  <si>
    <t>RHEINSPRITZERRED</t>
  </si>
  <si>
    <t>RILETTE_|_BROOD</t>
  </si>
  <si>
    <t>RIVELLA</t>
  </si>
  <si>
    <t>ROOD_LA_MAJOULIERE</t>
  </si>
  <si>
    <t>RUISL_MIX</t>
  </si>
  <si>
    <t>SAFARI</t>
  </si>
  <si>
    <t>SAINT_VERAN</t>
  </si>
  <si>
    <t>SAMBUCCA</t>
  </si>
  <si>
    <t>SANCERRE</t>
  </si>
  <si>
    <t>SAN_ANDRS</t>
  </si>
  <si>
    <t>SAUVIGNON</t>
  </si>
  <si>
    <t>SHINGA</t>
  </si>
  <si>
    <t>SINT_CANARUS</t>
  </si>
  <si>
    <t>SPARE_RIBS</t>
  </si>
  <si>
    <t>SPARTA</t>
  </si>
  <si>
    <t>SPAVLA</t>
  </si>
  <si>
    <t>SPECKIE_PARTY</t>
  </si>
  <si>
    <t>SPITFIRE</t>
  </si>
  <si>
    <t>STRAWBERRIES</t>
  </si>
  <si>
    <t>ST_MONON</t>
  </si>
  <si>
    <t>SUMMERTIME</t>
  </si>
  <si>
    <t>SUNLIGHT</t>
  </si>
  <si>
    <t>SWINCKELS</t>
  </si>
  <si>
    <t>TAITTINGER</t>
  </si>
  <si>
    <t>TAMERA</t>
  </si>
  <si>
    <t>THANISCH_D_ACCORD</t>
  </si>
  <si>
    <t>THE_MISTERY_GUEST</t>
  </si>
  <si>
    <t>TRAMKE</t>
  </si>
  <si>
    <t>TRAPISTE</t>
  </si>
  <si>
    <t>TRIP_ANVERS</t>
  </si>
  <si>
    <t>TSINGTAO</t>
  </si>
  <si>
    <t>TUVERBOL</t>
  </si>
  <si>
    <t>VAUDREE</t>
  </si>
  <si>
    <t>VERDURE_GRIGLIATE</t>
  </si>
  <si>
    <t>VRAAG_ERNAAR_:)</t>
  </si>
  <si>
    <t>WAGYU_KROKETTEN_8ST</t>
  </si>
  <si>
    <t>WHIPPED_CREAM</t>
  </si>
  <si>
    <t>WIT_LA_MAJOULIERE</t>
  </si>
  <si>
    <t>XINOMAVRO</t>
  </si>
  <si>
    <t>YAKITORI</t>
  </si>
  <si>
    <t>ZONNEGEMSE_ZOT</t>
  </si>
  <si>
    <t>ZWART_LICHT</t>
  </si>
  <si>
    <t>BROUWERIJ_T_IJ</t>
  </si>
  <si>
    <t>FLUGEL</t>
  </si>
  <si>
    <t>ALTBAIRISCH_DUNKEL</t>
  </si>
  <si>
    <t>BENGEL</t>
  </si>
  <si>
    <t>LEO_BEER</t>
  </si>
  <si>
    <t>BERTINCHAMPS;BERTINCHAMP;BERTRICHAMP</t>
  </si>
  <si>
    <t>BOLLEKE;KONINCK;DE_KONINK;BOLLEKIE;BOLLEKRE;BOLLEKLE;BOLLEK</t>
  </si>
  <si>
    <t>BRETT_ELLE;BRET_ELLE</t>
  </si>
  <si>
    <t>CIAOCELLO;CIAO_CELLO</t>
  </si>
  <si>
    <t>TROLLS;CUVEE_DES_TROLL</t>
  </si>
  <si>
    <t>DELEIRO;DELIRIO;DELIREO;DELIRIO</t>
  </si>
  <si>
    <t>DESPERADOS;DESPI;DESPARADOS;DESPERADO;DESPERADOS</t>
  </si>
  <si>
    <t>DIKKE_MATHILDE;DIKKE_MATHILE</t>
  </si>
  <si>
    <t>DIKKENEK;DIKKE_NEK</t>
  </si>
  <si>
    <t>ENFANT_TERRIPLE;ENFANT_TERRIBLE</t>
  </si>
  <si>
    <t>GORDON;GORDEN;GORDON_S</t>
  </si>
  <si>
    <t>HOPRUITER;HOP_RUITER</t>
  </si>
  <si>
    <t>JUS_DE_MER;JUS_DE_LA_MER</t>
  </si>
  <si>
    <t>MARTHA;BROWN_EYES;GUILTY_PLEASURE</t>
  </si>
  <si>
    <t>ONDINEKE;ONDINNEKE</t>
  </si>
  <si>
    <t>OPS_ALE;OPS_ALE;OPSALE</t>
  </si>
  <si>
    <t>SCHUPPENBOER;SCHUPPEN_BOER</t>
  </si>
  <si>
    <t>SPAVLA;SPA_VLA</t>
  </si>
  <si>
    <t>SPORTZOT;SPORT_ZOT;SPUIT_ZOT;SPORT_ZOT;SPORTZOUT</t>
  </si>
  <si>
    <t>IDESBALD;ST__IDESBALD</t>
  </si>
  <si>
    <t>TSINGTAO;TSING_TAO</t>
  </si>
  <si>
    <t>ZEEVONK;ZEEWONK</t>
  </si>
  <si>
    <t>KWAREMONT;KWAEREMONT;KWAREM;REMONT;KWREMONT</t>
  </si>
  <si>
    <t>PETRUS;PTRUS;ETRUS</t>
  </si>
  <si>
    <t>WITTEKERKE;WITEKERKE;WITTEKER;ITTEKERKE</t>
  </si>
  <si>
    <t>MAES;MEAS;MAAS_ILS</t>
  </si>
  <si>
    <t>ABBAYE_DE_FOREST</t>
  </si>
  <si>
    <t>HOLY_IPA</t>
  </si>
  <si>
    <t>OTHER</t>
  </si>
  <si>
    <t>VAPEUR</t>
  </si>
  <si>
    <t>ATRIUM_AVALANCHE</t>
  </si>
  <si>
    <t>ATRIUM_BRAVA_2022</t>
  </si>
  <si>
    <t>ATRIUM_COL'_HOPCATION</t>
  </si>
  <si>
    <t>ATRIUM_IN'FUSED</t>
  </si>
  <si>
    <t>ATRIUM_PAM!</t>
  </si>
  <si>
    <t>ATRIUM_PECAN_QUEEN</t>
  </si>
  <si>
    <t>ATRIUM_PORTAL</t>
  </si>
  <si>
    <t>ATRIUM_STAFFSTUFF</t>
  </si>
  <si>
    <t>KLUIZ_BOS</t>
  </si>
  <si>
    <t>KLUIZ_LIEDERICQ</t>
  </si>
  <si>
    <t>LA_MONTOISE_TRINITE</t>
  </si>
  <si>
    <t>LENGTH</t>
  </si>
  <si>
    <t>FEVER_TREE | CORE |</t>
  </si>
  <si>
    <t>SAN_PELLEGRINO | CORE |</t>
  </si>
  <si>
    <t>VITTEL | CORE |</t>
  </si>
  <si>
    <t>LOOZA | PEACH |</t>
  </si>
  <si>
    <t>CORE</t>
  </si>
  <si>
    <t>CHAUDFONTAINE</t>
  </si>
  <si>
    <t>TONIC_GEN</t>
  </si>
  <si>
    <t>APPELAERE</t>
  </si>
  <si>
    <t>FENTIMANS</t>
  </si>
  <si>
    <t>CHARITEA</t>
  </si>
  <si>
    <t>RICQLES</t>
  </si>
  <si>
    <t>AQUILA</t>
  </si>
  <si>
    <t>THOMAS</t>
  </si>
  <si>
    <t>FRITZ</t>
  </si>
  <si>
    <t>ORDAL</t>
  </si>
  <si>
    <t>PANNA</t>
  </si>
  <si>
    <t>JARR</t>
  </si>
  <si>
    <t>GINGER_BEER_GEN</t>
  </si>
  <si>
    <t>LEMONADE_GEN</t>
  </si>
  <si>
    <t>ICE_TEA_GEN</t>
  </si>
  <si>
    <t>TOMATENSAP</t>
  </si>
  <si>
    <t>WATER_GEN</t>
  </si>
  <si>
    <t>JUICE_GEN</t>
  </si>
  <si>
    <t>MILKSHAKE_GEN</t>
  </si>
  <si>
    <t>MILKSHAKE</t>
  </si>
  <si>
    <t>SPARKLING</t>
  </si>
  <si>
    <t>LIEGEOIS_GEN</t>
  </si>
  <si>
    <t>KOMBUCHA_GEN</t>
  </si>
  <si>
    <t>KOMBUCHA</t>
  </si>
  <si>
    <t>POMTON_GEN</t>
  </si>
  <si>
    <t>ESKIMO_GEN</t>
  </si>
  <si>
    <t>COLA_GEN</t>
  </si>
  <si>
    <t>COLA</t>
  </si>
  <si>
    <t>PASSIONFRUIT</t>
  </si>
  <si>
    <t>PASSIONFRUIT;PASSIEVRUCHT;FRUIT_DE_LA_PASSION;MARACUYÃ;PASSIONSFRUCHT</t>
  </si>
  <si>
    <t>BITTER_LEMON</t>
  </si>
  <si>
    <t>BLACKCURRANT</t>
  </si>
  <si>
    <t>BLACKCURRANT;ZWARTE_BES;CASSIS;GROSELLA_NEGRA;SCHWARZE_JOHANNISBEERE</t>
  </si>
  <si>
    <t>ELDERFLOWER</t>
  </si>
  <si>
    <t>ELDERFLOWER;VLIERBLOESEM;FLEUR_DE_SUREAU;FLOR_DE_SAÃšCO;HOLUNDERBLÃœTE</t>
  </si>
  <si>
    <t>DRAGONFRUIT</t>
  </si>
  <si>
    <t>DRAGONFRUIT;DRAKENFRUIT;FRUIT_DU_DRAGON;FRUTA_DEL_DRAGÃ“N;DRACHENFRUCHT</t>
  </si>
  <si>
    <t>TONIC_WATER</t>
  </si>
  <si>
    <t>TONIC_WATER;TONIC;TONIC;TÃ“NICA;TONIC_WATER</t>
  </si>
  <si>
    <t>POMEGRANATE</t>
  </si>
  <si>
    <t>CHAMONILLE</t>
  </si>
  <si>
    <t>WATERMELON;WATERMELOEN;PASTÃˆQUE;SANDÃA;WASSERMELONE</t>
  </si>
  <si>
    <t>MULTIFRUIT</t>
  </si>
  <si>
    <t>BLUEBERRY</t>
  </si>
  <si>
    <t>CRANBERRY</t>
  </si>
  <si>
    <t>CRANBERRY;VEENBES;CANNEBERGE;ARÃNDANO_ROJO;PREISELBEERE</t>
  </si>
  <si>
    <t>HIBISCUS;HIBISCUS;HIBISCUS;HIBISCO;HIBISKUS</t>
  </si>
  <si>
    <t>RABARBER</t>
  </si>
  <si>
    <t>RABARBER;RABARBER;RHUBARBE;RUIBARBO;RHABARBER</t>
  </si>
  <si>
    <t>REGULAR</t>
  </si>
  <si>
    <t>VANILLA</t>
  </si>
  <si>
    <t>VANILLA;VANILLE;VANILLE;VAINILLA;VANILLE</t>
  </si>
  <si>
    <t>ROSEHIP</t>
  </si>
  <si>
    <t>ROSEHIP;ROZENBOTTEL;CYNORRHODON;ESCARAMUJO;HAGEBUTTE</t>
  </si>
  <si>
    <t>AGRUMES</t>
  </si>
  <si>
    <t>SHOKATA</t>
  </si>
  <si>
    <t>SHOKATA;SHOKATA;SHOKATA;SHOKATA;SHOKATA</t>
  </si>
  <si>
    <t>GINSENG</t>
  </si>
  <si>
    <t>GINSENG;GINSENG;GINSENG;GINSENG;GINSENG</t>
  </si>
  <si>
    <t>LYCHEE</t>
  </si>
  <si>
    <t>LYCHEE;LYCHEE;LITCHI;LICHI;LITSCHI</t>
  </si>
  <si>
    <t>CACTUS</t>
  </si>
  <si>
    <t>CACTUS;CACTUS;CACTUS;CACTUS;KAKTUS</t>
  </si>
  <si>
    <t>GINGKO</t>
  </si>
  <si>
    <t>GINGKO;GINKGO;GINKGO;GINKGO;GINKGO</t>
  </si>
  <si>
    <t>BILOBA</t>
  </si>
  <si>
    <t>BILOBA;BILOBA;BILOBA;BILOBA;BILOBA</t>
  </si>
  <si>
    <t>HERBAL</t>
  </si>
  <si>
    <t>HERBAL;KRUIDIG;HERBAL;HERBAL;KRÃ„UTER</t>
  </si>
  <si>
    <t>SPRITZ</t>
  </si>
  <si>
    <t>SPRITZ;SPRITZ;SPRITZ;SPRITZ;SPRITZ</t>
  </si>
  <si>
    <t>GRAPES</t>
  </si>
  <si>
    <t>TOMATO</t>
  </si>
  <si>
    <t>TOMATO;TOMAAT;TOMATE;TOMATE;TOMATE</t>
  </si>
  <si>
    <t>LEMON</t>
  </si>
  <si>
    <t>MANGO;MANGO;MANGUE;MANGO;MANGO</t>
  </si>
  <si>
    <t>MINT</t>
  </si>
  <si>
    <t>LIME;LIMOEN;CITRON_VERT;LIMA;LIMETTE</t>
  </si>
  <si>
    <t>COCA_COLA | CORE |</t>
  </si>
  <si>
    <t>JUICE_GEN | CORE |</t>
  </si>
  <si>
    <t>CLUB_MATE | CORE |</t>
  </si>
  <si>
    <t>JUICE_GEN | ORANGE |</t>
  </si>
  <si>
    <t>SPRITE | CORE |</t>
  </si>
  <si>
    <t>LEMONADE_GEN | GINGER |</t>
  </si>
  <si>
    <t>TONIC_GEN | TONIC_WATER |</t>
  </si>
  <si>
    <t>FEVER_TREE | TONIC_WATER |</t>
  </si>
  <si>
    <t>JUICE_GEN | APPLE |</t>
  </si>
  <si>
    <t>JUICE_GEN | GINGER |</t>
  </si>
  <si>
    <t>TONISSTEINER | ORANGE |</t>
  </si>
  <si>
    <t>MINUTE_MAID | APPLE |</t>
  </si>
  <si>
    <t>PERRIER | CORE |</t>
  </si>
  <si>
    <t>ICE_TEA_GEN | CORE |</t>
  </si>
  <si>
    <t>APPELAERE | ORANGE |</t>
  </si>
  <si>
    <t>CANADA_DRY | GINGER |</t>
  </si>
  <si>
    <t>ALMDUDLER | CORE |</t>
  </si>
  <si>
    <t>BIONADE | CORE |</t>
  </si>
  <si>
    <t>PANNA | CORE |</t>
  </si>
  <si>
    <t>TONIC_GEN | ELDERFLOWER |</t>
  </si>
  <si>
    <t>LEMONADE_GEN | CORE |</t>
  </si>
  <si>
    <t>TONISSTEINER | LEMON |</t>
  </si>
  <si>
    <t>ICE_TEA_GEN | GREEN |</t>
  </si>
  <si>
    <t>LOOZA | ORANGE |</t>
  </si>
  <si>
    <t>FRISTI | CORE |</t>
  </si>
  <si>
    <t>GINI | CORE |</t>
  </si>
  <si>
    <t>RICQLES | CORE |</t>
  </si>
  <si>
    <t>ORANGINA | CORE |</t>
  </si>
  <si>
    <t>CECEMEL | CORE |</t>
  </si>
  <si>
    <t>ROYAL_BLISS | TONIC_WATER |</t>
  </si>
  <si>
    <t>MINUTE_MAID | ORANGE |</t>
  </si>
  <si>
    <t>ROYAL_BLISS | BITTER_LEMON |</t>
  </si>
  <si>
    <t>CHAUDFONTAINE | RED |</t>
  </si>
  <si>
    <t>FANTA | ORANGE |</t>
  </si>
  <si>
    <t>OASIS | TROPICAL |</t>
  </si>
  <si>
    <t>LIPTON | GREEN |</t>
  </si>
  <si>
    <t>LIPTON | PEACH |</t>
  </si>
  <si>
    <t>SCHWEPPES | AGRUMES |</t>
  </si>
  <si>
    <t>JUICE_GEN | TOMATO |</t>
  </si>
  <si>
    <t>PEPSI | CORE |</t>
  </si>
  <si>
    <t>FUZETEA | LEMON |</t>
  </si>
  <si>
    <t>APPLETISER | CORE |</t>
  </si>
  <si>
    <t>MINUTE_MAID | TOMATO |</t>
  </si>
  <si>
    <t>TONISSTEINER | CORE |</t>
  </si>
  <si>
    <t>FUZETEA | GREEN |</t>
  </si>
  <si>
    <t>THOMAS | GINGER |</t>
  </si>
  <si>
    <t>THOMAS | CORE |</t>
  </si>
  <si>
    <t>TONISSTEINER | AGRUMES |</t>
  </si>
  <si>
    <t>SPRITE | ORANGE |</t>
  </si>
  <si>
    <t>SAN_PELLEGRINO | TONIC_WATER |</t>
  </si>
  <si>
    <t>SAN_PELLEGRINO | ORANGE |</t>
  </si>
  <si>
    <t>SAN_PELLEGRINO | LEMON |</t>
  </si>
  <si>
    <t>MINUTE_MAID | CHERRY |</t>
  </si>
  <si>
    <t>LOOZA | APPLE |</t>
  </si>
  <si>
    <t>LOOZA | TOMATO |</t>
  </si>
  <si>
    <t>TONISSTEINER | ORANGE | ZERO</t>
  </si>
  <si>
    <t>TONISSTEINER | LEMON | ZERO</t>
  </si>
  <si>
    <t>LOOZA | MANGO |</t>
  </si>
  <si>
    <t>RITCHIE | LEMON |</t>
  </si>
  <si>
    <t>RITCHIE | ORANGE |</t>
  </si>
  <si>
    <t>FANTA | LEMON | ZERO</t>
  </si>
  <si>
    <t>OASIS | ORANGE |</t>
  </si>
  <si>
    <t>7UP | CORE |</t>
  </si>
  <si>
    <t>ICE_TEA_GEN | REGULAR |</t>
  </si>
  <si>
    <t>SCHWEPPES | HIBISCUS |</t>
  </si>
  <si>
    <t>ICE_TEA_GEN | PEACH |</t>
  </si>
  <si>
    <t>AQUARIUS | ORANGE |</t>
  </si>
  <si>
    <t>RIVELLA | CORE |</t>
  </si>
  <si>
    <t>APPELAERE | CORE |</t>
  </si>
  <si>
    <t>MIRINDA | CORE |</t>
  </si>
  <si>
    <t>MILKSHAKE_GEN | VANILLA |</t>
  </si>
  <si>
    <t>MILKSHAKE_GEN | CORE |</t>
  </si>
  <si>
    <t>MILKSHAKE_GEN | STRAWBERRY |</t>
  </si>
  <si>
    <t>AQUARIUS | LEMON |</t>
  </si>
  <si>
    <t>ESKIMO_GEN | CORE |</t>
  </si>
  <si>
    <t>JUICE_GEN | MULTIFRUIT |</t>
  </si>
  <si>
    <t>JUICE_GEN | GREEN |</t>
  </si>
  <si>
    <t>LEMONAID | GINGER |</t>
  </si>
  <si>
    <t>NALU | CORE |</t>
  </si>
  <si>
    <t>JUICE_GEN | CHERRY |</t>
  </si>
  <si>
    <t>OASIS | CORE |</t>
  </si>
  <si>
    <t>SCHWEPPES | LEMON |</t>
  </si>
  <si>
    <t>MINUTE_MAID | MULTIFRUIT |</t>
  </si>
  <si>
    <t>BIONADE | LEMON |</t>
  </si>
  <si>
    <t>VAL | CORE |</t>
  </si>
  <si>
    <t>VAL | ORANGE |</t>
  </si>
  <si>
    <t>VAL | LEMON |</t>
  </si>
  <si>
    <t>ROYAL_BLISS | LEMON |</t>
  </si>
  <si>
    <t>MIRINDA | ORANGE |</t>
  </si>
  <si>
    <t>BIONADE | GINGER |</t>
  </si>
  <si>
    <t>KOMBUCHA_GEN | PEACH |</t>
  </si>
  <si>
    <t>KOMBUCHA_GEN | GINGER |</t>
  </si>
  <si>
    <t>COCA_COLA | CORE | ZERO</t>
  </si>
  <si>
    <t>KOMBUCHA_GEN | CORE |</t>
  </si>
  <si>
    <t>FRITZ | LEMON |</t>
  </si>
  <si>
    <t>FRITZ | ORANGE |</t>
  </si>
  <si>
    <t>CAPRI_SUN | CORE |</t>
  </si>
  <si>
    <t>EVIAN | CORE |</t>
  </si>
  <si>
    <t>COLA_GEN | CORE |</t>
  </si>
  <si>
    <t>KOMBUCHA_GEN | HIBISCUS |</t>
  </si>
  <si>
    <t>TAO | CORE |</t>
  </si>
  <si>
    <t>SCHWEPPES | BITTER_LEMON |</t>
  </si>
  <si>
    <t>ORDAL | CORE |</t>
  </si>
  <si>
    <t>TONISSTEINER | GINGER |</t>
  </si>
  <si>
    <t>LEMONADE_GEN | ELDERFLOWER |</t>
  </si>
  <si>
    <t>AQUILA | CORE |</t>
  </si>
  <si>
    <t>VITTEL | LEMON |</t>
  </si>
  <si>
    <t>TONIC_GEN | CORE |</t>
  </si>
  <si>
    <t>YUGEN_KOMBUCHA | CORE |</t>
  </si>
  <si>
    <t>FEVER_TREE | ELDERFLOWER |</t>
  </si>
  <si>
    <t>LEMONADE_GEN | HIBISCUS |</t>
  </si>
  <si>
    <t>CANADA_DRY | TONIC_WATER |</t>
  </si>
  <si>
    <t>BIONADE | ORANGE |</t>
  </si>
  <si>
    <t>BIONINA | LEMON |</t>
  </si>
  <si>
    <t>BIONINA | POMEGRANATE |</t>
  </si>
  <si>
    <t>LEMONADE_GEN | LIME |</t>
  </si>
  <si>
    <t>ROYAL_BLISS | GINGER |</t>
  </si>
  <si>
    <t>ROYAL_BLISS | WATERMELON |</t>
  </si>
  <si>
    <t>AQUARIUS | PEACH |</t>
  </si>
  <si>
    <t>LEMONADE_GEN | ORANGE |</t>
  </si>
  <si>
    <t>LEMONADE_GEN | LEMON |</t>
  </si>
  <si>
    <t>JARR_KOMBUCHA | PEACH |</t>
  </si>
  <si>
    <t>TONIC_GEN | BITTER_LEMON |</t>
  </si>
  <si>
    <t>TONISSTEINER | MULTIFRUIT |</t>
  </si>
  <si>
    <t>LEMONADE_GEN | CRANBERRY |</t>
  </si>
  <si>
    <t>LEMONADE_GEN | PASSIONFRUIT |</t>
  </si>
  <si>
    <t>TAO | BLACKCURRANT |</t>
  </si>
  <si>
    <t>LOOZA | STRAWBERRY |</t>
  </si>
  <si>
    <t>VAL | BITTER_LEMON |</t>
  </si>
  <si>
    <t>ROYAL_BLISS | MINT |</t>
  </si>
  <si>
    <t>ICE_TEA_GEN | MANGO |</t>
  </si>
  <si>
    <t>JUICE_GEN | LEMON |</t>
  </si>
  <si>
    <t>JUICE_GEN | CRANBERRY |</t>
  </si>
  <si>
    <t>FRITZ | APPLE |</t>
  </si>
  <si>
    <t>FRITZ | ELDERFLOWER |</t>
  </si>
  <si>
    <t>THOMAS | BITTER_LEMON |</t>
  </si>
  <si>
    <t>THOMAS | MANGO |</t>
  </si>
  <si>
    <t>JUICE_GEN | STRAWBERRY |</t>
  </si>
  <si>
    <t>JUICE_GEN | PEACH |</t>
  </si>
  <si>
    <t>JUICE_GEN | PASSIONFRUIT |</t>
  </si>
  <si>
    <t>LEMONAID | CORE |</t>
  </si>
  <si>
    <t>MINUTE_MAID | BLACKCURRANT |</t>
  </si>
  <si>
    <t>NESTEA | GREEN |</t>
  </si>
  <si>
    <t>ICE_TEA_GEN | LIME |</t>
  </si>
  <si>
    <t>SAN_PELLEGRINO | MINT |</t>
  </si>
  <si>
    <t>ICE_TEA_GEN | STRAWBERRY |</t>
  </si>
  <si>
    <t>FANTA | LEMON |</t>
  </si>
  <si>
    <t>VAL | AGRUMES |</t>
  </si>
  <si>
    <t>EVIAN | LEMON |</t>
  </si>
  <si>
    <t>OASIS | BLACKCURRANT |</t>
  </si>
  <si>
    <t>LEMONAID | LIME |</t>
  </si>
  <si>
    <t>LEMONADE_GEN | PEACH |</t>
  </si>
  <si>
    <t>LEMONADE_GEN | STRAWBERRY |</t>
  </si>
  <si>
    <t>CANADA_DRY | ORANGE |</t>
  </si>
  <si>
    <t>LEMONAID | PASSIONFRUIT |</t>
  </si>
  <si>
    <t>SCHWEPPES | SPRITZ |</t>
  </si>
  <si>
    <t>FENTIMANS | CORE |</t>
  </si>
  <si>
    <t>ICE_TEA_GEN | MINT |</t>
  </si>
  <si>
    <t>ESKIMO_GEN | CHERRY |</t>
  </si>
  <si>
    <t>VAL | LIME |</t>
  </si>
  <si>
    <t>BIONADE | LIME |</t>
  </si>
  <si>
    <t>PEPSI | CORE | ZERO</t>
  </si>
  <si>
    <t>VILLERS | LEMON |</t>
  </si>
  <si>
    <t>VILLERS | ORANGE |</t>
  </si>
  <si>
    <t>KOMBUCHA_GEN | APPLE |</t>
  </si>
  <si>
    <t>KOMBUCHA_GEN | PASSIONFRUIT |</t>
  </si>
  <si>
    <t>TONIC_GEN | TONIC_WATER | ZERO</t>
  </si>
  <si>
    <t>ROYAL_BLISS | RED |</t>
  </si>
  <si>
    <t>LIPTON | HIBISCUS |</t>
  </si>
  <si>
    <t>TAO | DRAGONFRUIT |</t>
  </si>
  <si>
    <t>CANADA_DRY | GREEN |</t>
  </si>
  <si>
    <t>YUGEN_KOMBUCHA | GINGER |</t>
  </si>
  <si>
    <t>YUGEN_KOMBUCHA | ELDERFLOWER |</t>
  </si>
  <si>
    <t>CHARITEA | GREEN |</t>
  </si>
  <si>
    <t>YUGEN_KOMBUCHA | PASSIONFRUIT |</t>
  </si>
  <si>
    <t>TONIC_GEN | AGRUMES |</t>
  </si>
  <si>
    <t>FEVER_TREE | ORANGE |</t>
  </si>
  <si>
    <t>MILKSHAKE_GEN | RASBERRY |</t>
  </si>
  <si>
    <t>LIPTON | GREEN | ZERO</t>
  </si>
  <si>
    <t>ROYAL_BLISS | BLACKCURRANT |</t>
  </si>
  <si>
    <t>FRITZ | SPRITZ |</t>
  </si>
  <si>
    <t>LEMONADE_GEN | BLUEBERRY |</t>
  </si>
  <si>
    <t>LEMONADE_GEN | MANGO |</t>
  </si>
  <si>
    <t>JUICE_GEN | BLUEBERRY |</t>
  </si>
  <si>
    <t>JUICE_GEN | BLACKCURRANT |</t>
  </si>
  <si>
    <t>MINUTE_MAID | LEMON |</t>
  </si>
  <si>
    <t>JUICE_GEN | LYCHEE |</t>
  </si>
  <si>
    <t>JUICE_GEN | MANGO |</t>
  </si>
  <si>
    <t>CHARITEA | GINGER |</t>
  </si>
  <si>
    <t>CHARITEA | RED |</t>
  </si>
  <si>
    <t>ICE_TEA_GEN | ORANGE |</t>
  </si>
  <si>
    <t>MINUTE_MAID | TROPICAL |</t>
  </si>
  <si>
    <t>MINUTE_MAID | MANGO |</t>
  </si>
  <si>
    <t>MINUTE_MAID | RED |</t>
  </si>
  <si>
    <t>ROYAL_BLISS | ELDERFLOWER |</t>
  </si>
  <si>
    <t>ICE_TEA_GEN | LEMON |</t>
  </si>
  <si>
    <t>TONIC_GEN | GINGER |</t>
  </si>
  <si>
    <t>ICE_TEA_GEN | HERBAL |</t>
  </si>
  <si>
    <t>PEPSI | LEMON |</t>
  </si>
  <si>
    <t>VAL | RED |</t>
  </si>
  <si>
    <t>JUICE_GEN | HIBISCUS |</t>
  </si>
  <si>
    <t>SPRITE | BLACKCURRANT |</t>
  </si>
  <si>
    <t>SPRITE | CORE | ZERO</t>
  </si>
  <si>
    <t>TONISSTEINER | CORE | ZERO</t>
  </si>
  <si>
    <t>TONISSTEINER | AGRUMES | ZERO</t>
  </si>
  <si>
    <t>CAPRI_SUN | GREEN |</t>
  </si>
  <si>
    <t>NESTEA | CORE |</t>
  </si>
  <si>
    <t>YUGEN_KOMBUCHA | LEMON |</t>
  </si>
  <si>
    <t>ICE_TEA_GEN | CHAMONILLE |</t>
  </si>
  <si>
    <t>RIVELLA | GINGER |</t>
  </si>
  <si>
    <t>SPRITE | GREEN |</t>
  </si>
  <si>
    <t>ICE_TEA_GEN | GINGER |</t>
  </si>
  <si>
    <t>LEMONAID | ORANGE |</t>
  </si>
  <si>
    <t>KOMBUCHA_GEN | POMEGRANATE |</t>
  </si>
  <si>
    <t>ORDAL | ORANGE |</t>
  </si>
  <si>
    <t>ORDAL | LEMON |</t>
  </si>
  <si>
    <t>CHARITEA | CORE |</t>
  </si>
  <si>
    <t>JARR_KOMBUCHA | PASSIONFRUIT |</t>
  </si>
  <si>
    <t>LEMONADE_GEN | MINT |</t>
  </si>
  <si>
    <t>LEMONADE_GEN | TROPICAL |</t>
  </si>
  <si>
    <t>YUGEN_KOMBUCHA | CHERRY |</t>
  </si>
  <si>
    <t>YUGEN_KOMBUCHA | APPLE |</t>
  </si>
  <si>
    <t>LEMONADE_GEN | WATERMELON |</t>
  </si>
  <si>
    <t>KOMBUCHA_GEN | ORANGE |</t>
  </si>
  <si>
    <t>FENTIMANS | TONIC_WATER |</t>
  </si>
  <si>
    <t>ORDAL | APPLE |</t>
  </si>
  <si>
    <t>LEMONADE_GEN | GREEN |</t>
  </si>
  <si>
    <t>LEMONADE_GEN | RABARBER |</t>
  </si>
  <si>
    <t>YUGEN_KOMBUCHA | MANGO |</t>
  </si>
  <si>
    <t>FRITZ | CHERRY |</t>
  </si>
  <si>
    <t>ICE_TEA_GEN | HIBISCUS |</t>
  </si>
  <si>
    <t>ESKIMO_GEN | ORANGE |</t>
  </si>
  <si>
    <t>TONISSTEINER | RED |</t>
  </si>
  <si>
    <t>LEMONAID | LEMON |</t>
  </si>
  <si>
    <t>DOCHTER_VAN_DE_KORENAAR</t>
  </si>
  <si>
    <t>DOCHTER</t>
  </si>
  <si>
    <t>VOSSEM_MET_DE_MEYNEN</t>
  </si>
  <si>
    <t>CUVEE_VAN_DE_KEIZER</t>
  </si>
  <si>
    <t>BERLINER_WEISSE_GEN</t>
  </si>
  <si>
    <t>KEIZER_VAN_HERTALS</t>
  </si>
  <si>
    <t>PALE_ALE_MARTINS</t>
  </si>
  <si>
    <t>HOPFENWEISSE_GEN</t>
  </si>
  <si>
    <t>HPFENWEISSE;HOPFENWEISSE</t>
  </si>
  <si>
    <t>SCHNEIDERWEISSE</t>
  </si>
  <si>
    <t>KOPEREN_MARKIES</t>
  </si>
  <si>
    <t>KOPEREN</t>
  </si>
  <si>
    <t>BOULEVARD_TANK</t>
  </si>
  <si>
    <t>NONNETJES_BIER</t>
  </si>
  <si>
    <t>NONNETJES</t>
  </si>
  <si>
    <t>CUVEE_LEOPOLD</t>
  </si>
  <si>
    <t>PALE_ALE_BASS</t>
  </si>
  <si>
    <t>FLIEREFLUITER</t>
  </si>
  <si>
    <t>KLOOSTERBIER</t>
  </si>
  <si>
    <t>APEROTHEEKJE</t>
  </si>
  <si>
    <t>SURREALISTE</t>
  </si>
  <si>
    <t>HOLY_FRUITY</t>
  </si>
  <si>
    <t>HOLY_ROASTY</t>
  </si>
  <si>
    <t>SAISONNEKKE</t>
  </si>
  <si>
    <t>BRIEGHELAIR</t>
  </si>
  <si>
    <t>PAUWEL</t>
  </si>
  <si>
    <t>ENGELSZELL</t>
  </si>
  <si>
    <t>AROGANT;ARROGANT;L_AROGANT;L_ARROGANT;AROGANTE;ARROGANTE;L_AROGANTE;L_ARROGANTE;L_x0019_ARROGANTE;LARROGANTE;L_ARONGANTE;L_ARGONGANTE</t>
  </si>
  <si>
    <t>KATHEDRAAL</t>
  </si>
  <si>
    <t>TAFELSTOUT</t>
  </si>
  <si>
    <t>BRUSSELAIR</t>
  </si>
  <si>
    <t>GOUVERNEUR</t>
  </si>
  <si>
    <t>JUSTE_FAIR</t>
  </si>
  <si>
    <t>OP_DE_DOOL</t>
  </si>
  <si>
    <t>DOOL</t>
  </si>
  <si>
    <t>TERDERLEN</t>
  </si>
  <si>
    <t>BELLEVAUX</t>
  </si>
  <si>
    <t>ZEVENHOEK</t>
  </si>
  <si>
    <t>LOKEREIRE</t>
  </si>
  <si>
    <t>HEUVELTJE</t>
  </si>
  <si>
    <t>MOONFIELD</t>
  </si>
  <si>
    <t>TER_DOEST</t>
  </si>
  <si>
    <t>HALF_HALF</t>
  </si>
  <si>
    <t>GEERAERT</t>
  </si>
  <si>
    <t>SEMEKEIL</t>
  </si>
  <si>
    <t>JOHANNES</t>
  </si>
  <si>
    <t>BAUDELOO</t>
  </si>
  <si>
    <t>BELGORIX</t>
  </si>
  <si>
    <t>TOETILER</t>
  </si>
  <si>
    <t>CAMBREE</t>
  </si>
  <si>
    <t>CAMBREE33</t>
  </si>
  <si>
    <t>SERVAIS</t>
  </si>
  <si>
    <t>OSTDONK</t>
  </si>
  <si>
    <t>DINVERS</t>
  </si>
  <si>
    <t>SUPER_B</t>
  </si>
  <si>
    <t>WUVETJE</t>
  </si>
  <si>
    <t>IVERANS</t>
  </si>
  <si>
    <t>BRIXIUS</t>
  </si>
  <si>
    <t>SEAKING</t>
  </si>
  <si>
    <t>BACHTEN</t>
  </si>
  <si>
    <t>DUCH.DE</t>
  </si>
  <si>
    <t>PONY;PONYS;PONY_S;PONY_x0019_S</t>
  </si>
  <si>
    <t>FONY;FONY_S;FONYS;FONY_x0019_S</t>
  </si>
  <si>
    <t>PERIJO</t>
  </si>
  <si>
    <t>ENIGMA</t>
  </si>
  <si>
    <t>VERTUS</t>
  </si>
  <si>
    <t>METTET</t>
  </si>
  <si>
    <t>FLAQUE</t>
  </si>
  <si>
    <t>MARQUE</t>
  </si>
  <si>
    <t>KADEE</t>
  </si>
  <si>
    <t>BETSY</t>
  </si>
  <si>
    <t>ELITE</t>
  </si>
  <si>
    <t>FAGNE</t>
  </si>
  <si>
    <t>STAR</t>
  </si>
  <si>
    <t>TITE</t>
  </si>
  <si>
    <t>LOBO</t>
  </si>
  <si>
    <t>MOPA</t>
  </si>
  <si>
    <t>OUDE_KRIEK_LAMBIC_GEN</t>
  </si>
  <si>
    <t>OUDE_KRIEK_LAMBIC</t>
  </si>
  <si>
    <t>WHISKY_INFUSED_GEN</t>
  </si>
  <si>
    <t>BEER_OF_THE_MONTH</t>
  </si>
  <si>
    <t>OUDE_GUEUZE_GEN</t>
  </si>
  <si>
    <t>OUDE_GUEUZE;OUDE_GUEZE</t>
  </si>
  <si>
    <t>SCOTCH_ALE_GEN</t>
  </si>
  <si>
    <t>OUDE_KRIEK_GEN</t>
  </si>
  <si>
    <t>GRAND_CRU_GEN</t>
  </si>
  <si>
    <t>MAZOUT_GEN</t>
  </si>
  <si>
    <t>BLOND_GEN</t>
  </si>
  <si>
    <t>CIDER_GEN</t>
  </si>
  <si>
    <t>CIDRE;CIDER</t>
  </si>
  <si>
    <t>GEUZE_GEN</t>
  </si>
  <si>
    <t>PATER_GEN</t>
  </si>
  <si>
    <t>PEACH_GEN</t>
  </si>
  <si>
    <t>BEER_GEN</t>
  </si>
  <si>
    <t>RUBY_GEN</t>
  </si>
  <si>
    <t>RUBUS</t>
  </si>
  <si>
    <t>ROSE_GEN</t>
  </si>
  <si>
    <t>FARO_GEN</t>
  </si>
  <si>
    <t>BOCK_GEN</t>
  </si>
  <si>
    <t>TEA_GEN</t>
  </si>
  <si>
    <t>TEA.THE;THEE</t>
  </si>
  <si>
    <t>RED_GEN</t>
  </si>
  <si>
    <t>THRASH</t>
  </si>
  <si>
    <t>PORTIE;PORTION;PLANCHE;PLANK</t>
  </si>
  <si>
    <t>TAROT</t>
  </si>
  <si>
    <t>TRIPEL_D_ANVERS</t>
  </si>
  <si>
    <t>MARIAGE</t>
  </si>
  <si>
    <t>NORDIC_MIST</t>
  </si>
  <si>
    <t>FLANDRIEN_KAAS</t>
  </si>
  <si>
    <t>VITAO</t>
  </si>
  <si>
    <t>DOTTIGNIES</t>
  </si>
  <si>
    <t>VITAMIN_WELL</t>
  </si>
  <si>
    <t>KEMPISCH</t>
  </si>
  <si>
    <t>FEUILLEN</t>
  </si>
  <si>
    <t>COMPAL</t>
  </si>
  <si>
    <t>6_ROSES</t>
  </si>
  <si>
    <t>PADELBIER</t>
  </si>
  <si>
    <t>KIDIBULL</t>
  </si>
  <si>
    <t>BERTHA</t>
  </si>
  <si>
    <t>TRIXY</t>
  </si>
  <si>
    <t>LUPULIN</t>
  </si>
  <si>
    <t>BASSIE</t>
  </si>
  <si>
    <t>RENDEZ</t>
  </si>
  <si>
    <t>AA_DRANK</t>
  </si>
  <si>
    <t>MEILSEN</t>
  </si>
  <si>
    <t>ZEENAT</t>
  </si>
  <si>
    <t>STENE</t>
  </si>
  <si>
    <t>KEIKOPPENBIER</t>
  </si>
  <si>
    <t>POMPBIER</t>
  </si>
  <si>
    <t>TUNGRI</t>
  </si>
  <si>
    <t>RICK</t>
  </si>
  <si>
    <t>SLIJKVISSER</t>
  </si>
  <si>
    <t>MIDDELKERKS</t>
  </si>
  <si>
    <t>IONISSTEEN</t>
  </si>
  <si>
    <t>WILDEMANS</t>
  </si>
  <si>
    <t>LOEMELAAR</t>
  </si>
  <si>
    <t>HELLEGAT</t>
  </si>
  <si>
    <t>SWITEKES</t>
  </si>
  <si>
    <t>JEZUWIET</t>
  </si>
  <si>
    <t>BRUEGHEL</t>
  </si>
  <si>
    <t>HOP_VERDOMME</t>
  </si>
  <si>
    <t>VERDOMME</t>
  </si>
  <si>
    <t>PIPETTE</t>
  </si>
  <si>
    <t>ROBUUST_PILS</t>
  </si>
  <si>
    <t>ROBUUST</t>
  </si>
  <si>
    <t>SEEBIER</t>
  </si>
  <si>
    <t>PAULUS</t>
  </si>
  <si>
    <t>EPOS</t>
  </si>
  <si>
    <t>AFRI</t>
  </si>
  <si>
    <t>4KNT</t>
  </si>
  <si>
    <t>BLOESEMTRIPEL</t>
  </si>
  <si>
    <t>ZEVENDONKSE</t>
  </si>
  <si>
    <t>HERCKENRODE</t>
  </si>
  <si>
    <t>STROOBANDER</t>
  </si>
  <si>
    <t>BLOEMEKEIL</t>
  </si>
  <si>
    <t>DUVELSKUIL</t>
  </si>
  <si>
    <t>HOPTIMIZED</t>
  </si>
  <si>
    <t>SINNEKLOAS</t>
  </si>
  <si>
    <t>ROOSENBERG</t>
  </si>
  <si>
    <t>STEENBERGE</t>
  </si>
  <si>
    <t>COFFEE_GEN</t>
  </si>
  <si>
    <t>KOFFIE</t>
  </si>
  <si>
    <t>LATTE_GEN</t>
  </si>
  <si>
    <t>CAPPUCCINO_GEN</t>
  </si>
  <si>
    <t>PORTO_GEN</t>
  </si>
  <si>
    <t>PORTO</t>
  </si>
  <si>
    <t>APEROL_GEN</t>
  </si>
  <si>
    <t>CAVA_GEN</t>
  </si>
  <si>
    <t>MOJITO_GEN</t>
  </si>
  <si>
    <t>KIR_GEN</t>
  </si>
  <si>
    <t>KIR</t>
  </si>
  <si>
    <t>COGNAC</t>
  </si>
  <si>
    <t>CROQUE</t>
  </si>
  <si>
    <t>PINEAU</t>
  </si>
  <si>
    <t>APPLE_JUICE_GEN</t>
  </si>
  <si>
    <t>GINGERBEER_GEN</t>
  </si>
  <si>
    <t>LEMON_JUICE_GEN</t>
  </si>
  <si>
    <t>GRENADINE_GEN</t>
  </si>
  <si>
    <t>KUITENBIJTER_GEN</t>
  </si>
  <si>
    <t>KUITENBIJTER</t>
  </si>
  <si>
    <t>CUVEE_CLARRISSE</t>
  </si>
  <si>
    <t>STIMULOO</t>
  </si>
  <si>
    <t>LINO</t>
  </si>
  <si>
    <t>CHOUFFE_LITE;FE_LITE;LITE_CH</t>
  </si>
  <si>
    <t>KÖLSCHIQUE_DANS_LES_PRÉS</t>
  </si>
  <si>
    <t>S_TANTEKE_MONT_DE_PIETE</t>
  </si>
  <si>
    <t>S_CUVEE_MEILLEURS_VOEUX</t>
  </si>
  <si>
    <t>TRIPEL_GUEUZE</t>
  </si>
  <si>
    <t>LUMIEREWINTER</t>
  </si>
  <si>
    <t>S_SAINT_VINCENT</t>
  </si>
  <si>
    <t>E_COINTESSENCE</t>
  </si>
  <si>
    <t>WINTERSTOUT</t>
  </si>
  <si>
    <t>L_WINTER_GOUD</t>
  </si>
  <si>
    <t>BELLE_D'ETE</t>
  </si>
  <si>
    <t>TRIPEL_HOP;TRIPLE_HOP;HOP_TRI</t>
  </si>
  <si>
    <t>IPA_SAISON</t>
  </si>
  <si>
    <t>IPA_SAISON;SAISON_IPA</t>
  </si>
  <si>
    <t>DRY_HOPPED</t>
  </si>
  <si>
    <t>S_RED_BUTTON</t>
  </si>
  <si>
    <t>H_VIOLETTE</t>
  </si>
  <si>
    <t>E_CELESTE</t>
  </si>
  <si>
    <t>VE_SUMMER</t>
  </si>
  <si>
    <t>S_QUARTZ</t>
  </si>
  <si>
    <t>S_PEARL</t>
  </si>
  <si>
    <t>S_1897</t>
  </si>
  <si>
    <t>MC_CHOU;CHOUFFE_MC</t>
  </si>
  <si>
    <t>GUEZE_LAMBIC;GUEUZE_LAMBIEK;GUEZE_LAMBIC</t>
  </si>
  <si>
    <t>ZUNDERT_6;BERNARDUS_6;WESTVLETEREN_6;CHIMAY_6;MALHEUR_6;FORT_LAPIN_6;DOMINICAINS_6;MARKIES_6;BRONGE_6;NO__6;BRASSERIE_LION_5_6;ROCHEFORT_6;CHIMAY_6</t>
  </si>
  <si>
    <t>ZUNDERT_7;BERNARDUS_7;WESTVLETEREN_7;CHIMAY_7;MALHEUR_7;FORT_LAPIN_7;DOMINICAINS_7;MARKIES_7;BRONGE_7;NO__7;BRASSERIE_LION_5_7;ROCHEFORT_7;CHIMAY_7</t>
  </si>
  <si>
    <t>ZUNDERT_8;BERNARDUS_8;WESTVLETEREN_8;CHIMAY_8;MALHEUR_8;FORT_LAPIN_8;DOMINICAINS_8;MARKIES_8;BRONGE_8;NO__8;BRASSERIE_LION_5_8;ROCHEFORT_8;CHIMAY_8</t>
  </si>
  <si>
    <t>ZUNDERT_9;BERNARDUS_9;WESTVLETEREN_9;CHIMAY_9;MALHEUR_9;FORT_LAPIN_9;DOMINICAINS_9;MARKIES_9;BRONGE_9;NO__9;BRASSERIE_LION_5_9;ROCHEFORT_9;CHIMAY_9</t>
  </si>
  <si>
    <t>ZUNDERT_10;BERNARDUS_10;WESTVLETEREN_10;CHIMAY_10;MALHEUR_10;FORT_LAPIN_10;DOMINICAINS_10;MARKIES_10;BRONGE_10;NO__10;BRASSERIE_LION_5_10;ROCHEFORT_10;CHIMAY_10</t>
  </si>
  <si>
    <t>ZUNDERT_11;BERNARDUS_11;WESTVLETEREN_11;CHIMAY_11;MALHEUR_11;FORT_LAPIN_11;DOMINICAINS_11;MARKIES_11;BRONGE_11;NO__11;BRASSERIE_LION_5_11;ROCHEFORT_11;CHIMAY_11</t>
  </si>
  <si>
    <t>ZUNDERT_12;BERNARDUS_12;WESTVLETEREN_12;CHIMAY_12;MALHEUR_12;FORT_LAPIN_12;DOMINICAINS_12;MARKIES_12;BRONGE_12;NO__12;BRASSERIE_LION_5_12;ROCHEFORT_12;CHIMAY_12</t>
  </si>
  <si>
    <t>GRAPEFRUIT</t>
  </si>
  <si>
    <t>ULTRA_STRONG</t>
  </si>
  <si>
    <t>WHISKEY_INFUSED</t>
  </si>
  <si>
    <t>WHISKEY_INFUSED;WHISKY_INFUSED</t>
  </si>
  <si>
    <t>REDBERRIES</t>
  </si>
  <si>
    <t>REDBROWN</t>
  </si>
  <si>
    <t>APPLE_CHERRY</t>
  </si>
  <si>
    <t>LAVENDER;LAVENDEL</t>
  </si>
  <si>
    <t>_BRETT</t>
  </si>
  <si>
    <t>GOSE</t>
  </si>
  <si>
    <t>YELLOW</t>
  </si>
  <si>
    <t>GOUD;DORE;DORE;GOLD;DOREE;DOREE;DORE;D_OR</t>
  </si>
  <si>
    <t>ROBIJN;RUBY;RUBUS;RUBIS;RUBES</t>
  </si>
  <si>
    <t>MEDITERRANEAN</t>
  </si>
  <si>
    <t>BERRY</t>
  </si>
  <si>
    <t>ELDERBERRY</t>
  </si>
  <si>
    <t>BLACKBERRY</t>
  </si>
  <si>
    <t>EXCELSIOR</t>
  </si>
  <si>
    <t>PINEAPPLE</t>
  </si>
  <si>
    <t>MIRABELLE</t>
  </si>
  <si>
    <t>VRUCHTEN</t>
  </si>
  <si>
    <t>CASHMERE</t>
  </si>
  <si>
    <t>SUN</t>
  </si>
  <si>
    <t>MELON</t>
  </si>
  <si>
    <t>MELOEN</t>
  </si>
  <si>
    <t>WHEAT</t>
  </si>
  <si>
    <t>PEER</t>
  </si>
  <si>
    <t>CRU</t>
  </si>
  <si>
    <t>MAC</t>
  </si>
  <si>
    <t>HONEY;HONING</t>
  </si>
  <si>
    <t>BARREL_SELECT</t>
  </si>
  <si>
    <t>UNFILTERED</t>
  </si>
  <si>
    <t>LIMITED</t>
  </si>
  <si>
    <t>NITRO</t>
  </si>
  <si>
    <t>SESSION</t>
  </si>
  <si>
    <t>LIGHT</t>
  </si>
  <si>
    <t>BALAST | CORE |</t>
  </si>
  <si>
    <t>DUVEL | CORE |</t>
  </si>
  <si>
    <t>ZINNEBIR | CORE |</t>
  </si>
  <si>
    <t>ORVAL | CORE |</t>
  </si>
  <si>
    <t>CIDER_GEN | CORE |</t>
  </si>
  <si>
    <t>WITLOOF | CORE |</t>
  </si>
  <si>
    <t>GRISETTE | CORE |</t>
  </si>
  <si>
    <t>BUDELS | CORE |</t>
  </si>
  <si>
    <t>DELIRIUM | CORE |</t>
  </si>
  <si>
    <t>PINK_KILLER | CORE |</t>
  </si>
  <si>
    <t>RODENBACH | CORE |</t>
  </si>
  <si>
    <t>HOMMELBIER | CORE |</t>
  </si>
  <si>
    <t>RUWET | CORE |</t>
  </si>
  <si>
    <t>STAR_LIGHT | CORE |</t>
  </si>
  <si>
    <t>MOINE_DE_BXL | CORE |</t>
  </si>
  <si>
    <t>GRIMBERGEN | CORE |</t>
  </si>
  <si>
    <t>LUPULUS | CORE |</t>
  </si>
  <si>
    <t>HARMONY | CORE |</t>
  </si>
  <si>
    <t>MAZOUT_GEN | CORE |</t>
  </si>
  <si>
    <t>RICARD | CORE |</t>
  </si>
  <si>
    <t>SPORTZOT | CORE |</t>
  </si>
  <si>
    <t>THRASH | CORE |</t>
  </si>
  <si>
    <t>OMER | CORE |</t>
  </si>
  <si>
    <t>GUINNESS | CORE |</t>
  </si>
  <si>
    <t>FOURCHETTE | CORE |</t>
  </si>
  <si>
    <t>GAGELEER | CORE |</t>
  </si>
  <si>
    <t>ORGANICUS | CORE |</t>
  </si>
  <si>
    <t>PAIX_DIEU | CORE |</t>
  </si>
  <si>
    <t>AVERBODE | CORE |</t>
  </si>
  <si>
    <t>CUBANISTO | CORE |</t>
  </si>
  <si>
    <t>CURTIS | CORE |</t>
  </si>
  <si>
    <t>VICTORIA | CORE |</t>
  </si>
  <si>
    <t>FLANDRIEN | CORE |</t>
  </si>
  <si>
    <t>OUWEN_DUIKER | CORE |</t>
  </si>
  <si>
    <t>HALVE_GARE | CORE |</t>
  </si>
  <si>
    <t>MISBAKSEL | CORE |</t>
  </si>
  <si>
    <t>TANK_7 | CORE |</t>
  </si>
  <si>
    <t>EXPORT_1784 | CORE |</t>
  </si>
  <si>
    <t>PIRAAT | CORE |</t>
  </si>
  <si>
    <t>VALEIR | CORE |</t>
  </si>
  <si>
    <t>AUGUSTIJN | CORE |</t>
  </si>
  <si>
    <t>GENTSE_STROP | CORE |</t>
  </si>
  <si>
    <t>HELLES | CORE |</t>
  </si>
  <si>
    <t>FOLKOL | CORE |</t>
  </si>
  <si>
    <t>KLOSCH | CORE |</t>
  </si>
  <si>
    <t>SCHWARZBIER | CORE |</t>
  </si>
  <si>
    <t>EX_DE_TON | CORE |</t>
  </si>
  <si>
    <t>HEFE_WINE | CORE |</t>
  </si>
  <si>
    <t>GROS_PONEY | CORE |</t>
  </si>
  <si>
    <t>MAZOUT_GEN | PILSNER |</t>
  </si>
  <si>
    <t>BOURGOGNE_DES_FLANDRES | CORE |</t>
  </si>
  <si>
    <t>BLONDEN_OS | CORE |</t>
  </si>
  <si>
    <t>HOPUS | CORE |</t>
  </si>
  <si>
    <t>MOEDER_OVERSTE | TRIPEL |</t>
  </si>
  <si>
    <t>SOMERSBY | CORE |</t>
  </si>
  <si>
    <t>FLUITJE | CORE |</t>
  </si>
  <si>
    <t>VANDERGHINSTE_ROODBRUIN | CORE |</t>
  </si>
  <si>
    <t>DE_KONINCK | WILD |</t>
  </si>
  <si>
    <t>DE_BRABANDERE | CORE |</t>
  </si>
  <si>
    <t>SWINCKELS | CORE |</t>
  </si>
  <si>
    <t>TANGO | CORE |</t>
  </si>
  <si>
    <t>YPRA | CORE |</t>
  </si>
  <si>
    <t>FILOU | CORE |</t>
  </si>
  <si>
    <t>PALM | GREEN |</t>
  </si>
  <si>
    <t>KEYTE | CORE |</t>
  </si>
  <si>
    <t>JUS_DE_MER | CORE |</t>
  </si>
  <si>
    <t>THRIVE | CORE |</t>
  </si>
  <si>
    <t>BEER_GEN | CORE |</t>
  </si>
  <si>
    <t>TAXANDRIA | CORE |</t>
  </si>
  <si>
    <t>SEZOENS | CORE |</t>
  </si>
  <si>
    <t>RAEDLER | CORE |</t>
  </si>
  <si>
    <t>LA_TRAPPE | CORE |</t>
  </si>
  <si>
    <t>ZUNDERT | TRIPEL |</t>
  </si>
  <si>
    <t>ZUNDERT | QUADRUPEL |</t>
  </si>
  <si>
    <t>TYNT_MEADOW | BLOND |</t>
  </si>
  <si>
    <t>TYNT_MEADOW | CORE |</t>
  </si>
  <si>
    <t>MONT_DES_CATS | CORE |</t>
  </si>
  <si>
    <t>GREGORIUS | DUBBEL |</t>
  </si>
  <si>
    <t>TUMULUS | CORE |</t>
  </si>
  <si>
    <t>WALSBERGER | BLOND |</t>
  </si>
  <si>
    <t>WALSBERGER | BROWN |</t>
  </si>
  <si>
    <t>BON_SECOURS | CORE |</t>
  </si>
  <si>
    <t>PAUWEL_KWAK | CORE |</t>
  </si>
  <si>
    <t>DUCASSIS | CORE |</t>
  </si>
  <si>
    <t>BARBE | RUBY |</t>
  </si>
  <si>
    <t>CHEVALIER_DES_TEMPLIERS | CORE |</t>
  </si>
  <si>
    <t>TORPAH | CORE |</t>
  </si>
  <si>
    <t>BOURBON | CORE |</t>
  </si>
  <si>
    <t>TRAMKE | CORE |</t>
  </si>
  <si>
    <t>TUBORG | CORE |</t>
  </si>
  <si>
    <t>COMET | CORE |</t>
  </si>
  <si>
    <t>DIKKE_MATHILDE | CORE |</t>
  </si>
  <si>
    <t>KEYTE | CHERRY |</t>
  </si>
  <si>
    <t>VLASKOP | CORE |</t>
  </si>
  <si>
    <t>TRIPORTEUR | BLOND |</t>
  </si>
  <si>
    <t>TRIPORTEUR | CORE |</t>
  </si>
  <si>
    <t>TRIPORTEUR | TRIPEL |</t>
  </si>
  <si>
    <t>MANEBLUSSER | CORE |</t>
  </si>
  <si>
    <t>GILDENBIER | CORE |</t>
  </si>
  <si>
    <t>JULIUS | CORE |</t>
  </si>
  <si>
    <t>HERCK | BLOND |</t>
  </si>
  <si>
    <t>HERCK | TRIPEL |</t>
  </si>
  <si>
    <t>GEUZE_MORIAU | GUEUZE |</t>
  </si>
  <si>
    <t>ALKEN | CORE |</t>
  </si>
  <si>
    <t>ENAME | CORE |</t>
  </si>
  <si>
    <t>SAPPORO | CORE |</t>
  </si>
  <si>
    <t>LA_REDOUTABLE | CORE |</t>
  </si>
  <si>
    <t>TITANIUM | CORE |</t>
  </si>
  <si>
    <t>BETSY | TRIPEL |</t>
  </si>
  <si>
    <t>BETSY | RED |</t>
  </si>
  <si>
    <t>RAMON | CORE |</t>
  </si>
  <si>
    <t>BOULEVARD_TANK | CORE |</t>
  </si>
  <si>
    <t>QUEUE_DE_CHARRUE | CORE |</t>
  </si>
  <si>
    <t>TIETJE | CORE |</t>
  </si>
  <si>
    <t>MYTHOS | CORE |</t>
  </si>
  <si>
    <t>BEER_GEN | RADLER |</t>
  </si>
  <si>
    <t>BAR_BELGE | CORE |</t>
  </si>
  <si>
    <t>BAR_BIPPA | CORE |</t>
  </si>
  <si>
    <t>NA_DORST | CORE |</t>
  </si>
  <si>
    <t>BOLLEKE | CORE |</t>
  </si>
  <si>
    <t>CHOUFFE | WHISKEY_INFUSED |</t>
  </si>
  <si>
    <t>ST_FEUILLIEN | CORE |</t>
  </si>
  <si>
    <t>BRAVEN_APOSTEL | CORE |</t>
  </si>
  <si>
    <t>CLUYSENAER | BLOND |</t>
  </si>
  <si>
    <t>DEN_TSEUT | CORE |</t>
  </si>
  <si>
    <t>DEN_BRAS | CORE |</t>
  </si>
  <si>
    <t>HOPPESNOET | CORE |</t>
  </si>
  <si>
    <t>BEEKS_SCHEPPERKE | CORE |</t>
  </si>
  <si>
    <t>KOBBELKE | CORE |</t>
  </si>
  <si>
    <t>CRYSTAL | EXTRA |</t>
  </si>
  <si>
    <t>SINT_GUMMARUS | CORE |</t>
  </si>
  <si>
    <t>CHABLIS | WHITE |</t>
  </si>
  <si>
    <t>SALITOS | CORE |</t>
  </si>
  <si>
    <t>LA_GUILLOTINE | CORE |</t>
  </si>
  <si>
    <t>DULLE_GRIET | CORE |</t>
  </si>
  <si>
    <t>KASTEL | BLOND |</t>
  </si>
  <si>
    <t>KRUGER | CORE |</t>
  </si>
  <si>
    <t>BARISTA | CORE |</t>
  </si>
  <si>
    <t>DUNEKEUN | BLOND |</t>
  </si>
  <si>
    <t>ELITE | CORE |</t>
  </si>
  <si>
    <t>IWEIN_VAN_AALST | CORE |</t>
  </si>
  <si>
    <t>STILLE_NACHT | CORE |</t>
  </si>
  <si>
    <t>PATER_LIEVEN | WHITE |</t>
  </si>
  <si>
    <t>BROEDER_JACOB | BROWN |</t>
  </si>
  <si>
    <t>BRAVEN_APOSTEL | DUBBEL |</t>
  </si>
  <si>
    <t>PATER_LIEVEN | BROWN |</t>
  </si>
  <si>
    <t>ST_FEUILLIEN | DUBBEL |</t>
  </si>
  <si>
    <t>WITTE_TRAPPIST | CORE |</t>
  </si>
  <si>
    <t>BONS_VOEUX | CORE |</t>
  </si>
  <si>
    <t>BRIGAND | CORE |</t>
  </si>
  <si>
    <t>CESAR | CORE |</t>
  </si>
  <si>
    <t>DEUGNIET | CORE |</t>
  </si>
  <si>
    <t>DIKKENEK | CORE |</t>
  </si>
  <si>
    <t>DULLE_TEVE | CORE |</t>
  </si>
  <si>
    <t>ENFANT_TERRIPLE | CORE |</t>
  </si>
  <si>
    <t>GIJZELAARSKE | BLOND |</t>
  </si>
  <si>
    <t>SUPER_NOAH | CORE |</t>
  </si>
  <si>
    <t>SUZANNE | CORE |</t>
  </si>
  <si>
    <t>TERREST | TRIPEL |</t>
  </si>
  <si>
    <t>BOON | RASPBERRY |</t>
  </si>
  <si>
    <t>EYLENBOSCH | OUDE_GUEUZE |</t>
  </si>
  <si>
    <t>KWIBUS | TRIPEL |</t>
  </si>
  <si>
    <t>LAMORAL | CORE |</t>
  </si>
  <si>
    <t>MOEDER_OVERSTE | CORE |</t>
  </si>
  <si>
    <t>ONDINEKE | CORE |</t>
  </si>
  <si>
    <t>PEE_KLAK | CORE |</t>
  </si>
  <si>
    <t>LELIJKEN_DAS | CORE |</t>
  </si>
  <si>
    <t>REBEL_LOCAL | CORE |</t>
  </si>
  <si>
    <t>SATAN | CORE |</t>
  </si>
  <si>
    <t>FILOU | TRIPEL |</t>
  </si>
  <si>
    <t>ZEEVONK | CORE |</t>
  </si>
  <si>
    <t>SEAKING | TRIPEL |</t>
  </si>
  <si>
    <t>GENTSE_GRUUT | CORE |</t>
  </si>
  <si>
    <t>ED_BRUKSKE | CORE |</t>
  </si>
  <si>
    <t>DIKKE_LUL | CORE |</t>
  </si>
  <si>
    <t>DIRTY_TALK | CORE |</t>
  </si>
  <si>
    <t>FILIP_DE_STOUT | STOUT |</t>
  </si>
  <si>
    <t>GEVAARLEUKE | CORE |</t>
  </si>
  <si>
    <t>FUUT_FIEUW | CORE |</t>
  </si>
  <si>
    <t>LOTERBOL | CORE |</t>
  </si>
  <si>
    <t>LEIJKEN_DAS | CORE |</t>
  </si>
  <si>
    <t>LIMBURGSE_SCHONE | CORE |</t>
  </si>
  <si>
    <t>MAEGHT_VAN_GOTTEM | CORE |</t>
  </si>
  <si>
    <t>GEVAARLEUKE | TRIPEL |</t>
  </si>
  <si>
    <t>NOG_EENDJE | CORE |</t>
  </si>
  <si>
    <t>MONGOZO | CORE |</t>
  </si>
  <si>
    <t>HADES | CORE |</t>
  </si>
  <si>
    <t>HERCULE | CORE |</t>
  </si>
  <si>
    <t>HELLEKETEL | CORE |</t>
  </si>
  <si>
    <t>HOOGHEID | CORE |</t>
  </si>
  <si>
    <t>IMMORTELLE | CORE |</t>
  </si>
  <si>
    <t>KINKY_MEESTERESKE | CORE |</t>
  </si>
  <si>
    <t>KOOLPUTTER | TRIPEL |</t>
  </si>
  <si>
    <t>LA_CORNE_DU_BOIS_DES_PENDUS | CORE |</t>
  </si>
  <si>
    <t>LA_CORNE_DU_BOIS_DES_PENDUS | DUBBEL |</t>
  </si>
  <si>
    <t>LAZARUS | CORE |</t>
  </si>
  <si>
    <t>CALVADOS | CORE |</t>
  </si>
  <si>
    <t>RAGNAROCK | CORE |</t>
  </si>
  <si>
    <t>SEQUOIA | CORE |</t>
  </si>
  <si>
    <t>STRAFFE_HENDRIK | CORE |</t>
  </si>
  <si>
    <t>TETE_DE_MORT | CORE |</t>
  </si>
  <si>
    <t>TITS | DUBBEL |</t>
  </si>
  <si>
    <t>TRIPLE_TROUBLE | TRIPEL |</t>
  </si>
  <si>
    <t>UNWANTED_TATTOO | CORE |</t>
  </si>
  <si>
    <t>VOGELPIK | CORE |</t>
  </si>
  <si>
    <t>SILENT_KILLER | CORE |</t>
  </si>
  <si>
    <t>VLIEGEND_VARKEN | CORE |</t>
  </si>
  <si>
    <t>VISWIJF | CORE |</t>
  </si>
  <si>
    <t>TAMERA | CORE |</t>
  </si>
  <si>
    <t>TETE_DE_MORT | DUBBEL |</t>
  </si>
  <si>
    <t>THE_POM | CORE |</t>
  </si>
  <si>
    <t>ZWARTE_MADAM | CORE |</t>
  </si>
  <si>
    <t>MEESTER | DUBBEL |</t>
  </si>
  <si>
    <t>MEESTER | BLOND |</t>
  </si>
  <si>
    <t>MEESTER | SAISON |</t>
  </si>
  <si>
    <t>LANGHARIG_TUIG | CORE |</t>
  </si>
  <si>
    <t>FUNKY_FALCON | CORE |</t>
  </si>
  <si>
    <t>GREEN_BULLET | GREEN |</t>
  </si>
  <si>
    <t>WHITE_MAMBA | WHITE |</t>
  </si>
  <si>
    <t>LANGE_NEK | CORE |</t>
  </si>
  <si>
    <t>BARET | CORE |</t>
  </si>
  <si>
    <t>BIRD_OF_PREY | CORE |</t>
  </si>
  <si>
    <t>BOSCOLI | CORE |</t>
  </si>
  <si>
    <t>PATER_LIEVEN | BLOND |</t>
  </si>
  <si>
    <t>STEENUILKE | CORE |</t>
  </si>
  <si>
    <t>FOX_REYNAERT | AMBER |</t>
  </si>
  <si>
    <t>FOX_REYNAERT | GRAND_CRU |</t>
  </si>
  <si>
    <t>REDOUTABLE | CORE |</t>
  </si>
  <si>
    <t>SCOTCH_C.T.S. | SCOTCH |</t>
  </si>
  <si>
    <t>TRIPICK | CORE |</t>
  </si>
  <si>
    <t>MISTO | CORE |</t>
  </si>
  <si>
    <t>PETITE | CORE |</t>
  </si>
  <si>
    <t>VICARIS | CORE |</t>
  </si>
  <si>
    <t>KRIEKENBIER | CORE |</t>
  </si>
  <si>
    <t>HOPRUITER | CORE |</t>
  </si>
  <si>
    <t>LIMBURGSE_WITTE | CORE |</t>
  </si>
  <si>
    <t>KRISTOFFEL | BROWN |</t>
  </si>
  <si>
    <t>AMBIOROCKS | CORE |</t>
  </si>
  <si>
    <t>SAMBUCA | CORE |</t>
  </si>
  <si>
    <t>PLEASURE_RED | RED |</t>
  </si>
  <si>
    <t>BON_VOEUX | CORE |</t>
  </si>
  <si>
    <t>JUICE_JUNKIE | CORE |</t>
  </si>
  <si>
    <t>FUET | CORE |</t>
  </si>
  <si>
    <t>COBRA | CORE |</t>
  </si>
  <si>
    <t>KINGFISHER | CORE |</t>
  </si>
  <si>
    <t>NATTE_LORE | CORE |</t>
  </si>
  <si>
    <t>PLOEGSTEERT | RED |</t>
  </si>
  <si>
    <t>PLUGSTREET | CORE |</t>
  </si>
  <si>
    <t>PLOEGSTEERT | BLOND |</t>
  </si>
  <si>
    <t>VLAAMSCHE_LEEUW | CORE |</t>
  </si>
  <si>
    <t>LUCIE | CORE |</t>
  </si>
  <si>
    <t>MINERVA | CORE |</t>
  </si>
  <si>
    <t>TARAS_BOULBA | CORE |</t>
  </si>
  <si>
    <t>BRUXELLENSIS | CORE |</t>
  </si>
  <si>
    <t>LA_CORNE_DU_BOIS_DES_PENDUS | QUADRUPEL |</t>
  </si>
  <si>
    <t>HOUPPE | IPA |</t>
  </si>
  <si>
    <t>MALIBU | CORE |</t>
  </si>
  <si>
    <t>SAFARI | CORE |</t>
  </si>
  <si>
    <t>GREY_GOOSE | CORE |</t>
  </si>
  <si>
    <t>TAITTINGER | CORE |</t>
  </si>
  <si>
    <t>BOLLINGER | CORE |</t>
  </si>
  <si>
    <t>OPS_ALE | CORE |</t>
  </si>
  <si>
    <t>SCOTCH_CTS | CORE |</t>
  </si>
  <si>
    <t>CURTIUS | BLOND |</t>
  </si>
  <si>
    <t>BORNEM | CORE |</t>
  </si>
  <si>
    <t>PAULANER | CORE |</t>
  </si>
  <si>
    <t>ERDINGER | DUBBEL |</t>
  </si>
  <si>
    <t>BARO | WHITE |</t>
  </si>
  <si>
    <t>BARO | ROSE |</t>
  </si>
  <si>
    <t>BARO | RED |</t>
  </si>
  <si>
    <t>STRAFFE_HENDRIK | BLOND |</t>
  </si>
  <si>
    <t>CHARLES_LAMBERTS | PILSNER |</t>
  </si>
  <si>
    <t>ST_HUBERTUS | WILD |</t>
  </si>
  <si>
    <t>SPECIALE | CORE |</t>
  </si>
  <si>
    <t>BOCK_GEN | BOCK |</t>
  </si>
  <si>
    <t>KRIEK_BELL_VUE | CHERRY |</t>
  </si>
  <si>
    <t>JUNGLE_JOY | CORE |</t>
  </si>
  <si>
    <t>WARSTEINER | CORE |</t>
  </si>
  <si>
    <t>GULPENER | WEIZEN |</t>
  </si>
  <si>
    <t>GULPENER | PILSNER |</t>
  </si>
  <si>
    <t>PALJAS | CORE |</t>
  </si>
  <si>
    <t>KEEKEBISJ | CORE |</t>
  </si>
  <si>
    <t>BOEKTBIER | CORE |</t>
  </si>
  <si>
    <t>DURBUY | BLOND |</t>
  </si>
  <si>
    <t>MARCUS | BLOND |</t>
  </si>
  <si>
    <t>MARTENS | CORE |</t>
  </si>
  <si>
    <t>GAGELEER | BLOND |</t>
  </si>
  <si>
    <t>STEENBRUGGE | CORE |</t>
  </si>
  <si>
    <t>SUNNY_MOON | CORE |</t>
  </si>
  <si>
    <t>CURTIUS | CORE |</t>
  </si>
  <si>
    <t>BIERE_DES_AMIS | CORE |</t>
  </si>
  <si>
    <t>GOOSE_IPA | CORE |</t>
  </si>
  <si>
    <t>PICON_BIERE | CORE |</t>
  </si>
  <si>
    <t>L_AROGANTE | CORE |</t>
  </si>
  <si>
    <t>ENERGIBAJER | CORE |</t>
  </si>
  <si>
    <t>DE_GLAZEN_TOREN | CUVEE |</t>
  </si>
  <si>
    <t>CURIEUSE_NEUS | CORE |</t>
  </si>
  <si>
    <t>FANTUME | CORE |</t>
  </si>
  <si>
    <t>AREND | CORE |</t>
  </si>
  <si>
    <t>DE_GLAZEN_TOREN | CORE |</t>
  </si>
  <si>
    <t>KWIBUS | CORE |</t>
  </si>
  <si>
    <t>L_IMPERATRICE | CORE |</t>
  </si>
  <si>
    <t>EPEAUTRE | SAISON |</t>
  </si>
  <si>
    <t>VAPEUR | CORE |</t>
  </si>
  <si>
    <t>LA_CORNE | QUADRUPEL |</t>
  </si>
  <si>
    <t>SAINT_MONON | HOP |</t>
  </si>
  <si>
    <t>NOSTRADAMUS | CORE |</t>
  </si>
  <si>
    <t>OERBIER | CORE |</t>
  </si>
  <si>
    <t>ORBIT | CORE |</t>
  </si>
  <si>
    <t>PANNEPOT | VINTAGE |</t>
  </si>
  <si>
    <t>PATIENCE | CORE |</t>
  </si>
  <si>
    <t>ROCHEHAUT | TRIPEL |</t>
  </si>
  <si>
    <t>SAISONNEKE | CORE |</t>
  </si>
  <si>
    <t>KORUS | SAISON |</t>
  </si>
  <si>
    <t>SIMPLEX | CORE |</t>
  </si>
  <si>
    <t>VALDUC | CORE |</t>
  </si>
  <si>
    <t>TUVERBOL | CORE |</t>
  </si>
  <si>
    <t>URINE | CORE |</t>
  </si>
  <si>
    <t>VALEIR | BLOND |</t>
  </si>
  <si>
    <t>VALEIR | TRIPEL |</t>
  </si>
  <si>
    <t>WOLF_7 | CORE |</t>
  </si>
  <si>
    <t>ZATTE_BIE | CORE |</t>
  </si>
  <si>
    <t>ABBAYE_DES_ROCS | BROWN |</t>
  </si>
  <si>
    <t>ARDENNE | TRIPEL |</t>
  </si>
  <si>
    <t>BACCHUS | CORE |</t>
  </si>
  <si>
    <t>SAISON_DUPONT | CORE |</t>
  </si>
  <si>
    <t>BIOLEGERE | CORE |</t>
  </si>
  <si>
    <t>BARREL_AGED | STOUT |</t>
  </si>
  <si>
    <t>BORINER_VICE | CORE |</t>
  </si>
  <si>
    <t>BOSKEUN | CORE |</t>
  </si>
  <si>
    <t>BOSPROTTER | CORE |</t>
  </si>
  <si>
    <t>CUVEE_DES_JACOBINS | CUVEE |</t>
  </si>
  <si>
    <t>DE_GRAAL | TRIPEL |</t>
  </si>
  <si>
    <t>BLONDE_HERBERG | BLOND |</t>
  </si>
  <si>
    <t>BLONDE_HERBERG | CUVEE |</t>
  </si>
  <si>
    <t>DOMINICAINS | QUADRUPEL |</t>
  </si>
  <si>
    <t>DYNAMITE | CORE |</t>
  </si>
  <si>
    <t>ELFIQUE | TRIPEL |</t>
  </si>
  <si>
    <t>FOL_DOREE | GOLD |</t>
  </si>
  <si>
    <t>GULDEN_DRAAK | WHISKEY_INFUSED |</t>
  </si>
  <si>
    <t>HOUTEN_KOP | CORE |</t>
  </si>
  <si>
    <t>KAPITTEL | CORE |</t>
  </si>
  <si>
    <t>TRIPEL_KANUNNIK | CORE |</t>
  </si>
  <si>
    <t>KEIKOP | CORE |</t>
  </si>
  <si>
    <t>KEREL | IPA |</t>
  </si>
  <si>
    <t>KORUS | IPA |</t>
  </si>
  <si>
    <t>CANTILLON | CORE |</t>
  </si>
  <si>
    <t>DE_CAM | CORE |</t>
  </si>
  <si>
    <t>DE_TROCH | CORE |</t>
  </si>
  <si>
    <t>BLONDE_HERBERG | CORE |</t>
  </si>
  <si>
    <t>EYLENBOSCH | CORE |</t>
  </si>
  <si>
    <t>BLONDE_HERBERG | GUEUZE |</t>
  </si>
  <si>
    <t>GIRARDIN | CORE |</t>
  </si>
  <si>
    <t>HANSSENS | CORE |</t>
  </si>
  <si>
    <t>MORIAU | CORE |</t>
  </si>
  <si>
    <t>OUD_BEERSEL | CORE |</t>
  </si>
  <si>
    <t>TILQUIN | CORE |</t>
  </si>
  <si>
    <t>TIMMERMANS | CORE |</t>
  </si>
  <si>
    <t>KEYTE | BROWN |</t>
  </si>
  <si>
    <t>SJARLEWIED | CORE |</t>
  </si>
  <si>
    <t>TEMPELIER | CORE |</t>
  </si>
  <si>
    <t>ST_FEUILLIEN | WHITE |</t>
  </si>
  <si>
    <t>PANACHE | CORE |</t>
  </si>
  <si>
    <t>PERROQUET | CORE |</t>
  </si>
  <si>
    <t>VAUDREE | CORE |</t>
  </si>
  <si>
    <t>HOUPPE | CORE |</t>
  </si>
  <si>
    <t>LEOPOLD | CORE |</t>
  </si>
  <si>
    <t>POILUCHETTE | CORE |</t>
  </si>
  <si>
    <t>SUPER_DES_FAGNES | CORE |</t>
  </si>
  <si>
    <t>BIG_NOSE | CORE |</t>
  </si>
  <si>
    <t>BINCHOISE | CORE |</t>
  </si>
  <si>
    <t>BON_VOEUX | TRIPEL |</t>
  </si>
  <si>
    <t>BRICE | CORE |</t>
  </si>
  <si>
    <t>CLAUSTHALER | CORE |</t>
  </si>
  <si>
    <t>SLOEBER | IPA |</t>
  </si>
  <si>
    <t>WESTVLETEREN | 6 |</t>
  </si>
  <si>
    <t>DEMI_DE_MELEE | CORE |</t>
  </si>
  <si>
    <t>DANGEROUSSE | CORE |</t>
  </si>
  <si>
    <t>BRAVEN_APOSTEL | BROWN |</t>
  </si>
  <si>
    <t>LICHTE_LORE | CORE |</t>
  </si>
  <si>
    <t>KRAAIKE | CORE |</t>
  </si>
  <si>
    <t>SCHUPPENBOER | CORE |</t>
  </si>
  <si>
    <t>VLAAMSCHE_LEEUW | TRIPEL |</t>
  </si>
  <si>
    <t>KOMPEL | CORE |</t>
  </si>
  <si>
    <t>KLOKKE | TRIPEL |</t>
  </si>
  <si>
    <t>TSINGTAO | CORE |</t>
  </si>
  <si>
    <t>VICARIS | RED |</t>
  </si>
  <si>
    <t>TAFELSTOUT | CORE |</t>
  </si>
  <si>
    <t>PADEL | CORE |</t>
  </si>
  <si>
    <t>GRAND_CRU_GEN | TRIPEL |</t>
  </si>
  <si>
    <t>DUIVELS_BIER | CORE |</t>
  </si>
  <si>
    <t>PANNEPOT | CORE |</t>
  </si>
  <si>
    <t>WESTVLETEREN | CORE |</t>
  </si>
  <si>
    <t>CIAOCELLO | CORE |</t>
  </si>
  <si>
    <t>VIEUX_TEMPS | CORE |</t>
  </si>
  <si>
    <t>HOPSCHEPPER | CORE |</t>
  </si>
  <si>
    <t>DEVIL | CORE |</t>
  </si>
  <si>
    <t>KOOLPUTTER | CORE |</t>
  </si>
  <si>
    <t>NONNEKE | CORE |</t>
  </si>
  <si>
    <t>BARET | TRIPEL |</t>
  </si>
  <si>
    <t>PAX_PILS | PILSNER |</t>
  </si>
  <si>
    <t>PANACH | CORE |</t>
  </si>
  <si>
    <t>VESPER | CORE |</t>
  </si>
  <si>
    <t>CISTER | CORE |</t>
  </si>
  <si>
    <t>BEER_GEN | DUBBEL |</t>
  </si>
  <si>
    <t>BRAVEN | CORE |</t>
  </si>
  <si>
    <t>CRYSTAL | CORE |</t>
  </si>
  <si>
    <t>BLOEMEKEI | CORE |</t>
  </si>
  <si>
    <t>BLONDE_HERBERG | TRIPEL |</t>
  </si>
  <si>
    <t>OUD_BEERSEL | BLOND |</t>
  </si>
  <si>
    <t>GINETTE | BLOND |</t>
  </si>
  <si>
    <t>FARO_GEN | CORE |</t>
  </si>
  <si>
    <t>NON_PEUT_ETRE | CORE |</t>
  </si>
  <si>
    <t>HOPSINJOOR | CORE |</t>
  </si>
  <si>
    <t>LAMME_GOEDZAK | CORE |</t>
  </si>
  <si>
    <t>TRIP_ANVERS | CORE |</t>
  </si>
  <si>
    <t>VLIERBEEK | CORE |</t>
  </si>
  <si>
    <t>PIER_KLOEFFE | CORE |</t>
  </si>
  <si>
    <t>OYENKERKE | CORE |</t>
  </si>
  <si>
    <t>DURBUY | CORE |</t>
  </si>
  <si>
    <t>LA_TENDUE | CORE |</t>
  </si>
  <si>
    <t>SENYOR_VOLTOR | CORE |</t>
  </si>
  <si>
    <t>IJWIT | CORE |</t>
  </si>
  <si>
    <t>PJEIREFRETTER | CORE |</t>
  </si>
  <si>
    <t>TIMMERMANS | PEACH |</t>
  </si>
  <si>
    <t>GOUDSTER | BLOND |</t>
  </si>
  <si>
    <t>KEYTJE | CORE |</t>
  </si>
  <si>
    <t>BETSY | CORE |</t>
  </si>
  <si>
    <t>BETSY | CHERRY |</t>
  </si>
  <si>
    <t>LEROY | STOUT |</t>
  </si>
  <si>
    <t>GARDIAAN | CORE |</t>
  </si>
  <si>
    <t>TOURNAY | CORE |</t>
  </si>
  <si>
    <t>GERMAIN | CORE |</t>
  </si>
  <si>
    <t>SNEEUWWITJE | CORE |</t>
  </si>
  <si>
    <t>CUVEE_CLARISSE | DUBBEL |</t>
  </si>
  <si>
    <t>CUVEE_CLARISSE | CHERRY |</t>
  </si>
  <si>
    <t>CUVEE_CLARISSE | TRIPEL |</t>
  </si>
  <si>
    <t>BACCHUS | CHERRY |</t>
  </si>
  <si>
    <t>KASTEL | CORE |</t>
  </si>
  <si>
    <t>VLIET | CORE |</t>
  </si>
  <si>
    <t>RADIO_MINERVA | CORE |</t>
  </si>
  <si>
    <t>PRINSKE | CORE |</t>
  </si>
  <si>
    <t>BLOEMENKEL | IPA |</t>
  </si>
  <si>
    <t>PATER_LIEVEN | CORE |</t>
  </si>
  <si>
    <t>CONTJE | CORE |</t>
  </si>
  <si>
    <t>DESIDEER | BROWN |</t>
  </si>
  <si>
    <t>AMER_AMER | CORE |</t>
  </si>
  <si>
    <t>BOETELING | CORE |</t>
  </si>
  <si>
    <t>COAST | BLOND |</t>
  </si>
  <si>
    <t>COAST | BROWN |</t>
  </si>
  <si>
    <t>COAST | CORE |</t>
  </si>
  <si>
    <t>DELVAUX | CORE |</t>
  </si>
  <si>
    <t>BRIGAND | BLOND |</t>
  </si>
  <si>
    <t>ZIEKE_GEEST | CORE |</t>
  </si>
  <si>
    <t>JOSKE | CORE |</t>
  </si>
  <si>
    <t>MOEMOE | CORE |</t>
  </si>
  <si>
    <t>LUCIE | BLOND |</t>
  </si>
  <si>
    <t>GOLIATH | CORE |</t>
  </si>
  <si>
    <t>BEER_OF_THE_MONTH | CORE |</t>
  </si>
  <si>
    <t>SAINTE_NITOUCHE | CORE |</t>
  </si>
  <si>
    <t>MARTIN_S | CORE |</t>
  </si>
  <si>
    <t>BIERE_DES_AMIS | TRIPEL |</t>
  </si>
  <si>
    <t>BIERE_DES_AMIS | IPA |</t>
  </si>
  <si>
    <t>GINETTE | CORE |</t>
  </si>
  <si>
    <t>SINGILLIS | BLOND |</t>
  </si>
  <si>
    <t>KLOOTZAKSKE | BLOND |</t>
  </si>
  <si>
    <t>VLOTTE_GRIET | CORE |</t>
  </si>
  <si>
    <t>SUPER_CADIX | PILSNER |</t>
  </si>
  <si>
    <t>BOOTJESBIER | CORE |</t>
  </si>
  <si>
    <t>KLOEKE_DIVA | CORE |</t>
  </si>
  <si>
    <t>CHOUFFE | BOCK |</t>
  </si>
  <si>
    <t>ERDINGER | BLOND |</t>
  </si>
  <si>
    <t>BARKENTIJN | TRIPEL |</t>
  </si>
  <si>
    <t>BARKENTIJN | RED |</t>
  </si>
  <si>
    <t>BARKENTIJN | DUBBEL |</t>
  </si>
  <si>
    <t>OYENKERKE | BLOND |</t>
  </si>
  <si>
    <t>FLANDRIEN | RED |</t>
  </si>
  <si>
    <t>BAPTIST | CORE |</t>
  </si>
  <si>
    <t>DUNEKEUN | CORE |</t>
  </si>
  <si>
    <t>KLOOTZAKSKE | CORE |</t>
  </si>
  <si>
    <t>KEIZER_VAN_HERTALS | BROWN |</t>
  </si>
  <si>
    <t>VLAAMSCHE_LEEUW | DUBBEL |</t>
  </si>
  <si>
    <t>KAAIMAN | CORE |</t>
  </si>
  <si>
    <t>TORIA | CORE |</t>
  </si>
  <si>
    <t>KERSTPATER | CORE |</t>
  </si>
  <si>
    <t>TROTTINETTE | CORE |</t>
  </si>
  <si>
    <t>GRIMBERGEN | HOP |</t>
  </si>
  <si>
    <t>GOUDEN_CAROLUS | UNFILTERED |</t>
  </si>
  <si>
    <t>ROCHEHAUT | BLOND |</t>
  </si>
  <si>
    <t>ROCHEHAUT | IPA |</t>
  </si>
  <si>
    <t>KASTEL | RED |</t>
  </si>
  <si>
    <t>C.T.S | CORE |</t>
  </si>
  <si>
    <t>ARTEVELDE | CORE |</t>
  </si>
  <si>
    <t>STIEN | TRIPEL |</t>
  </si>
  <si>
    <t>BAR_BO | CORE |</t>
  </si>
  <si>
    <t>KASTEELBIER | GRAND_CRU |</t>
  </si>
  <si>
    <t>DELTA_IPA | CORE |</t>
  </si>
  <si>
    <t>SPACE_CADET | CORE |</t>
  </si>
  <si>
    <t>GROSSE_BERTHA | CORE |</t>
  </si>
  <si>
    <t>COLOMBO | CORE |</t>
  </si>
  <si>
    <t>BOFFERDING | CORE |</t>
  </si>
  <si>
    <t>BATTIN | BLOND |</t>
  </si>
  <si>
    <t>BATTIN | WHITE |</t>
  </si>
  <si>
    <t>DIEKIRCH | GRAND_CRU |</t>
  </si>
  <si>
    <t>BATTIN | CORE |</t>
  </si>
  <si>
    <t>OPKIKKER | BLOND |</t>
  </si>
  <si>
    <t>OPKIKKER | BROWN |</t>
  </si>
  <si>
    <t>OPKIKKER | CORE |</t>
  </si>
  <si>
    <t>ARCHIDUC | CORE |</t>
  </si>
  <si>
    <t>CHEVAL_GODET | CORE |</t>
  </si>
  <si>
    <t>HEINEKEN | CORE |</t>
  </si>
  <si>
    <t>BELVEDERE | CORE |</t>
  </si>
  <si>
    <t>URINE | DUBBEL |</t>
  </si>
  <si>
    <t>FUGUSHIMA | CORE |</t>
  </si>
  <si>
    <t>DELIRIUM | ROSE |</t>
  </si>
  <si>
    <t>DRAGORA | CORE |</t>
  </si>
  <si>
    <t>MAREDRET | CORE |</t>
  </si>
  <si>
    <t>KING_MULE | CORE |</t>
  </si>
  <si>
    <t>BARREL_AGED | BLACK |</t>
  </si>
  <si>
    <t>EYLENBOSCH | BLOND |</t>
  </si>
  <si>
    <t>STOUT_GEN | DUBBEL |</t>
  </si>
  <si>
    <t>BELLE_FLEUR | CORE |</t>
  </si>
  <si>
    <t>SLOEBER | CORE |</t>
  </si>
  <si>
    <t>BRASVAR | CORE |</t>
  </si>
  <si>
    <t>CURTIUS | BLACK |</t>
  </si>
  <si>
    <t>FLANDRIEN | IPA |</t>
  </si>
  <si>
    <t>TRIPEL_BERTHA | TRIPEL |</t>
  </si>
  <si>
    <t>KEREL | CORE |</t>
  </si>
  <si>
    <t>TER_DOLEN | WHITE |</t>
  </si>
  <si>
    <t>LEROY | CORE |</t>
  </si>
  <si>
    <t>LEROY | BLOND |</t>
  </si>
  <si>
    <t>MONTE_CRISTO | CORE |</t>
  </si>
  <si>
    <t>DEUS_BRUT_DES_FLANDRES | CORE |</t>
  </si>
  <si>
    <t>DESIDEER | CORE |</t>
  </si>
  <si>
    <t>SUPER_BOCK | BOCK |</t>
  </si>
  <si>
    <t>PAUWEL_KWAK | DUBBEL |</t>
  </si>
  <si>
    <t>QUEUE_DE_CHARRUE | OAKED |</t>
  </si>
  <si>
    <t>GIRARDIN | OUDE_KRIEK |</t>
  </si>
  <si>
    <t>GIRARDIN | RASPBERRY |</t>
  </si>
  <si>
    <t>OUD_BEERSEL | RASPBERRY |</t>
  </si>
  <si>
    <t>CANTILLON | OUDE_KRIEK |</t>
  </si>
  <si>
    <t>GEORGES_IV | CORE |</t>
  </si>
  <si>
    <t>KLETS | CORE |</t>
  </si>
  <si>
    <t>GOEDENDAG | CORE |</t>
  </si>
  <si>
    <t>VLETEREN | CORE |</t>
  </si>
  <si>
    <t>FOU_DE_MER | CORE |</t>
  </si>
  <si>
    <t>CUVEE_LEOPOLD | CUVEE |</t>
  </si>
  <si>
    <t>ST_BERNARDUS | XMAS |</t>
  </si>
  <si>
    <t>ARA | CORE |</t>
  </si>
  <si>
    <t>BELGIAN_STARS_&amp;_STRIPES | CORE |</t>
  </si>
  <si>
    <t>SILLY | PILSNER |</t>
  </si>
  <si>
    <t>LAGUNITAS | CORE |</t>
  </si>
  <si>
    <t>SAMHAIN | CORE |</t>
  </si>
  <si>
    <t>TEMPELIER | BLOND |</t>
  </si>
  <si>
    <t>LOKALES | CORE |</t>
  </si>
  <si>
    <t>SAGRES | CORE |</t>
  </si>
  <si>
    <t>BOURGOGNE_DES_FLANDRES | BROWN |</t>
  </si>
  <si>
    <t>BUITENBEEN | CORE |</t>
  </si>
  <si>
    <t>SILLY | IPA |</t>
  </si>
  <si>
    <t>KARTUIS | CORE |</t>
  </si>
  <si>
    <t>MONACO | CORE |</t>
  </si>
  <si>
    <t>DE_RANKE | CORE |</t>
  </si>
  <si>
    <t>PARANOIA | CORE |</t>
  </si>
  <si>
    <t>FORT_LAPIN | 8 |</t>
  </si>
  <si>
    <t>FORT_LAPIN | 10 |</t>
  </si>
  <si>
    <t>ROSTEKOP | CORE |</t>
  </si>
  <si>
    <t>BOER_BLOEM | CORE |</t>
  </si>
  <si>
    <t>FOURCHETTE | TRIPEL |</t>
  </si>
  <si>
    <t>JESSENHOFKE | TRIPEL |</t>
  </si>
  <si>
    <t>KEMPISCH_VUUR | CORE |</t>
  </si>
  <si>
    <t>VAL_DIEU | DUBBEL |</t>
  </si>
  <si>
    <t>H._LIVINUS | CORE |</t>
  </si>
  <si>
    <t>SPITFIRE | CORE |</t>
  </si>
  <si>
    <t>ZONNEGEMSE_ZOT | CORE |</t>
  </si>
  <si>
    <t>ABBAYE_DE_FOREST | CORE |</t>
  </si>
  <si>
    <t>SPAVLA | CORE |</t>
  </si>
  <si>
    <t>KIVLA | CORE |</t>
  </si>
  <si>
    <t>SWIEKES | TRIPEL |</t>
  </si>
  <si>
    <t>HEROES_AMAZING_BLOND | CORE |</t>
  </si>
  <si>
    <t>FOURCHETTE | BLOND |</t>
  </si>
  <si>
    <t>MOEDER_MADONNA | CORE |</t>
  </si>
  <si>
    <t>TULIPE | CORE |</t>
  </si>
  <si>
    <t>TOETILER | BLOND |</t>
  </si>
  <si>
    <t>TOETILER | TRIPEL |</t>
  </si>
  <si>
    <t>TOETILER | CORE |</t>
  </si>
  <si>
    <t>SILLY | WHITE |</t>
  </si>
  <si>
    <t>DIKKENEK | IPA |</t>
  </si>
  <si>
    <t>DE_OUDE_CAM | CORE |</t>
  </si>
  <si>
    <t>DE_TROCH | CUVEE |</t>
  </si>
  <si>
    <t>BOON | BLACK |</t>
  </si>
  <si>
    <t>BOCKOR | CORE |</t>
  </si>
  <si>
    <t>JART_ELLE | CORE |</t>
  </si>
  <si>
    <t>ERDINGER | RADLER |</t>
  </si>
  <si>
    <t>GREGORIUS | CORE |</t>
  </si>
  <si>
    <t>ORGANICUS | WHITE |</t>
  </si>
  <si>
    <t>L_AMBREE | CORE |</t>
  </si>
  <si>
    <t>ADELARDUS | TRIPEL |</t>
  </si>
  <si>
    <t>BAST | CORE |</t>
  </si>
  <si>
    <t>DIEKIRCH | CORE |</t>
  </si>
  <si>
    <t>ROCHEHAUT | CORE |</t>
  </si>
  <si>
    <t>LA_VIEILLE | TRIPEL |</t>
  </si>
  <si>
    <t>WESTMALLE | LIMITED |</t>
  </si>
  <si>
    <t>THE_MONK | BLOND |</t>
  </si>
  <si>
    <t>THE_MONK | BROWN |</t>
  </si>
  <si>
    <t>DELIRIUM | IPA |</t>
  </si>
  <si>
    <t>BON_SECOURS | HOP |</t>
  </si>
  <si>
    <t>BARBAR | HONEY |</t>
  </si>
  <si>
    <t>FORT_LAPIN | TRIPEL |</t>
  </si>
  <si>
    <t>FORT_LAPIN | DUBBEL |</t>
  </si>
  <si>
    <t>FORT_LAPIN | CORE |</t>
  </si>
  <si>
    <t>CIRCUS | SAISON |</t>
  </si>
  <si>
    <t>MONGOZO | PILSNER |</t>
  </si>
  <si>
    <t>TRIPEL_KANUNNIK | AMBER |</t>
  </si>
  <si>
    <t>AUBEL | CORE |</t>
  </si>
  <si>
    <t>AUBEL | DUBBEL |</t>
  </si>
  <si>
    <t>GULPENER | IPA |</t>
  </si>
  <si>
    <t>GULPENER | RADLER |</t>
  </si>
  <si>
    <t>N_ROSTEN | CORE |</t>
  </si>
  <si>
    <t>TAXANDRIA | PORTER |</t>
  </si>
  <si>
    <t>RICARD | BLUE |</t>
  </si>
  <si>
    <t>DELUXE | CORE |</t>
  </si>
  <si>
    <t>THRIVE | IPA |</t>
  </si>
  <si>
    <t>WALSBERGER | DUBBEL |</t>
  </si>
  <si>
    <t>VERBODEN_VRUCHT | CORE |</t>
  </si>
  <si>
    <t>OESTERSTOUT | CORE |</t>
  </si>
  <si>
    <t>BLANCHE_DES_NEIGES | WHITE |</t>
  </si>
  <si>
    <t>BIDON | CORE |</t>
  </si>
  <si>
    <t>BLOEMENKEL | CORE |</t>
  </si>
  <si>
    <t>STOUTERIK | CORE |</t>
  </si>
  <si>
    <t>MAK_ES_PRUUVE | CORE |</t>
  </si>
  <si>
    <t>ADRIANUS | GOLD |</t>
  </si>
  <si>
    <t>PEETERMAN | CORE |</t>
  </si>
  <si>
    <t>SANCTUS_DOMINICUS_PRIOR | CORE |</t>
  </si>
  <si>
    <t>KWAK | CHERRY |</t>
  </si>
  <si>
    <t>MESSINA | CORE |</t>
  </si>
  <si>
    <t>VRIJWIT | CORE |</t>
  </si>
  <si>
    <t>MONSTER_ENERGY | CORE |</t>
  </si>
  <si>
    <t>KRISTOFFEL | CORE |</t>
  </si>
  <si>
    <t>HANSSENS | GUEUZE |</t>
  </si>
  <si>
    <t>RENDEZ_VOUS | CORE |</t>
  </si>
  <si>
    <t>SLAAPMUTSKE | CORE |</t>
  </si>
  <si>
    <t>CRABBELAER | CORE |</t>
  </si>
  <si>
    <t>ENGELSZELL | CORE |</t>
  </si>
  <si>
    <t>TRE_FONTANE | CORE |</t>
  </si>
  <si>
    <t>SINGHA | CORE |</t>
  </si>
  <si>
    <t>PORETTI | CORE |</t>
  </si>
  <si>
    <t>PAPEGI | CORE |</t>
  </si>
  <si>
    <t>BLINDE_MOL | CORE |</t>
  </si>
  <si>
    <t>HOPVERDOMME | CORE |</t>
  </si>
  <si>
    <t>VALS_PATERKE | CORE |</t>
  </si>
  <si>
    <t>VERZET | CORE |</t>
  </si>
  <si>
    <t>GOLDING_CAMPINA | CORE |</t>
  </si>
  <si>
    <t>NE_KEMPING | CORE |</t>
  </si>
  <si>
    <t>JESSENHOFKE | CORE |</t>
  </si>
  <si>
    <t>RASTA_TROLL | CORE |</t>
  </si>
  <si>
    <t>SPINTJE | CORE |</t>
  </si>
  <si>
    <t>FRAM_BUSH | CORE |</t>
  </si>
  <si>
    <t>PLAASJKE | CORE |</t>
  </si>
  <si>
    <t>HOMMEL_BIER | CORE |</t>
  </si>
  <si>
    <t>BICYCLETTE | CORE |</t>
  </si>
  <si>
    <t>BRUSSELAIR | CORE |</t>
  </si>
  <si>
    <t>SAISONNEKKE | CORE |</t>
  </si>
  <si>
    <t>SILLY | CORE |</t>
  </si>
  <si>
    <t>ENGHIEN | CORE |</t>
  </si>
  <si>
    <t>REBELSE_STROP | CORE |</t>
  </si>
  <si>
    <t>KLEVERENTIEN | CORE |</t>
  </si>
  <si>
    <t>SWIEKES | CORE |</t>
  </si>
  <si>
    <t>GOLDEN_TRICKY | CORE |</t>
  </si>
  <si>
    <t>BRETT_ELLE | CORE |</t>
  </si>
  <si>
    <t>PICO_BELLO | CORE |</t>
  </si>
  <si>
    <t>CONINCK | CORE |</t>
  </si>
  <si>
    <t>ICHNUSA | CORE |</t>
  </si>
  <si>
    <t>HALF_HALF | CORE |</t>
  </si>
  <si>
    <t>DIULE | CORE |</t>
  </si>
  <si>
    <t>ARTIESTJE | CORE |</t>
  </si>
  <si>
    <t>GLORIAAN | CORE |</t>
  </si>
  <si>
    <t>BRONZEN_BARON | CORE |</t>
  </si>
  <si>
    <t>MOKKE | CORE |</t>
  </si>
  <si>
    <t>FUSEE | CORE |</t>
  </si>
  <si>
    <t>WATERLOO | CORE |</t>
  </si>
  <si>
    <t>COMPT | CORE |</t>
  </si>
  <si>
    <t>BOLDER | CORE |</t>
  </si>
  <si>
    <t>DEUGDEN | CORE |</t>
  </si>
  <si>
    <t>FAGNES | CORE |</t>
  </si>
  <si>
    <t>STAR | CORE |</t>
  </si>
  <si>
    <t>SURREALISTE | CORE |</t>
  </si>
  <si>
    <t>JOHANNES | CORE |</t>
  </si>
  <si>
    <t>TITE | CORE |</t>
  </si>
  <si>
    <t>VICUS | CORE |</t>
  </si>
  <si>
    <t>ANKER | CORE |</t>
  </si>
  <si>
    <t>LA_CAMBRE | CORE |</t>
  </si>
  <si>
    <t>KIEKEBISJ_BIO | CORE |</t>
  </si>
  <si>
    <t>WITTEKERKE | CORE |</t>
  </si>
  <si>
    <t>KISS_MY_NEIGHBOURS_WIFE | CORE |</t>
  </si>
  <si>
    <t>WUVETJE | CORE |</t>
  </si>
  <si>
    <t>PATRO | CORE |</t>
  </si>
  <si>
    <t>AVARITIA | CORE |</t>
  </si>
  <si>
    <t>JOLLY | CORE |</t>
  </si>
  <si>
    <t>FEMME_FATALE | CORE |</t>
  </si>
  <si>
    <t>ANOSTEKE | CORE |</t>
  </si>
  <si>
    <t>LUC_PIRLET | CORE |</t>
  </si>
  <si>
    <t>TJOLDER | CORE |</t>
  </si>
  <si>
    <t>LEO_BEER | CORE |</t>
  </si>
  <si>
    <t>MORIS | CORE |</t>
  </si>
  <si>
    <t>WILDEBEEST | CORE |</t>
  </si>
  <si>
    <t>BENNO | CORE |</t>
  </si>
  <si>
    <t>NIVARD | CORE |</t>
  </si>
  <si>
    <t>PATER_GEN | CORE |</t>
  </si>
  <si>
    <t>BESSY | CORE |</t>
  </si>
  <si>
    <t>GAULOISE | CORE |</t>
  </si>
  <si>
    <t>BIRRA_MORETTI | CORE |</t>
  </si>
  <si>
    <t>NE_NUVE | CORE |</t>
  </si>
  <si>
    <t>MIEK_EXOTIEK | CORE |</t>
  </si>
  <si>
    <t>MANHAYDOISE | CORE |</t>
  </si>
  <si>
    <t>LA_THAREE | CORE |</t>
  </si>
  <si>
    <t>LA_VIEILLE | CORE |</t>
  </si>
  <si>
    <t>CLUYSENAER | CORE |</t>
  </si>
  <si>
    <t>LEUTE | CORE |</t>
  </si>
  <si>
    <t>FLIEREFLUITER | CORE |</t>
  </si>
  <si>
    <t>WATOU | CORE |</t>
  </si>
  <si>
    <t>FLURK | CORE |</t>
  </si>
  <si>
    <t>ORVELO | CORE |</t>
  </si>
  <si>
    <t>BEL_CHIC | CORE |</t>
  </si>
  <si>
    <t>BABBELBIER | CORE |</t>
  </si>
  <si>
    <t>JAN_DE_LICHTE | CORE |</t>
  </si>
  <si>
    <t>MARCUS | CORE |</t>
  </si>
  <si>
    <t>DROOG_WEUSJE | CORE |</t>
  </si>
  <si>
    <t>SUPER_FRESCA | CORE |</t>
  </si>
  <si>
    <t>EPERVIER | CORE |</t>
  </si>
  <si>
    <t>CELTIC_DRY_CIDRE | CORE |</t>
  </si>
  <si>
    <t>SNAKE_BITE | CORE |</t>
  </si>
  <si>
    <t>GAUWD | CORE |</t>
  </si>
  <si>
    <t>SCHNEIDERWEISSE | CORE |</t>
  </si>
  <si>
    <t>AMANTE_BEER | CORE |</t>
  </si>
  <si>
    <t>HOLY_FRUITY | CORE |</t>
  </si>
  <si>
    <t>LEIKEJARDS | CORE |</t>
  </si>
  <si>
    <t>COCCINELLE | CORE |</t>
  </si>
  <si>
    <t>GRASHOPPER | CORE |</t>
  </si>
  <si>
    <t>GROTEN_DEUST | CORE |</t>
  </si>
  <si>
    <t>SANCERRE | CORE |</t>
  </si>
  <si>
    <t>VULPIO | CORE |</t>
  </si>
  <si>
    <t>PHILOMENE | CORE |</t>
  </si>
  <si>
    <t>ELIXIR_D_ANVERS | CORE |</t>
  </si>
  <si>
    <t>LIEGEOISE | CORE |</t>
  </si>
  <si>
    <t>SEUTJESBIER | CORE |</t>
  </si>
  <si>
    <t>GRAND_CERF | CORE |</t>
  </si>
  <si>
    <t>SHINGA | CORE |</t>
  </si>
  <si>
    <t>NEMS | CORE |</t>
  </si>
  <si>
    <t>BROCHETTES | CORE |</t>
  </si>
  <si>
    <t>BRASA | CORE |</t>
  </si>
  <si>
    <t>TEXELS | CORE |</t>
  </si>
  <si>
    <t>GLUTENVRIJ_BIER | CORE |</t>
  </si>
  <si>
    <t>GIN_MARE | CORE |</t>
  </si>
  <si>
    <t>BARRY | CORE |</t>
  </si>
  <si>
    <t>POPPOLOU | CORE |</t>
  </si>
  <si>
    <t>NEPAL_ICE | CORE |</t>
  </si>
  <si>
    <t>SHERPA_BEER | CORE |</t>
  </si>
  <si>
    <t>MILLEVERTUS | CORE |</t>
  </si>
  <si>
    <t>MOBIUS | CORE |</t>
  </si>
  <si>
    <t>TRAPISTE | CORE |</t>
  </si>
  <si>
    <t>HERTENHEER | CORE |</t>
  </si>
  <si>
    <t>SURFINE | CORE |</t>
  </si>
  <si>
    <t>PETIT_BOULBA | CORE |</t>
  </si>
  <si>
    <t>SPARE_RIBS | CORE |</t>
  </si>
  <si>
    <t>HEEREN | CORE |</t>
  </si>
  <si>
    <t>NEGENDEN | CORE |</t>
  </si>
  <si>
    <t>CHABLIS | CORE |</t>
  </si>
  <si>
    <t>POUILLY_FUME | CORE |</t>
  </si>
  <si>
    <t>GARLIC_BREAD | CORE |</t>
  </si>
  <si>
    <t>PECHEMELBUSH | CORE |</t>
  </si>
  <si>
    <t>ARDENNE | CORE |</t>
  </si>
  <si>
    <t>ENIGMA | CORE |</t>
  </si>
  <si>
    <t>BELLA_CIAO | CORE |</t>
  </si>
  <si>
    <t>MINUTY | CORE |</t>
  </si>
  <si>
    <t>YAKITORI | CORE |</t>
  </si>
  <si>
    <t>SAMBUCCA | CORE |</t>
  </si>
  <si>
    <t>LA_CROISADE_CINSAULT | CORE |</t>
  </si>
  <si>
    <t>SUMMERTIME | CORE |</t>
  </si>
  <si>
    <t>LUTGARDE | CORE |</t>
  </si>
  <si>
    <t>ALTBAIRISCH_DUNKEL | CORE |</t>
  </si>
  <si>
    <t>POORTER | CORE |</t>
  </si>
  <si>
    <t>MOTOR_OIL | CORE |</t>
  </si>
  <si>
    <t>THAI_THAI | CORE |</t>
  </si>
  <si>
    <t>SAN_MIGUEL | CORE |</t>
  </si>
  <si>
    <t>MORTADELLA | CORE |</t>
  </si>
  <si>
    <t>ALTITUDE | CORE |</t>
  </si>
  <si>
    <t>ILLEGAAL | CORE |</t>
  </si>
  <si>
    <t>KLEINE_RUST | CORE |</t>
  </si>
  <si>
    <t>LA_MARQUISE | CORE |</t>
  </si>
  <si>
    <t>PERE | CORE |</t>
  </si>
  <si>
    <t>APEROTHEEKJE | CORE |</t>
  </si>
  <si>
    <t>PASTRAMI | CORE |</t>
  </si>
  <si>
    <t>MOONFIELD | CORE |</t>
  </si>
  <si>
    <t>ERTEGEMSE_TREKKER | CORE |</t>
  </si>
  <si>
    <t>ROMEO_KE | CORE |</t>
  </si>
  <si>
    <t>BAMBER | CORE |</t>
  </si>
  <si>
    <t>JOZEFKE | CORE |</t>
  </si>
  <si>
    <t>MAGNUM | CORE |</t>
  </si>
  <si>
    <t>OTHER | CORE |</t>
  </si>
  <si>
    <t>OMAHA | CORE |</t>
  </si>
  <si>
    <t>MORELLINO_DI_SCANSANO_LE_PUPILLE | CORE |</t>
  </si>
  <si>
    <t>THANISCH_D_ACCORD | CORE |</t>
  </si>
  <si>
    <t>HABLA_DEL_SILENCIO | CORE |</t>
  </si>
  <si>
    <t>CANNONAU_DI_SARDEGNA_RISERVA | CORE |</t>
  </si>
  <si>
    <t>EMBUSCADE | CORE |</t>
  </si>
  <si>
    <t>BONNE_ESPERANCE | CORE |</t>
  </si>
  <si>
    <t>KLEPKEN | CORE |</t>
  </si>
  <si>
    <t>STROOM | CORE |</t>
  </si>
  <si>
    <t>FONY_S | CORE |</t>
  </si>
  <si>
    <t>GANDAHAM | CORE |</t>
  </si>
  <si>
    <t>NINOFF | CORE |</t>
  </si>
  <si>
    <t>TONNEKE | CORE |</t>
  </si>
  <si>
    <t>FLGEL | CORE |</t>
  </si>
  <si>
    <t>KILKENNY | CORE |</t>
  </si>
  <si>
    <t>SMIRNOFF_ICE | CORE |</t>
  </si>
  <si>
    <t>EDAMAME | CORE |</t>
  </si>
  <si>
    <t>CASS | CORE |</t>
  </si>
  <si>
    <t>LEIGNON | CORE |</t>
  </si>
  <si>
    <t>BUDWEISER | CORE |</t>
  </si>
  <si>
    <t>BONS_VOEUX | TRIPEL |</t>
  </si>
  <si>
    <t>HOUPPE | BLOND |</t>
  </si>
  <si>
    <t>TRIPICK | QUADRUPEL |</t>
  </si>
  <si>
    <t>CANAILLE | CORE |</t>
  </si>
  <si>
    <t>LA_CORNE | BLACK |</t>
  </si>
  <si>
    <t>PERE | GOLD |</t>
  </si>
  <si>
    <t>TOEKAN | CORE |</t>
  </si>
  <si>
    <t>TROUBLETTE | CORE |</t>
  </si>
  <si>
    <t>ARDENNE | RED |</t>
  </si>
  <si>
    <t>LEGIA | CORE |</t>
  </si>
  <si>
    <t>PUUR | WHITE |</t>
  </si>
  <si>
    <t>SAINT_VERAN | CORE |</t>
  </si>
  <si>
    <t>MIKKELLER | RASPBERRY |</t>
  </si>
  <si>
    <t>FAGNE | CORE |</t>
  </si>
  <si>
    <t>ICHNUSA | PILSNER |</t>
  </si>
  <si>
    <t>BELGOO | IPA |</t>
  </si>
  <si>
    <t>ENAME | BROWN |</t>
  </si>
  <si>
    <t>LA_JACKY | CORE |</t>
  </si>
  <si>
    <t>LA_SUGGESTION | CORE |</t>
  </si>
  <si>
    <t>KAPITTEL | BLOND |</t>
  </si>
  <si>
    <t>WATOU | CUVEE |</t>
  </si>
  <si>
    <t>KAPITTEL | DUBBEL |</t>
  </si>
  <si>
    <t>WATOU | RED |</t>
  </si>
  <si>
    <t>ST_LOUIS | GUEUZE |</t>
  </si>
  <si>
    <t>LE_METRE | CORE |</t>
  </si>
  <si>
    <t>PONY_S | CORE |</t>
  </si>
  <si>
    <t>TO_TOUILLE | CORE |</t>
  </si>
  <si>
    <t>BROGNE | SESSION |</t>
  </si>
  <si>
    <t>BROGNE | BLOND |</t>
  </si>
  <si>
    <t>BROGNE | BROWN |</t>
  </si>
  <si>
    <t>WITTE_TRAPPIST | WHITE |</t>
  </si>
  <si>
    <t>BEER_GEN | BOCK |</t>
  </si>
  <si>
    <t>PETIT_MAKART | CORE |</t>
  </si>
  <si>
    <t>JULIA | CORE |</t>
  </si>
  <si>
    <t>KROMBACHER | CORE |</t>
  </si>
  <si>
    <t>WOLF_7 | WHITE |</t>
  </si>
  <si>
    <t>LA_BACON | CORE |</t>
  </si>
  <si>
    <t>LA_LGRE | CORE |</t>
  </si>
  <si>
    <t>LA_COLLECTOR | CORE |</t>
  </si>
  <si>
    <t>BELGOO | SAISON |</t>
  </si>
  <si>
    <t>DAME_JEANNE | CORE |</t>
  </si>
  <si>
    <t>BOCKOR | BLUE |</t>
  </si>
  <si>
    <t>BOURBON | SCOTCH |</t>
  </si>
  <si>
    <t>GROLSCH | CORE |</t>
  </si>
  <si>
    <t>NOVELUM | CORE |</t>
  </si>
  <si>
    <t>SANCERRE | DUBBEL |</t>
  </si>
  <si>
    <t>CIRCUS | CORE |</t>
  </si>
  <si>
    <t>GRAND_CRU_GEN | WHITE |</t>
  </si>
  <si>
    <t>WESTVLETEREN | BROWN |</t>
  </si>
  <si>
    <t>VALEIR | SAISON |</t>
  </si>
  <si>
    <t>OBIKWA_CHENIN_BLANC | WHITE |</t>
  </si>
  <si>
    <t>KEIZER_VAN_HERTALS | CORE |</t>
  </si>
  <si>
    <t>KEIZER_VAN_HERTALS | DUBBEL |</t>
  </si>
  <si>
    <t>BASKWADDER | BLOND |</t>
  </si>
  <si>
    <t>BASKWADDER | DUBBEL |</t>
  </si>
  <si>
    <t>BASKWADDER | TRIPEL |</t>
  </si>
  <si>
    <t>BASKWADDER | CORE |</t>
  </si>
  <si>
    <t>NEW_YORK | SOUR |</t>
  </si>
  <si>
    <t>BELLE_VUE | RASPBERRY |</t>
  </si>
  <si>
    <t>BESTIALE | BLOND |</t>
  </si>
  <si>
    <t>STIEN | DUBBEL |</t>
  </si>
  <si>
    <t>STIEN | IPA |</t>
  </si>
  <si>
    <t>STIEN | SAISON |</t>
  </si>
  <si>
    <t>STIEN | QUADRUPEL |</t>
  </si>
  <si>
    <t>BORELLE | CORE |</t>
  </si>
  <si>
    <t>BELGIAN_STARS_&amp;_STRIPES | IPA |</t>
  </si>
  <si>
    <t>GORDON | RED |</t>
  </si>
  <si>
    <t>MISTO | SAISON |</t>
  </si>
  <si>
    <t>BELLE_VUE | KRIEK_LAMBIC |</t>
  </si>
  <si>
    <t>BESTIALE | CORE |</t>
  </si>
  <si>
    <t>BOON | PILSNER |</t>
  </si>
  <si>
    <t>FUNCK_BRICHER | CORE |</t>
  </si>
  <si>
    <t>BELLE_VUE | WHITE |</t>
  </si>
  <si>
    <t>MULE.BE | CORE |</t>
  </si>
  <si>
    <t>PICATA_LOMBARDA | CORE |</t>
  </si>
  <si>
    <t>TER_DOEST | CORE |</t>
  </si>
  <si>
    <t>GULDEN_DRAAK | BLOND |</t>
  </si>
  <si>
    <t>TANDEM | CORE |</t>
  </si>
  <si>
    <t>VAN_BULCK | IPA |</t>
  </si>
  <si>
    <t>VAN_BULCK | TRIPEL |</t>
  </si>
  <si>
    <t>RED_FOX | RED |</t>
  </si>
  <si>
    <t>ZWART_LICHT | CORE |</t>
  </si>
  <si>
    <t>DE_GRAAL | CHERRY |</t>
  </si>
  <si>
    <t>DIOLE | CORE |</t>
  </si>
  <si>
    <t>TETE_DE_MORT | BLOND |</t>
  </si>
  <si>
    <t>TETE_DE_MORT | RED |</t>
  </si>
  <si>
    <t>BENGEL | CORE |</t>
  </si>
  <si>
    <t>GOUYASSE | CORE |</t>
  </si>
  <si>
    <t>WIT_LA_MAJOULIERE | WHITE |</t>
  </si>
  <si>
    <t>ROOD_LA_MAJOULIERE | RED |</t>
  </si>
  <si>
    <t>LEO_BEER | WHITE |</t>
  </si>
  <si>
    <t>LEO_BEER | RED |</t>
  </si>
  <si>
    <t>OMAHA | IPA |</t>
  </si>
  <si>
    <t>DORSTIGE_LAMBERTUS | CORE |</t>
  </si>
  <si>
    <t>PORETTI | PILSNER |</t>
  </si>
  <si>
    <t>DE_VLEESHALLE_TRIPEL | TRIPEL |</t>
  </si>
  <si>
    <t>VUUR_&amp;_VLAM | CORE |</t>
  </si>
  <si>
    <t>HERTOG_JAN | CORE |</t>
  </si>
  <si>
    <t>HERTOG_JAN | TRIPEL |</t>
  </si>
  <si>
    <t>ST_LOUIS | PEACH |</t>
  </si>
  <si>
    <t>TEXELS | IPA |</t>
  </si>
  <si>
    <t>STAR_LIGHT | BLOND |</t>
  </si>
  <si>
    <t>PHILOMENE | BLOND |</t>
  </si>
  <si>
    <t>AMSTEL | PILSNER |</t>
  </si>
  <si>
    <t>AMSTEL | RADLER |</t>
  </si>
  <si>
    <t>KROMBACHER | PILSNER |</t>
  </si>
  <si>
    <t>PALM | ROYALE |</t>
  </si>
  <si>
    <t>MIKKELLER | CORE |</t>
  </si>
  <si>
    <t>MIKKELLER | TRIPEL |</t>
  </si>
  <si>
    <t>LA_COLLECTION | CORE |</t>
  </si>
  <si>
    <t>KAMIKAZE | CORE |</t>
  </si>
  <si>
    <t>WAAR_IS_LOCA? | CORE |</t>
  </si>
  <si>
    <t>DE_GRAAL | CORE |</t>
  </si>
  <si>
    <t>SAISONNEKKE | SAISON |</t>
  </si>
  <si>
    <t>SUPER_B | CORE |</t>
  </si>
  <si>
    <t>PAULANER | WEISSBIER |</t>
  </si>
  <si>
    <t>BONS_VOEUX | BLOND |</t>
  </si>
  <si>
    <t>SCOTCH_ALE_GEN | DUBBEL |</t>
  </si>
  <si>
    <t>OUWEN_DUIKER | BLOND |</t>
  </si>
  <si>
    <t>GLUTENVRIJ_BIER | BLOND |</t>
  </si>
  <si>
    <t>LA_CHATTE | BLOND |</t>
  </si>
  <si>
    <t>PONY_S | SESSION |</t>
  </si>
  <si>
    <t>FONY_S | IPA |</t>
  </si>
  <si>
    <t>DILLEKE | CORE |</t>
  </si>
  <si>
    <t>ENGHIEN | SCOTCH |</t>
  </si>
  <si>
    <t>ROSE_GEN | RASPBERRY |</t>
  </si>
  <si>
    <t>YPRA | IPA |</t>
  </si>
  <si>
    <t>LA_CHEVETOGNE | CORE |</t>
  </si>
  <si>
    <t>LA_CORNE_DU_BOIS_DES_PENDUS | BLOND |</t>
  </si>
  <si>
    <t>SUPER_DES_FAGNES | TRIPEL |</t>
  </si>
  <si>
    <t>BEER_GEN | AMBER |</t>
  </si>
  <si>
    <t>THE_MISTERY_GUEST | CORE |</t>
  </si>
  <si>
    <t>TWISTED_CAT | CORE |</t>
  </si>
  <si>
    <t>TWISTED_CAT | DRY_HOPPED |</t>
  </si>
  <si>
    <t>BATTIN | BROWN |</t>
  </si>
  <si>
    <t>STONE | CORE |</t>
  </si>
  <si>
    <t>FAGNE | BROWN |</t>
  </si>
  <si>
    <t>BARBAR | BROWN |</t>
  </si>
  <si>
    <t>POUILLY_FUME | CUVEE |</t>
  </si>
  <si>
    <t>WALCOURT | CORE |</t>
  </si>
  <si>
    <t>BRASSERIE_MINNE | CORE |</t>
  </si>
  <si>
    <t>ST_MONON | CORE |</t>
  </si>
  <si>
    <t>BERSALIS | CORE |</t>
  </si>
  <si>
    <t>NEROES | CORE |</t>
  </si>
  <si>
    <t>FEVER_TREE | ROSE |</t>
  </si>
  <si>
    <t>ENTRE_NOUS | CORE |</t>
  </si>
  <si>
    <t>DORSTIGE_LAMBERTUS | BLOND |</t>
  </si>
  <si>
    <t>BRAND | IPA |</t>
  </si>
  <si>
    <t>BRAND | CORE |</t>
  </si>
  <si>
    <t>PERE | RED |</t>
  </si>
  <si>
    <t>BRONZEN_BARON | TRIPEL |</t>
  </si>
  <si>
    <t>SURFINE | SAISON |</t>
  </si>
  <si>
    <t>MAGNUM | GRAND_CRU |</t>
  </si>
  <si>
    <t>MORT_SUBITE | PEACH |</t>
  </si>
  <si>
    <t>BONNE_ESPERANCE | BROWN |</t>
  </si>
  <si>
    <t>BINCHOISE | TRIPEL |</t>
  </si>
  <si>
    <t>EMBUSCADE | TRIPEL |</t>
  </si>
  <si>
    <t>EMBUSCADE | BLOND |</t>
  </si>
  <si>
    <t>EMBUSCADE | IPA |</t>
  </si>
  <si>
    <t>BONNE_ESPERANCE | BLOND |</t>
  </si>
  <si>
    <t>LA_MARQUISE | RED |</t>
  </si>
  <si>
    <t>DOMINICAINS | BLOND |</t>
  </si>
  <si>
    <t>GORDON | BLOND |</t>
  </si>
  <si>
    <t>PORETTI | BLOND |</t>
  </si>
  <si>
    <t>ESTRELLA_GALICIA | CORE |</t>
  </si>
  <si>
    <t>RODENBACH | GUEUZE |</t>
  </si>
  <si>
    <t>JULIUS | GRAND_CRU |</t>
  </si>
  <si>
    <t>ALTITUDE | DUBBEL |</t>
  </si>
  <si>
    <t>WITKAP_PATER | BLOND |</t>
  </si>
  <si>
    <t>LIENNE | BLOND |</t>
  </si>
  <si>
    <t>URINE | IPA |</t>
  </si>
  <si>
    <t>BOURBON | BLUE |</t>
  </si>
  <si>
    <t>KELDERRESTJE | CORE |</t>
  </si>
  <si>
    <t>CHIMAY | SAISON |</t>
  </si>
  <si>
    <t>CURTIS | BLACK |</t>
  </si>
  <si>
    <t>AUBEL | CHERRY |</t>
  </si>
  <si>
    <t>IMMORTELLE | BROWN |</t>
  </si>
  <si>
    <t>EYLENBOSCH | SAISON |</t>
  </si>
  <si>
    <t>BEER_GEN | ROSE |</t>
  </si>
  <si>
    <t>FOURCHETTE | GRAND_CRU |</t>
  </si>
  <si>
    <t>BOSWANDELING | CORE |</t>
  </si>
  <si>
    <t>VICUS | BLOND |</t>
  </si>
  <si>
    <t>VICUS | DUBBEL |</t>
  </si>
  <si>
    <t>VICUS | TRIPEL |</t>
  </si>
  <si>
    <t>BROEDER_JACOB | BLOND |</t>
  </si>
  <si>
    <t>JEAN_BRASSE | IPA |</t>
  </si>
  <si>
    <t>SINGLE | VINTAGE |</t>
  </si>
  <si>
    <t>CERCEUIL | CORE |</t>
  </si>
  <si>
    <t>PANCHE | CORE |</t>
  </si>
  <si>
    <t>BERTINCHAMPS | IPA |</t>
  </si>
  <si>
    <t>PHILOMENE | TRIPEL |</t>
  </si>
  <si>
    <t>GRIBOUSINE | CORE |</t>
  </si>
  <si>
    <t>CUVEE_CHATEAU | RED |</t>
  </si>
  <si>
    <t>FRANZISKANER | WEISSBIER |</t>
  </si>
  <si>
    <t>B_JOY | CORE |</t>
  </si>
  <si>
    <t>B_JOY | RED |</t>
  </si>
  <si>
    <t>DUVEL | LIMITED |</t>
  </si>
  <si>
    <t>BON_SECOURS | BROWN |</t>
  </si>
  <si>
    <t>BAR_BIPPA | IPA |</t>
  </si>
  <si>
    <t>DESPERADOS | TROPICAL |</t>
  </si>
  <si>
    <t>BOBBI | CORE |</t>
  </si>
  <si>
    <t>SANCERRE | RED |</t>
  </si>
  <si>
    <t>BARRY | BLACK |</t>
  </si>
  <si>
    <t>GUINNESS | PORTER |</t>
  </si>
  <si>
    <t>KEES | STOUT |</t>
  </si>
  <si>
    <t>SCHUPPENBOER | GRAND_CRU |</t>
  </si>
  <si>
    <t>GOUVERNEUR | PALE_ALE |</t>
  </si>
  <si>
    <t>GOUVERNEUR | BLOND |</t>
  </si>
  <si>
    <t>GOUVERNEUR | DUBBEL |</t>
  </si>
  <si>
    <t>HERTOG_JAN | DUBBEL |</t>
  </si>
  <si>
    <t>BREWDOG | CORE |</t>
  </si>
  <si>
    <t>GOUVERNEUR | TRIPEL |</t>
  </si>
  <si>
    <t>LA_GOUDALE | BLOND |</t>
  </si>
  <si>
    <t>LA_GOUDALE | GRAND_CRU |</t>
  </si>
  <si>
    <t>GOUVERNEUR | CORE |</t>
  </si>
  <si>
    <t>HOPFENWEISSE_GEN | CORE |</t>
  </si>
  <si>
    <t>PERE_DAMIEN | CORE |</t>
  </si>
  <si>
    <t>PREARIS | BLOND |</t>
  </si>
  <si>
    <t>PREARIS | QUADRUPEL |</t>
  </si>
  <si>
    <t>SERGEANT | CORE |</t>
  </si>
  <si>
    <t>GILDENBIER | DUBBEL |</t>
  </si>
  <si>
    <t>HOUPPE | RASPBERRY |</t>
  </si>
  <si>
    <t>LEFFE | WINTERBOCK |</t>
  </si>
  <si>
    <t>HOPUS | BLOND |</t>
  </si>
  <si>
    <t>PAIX_DIEU | BLOND |</t>
  </si>
  <si>
    <t>STRAFFE_HENDRIK | DUBBEL |</t>
  </si>
  <si>
    <t>PALM | WINTERBOCK |</t>
  </si>
  <si>
    <t>GEMBLOUX | CORE |</t>
  </si>
  <si>
    <t>FAGNES | CUVEE |</t>
  </si>
  <si>
    <t>BELLE_FLEUR | IPA |</t>
  </si>
  <si>
    <t>EPERVIER | IPA |</t>
  </si>
  <si>
    <t>BRUGS_TARWEBIER | WHITE |</t>
  </si>
  <si>
    <t>CARAVAN_SULTAN | CORE |</t>
  </si>
  <si>
    <t>POUILLY_FUME | WHITE |</t>
  </si>
  <si>
    <t>STEENBRUGGE | TRIPEL |</t>
  </si>
  <si>
    <t>PERE | ROSE |</t>
  </si>
  <si>
    <t>EPECTASE | CORE |</t>
  </si>
  <si>
    <t>BESTIALE | TRIPEL |</t>
  </si>
  <si>
    <t>SUNLIGHT | CORE |</t>
  </si>
  <si>
    <t>GEMBLOUX | SCOTCH |</t>
  </si>
  <si>
    <t>KAMEHAMEHA | CORE |</t>
  </si>
  <si>
    <t>ST_FEUILLIEN | IPA |</t>
  </si>
  <si>
    <t>PETITE | ROSE |</t>
  </si>
  <si>
    <t>BETSY | BLOND |</t>
  </si>
  <si>
    <t>BELLEVAUX | WHITE |</t>
  </si>
  <si>
    <t>BELLEVAUX | RED |</t>
  </si>
  <si>
    <t>HOUPPE | TRIPEL |</t>
  </si>
  <si>
    <t>VAL_DIEU | WHITE |</t>
  </si>
  <si>
    <t>PERLA | CORE |</t>
  </si>
  <si>
    <t>SINT_CANARUS | CORE |</t>
  </si>
  <si>
    <t>JUPITER | CORE |</t>
  </si>
  <si>
    <t>KEEKEBISJ | DRY_HOPPED |</t>
  </si>
  <si>
    <t>DIEKIRCH | PILSNER |</t>
  </si>
  <si>
    <t>PAALSTEEN | CORE |</t>
  </si>
  <si>
    <t>GOUDSTER | CORE |</t>
  </si>
  <si>
    <t>PATERNOSTER | CORE |</t>
  </si>
  <si>
    <t>SAISON_REGAL | SAISON |</t>
  </si>
  <si>
    <t>MOBIUS | HOP |</t>
  </si>
  <si>
    <t>LEIGNON | IPA |</t>
  </si>
  <si>
    <t>LEIGNON | PILSNER |</t>
  </si>
  <si>
    <t>LEIGNON | BLOND |</t>
  </si>
  <si>
    <t>ADLER | CORE |</t>
  </si>
  <si>
    <t>STAR_LIGHT | PILSNER |</t>
  </si>
  <si>
    <t>TYSKIE | CORE |</t>
  </si>
  <si>
    <t>PATRASCHE | CORE |</t>
  </si>
  <si>
    <t>BARREL_AGED | SMOKED |</t>
  </si>
  <si>
    <t>ANTWAARPS_KROKSKE | CORE |</t>
  </si>
  <si>
    <t>SAUVIGNON | WILD |</t>
  </si>
  <si>
    <t>IMPERATRICE | CORE |</t>
  </si>
  <si>
    <t>FAGNE | BLOND |</t>
  </si>
  <si>
    <t>CH_TI | TRIPEL |</t>
  </si>
  <si>
    <t>MUR_DE_HUY | CORE |</t>
  </si>
  <si>
    <t>KEIZER_KAMIEL | CORE |</t>
  </si>
  <si>
    <t>LA_FRANGINE | CORE |</t>
  </si>
  <si>
    <t>JUICY_&amp;_WILD | WILD |</t>
  </si>
  <si>
    <t>BEER_GEN | CHERRY |</t>
  </si>
  <si>
    <t>FEVER_TREE | GOLD |</t>
  </si>
  <si>
    <t>TANGO | MANGO |</t>
  </si>
  <si>
    <t>DELUXE | EXTRA |</t>
  </si>
  <si>
    <t>OP_DE_DOOL | CORE |</t>
  </si>
  <si>
    <t>FAGNES | SAISON |</t>
  </si>
  <si>
    <t>ARCHIDUC | WHITE |</t>
  </si>
  <si>
    <t>IKI_GINGER | GINGER |</t>
  </si>
  <si>
    <t>IKI_YUZU | CORE |</t>
  </si>
  <si>
    <t>LA_5310 | CORE |</t>
  </si>
  <si>
    <t>HORSE_ALE | CORE |</t>
  </si>
  <si>
    <t>VULPIO | TRIPEL |</t>
  </si>
  <si>
    <t>GRIMBERGEN | CUVEE |</t>
  </si>
  <si>
    <t>DOMINICAINS | CORE |</t>
  </si>
  <si>
    <t>JUICE_JUNKIE | IPA |</t>
  </si>
  <si>
    <t>EYLENBOSCH | GUEUZE |</t>
  </si>
  <si>
    <t>CONINCK | AMBER |</t>
  </si>
  <si>
    <t>TITE | CUVEE |</t>
  </si>
  <si>
    <t>ELEGANT | CORE |</t>
  </si>
  <si>
    <t>WOLF_7 | DUBBEL |</t>
  </si>
  <si>
    <t>FLUTE | CORE |</t>
  </si>
  <si>
    <t>ELITE | BLOND |</t>
  </si>
  <si>
    <t>RED_BY_PEIRSUS | RED |</t>
  </si>
  <si>
    <t>SUPER_DES_FAGNES | BROWN |</t>
  </si>
  <si>
    <t>RIEBEDEBIE | CORE |</t>
  </si>
  <si>
    <t>PETITE | RASPBERRY |</t>
  </si>
  <si>
    <t>MALHEUR | 8 |</t>
  </si>
  <si>
    <t>MANEBLUSSER | WHITE |</t>
  </si>
  <si>
    <t>VUUR_&amp;_VLAM | IPA |</t>
  </si>
  <si>
    <t>FOURCHETTE | LIMITED |</t>
  </si>
  <si>
    <t>JUSTE_FAIR | BLOND |</t>
  </si>
  <si>
    <t>JUSTE_FAIR | BROWN |</t>
  </si>
  <si>
    <t>JUSTE_FAIR | TRIPEL |</t>
  </si>
  <si>
    <t>BON_SECOURS | AMBER |</t>
  </si>
  <si>
    <t>BROEDER_JACOB | CORE |</t>
  </si>
  <si>
    <t>HEROES_AMAZING_BLOND | BROWN |</t>
  </si>
  <si>
    <t>NEW_YORK | CORE |</t>
  </si>
  <si>
    <t>COSCE_DI_RANA | CORE |</t>
  </si>
  <si>
    <t>FRANZISKANER | CORE |</t>
  </si>
  <si>
    <t>GRIBOUSINE | BROWN |</t>
  </si>
  <si>
    <t>BIRD_OF_PREY | IPA |</t>
  </si>
  <si>
    <t>GIESBAARGS_MUURKEN | CORE |</t>
  </si>
  <si>
    <t>THRIVE | BLOND |</t>
  </si>
  <si>
    <t>RAMON | BLOND |</t>
  </si>
  <si>
    <t>LA_DEFERLANTE | CORE |</t>
  </si>
  <si>
    <t>ELFIQUE | IPA |</t>
  </si>
  <si>
    <t>BELLEVAUX | QUADRUPEL |</t>
  </si>
  <si>
    <t>PETITE | WHITE |</t>
  </si>
  <si>
    <t>BEER_GEN | GREEN |</t>
  </si>
  <si>
    <t>KRAAIKE | SILVER |</t>
  </si>
  <si>
    <t>DIKKENEK | HOP |</t>
  </si>
  <si>
    <t>BABYLONE | CORE |</t>
  </si>
  <si>
    <t>DIULE | TRIPEL |</t>
  </si>
  <si>
    <t>TOURNAY | TRIPEL |</t>
  </si>
  <si>
    <t>ABBAYE_DES_ROCS | BLOND |</t>
  </si>
  <si>
    <t>SAISONNEKE | EXTRA |</t>
  </si>
  <si>
    <t>GRISETTE | HOP |</t>
  </si>
  <si>
    <t>LA_CHATTE | CORE |</t>
  </si>
  <si>
    <t>MOOSE | CORE |</t>
  </si>
  <si>
    <t>TJOLDER | TRIPEL |</t>
  </si>
  <si>
    <t>B.D._FLANDRES | CORE |</t>
  </si>
  <si>
    <t>BLITZ | CORE |</t>
  </si>
  <si>
    <t>BOSCOLI | RED |</t>
  </si>
  <si>
    <t>SALITOS | WHITE |</t>
  </si>
  <si>
    <t>GIJZELAARSKE | DUBBEL |</t>
  </si>
  <si>
    <t>GIJZELAARSKE | TRIPEL |</t>
  </si>
  <si>
    <t>ADELARDUS | BLOND |</t>
  </si>
  <si>
    <t>ROCHEHAUT | BROWN |</t>
  </si>
  <si>
    <t>BOURBON | SOUR |</t>
  </si>
  <si>
    <t>BETSY | QUADRUPEL |</t>
  </si>
  <si>
    <t>FEVER_TREE | BLACK |</t>
  </si>
  <si>
    <t>BACHTEN | RED |</t>
  </si>
  <si>
    <t>VANDERGHINSTE_ROODBRUIN | CHERRY |</t>
  </si>
  <si>
    <t>AUGUSTIJN | BROWN |</t>
  </si>
  <si>
    <t>ZEEZUIPER | TRIPEL |</t>
  </si>
  <si>
    <t>VISWIJF | BLOND |</t>
  </si>
  <si>
    <t>KRIEKENBIER | CHERRY |</t>
  </si>
  <si>
    <t>LOUSBERG | CORE |</t>
  </si>
  <si>
    <t>CENTOPASSI_GIATO | CORE |</t>
  </si>
  <si>
    <t>RENDANG | CORE |</t>
  </si>
  <si>
    <t>VERZET | PILSNER |</t>
  </si>
  <si>
    <t>CIRCUS | TRIPEL |</t>
  </si>
  <si>
    <t>BOSTON_FUTO | CORE |</t>
  </si>
  <si>
    <t>TARAS_BOULBA | BLOND |</t>
  </si>
  <si>
    <t>CRABBELAER | BLOND |</t>
  </si>
  <si>
    <t>NISSOS | CORE |</t>
  </si>
  <si>
    <t>MAMOS | CORE |</t>
  </si>
  <si>
    <t>PETALO | CORE |</t>
  </si>
  <si>
    <t>CUVEE_PRESTIGE_DOMAIN_SKOURAS | CUVEE |</t>
  </si>
  <si>
    <t>XINOMAVRO | CORE |</t>
  </si>
  <si>
    <t>ROMAN_TONIC | WHITE |</t>
  </si>
  <si>
    <t>SUPERMALT | CORE |</t>
  </si>
  <si>
    <t>BECKS | CORE |</t>
  </si>
  <si>
    <t>ASAHI | BLOND |</t>
  </si>
  <si>
    <t>KIRIN | BLOND |</t>
  </si>
  <si>
    <t>DELIRIA | CORE |</t>
  </si>
  <si>
    <t>CIDER_GEN | VINTAGE |</t>
  </si>
  <si>
    <t>DE_RANKE | PORTER |</t>
  </si>
  <si>
    <t>DE_DOLLE | STRONG |</t>
  </si>
  <si>
    <t>SILLY | TRIPEL |</t>
  </si>
  <si>
    <t>MUCHE_PICON | CORE |</t>
  </si>
  <si>
    <t>BICYCLETTE | PALE_ALE |</t>
  </si>
  <si>
    <t>VANDERGHINSTE_ROODBRUIN | SOUR |</t>
  </si>
  <si>
    <t>RAMON | LIGHT |</t>
  </si>
  <si>
    <t>CUZQUEA | CORE |</t>
  </si>
  <si>
    <t>STEENUILKE | BLOND |</t>
  </si>
  <si>
    <t>PARANOIA | IPA |</t>
  </si>
  <si>
    <t>SUPER_KROON | CORE |</t>
  </si>
  <si>
    <t>FIELD | RED |</t>
  </si>
  <si>
    <t>FIELD | CORE |</t>
  </si>
  <si>
    <t>INSALATA_MISTA | CORE |</t>
  </si>
  <si>
    <t>TITE | WHITE |</t>
  </si>
  <si>
    <t>GAULOISE | TRIPEL |</t>
  </si>
  <si>
    <t>ORIGIN | CORE |</t>
  </si>
  <si>
    <t>SINGLE | WILD |</t>
  </si>
  <si>
    <t>KAMIL | IPA |</t>
  </si>
  <si>
    <t>GAMBERI_GALLIPOLINA | CORE |</t>
  </si>
  <si>
    <t>OUWEN_DUIKER | PALE_ALE |</t>
  </si>
  <si>
    <t>GENTSE_GRUUT | WHITE |</t>
  </si>
  <si>
    <t>LA_TALOCHE | CORE |</t>
  </si>
  <si>
    <t>CASK_OBLIGATOIRE | CORE |</t>
  </si>
  <si>
    <t>BULOTS | CORE |</t>
  </si>
  <si>
    <t>WEST_COAST_IPA | IPA |</t>
  </si>
  <si>
    <t>WAAR_IS_LOCA? | PALE_ALE |</t>
  </si>
  <si>
    <t>MONGOZO | WHITE |</t>
  </si>
  <si>
    <t>HANSSENS | OUDE_KRIEK |</t>
  </si>
  <si>
    <t>SLAAPMUTSKE | BLOND |</t>
  </si>
  <si>
    <t>SLAAPMUTSKE | BROWN |</t>
  </si>
  <si>
    <t>TRE_FONTANE | TRIPEL |</t>
  </si>
  <si>
    <t>VALEIR | IPA |</t>
  </si>
  <si>
    <t>XXX_BITTER | IPA |</t>
  </si>
  <si>
    <t>VALEIR | PALE_ALE |</t>
  </si>
  <si>
    <t>L_AROGANTE | PALE_ALE |</t>
  </si>
  <si>
    <t>HOPUS | PALE_ALE |</t>
  </si>
  <si>
    <t>GOEDENDAG | BLOND |</t>
  </si>
  <si>
    <t>HOMMELBIER | PALE_ALE |</t>
  </si>
  <si>
    <t>ERDINGER | WHITE |</t>
  </si>
  <si>
    <t>DULLE_TEVE | TRIPEL |</t>
  </si>
  <si>
    <t>LEUTE | BOCK |</t>
  </si>
  <si>
    <t>GOUDEN_CAROLUS | PALE_ALE |</t>
  </si>
  <si>
    <t>HOMMELBIER | IPA |</t>
  </si>
  <si>
    <t>BORGIA | CORE |</t>
  </si>
  <si>
    <t>HOFMANN | TRIPEL |</t>
  </si>
  <si>
    <t>RODENBACH | TRIPEL |</t>
  </si>
  <si>
    <t>LA_GUILLOTINE | CHERRY |</t>
  </si>
  <si>
    <t>LA_GUILLOTINE | BLOND |</t>
  </si>
  <si>
    <t>VICARIS | BLOND |</t>
  </si>
  <si>
    <t>VERDURE_GRIGLIATE | CORE |</t>
  </si>
  <si>
    <t>BEER_GEN | HONEY |</t>
  </si>
  <si>
    <t>BELGORIX | PILSNER |</t>
  </si>
  <si>
    <t>BELGORIX | BLOND |</t>
  </si>
  <si>
    <t>BELGORIX | TRIPEL |</t>
  </si>
  <si>
    <t>GIRARDIN | BLACK |</t>
  </si>
  <si>
    <t>UNPLUGGED | CORE |</t>
  </si>
  <si>
    <t>PILSNER_URQUELL | CORE |</t>
  </si>
  <si>
    <t>NARCIST | CORE |</t>
  </si>
  <si>
    <t>SIMPLEX | IPA |</t>
  </si>
  <si>
    <t>VLOTTE_GRIET | IPA |</t>
  </si>
  <si>
    <t>FUNKY_FALCON | PALE_ALE |</t>
  </si>
  <si>
    <t>LA_VERMONTOISE | CORE |</t>
  </si>
  <si>
    <t>PAPESSE | CORE |</t>
  </si>
  <si>
    <t>CIDER_GEN | WILD |</t>
  </si>
  <si>
    <t>SEEF_BIER | PILSNER |</t>
  </si>
  <si>
    <t>MAGNUM | DUBBEL |</t>
  </si>
  <si>
    <t>STIEN | CORE |</t>
  </si>
  <si>
    <t>GENTSE_GRUUT | DUBBEL |</t>
  </si>
  <si>
    <t>ELEGANT | GOLD |</t>
  </si>
  <si>
    <t>ST_LOUIS | CORE |</t>
  </si>
  <si>
    <t>FIREBALL | CORE |</t>
  </si>
  <si>
    <t>SPECKIE_PARTY | CORE |</t>
  </si>
  <si>
    <t>RHEINSPRITZERRED | CORE |</t>
  </si>
  <si>
    <t>PORETTI | BOCK |</t>
  </si>
  <si>
    <t>PORETTI | IPA |</t>
  </si>
  <si>
    <t>BRAND | BLOND |</t>
  </si>
  <si>
    <t>BORNEM | BROWN |</t>
  </si>
  <si>
    <t>MEESTER | CORE |</t>
  </si>
  <si>
    <t>DE_TROCH | GUEUZE |</t>
  </si>
  <si>
    <t>BIDON | SAISON |</t>
  </si>
  <si>
    <t>PANEM | CORE |</t>
  </si>
  <si>
    <t>COAST | BLACK |</t>
  </si>
  <si>
    <t>COAST | GOLD |</t>
  </si>
  <si>
    <t>BUFFALO | WHITE |</t>
  </si>
  <si>
    <t>KLOKKE | CORE |</t>
  </si>
  <si>
    <t>KRUGER | PILSNER |</t>
  </si>
  <si>
    <t>HAESEVELD | BLOND |</t>
  </si>
  <si>
    <t>HAESEVELD | DUBBEL |</t>
  </si>
  <si>
    <t>GORDON | BLUE |</t>
  </si>
  <si>
    <t>GINETTE | LAGER |</t>
  </si>
  <si>
    <t>GINETTE | WHITE |</t>
  </si>
  <si>
    <t>WILDEBEEST | IPA |</t>
  </si>
  <si>
    <t>JAMBE_DE_BOIS | TRIPEL |</t>
  </si>
  <si>
    <t>KEREL | SAISON |</t>
  </si>
  <si>
    <t>KEREL | PALE_ALE |</t>
  </si>
  <si>
    <t>PONY_S | IPA |</t>
  </si>
  <si>
    <t>VERZET | BLOND |</t>
  </si>
  <si>
    <t>HEDONIS | CORE |</t>
  </si>
  <si>
    <t>GRAND_HOPS | HOP |</t>
  </si>
  <si>
    <t>ESTRELLA_DAMM | CORE |</t>
  </si>
  <si>
    <t>WAAR_IS_LOCA? | BLOND |</t>
  </si>
  <si>
    <t>VERZET | BROWN |</t>
  </si>
  <si>
    <t>BIFE_ANCHO | CORE |</t>
  </si>
  <si>
    <t>MIXTO | CORE |</t>
  </si>
  <si>
    <t>GORDON | GOLD |</t>
  </si>
  <si>
    <t>KROMBACHER | RADLER |</t>
  </si>
  <si>
    <t>KASTEL | DUBBEL |</t>
  </si>
  <si>
    <t>ARMADA | CORE |</t>
  </si>
  <si>
    <t>POPULIST | CORE |</t>
  </si>
  <si>
    <t>LA_RAMEE | AMBER |</t>
  </si>
  <si>
    <t>BRUSCHETTONE_BRESAOLA_E_GRANA | CORE |</t>
  </si>
  <si>
    <t>ALTBAIRISCH_DUNKEL | LAGER |</t>
  </si>
  <si>
    <t>ALTBAIRISCH_DUNKEL | DUBBEL |</t>
  </si>
  <si>
    <t>ALTBAIRISCH_DUNKEL | PILSNER |</t>
  </si>
  <si>
    <t>HOPFENTHALER_ALKOHOLFREI | CORE |</t>
  </si>
  <si>
    <t>TOUT_BIEN | CORE |</t>
  </si>
  <si>
    <t>DEUGNIET | TRIPEL |</t>
  </si>
  <si>
    <t>OMNIKRON | CORE |</t>
  </si>
  <si>
    <t>REMI | WHITE |</t>
  </si>
  <si>
    <t>BRAND | RED |</t>
  </si>
  <si>
    <t>DELVAUX | BLOND |</t>
  </si>
  <si>
    <t>LUVANIUM | CORE |</t>
  </si>
  <si>
    <t>LUVANIUM | TRIPEL |</t>
  </si>
  <si>
    <t>PONY_S | PILSNER |</t>
  </si>
  <si>
    <t>ADRIAEN_BROUWER | BLOND |</t>
  </si>
  <si>
    <t>RAMON | PILSNER |</t>
  </si>
  <si>
    <t>PICO_BELLO | NEW_ENGLAND_IPA |</t>
  </si>
  <si>
    <t>SPARTA | CORE |</t>
  </si>
  <si>
    <t>CIDER_GEN | RED |</t>
  </si>
  <si>
    <t>MONTE_CRISTO | CUVEE |</t>
  </si>
  <si>
    <t>SPECIALE | RED |</t>
  </si>
  <si>
    <t>CHICKENSATE | CORE |</t>
  </si>
  <si>
    <t>DE_POES | HOP |</t>
  </si>
  <si>
    <t>KAMIL | CORE |</t>
  </si>
  <si>
    <t>JUDAS | CORE |</t>
  </si>
  <si>
    <t>BOERINNEKEN | BLOND |</t>
  </si>
  <si>
    <t>OESTERSTOUT | DUBBEL |</t>
  </si>
  <si>
    <t>KEREL | BLOND |</t>
  </si>
  <si>
    <t>BARREL_AGED | WILD |</t>
  </si>
  <si>
    <t>ADRIAEN_BROUWER | BROWN |</t>
  </si>
  <si>
    <t>888_TRIPEL_EIGHT | TRIPEL |</t>
  </si>
  <si>
    <t>PALJAS | BROWN |</t>
  </si>
  <si>
    <t>RODENBACH | DUBBEL |</t>
  </si>
  <si>
    <t>ORVELO | DUBBEL |</t>
  </si>
  <si>
    <t>ZUNDERT | AMBER |</t>
  </si>
  <si>
    <t>MONSTER_ENERGY | GREEN |</t>
  </si>
  <si>
    <t>GILDENBIER | BROWN |</t>
  </si>
  <si>
    <t>LOBO_TYMY | CORE |</t>
  </si>
  <si>
    <t>OH_MY_DEAR | CORE |</t>
  </si>
  <si>
    <t>PERE | EXTRA |</t>
  </si>
  <si>
    <t>CASTLE_DANGER | CORE |</t>
  </si>
  <si>
    <t>GOUDEN_CAROLUS | GRAND_CRU |</t>
  </si>
  <si>
    <t>FIVE | WHITE |</t>
  </si>
  <si>
    <t>FORGE | CORE |</t>
  </si>
  <si>
    <t>SPECIALE | BLOND |</t>
  </si>
  <si>
    <t>ADELARDUS | DUBBEL |</t>
  </si>
  <si>
    <t>ST_FEUILLIEN | BROWN |</t>
  </si>
  <si>
    <t>STOUT_GEN | STOUT |</t>
  </si>
  <si>
    <t>GRIMBERGEN | TRIPEL |</t>
  </si>
  <si>
    <t>GULDEN_DRAAK | BROWN |</t>
  </si>
  <si>
    <t>KASTEELBIER | CUVEE |</t>
  </si>
  <si>
    <t>KEMPISCH_VUUR | TRIPEL |</t>
  </si>
  <si>
    <t>KEMPISCH_VUUR | DUBBEL |</t>
  </si>
  <si>
    <t>LA_TRAPPE | DUBBEL |</t>
  </si>
  <si>
    <t>MALHEUR | 10 |</t>
  </si>
  <si>
    <t>WIEZE | TRIPEL |</t>
  </si>
  <si>
    <t>ZUNDERT | 8 |</t>
  </si>
  <si>
    <t>ZUNDERT | 10 |</t>
  </si>
  <si>
    <t>HEROES_AMAZING_BLOND | BLOND |</t>
  </si>
  <si>
    <t>HEROES_AMAZING_BLOND | SAISON |</t>
  </si>
  <si>
    <t>OMER | BLOND |</t>
  </si>
  <si>
    <t>YPRA | BLOND |</t>
  </si>
  <si>
    <t>GOUDEN_CAROLUS | BROWN |</t>
  </si>
  <si>
    <t>FILOU | BLOND |</t>
  </si>
  <si>
    <t>GEUZE_GEN | GUEUZE |</t>
  </si>
  <si>
    <t>MARTIN_S | PALE_ALE |</t>
  </si>
  <si>
    <t>STRONGBOW | GOLD |</t>
  </si>
  <si>
    <t>AREND | TRIPEL |</t>
  </si>
  <si>
    <t>VICARIS | TRIPEL |</t>
  </si>
  <si>
    <t>TIPSY | BROWN |</t>
  </si>
  <si>
    <t>STRAFFE_HENDRIK | QUADRUPEL |</t>
  </si>
  <si>
    <t>ELITE | TRIPEL |</t>
  </si>
  <si>
    <t>STRAFFE_HENDRIK | TRIPEL |</t>
  </si>
  <si>
    <t>KEIZER_VAN_HERTALS | BLOND |</t>
  </si>
  <si>
    <t>KWAREMONT | BLOND |</t>
  </si>
  <si>
    <t>MALHEUR | 12 |</t>
  </si>
  <si>
    <t>SCHUPPENBOER | TRIPEL |</t>
  </si>
  <si>
    <t>SOMERSBY | MANGO |</t>
  </si>
  <si>
    <t>TOUT_BIEN | PILSNER |</t>
  </si>
  <si>
    <t>TOUT_BIEN | RED |</t>
  </si>
  <si>
    <t>VICARIS | LINO |</t>
  </si>
  <si>
    <t>VICTORIA | BLOND |</t>
  </si>
  <si>
    <t>WESTMALLE | EXTRA |</t>
  </si>
  <si>
    <t>CRABBELAER | TRIPEL |</t>
  </si>
  <si>
    <t>GENTSE_TRIPEL | TRIPEL |</t>
  </si>
  <si>
    <t>STELLA_ARTOIS | PILSNER |</t>
  </si>
  <si>
    <t>BRUGSE_ZOT | DUBBEL |</t>
  </si>
  <si>
    <t>DOUBLE_ENGHIEN | DUBBEL |</t>
  </si>
  <si>
    <t>GOLIATH | BLOND |</t>
  </si>
  <si>
    <t>STEENBRUGGE | DUBBEL |</t>
  </si>
  <si>
    <t>ST_FEUILLIEN | GRAND_CRU |</t>
  </si>
  <si>
    <t>VAL_DIEU | GRAND_CRU |</t>
  </si>
  <si>
    <t>MARIAGE_PARFAIT | CHERRY |</t>
  </si>
  <si>
    <t>AVERBODE | EXTRA |</t>
  </si>
  <si>
    <t>AFFLIGEM | TRIPEL |</t>
  </si>
  <si>
    <t>TRIPEL_KANUNNIK | TRIPEL |</t>
  </si>
  <si>
    <t>CUVEE_CLARISSE | CUVEE |</t>
  </si>
  <si>
    <t>CUVEE_CLARISSE | WHISKEY_INFUSED |</t>
  </si>
  <si>
    <t>ACHEL | DUBBEL |</t>
  </si>
  <si>
    <t>WILD_JO | WILD |</t>
  </si>
  <si>
    <t>BEER_GEN | WHITE |</t>
  </si>
  <si>
    <t>DURBOYSE | BLOND |</t>
  </si>
  <si>
    <t>CRISTAL_ALKEN | BLOND |</t>
  </si>
  <si>
    <t>OUD_BEERSEL | GUEUZE |</t>
  </si>
  <si>
    <t>OUD_BEERSEL | OUDE_KRIEK |</t>
  </si>
  <si>
    <t>DE_POES | BLOND |</t>
  </si>
  <si>
    <t>BACHTEN | SAISON |</t>
  </si>
  <si>
    <t>BACHTEN | BLOND |</t>
  </si>
  <si>
    <t>NOIR_DE_DOTTIGNIES | DUBBEL |</t>
  </si>
  <si>
    <t>KWAK | BLOND |</t>
  </si>
  <si>
    <t>GOOSE_IPA | IPA |</t>
  </si>
  <si>
    <t>WATERLOO | RED |</t>
  </si>
  <si>
    <t>BELLE_VUE | CHERRY |</t>
  </si>
  <si>
    <t>LA_CORNE | TRIPEL |</t>
  </si>
  <si>
    <t>WATERLOO | TRIPEL |</t>
  </si>
  <si>
    <t>WITBIER | WHITE |</t>
  </si>
  <si>
    <t>BUSH | TRIPEL |</t>
  </si>
  <si>
    <t>MONSTER_ENERGY | IPA |</t>
  </si>
  <si>
    <t>TAMERA | TRIPEL |</t>
  </si>
  <si>
    <t>EZEL | BLOND |</t>
  </si>
  <si>
    <t>GOLIATH | TRIPEL |</t>
  </si>
  <si>
    <t>KOEKETIENE | TRIPEL |</t>
  </si>
  <si>
    <t>KOMPEL | DUBBEL |</t>
  </si>
  <si>
    <t>PALJAS | BLOND |</t>
  </si>
  <si>
    <t>SLAAPMUTSKE | TRIPEL |</t>
  </si>
  <si>
    <t>TETE_DE_MORT | TRIPEL |</t>
  </si>
  <si>
    <t>TER_DOLEN | TRIPEL |</t>
  </si>
  <si>
    <t>CHIMAY | BLOND |</t>
  </si>
  <si>
    <t>MORT_SUBITE | GUEUZE |</t>
  </si>
  <si>
    <t>TER_DOLEN | CHERRY |</t>
  </si>
  <si>
    <t>WATNEYS | SCOTCH |</t>
  </si>
  <si>
    <t>TER_DOLEN | DUBBEL |</t>
  </si>
  <si>
    <t>CORSENDONK | CHERRY |</t>
  </si>
  <si>
    <t>CORSENDONK | HOP |</t>
  </si>
  <si>
    <t>CUVEE_JEUN_HOMME | CUVEE |</t>
  </si>
  <si>
    <t>DE_DOLLE | STOUT |</t>
  </si>
  <si>
    <t>SPARTA | PILSNER |</t>
  </si>
  <si>
    <t>UNPLUGGED | IPA |</t>
  </si>
  <si>
    <t>BAPTIST | RED |</t>
  </si>
  <si>
    <t>GULDEN_DRAAK | SMOKED |</t>
  </si>
  <si>
    <t>CARAVAN_SULTAN | IPA |</t>
  </si>
  <si>
    <t>GOLDEN_TRICKY | IPA |</t>
  </si>
  <si>
    <t>REBEL_LOCAL | TRIPEL |</t>
  </si>
  <si>
    <t>SPACE_CADET | WHITE |</t>
  </si>
  <si>
    <t>SUPER_NOAH | IPA |</t>
  </si>
  <si>
    <t>UNWANTED_TATTOO | IPA |</t>
  </si>
  <si>
    <t>PONY_S | BLOND |</t>
  </si>
  <si>
    <t>GENTSE_GRUUT | AMBER |</t>
  </si>
  <si>
    <t>GENTSE_GRUUT | BLOND |</t>
  </si>
  <si>
    <t>GENTSE_GRUUT | BROWN |</t>
  </si>
  <si>
    <t>POSTEL | DUBBEL |</t>
  </si>
  <si>
    <t>TER_DOLEN | BLOND |</t>
  </si>
  <si>
    <t>HERCULE | STOUT |</t>
  </si>
  <si>
    <t>PAIX_DIEU | TRIPEL |</t>
  </si>
  <si>
    <t>SUPER_8 | RED |</t>
  </si>
  <si>
    <t>SCOTCH_ALE_GEN | SCOTCH |</t>
  </si>
  <si>
    <t>JUPILER | PILSNER |</t>
  </si>
  <si>
    <t>ICHTEGEMS | GRAND_CRU |</t>
  </si>
  <si>
    <t>QUADRUPEL_GEN | QUADRUPEL |</t>
  </si>
  <si>
    <t>ADRIAEN_BROUWER | TRIPEL |</t>
  </si>
  <si>
    <t>ADRIAEN_BROUWER | OAKED |</t>
  </si>
  <si>
    <t>CESAR | TRIPEL |</t>
  </si>
  <si>
    <t>ST_HUBERTUS | WHITE |</t>
  </si>
  <si>
    <t>QUEUE_DE_CHARRUE | BLOND |</t>
  </si>
  <si>
    <t>ST_IDESBALD | BLOND |</t>
  </si>
  <si>
    <t>TAROT | GOLD |</t>
  </si>
  <si>
    <t>CHIMAY | GOLD |</t>
  </si>
  <si>
    <t>CORSENDONK | BLOND |</t>
  </si>
  <si>
    <t>CORSENDONK | BROWN |</t>
  </si>
  <si>
    <t>TEMPELIER | STRONG_BLOND |</t>
  </si>
  <si>
    <t>MAREDSOUS | BLOND |</t>
  </si>
  <si>
    <t>MAREDSOUS | TRIPEL |</t>
  </si>
  <si>
    <t>TRIPEL_KANUNNIK | GOLD |</t>
  </si>
  <si>
    <t>666</t>
  </si>
  <si>
    <t>KRISTOFFEL | BLOND |</t>
  </si>
  <si>
    <t>KRISTOFFEL | DUBBEL |</t>
  </si>
  <si>
    <t>KRISTOFFEL | WHITE |</t>
  </si>
  <si>
    <t>KLOOSTERBIER | BLOND |</t>
  </si>
  <si>
    <t>KLOOSTERBIER | DUBBEL |</t>
  </si>
  <si>
    <t>KLOOSTERBIER | WHITE |</t>
  </si>
  <si>
    <t>MARTENS | PILSNER |</t>
  </si>
  <si>
    <t>C.T.S | SCOTCH |</t>
  </si>
  <si>
    <t>PEACH_GEN | PEACH |</t>
  </si>
  <si>
    <t>SUPER_8 | WHITE |</t>
  </si>
  <si>
    <t>SUPER_8 | PILSNER |</t>
  </si>
  <si>
    <t>PEERDEVISSCHER | BROWN |</t>
  </si>
  <si>
    <t>PEERDEVISSCHER | TRIPEL |</t>
  </si>
  <si>
    <t>KRISTOFFEL | ROSE |</t>
  </si>
  <si>
    <t>KWAK | AMBER |</t>
  </si>
  <si>
    <t>KOMPEL | CHERRY |</t>
  </si>
  <si>
    <t>SERGEANT | BLOND |</t>
  </si>
  <si>
    <t>LUPULUS | TRIPEL |</t>
  </si>
  <si>
    <t>VLIET | TRIPEL |</t>
  </si>
  <si>
    <t>POSTEL | BLOND |</t>
  </si>
  <si>
    <t>DURBOYSE | TRIPEL |</t>
  </si>
  <si>
    <t>LA_CORNE | BLOND |</t>
  </si>
  <si>
    <t>LA_TRAPPE | WHITE |</t>
  </si>
  <si>
    <t>LUTGARDE | WHITE |</t>
  </si>
  <si>
    <t>ZINNEBIR | BLOND |</t>
  </si>
  <si>
    <t>AVERBODE | BLOND |</t>
  </si>
  <si>
    <t>DELIRIUM | BLOND |</t>
  </si>
  <si>
    <t>CUVEE_DES_TROLLS | BLOND |</t>
  </si>
  <si>
    <t>ESTAMINET | PILSNER |</t>
  </si>
  <si>
    <t>LUTGARDE | IPA |</t>
  </si>
  <si>
    <t>BON_SECOURS | BLOND |</t>
  </si>
  <si>
    <t>CHIMAY | GREEN |</t>
  </si>
  <si>
    <t>MOINETTE | BLOND |</t>
  </si>
  <si>
    <t>ST_FEUILLIEN | TRIPEL |</t>
  </si>
  <si>
    <t>ST_FEUILLIEN | BLOND |</t>
  </si>
  <si>
    <t>GRISETTE | BLOND |</t>
  </si>
  <si>
    <t>SAINT_GERY | TRIPEL |</t>
  </si>
  <si>
    <t>ARDENNE | STOUT |</t>
  </si>
  <si>
    <t>LUPULUS | BROWN |</t>
  </si>
  <si>
    <t>TILQUIN | GUEUZE |</t>
  </si>
  <si>
    <t>CANTILLON | GUEUZE |</t>
  </si>
  <si>
    <t>CANTILLON | CHERRY |</t>
  </si>
  <si>
    <t>JART_ELLE | OUDE_KRIEK |</t>
  </si>
  <si>
    <t>BRETT_ELLE | BRETT |</t>
  </si>
  <si>
    <t>MOBIUS | IPA |</t>
  </si>
  <si>
    <t>COAST | IPA |</t>
  </si>
  <si>
    <t>PALJAS | IPA |</t>
  </si>
  <si>
    <t>SURREALISTE | IPA |</t>
  </si>
  <si>
    <t>XX_BITTER | IPA |</t>
  </si>
  <si>
    <t>BMX | IPA |</t>
  </si>
  <si>
    <t>BLOEMEKEI | IPA |</t>
  </si>
  <si>
    <t>BRUNEHAUT | TRIPEL |</t>
  </si>
  <si>
    <t>SLAAPMUTSKE | DUBBEL |</t>
  </si>
  <si>
    <t>FOURCHETTE | GUEUZE |</t>
  </si>
  <si>
    <t>WESTVLETEREN | 8 |</t>
  </si>
  <si>
    <t>BOON | OUDE_KRIEK |</t>
  </si>
  <si>
    <t>GRIMBERGEN | WINTERBOCK |</t>
  </si>
  <si>
    <t>HOOGARDEN_ROSEE | WHITE |</t>
  </si>
  <si>
    <t>MOKKE | STOUT |</t>
  </si>
  <si>
    <t>BLONDE_STOOT | BLOND |</t>
  </si>
  <si>
    <t>LIEFMANS | CUVEE |</t>
  </si>
  <si>
    <t>WATERLOO | STRONG_DARK |</t>
  </si>
  <si>
    <t>ST_IDESBALD | DUBBEL |</t>
  </si>
  <si>
    <t>BLANCHE_DE_SILLY | WHITE |</t>
  </si>
  <si>
    <t>SILLY | CHERRY |</t>
  </si>
  <si>
    <t>SILLY | SAISON |</t>
  </si>
  <si>
    <t>GREEN_KILLER | GREEN |</t>
  </si>
  <si>
    <t>SILLY | RED |</t>
  </si>
  <si>
    <t>TRIPLE_BIO | TRIPEL |</t>
  </si>
  <si>
    <t>SILLY | SCOTCH |</t>
  </si>
  <si>
    <t>KEYTE | DUBBEL |</t>
  </si>
  <si>
    <t>FOU_DE_MER | TRIPEL |</t>
  </si>
  <si>
    <t>CUVEE_LEOPOLD | BLOND |</t>
  </si>
  <si>
    <t>CUVEE_LEOPOLD | BROWN |</t>
  </si>
  <si>
    <t>CUVEE_LEOPOLD | GRAND_CRU |</t>
  </si>
  <si>
    <t>TIMMERMANS | CHERRY |</t>
  </si>
  <si>
    <t>ENAME | BLOND |</t>
  </si>
  <si>
    <t>PERIJO | BLOND |</t>
  </si>
  <si>
    <t>PERIJO | DUBBEL |</t>
  </si>
  <si>
    <t>TORIA | BLOND |</t>
  </si>
  <si>
    <t>VALEIR | EXTRA |</t>
  </si>
  <si>
    <t>LA_CORNE_DU_BOIS_DES_PENDUS | TRIPEL |</t>
  </si>
  <si>
    <t>SWIEKES | EXTRA |</t>
  </si>
  <si>
    <t>GEUZE_GEN | RASPBERRY |</t>
  </si>
  <si>
    <t>TEMPELIER | AMBER |</t>
  </si>
  <si>
    <t>SCHUPPENBOER | BARREL_AGED |</t>
  </si>
  <si>
    <t>TIMMERMANS | WHITE |</t>
  </si>
  <si>
    <t>DIULE | ROSE |</t>
  </si>
  <si>
    <t>DIULE | BLOND |</t>
  </si>
  <si>
    <t>LUPULUS | BLOND |</t>
  </si>
  <si>
    <t>KAPITTEL | TRIPEL |</t>
  </si>
  <si>
    <t>SAISON_DUPONT | STOUT |</t>
  </si>
  <si>
    <t>ENGHIEN | BLOND |</t>
  </si>
  <si>
    <t>ENGHIEN | BROWN |</t>
  </si>
  <si>
    <t>BOELENS | TRIPEL |</t>
  </si>
  <si>
    <t>VANDERGHINSTE_ROODBRUIN | TRIPEL |</t>
  </si>
  <si>
    <t>OUD_BEERSEL | TRIPEL |</t>
  </si>
  <si>
    <t>BROEDER_JACOB | DUBBEL |</t>
  </si>
  <si>
    <t>BUFFALO | STOUT |</t>
  </si>
  <si>
    <t>DE_BRABANDERE | TRIPEL |</t>
  </si>
  <si>
    <t>GIRARDIN | GUEUZE |</t>
  </si>
  <si>
    <t>BRUGS_WIT | WHITE |</t>
  </si>
  <si>
    <t>MAARKEDALSE | TRIPEL |</t>
  </si>
  <si>
    <t>HOEGAARDEN | BLOND |</t>
  </si>
  <si>
    <t>CINEY | BLOND |</t>
  </si>
  <si>
    <t>ORVELO | TRIPEL |</t>
  </si>
  <si>
    <t>TROUBADOUR | DUBBEL |</t>
  </si>
  <si>
    <t>TROUBADOUR | TRIPEL |</t>
  </si>
  <si>
    <t>ADRIAEN_BROUWER | DUBBEL |</t>
  </si>
  <si>
    <t>GOUDEN_CAROLUS | DUBBEL |</t>
  </si>
  <si>
    <t>ENAME | DUBBEL |</t>
  </si>
  <si>
    <t>KOPEREN_MARKIES | BLOND |</t>
  </si>
  <si>
    <t>KOPEREN_MARKIES | TRIPEL |</t>
  </si>
  <si>
    <t>AVERBODE | TRIPEL |</t>
  </si>
  <si>
    <t>LAMORAL | TRIPEL |</t>
  </si>
  <si>
    <t>PATER_LIEVEN | TRIPEL |</t>
  </si>
  <si>
    <t>WALK_THE_RED_CARPET | RED |</t>
  </si>
  <si>
    <t>MINERVA | TRIPEL |</t>
  </si>
  <si>
    <t>OSTDONK | BLOND |</t>
  </si>
  <si>
    <t>GLORIAAN | QUADRUPEL |</t>
  </si>
  <si>
    <t>OSTDONK | TRIPEL |</t>
  </si>
  <si>
    <t>KLOEKE_DIVA | BLOND |</t>
  </si>
  <si>
    <t>NONKEL_PATER | DUBBEL |</t>
  </si>
  <si>
    <t>NONKEL_HOP | IPA |</t>
  </si>
  <si>
    <t>HOOGHEID | IPA |</t>
  </si>
  <si>
    <t>ZIEKE_GEEST | TRIPEL |</t>
  </si>
  <si>
    <t>KATHEDRAAL | BLOND |</t>
  </si>
  <si>
    <t>KATHEDRAAL | DUBBEL |</t>
  </si>
  <si>
    <t>PETRUS | RED |</t>
  </si>
  <si>
    <t>VICARIS | GUEUZE |</t>
  </si>
  <si>
    <t>WATOU | TRIPEL |</t>
  </si>
  <si>
    <t>BARBAR | BOCK |</t>
  </si>
  <si>
    <t>GAULOISE | BLOND |</t>
  </si>
  <si>
    <t>STRAFFE_HENDRIK | WILD |</t>
  </si>
  <si>
    <t>CINEY | BROWN |</t>
  </si>
  <si>
    <t>GORDON | BROWN |</t>
  </si>
  <si>
    <t>JUS_DE_MER | BROWN |</t>
  </si>
  <si>
    <t>MOKKE | BLOND |</t>
  </si>
  <si>
    <t>MOKKE | BROWN |</t>
  </si>
  <si>
    <t>MOKKE | IPA |</t>
  </si>
  <si>
    <t>COCCINELLE | TRIPEL |</t>
  </si>
  <si>
    <t>BRUGSE_ZOT | BROWN |</t>
  </si>
  <si>
    <t>VAL_DIEU | HOP |</t>
  </si>
  <si>
    <t>BLANCHE_DE_LIEGE | WHITE |</t>
  </si>
  <si>
    <t>TITE | TRIPEL |</t>
  </si>
  <si>
    <t>TITE | DUBBEL |</t>
  </si>
  <si>
    <t>FEVER_TREE | BLUE |</t>
  </si>
  <si>
    <t>BAR_BLANCHE | WHITE |</t>
  </si>
  <si>
    <t>WATERLOO | DUBBEL |</t>
  </si>
  <si>
    <t>GOUDEN_CAROLUS | HOP |</t>
  </si>
  <si>
    <t>BELLE_VUE | EXTRA |</t>
  </si>
  <si>
    <t>PATIENCE | PALE_ALE |</t>
  </si>
  <si>
    <t>PATIENCE | SAISON |</t>
  </si>
  <si>
    <t>PATIENCE | BLOND |</t>
  </si>
  <si>
    <t>EYLENBOSCH | WILD |</t>
  </si>
  <si>
    <t>EYLENBOSCH | OUDE_KRIEK |</t>
  </si>
  <si>
    <t>GRAND_CRU_GEN | GRAND_CRU |</t>
  </si>
  <si>
    <t>KOOLPUTTER | GOLD |</t>
  </si>
  <si>
    <t>TROUBADOUR | WINTERBOCK |</t>
  </si>
  <si>
    <t>WATERLOO | CHERRY |</t>
  </si>
  <si>
    <t>VLIERBEEK | GRAND_CRU |</t>
  </si>
  <si>
    <t>VICARIS | WINTERBOCK |</t>
  </si>
  <si>
    <t>BLANCHE_DE_BRUGES | WHITE |</t>
  </si>
  <si>
    <t>BON_SECOURS | IPA |</t>
  </si>
  <si>
    <t>KOOLPUTTER | BLOND |</t>
  </si>
  <si>
    <t>KOMPEL | BLOND |</t>
  </si>
  <si>
    <t>FAGNES | TRIPEL |</t>
  </si>
  <si>
    <t>GULDENBERG | BLOND |</t>
  </si>
  <si>
    <t>KING_MULE | RED |</t>
  </si>
  <si>
    <t>STEENBRUGGE | WHITE |</t>
  </si>
  <si>
    <t>PAPEGAEI | BLOND |</t>
  </si>
  <si>
    <t>GULDEN_DRAAK | DUBBEL |</t>
  </si>
  <si>
    <t>CIRCUS | IPA |</t>
  </si>
  <si>
    <t>HOMMELBIER | BLOND |</t>
  </si>
  <si>
    <t>KAPITTEL | WINTERBOCK |</t>
  </si>
  <si>
    <t>FRAM_BUSH | RED |</t>
  </si>
  <si>
    <t>GORDON | TRIPEL |</t>
  </si>
  <si>
    <t>MALHEUR | 6 |</t>
  </si>
  <si>
    <t>TIETJE | BLOND |</t>
  </si>
  <si>
    <t>GUINNESS | STOUT |</t>
  </si>
  <si>
    <t>BLONDEN_OS | BLOND |</t>
  </si>
  <si>
    <t>BERTINCHAMPS | WHITE |</t>
  </si>
  <si>
    <t>TIMMERMANS | OUDE_GUEUZE |</t>
  </si>
  <si>
    <t>LA_GUILLOTINE | TRIPEL |</t>
  </si>
  <si>
    <t>TIMMERMANS | GUEUZE |</t>
  </si>
  <si>
    <t>SOMERSBY | RED |</t>
  </si>
  <si>
    <t>CORONA | EXTRA |</t>
  </si>
  <si>
    <t>ZEEVONK | TRIPEL |</t>
  </si>
  <si>
    <t>WITTEKERKE | ROSE |</t>
  </si>
  <si>
    <t>RADIO_MINERVA | TRIPEL |</t>
  </si>
  <si>
    <t>CLAUSTHALER | BLOND |</t>
  </si>
  <si>
    <t>VESPER | TRIPEL |</t>
  </si>
  <si>
    <t>SINT_GUMMARUS | TRIPEL |</t>
  </si>
  <si>
    <t>SEZOENS | BLOND |</t>
  </si>
  <si>
    <t>KOMPEL | PILSNER |</t>
  </si>
  <si>
    <t>GAGELEER | DUBBEL |</t>
  </si>
  <si>
    <t>SEZOENS | AMBER |</t>
  </si>
  <si>
    <t>TER_DOLEN | IPA |</t>
  </si>
  <si>
    <t>PEERDEVISSCHER | BLOND |</t>
  </si>
  <si>
    <t>LAGUNITAS | IPA |</t>
  </si>
  <si>
    <t>GEERAERT | BLOND |</t>
  </si>
  <si>
    <t>CUVEE_JEUN_HOMME | CHERRY |</t>
  </si>
  <si>
    <t>LA_CAMBRE | IPA |</t>
  </si>
  <si>
    <t>LAZARUS | WHISKEY_INFUSED |</t>
  </si>
  <si>
    <t>KASTEELBIER | EXTRA |</t>
  </si>
  <si>
    <t>GRISETTE | TRIPEL |</t>
  </si>
  <si>
    <t>GRISETTE | WHITE |</t>
  </si>
  <si>
    <t>COMET | BLOND |</t>
  </si>
  <si>
    <t>LUPULUS | WHITE |</t>
  </si>
  <si>
    <t>ANOSTEKE | IPA |</t>
  </si>
  <si>
    <t>LUC_PIRLET | DUBBEL |</t>
  </si>
  <si>
    <t>KEYTE | BLOND |</t>
  </si>
  <si>
    <t>ST_LOUIS | RASPBERRY |</t>
  </si>
  <si>
    <t>DE_POES | BROWN |</t>
  </si>
  <si>
    <t>KLOOSTERBIER | BROWN |</t>
  </si>
  <si>
    <t>POSTEL | TRIPEL |</t>
  </si>
  <si>
    <t>OUDE_KRIEK_LAMBIC_GEN | OUDE_KRIEK_LAMBIC |</t>
  </si>
  <si>
    <t>OUDE_GUEUZE_GEN | OUDE_GUEUZE |</t>
  </si>
  <si>
    <t>CARLSBERG | PILSNER |</t>
  </si>
  <si>
    <t>BRIEGHELAIR | TRIPEL |</t>
  </si>
  <si>
    <t>PONY_S | WILD |</t>
  </si>
  <si>
    <t>TITE | RED |</t>
  </si>
  <si>
    <t>NOBILEM | ROSE |</t>
  </si>
  <si>
    <t>NOBILEM | BLOND |</t>
  </si>
  <si>
    <t>GOUDEN_CAROLUS | XMAS |</t>
  </si>
  <si>
    <t>TIMMERMANS | OUDE_KRIEK |</t>
  </si>
  <si>
    <t>MARIAGE_PARFAIT | OUDE_KRIEK |</t>
  </si>
  <si>
    <t>OUDE_KRIEK_GEN | OUDE_KRIEK |</t>
  </si>
  <si>
    <t>GIRARDIN | CHERRY |</t>
  </si>
  <si>
    <t>MONGOZO | MANGO |</t>
  </si>
  <si>
    <t>BARBE | RED |</t>
  </si>
  <si>
    <t>NOBILEM | TRIPEL |</t>
  </si>
  <si>
    <t>OSTER | DUBBEL |</t>
  </si>
  <si>
    <t>MARCUS | SAISON |</t>
  </si>
  <si>
    <t>JUS_DE_MER | DUBBEL |</t>
  </si>
  <si>
    <t>LUPULUS | NEW_ENGLAND_IPA |</t>
  </si>
  <si>
    <t>ARMAND_&amp;_GASTON | GUEUZE |</t>
  </si>
  <si>
    <t>AREND | BLOND |</t>
  </si>
  <si>
    <t>BRAVEN_APOSTEL | TRIPEL |</t>
  </si>
  <si>
    <t>DE_GRAAL | BLOND |</t>
  </si>
  <si>
    <t>HELLEKETEL | BLOND |</t>
  </si>
  <si>
    <t>HOPRUITER | HOP |</t>
  </si>
  <si>
    <t>JOHANNES | BLOND |</t>
  </si>
  <si>
    <t>PREARIS | IPA |</t>
  </si>
  <si>
    <t>LUPULUS | PILSNER |</t>
  </si>
  <si>
    <t>BARBE | GOLD |</t>
  </si>
  <si>
    <t>GORDON | XMAS |</t>
  </si>
  <si>
    <t>LOKEREIRE | TRIPEL |</t>
  </si>
  <si>
    <t>LOKEREIRE | BLOND |</t>
  </si>
  <si>
    <t>SIMPEL_DUIF | PILSNER |</t>
  </si>
  <si>
    <t>FLURK | DUBBEL |</t>
  </si>
  <si>
    <t>PRIMUS | PILSNER |</t>
  </si>
  <si>
    <t>PAALSTEEN | BLOND |</t>
  </si>
  <si>
    <t>VLIET | DUBBEL |</t>
  </si>
  <si>
    <t>SAINT_MARTIN_BLONDE | BLOND |</t>
  </si>
  <si>
    <t>GIRARDIN | WHITE |</t>
  </si>
  <si>
    <t>SAISON_DE_DOTTIGNIES | SAISON |</t>
  </si>
  <si>
    <t>ST_FEUILLIEN | SAISON |</t>
  </si>
  <si>
    <t>ONDINEKE | TRIPEL |</t>
  </si>
  <si>
    <t>SAISON_D_ERPE_MERE | SAISON |</t>
  </si>
  <si>
    <t>VICARIS | GENERAAL |</t>
  </si>
  <si>
    <t>KERSTPATER | BROWN |</t>
  </si>
  <si>
    <t>GULDEN_DRAAK | TRIPEL |</t>
  </si>
  <si>
    <t>MARCUS | IPA |</t>
  </si>
  <si>
    <t>LA_TRIPLE | TRIPEL |</t>
  </si>
  <si>
    <t>RUBY_GEN | RUBY |</t>
  </si>
  <si>
    <t>RODENBACH | SOUR |</t>
  </si>
  <si>
    <t>GRAND_CRU_MONK | GRAND_CRU |</t>
  </si>
  <si>
    <t>MANNEKEN | PILSNER |</t>
  </si>
  <si>
    <t>DE_RANKE | CHERRY |</t>
  </si>
  <si>
    <t>ZENNE_PILS | PILSNER |</t>
  </si>
  <si>
    <t>HOLY_IPA | IPA |</t>
  </si>
  <si>
    <t>MARTIN_S | IPA |</t>
  </si>
  <si>
    <t>BELGOO | BLOND |</t>
  </si>
  <si>
    <t>TIMMERMANS | RASPBERRY |</t>
  </si>
  <si>
    <t>FUSEE | BLOND |</t>
  </si>
  <si>
    <t>RED_FOX | SOUR |</t>
  </si>
  <si>
    <t>LOBO | DUBBEL |</t>
  </si>
  <si>
    <t>MOPA | PALE_ALE |</t>
  </si>
  <si>
    <t>PLAYGROUND | IPA |</t>
  </si>
  <si>
    <t>BRETT_ELLE | GUEUZE |</t>
  </si>
  <si>
    <t>WITKAP_PATER | TRIPEL |</t>
  </si>
  <si>
    <t>BOURBON | RED |</t>
  </si>
  <si>
    <t>HOLY_ROASTY | STOUT |</t>
  </si>
  <si>
    <t>CAZEAU | SAISON |</t>
  </si>
  <si>
    <t>NONKEL_HOP | HOP |</t>
  </si>
  <si>
    <t>ST_FEUILLIEN | CUVEE |</t>
  </si>
  <si>
    <t>VICARIS | TRIPEL_GUEUZE |</t>
  </si>
  <si>
    <t>BRUNEHAUT | BLOND |</t>
  </si>
  <si>
    <t>WITTEKERKE | RED |</t>
  </si>
  <si>
    <t>NOCTIS_BROWN | BROWN |</t>
  </si>
  <si>
    <t>TONGERLO | XMAS |</t>
  </si>
  <si>
    <t>CHARLES_QUINT | BROWN |</t>
  </si>
  <si>
    <t>MORT_SUBITE | OUDE_GUEUZE |</t>
  </si>
  <si>
    <t>MORT_SUBITE | OUDE_KRIEK |</t>
  </si>
  <si>
    <t>WATERLOO | BLOND |</t>
  </si>
  <si>
    <t>CUVEE_VANDERKELDER | CUVEE |</t>
  </si>
  <si>
    <t>CURTIUS | TRIPEL |</t>
  </si>
  <si>
    <t>LEOPOLD | TRIPEL |</t>
  </si>
  <si>
    <t>SAUVIGNON | WHITE |</t>
  </si>
  <si>
    <t>TERDERLEN | BLOND |</t>
  </si>
  <si>
    <t>TERDERLEN | TRIPEL |</t>
  </si>
  <si>
    <t>TERDERLEN | CHERRY |</t>
  </si>
  <si>
    <t>ERDINGER | WEIZEN |</t>
  </si>
  <si>
    <t>OP_DE_DOOL | IPA |</t>
  </si>
  <si>
    <t>OP_DE_DOOL | CHERRY |</t>
  </si>
  <si>
    <t>VULPIO | BLOND |</t>
  </si>
  <si>
    <t>BOCKOR | PILSNER |</t>
  </si>
  <si>
    <t>YPRA | TRIPEL |</t>
  </si>
  <si>
    <t>VANDERGHINSTE_ROODBRUIN | BROWN |</t>
  </si>
  <si>
    <t>TAITTINGER | ROSE |</t>
  </si>
  <si>
    <t>TONIC | WHITE |</t>
  </si>
  <si>
    <t>ZEEVONK | RED |</t>
  </si>
  <si>
    <t>ZUNDERT | 11 |</t>
  </si>
  <si>
    <t>11</t>
  </si>
  <si>
    <t>BAVARIA | PILSNER |</t>
  </si>
  <si>
    <t>HEUVELTJE | BLOND |</t>
  </si>
  <si>
    <t>HEUVELTJE | BROWN |</t>
  </si>
  <si>
    <t>PICON_BIERE | WHITE |</t>
  </si>
  <si>
    <t>LA_FRANGINE | TRIPEL |</t>
  </si>
  <si>
    <t>BATTIN | PILSNER |</t>
  </si>
  <si>
    <t>BATTIN | EXTRA |</t>
  </si>
  <si>
    <t>DRUPPEL_HOP | HOP |</t>
  </si>
  <si>
    <t>VALS_PATERKE | TRIPEL |</t>
  </si>
  <si>
    <t>FEVER_TREE | RASPBERRY |</t>
  </si>
  <si>
    <t>LA_CAMBRE | BLOND |</t>
  </si>
  <si>
    <t>DIRTY_TALK | IPA |</t>
  </si>
  <si>
    <t>SURREALISTE | PALE_ALE |</t>
  </si>
  <si>
    <t>DOUBLE_TROUBLE | DUBBEL |</t>
  </si>
  <si>
    <t>3_FONTEINEN | OUDE_KRIEK |</t>
  </si>
  <si>
    <t>STRONGBOW | ROSE |</t>
  </si>
  <si>
    <t>SERVAIS | PILSNER |</t>
  </si>
  <si>
    <t>LEFFE | XMAS |</t>
  </si>
  <si>
    <t>AUBEL | TRIPEL |</t>
  </si>
  <si>
    <t>AUBEL | IPA |</t>
  </si>
  <si>
    <t>IMMORTELLE | TRIPEL |</t>
  </si>
  <si>
    <t>DURBOYSE | BROWN |</t>
  </si>
  <si>
    <t>VAL_DIEU | ROSE |</t>
  </si>
  <si>
    <t>VALS_PATERKE | GOLD |</t>
  </si>
  <si>
    <t>PLOEGSTEERT | TRIPEL |</t>
  </si>
  <si>
    <t>IVERANS | TRIPEL |</t>
  </si>
  <si>
    <t>BLANCHE_DE_LIEGE_ROSE | WHITE |</t>
  </si>
  <si>
    <t>BELLEVAUX | BLOND |</t>
  </si>
  <si>
    <t>BELLEVAUX | BROWN |</t>
  </si>
  <si>
    <t>CURTIS | TRIPEL |</t>
  </si>
  <si>
    <t>PATER_GEN | WHITE |</t>
  </si>
  <si>
    <t>MOINETTE | BROWN |</t>
  </si>
  <si>
    <t>KASTEELBIER | TROPICAL |</t>
  </si>
  <si>
    <t>BROUWERIJ_T_IJ | WHITE |</t>
  </si>
  <si>
    <t>WARSTEINER | RADLER |</t>
  </si>
  <si>
    <t>GOUVERNEUR | STOUT |</t>
  </si>
  <si>
    <t>DE_KONINCK | TRIPEL |</t>
  </si>
  <si>
    <t>KING_MULE | IPA |</t>
  </si>
  <si>
    <t>AVONTUURLIJKE</t>
  </si>
  <si>
    <t>PETITE | RED |</t>
  </si>
  <si>
    <t>BATTIN | TRIPEL |</t>
  </si>
  <si>
    <t>BATTIN | IPA |</t>
  </si>
  <si>
    <t>JANINE | SOUR |</t>
  </si>
  <si>
    <t>ILLEGAAL | IPA |</t>
  </si>
  <si>
    <t>LUTGARDE | BLOND |</t>
  </si>
  <si>
    <t>WATERLOO | STRONG |</t>
  </si>
  <si>
    <t>ARTEVELDE | BLOND |</t>
  </si>
  <si>
    <t>DELIRIUM | TRIPEL |</t>
  </si>
  <si>
    <t>FLANDRIEN | BLOND |</t>
  </si>
  <si>
    <t>DELIRIUM | BROWN |</t>
  </si>
  <si>
    <t>L_IMPERATRICE | BLOND |</t>
  </si>
  <si>
    <t>BARRY | PEACH |</t>
  </si>
  <si>
    <t>STAR_LIGHT | LIGHT |</t>
  </si>
  <si>
    <t>BLUE_THRILL | BLUE |</t>
  </si>
  <si>
    <t>ST_FEUILLIEN | QUADRUPEL |</t>
  </si>
  <si>
    <t>WATERLOO | BROWN |</t>
  </si>
  <si>
    <t>GRIMBERGEN | WHITE |</t>
  </si>
  <si>
    <t>TRIPICK | BLOND |</t>
  </si>
  <si>
    <t>GRENADINE | WHITE |</t>
  </si>
  <si>
    <t>FRAM_BUSH | PEACH |</t>
  </si>
  <si>
    <t>CHEVAL_GODET | TRIPEL |</t>
  </si>
  <si>
    <t>TORIA | TRIPEL |</t>
  </si>
  <si>
    <t>KADEE | TRIPEL |</t>
  </si>
  <si>
    <t>PATER_LIEVEN | DUBBEL |</t>
  </si>
  <si>
    <t>SATAN | GOLD |</t>
  </si>
  <si>
    <t>SEMEKEIL | IPA |</t>
  </si>
  <si>
    <t>DINVERS | TRIPEL |</t>
  </si>
  <si>
    <t>ZEVENHOEK | RED |</t>
  </si>
  <si>
    <t>ZEVENHOEK | TRIPEL |</t>
  </si>
  <si>
    <t>ZEVENHOEK | BLOND |</t>
  </si>
  <si>
    <t>PATERNOSTER | BLOND |</t>
  </si>
  <si>
    <t>PATERNOSTER | DUBBEL |</t>
  </si>
  <si>
    <t>BAUDELOO | TRIPEL |</t>
  </si>
  <si>
    <t>BAUDELOO | BLOND |</t>
  </si>
  <si>
    <t>HAPKIN | BLOND |</t>
  </si>
  <si>
    <t>RENE | ROSE |</t>
  </si>
  <si>
    <t>MAGNUM | ROSE |</t>
  </si>
  <si>
    <t>WESTVLETEREN | BLOND |</t>
  </si>
  <si>
    <t>SUPER_B | WHITE |</t>
  </si>
  <si>
    <t>BRIXIUS | TRIPEL |</t>
  </si>
  <si>
    <t>BARREL_AGED | BARREL_AGED |</t>
  </si>
  <si>
    <t>GLORIAAN | TRIPEL |</t>
  </si>
  <si>
    <t>SANCERRE | WHITE |</t>
  </si>
  <si>
    <t>BOUDELO | TRIPEL |</t>
  </si>
  <si>
    <t>SUPER_DES_FAGNES | BLOND |</t>
  </si>
  <si>
    <t>MAGNUM | BLUE |</t>
  </si>
  <si>
    <t>DIOLE | TRIPEL |</t>
  </si>
  <si>
    <t>DIOLE | BLOND |</t>
  </si>
  <si>
    <t>DIOLE | ROSE |</t>
  </si>
  <si>
    <t>BEER_GEN | PEACH |</t>
  </si>
  <si>
    <t>FAGNES | BROWN |</t>
  </si>
  <si>
    <t>BERTINCHAMPS | RASPBERRY |</t>
  </si>
  <si>
    <t>ELEGANT | ROSE |</t>
  </si>
  <si>
    <t>BUSH | WHITE |</t>
  </si>
  <si>
    <t>LA_CORNE | BROWN |</t>
  </si>
  <si>
    <t>BEER_GEN | BLOND |</t>
  </si>
  <si>
    <t>BEER_GEN | RED |</t>
  </si>
  <si>
    <t>BEER_GEN | RUBY |</t>
  </si>
  <si>
    <t>BINCHOISE | BLOND |</t>
  </si>
  <si>
    <t>BINCHOISE | BROWN |</t>
  </si>
  <si>
    <t>AFFLIGEM | DUBBEL |</t>
  </si>
  <si>
    <t>KWIBUS | BLOND |</t>
  </si>
  <si>
    <t>KWIBUS | DUBBEL |</t>
  </si>
  <si>
    <t>BRUGSE_ZOT | TRIPEL |</t>
  </si>
  <si>
    <t>CUVEE_DE_CHATEAU | CUVEE |</t>
  </si>
  <si>
    <t>WAAR_IS_LOCA? | IPA |</t>
  </si>
  <si>
    <t>STROOM | RASPBERRY |</t>
  </si>
  <si>
    <t>CIRCUS | WINTERBOCK |</t>
  </si>
  <si>
    <t>GULDEN_DRAAK | RED |</t>
  </si>
  <si>
    <t>MONKS_GRAND_CRU | GRAND_CRU |</t>
  </si>
  <si>
    <t>BUFFALO | CHERRY |</t>
  </si>
  <si>
    <t>PALM | HOP |</t>
  </si>
  <si>
    <t>KWAREMONT | BROWN |</t>
  </si>
  <si>
    <t>SINT_GUMMARUS | DUBBEL |</t>
  </si>
  <si>
    <t>LIMBURGSE_WITTE | PEACH |</t>
  </si>
  <si>
    <t>WATERLOO | SAISON |</t>
  </si>
  <si>
    <t>VAL_DIEU | CUVEE |</t>
  </si>
  <si>
    <t>VALEIR | DUBBEL |</t>
  </si>
  <si>
    <t>QUEUE_DE_CHARRUE | BROWN |</t>
  </si>
  <si>
    <t>FOURCHETTE | WHITE |</t>
  </si>
  <si>
    <t>BEL_CHIC | TRIPEL |</t>
  </si>
  <si>
    <t>RODENBACH | VINTAGE |</t>
  </si>
  <si>
    <t>LEFFE | LAGER |</t>
  </si>
  <si>
    <t>KEIZER_KAMIEL | BLOND |</t>
  </si>
  <si>
    <t>KEIZER_KAMIEL | QUADRUPEL |</t>
  </si>
  <si>
    <t>KEIZER_KAMIEL | TRIPEL |</t>
  </si>
  <si>
    <t>GAULOISE | BROWN |</t>
  </si>
  <si>
    <t>LA_REDOUTABLE | TRIPEL |</t>
  </si>
  <si>
    <t>SAINTE_NITOUCHE | TRIPEL |</t>
  </si>
  <si>
    <t>VOISIN | SAISON |</t>
  </si>
  <si>
    <t>TRIPICK | TRIPEL |</t>
  </si>
  <si>
    <t>ACHEL | TRIPEL</t>
  </si>
  <si>
    <t>SAISON_DUPONT | SAISON |</t>
  </si>
  <si>
    <t>CHOUFFE | CHERRY |</t>
  </si>
  <si>
    <t>CHOUFFE | BLOND |</t>
  </si>
  <si>
    <t>BOON | GUEUZE |</t>
  </si>
  <si>
    <t>HOEGAARDEN | GRAND_CRU |</t>
  </si>
  <si>
    <t>KASTEELBIER | RED |</t>
  </si>
  <si>
    <t>ROCHEFORT | 8 |</t>
  </si>
  <si>
    <t>TRIPEL_KARMELIET | TRIPEL |</t>
  </si>
  <si>
    <t>WESTMALLE | DUBBEL |</t>
  </si>
  <si>
    <t>WESTMALLE | TRIPEL |</t>
  </si>
  <si>
    <t>CHIMAY | TRIPEL |</t>
  </si>
  <si>
    <t>ROCHEFORT | 10 |</t>
  </si>
  <si>
    <t>WESTVLETEREN | 12 |</t>
  </si>
  <si>
    <t>BEL_PILS | PILSNER |</t>
  </si>
  <si>
    <t>DUVEL | 666 |</t>
  </si>
  <si>
    <t>LIEFMANS | PEACH |</t>
  </si>
  <si>
    <t>BLANCHE_DE_HAINAUT | WHITE |</t>
  </si>
  <si>
    <t>WHITE_FLOWER | WHITE |</t>
  </si>
  <si>
    <t>FREE_IPA | IPA |</t>
  </si>
  <si>
    <t>BASS | PALE_ALE |</t>
  </si>
  <si>
    <t>GOUDEN_CAROLUS | BLOND |</t>
  </si>
  <si>
    <t>HOEGAARDEN | WHITE |</t>
  </si>
  <si>
    <t>LEFFE | BLOND |</t>
  </si>
  <si>
    <t>ZEEVONK | BLOND |</t>
  </si>
  <si>
    <t>KEYTE | TRIPEL |</t>
  </si>
  <si>
    <t>HOEGAARDEN | ROSE |</t>
  </si>
  <si>
    <t>QUEUE_DE_CHARRUE | RED |</t>
  </si>
  <si>
    <t>QUEUE_DE_CHARRUE | TRIPEL |</t>
  </si>
  <si>
    <t>BOON | CHERRY |</t>
  </si>
  <si>
    <t>LINDEMANS | CHERRY |</t>
  </si>
  <si>
    <t>OUD_BEERSEL | CHERRY |</t>
  </si>
  <si>
    <t>ST_LOUIS | CHERRY |</t>
  </si>
  <si>
    <t>OUD_BEERSEL | OUDE_GUEUZE |</t>
  </si>
  <si>
    <t>BOON | OUDE_GUEUZE |</t>
  </si>
  <si>
    <t>3_FONTEINEN | OUDE_GUEUZE |</t>
  </si>
  <si>
    <t>LEFFE | BROWN |</t>
  </si>
  <si>
    <t>AUGUSTIJN | GRAND_CRU |</t>
  </si>
  <si>
    <t>GARDIAAN | BLOND |</t>
  </si>
  <si>
    <t>LE_FORT | TRIPEL |</t>
  </si>
  <si>
    <t>NETHE | TRIPEL |</t>
  </si>
  <si>
    <t>PETRUS | BLOND |</t>
  </si>
  <si>
    <t>PETRUS | TRIPEL |</t>
  </si>
  <si>
    <t>PETRUS | DUBBEL |</t>
  </si>
  <si>
    <t>STEENBRUGGE | BLOND |</t>
  </si>
  <si>
    <t>TIPSY | GOLD |</t>
  </si>
  <si>
    <t>STEENBRUGGE | BROWN |</t>
  </si>
  <si>
    <t>WILDEREN | GOLD |</t>
  </si>
  <si>
    <t>ACHEL | BLOND |</t>
  </si>
  <si>
    <t>BARBAR | BLOND |</t>
  </si>
  <si>
    <t>BARBAR | RED |</t>
  </si>
  <si>
    <t>CHOUFFE | HOP |</t>
  </si>
  <si>
    <t>CHOUFFE | MC |</t>
  </si>
  <si>
    <t>DUVEL | TRIPEL_HOP |</t>
  </si>
  <si>
    <t>GENTSE_STROP | BLOND |</t>
  </si>
  <si>
    <t>RODENBACH | GRAND_CRU |</t>
  </si>
  <si>
    <t>LINDEMANS | GUEUZE |</t>
  </si>
  <si>
    <t>BRUGGE_TRIPEL | TRIPEL |</t>
  </si>
  <si>
    <t>KASTEELBIER | TRIPEL |</t>
  </si>
  <si>
    <t>KASTEELBIER | RASPBERRY |</t>
  </si>
  <si>
    <t>ST_BERNARDUS | TRIPEL |</t>
  </si>
  <si>
    <t>JUS_DE_MER | BLOND |</t>
  </si>
  <si>
    <t>SCOTCH_CTS | SCOTCH |</t>
  </si>
  <si>
    <t>VAL_DIEU | BLOND |</t>
  </si>
  <si>
    <t>GORDON | SCOTCH |</t>
  </si>
  <si>
    <t>LEFFE | RUBY |</t>
  </si>
  <si>
    <t>VAL_DIEU | BROWN |</t>
  </si>
  <si>
    <t>VAL_DIEU | TRIPEL |</t>
  </si>
  <si>
    <t>GOUDEN_CAROLUS | TRIPEL |</t>
  </si>
  <si>
    <t>ST_BERNARDUS | WHITE |</t>
  </si>
  <si>
    <t>LEFFE | TRIPEL |</t>
  </si>
  <si>
    <t>LINDEMANS | RASPBERRY |</t>
  </si>
  <si>
    <t>LINDEMANS | PEACH |</t>
  </si>
  <si>
    <t>VAL_DIEU | GOSE |</t>
  </si>
  <si>
    <t>CHIMAY | RED |</t>
  </si>
  <si>
    <t>LA_TRAPPE | BLOND |</t>
  </si>
  <si>
    <t>LA_TRAPPE | TRIPEL |</t>
  </si>
  <si>
    <t>LA_TRAPPE | QUADRUPEL |</t>
  </si>
  <si>
    <t>ROCHEFORT | 6 |</t>
  </si>
  <si>
    <t>BELLE_VUE | GUEUZE |</t>
  </si>
  <si>
    <t>PALE_ALE_GEN | PALE_ALE |</t>
  </si>
  <si>
    <t>BERTINCHAMPS | BLOND |</t>
  </si>
  <si>
    <t>BERTINCHAMPS | BROWN |</t>
  </si>
  <si>
    <t>BERTINCHAMPS | TRIPEL |</t>
  </si>
  <si>
    <t>DUVEL | CUVEE |</t>
  </si>
  <si>
    <t>TROUBADOUR | BLOND |</t>
  </si>
  <si>
    <t>TROUBADOUR | STOUT |</t>
  </si>
  <si>
    <t>SUPER_8 | IPA |</t>
  </si>
  <si>
    <t>CRISTAL_ALKEN | EXTRA |</t>
  </si>
  <si>
    <t>MORT_SUBITE | KRIEK_LAMBIC |</t>
  </si>
  <si>
    <t>CHOUFFE | LITE |</t>
  </si>
  <si>
    <t>CHOUFFE | IPA |</t>
  </si>
  <si>
    <t>AUGUSTIJN | BLOND |</t>
  </si>
  <si>
    <t>AUGUSTIJN | DUBBEL |</t>
  </si>
  <si>
    <t>BAPTIST | IPA |</t>
  </si>
  <si>
    <t>BAPTIST | BLOND |</t>
  </si>
  <si>
    <t>BAPTIST | SAISON |</t>
  </si>
  <si>
    <t>BAPTIST | WHITE |</t>
  </si>
  <si>
    <t>GULDEN_DRAAK | BREWMASTER |</t>
  </si>
  <si>
    <t>GULDEN_DRAAK | QUADRUPEL |</t>
  </si>
  <si>
    <t>LOTJEN | TRIPEL |</t>
  </si>
  <si>
    <t>PIRAAT | RED |</t>
  </si>
  <si>
    <t>PIRAAT | TRIPEL_HOP |</t>
  </si>
  <si>
    <t>HAESEVELD | STRONG_BLOND |</t>
  </si>
  <si>
    <t>HAESEVELD | STRONG_DARK |</t>
  </si>
  <si>
    <t>HAESEVELD | ULTRA_STRONG |</t>
  </si>
  <si>
    <t>DELIRIUM | RED |</t>
  </si>
  <si>
    <t>AFFLIGEM | BLOND |</t>
  </si>
  <si>
    <t>GOUDEN_CAROLUS | WHISKEY_INFUSED |</t>
  </si>
  <si>
    <t>GRIMBERGEN | BLOND |</t>
  </si>
  <si>
    <t>CUVEE_CHATEAU | CUVEE |</t>
  </si>
  <si>
    <t>GRIMBERGEN | DUBBEL |</t>
  </si>
  <si>
    <t>ENAME | TRIPEL |</t>
  </si>
  <si>
    <t>ERDINGER | WEISSBIER |</t>
  </si>
  <si>
    <t>VLIERBEEK | BLOND |</t>
  </si>
  <si>
    <t>KRAAIKE | TRIPEL |</t>
  </si>
  <si>
    <t>MARIAGE_PARFAIT | GUEUZE |</t>
  </si>
  <si>
    <t>DE_KONINCK | BOLLEKE |</t>
  </si>
  <si>
    <t>MAES | PILSNER |</t>
  </si>
  <si>
    <t>FAGNES | BLOND |</t>
  </si>
  <si>
    <t>BRUGSE_ZOT | BLOND |</t>
  </si>
  <si>
    <t>PALM | AMBER |</t>
  </si>
  <si>
    <t>STRONGBOW | RED |</t>
  </si>
  <si>
    <t>JOSKE | TRIPEL |</t>
  </si>
  <si>
    <t>CONTJE | BLOND |</t>
  </si>
  <si>
    <t>KNOTS | BROWN |</t>
  </si>
  <si>
    <t>KNOTS | TRIPEL |</t>
  </si>
  <si>
    <t>SAISON_GEN | SAISON |</t>
  </si>
  <si>
    <t>JUPILER | BLUE |</t>
  </si>
  <si>
    <t>BORNEM | DUBBEL |</t>
  </si>
  <si>
    <t>BORNEM | TRIPEL |</t>
  </si>
  <si>
    <t>STRONGBOW | APPLE |</t>
  </si>
  <si>
    <t>BEERSEL | CORE |</t>
  </si>
  <si>
    <t>LINDEMANS | APPLE |</t>
  </si>
  <si>
    <t>VAL | TONIC_WATER |</t>
  </si>
  <si>
    <t>BEERSEL | BLOND |</t>
  </si>
  <si>
    <t>SOMERSBY | APPLE |</t>
  </si>
  <si>
    <t>SAFARI | ORANGE |</t>
  </si>
  <si>
    <t>GERMAIN | SPRITZ |</t>
  </si>
  <si>
    <t>CIDER_GEN | APPLE |</t>
  </si>
  <si>
    <t>FRITZ | HONEY |</t>
  </si>
  <si>
    <t>CHAUDFONTAINE | BLUE |</t>
  </si>
  <si>
    <t>BON_SECOURS | BLUEBERRY |</t>
  </si>
  <si>
    <t>BOURBON | WILD |</t>
  </si>
  <si>
    <t>OASIS | GREEN |</t>
  </si>
  <si>
    <t>STAR | PASSIONFRUIT |</t>
  </si>
  <si>
    <t>LIPTON | YELLOW |</t>
  </si>
  <si>
    <t>BEER_GEN | IPA |</t>
  </si>
  <si>
    <t>AQUARIUS | BLUE |</t>
  </si>
  <si>
    <t>BERLINER_WEISSE_GEN | BERLINER |</t>
  </si>
  <si>
    <t>FUGUSHIMA | AGRUMES |</t>
  </si>
  <si>
    <t>STOUT_GEN | BLUEBERRY |</t>
  </si>
  <si>
    <t>MORT_SUBITE | JUICY_PASSION |</t>
  </si>
  <si>
    <t>LINDEMANS | BLACKCURRANT |</t>
  </si>
  <si>
    <t>THOMAS | TONIC_WATER |</t>
  </si>
  <si>
    <t>LOKALES | LEMON |</t>
  </si>
  <si>
    <t>SILLY | SESSION |</t>
  </si>
  <si>
    <t>BLACK_ALBERT | VINTAGE |</t>
  </si>
  <si>
    <t>FORT_LAPIN | QUADRUPEL |</t>
  </si>
  <si>
    <t>VANDERGHINSTE_ROODBRUIN | RED |</t>
  </si>
  <si>
    <t>RUWET | APPLE |</t>
  </si>
  <si>
    <t>MAES | LEMON |</t>
  </si>
  <si>
    <t>STRONGBOW | ELDERFLOWER |</t>
  </si>
  <si>
    <t>FRAMBOISE_TIMMER | RASBERRY |</t>
  </si>
  <si>
    <t>TAFELSTOUT | STOUT |</t>
  </si>
  <si>
    <t>ESKIMO_GEN | TONIC_WATER |</t>
  </si>
  <si>
    <t>ST_FEUILLIEN | GREEN |</t>
  </si>
  <si>
    <t>HOPSCHEPPER | HOP |</t>
  </si>
  <si>
    <t>GRAND_CRU_GEN | GREEN |</t>
  </si>
  <si>
    <t>BLONDINE | BLOND |</t>
  </si>
  <si>
    <t>LIMBURGSE_WITTE | WHITE |</t>
  </si>
  <si>
    <t>BRAVEN_APOSTEL | BLOND |</t>
  </si>
  <si>
    <t>BRAVEN | BLOND |</t>
  </si>
  <si>
    <t>VAL | WHITE |</t>
  </si>
  <si>
    <t>COLA_GEN | LEMON |</t>
  </si>
  <si>
    <t>WITKAP | WHITE |</t>
  </si>
  <si>
    <t>HOPSINJOOR | HOP |</t>
  </si>
  <si>
    <t>TRIPEL_KANUNNIK | WILD |</t>
  </si>
  <si>
    <t>BETSY | BROWN |</t>
  </si>
  <si>
    <t>TANK_7 | IPA |</t>
  </si>
  <si>
    <t>SNEEUWWITJE | WHITE |</t>
  </si>
  <si>
    <t>RUBY_GEN | RASPBERRY |</t>
  </si>
  <si>
    <t>CORSENDONK | WINTERBOCK |</t>
  </si>
  <si>
    <t>PATER_LIEVEN | CHERRY |</t>
  </si>
  <si>
    <t>HOMMELBIER | HOP |</t>
  </si>
  <si>
    <t>BAR_BELGE | IPA |</t>
  </si>
  <si>
    <t>LEMONADE_GEN | RASPBERRY |</t>
  </si>
  <si>
    <t>CANADA_DRY | APPLE |</t>
  </si>
  <si>
    <t>SAINTE_NITOUCHE | BROWN |</t>
  </si>
  <si>
    <t>DUCASSIS | BLACKCURRANT |</t>
  </si>
  <si>
    <t>BIERE_DES_AMIS | BLOND |</t>
  </si>
  <si>
    <t>BEER_GEN | LIGHT |</t>
  </si>
  <si>
    <t>DELIRIUM | SILVER |</t>
  </si>
  <si>
    <t>KLOOTZAKSKE | TRIPEL |</t>
  </si>
  <si>
    <t>PIER_KLOEFFE | GOLD |</t>
  </si>
  <si>
    <t>CALVADOS | GREEN |</t>
  </si>
  <si>
    <t>KAAIMAN | CHERRY |</t>
  </si>
  <si>
    <t>KERSTPATER | CHERRY |</t>
  </si>
  <si>
    <t>ZINNEBIR | PALE_ALE |</t>
  </si>
  <si>
    <t>GOUDEN_CAROLUS | RED |</t>
  </si>
  <si>
    <t>VICARIS | DUBBEL |</t>
  </si>
  <si>
    <t>CUVEE_CLARISSE | WILD |</t>
  </si>
  <si>
    <t>DIEKIRCH | GREEN |</t>
  </si>
  <si>
    <t>SOMERSBY | SPRITZ |</t>
  </si>
  <si>
    <t>ZINNEBIR | GOLD |</t>
  </si>
  <si>
    <t>MAREDRET | RED |</t>
  </si>
  <si>
    <t>VAL_DIEU | GREEN |</t>
  </si>
  <si>
    <t>VAL_DIEU | IPA |</t>
  </si>
  <si>
    <t>TROUBADOUR | AMBER |</t>
  </si>
  <si>
    <t>AUGUSTIJN | GREEN |</t>
  </si>
  <si>
    <t>FOURCHETTE | AMBER |</t>
  </si>
  <si>
    <t>HANSSENS | RASPBERRY |</t>
  </si>
  <si>
    <t>HANSSENS | LIMITED |</t>
  </si>
  <si>
    <t>CANTILLON | RASPBERRY |</t>
  </si>
  <si>
    <t>CUVEE_LEOPOLD | GREEN |</t>
  </si>
  <si>
    <t>PANNEPOT | GR_RESERVE |</t>
  </si>
  <si>
    <t>STILLE_NACHT | CHERRY |</t>
  </si>
  <si>
    <t>OERBIER | GR_RESERVE |</t>
  </si>
  <si>
    <t>STILLE_NACHT | GR_RESERVE |</t>
  </si>
  <si>
    <t>LEMONADE_GEN | WHITE |</t>
  </si>
  <si>
    <t>VRIJWIT | WHITE |</t>
  </si>
  <si>
    <t>ST_BERNARDUS | WINTERBOCK |</t>
  </si>
  <si>
    <t>BOCKOR | BOCK |</t>
  </si>
  <si>
    <t>ROCHEHAUT | RED |</t>
  </si>
  <si>
    <t>N_ROSTEN | BLOND |</t>
  </si>
  <si>
    <t>TAXANDRIA | GOLD |</t>
  </si>
  <si>
    <t>BOURBON | ROSE |</t>
  </si>
  <si>
    <t>OESTERSTOUT | STOUT |</t>
  </si>
  <si>
    <t>STOUTERIK | STOUT |</t>
  </si>
  <si>
    <t>TROUBADOUR | MAGMA |</t>
  </si>
  <si>
    <t>RED_BULL | RED |</t>
  </si>
  <si>
    <t>CAPPUCCINO_GEN | CORE |</t>
  </si>
  <si>
    <t>CAVA_GEN | CORE |</t>
  </si>
  <si>
    <t>NORDIC_MIST | CORE |</t>
  </si>
  <si>
    <t>NORDIC_MIST | TONIC_WATER |</t>
  </si>
  <si>
    <t>FEVER_TREE | MEDITERRANEAN |</t>
  </si>
  <si>
    <t>BEERSEL | OUDE_GUEUZE |</t>
  </si>
  <si>
    <t>PINEAU | CORE |</t>
  </si>
  <si>
    <t>VAL_DIEU | MANGO |</t>
  </si>
  <si>
    <t>TANK_7 | SOUR |</t>
  </si>
  <si>
    <t>KNOTS | DUBBEL |</t>
  </si>
  <si>
    <t>VANDERGHINSTE_ROODBRUIN | REDBROWN |</t>
  </si>
  <si>
    <t>CHAMPAGNE | CORE |</t>
  </si>
  <si>
    <t>GORDON | TONIC_WATER |</t>
  </si>
  <si>
    <t>VIVEN | BROWN |</t>
  </si>
  <si>
    <t>VIVEN | MASTER_IPA |</t>
  </si>
  <si>
    <t>4KNT | TRIPEL |</t>
  </si>
  <si>
    <t>MINUTE_MAID | GRAPEFRUIT |</t>
  </si>
  <si>
    <t>GRENADINE_GEN | LEMON |</t>
  </si>
  <si>
    <t>LEMON_JUICE_GEN | LEMON |</t>
  </si>
  <si>
    <t>WILDEREN | CHERRY |</t>
  </si>
  <si>
    <t>BON_SECOURS | PRESTIGE |</t>
  </si>
  <si>
    <t>BOURGOGNE_DES_FLANDRES | BLOND |</t>
  </si>
  <si>
    <t>STENE | TRIPEL |</t>
  </si>
  <si>
    <t>RODENBACH | FRUITAGE |</t>
  </si>
  <si>
    <t>RODENBACH | MINT |</t>
  </si>
  <si>
    <t>CHIMAY | WINTERBOCK |</t>
  </si>
  <si>
    <t>BASSIE | TRIPEL |</t>
  </si>
  <si>
    <t>LA_REDOUTABLE | RED |</t>
  </si>
  <si>
    <t>ST_FEUILLIEN | CRU |</t>
  </si>
  <si>
    <t>BOURGOGNE_DES_FLANDRES | REDBROWN |</t>
  </si>
  <si>
    <t>SPRITE | STRAWBERRY |</t>
  </si>
  <si>
    <t>HOPPESNOET | HOP |</t>
  </si>
  <si>
    <t>CHABLIS | RED |</t>
  </si>
  <si>
    <t>ROYAL_BLISS | EXOTIC |</t>
  </si>
  <si>
    <t>BARISTA | QUADRUPEL |</t>
  </si>
  <si>
    <t>BLANCHE_DE_NAMUR | WHITE |</t>
  </si>
  <si>
    <t>TERREST | CORE |</t>
  </si>
  <si>
    <t>GRIMBERGEN | PRESTIGE |</t>
  </si>
  <si>
    <t>DELIRIUM | NOCTURNUM |</t>
  </si>
  <si>
    <t>LUPULUS | FRUCTUS |</t>
  </si>
  <si>
    <t>LUPULUS | HIBERNATUS |</t>
  </si>
  <si>
    <t>MONKS_GRAND_CRU | CRU |</t>
  </si>
  <si>
    <t>THOMAS | QUADRUPEL |</t>
  </si>
  <si>
    <t>TETE_DE_MORT | WINTERBOCK |</t>
  </si>
  <si>
    <t>ZWARTE_MADAM | BLACK |</t>
  </si>
  <si>
    <t>PALE_ALE_GEN | CORE |</t>
  </si>
  <si>
    <t>GOUDEN_CAROLUS | AMBRIO |</t>
  </si>
  <si>
    <t>FOX_REYNAERT | CRU |</t>
  </si>
  <si>
    <t>BERTINCHAMPS | GRAPEFRUIT |</t>
  </si>
  <si>
    <t>PINEAU | WHITE |</t>
  </si>
  <si>
    <t>MISTO | IPA |</t>
  </si>
  <si>
    <t>KERSTPATER | WINTERBOCK |</t>
  </si>
  <si>
    <t>GRENADINE_GEN | MINT |</t>
  </si>
  <si>
    <t>RITCHIE | GRAPEFRUIT |</t>
  </si>
  <si>
    <t>RED_BULL | GREEN |</t>
  </si>
  <si>
    <t>SPECIALE | GR_RESERVE |</t>
  </si>
  <si>
    <t>FEVER_TREE | LEMON |</t>
  </si>
  <si>
    <t>GREY_GOOSE | RED |</t>
  </si>
  <si>
    <t>JUICE_GEN | BANANA |</t>
  </si>
  <si>
    <t>CONINCK | BOLLEKE |</t>
  </si>
  <si>
    <t>HENDRIK_GEERAERT | BLOND |</t>
  </si>
  <si>
    <t>WARSTEINER | PILSNER |</t>
  </si>
  <si>
    <t>CHOUFFE | SUN |</t>
  </si>
  <si>
    <t>RICK_S_BIER | BLOND |</t>
  </si>
  <si>
    <t>RICK_S_BIER | BROWN |</t>
  </si>
  <si>
    <t>MORT_SUBITE | PASSION |</t>
  </si>
  <si>
    <t>MIRINDA | LEMON |</t>
  </si>
  <si>
    <t>CORSENDONK | WHITE |</t>
  </si>
  <si>
    <t>TRIPEL_D_ANVERS | TRIPEL |</t>
  </si>
  <si>
    <t>LOOZA | GRAPEFRUIT |</t>
  </si>
  <si>
    <t>AREND | GOLD |</t>
  </si>
  <si>
    <t>GRAND_CRU_GEN | CRU |</t>
  </si>
  <si>
    <t>ORGANICUS | HOP |</t>
  </si>
  <si>
    <t>BOSPROTTER | RED |</t>
  </si>
  <si>
    <t>CARACOLE | CARACTERE |</t>
  </si>
  <si>
    <t>DE_GRAAL | GINGER |</t>
  </si>
  <si>
    <t>KAPITTEL | PRIOR |</t>
  </si>
  <si>
    <t>OUD_BEERSEL | BARREL_SELECT |</t>
  </si>
  <si>
    <t>VAUDREE | ROUSSE |</t>
  </si>
  <si>
    <t>JUICE_GEN | GRAPEFRUIT |</t>
  </si>
  <si>
    <t>TRIPEL_D_ANVERS | CORE |</t>
  </si>
  <si>
    <t>GOLDBERG | GOLD |</t>
  </si>
  <si>
    <t>NORDIC_MIST | AGRUMES |</t>
  </si>
  <si>
    <t>NORDIC_MIST | GINGER |</t>
  </si>
  <si>
    <t>NORDIC_MIST | BITTER_LEMON |</t>
  </si>
  <si>
    <t>MEILSEN | TRIPEL |</t>
  </si>
  <si>
    <t>SEEBIER | CORE |</t>
  </si>
  <si>
    <t>KLEVERETIEN | CORE |</t>
  </si>
  <si>
    <t>EGOTRIPEL | TRIPEL |</t>
  </si>
  <si>
    <t>KWINTELBIER | CORE |</t>
  </si>
  <si>
    <t>BIONADE | ELDERBERRY |</t>
  </si>
  <si>
    <t>RED_BULL | RED | ZERO</t>
  </si>
  <si>
    <t>ICE_TEA_GEN | PINK |</t>
  </si>
  <si>
    <t>TRIP_ANVERS | TRIPEL |</t>
  </si>
  <si>
    <t>VIVEN | CORE |</t>
  </si>
  <si>
    <t>DURBUY | AMBER |</t>
  </si>
  <si>
    <t>KIDIBULL | APPLE |</t>
  </si>
  <si>
    <t>RUWET | ELDERBERRY |</t>
  </si>
  <si>
    <t>ZEVENDONKSE | TRIPEL |</t>
  </si>
  <si>
    <t>PAULUS | BLOND |</t>
  </si>
  <si>
    <t>PAULUS | BROWN |</t>
  </si>
  <si>
    <t>WILDEMANS | TRIPEL |</t>
  </si>
  <si>
    <t>FRITZ | MELON |</t>
  </si>
  <si>
    <t>DUVELSKUIL | CORE |</t>
  </si>
  <si>
    <t>CIAOCELLO | LEMON |</t>
  </si>
  <si>
    <t>PETITE | CUVEE |</t>
  </si>
  <si>
    <t>MILKSHAKE_GEN | BANANA |</t>
  </si>
  <si>
    <t>GOLIATH | AMBER |</t>
  </si>
  <si>
    <t>SINGILLIS | DUBBEL |</t>
  </si>
  <si>
    <t>CADIX | PILSNER |</t>
  </si>
  <si>
    <t>KEREL | GRAPEFRUIT |</t>
  </si>
  <si>
    <t>KOOLPUTTER | BLACK |</t>
  </si>
  <si>
    <t>PADELBIER | BLOND |</t>
  </si>
  <si>
    <t>POMPBIER | CORE |</t>
  </si>
  <si>
    <t>COLA_GEN | LIME |</t>
  </si>
  <si>
    <t>AFRI | CORE |</t>
  </si>
  <si>
    <t>GRIMBERGEN | CRU |</t>
  </si>
  <si>
    <t>MORT_SUBITE | CRU |</t>
  </si>
  <si>
    <t>KUITENBIJTER_GEN | CORE |</t>
  </si>
  <si>
    <t>HERCKENRODE | BROWN |</t>
  </si>
  <si>
    <t>GAMBRINUS | ROSE |</t>
  </si>
  <si>
    <t>SWITEKES | TRIPEL |</t>
  </si>
  <si>
    <t>SWITEKES | WHITE |</t>
  </si>
  <si>
    <t>HOPTIMIZED | IPA |</t>
  </si>
  <si>
    <t>STEENBERGE | CORE |</t>
  </si>
  <si>
    <t>ELFIQUE | AMBER |</t>
  </si>
  <si>
    <t>BRUEGHEL | TRIPEL |</t>
  </si>
  <si>
    <t>HELLEGAT | CORE |</t>
  </si>
  <si>
    <t>SINNEKLOAS | TRIPEL |</t>
  </si>
  <si>
    <t>COMPAL | CORE |</t>
  </si>
  <si>
    <t>BELGIAN_STARS_&amp;_STRIPES | TRIPEL |</t>
  </si>
  <si>
    <t>THOMAS | GRAPEFRUIT |</t>
  </si>
  <si>
    <t>ROBUUST_PILS | PILSNER |</t>
  </si>
  <si>
    <t>MUSKEBIERKE | CORE |</t>
  </si>
  <si>
    <t>VIVEN | STOUT |</t>
  </si>
  <si>
    <t>UNWANTED_TATTOO | GINGER |</t>
  </si>
  <si>
    <t>KEIKOPPENBIER | CORE |</t>
  </si>
  <si>
    <t>LIEFMANS | FRUITESSE |</t>
  </si>
  <si>
    <t>LOEMELAAR | BLOND |</t>
  </si>
  <si>
    <t>LOEMELAAR | TRIPEL |</t>
  </si>
  <si>
    <t>STROOBANDER | TRIPEL |</t>
  </si>
  <si>
    <t>VIVEN | BLOND |</t>
  </si>
  <si>
    <t>VIVEN | PORTER |</t>
  </si>
  <si>
    <t>ROOSENBERG | TRIPEL |</t>
  </si>
  <si>
    <t>JEZUWIET | TRIPEL |</t>
  </si>
  <si>
    <t>IONISSTEEN | AGRUMES |</t>
  </si>
  <si>
    <t>IONISSTEEN | LEMON |</t>
  </si>
  <si>
    <t>TUNGRI | BLOND |</t>
  </si>
  <si>
    <t>L_AMBREE | AMBER |</t>
  </si>
  <si>
    <t>FLOREFFE | DUBBEL |</t>
  </si>
  <si>
    <t>FLOREFFE | TRIPEL |</t>
  </si>
  <si>
    <t>HOP_VERDOMME | IPA |</t>
  </si>
  <si>
    <t>VIVEN | IMPERIAL_IPA |</t>
  </si>
  <si>
    <t>TONISSTEINER | EXOTIC |</t>
  </si>
  <si>
    <t>WILDEREN | DUBBEL |</t>
  </si>
  <si>
    <t>TROUBADOUR | OBSCURA |</t>
  </si>
  <si>
    <t>VITAO | GREEN |</t>
  </si>
  <si>
    <t>VITAO | CORE |</t>
  </si>
  <si>
    <t>GRENADINE_GEN | ORANGE |</t>
  </si>
  <si>
    <t>SANCTUS_DOMINICUS_PRIOR | PRIOR |</t>
  </si>
  <si>
    <t>GOLDBERG | GINGER |</t>
  </si>
  <si>
    <t>JUS_DE_MER | TONIC_WATER |</t>
  </si>
  <si>
    <t>ROYAL_BLISS | RASPBERRY |</t>
  </si>
  <si>
    <t>HOPVERDOMME | HOP |</t>
  </si>
  <si>
    <t>GOLDING_CAMPINA | GOLD |</t>
  </si>
  <si>
    <t>ICHTEGEMS | CRU |</t>
  </si>
  <si>
    <t>VIVEN | NEW_ENGLAND_IPA |</t>
  </si>
  <si>
    <t>VIVEN | WHITE |</t>
  </si>
  <si>
    <t>SPECIALE | SAISON |</t>
  </si>
  <si>
    <t>SOMERSBY | CRU |</t>
  </si>
  <si>
    <t>PANACHE | LEMON |</t>
  </si>
  <si>
    <t>CHOUFFE | GREEN |</t>
  </si>
  <si>
    <t>BEER_GEN | WHEAT |</t>
  </si>
  <si>
    <t>DURBOYSE | DUBBEL |</t>
  </si>
  <si>
    <t>BERTHA | TRIPEL |</t>
  </si>
  <si>
    <t>BRUNEHAUT | BROWN |</t>
  </si>
  <si>
    <t>GEORGES_IV | LAGER |</t>
  </si>
  <si>
    <t>SEZOENS | WHITE |</t>
  </si>
  <si>
    <t>TONISSTEINER | APPLE |</t>
  </si>
  <si>
    <t>GOLDEN_TRICKY | GOLD |</t>
  </si>
  <si>
    <t>TRIXY | TRIPEL |</t>
  </si>
  <si>
    <t>SPRITE | TONIC_WATER |</t>
  </si>
  <si>
    <t>DIULE | AMBER |</t>
  </si>
  <si>
    <t>BOOTJESBIER | AMBER |</t>
  </si>
  <si>
    <t>GORDON | DUBBEL |</t>
  </si>
  <si>
    <t>AMBIOROCKS | RED |</t>
  </si>
  <si>
    <t>HOMMELBIER | RED |</t>
  </si>
  <si>
    <t>JOHANNES | WEIZEN |</t>
  </si>
  <si>
    <t>LA_CAMBRE | AMBER |</t>
  </si>
  <si>
    <t>KOMBUCHA_GEN | PASSION |</t>
  </si>
  <si>
    <t>WUVETJE | BLOND |</t>
  </si>
  <si>
    <t>WUVETJE | BROWN |</t>
  </si>
  <si>
    <t>BLANCHE_DE_NAMUR | RADLER |</t>
  </si>
  <si>
    <t>JUICE_GEN | PINEAPPLE |</t>
  </si>
  <si>
    <t>LUC_PIRLET | GR_RESERVE |</t>
  </si>
  <si>
    <t>WILDEBEEST | WILD |</t>
  </si>
  <si>
    <t>FLOREFFE | BLOND |</t>
  </si>
  <si>
    <t>GAULOISE | RED |</t>
  </si>
  <si>
    <t>MONGOZO | BANANA |</t>
  </si>
  <si>
    <t>KEMPISCH_VUUR | HOP |</t>
  </si>
  <si>
    <t>NE_NUVE | GREEN |</t>
  </si>
  <si>
    <t>DESPERADOS | CHERRY |</t>
  </si>
  <si>
    <t>WILDEREN | ELDERFLOWER |</t>
  </si>
  <si>
    <t>GIN_MARE | TONIC_WATER |</t>
  </si>
  <si>
    <t>JULIA | APPLE |</t>
  </si>
  <si>
    <t>WATOU | WHITE |</t>
  </si>
  <si>
    <t>FLURK | BLOND |</t>
  </si>
  <si>
    <t>FLURK | IPA |</t>
  </si>
  <si>
    <t>NOVUS_PORTUS | CORE |</t>
  </si>
  <si>
    <t>BRUGSE_ZOT | RED |</t>
  </si>
  <si>
    <t>COLOMBO | DUBBEL |</t>
  </si>
  <si>
    <t>GRAND_CRU_MONK | CRU |</t>
  </si>
  <si>
    <t>BEERSEL | CHERRY |</t>
  </si>
  <si>
    <t>SCHNEIDERWEISSE | WHITE |</t>
  </si>
  <si>
    <t>TAITTINGER | GR_RESERVE |</t>
  </si>
  <si>
    <t>WITKAP_PATER | WHITE |</t>
  </si>
  <si>
    <t>WITKAP_PATER | DUBBEL |</t>
  </si>
  <si>
    <t>BRONZEN_BARON | BLOND |</t>
  </si>
  <si>
    <t>BOURBON | VANILLA |</t>
  </si>
  <si>
    <t>VAL | EXTRA |</t>
  </si>
  <si>
    <t>GRASHOPPER | HOP |</t>
  </si>
  <si>
    <t>BARBAR | WINTERBOCK |</t>
  </si>
  <si>
    <t>KAPITTEL | ABT |</t>
  </si>
  <si>
    <t>NA_DORST | BLOND |</t>
  </si>
  <si>
    <t>TAITTINGER | WHITE |</t>
  </si>
  <si>
    <t>GERMAIN | ELDERFLOWER |</t>
  </si>
  <si>
    <t>RICARD | TOMATO |</t>
  </si>
  <si>
    <t>COCA_COLA | CHERRY |</t>
  </si>
  <si>
    <t>GIN_MARE | LEMON |</t>
  </si>
  <si>
    <t>GRENADINE_GEN | BLACKCURRANT |</t>
  </si>
  <si>
    <t>GROTEN_DEUST | RED |</t>
  </si>
  <si>
    <t>GERMAIN | CRU |</t>
  </si>
  <si>
    <t>SANCERRE | GR_RESERVE |</t>
  </si>
  <si>
    <t>VULPIO | AMBER |</t>
  </si>
  <si>
    <t>CURTIUS | CRU |</t>
  </si>
  <si>
    <t>BERTINCHAMPS | PASSION |</t>
  </si>
  <si>
    <t>VAL_DIEU | RED |</t>
  </si>
  <si>
    <t>MALIBU | ORANGE |</t>
  </si>
  <si>
    <t>AUBEL | APPLE |</t>
  </si>
  <si>
    <t>VITAO | RED |</t>
  </si>
  <si>
    <t>HOMEMADE_TAPENADE | CORE |</t>
  </si>
  <si>
    <t>FLANDRIEN_KAAS | CORE |</t>
  </si>
  <si>
    <t>PINEAU | ORANGE |</t>
  </si>
  <si>
    <t>GRAND_CRU_GEN | CUVEE |</t>
  </si>
  <si>
    <t>MINUTY | ROSE |</t>
  </si>
  <si>
    <t>ICE_TEA_GEN | WHITE |</t>
  </si>
  <si>
    <t>MONSTER_ENERGY | WHITE |</t>
  </si>
  <si>
    <t>BOURBON | GR_RESERVE |</t>
  </si>
  <si>
    <t>PINEAU | DUBBEL |</t>
  </si>
  <si>
    <t>GERMAIN | TOMATO |</t>
  </si>
  <si>
    <t>MILLEVERTUS | GREEN |</t>
  </si>
  <si>
    <t>BOURBON | WHITE |</t>
  </si>
  <si>
    <t>LIPTON | MINT |</t>
  </si>
  <si>
    <t>FENTIMANS | LEMON |</t>
  </si>
  <si>
    <t>JUICE_GEN | RED |</t>
  </si>
  <si>
    <t>GRIMBERGEN | RED |</t>
  </si>
  <si>
    <t>COCA_COLA | LEMON |</t>
  </si>
  <si>
    <t>BUSH | SAISON |</t>
  </si>
  <si>
    <t>VLAAMSCHE_LEEUW | GOLD |</t>
  </si>
  <si>
    <t>SCHWEPPES | LAVENDER |</t>
  </si>
  <si>
    <t>GARLIC_BREAD | RED |</t>
  </si>
  <si>
    <t>PECHEMELBUSH | PEACH |</t>
  </si>
  <si>
    <t>LIEGEOISE | TOMATO |</t>
  </si>
  <si>
    <t>ENIGMA | GR_RESERVE |</t>
  </si>
  <si>
    <t>GREY_GOOSE | ALTUS |</t>
  </si>
  <si>
    <t>CHABLIS | CRU |</t>
  </si>
  <si>
    <t>IVERANS | CORE |</t>
  </si>
  <si>
    <t>VERTUS | TRIPEL |</t>
  </si>
  <si>
    <t>PEPSI | LIME |</t>
  </si>
  <si>
    <t>ALTBAIRISCH_DUNKEL | WHITE |</t>
  </si>
  <si>
    <t>ILLEGAAL | DUBBEL |</t>
  </si>
  <si>
    <t>PADRON_PEPERS | CORE |</t>
  </si>
  <si>
    <t>VAL | BROWN |</t>
  </si>
  <si>
    <t>THRIVE | RED |</t>
  </si>
  <si>
    <t>RED_BULL | REGULAR |</t>
  </si>
  <si>
    <t>LA_MARQUISE | RASPBERRY |</t>
  </si>
  <si>
    <t>L_IMPERATRICE | TRIPEL |</t>
  </si>
  <si>
    <t>CALVADOS | VANILLA |</t>
  </si>
  <si>
    <t>BARBAR | GRAPEFRUIT |</t>
  </si>
  <si>
    <t>MONSTER_ENERGY | BLACK |</t>
  </si>
  <si>
    <t>THOMAS | TRIPEL |</t>
  </si>
  <si>
    <t>SAN_PELLEGRINO | LIGHT |</t>
  </si>
  <si>
    <t>GREY_GOOSE | LEMON |</t>
  </si>
  <si>
    <t>SARDINES_ESPINELER | CORE |</t>
  </si>
  <si>
    <t>POUILLY_FUME | BLOND |</t>
  </si>
  <si>
    <t>APEROTHEEKJE | TRIPEL |</t>
  </si>
  <si>
    <t>DE_KOPEREN_MARKIES | TRIPEL |</t>
  </si>
  <si>
    <t>GRENADINE_GEN | PASSIONFRUIT |</t>
  </si>
  <si>
    <t>PETITE | TONIC_WATER |</t>
  </si>
  <si>
    <t>GRENADINE_GEN | ROSE |</t>
  </si>
  <si>
    <t>GIN_MARE | MEDITERRANEAN |</t>
  </si>
  <si>
    <t>DUVEL | BREWMASTER |</t>
  </si>
  <si>
    <t>BAMBER | AMBER |</t>
  </si>
  <si>
    <t>GIN_MARE | ROSE |</t>
  </si>
  <si>
    <t>ICE_TEA_GEN | RASPBERRY |</t>
  </si>
  <si>
    <t>KIDIBULL | CORE |</t>
  </si>
  <si>
    <t>GAMBRINUS | WHITE |</t>
  </si>
  <si>
    <t>GAMBRINUS | CORE |</t>
  </si>
  <si>
    <t>ARCHIDUC | GREEN |</t>
  </si>
  <si>
    <t>STRONGBOW | CHERRY |</t>
  </si>
  <si>
    <t>RED_BULL | WATERMELON | ZERO</t>
  </si>
  <si>
    <t>PINEAU | RED |</t>
  </si>
  <si>
    <t>PANACHE | BLACKCURRANT |</t>
  </si>
  <si>
    <t>PANNA | STRAWBERRY |</t>
  </si>
  <si>
    <t>JUICE_GEN | GRAPES |</t>
  </si>
  <si>
    <t>SOMERSBY | WATERMELON |</t>
  </si>
  <si>
    <t>JUICE_GEN | PASSION |</t>
  </si>
  <si>
    <t>CRYSTAL | RED |</t>
  </si>
  <si>
    <t>BARISTA | VANILLA |</t>
  </si>
  <si>
    <t>PANNA | VANILLA |</t>
  </si>
  <si>
    <t>BACCHUS | WHITE |</t>
  </si>
  <si>
    <t>BERTHA | CORE |</t>
  </si>
  <si>
    <t>MINUTY | CRU |</t>
  </si>
  <si>
    <t>PANACH | LEMON |</t>
  </si>
  <si>
    <t>MONACO | LEMON |</t>
  </si>
  <si>
    <t>GIN_MARE | PINK |</t>
  </si>
  <si>
    <t>MAGNUM | GR_RESERVE |</t>
  </si>
  <si>
    <t>BEER_GEN | TRIPEL |</t>
  </si>
  <si>
    <t>GRENADINE_GEN | RED |</t>
  </si>
  <si>
    <t>YUGEN_KOMBUCHA | RED |</t>
  </si>
  <si>
    <t>NALU | RED |</t>
  </si>
  <si>
    <t>JARR_KOMBUCHA | RASPBERRY |</t>
  </si>
  <si>
    <t>SUMMERTIME | ROSE |</t>
  </si>
  <si>
    <t>SUMMERTIME | WHITE |</t>
  </si>
  <si>
    <t>LIMBURGSE_WITTE | STRAWBERRY |</t>
  </si>
  <si>
    <t>SAMBUCA | LEMON |</t>
  </si>
  <si>
    <t>SANCERRE | ROSE |</t>
  </si>
  <si>
    <t>LUPULUS | PLACEBO |</t>
  </si>
  <si>
    <t>SCOTCH_CTS | SAISON |</t>
  </si>
  <si>
    <t>QUEUE_DE_CHARRUE | AMBER |</t>
  </si>
  <si>
    <t>ROYAL_BLISS | PEACH |</t>
  </si>
  <si>
    <t>LEFORT | WINTERBOCK |</t>
  </si>
  <si>
    <t>COCA_COLA | LIME |</t>
  </si>
  <si>
    <t>MINUTY | PRESTIGE |</t>
  </si>
  <si>
    <t>GORDON | ORANGE |</t>
  </si>
  <si>
    <t>GAULOISE | AMBER |</t>
  </si>
  <si>
    <t>PINK_KILLER | GRAPEFRUIT |</t>
  </si>
  <si>
    <t>GORDON | ROSE |</t>
  </si>
  <si>
    <t>PANACHE | STRAWBERRY |</t>
  </si>
  <si>
    <t>BOLLINGER | CUVEE |</t>
  </si>
  <si>
    <t>RICARD | WHITE |</t>
  </si>
  <si>
    <t>PALE_ALE_GEN | GR_RESERVE |</t>
  </si>
  <si>
    <t>CALVADOS | TONIC_WATER |</t>
  </si>
  <si>
    <t>FAGNE | ORANGE |</t>
  </si>
  <si>
    <t>LEMONADE_GEN | LAVENDER |</t>
  </si>
  <si>
    <t>DELUXE | CHERRY |</t>
  </si>
  <si>
    <t>BLANCHE_DE_NAMUR | RASPBERRY |</t>
  </si>
  <si>
    <t>PINEAU | GOLD |</t>
  </si>
  <si>
    <t>TANGO | BLOND |</t>
  </si>
  <si>
    <t>MILKSHAKE_GEN | RASPBERRY |</t>
  </si>
  <si>
    <t>GORDON | CITRUS |</t>
  </si>
  <si>
    <t>GOLDBERG | TONIC_WATER |</t>
  </si>
  <si>
    <t>TITE | CRU |</t>
  </si>
  <si>
    <t>PETITE | ORANGE |</t>
  </si>
  <si>
    <t>GERMAIN | PASSION |</t>
  </si>
  <si>
    <t>WOLF_7 | BLACKCURRANT |</t>
  </si>
  <si>
    <t>WOLF_7 | PASSION |</t>
  </si>
  <si>
    <t>BELGOO | RED |</t>
  </si>
  <si>
    <t>VAL | FRUCTUS |</t>
  </si>
  <si>
    <t>TAITTINGER | CRU |</t>
  </si>
  <si>
    <t>JULIA | WHITE |</t>
  </si>
  <si>
    <t>CALVADOS | DUBBEL |</t>
  </si>
  <si>
    <t>GRAND_CRU_GEN | PINK |</t>
  </si>
  <si>
    <t>VAL | GR_RESERVE |</t>
  </si>
  <si>
    <t>CIDER_GEN | STRAWBERRY |</t>
  </si>
  <si>
    <t>ICE_TEA_GEN | AGRUMES |</t>
  </si>
  <si>
    <t>GRENADINE_GEN | CORE |</t>
  </si>
  <si>
    <t>ROSE_GEN | BLACKCURRANT |</t>
  </si>
  <si>
    <t>RICARD | DUBBEL |</t>
  </si>
  <si>
    <t>DEVIL | RED |</t>
  </si>
  <si>
    <t>ALTITUDE | RED |</t>
  </si>
  <si>
    <t>MAGNUM | RED |</t>
  </si>
  <si>
    <t>JUICE_GEN | VANILLA |</t>
  </si>
  <si>
    <t>GERMAIN | LEMON |</t>
  </si>
  <si>
    <t>FEVER_TREE | RHUBARB |</t>
  </si>
  <si>
    <t>DELUXE | WHITE |</t>
  </si>
  <si>
    <t>PAULANER | WHITE |</t>
  </si>
  <si>
    <t>SPRITE | APPLE |</t>
  </si>
  <si>
    <t>CALVADOS | BOCK |</t>
  </si>
  <si>
    <t>RED_BULL | CORE |</t>
  </si>
  <si>
    <t>CALVADOS | RED |</t>
  </si>
  <si>
    <t>BLANCHE_DE_NAMUR | APPLE |</t>
  </si>
  <si>
    <t>FONTANA | CORE |</t>
  </si>
  <si>
    <t>PICATA_LOMBARDA | LEMON |</t>
  </si>
  <si>
    <t>FEVER_TREE | STRAWBERRY |</t>
  </si>
  <si>
    <t>STRAFFE_HENDRIK | ROUSSE |</t>
  </si>
  <si>
    <t>ZWART_LICHT | BLACK |</t>
  </si>
  <si>
    <t>KNOTS | CORE |</t>
  </si>
  <si>
    <t>FIELD | BERRY |</t>
  </si>
  <si>
    <t>SAN_PELLEGRINO | 10 |</t>
  </si>
  <si>
    <t>DORSTIGE_LAMBERTUS | AMBER |</t>
  </si>
  <si>
    <t>LEMONADE_GEN | GRAPEFRUIT |</t>
  </si>
  <si>
    <t>HERTOG_JAN | CARACTERE |</t>
  </si>
  <si>
    <t>HERTOG_JAN | PRESTIGE |</t>
  </si>
  <si>
    <t>HERTOG_JAN | WEIZEN |</t>
  </si>
  <si>
    <t>CESAR | SUPERIOR |</t>
  </si>
  <si>
    <t>WITLOOF | TOMATO |</t>
  </si>
  <si>
    <t>YUGEN_KOMBUCHA | TRIPEL |</t>
  </si>
  <si>
    <t>SPRITE | MINT |</t>
  </si>
  <si>
    <t>SAISON_GEN | STRAWBERRY |</t>
  </si>
  <si>
    <t>PETITE | SAISON |</t>
  </si>
  <si>
    <t>HERTOG_JAN | PILSNER |</t>
  </si>
  <si>
    <t>RUWET | WHITE |</t>
  </si>
  <si>
    <t>DE_KOPEREN_MARKIES | BLOND |</t>
  </si>
  <si>
    <t>SALITOS | BLOND |</t>
  </si>
  <si>
    <t>DEUGNIET | BLOND |</t>
  </si>
  <si>
    <t>BRUGGE_TRIPEL | WINTERBOCK |</t>
  </si>
  <si>
    <t>ICE_TEA_GEN | GRAPEFRUIT |</t>
  </si>
  <si>
    <t>ROSE_GEN | VANILLA |</t>
  </si>
  <si>
    <t>ROSE_GEN | ROSEHIP |</t>
  </si>
  <si>
    <t>PLOEGSTEERT | BROWN |</t>
  </si>
  <si>
    <t>ORANGINA | LEMON |</t>
  </si>
  <si>
    <t>ROYAL_BLISS | BANANA |</t>
  </si>
  <si>
    <t>SCOTCH_ALE_GEN | RED |</t>
  </si>
  <si>
    <t>CANADA_DRY | LEMON |</t>
  </si>
  <si>
    <t>SCHWEPPES | RASPBERRY |</t>
  </si>
  <si>
    <t>ICE_TEA_GEN | ELDERFLOWER |</t>
  </si>
  <si>
    <t>BASSIE | SOUR |</t>
  </si>
  <si>
    <t>GRIMBERGEN | CARACTERE |</t>
  </si>
  <si>
    <t>VITAMIN_WELL | CORE |</t>
  </si>
  <si>
    <t>SOMERSBY | PEACH |</t>
  </si>
  <si>
    <t>ORDAL | RED |</t>
  </si>
  <si>
    <t>KOMBUCHA_GEN | STRAWBERRY |</t>
  </si>
  <si>
    <t>AA_DRANK | CORE |</t>
  </si>
  <si>
    <t>SPRITE | BLUE |</t>
  </si>
  <si>
    <t>CANADA_DRY | PASSIONFRUIT |</t>
  </si>
  <si>
    <t>ESKIMO_GEN | GRAPEFRUIT |</t>
  </si>
  <si>
    <t>ICE_TEA_GEN | TROPICAL |</t>
  </si>
  <si>
    <t>MISTO | STRAWBERRY |</t>
  </si>
  <si>
    <t>WALCOURT | TRIPEL |</t>
  </si>
  <si>
    <t>DELUXE | RED |</t>
  </si>
  <si>
    <t>MILKSHAKE_GEN | DUBBEL |</t>
  </si>
  <si>
    <t>VITAMIN_WELL | RASPBERRY |</t>
  </si>
  <si>
    <t>VITAMIN_WELL | MANGO |</t>
  </si>
  <si>
    <t>VITAMIN_WELL | LEMON |</t>
  </si>
  <si>
    <t>VITAMIN_WELL | STRAWBERRY |</t>
  </si>
  <si>
    <t>KIDIBULL | TROPICAL |</t>
  </si>
  <si>
    <t>FONTANA | RED |</t>
  </si>
  <si>
    <t>LEFFE | CRU |</t>
  </si>
  <si>
    <t>FLANDRIEN | CRU |</t>
  </si>
  <si>
    <t>BRASSERIE_MINNE | RASPBERRY |</t>
  </si>
  <si>
    <t>OUWEN_DUIKER | CHERRY |</t>
  </si>
  <si>
    <t>RILETTE_|_BROOD | RED |</t>
  </si>
  <si>
    <t>RUISL_MIX | CORE |</t>
  </si>
  <si>
    <t>LEMONADE_GEN | POMEGRANATE |</t>
  </si>
  <si>
    <t>ROYAL_BLISS | BROWN |</t>
  </si>
  <si>
    <t>ARTEVELDE | CRU |</t>
  </si>
  <si>
    <t>FRISTI | PINK |</t>
  </si>
  <si>
    <t>DUIVELS_BIER | DUBBEL |</t>
  </si>
  <si>
    <t>SUPER_BOCK | DUBBEL |</t>
  </si>
  <si>
    <t>GOUDEN_CAROLUS | PEACH |</t>
  </si>
  <si>
    <t>LIEGEOISE | APPLE |</t>
  </si>
  <si>
    <t>FRITZ | LIME |</t>
  </si>
  <si>
    <t>AQUARIUS | PASSION |</t>
  </si>
  <si>
    <t>BOLLINGER | DUBBEL |</t>
  </si>
  <si>
    <t>ICE_TEA_GEN | PASSION |</t>
  </si>
  <si>
    <t>BOURBON | GINGER |</t>
  </si>
  <si>
    <t>COMPAL | ORANGE |</t>
  </si>
  <si>
    <t>COMPAL | APPLE |</t>
  </si>
  <si>
    <t>BELVEDERE | WHITE |</t>
  </si>
  <si>
    <t>ST_HUBERTUS | CRU |</t>
  </si>
  <si>
    <t>JULIA | AMBER |</t>
  </si>
  <si>
    <t>POMPBIER | TRIPEL |</t>
  </si>
  <si>
    <t>JULIUS | CRU |</t>
  </si>
  <si>
    <t>STONE | WHITE |</t>
  </si>
  <si>
    <t>FEUILLEN | BLOND |</t>
  </si>
  <si>
    <t>DELUXE | BROWN |</t>
  </si>
  <si>
    <t>WAGYU_KROKETTEN_8ST | CORE |</t>
  </si>
  <si>
    <t>LOOZA | BANANA |</t>
  </si>
  <si>
    <t>ORIGIN | DUBBEL |</t>
  </si>
  <si>
    <t>KOMBUCHA_GEN | LAVENDER |</t>
  </si>
  <si>
    <t>FOURCHETTE | CRU |</t>
  </si>
  <si>
    <t>SALITOS | RED |</t>
  </si>
  <si>
    <t>ICHNUSA | LEMON |</t>
  </si>
  <si>
    <t>PERONI | CRU |</t>
  </si>
  <si>
    <t>GRENADINE_GEN | TROPICAL |</t>
  </si>
  <si>
    <t>CALVADOS | LEMON |</t>
  </si>
  <si>
    <t>PETRUS | REDBROWN |</t>
  </si>
  <si>
    <t>GERMAIN | MINT |</t>
  </si>
  <si>
    <t>PHILOMENE | CELESTE |</t>
  </si>
  <si>
    <t>MINUTY | WHITE |</t>
  </si>
  <si>
    <t>ICHTEGEMS | RED |</t>
  </si>
  <si>
    <t>FILLIERS_DRY_GIN, | CORE |</t>
  </si>
  <si>
    <t>GRAND_CRU_GEN | APPLE |</t>
  </si>
  <si>
    <t>SCHUPPENBOER | CRU |</t>
  </si>
  <si>
    <t>GOUVERNEUR | IPA |</t>
  </si>
  <si>
    <t>HOPFENWEISSE_GEN | WHITE |</t>
  </si>
  <si>
    <t>GOUDEN_CAROLUS | CHERRY |</t>
  </si>
  <si>
    <t>GORDON | WINTERBOCK |</t>
  </si>
  <si>
    <t>7UP | LEMON |</t>
  </si>
  <si>
    <t>CIDER_GEN | MAC |</t>
  </si>
  <si>
    <t>FAGNES | ORANGE |</t>
  </si>
  <si>
    <t>HOEGAARDEN | AGRUMES |</t>
  </si>
  <si>
    <t>JULIA | PINK |</t>
  </si>
  <si>
    <t>SNEEUWWITJE | TONIC_WATER |</t>
  </si>
  <si>
    <t>SUNLIGHT | LIGHT |</t>
  </si>
  <si>
    <t>GRAND_CRU_GEN | RED |</t>
  </si>
  <si>
    <t>JUICE_GEN | RASPBERRY |</t>
  </si>
  <si>
    <t>COLA_GEN | CORE | ZERO</t>
  </si>
  <si>
    <t>PERLA | WHITE |</t>
  </si>
  <si>
    <t>FEVER_TREE | SPRITZ |</t>
  </si>
  <si>
    <t>SANCERRE | CUVEE |</t>
  </si>
  <si>
    <t>CALVADOS | APPLE |</t>
  </si>
  <si>
    <t>SALITOS | ORANGE |</t>
  </si>
  <si>
    <t>SAINT_VERAN | WHITE |</t>
  </si>
  <si>
    <t>HALF_HALF | WHITE |</t>
  </si>
  <si>
    <t>LIEGEOISE | ORANGE |</t>
  </si>
  <si>
    <t>WILDEREN | TONIC_WATER |</t>
  </si>
  <si>
    <t>TONISSTEINER | CHERRY |</t>
  </si>
  <si>
    <t>GOUDSTER | GOLD |</t>
  </si>
  <si>
    <t>CALVADOS | GR_RESERVE |</t>
  </si>
  <si>
    <t>FRISTI | APPLE |</t>
  </si>
  <si>
    <t>ROCHEHAUT | AMBER |</t>
  </si>
  <si>
    <t>7UP | TONIC_WATER |</t>
  </si>
  <si>
    <t>BOURBON | QUADRUPEL |</t>
  </si>
  <si>
    <t>STAR | RED |</t>
  </si>
  <si>
    <t>SPECIALE | PALE_ALE |</t>
  </si>
  <si>
    <t>FIELD | GR_RESERVE |</t>
  </si>
  <si>
    <t>DELIRIUM | CHERRY |</t>
  </si>
  <si>
    <t>GRENADINE_GEN | WHITE |</t>
  </si>
  <si>
    <t>PETITE | SOUR |</t>
  </si>
  <si>
    <t>MARTENS | LEMON |</t>
  </si>
  <si>
    <t>LA_FRANGINE | DUBBEL |</t>
  </si>
  <si>
    <t>SOMERSBY | LEMON |</t>
  </si>
  <si>
    <t>LIEGEOISE | GOLD |</t>
  </si>
  <si>
    <t>KASTEELBIER | STRONG |</t>
  </si>
  <si>
    <t>MILLEVERTUS | GRAPES |</t>
  </si>
  <si>
    <t>THOMAS | CHERRY |</t>
  </si>
  <si>
    <t>SOMERSBY | SAISON |</t>
  </si>
  <si>
    <t>JUICE_GEN | IPA |</t>
  </si>
  <si>
    <t>GRAND_CRU_GEN | DUBBEL |</t>
  </si>
  <si>
    <t>OSCAR | GR_RESERVE |</t>
  </si>
  <si>
    <t>DELUXE | MAC |</t>
  </si>
  <si>
    <t>GREY_GOOSE | BERRY |</t>
  </si>
  <si>
    <t>KOMBUCHA_GEN | ROSE |</t>
  </si>
  <si>
    <t>POUILLY_FUME | RED |</t>
  </si>
  <si>
    <t>RAEDLER | LEMON |</t>
  </si>
  <si>
    <t>GRENADINE_GEN | TONIC_WATER |</t>
  </si>
  <si>
    <t>RODENBACH | SAISON |</t>
  </si>
  <si>
    <t>RUBY_GEN | RED |</t>
  </si>
  <si>
    <t>SAINT_VERAN | MAC |</t>
  </si>
  <si>
    <t>COLOMBO | PINK |</t>
  </si>
  <si>
    <t>ELEGANT | HERBAL |</t>
  </si>
  <si>
    <t>WILDEREN | TRIPEL |</t>
  </si>
  <si>
    <t>LUTGARDE | CACTUS |</t>
  </si>
  <si>
    <t>MAGNUM | CRU |</t>
  </si>
  <si>
    <t>VAL | BLUE |</t>
  </si>
  <si>
    <t>BELGIAN | BLACKCURRANT |</t>
  </si>
  <si>
    <t>TITE | TOMATO |</t>
  </si>
  <si>
    <t>MISTO | LEMON |</t>
  </si>
  <si>
    <t>KAPITTEL | RED |</t>
  </si>
  <si>
    <t>LEMONADE_GEN | AGRUMES |</t>
  </si>
  <si>
    <t>PANNA | CHAMONILLE |</t>
  </si>
  <si>
    <t>GORDON | STRAWBERRY |</t>
  </si>
  <si>
    <t>SPRITE | WHITE |</t>
  </si>
  <si>
    <t>SPRITE | CHERRY |</t>
  </si>
  <si>
    <t>POUILLY_FUME | GOLD |</t>
  </si>
  <si>
    <t>ICE_TEA_GEN | CORE | ZERO</t>
  </si>
  <si>
    <t>PERROQUET | MINT |</t>
  </si>
  <si>
    <t>BLANCHE_DE_NAMUR | CUVEE |</t>
  </si>
  <si>
    <t>LOOZA | MELON |</t>
  </si>
  <si>
    <t>BELVEDERE | ROSE |</t>
  </si>
  <si>
    <t>LIEGEOISE | GREEN |</t>
  </si>
  <si>
    <t>VERTUS | DUBBEL |</t>
  </si>
  <si>
    <t>PERROQUET | TOMATO |</t>
  </si>
  <si>
    <t>SERVAIS | CORE |</t>
  </si>
  <si>
    <t>MISTO | CRU |</t>
  </si>
  <si>
    <t>RED_BULL | HIBISCUS |</t>
  </si>
  <si>
    <t>FEUILLEN | CRU |</t>
  </si>
  <si>
    <t>SUPER_DES_FAGNES | ORANGE |</t>
  </si>
  <si>
    <t>LEIGNON | AMBER |</t>
  </si>
  <si>
    <t>LEMONADE_GEN | SPRITZ |</t>
  </si>
  <si>
    <t>TAITTINGER | PRESTIGE |</t>
  </si>
  <si>
    <t>JUICE_GEN | AGRUMES |</t>
  </si>
  <si>
    <t>VAL | ROSE |</t>
  </si>
  <si>
    <t>BELLEVAUX | CORE |</t>
  </si>
  <si>
    <t>BELLEVAUX | BLACKCURRANT |</t>
  </si>
  <si>
    <t>BELLEVAUX | GINGER |</t>
  </si>
  <si>
    <t>PETITE | VANILLA |</t>
  </si>
  <si>
    <t>DOTTIGNIES | SAISON |</t>
  </si>
  <si>
    <t>CIRCUS | GREEN |</t>
  </si>
  <si>
    <t>DIKKENEK | CITRA |</t>
  </si>
  <si>
    <t>PHILOMENE | HOPTIMALE |</t>
  </si>
  <si>
    <t>TOURNAY | DUBBEL |</t>
  </si>
  <si>
    <t>GRISETTE | CITRA |</t>
  </si>
  <si>
    <t>LA_CHATTE | DUBBEL |</t>
  </si>
  <si>
    <t>CURTIUS | IPA |</t>
  </si>
  <si>
    <t>EPERVIER | SOUR |</t>
  </si>
  <si>
    <t>MOOSE | BLUE |</t>
  </si>
  <si>
    <t>LIPTON | WATERMELON |</t>
  </si>
  <si>
    <t>RIVELLA | CRANBERRY |</t>
  </si>
  <si>
    <t>DOTTIGNIES | DUBBEL |</t>
  </si>
  <si>
    <t>BIONADE | GRAPEFRUIT |</t>
  </si>
  <si>
    <t>LIMBURGSE_WITTE | LEMON |</t>
  </si>
  <si>
    <t>LIMBURGSE_WITTE | RASPBERRY |</t>
  </si>
  <si>
    <t>LIMBURGSE_WITTE | APPLE |</t>
  </si>
  <si>
    <t>GRAND_CRU_GEN | MANGO |</t>
  </si>
  <si>
    <t>GRAND_CRU_GEN | LYCHEE |</t>
  </si>
  <si>
    <t>SARDINES_ESPINELER | LEMON |</t>
  </si>
  <si>
    <t>SPRITE | HONEY |</t>
  </si>
  <si>
    <t>SALITOS | STRAWBERRY |</t>
  </si>
  <si>
    <t>SAFARI | GREEN |</t>
  </si>
  <si>
    <t>PICON_BIERE | GOLD |</t>
  </si>
  <si>
    <t>NESTEA | LEMON |</t>
  </si>
  <si>
    <t>BACHTEN | ELDERFLOWER |</t>
  </si>
  <si>
    <t>BACHTEN | SPRITZ |</t>
  </si>
  <si>
    <t>CALVADOS | SILVER |</t>
  </si>
  <si>
    <t>CENTOPASSI_GIATO | AGRUMES |</t>
  </si>
  <si>
    <t>CENTOPASSI_GIATO | CHERRY |</t>
  </si>
  <si>
    <t>STRAFFE_HENDRIK | BROWN |</t>
  </si>
  <si>
    <t>FANTA | EXOTIC |</t>
  </si>
  <si>
    <t>YAKITORI | WHITE |</t>
  </si>
  <si>
    <t>CUVEE_PRESTIGE_DOMAIN_SKOURAS | PRESTIGE |</t>
  </si>
  <si>
    <t>WITLOOF | GUEUZE |</t>
  </si>
  <si>
    <t>STAR | MAC |</t>
  </si>
  <si>
    <t>BOURBON | GOLD |</t>
  </si>
  <si>
    <t>GULDENBERG | TRIPEL |</t>
  </si>
  <si>
    <t>IMPERATRICE | CUVEE |</t>
  </si>
  <si>
    <t>DE_DOLLE | GOLD |</t>
  </si>
  <si>
    <t>PALM | MANGO |</t>
  </si>
  <si>
    <t>GARNAALKROKET | RED |</t>
  </si>
  <si>
    <t>EDAMAME | GREEN |</t>
  </si>
  <si>
    <t>ICE_TEA_GEN | BLACK |</t>
  </si>
  <si>
    <t>RIVELLA | BITTER_LEMON |</t>
  </si>
  <si>
    <t>CIDER_GEN | BERRY |</t>
  </si>
  <si>
    <t>SPECIALE | MAC |</t>
  </si>
  <si>
    <t>CARLSBERG | WHITE |</t>
  </si>
  <si>
    <t>PANNA | WHITE |</t>
  </si>
  <si>
    <t>FENTIMANS | RASPBERRY |</t>
  </si>
  <si>
    <t>ESTRELLA_GALICIA | GR_RESERVE |</t>
  </si>
  <si>
    <t>STAR | GRAPEFRUIT |</t>
  </si>
  <si>
    <t>BOSWANDELING | WHITE |</t>
  </si>
  <si>
    <t>FRISTI | RED |</t>
  </si>
  <si>
    <t>SUZANNE | SAISON |</t>
  </si>
  <si>
    <t>RICARD | ORANGE |</t>
  </si>
  <si>
    <t>JUICE_GEN | TROPICAL |</t>
  </si>
  <si>
    <t>LEMONADE_GEN | AMBER |</t>
  </si>
  <si>
    <t>GAMBERI_GALLIPOLINA | AMBER |</t>
  </si>
  <si>
    <t>JUICE_GEN | POMEGRANATE |</t>
  </si>
  <si>
    <t>CRYSTAL | WHITE |</t>
  </si>
  <si>
    <t>KOMBUCHA_GEN | BLUE |</t>
  </si>
  <si>
    <t>SINGHA | LAGER |</t>
  </si>
  <si>
    <t>LES_SARDINES_MILLESIMEES | CORE |</t>
  </si>
  <si>
    <t>MAGNUM | GRAPES |</t>
  </si>
  <si>
    <t>PANNA | BROWN |</t>
  </si>
  <si>
    <t>BEER_GEN | WILD |</t>
  </si>
  <si>
    <t>PEPSI | LIGHT |</t>
  </si>
  <si>
    <t>7UP | BLACKCURRANT |</t>
  </si>
  <si>
    <t>FRITZ | GRAPES |</t>
  </si>
  <si>
    <t>CHARITEA | BLACK |</t>
  </si>
  <si>
    <t>PANACHE | RADLER |</t>
  </si>
  <si>
    <t>PILSNER_URQUELL | PILSNER |</t>
  </si>
  <si>
    <t>SPARE_RIBS | APPLE |</t>
  </si>
  <si>
    <t>FENTIMANS | ROSE |</t>
  </si>
  <si>
    <t>NEW_YORK | PEER |</t>
  </si>
  <si>
    <t>BESSY | LEMON |</t>
  </si>
  <si>
    <t>LEMONADE_GEN | APPLE |</t>
  </si>
  <si>
    <t>SAMBUCCA | BLACK |</t>
  </si>
  <si>
    <t>KOMBUCHA_GEN | LEMON |</t>
  </si>
  <si>
    <t>STRAWBERRIES | WHITE |</t>
  </si>
  <si>
    <t>SPECIALE | WHITE |</t>
  </si>
  <si>
    <t>RIVELLA | LIGHT |</t>
  </si>
  <si>
    <t>PANNA | MANGO |</t>
  </si>
  <si>
    <t>OSCAR | RED |</t>
  </si>
  <si>
    <t>ELEGANT | WHITE |</t>
  </si>
  <si>
    <t>KAMIKAZE | LIME |</t>
  </si>
  <si>
    <t>BOSWANDELING | BANANA |</t>
  </si>
  <si>
    <t>RHEINSPRITZERRED | RASPBERRY |</t>
  </si>
  <si>
    <t>RHEINSPRITZERRED | SPRITZ |</t>
  </si>
  <si>
    <t>SAN_PELLEGRINO | APPLE |</t>
  </si>
  <si>
    <t>PORETTI | HOP |</t>
  </si>
  <si>
    <t>MAEGHT_VAN_GOTTEM | HOP |</t>
  </si>
  <si>
    <t>FLUTE | GRAPES |</t>
  </si>
  <si>
    <t>BIONADE | POMEGRANATE |</t>
  </si>
  <si>
    <t>EDAMAME | LEMON |</t>
  </si>
  <si>
    <t>LEMONADE_GEN | BLACKCURRANT |</t>
  </si>
  <si>
    <t>STONE | HOP |</t>
  </si>
  <si>
    <t>CUBANISTO | PILSNER |</t>
  </si>
  <si>
    <t>L_AROGANTE | BLOND |</t>
  </si>
  <si>
    <t>SCOTCH_CTS | STOUT |</t>
  </si>
  <si>
    <t>PIRAAT | BLOND |</t>
  </si>
  <si>
    <t>REBEL_LOCAL | BLOND |</t>
  </si>
  <si>
    <t>WINE_WHITE | RED |</t>
  </si>
  <si>
    <t>COAST | PALE_ALE |</t>
  </si>
  <si>
    <t>COAST | GINGER |</t>
  </si>
  <si>
    <t>BOLLINGER | ROSE |</t>
  </si>
  <si>
    <t>FRITZ | RHUBARB |</t>
  </si>
  <si>
    <t>CIDER_GEN | ROSE |</t>
  </si>
  <si>
    <t>BOURBON | CHERRY |</t>
  </si>
  <si>
    <t>ARTEVELDE | BROWN |</t>
  </si>
  <si>
    <t>LUPULUS | VRUCHTEN |</t>
  </si>
  <si>
    <t>ARTEVELDE | PILSNER |</t>
  </si>
  <si>
    <t>GRENADINE_GEN | LIME |</t>
  </si>
  <si>
    <t>EILANDJE | IPA |</t>
  </si>
  <si>
    <t>CLUB_MATE | LEMON |</t>
  </si>
  <si>
    <t>YUGEN_KOMBUCHA | GRAPEFRUIT |</t>
  </si>
  <si>
    <t>KOMBUCHA_GEN | CHERRY |</t>
  </si>
  <si>
    <t>ICE_TEA_GEN | APPLE |</t>
  </si>
  <si>
    <t>COAST | WHITE |</t>
  </si>
  <si>
    <t>COAST | HOP |</t>
  </si>
  <si>
    <t>CHABLIS | GOLD |</t>
  </si>
  <si>
    <t>MORTADELLA | RED |</t>
  </si>
  <si>
    <t>STEENBERGE | PILSNER |</t>
  </si>
  <si>
    <t>HAESEVELD | PILSNER |</t>
  </si>
  <si>
    <t>HOPFENTHALER_ALKOHOLFREI | HOP |</t>
  </si>
  <si>
    <t>TROUBADOUR | BROWN |</t>
  </si>
  <si>
    <t>STAR | BLOND |</t>
  </si>
  <si>
    <t>RED_BULL | TROPICAL |</t>
  </si>
  <si>
    <t>MONSTER_ENERGY | VANILLA |</t>
  </si>
  <si>
    <t>ADRIAEN_BROUWER | RED |</t>
  </si>
  <si>
    <t>LUVANIUM | GRAPES |</t>
  </si>
  <si>
    <t>ESTAMINET | BLOND |</t>
  </si>
  <si>
    <t>SAFARI | EXOTIC |</t>
  </si>
  <si>
    <t>NALU | EXOTIC |</t>
  </si>
  <si>
    <t>LIPTON | PASSION |</t>
  </si>
  <si>
    <t>BRASVAR | BLACK |</t>
  </si>
  <si>
    <t>CIDER_GEN | ELDERFLOWER |</t>
  </si>
  <si>
    <t>HOP_VERDOMME | HOP |</t>
  </si>
  <si>
    <t>MOINETTE | AMBER |</t>
  </si>
  <si>
    <t>BOOTJESBIER | HERBAL |</t>
  </si>
  <si>
    <t>MINERVA | BLOND |</t>
  </si>
  <si>
    <t>TANK_7 | SAISON |</t>
  </si>
  <si>
    <t>ELIXIR_D_ANVERS | LEMON |</t>
  </si>
  <si>
    <t>FENTIMANS | POMEGRANATE |</t>
  </si>
  <si>
    <t>DUVEL | GOLD |</t>
  </si>
  <si>
    <t>KRUGER | ROSE |</t>
  </si>
  <si>
    <t>GARLIC_BREAD | SOUR |</t>
  </si>
  <si>
    <t>STROOM | ORANGE |</t>
  </si>
  <si>
    <t>LUCIE | GREEN |</t>
  </si>
  <si>
    <t>JANINE | CITRUS |</t>
  </si>
  <si>
    <t>KOMBUCHA_GEN | LIME |</t>
  </si>
  <si>
    <t>FENTIMANS | LIGHT |</t>
  </si>
  <si>
    <t>THOMAS | MAC |</t>
  </si>
  <si>
    <t>FORGE | CRU |</t>
  </si>
  <si>
    <t>SAISON_DUPON | CORE |</t>
  </si>
  <si>
    <t>666;6_66;6.66;6,66</t>
  </si>
  <si>
    <t>BRUNEHAUT;BRUNHOUT</t>
  </si>
  <si>
    <t>KOLA</t>
  </si>
  <si>
    <t>FRITZ | KOLA |</t>
  </si>
  <si>
    <t>DUVEL | TRIPEL_HOP_CITRA |</t>
  </si>
  <si>
    <t>DUVEL | TRIPEL_HOP_CASHMERE|</t>
  </si>
  <si>
    <t>LUPULUS | HOPERA |</t>
  </si>
  <si>
    <t>ACE</t>
  </si>
  <si>
    <t>LOOZA | ACE</t>
  </si>
  <si>
    <t>GOUD_BLOND;GOUDBLOND;GOLDEN_BLOND</t>
  </si>
  <si>
    <t>CHEESE</t>
  </si>
  <si>
    <t>HOP;HOPERA</t>
  </si>
  <si>
    <t>GINGER_ALE</t>
  </si>
  <si>
    <t>PICHEMEL;PICHE_MEL</t>
  </si>
  <si>
    <t>SCHWEPPES | AGRUMES | ZERO</t>
  </si>
  <si>
    <t>ROYAL_BLISS | TONIC_WATER | ZERO</t>
  </si>
  <si>
    <t>ICE_TEA_GEN | GREEN | ZERO</t>
  </si>
  <si>
    <t>ICE_TEA_GEN | REGULAR | ZERO</t>
  </si>
  <si>
    <t>FANTA | ORANGE | ZERO</t>
  </si>
  <si>
    <t>ICE_TEA_GEN | PEACH | ZERO</t>
  </si>
  <si>
    <t>LIPTON | PEACH | ZERO</t>
  </si>
  <si>
    <t>FEVER_TREE | CORE | ZERO</t>
  </si>
  <si>
    <t>COLA_GEN | REGULAR | ZERO</t>
  </si>
  <si>
    <t>FEVER_TREE | TONIC_WATER | ZERO</t>
  </si>
  <si>
    <t>VAL | ORANGE | ZERO</t>
  </si>
  <si>
    <t>VAL | LEMON | ZERO</t>
  </si>
  <si>
    <t>VAL | CORE | ZERO</t>
  </si>
  <si>
    <t>SCHWEPPES | SPRITZ | ZERO</t>
  </si>
  <si>
    <t>ORANGINA | CORE | ZERO</t>
  </si>
  <si>
    <t>VITTEL | CORE | ZERO</t>
  </si>
  <si>
    <t>TROTTINETTE | CORE | ZERO</t>
  </si>
  <si>
    <t>SPORTZOT | CORE | ZERO</t>
  </si>
  <si>
    <t>ERDINGER | CORE | ZERO</t>
  </si>
  <si>
    <t>TONIC | CORE | ZERO</t>
  </si>
  <si>
    <t>YPRA | CORE | ZERO</t>
  </si>
  <si>
    <t>KEYTE | CORE | ZERO</t>
  </si>
  <si>
    <t>ZEEVONK | CORE | ZERO</t>
  </si>
  <si>
    <t>GUINNESS | CORE | ZERO</t>
  </si>
  <si>
    <t>LA_TRAPPE | CORE | ZERO</t>
  </si>
  <si>
    <t>RODENBACH | CORE | ZERO</t>
  </si>
  <si>
    <t>GAGELEER | CORE | ZERO</t>
  </si>
  <si>
    <t>VICARIS | CORE | ZERO</t>
  </si>
  <si>
    <t>THRIVE | CORE | ZERO</t>
  </si>
  <si>
    <t>ANTIGOON | CORE | ZERO</t>
  </si>
  <si>
    <t>PALM | CORE | ZERO</t>
  </si>
  <si>
    <t>DELIRIA | CORE | ZERO</t>
  </si>
  <si>
    <t>BERTINCHAMPS | CORE | ZERO</t>
  </si>
  <si>
    <t>BARKENTIJN | CORE | ZERO</t>
  </si>
  <si>
    <t>GRIMBERGEN | CORE | ZERO</t>
  </si>
  <si>
    <t>BEER_GEN | CORE | ZERO</t>
  </si>
  <si>
    <t>NA_DORST | CORE | ZERO</t>
  </si>
  <si>
    <t>ESTAMINET | CORE | ZERO</t>
  </si>
  <si>
    <t>FLANDRIEN | CORE | ZERO</t>
  </si>
  <si>
    <t>SOMERSBY | CORE | ZERO</t>
  </si>
  <si>
    <t>DELIRIO | CORE | ZERO</t>
  </si>
  <si>
    <t>PARANOIA | RED | ZERO</t>
  </si>
  <si>
    <t>LUPULUS | CORE | ZERO</t>
  </si>
  <si>
    <t>RENDEZ_VOUS | CORE | ZERO</t>
  </si>
  <si>
    <t>SCHUPPENBOER | CORE | ZERO</t>
  </si>
  <si>
    <t>VLOTTE_GRIET | CORE | ZERO</t>
  </si>
  <si>
    <t>PAUWEL_KWAK | CORE | ZERO</t>
  </si>
  <si>
    <t>BAR_BO | CORE | ZERO</t>
  </si>
  <si>
    <t>COMET | CORE | ZERO</t>
  </si>
  <si>
    <t>PICO_BELLO | CORE | ZERO</t>
  </si>
  <si>
    <t>GORDON | CORE | ZERO</t>
  </si>
  <si>
    <t>TEXELS | CORE | ZERO</t>
  </si>
  <si>
    <t>KROMBACHER | CORE | ZERO</t>
  </si>
  <si>
    <t>HEINEKEN | CORE | ZERO</t>
  </si>
  <si>
    <t>G.O.D. | CORE | ZERO</t>
  </si>
  <si>
    <t>TIETJE | CORE | ZERO</t>
  </si>
  <si>
    <t>ENERGIBAJER | CORE | ZERO</t>
  </si>
  <si>
    <t>BOER_BLOEM | CORE | ZERO</t>
  </si>
  <si>
    <t>HOMMELBIER | CORE | ZERO</t>
  </si>
  <si>
    <t>SWINCKELS | CORE | ZERO</t>
  </si>
  <si>
    <t>DELTA_IPA | CORE | ZERO</t>
  </si>
  <si>
    <t>BELGOO | IPA | ZERO</t>
  </si>
  <si>
    <t>GROLSCH | CORE | ZERO</t>
  </si>
  <si>
    <t>SPORTZOT | BLOND | ZERO</t>
  </si>
  <si>
    <t>CLAUSTHALER | CORE | ZERO</t>
  </si>
  <si>
    <t>GROLSCH | RADLER | ZERO</t>
  </si>
  <si>
    <t>CRYSTAL | CORE | ZERO</t>
  </si>
  <si>
    <t>BUDELS | CORE | ZERO</t>
  </si>
  <si>
    <t>RICARD | CORE | ZERO</t>
  </si>
  <si>
    <t>OUWEN_DUIKER | CORE | ZERO</t>
  </si>
  <si>
    <t>DIEKIRCH | CORE | ZERO</t>
  </si>
  <si>
    <t>TOUT_BIEN | CORE | ZERO</t>
  </si>
  <si>
    <t>FONY_S | IPA | ZERO</t>
  </si>
  <si>
    <t>BIRRA_MORETTI | CORE | ZERO</t>
  </si>
  <si>
    <t>TWISTED_CAT | IPA | ZERO</t>
  </si>
  <si>
    <t>STAR_LIGHT | BLOND | ZERO</t>
  </si>
  <si>
    <t>AMSTEL | RADLER | ZERO</t>
  </si>
  <si>
    <t>COAST | BLOND | ZERO</t>
  </si>
  <si>
    <t>STAR | CORE | ZERO</t>
  </si>
  <si>
    <t>GOUVERNEUR | BLOND | ZERO</t>
  </si>
  <si>
    <t>FREEDAMM | CORE | ZERO</t>
  </si>
  <si>
    <t>SAN_MIGUEL | CORE | ZERO</t>
  </si>
  <si>
    <t>BOSCOLI | CORE | ZERO</t>
  </si>
  <si>
    <t>RAMON | CORE | ZERO</t>
  </si>
  <si>
    <t>FONY_S | CORE | ZERO</t>
  </si>
  <si>
    <t>THRIVE | BLOND | ZERO</t>
  </si>
  <si>
    <t>KROMBACHER | RADLER | ZERO</t>
  </si>
  <si>
    <t>STIEN | CORE | ZERO</t>
  </si>
  <si>
    <t>CIDER_GEN | CORE | ZERO</t>
  </si>
  <si>
    <t>BAVARIA | WHITE | ZERO</t>
  </si>
  <si>
    <t>GENTSE_GRUUT | CORE | ZERO</t>
  </si>
  <si>
    <t>STAR_LIGHT | CORE | ZERO</t>
  </si>
  <si>
    <t>CRISTAL_ALKEN | BLOND | ZERO</t>
  </si>
  <si>
    <t>YPRA | BLOND | ZERO</t>
  </si>
  <si>
    <t>VICARIS | NANO | ZERO</t>
  </si>
  <si>
    <t>BITBURGER | RADLER | ZERO</t>
  </si>
  <si>
    <t>SUPER_8 | RED | ZERO</t>
  </si>
  <si>
    <t>STAR | PILSNER | ZERO</t>
  </si>
  <si>
    <t>PLAYGROUND | IPA | ZERO</t>
  </si>
  <si>
    <t>JUPILER | PILSNER | ZERO</t>
  </si>
  <si>
    <t>BAVARIA | RADLER | ZERO</t>
  </si>
  <si>
    <t>BAVARIA | IPA | ZERO</t>
  </si>
  <si>
    <t>BELLEVAUX | IPA | ZERO</t>
  </si>
  <si>
    <t>STELLA_ARTOIS | PILSNER | ZERO</t>
  </si>
  <si>
    <t>ROSE_GEN | ROSE | ZERO</t>
  </si>
  <si>
    <t>ZEEVONK | BLOND | ZERO</t>
  </si>
  <si>
    <t>CORNET | BLOND | ZERO</t>
  </si>
  <si>
    <t>LEFFE | BLOND | ZERO</t>
  </si>
  <si>
    <t>LEFFE | BROWN | ZERO</t>
  </si>
  <si>
    <t>KASTEELBIER | RED | ZERO</t>
  </si>
  <si>
    <t>MAES | PILSNER | ZERO</t>
  </si>
  <si>
    <t>SOMERSBY | APPLE | ZERO</t>
  </si>
  <si>
    <t>ERDINGER | LEMON | ZERO</t>
  </si>
  <si>
    <t>YPRA | HOP | ZERO</t>
  </si>
  <si>
    <t>THRIVE | WHITE | ZERO</t>
  </si>
  <si>
    <t>ZEEVONK | CITRUS | ZERO</t>
  </si>
  <si>
    <t>LA_TRAPPE | EPOS | ZERO</t>
  </si>
  <si>
    <t>RODENBACH | FRUITAGE | ZERO</t>
  </si>
  <si>
    <t>LIEFMANS | FRUITESSE | ZERO</t>
  </si>
  <si>
    <t>BERTINCHAMPS | PASSION | ZERO</t>
  </si>
  <si>
    <t>TRIXY | TRIPEL | ZERO</t>
  </si>
  <si>
    <t>LUPULUS | PLACEBO | ZERO</t>
  </si>
  <si>
    <t>BITBURGER | PILSNER | ZERO</t>
  </si>
  <si>
    <t>CANADA_DRY | LIME | ZERO</t>
  </si>
  <si>
    <t>FEVER_TREE | MEDITERRANEAN | ZERO</t>
  </si>
  <si>
    <t>GORDON | TONIC_WATER | ZERO</t>
  </si>
  <si>
    <t>CANADA_DRY | MINT | ZERO</t>
  </si>
  <si>
    <t>6_ROSES | ROSE | ZERO</t>
  </si>
  <si>
    <t>LIPTON | PASSIONFRUIT | ZERO</t>
  </si>
  <si>
    <t>SPRITE | MINT | ZERO</t>
  </si>
  <si>
    <t>VAL | CHERRY | ZERO</t>
  </si>
  <si>
    <t>SPRITE | CHERRY | ZERO</t>
  </si>
  <si>
    <t>KUITENBIJTER_GEN | CORE | ZERO</t>
  </si>
  <si>
    <t>FEVER_TREE | GREEN | ZERO</t>
  </si>
  <si>
    <t>GRENADINE_GEN | CORE | ZERO</t>
  </si>
  <si>
    <t>VIVEN | NADA_IPA | ZERO</t>
  </si>
  <si>
    <t>BOON | CORE | ZERO</t>
  </si>
  <si>
    <t>FEVER_TREE | SPRITZ | ZERO</t>
  </si>
  <si>
    <t>AFRI | CORE | ZERO</t>
  </si>
  <si>
    <t>ST_HUBERTUS | TRIPEL_AMBER |</t>
  </si>
  <si>
    <t>ST_HUBERTUS | TRIPEL_BLOND |</t>
  </si>
  <si>
    <t>LOOZA | PINEAPPLE |</t>
  </si>
  <si>
    <t>APPELKERS;POMME_CERISE;CERISE_POMME</t>
  </si>
  <si>
    <t>NICE</t>
  </si>
  <si>
    <t xml:space="preserve">CHOUFFE | NICE | </t>
  </si>
  <si>
    <t>DELIRIUM | TREMENS |</t>
  </si>
  <si>
    <t>GOUDEN_CAROLUS | CLASSIC |</t>
  </si>
  <si>
    <t>STILLE_GENIETER | CORE |</t>
  </si>
  <si>
    <t>WOESTE</t>
  </si>
  <si>
    <t>WOESTE | TRIPEL |</t>
  </si>
  <si>
    <t>WOESTE | BLOND |</t>
  </si>
  <si>
    <t>SCHWEPPES | MOJITO |</t>
  </si>
  <si>
    <t>MANGO_MANGO</t>
  </si>
  <si>
    <t xml:space="preserve">FLORIS | APPLE | </t>
  </si>
  <si>
    <t xml:space="preserve">FLORIS | CACTUS | </t>
  </si>
  <si>
    <t xml:space="preserve">FLORIS | STRAWBERRY | </t>
  </si>
  <si>
    <t xml:space="preserve">FLORIS | RASPBERRY | </t>
  </si>
  <si>
    <t xml:space="preserve">FLORIS | CHERRY | </t>
  </si>
  <si>
    <t xml:space="preserve">FLORIS | MANGO_MANGO | </t>
  </si>
  <si>
    <t xml:space="preserve">FLORIS | PASSION | </t>
  </si>
  <si>
    <t xml:space="preserve">FLORIS | PEACH | </t>
  </si>
  <si>
    <t>LAMME_JAN</t>
  </si>
  <si>
    <t>SAN_ANDREAS</t>
  </si>
  <si>
    <t>ZWYNTJE</t>
  </si>
  <si>
    <t>AMBER;AMBREE;AMBRE</t>
  </si>
  <si>
    <t>APPLE;APPEL;POMME;MANZANA;APFEL;POMMES</t>
  </si>
  <si>
    <t>BANANE,;BANANA;BANANE;BANAAN;BANAN</t>
  </si>
  <si>
    <t>BERRIES;BERRY;BOSVRUCHTEN</t>
  </si>
  <si>
    <t>BITTER_LEMON;BITTERE_CITROEN;CITRON_AMER;LIMÃ“N_AMARGO;BITTERZITRONE;BITTERLEMON</t>
  </si>
  <si>
    <t>BLACK;ZWARTE;ZWART;NOIR,</t>
  </si>
  <si>
    <t>BLAUW;BLUE;BLEU;BLEUE;BLAUWE;BLAUW,;"BLUE";BLUE/</t>
  </si>
  <si>
    <t>BROWN;BRUNE;BRUIN;DONKERBRUIN;BRUIN0%;BRUINE;BRUN;BRUNETTE</t>
  </si>
  <si>
    <t>CHERRY;KERS;CERISE;CEREZA;KIRSCHE;CHERRY;KRIEK;CERISE;CERISE,;KRIECK</t>
  </si>
  <si>
    <t>ELDERBERRY;VLIERBESSEN;VLIERBES</t>
  </si>
  <si>
    <t>GINGER;GEMBER;GINGEMBRE;JENGIBRE;INGWER;GINGER</t>
  </si>
  <si>
    <t>GRAPEFRUIT;PAMPLEMOUSSE,;PAMPLEMOUSSE;POMPELMOES;PAMPLEMOUS</t>
  </si>
  <si>
    <t>GREEN;GROEN;VERT;VERDE;;GROEN;VERT;GREEN;GREEN,;VERTE</t>
  </si>
  <si>
    <t>IPA;INDIA_PALE_ALE;I.P.A;I.P.A.</t>
  </si>
  <si>
    <t>LEMON;CITROEN;CITRON;LIMÃ“N;ZITRONE;LIMONATA;CITROEN/;CITRON,;LIMOEN,;LIMONE;LEMON,</t>
  </si>
  <si>
    <t>MINT;MUNT;MENTHE;MENTA;MINZE;MUNT,</t>
  </si>
  <si>
    <t>MULTIFRUIT;MULTIVRUCHT;MULTIFRUITS;MULTIFRUTA;MEHRFRUCHT;MULTIVRUCHTEN;VRUCHTENKORF;FRUITKORF</t>
  </si>
  <si>
    <t>PINEAPPLE;ANANAS;ANANAS,</t>
  </si>
  <si>
    <t>H_PINK;PINK;ROZE</t>
  </si>
  <si>
    <t>POMEGRANATE;GRANAATAPPEL;GRENADE;GRANADA;GRANATAPFEL;POMMEGRANATE</t>
  </si>
  <si>
    <t>QUADRUPEL;QUADRUPLE;QUADRUPPEL;QUAD</t>
  </si>
  <si>
    <t>STRAWBERRY;AARDBEI;FRAISE;FRESA;ERDBEERE;AARDBEIEN;FRAIS</t>
  </si>
  <si>
    <t>TRIPEL;TRIPLE;TRIPPEL;TRIPPLE;TRIPEL/;TRIPEL,;TRIPEL:;"TRIPLE;TIPEL;TRIP</t>
  </si>
  <si>
    <t>TRIPEL_GUEUZE;TRIPELGEUZE</t>
  </si>
  <si>
    <t>TROPICAL;TROPISCH;TROPICAL;TROPICAL;TROPISCH;TROPICAL</t>
  </si>
  <si>
    <t>WIT;WHITE;BLANCHE;WHIT;WITBIER;BLANKA;WEISS;WEIZ;BLANC;BLANC,;WIT,</t>
  </si>
  <si>
    <t>BOURGOGNE_DES_FLANDRES;BOURGOGNE_DES_FLANDERS;BOURGOGNE_FLANDRE</t>
  </si>
  <si>
    <t>BRAVEN_APOSTEL;APOSTEL</t>
  </si>
  <si>
    <t>BRUSSELAIR;BRUSSELEIR;BRUSSELSER;BRUSSELSEIR</t>
  </si>
  <si>
    <t>CANADA_DRY;CANADA</t>
  </si>
  <si>
    <t>CANTILLON;CANTALLION</t>
  </si>
  <si>
    <t>CARLSBERG;CARSLBERG;CARLSEBERG;CALSBERG;CALSEBERG;CARLBERG;CARL_S_BERG;CARSBERG</t>
  </si>
  <si>
    <t>CECEMEL;CCMEL</t>
  </si>
  <si>
    <t>CHAUDFONTAINE;CHAUDF</t>
  </si>
  <si>
    <t>CHIMAY;CHIMEY;~CHIMAY</t>
  </si>
  <si>
    <t>COCA_COLA;COCACOLA;COCA,;COCA</t>
  </si>
  <si>
    <t>CUBANISTO;CUBANISTOS</t>
  </si>
  <si>
    <t>DELIRIUM;DELERIUM;TREMENS</t>
  </si>
  <si>
    <t>DUIVELS_BIER;DUIVELS;DUIVELSBIER</t>
  </si>
  <si>
    <t>FEVER_TREE;FEVERTREE;FEVERTREE</t>
  </si>
  <si>
    <t>FOURCETTE;FOURCHETTE;FOURCHETTE:</t>
  </si>
  <si>
    <t>GEROLSTEINER;GEROLDSTEINER</t>
  </si>
  <si>
    <t>CAROLUS;CAROLOUS;GOUDEN_C;GOUDEN</t>
  </si>
  <si>
    <t>GRASHOPPER;GRASSHOPPER</t>
  </si>
  <si>
    <t>HALF_&amp;;HALF_HALF</t>
  </si>
  <si>
    <t>HERCKENRODE;HEREKENRODE;HERKENRODE</t>
  </si>
  <si>
    <t>HOEGAARDE;HOEGAERDE;HOEGAARDEN;HOEGAERDEN;HOEGAARDS;HOEGARDEN;HOEGHAARDEN;HOEGAARD;HOEGHARDEN;HOEGHAARDEN;HOOGARDEN</t>
  </si>
  <si>
    <t>ICHTEGEMS;ICHTEGEM</t>
  </si>
  <si>
    <t>JAMBE_DE_BOIS;JAMBE_DE_BOIS;JAMBES_DE_BOIS;JAMBE_DE_BOIS</t>
  </si>
  <si>
    <t>JART_ELLE;JART_ELLE</t>
  </si>
  <si>
    <t>KLOOTZAKSKE;KLOOTZAKKE</t>
  </si>
  <si>
    <t>KOMPEL;ONDERGRONDS;KOMPELBIER</t>
  </si>
  <si>
    <t>LE_FORT;LEFORT;LE_FORT</t>
  </si>
  <si>
    <t>CUVEE_RENE;LINDEMANS;LINDEMANS;LIEDEMANS;LINDMANS;LINDENMANS;LINDEMAN;(LINDEMANS);LINDERMANS;LINDEMANS:;"LINDEMANS"</t>
  </si>
  <si>
    <t>LOEMELAAR;LOEMELAER</t>
  </si>
  <si>
    <t>LOKEREIRE;LOKERERIE;LOKETEIZE</t>
  </si>
  <si>
    <t>LUPULUS;PLACEBO;HIBERNATUS</t>
  </si>
  <si>
    <t>MAK_ES_PRUUVE;MAK</t>
  </si>
  <si>
    <t>MAREDSOUS;MAREDESOUS</t>
  </si>
  <si>
    <t>MORT_SUBITE;CRIME_OF_PASSION;LAMBIC_KRIEK;MORTSUBITE;SUBITE;MORTE;MORT;SUBITE_JUICY</t>
  </si>
  <si>
    <t>N_ROSTEN;ROSTEN</t>
  </si>
  <si>
    <t>OUWEN_DUIKER;OUWE_DUIKER;OUWEN</t>
  </si>
  <si>
    <t>PAIX_DIEU;PAX_DIEU;PAIX;PAX_DIEU</t>
  </si>
  <si>
    <t>PAPEGAEI;PAPEGAAI;PAPEGA_EI;PAPEGAEL;PAPEGA</t>
  </si>
  <si>
    <t>PEERDEVISSCHER;PEERDEVISSER</t>
  </si>
  <si>
    <t>PIED_BOEUF;PIEDBOEUF</t>
  </si>
  <si>
    <t>CHARRUE;CHARREU;CHARURE;QUEUE_DE_CHARRUE;QUE_DE_CHARRUE;QUEUE_CHARRUE</t>
  </si>
  <si>
    <t>RITCHIE;RICHIE</t>
  </si>
  <si>
    <t>ROCHEFORT;ROCHFORT;ROCHEFORT10</t>
  </si>
  <si>
    <t>SAISONNEKKE;SAISONNEKE</t>
  </si>
  <si>
    <t>SAMBUCCA;SAMBUCA</t>
  </si>
  <si>
    <t>SCHWEPPES;SHWEPES;SWEPPES;SCWEPPES;SCHWEPPESI</t>
  </si>
  <si>
    <t>SILENT_KILLER;SILENT</t>
  </si>
  <si>
    <t>SOMERSBY;SOMMERSBY;SOMERBY;SUMMERSBAY;SUMERSBY</t>
  </si>
  <si>
    <t>BERNARDUS;BERNARD_ABT;BERNADUS</t>
  </si>
  <si>
    <t>FEUILLIEN;ST_FEUILLEN;ST__FEUILLEN</t>
  </si>
  <si>
    <t>STRAFFE_HENDRIK;STRAFFE;STRAFFE_HENDRICK;STAFFE</t>
  </si>
  <si>
    <t>TARAS_BOULBA;TERAS_BOULBA;BOULBA</t>
  </si>
  <si>
    <t>TER_DOLE;TER_DOLEN;TERDOLEN;TER_DOLEN;TER_DOREN</t>
  </si>
  <si>
    <t>TERREST_GOLDEN_TRIPEL;TERREST</t>
  </si>
  <si>
    <t>TONGERLO;DONGELO;TONGERLOO;TONGERO;TONGERL</t>
  </si>
  <si>
    <t>TONISSTEINER;TNISSTEINER;TONISTEINER;TNISST;TONIS;FIT;TNISTEINER;TNNISTEINER;TONIS=TEINER;TNNISTEINER;TRNISSTEINER</t>
  </si>
  <si>
    <t>ANVERS;ARVERS;TRIPLE_ANVERS;TRIPLE_D_ANVERS;TRIPEL_D_ANVERS;TRIPPEL_D_ANVERS;TRIPLE_DANVERS;TRIPEL_DANVERS;TRIPPEL_DANVERS;TRIPEL_DANVER;TRIPEL_D_ANVER;TRIPLE_DANVER,_TRIPLE_D_ANVER,_D_x0019_ANVERS;X_ANVERS;TRIPLE_D_ANVERS;TRIPLE_D</t>
  </si>
  <si>
    <t>KARMELIET;CARMELIT;KARMELIT;KARMELITE;KREMLIET</t>
  </si>
  <si>
    <t>TRIPORTEUR;TRIPELATOR;TRIPORTEUR</t>
  </si>
  <si>
    <t>TROTTINNETTE;TROTTINETTE;TROTINETTE</t>
  </si>
  <si>
    <t>TUMULUS;AURA</t>
  </si>
  <si>
    <t>VEDETTE;VEDETT;VEDET</t>
  </si>
  <si>
    <t>VICARIS;VICARIUS;VICARS</t>
  </si>
  <si>
    <t>VITTEL;VITTEL;VITEL</t>
  </si>
  <si>
    <t>VLAAMSCHE_LEEUW;VLAAMSCHE;LEEUW</t>
  </si>
  <si>
    <t>WILDEREN_GOUD;WILDEREN</t>
  </si>
  <si>
    <t>WITKAP_PATER;WITKAP</t>
  </si>
  <si>
    <t>ZONNEGEMSE_ZOT;ZONNEGEMSE</t>
  </si>
  <si>
    <t>ZWIENTJE;ZWIJNTJE;ZWYNTJE</t>
  </si>
  <si>
    <t>TONIC_GEN | LIGHT | ZERO</t>
  </si>
  <si>
    <t>GULDEN_DRAAK | AMBER |</t>
  </si>
  <si>
    <t>ZWYNTJE | CORE |</t>
  </si>
  <si>
    <t>PADELBIER;PADEL</t>
  </si>
  <si>
    <t>FLGEL;FLUGEL</t>
  </si>
  <si>
    <t>SAN_ANDREAS | CORE |</t>
  </si>
  <si>
    <t>LE_PLAN</t>
  </si>
  <si>
    <t>LE_PLAN | IPA |</t>
  </si>
  <si>
    <t>AVONTUURLIJKE_GERARD</t>
  </si>
  <si>
    <t>AVONTUURLIJKE_GERARD | IPA |</t>
  </si>
  <si>
    <t>PEERDEVISSCHER | CORE|</t>
  </si>
  <si>
    <t>PADEL | RUBY |</t>
  </si>
  <si>
    <t>BLANCHE_DE_NAMUR | TRIPEL |</t>
  </si>
  <si>
    <t>LE_PLAN | TRIPEL |</t>
  </si>
  <si>
    <t>BITTER</t>
  </si>
  <si>
    <t>BUSCH_LIGHT</t>
  </si>
  <si>
    <t>BUSH | NIGHT |</t>
  </si>
  <si>
    <t>NUITS</t>
  </si>
  <si>
    <t>BUSH | CHARMES |</t>
  </si>
  <si>
    <t>CHARMES</t>
  </si>
  <si>
    <t>BUSH | XMAS |</t>
  </si>
  <si>
    <t>CLUB_SODA</t>
  </si>
  <si>
    <t>CANADA_DRY_SELTZER</t>
  </si>
  <si>
    <t>CHERRY_POMEGRANATE</t>
  </si>
  <si>
    <t>ORANGE_PEACH</t>
  </si>
  <si>
    <t>MULTIVITAMIN</t>
  </si>
  <si>
    <t>MULTIVITAMIN;MULTI_VITAMIN</t>
  </si>
  <si>
    <t>CARLSBERG | PILSNER | ZERO</t>
  </si>
  <si>
    <t>STILL</t>
  </si>
  <si>
    <t>CHERIE_BIERE_BLANCHE</t>
  </si>
  <si>
    <t>CHIMAY | BLEUE |</t>
  </si>
  <si>
    <t xml:space="preserve">COCA_COLA | LIGHT | </t>
  </si>
  <si>
    <t>CORNET | SMOKED_STRONG_BLOND |</t>
  </si>
  <si>
    <t xml:space="preserve">CORNET | STRONG_BLOND | </t>
  </si>
  <si>
    <t>CORNET | GOLD_BLOND |</t>
  </si>
  <si>
    <t>CORSENDONK | GOLD_TRIPEL |</t>
  </si>
  <si>
    <t>CORSENDONK | DARK_DUBBEL |</t>
  </si>
  <si>
    <t>CORSENDONK |XMAS |</t>
  </si>
  <si>
    <t>CORSENDONK | DUBBEL_CHERRY|</t>
  </si>
  <si>
    <t>DUBBEL_CHERRY</t>
  </si>
  <si>
    <t>CORSENDONK | ANGUS_TRIPEL |</t>
  </si>
  <si>
    <t>CORSENDONK | ROUSSE |</t>
  </si>
  <si>
    <t>RED;ROUSSE</t>
  </si>
  <si>
    <t>FEVER_TREE | LIGHT_GINGER_BEER |</t>
  </si>
  <si>
    <t>FEVER_TREE | PINK_GRAPEFRUIT |</t>
  </si>
  <si>
    <t>FORCE_MAJEURE | TRIPEL_HOP | ZERO</t>
  </si>
  <si>
    <t>FORCE_MAJEURE | TRADITIONAL_BLOND | ZERO</t>
  </si>
  <si>
    <t>FORCE_MAJEURE | CHERRY | ZERO</t>
  </si>
  <si>
    <t>FORCE_MAJEURE | DUBBEL | ZERO</t>
  </si>
  <si>
    <t>FORCE_MAJEURE | TRIPEL | ZERO</t>
  </si>
  <si>
    <t>ST_BERNARDUS | PATER_6|</t>
  </si>
  <si>
    <t>ST_BERNARDUS | PRIOR_8 |</t>
  </si>
  <si>
    <t>ST_BERNARDUS | ABT_12 |</t>
  </si>
  <si>
    <t>ST_BERNARDUS | EXTRA_4 |</t>
  </si>
  <si>
    <t xml:space="preserve">CANADA_DRY | GRAPEFRUIT | </t>
  </si>
  <si>
    <t xml:space="preserve">CANADA_DRY | BLACKBERRY | </t>
  </si>
  <si>
    <t xml:space="preserve">CANADA_DRY | CRANBERRY | </t>
  </si>
  <si>
    <t xml:space="preserve">CANADA_DRY | CHERRY | </t>
  </si>
  <si>
    <t xml:space="preserve">CANADA_DRY | CLUB_SODA | </t>
  </si>
  <si>
    <t xml:space="preserve">CAPRI_SUN | ORANGE | </t>
  </si>
  <si>
    <t xml:space="preserve">CAPRI_SUN | MULTIFRUIT | </t>
  </si>
  <si>
    <t xml:space="preserve">CAPRI_SUN | MULTIVITAMIN | </t>
  </si>
  <si>
    <t xml:space="preserve">CAPRI_SUN | CHERRY | </t>
  </si>
  <si>
    <t xml:space="preserve">CAPRI_SUN | JUNGLE | </t>
  </si>
  <si>
    <t xml:space="preserve">CAPRI_SUN | MANGO | </t>
  </si>
  <si>
    <t xml:space="preserve">CAPRI_SUN | CHERRY_POMEGRANATE | </t>
  </si>
  <si>
    <t xml:space="preserve">CAPRI_SUN | ORANGE_PEACH | </t>
  </si>
  <si>
    <t xml:space="preserve">CHIMAY | 175 | </t>
  </si>
  <si>
    <t xml:space="preserve">FEVER_TREE | CLUB_SODA | </t>
  </si>
  <si>
    <t>CORE;BOLLEKE;AMBER;TRIPEL</t>
  </si>
  <si>
    <t>BLOND;CORE</t>
  </si>
  <si>
    <t>TRIPEL;BLOND</t>
  </si>
  <si>
    <t>GINGER;CORE</t>
  </si>
  <si>
    <t>CORE;BLOND</t>
  </si>
  <si>
    <t>BLOND;CORE;PILSNER</t>
  </si>
  <si>
    <t>CORE;APPLE</t>
  </si>
  <si>
    <t>BLUE;CORE;STILL</t>
  </si>
  <si>
    <t>RED;SPARKLING</t>
  </si>
  <si>
    <t>RED;7</t>
  </si>
  <si>
    <t>CHERRY;RED</t>
  </si>
  <si>
    <t>LITE;LIGHT</t>
  </si>
  <si>
    <t>MC;MAC;DUBBEL;BROWN</t>
  </si>
  <si>
    <t>NICE;WINTERBOCK;XMAS</t>
  </si>
  <si>
    <t>BROWN;CINEY | DUBBEL |</t>
  </si>
  <si>
    <t>BLOND;STRONG_BLOND;CORE;STRONG</t>
  </si>
  <si>
    <t>GOLDEN_BLOND;GOLD</t>
  </si>
  <si>
    <t>EXTRA;LAGER;PILSNER;CORE</t>
  </si>
  <si>
    <t>DUBBEL_CHERRY;RED</t>
  </si>
  <si>
    <t>CORE;IPA</t>
  </si>
  <si>
    <t>DUBBEL;BROWN</t>
  </si>
  <si>
    <t>175</t>
  </si>
  <si>
    <t>TRIPEL;CORE;BLOND</t>
  </si>
  <si>
    <t>WESTMALLE | DUO |</t>
  </si>
  <si>
    <t>DUO</t>
  </si>
  <si>
    <t>BAVARIA | RADLER |</t>
  </si>
  <si>
    <t>BAVARIA | IPA |</t>
  </si>
  <si>
    <t>AADRINK</t>
  </si>
  <si>
    <t>AADRINK | CORE |</t>
  </si>
  <si>
    <t>CAPRI_SUN;CAPRISUN</t>
  </si>
  <si>
    <t>7UP;7_UP;SEVEN_UP</t>
  </si>
  <si>
    <t>TAROT_NOIRE</t>
  </si>
  <si>
    <t>LINDEMANS | TAROT_D_OR |</t>
  </si>
  <si>
    <t>BON_SECOURS;BONSECOURS;BON_SECOURS;BONS_SECOURS</t>
  </si>
  <si>
    <t>SINAAS;ORANGE;SINAASAPPEL;ORANGE;NARANJA;ORANGE;APPELSIEN;ORANGE,;SINAAS;ORANJE;SINNAS;SINAS</t>
  </si>
  <si>
    <t>TWIST_AND_DRINK</t>
  </si>
  <si>
    <t>TWIST_AND_DRINK | APPLE |</t>
  </si>
  <si>
    <t>TWIST_AND_DRINK | CORE</t>
  </si>
  <si>
    <t>KASTEELBIER | TROPICAL | ZERO</t>
  </si>
  <si>
    <t>KASTEELBIER | CHOCOLAT |</t>
  </si>
  <si>
    <t>BLACK_GOLD</t>
  </si>
  <si>
    <t>PRION;FLEURS</t>
  </si>
  <si>
    <t>SUMMERGOLD</t>
  </si>
  <si>
    <t>ZOMERGOUD;SUMMERGOLD</t>
  </si>
  <si>
    <t>KOMPEL | BLOND | ZERO</t>
  </si>
  <si>
    <t>KWAREMONT | BLOND| ZERO</t>
  </si>
  <si>
    <t>CUVEE_RENE | OUDE_KRIEK |</t>
  </si>
  <si>
    <t>CUVEE_RENE | OUDE_GUEUZE |</t>
  </si>
  <si>
    <t>CUVEE_RENE | CUVEE |</t>
  </si>
  <si>
    <t>LOOZA | APPLE_CHERRY |</t>
  </si>
  <si>
    <t>ST_LOUIS | CRU |</t>
  </si>
  <si>
    <t>RITUEL;9</t>
  </si>
  <si>
    <t>LAMBIC</t>
  </si>
  <si>
    <t>KOMPEL | BLACK_GOLD</t>
  </si>
  <si>
    <t>KOMPEL | SUMMERGOLD</t>
  </si>
  <si>
    <t>LEFFE | RITUEL</t>
  </si>
  <si>
    <t>ST_LOUIS | CHERRY</t>
  </si>
  <si>
    <t>ST_LOUIS | LAMBIC</t>
  </si>
  <si>
    <t>ST_LOUIS | TRADITION</t>
  </si>
  <si>
    <t>ST_LOUIS | GUEUZE</t>
  </si>
  <si>
    <t>GULDEN_DRAAK | CLASSIC |</t>
  </si>
  <si>
    <t>GULDEN_DRAAK | IMPERIAL_STOUT |</t>
  </si>
  <si>
    <t>HAESEVELD | WHITE |</t>
  </si>
  <si>
    <t>HAPKIN | BIPA |</t>
  </si>
  <si>
    <t>HERTOG_JAN | GRAND_PILSNER |</t>
  </si>
  <si>
    <t>GRAND_PILSNER</t>
  </si>
  <si>
    <t>WINTERBEER</t>
  </si>
  <si>
    <t>HOEGAARDEN | WHITE | ZERO</t>
  </si>
  <si>
    <t>HOEGAARDEN | ROSE | ZERO</t>
  </si>
  <si>
    <t>LUPULUS | BLEUETTE  |</t>
  </si>
  <si>
    <t>MALHEUR | DARK_BRUT |</t>
  </si>
  <si>
    <t>MARTHA |GUILTY_ROUGE |</t>
  </si>
  <si>
    <t>MARTHA | BROWN_EYES |</t>
  </si>
  <si>
    <t>MARTHA | SEXYBLOND |</t>
  </si>
  <si>
    <t>RITCHIE | COLA | ZERO</t>
  </si>
  <si>
    <t>RITCHIE | LEMON_GINGER |</t>
  </si>
  <si>
    <t>KRONENBOURG;1664</t>
  </si>
  <si>
    <t>AFFLIGEM | BLOND | ZERO</t>
  </si>
  <si>
    <t>STASSEN</t>
  </si>
  <si>
    <t>FANTA | CASSIS |</t>
  </si>
  <si>
    <t>TUTTI_FRUTTI</t>
  </si>
  <si>
    <t>POWERADE</t>
  </si>
  <si>
    <t>FUZETEA | TROPICAL_PASSION |</t>
  </si>
  <si>
    <t>FUZETEA | MANGO_CHAMOMILE |</t>
  </si>
  <si>
    <t>CHAMOMILE</t>
  </si>
  <si>
    <t>ICE_TEA_GEN | CHAMOMILE |</t>
  </si>
  <si>
    <t>FUZETEA | LIME_MINT |</t>
  </si>
  <si>
    <t>FUZETEA | PEACH_ELDERFLOWER |</t>
  </si>
  <si>
    <t>FUZETEA | RASPBERRY_MINT |</t>
  </si>
  <si>
    <t>FUZETEA | PEACH_HIBISCUS |</t>
  </si>
  <si>
    <t>VITAMIN_WATER</t>
  </si>
  <si>
    <t>ROYAL_BLISS | PINK_AROMATIC_BERRY |</t>
  </si>
  <si>
    <t>ROYAL_BLISS | AGRUM_YLANG |</t>
  </si>
  <si>
    <t>MIND_HAZE</t>
  </si>
  <si>
    <t>YUZU</t>
  </si>
  <si>
    <t>JARR_KOMBUCHA | ORIGINAL |</t>
  </si>
  <si>
    <t>JARR_KOMBUCHA | GINGER_LEMON |</t>
  </si>
  <si>
    <t>NIJPA</t>
  </si>
  <si>
    <t>BIRI</t>
  </si>
  <si>
    <t>NATTE</t>
  </si>
  <si>
    <t>MOKUMS</t>
  </si>
  <si>
    <t>IJNDEJAARDS</t>
  </si>
  <si>
    <t>BROUWERIJ__T_IJ;T_IJ;IJ</t>
  </si>
  <si>
    <t>CALYPSO</t>
  </si>
  <si>
    <t>BERNARD</t>
  </si>
  <si>
    <t>PETRUS | AGED_PALE |</t>
  </si>
  <si>
    <t>AGED</t>
  </si>
  <si>
    <t>EAUMEGA</t>
  </si>
  <si>
    <t>ST_HUBERTUS | TRIPEL_HOP_CITRA |</t>
  </si>
  <si>
    <t>TAO | GREEN_TEA |</t>
  </si>
  <si>
    <t>TAO | KOMBUCHA |</t>
  </si>
  <si>
    <t>VITAO | WHITE_TEA |</t>
  </si>
  <si>
    <t>BIONINA | BLOOD_ORANGE |</t>
  </si>
  <si>
    <t>BIONINA | PINK_GRAPEFRUIT |</t>
  </si>
  <si>
    <t>BIONINA | GINGER_BEER |</t>
  </si>
  <si>
    <t>LUCOZADE</t>
  </si>
  <si>
    <t>MAYTEA</t>
  </si>
  <si>
    <t>RIBENA</t>
  </si>
  <si>
    <t>GINI | CORE | ZERO</t>
  </si>
  <si>
    <t>DR_PEPPER</t>
  </si>
  <si>
    <t>ENERGADE</t>
  </si>
  <si>
    <t>LIPTON | GREEN_STRAWBERRY |</t>
  </si>
  <si>
    <t>LIPTON | GREEN_LEMON |</t>
  </si>
  <si>
    <t>LIPTON | ORIGINAL |</t>
  </si>
  <si>
    <t>LIPTON | ORIGINAL | ZERO</t>
  </si>
  <si>
    <t>CHARLES_QUINT | GOLDEN_BLOND |</t>
  </si>
  <si>
    <t>CHARLES_QUINT | RUBY_RED |</t>
  </si>
  <si>
    <t>MYSTIC_KRIEK | CHERRY |</t>
  </si>
  <si>
    <t>SUPER_8 | EXPORT |</t>
  </si>
  <si>
    <t>SUPER_8 | FLANDRIEN |</t>
  </si>
  <si>
    <t>SUPER_8 | FLANDRIEN | ZERO</t>
  </si>
  <si>
    <t>FIRE</t>
  </si>
  <si>
    <t>NELSON</t>
  </si>
  <si>
    <t>FREE</t>
  </si>
  <si>
    <t>MANGO_PASSION</t>
  </si>
  <si>
    <t>HAZY</t>
  </si>
  <si>
    <t>1664</t>
  </si>
  <si>
    <t>1128</t>
  </si>
  <si>
    <t>BRUT_ROSE</t>
  </si>
  <si>
    <t>RED_FRUITS</t>
  </si>
  <si>
    <t>BLUE;ICE</t>
  </si>
  <si>
    <t>LEMON;WHITE</t>
  </si>
  <si>
    <t>PEACH;RED;CORE</t>
  </si>
  <si>
    <t>PILSNER;CORE</t>
  </si>
  <si>
    <t>LEMON;LIME</t>
  </si>
  <si>
    <t>ORANGE;BLOOD_ORANGE</t>
  </si>
  <si>
    <t>PINK;GRAPEFRUIT</t>
  </si>
  <si>
    <t>POMEGRANATE;CRANBERRY</t>
  </si>
  <si>
    <t>GOLD;BLOND;CORE</t>
  </si>
  <si>
    <t>RUBY;RED</t>
  </si>
  <si>
    <t>ORANGE;CORE</t>
  </si>
  <si>
    <t>HIBISCUS;PEACH;CORE</t>
  </si>
  <si>
    <t>MINT;LIME</t>
  </si>
  <si>
    <t>PASSION;TROPICAL</t>
  </si>
  <si>
    <t>ELDERFLOWER;BLACK</t>
  </si>
  <si>
    <t>RASPBERRY;BERRY</t>
  </si>
  <si>
    <t>CORE;AGRUMES;BITTER_LEMON;LIME</t>
  </si>
  <si>
    <t>STOUT;IMPERIAL</t>
  </si>
  <si>
    <t>WHITE;WEIZEN</t>
  </si>
  <si>
    <t>AGRUMES;RADLER</t>
  </si>
  <si>
    <t>GRAND_CRU;CRU</t>
  </si>
  <si>
    <t>WHITE;BLOND;CORE</t>
  </si>
  <si>
    <t>CORE;ORIGINAL</t>
  </si>
  <si>
    <t>LEMON;GINGER</t>
  </si>
  <si>
    <t>PASSIONFRUIT;PASSION</t>
  </si>
  <si>
    <t>PEACH;YUZU</t>
  </si>
  <si>
    <t>PILSNER;CORE;BLOND</t>
  </si>
  <si>
    <t>RASPBERRY;RUBY;RUBY</t>
  </si>
  <si>
    <t>RED;CORE;CHERRY;CORE;CHERRY</t>
  </si>
  <si>
    <t>BLOND;BOVENGRONDS;BOVENGRONDS</t>
  </si>
  <si>
    <t>CHERRY;RED;RED</t>
  </si>
  <si>
    <t>CORE;BLOND;BLOND</t>
  </si>
  <si>
    <t>PILSNER;PILSNER;PILSNER</t>
  </si>
  <si>
    <t>DUBBEL;ONDERGRONDS;BROWN;ONDERGRONDS;BROWN</t>
  </si>
  <si>
    <t>CORE;CHERRY</t>
  </si>
  <si>
    <t>BLOND;CORE;CORE</t>
  </si>
  <si>
    <t>AMBER;ISID_OR;GOLD;ISID_OR;GOLD</t>
  </si>
  <si>
    <t>DUBBEL;BROWN;BROWN</t>
  </si>
  <si>
    <t>BLACKCURRANT;BERRY;BERRY</t>
  </si>
  <si>
    <t>CHERRY;CORE;RED;CORE;RED</t>
  </si>
  <si>
    <t>CORE;REGULAR;ORIGINAL;REGULAR;ORIGINAL</t>
  </si>
  <si>
    <t>GREEN;MANGO</t>
  </si>
  <si>
    <t>ACE;ORIGINAL;CORE;ORIGINAL;CORE</t>
  </si>
  <si>
    <t>NEW_ENGLAND_IPA;IPA</t>
  </si>
  <si>
    <t>LEMON;RADLER</t>
  </si>
  <si>
    <t>6;BLOND;CORE</t>
  </si>
  <si>
    <t>12;BROWN;DUBBEL</t>
  </si>
  <si>
    <t>CORE;PALE_ALE</t>
  </si>
  <si>
    <t>AGED;PALE</t>
  </si>
  <si>
    <t>RED;CHERRY</t>
  </si>
  <si>
    <t>EXTRA;TRIPEL;TRIPEL;TRIPEL</t>
  </si>
  <si>
    <t>AGRUMES;YLANG</t>
  </si>
  <si>
    <t>PINK;BERRY</t>
  </si>
  <si>
    <t>TONIC_WATER;CORE;CORE;CORE</t>
  </si>
  <si>
    <t>CORE;LEMON;LIME</t>
  </si>
  <si>
    <t>EXTRA;4;4;4</t>
  </si>
  <si>
    <t>TRIPEL_AMBER;AMBER</t>
  </si>
  <si>
    <t>TRIPEL_BLOND;BLOND;TRIPEL;CORE</t>
  </si>
  <si>
    <t>TRIPEL_HOP;CITRA</t>
  </si>
  <si>
    <t>CRU;CUVEE;CUVEE</t>
  </si>
  <si>
    <t>CORE;FLANDRIEN;BLOND</t>
  </si>
  <si>
    <t>PILSNER;CORE;CORE;CORE</t>
  </si>
  <si>
    <t>BLACKCURRANT;BLUEBERRY;GINSENG</t>
  </si>
  <si>
    <t>DRAGONFRUIT;ORANGE;GINGER</t>
  </si>
  <si>
    <t>GREEN;GINGKO</t>
  </si>
  <si>
    <t>RED;ROSEHIP</t>
  </si>
  <si>
    <t>XMAS;WINTERBOCK</t>
  </si>
  <si>
    <t>TRIPEL;BLOND;CORE</t>
  </si>
  <si>
    <t>GREEN;JASMINE;LIME</t>
  </si>
  <si>
    <t>WHITE;PASSION;POMEGRANATE</t>
  </si>
  <si>
    <t>SCOTCH;CORE</t>
  </si>
  <si>
    <t>TRIPEL;CORE</t>
  </si>
  <si>
    <t>LAPHROAIG;CUVEE;PRESTIGE</t>
  </si>
  <si>
    <t>PINEAPPLE;GRAPEFRUIT</t>
  </si>
  <si>
    <t>MANGO;GOLDEN</t>
  </si>
  <si>
    <t>SCHWEPPES | INDIAN_TONIC |</t>
  </si>
  <si>
    <t>SCHWEPPES | INDIAN_TONIC | ZERO</t>
  </si>
  <si>
    <t>SCHWEPPES | LEMON | ZERO</t>
  </si>
  <si>
    <t>SCHWEPPES | MOJITO | ZERO</t>
  </si>
  <si>
    <t>SCHWEPPES | PINK |</t>
  </si>
  <si>
    <t>SCHWEPPES | PINK | ZERO</t>
  </si>
  <si>
    <t>SCHWEPPES | WILD_BERRIES|</t>
  </si>
  <si>
    <t>SCHWEPPES | GINGER_ALE |</t>
  </si>
  <si>
    <t>PEPPER</t>
  </si>
  <si>
    <t xml:space="preserve">SCHWEPPES | PINK_PEPPER | </t>
  </si>
  <si>
    <t>PEPPER;CHILI</t>
  </si>
  <si>
    <t>MINUTE_MAID | APPLE_CHERRY |</t>
  </si>
  <si>
    <t>AGRUMES;GRAPEFRUIT</t>
  </si>
  <si>
    <t>CORE;ORIGINAL;REGULAR;TONIC_WATER</t>
  </si>
  <si>
    <t>CORE;BLOND;PILSNER</t>
  </si>
  <si>
    <t>FRUITESSE;CHERRY;FRUITAGE;RED;VRUCHTEN;CHERRY;FRUITAGE;RED;VRUCHTEN;CORE</t>
  </si>
  <si>
    <t>LIEFMANS | PEACH | ZERO</t>
  </si>
  <si>
    <t>CORSENDONK;CROSENDONK;CORSENDONCK;CORENDONCK;CORSONDONK;CORSENDOCK;CORSENDONK!</t>
  </si>
  <si>
    <t>CHOUFFE | BLOND | ZERO</t>
  </si>
  <si>
    <t>PEACH;PERZIK;PÃŠCHE;MELOCOT;PFIRSICH;PCHERESSE;Píche;PEACH;PERZIK;PCHE;PICHE,;PECHE;PICHERESSE</t>
  </si>
  <si>
    <t>HOLY_ROASTY | STOUT | ZERO</t>
  </si>
  <si>
    <t>HOLY_IPA | IPA | ZERO</t>
  </si>
  <si>
    <t>CHRISTMAS;XMAS;KERSTMIS;NOEL;CHRISMAS</t>
  </si>
  <si>
    <t>CORSENDONK | PATER_DUBBEL |</t>
  </si>
  <si>
    <t>PATER_DUBBEL;PATER</t>
  </si>
  <si>
    <t>RED;ROOD;ROUGE;ROJO;ROT;RED;ROUGE;ROOD;ROUGE,;ROUGES;ROOD,;ROUSSE</t>
  </si>
  <si>
    <t>DELIRIUM | DELIRIA |</t>
  </si>
  <si>
    <t>HOMEMADE</t>
  </si>
  <si>
    <t>CARA</t>
  </si>
  <si>
    <t>ROSE;ROSEE;"ROSE";ROSE,;ROSEA;ROSAE</t>
  </si>
  <si>
    <t>DUBBEL;DOUBLE;DUNKEL;DUBEL;;DUBBELE;DUBBEL/;DUBBEL,;DUBBLE</t>
  </si>
  <si>
    <t>DESPERADOS | ORIGINAL |</t>
  </si>
  <si>
    <t>DESPERADOS | MOJITO |</t>
  </si>
  <si>
    <t>DESPERADOS | ORIGINAL | ZERO</t>
  </si>
  <si>
    <t>GUINNESS | EXPORT |</t>
  </si>
  <si>
    <t>CRU;PRESTIGE</t>
  </si>
  <si>
    <t>LEFFE | SUMMER|</t>
  </si>
  <si>
    <t>LUSTRUM</t>
  </si>
  <si>
    <t>VICARIS | LUSTRUM |</t>
  </si>
  <si>
    <t xml:space="preserve">YETI_BANG | CORE | </t>
  </si>
  <si>
    <t>150</t>
  </si>
  <si>
    <t>GREEN;150;10</t>
  </si>
  <si>
    <t>SAISON_&amp;_LAMBIC</t>
  </si>
  <si>
    <t>GORDON | EXPLOSION |</t>
  </si>
  <si>
    <t>EXPLOSION</t>
  </si>
  <si>
    <t>BONI_TAFELBIER</t>
  </si>
  <si>
    <t>ANA_HOP</t>
  </si>
  <si>
    <t>MORT_SUBITE | BLOODY_BERRY|</t>
  </si>
  <si>
    <t xml:space="preserve">ENAME | PATER | </t>
  </si>
  <si>
    <t xml:space="preserve">OMMEGANG | CORE | </t>
  </si>
  <si>
    <t xml:space="preserve">SAISON_&amp;_LAMBIC | SAISON | </t>
  </si>
  <si>
    <t>HOP;TRIPEL</t>
  </si>
  <si>
    <t>BRUGGE_TRIPEL;BRUGGE_TRIPPEL;BRUGGE_TRIPPEL;BRUGGE_TRIPLE;BRUGSE_TRIPEL;BRUGSE_TRIPEL;BRUGSE_TRIPPEL;BRUGSE_TRIPPEL;BRUGSE_TRIPLE;BRUGSE_TRIPLE;BRUGGE_8</t>
  </si>
  <si>
    <t>ICE_TEA_GEN | CORE | HOMEMADE</t>
  </si>
  <si>
    <t xml:space="preserve">LEMONADE_GEN | CORE | HOMEMADE </t>
  </si>
  <si>
    <t>CHOCOLATE_MILK | COLD |</t>
  </si>
  <si>
    <t>MILK | COLD |</t>
  </si>
  <si>
    <t>BRU | SPARKLING |</t>
  </si>
  <si>
    <t xml:space="preserve">BRU | STILL | </t>
  </si>
  <si>
    <t>JUICE_FRESH</t>
  </si>
  <si>
    <t>LEMON_ORANGE</t>
  </si>
  <si>
    <t>COLD</t>
  </si>
  <si>
    <t>MILK</t>
  </si>
  <si>
    <t>CHOCOLATE_MILK</t>
  </si>
  <si>
    <t>QUADRUPEL;9000</t>
  </si>
  <si>
    <t>HOT</t>
  </si>
  <si>
    <t>FRESH</t>
  </si>
  <si>
    <t>JUICE_GEN | LEMON_ORANGE |</t>
  </si>
  <si>
    <t>8;PRIOR</t>
  </si>
  <si>
    <t>8;DARK;GREEN</t>
  </si>
  <si>
    <t>6;DUBBEL;RED;CORE</t>
  </si>
  <si>
    <t>12;ABT;QUADRUPEL;CORE;ABT;</t>
  </si>
  <si>
    <t>10;QUADRUPEL;BLUE</t>
  </si>
  <si>
    <t>FALLBACK_GENERIC</t>
  </si>
  <si>
    <t>*</t>
  </si>
  <si>
    <t>BONS_VOEUX;BON_VOEUX;BONS_VSUX</t>
  </si>
  <si>
    <t>BUSH_BEER;BUSH</t>
  </si>
  <si>
    <t>CANADA_SELTZER;SELTZER_CANADA</t>
  </si>
  <si>
    <t>FILLIERS_DRY_GIN</t>
  </si>
  <si>
    <t>FORCE_MAJEURE;FORCE_MAJEUR;FORCE</t>
  </si>
  <si>
    <t>FRAM_B;FRAMBUSH;FRAM;FRAM_BUSH</t>
  </si>
  <si>
    <t>GINGER_BEER;GINGERBEER</t>
  </si>
  <si>
    <t>HEROES_BLOND;HEROES;HEROES_AMAZING_BLOND</t>
  </si>
  <si>
    <t>HOPFENTHALER</t>
  </si>
  <si>
    <t>JUICE_JUNKIE;JUICE_JUNKY</t>
  </si>
  <si>
    <t>KASTEEL;KASTEELBIER;KASTELBIER;KASTEL_CUVEE;CASTEEL_ROUGE;KASTEELBIER;KASTEELBEER</t>
  </si>
  <si>
    <t>KLSCH;KLOSCH</t>
  </si>
  <si>
    <t>PLAN;LE_PLAN</t>
  </si>
  <si>
    <t>MILK_GEN</t>
  </si>
  <si>
    <t>OSTDONK;OSTONK</t>
  </si>
  <si>
    <t>REDBULL;RED_BULL;BULL</t>
  </si>
  <si>
    <t>SCOTCH_C.T.S.;SCOTCH_CTS;SCOTCH_C.T.S.;CTS</t>
  </si>
  <si>
    <t>SPRITE;SPRTE</t>
  </si>
  <si>
    <t>HUBERTUS;HUBERTS;HUBERT;ZEENAT</t>
  </si>
  <si>
    <t>ST__LOUIS;ST_LOUIS;LOUIS</t>
  </si>
  <si>
    <t>STELLA;STELA;STELLLA;ARTOIS</t>
  </si>
  <si>
    <t>SUPER_8;SUPER8;BLANCHE_8;FLANDRIEN</t>
  </si>
  <si>
    <t>THRIVE;</t>
  </si>
  <si>
    <t>PLAY</t>
  </si>
  <si>
    <t>TOUT_BIEN;TOUTE_BIEN</t>
  </si>
  <si>
    <t>AQUARIUS;ACQUARIUS</t>
  </si>
  <si>
    <t>HOMMELBIER;HOMMELLBIER;HOMMELSBIER;HOMMEL;HOMMELLIER;HOMMEL_BIER</t>
  </si>
  <si>
    <t>TONIC_GEN | POMEGRANATE |</t>
  </si>
  <si>
    <t>ICE_TEA_GEN | POMEGRANATE |</t>
  </si>
  <si>
    <t>TRIPICK | POMEGRANATE |</t>
  </si>
  <si>
    <t>don't start with mixing the beer type and the third</t>
  </si>
  <si>
    <t>CORE;REGULAR</t>
  </si>
  <si>
    <t>WESTMALLE | CHEESE |</t>
  </si>
  <si>
    <t>CORE;STILL</t>
  </si>
  <si>
    <t>WATER_GEN | STILL |</t>
  </si>
  <si>
    <t>WATER_GEN | SPARKLING |</t>
  </si>
  <si>
    <t>BLAUW | EXPORT |</t>
  </si>
  <si>
    <t>EXPORT;CORE</t>
  </si>
  <si>
    <t>COLA_GEN | REGULAR | LIGHT</t>
  </si>
  <si>
    <t>COLA_GEN | CHERRY |</t>
  </si>
  <si>
    <t>GINGER_DRINK_GEN | PASSIONFRUIT |</t>
  </si>
  <si>
    <t>GINGER_DRINK_GEN | POMEGRANATE |</t>
  </si>
  <si>
    <t>GINGER_DRINK_GEN | HIBISCUS |</t>
  </si>
  <si>
    <t>GINGER_DRINK_GEN</t>
  </si>
  <si>
    <t>GINGER_DRINK_GEN | GINGER_BEER | ZERO</t>
  </si>
  <si>
    <t>GINGER_DRINK_GEN | GINGER_ALE | ZERO</t>
  </si>
  <si>
    <t>GINGER_DRINK_GEN | GINGER_BEER |</t>
  </si>
  <si>
    <t>GINGER_DRINK_GEN | GINGER_ALE |</t>
  </si>
  <si>
    <t>MEADS</t>
  </si>
  <si>
    <t>CIDER</t>
  </si>
  <si>
    <t>WIJN;WINE;WINES;VIN;VINS;ROSÉ;ROUGE;BLANC;BUBBELS;CHAMPAGNE;CAVA;BOURGOGNE;BEAUJOLAIS;CHARDONNAY;SAUVIGNON</t>
  </si>
  <si>
    <t>CIDER;</t>
  </si>
  <si>
    <t>BERLINER_WEISSE</t>
  </si>
  <si>
    <t>AUSTRALIAN_SPARKLING_ALE</t>
  </si>
  <si>
    <t>BELGIAN_BLONDE</t>
  </si>
  <si>
    <t>BELGIAN_DUBBEL</t>
  </si>
  <si>
    <t>BELGIAN_ENKEL_/_PATERSBIER</t>
  </si>
  <si>
    <t>BELGIAN_QUADRUPEL</t>
  </si>
  <si>
    <t>BELGIAN_STRONG_DARK_ALE</t>
  </si>
  <si>
    <t>BELGIAN_STRONG_GOLDEN_ALE</t>
  </si>
  <si>
    <t>BELGIAN_TRIPEL</t>
  </si>
  <si>
    <t>BIERE_DE_CHAMPAGNE_/_BIERE_BRUT</t>
  </si>
  <si>
    <t>BLACK_&amp;_TAN</t>
  </si>
  <si>
    <t>BRETT_BEER</t>
  </si>
  <si>
    <t>CALIFORNIA_COMMON</t>
  </si>
  <si>
    <t>CHILLI_/_CHILE_BEER</t>
  </si>
  <si>
    <t>CORN_BEER_/_CHICHA_DE_JORA</t>
  </si>
  <si>
    <t>CREAM_ALE</t>
  </si>
  <si>
    <t>DARK_ALE</t>
  </si>
  <si>
    <t>FESTBIER</t>
  </si>
  <si>
    <t>FLAVORED_MALT_BEVERAGE</t>
  </si>
  <si>
    <t>FREEZE-DISTILLED_BEER</t>
  </si>
  <si>
    <t>FRUIT_BEER</t>
  </si>
  <si>
    <t>GLUTEN-FREE</t>
  </si>
  <si>
    <t>GRODZISKIE_/_GRATZER</t>
  </si>
  <si>
    <t>HAPPOSHU</t>
  </si>
  <si>
    <t>HARD_GINGER_BEER</t>
  </si>
  <si>
    <t>HARD_KOMBUCHA_/_JUN</t>
  </si>
  <si>
    <t>HARD_SELTZER</t>
  </si>
  <si>
    <t>HONEY_BEER</t>
  </si>
  <si>
    <t>KELLERBIER_/_ZWICKELBIER</t>
  </si>
  <si>
    <t>KOJI_/_GINJO_BEER</t>
  </si>
  <si>
    <t>KVASS</t>
  </si>
  <si>
    <t>MAKGEOLLI</t>
  </si>
  <si>
    <t>MALT_BEER</t>
  </si>
  <si>
    <t>MALT_LIQUOR</t>
  </si>
  <si>
    <t>MARZEN</t>
  </si>
  <si>
    <t>OLD_/_STOCK_ALE</t>
  </si>
  <si>
    <t>PUMPKIN_/_YAM_BEER</t>
  </si>
  <si>
    <t>RAUCHBIER</t>
  </si>
  <si>
    <t>ROGGENBIER</t>
  </si>
  <si>
    <t>ROOT_BEER</t>
  </si>
  <si>
    <t>RYE_BEER</t>
  </si>
  <si>
    <t>RYE_WINE</t>
  </si>
  <si>
    <t>SCOTCH_ALE_/_WEE_HEAVY</t>
  </si>
  <si>
    <t>SCOTTISH_ALE</t>
  </si>
  <si>
    <t>SCOTTISH_EXPORT_ALE</t>
  </si>
  <si>
    <t>SHANDY_/_RADLER</t>
  </si>
  <si>
    <t>SMOKED_BEER</t>
  </si>
  <si>
    <t>SORGHUM_/_MILLET_BEER</t>
  </si>
  <si>
    <t>SPECIALTY_GRAIN</t>
  </si>
  <si>
    <t>SPICED_/_HERBED_BEER</t>
  </si>
  <si>
    <t>TABLE_BEER</t>
  </si>
  <si>
    <t>TRADITIONAL_ALE</t>
  </si>
  <si>
    <t>WINTER_ALE</t>
  </si>
  <si>
    <t>WINTER_WARMER</t>
  </si>
  <si>
    <t>BEERS_OTHER</t>
  </si>
  <si>
    <t>BEERS_SPECIAL</t>
  </si>
  <si>
    <t>SPIRIT_FLAVOURED_BEERS</t>
  </si>
  <si>
    <t>ALTBIER &gt; STICKE</t>
  </si>
  <si>
    <t>ALTBIER &gt; TRADITIONAL</t>
  </si>
  <si>
    <t>BARLEYWINE &gt; AMERICAN</t>
  </si>
  <si>
    <t>BARLEYWINE &gt; ENGLISH</t>
  </si>
  <si>
    <t>BARLEYWINE &gt; OTHER</t>
  </si>
  <si>
    <t>BITTER &gt; BEST</t>
  </si>
  <si>
    <t>BITTER &gt; EXTRA_SPECIAL_/_STRONG_(ESB)</t>
  </si>
  <si>
    <t>BITTER &gt; SESSION_/_ORDINARY</t>
  </si>
  <si>
    <t>BLONDE_/_GOLDEN_ALE &gt; AMERICAN</t>
  </si>
  <si>
    <t>BLONDE_/_GOLDEN_ALE &gt; ENGLISH</t>
  </si>
  <si>
    <t>BLONDE_/_GOLDEN_ALE &gt; OTHER</t>
  </si>
  <si>
    <t>BOCK &gt; DOPPELBOCK</t>
  </si>
  <si>
    <t>BOCK &gt; EISBOCK</t>
  </si>
  <si>
    <t>BOCK &gt; HELL_/_MAIBOCK_/_LENTEBOCK</t>
  </si>
  <si>
    <t>BOCK &gt; SINGLE_/_TRADITIONAL</t>
  </si>
  <si>
    <t>BOCK &gt; WEIZENBOCK</t>
  </si>
  <si>
    <t>BOCK &gt; WEIZENDOPPELBOCK</t>
  </si>
  <si>
    <t>BROWN_ALE &gt; AMERICAN</t>
  </si>
  <si>
    <t>BROWN_ALE &gt; BELGIAN</t>
  </si>
  <si>
    <t>BROWN_ALE &gt; ENGLISH</t>
  </si>
  <si>
    <t>BROWN_ALE &gt; IMPERIAL_/_DOUBLE</t>
  </si>
  <si>
    <t>BROWN_ALE &gt; OTHER</t>
  </si>
  <si>
    <t>CIDER &gt; APPLEWINE</t>
  </si>
  <si>
    <t>CIDER &gt; BASQUE</t>
  </si>
  <si>
    <t>CIDER &gt; DRY</t>
  </si>
  <si>
    <t>CIDER &gt; GRAFF</t>
  </si>
  <si>
    <t>CIDER &gt; HERBED_/_SPICED_/_HOPPED</t>
  </si>
  <si>
    <t>CIDER &gt; ICE</t>
  </si>
  <si>
    <t>CIDER &gt; OTHER_FRUIT</t>
  </si>
  <si>
    <t>CIDER &gt; PERRY_/_POIRE</t>
  </si>
  <si>
    <t>CIDER &gt; ROSE</t>
  </si>
  <si>
    <t>CIDER &gt; SWEET</t>
  </si>
  <si>
    <t>CIDER &gt; TRADITIONAL_/_APFELWEIN</t>
  </si>
  <si>
    <t>CREAM_ALE &gt; IMPERIAL_/_DOUBLE</t>
  </si>
  <si>
    <t>FARMHOUSE_ALE &gt; BIERE_DE_COUPAGE</t>
  </si>
  <si>
    <t>FARMHOUSE_ALE &gt; BIERE_DE_GARDE</t>
  </si>
  <si>
    <t>FARMHOUSE_ALE &gt; BIERE_DE_MARS</t>
  </si>
  <si>
    <t>FARMHOUSE_ALE &gt; BRETT</t>
  </si>
  <si>
    <t>FARMHOUSE_ALE &gt; GRISETTE</t>
  </si>
  <si>
    <t>FARMHOUSE_ALE &gt; KORNØL</t>
  </si>
  <si>
    <t>FARMHOUSE_ALE &gt; OTHER</t>
  </si>
  <si>
    <t>FARMHOUSE_ALE &gt; SAHTI</t>
  </si>
  <si>
    <t>FARMHOUSE_ALE &gt; SAISON</t>
  </si>
  <si>
    <t>GOLDEN_ALE &gt; UKRAINIAN</t>
  </si>
  <si>
    <t>GRAPE_ALE &gt; ITALIAN</t>
  </si>
  <si>
    <t>GRAPE_ALE &gt; OTHER</t>
  </si>
  <si>
    <t>HISTORICAL_BEER &gt; ADAMBIER</t>
  </si>
  <si>
    <t>HISTORICAL_BEER &gt; BERLINER_BRAUNBIER</t>
  </si>
  <si>
    <t>HISTORICAL_BEER &gt; BROYHAN</t>
  </si>
  <si>
    <t>HISTORICAL_BEER &gt; BURTON_ALE</t>
  </si>
  <si>
    <t>HISTORICAL_BEER &gt; DAMPFBIER</t>
  </si>
  <si>
    <t>HISTORICAL_BEER &gt; GRUIT_/_ANCIENT_HERBED_ALE</t>
  </si>
  <si>
    <t>HISTORICAL_BEER &gt; KENTUCKY_COMMON</t>
  </si>
  <si>
    <t>HISTORICAL_BEER &gt; KOTTBUSSER</t>
  </si>
  <si>
    <t>HISTORICAL_BEER &gt; KUIT_/_KUYT_/_KOYT</t>
  </si>
  <si>
    <t>HISTORICAL_BEER &gt; LICHTENHAINER</t>
  </si>
  <si>
    <t>HISTORICAL_BEER &gt; MUMME</t>
  </si>
  <si>
    <t>HISTORICAL_BEER &gt; OTHER</t>
  </si>
  <si>
    <t>HISTORICAL_BEER &gt; STEINBIER</t>
  </si>
  <si>
    <t>HISTORICAL_BEER &gt; ZOIGL</t>
  </si>
  <si>
    <t>IPA &gt; AMERICAN</t>
  </si>
  <si>
    <t>IPA &gt; BELGIAN</t>
  </si>
  <si>
    <t>IPA &gt; BLACK_/_CASCADIAN_DARK_ALE</t>
  </si>
  <si>
    <t>IPA &gt; BRETT</t>
  </si>
  <si>
    <t>IPA &gt; BROWN</t>
  </si>
  <si>
    <t>IPA &gt; BRUT</t>
  </si>
  <si>
    <t>IPA &gt; COLD</t>
  </si>
  <si>
    <t>IPA &gt; ENGLISH</t>
  </si>
  <si>
    <t>IPA &gt; FARMHOUSE</t>
  </si>
  <si>
    <t>IPA &gt; FRUITED</t>
  </si>
  <si>
    <t>IPA &gt; IMPERIAL_/_DOUBLE</t>
  </si>
  <si>
    <t>IPA &gt; IMPERIAL_/_DOUBLE_BLACK</t>
  </si>
  <si>
    <t>IPA &gt; IMPERIAL_/_DOUBLE_MILKSHAKE</t>
  </si>
  <si>
    <t>IPA &gt; IMPERIAL_/_DOUBLE_NEW_ENGLAND_/_HAZY</t>
  </si>
  <si>
    <t>IPA &gt; MILKSHAKE</t>
  </si>
  <si>
    <t>IPA &gt; NEW_ENGLAND_/_HAZY</t>
  </si>
  <si>
    <t>IPA &gt; NEW_ZEALAND</t>
  </si>
  <si>
    <t>IPA &gt; OTHER</t>
  </si>
  <si>
    <t>IPA &gt; QUADRUPLE</t>
  </si>
  <si>
    <t>IPA &gt; RED</t>
  </si>
  <si>
    <t>IPA &gt; RYE</t>
  </si>
  <si>
    <t>IPA &gt; SESSION</t>
  </si>
  <si>
    <t>IPA &gt; SOUR</t>
  </si>
  <si>
    <t>IPA &gt; TRIPLE</t>
  </si>
  <si>
    <t>IPA &gt; TRIPLE_NEW_ENGLAND_/_HAZY</t>
  </si>
  <si>
    <t>IPA &gt; WHITE_/_WHEAT</t>
  </si>
  <si>
    <t>LAGER &gt; AMBER_/_RED</t>
  </si>
  <si>
    <t>LAGER &gt; AMERICAN</t>
  </si>
  <si>
    <t>LAGER &gt; AMERICAN_AMBER_/_RED</t>
  </si>
  <si>
    <t>LAGER &gt; AMERICAN_LIGHT</t>
  </si>
  <si>
    <t>LAGER &gt; AMERICAN_PRE-PROHIBITION</t>
  </si>
  <si>
    <t>LAGER &gt; DARK</t>
  </si>
  <si>
    <t>LAGER &gt; DORTMUNDER_/_EXPORT</t>
  </si>
  <si>
    <t>LAGER &gt; HELLES</t>
  </si>
  <si>
    <t>LAGER &gt; IPL_(INDIA_PALE_LAGER)</t>
  </si>
  <si>
    <t>LAGER &gt; JAPANESE_RICE</t>
  </si>
  <si>
    <t>LAGER &gt; LEICHTBIER</t>
  </si>
  <si>
    <t>LAGER &gt; MEXICAN</t>
  </si>
  <si>
    <t>LAGER &gt; MUNICH_DUNKEL</t>
  </si>
  <si>
    <t>LAGER &gt; OTHER</t>
  </si>
  <si>
    <t>LAGER &gt; PALE</t>
  </si>
  <si>
    <t>LAGER &gt; POLOTMAVE_(CZECH_AMBER)</t>
  </si>
  <si>
    <t>LAGER &gt; ROTBIER</t>
  </si>
  <si>
    <t>LAGER &gt; SMOKED</t>
  </si>
  <si>
    <t>LAGER &gt; STRONG</t>
  </si>
  <si>
    <t>LAGER &gt; SVETLE_(CZECH_PALE)</t>
  </si>
  <si>
    <t>LAGER &gt; TMAVE_(CZECH_DARK)</t>
  </si>
  <si>
    <t>LAGER &gt; VIENNA</t>
  </si>
  <si>
    <t>LAGER &gt; WINTER</t>
  </si>
  <si>
    <t>LAMBIC &gt; FARO</t>
  </si>
  <si>
    <t>LAMBIC &gt; FRAMBOISE</t>
  </si>
  <si>
    <t>LAMBIC &gt; FRUIT</t>
  </si>
  <si>
    <t>LAMBIC &gt; GUEUZE</t>
  </si>
  <si>
    <t>LAMBIC &gt; KRIEK</t>
  </si>
  <si>
    <t>LAMBIC &gt; OTHER</t>
  </si>
  <si>
    <t>LAMBIC &gt; TRADITIONAL</t>
  </si>
  <si>
    <t>MEAD &gt; ACERGLYN_/_MAPLE_WINE</t>
  </si>
  <si>
    <t>MEAD &gt; BOCHET</t>
  </si>
  <si>
    <t>MEAD &gt; BRAGGOT</t>
  </si>
  <si>
    <t>MEAD &gt; CYSER</t>
  </si>
  <si>
    <t>MEAD &gt; MELOMEL</t>
  </si>
  <si>
    <t>MEAD &gt; METHEGLIN</t>
  </si>
  <si>
    <t>MEAD &gt; OTHER</t>
  </si>
  <si>
    <t>MEAD &gt; PYMENT</t>
  </si>
  <si>
    <t>MEAD &gt; SESSION_/_SHORT</t>
  </si>
  <si>
    <t>MEAD &gt; TRADITIONAL</t>
  </si>
  <si>
    <t>MILD &gt; DARK</t>
  </si>
  <si>
    <t>MILD &gt; LIGHT</t>
  </si>
  <si>
    <t>MILD &gt; OTHER</t>
  </si>
  <si>
    <t>PALE_ALE &gt; AMERICAN</t>
  </si>
  <si>
    <t>PALE_ALE &gt; AUSTRALIAN</t>
  </si>
  <si>
    <t>PALE_ALE &gt; BELGIAN</t>
  </si>
  <si>
    <t>PALE_ALE &gt; ENGLISH</t>
  </si>
  <si>
    <t>PALE_ALE &gt; FRUITED</t>
  </si>
  <si>
    <t>PALE_ALE &gt; MILKSHAKE</t>
  </si>
  <si>
    <t>PALE_ALE &gt; NEW_ENGLAND_/_HAZY</t>
  </si>
  <si>
    <t>PALE_ALE &gt; NEW_ZEALAND</t>
  </si>
  <si>
    <t>PALE_ALE &gt; OTHER</t>
  </si>
  <si>
    <t>PALE_ALE &gt; XPA_(EXTRA_PALE)</t>
  </si>
  <si>
    <t>PILSNER &gt; CZECH_/_BOHEMIAN</t>
  </si>
  <si>
    <t>PILSNER &gt; GERMAN</t>
  </si>
  <si>
    <t>PILSNER &gt; IMPERIAL_/_DOUBLE</t>
  </si>
  <si>
    <t>PILSNER &gt; ITALIAN</t>
  </si>
  <si>
    <t>PILSNER &gt; NEW_ZEALAND</t>
  </si>
  <si>
    <t>PILSNER &gt; OTHER</t>
  </si>
  <si>
    <t>PORTER &gt; AMERICAN</t>
  </si>
  <si>
    <t>PORTER &gt; BALTIC</t>
  </si>
  <si>
    <t>PORTER &gt; COFFEE</t>
  </si>
  <si>
    <t>PORTER &gt; ENGLISH</t>
  </si>
  <si>
    <t>PORTER &gt; IMPERIAL_/_DOUBLE</t>
  </si>
  <si>
    <t>PORTER &gt; IMPERIAL_/_DOUBLE_BALTIC</t>
  </si>
  <si>
    <t>PORTER &gt; IMPERIAL_/_DOUBLE_COFFEE</t>
  </si>
  <si>
    <t>PORTER &gt; OTHER</t>
  </si>
  <si>
    <t>PORTER &gt; SMOKED</t>
  </si>
  <si>
    <t>RED_ALE &gt; AMERICAN_AMBER_/_RED</t>
  </si>
  <si>
    <t>RED_ALE &gt; IMPERIAL_/_DOUBLE</t>
  </si>
  <si>
    <t>RED_ALE &gt; IRISH</t>
  </si>
  <si>
    <t>RED_ALE &gt; OTHER</t>
  </si>
  <si>
    <t>SOUR &gt; BERLINER_WEISSE</t>
  </si>
  <si>
    <t>SOUR &gt; CATHARINA</t>
  </si>
  <si>
    <t>SOUR &gt; FLANDERS_OUD_BRUIN</t>
  </si>
  <si>
    <t>SOUR &gt; FLANDERS_RED_ALE</t>
  </si>
  <si>
    <t>SOUR &gt; FRUITED</t>
  </si>
  <si>
    <t>SOUR &gt; FRUITED_BERLINER_WEISSE</t>
  </si>
  <si>
    <t>SOUR &gt; FRUITED_GOSE</t>
  </si>
  <si>
    <t>SOUR &gt; OTHER</t>
  </si>
  <si>
    <t>SOUR &gt; OTHER_GOSE</t>
  </si>
  <si>
    <t>SOUR &gt; SMOOTHIE_/_PASTRY</t>
  </si>
  <si>
    <t>SOUR &gt; TOMATO_/_VEGETABLE_GOSE</t>
  </si>
  <si>
    <t>SOUR &gt; TRADITIONAL_GOSE</t>
  </si>
  <si>
    <t>STOUT &gt; AMERICAN</t>
  </si>
  <si>
    <t>STOUT &gt; BELGIAN</t>
  </si>
  <si>
    <t>STOUT &gt; COFFEE</t>
  </si>
  <si>
    <t>STOUT &gt; ENGLISH</t>
  </si>
  <si>
    <t>STOUT &gt; FOREIGN_/_EXPORT</t>
  </si>
  <si>
    <t>STOUT &gt; IMPERIAL_/_DOUBLE</t>
  </si>
  <si>
    <t>STOUT &gt; IMPERIAL_/_DOUBLE_COFFEE</t>
  </si>
  <si>
    <t>STOUT &gt; IMPERIAL_/_DOUBLE_MILK</t>
  </si>
  <si>
    <t>STOUT &gt; IMPERIAL_/_DOUBLE_OATMEAL</t>
  </si>
  <si>
    <t>STOUT &gt; IMPERIAL_/_DOUBLE_PASTRY</t>
  </si>
  <si>
    <t>STOUT &gt; IMPERIAL_/_DOUBLE_WHITE_/_GOLDEN</t>
  </si>
  <si>
    <t>STOUT &gt; IRISH_DRY</t>
  </si>
  <si>
    <t>STOUT &gt; MILK_/_SWEET</t>
  </si>
  <si>
    <t>STOUT &gt; OATMEAL</t>
  </si>
  <si>
    <t>STOUT &gt; OTHER</t>
  </si>
  <si>
    <t>STOUT &gt; OYSTER</t>
  </si>
  <si>
    <t>STOUT &gt; PASTRY</t>
  </si>
  <si>
    <t>STOUT &gt; RUSSIAN_IMPERIAL</t>
  </si>
  <si>
    <t>STOUT &gt; WHITE_/_GOLDEN</t>
  </si>
  <si>
    <t>STRONG_ALE &gt; AMERICAN</t>
  </si>
  <si>
    <t>STRONG_ALE &gt; ENGLISH</t>
  </si>
  <si>
    <t>STRONG_ALE &gt; OTHER</t>
  </si>
  <si>
    <t>WHEAT_BEER &gt; AMERICAN_PALE_WHEAT</t>
  </si>
  <si>
    <t>WHEAT_BEER &gt; DUNKELWEIZEN</t>
  </si>
  <si>
    <t>WHEAT_BEER &gt; FRUITED</t>
  </si>
  <si>
    <t>WHEAT_BEER &gt; HEFEWEIZEN</t>
  </si>
  <si>
    <t>WHEAT_BEER &gt; HEFEWEIZEN_LIGHT_/_LEICHT</t>
  </si>
  <si>
    <t>WHEAT_BEER &gt; HOPFENWEISSE</t>
  </si>
  <si>
    <t>WHEAT_BEER &gt; KRISTALLWEIZEN</t>
  </si>
  <si>
    <t>WHEAT_BEER &gt; OTHER</t>
  </si>
  <si>
    <t>WHEAT_BEER &gt; WHEAT_WINE</t>
  </si>
  <si>
    <t>WHEAT_BEER &gt; WITBIER_/_BLANCHE</t>
  </si>
  <si>
    <t>WILD_ALE &gt; AMERICAN</t>
  </si>
  <si>
    <t>WILD_ALE &gt; OTHER</t>
  </si>
  <si>
    <t>TAG1</t>
  </si>
  <si>
    <t>TAG2</t>
  </si>
  <si>
    <t>TAG3</t>
  </si>
  <si>
    <t>TAG4</t>
  </si>
  <si>
    <t>TAG5</t>
  </si>
  <si>
    <t>TAG6</t>
  </si>
  <si>
    <t>TAG7</t>
  </si>
  <si>
    <t>BEER_SODA_MIX</t>
  </si>
  <si>
    <t>BLOND_FRUITED</t>
  </si>
  <si>
    <t xml:space="preserve">BEER_GEN | ALTBIER &gt; STICKE | </t>
  </si>
  <si>
    <t xml:space="preserve">BEER_GEN | ALTBIER &gt; TRADITIONAL | </t>
  </si>
  <si>
    <t xml:space="preserve">BEER_GEN | AUSTRALIAN_SPARKLING_ALE | </t>
  </si>
  <si>
    <t xml:space="preserve">BEER_GEN | BARLEYWINE &gt; AMERICAN | </t>
  </si>
  <si>
    <t xml:space="preserve">BEER_GEN | BARLEYWINE &gt; ENGLISH | </t>
  </si>
  <si>
    <t xml:space="preserve">BEER_GEN | BARLEYWINE &gt; OTHER | </t>
  </si>
  <si>
    <t xml:space="preserve">BEER_GEN | BELGIAN_BLONDE | </t>
  </si>
  <si>
    <t xml:space="preserve">BEER_GEN | BELGIAN_DUBBEL | </t>
  </si>
  <si>
    <t xml:space="preserve">BEER_GEN | BELGIAN_ENKEL_/_PATERSBIER | </t>
  </si>
  <si>
    <t xml:space="preserve">BEER_GEN | BELGIAN_QUADRUPEL | </t>
  </si>
  <si>
    <t xml:space="preserve">BEER_GEN | BELGIAN_STRONG_DARK_ALE | </t>
  </si>
  <si>
    <t xml:space="preserve">BEER_GEN | BELGIAN_STRONG_GOLDEN_ALE | </t>
  </si>
  <si>
    <t xml:space="preserve">BEER_GEN | BELGIAN_TRIPEL | </t>
  </si>
  <si>
    <t xml:space="preserve">BEER_GEN | BIERE_DE_CHAMPAGNE_/_BIERE_BRUT | </t>
  </si>
  <si>
    <t xml:space="preserve">BEER_GEN | BITTER &gt; BEST | </t>
  </si>
  <si>
    <t xml:space="preserve">BEER_GEN | BITTER &gt; EXTRA_SPECIAL_/_STRONG_(ESB) | </t>
  </si>
  <si>
    <t xml:space="preserve">BEER_GEN | BITTER &gt; SESSION_/_ORDINARY | </t>
  </si>
  <si>
    <t xml:space="preserve">BEER_GEN | BLACK_&amp;_TAN | </t>
  </si>
  <si>
    <t xml:space="preserve">BEER_GEN | BLONDE_/_GOLDEN_ALE &gt; AMERICAN | </t>
  </si>
  <si>
    <t xml:space="preserve">BEER_GEN | BLONDE_/_GOLDEN_ALE &gt; ENGLISH | </t>
  </si>
  <si>
    <t xml:space="preserve">BEER_GEN | BLONDE_/_GOLDEN_ALE &gt; OTHER | </t>
  </si>
  <si>
    <t xml:space="preserve">BEER_GEN | BOCK &gt; DOPPELBOCK | </t>
  </si>
  <si>
    <t xml:space="preserve">BEER_GEN | BOCK &gt; EISBOCK | </t>
  </si>
  <si>
    <t xml:space="preserve">BEER_GEN | BOCK &gt; HELL_/_MAIBOCK_/_LENTEBOCK | </t>
  </si>
  <si>
    <t xml:space="preserve">BEER_GEN | BOCK &gt; SINGLE_/_TRADITIONAL | </t>
  </si>
  <si>
    <t xml:space="preserve">BEER_GEN | BOCK &gt; WEIZENBOCK | </t>
  </si>
  <si>
    <t xml:space="preserve">BEER_GEN | BOCK &gt; WEIZENDOPPELBOCK | </t>
  </si>
  <si>
    <t xml:space="preserve">BEER_GEN | BRETT_BEER | </t>
  </si>
  <si>
    <t xml:space="preserve">BEER_GEN | BROWN_ALE &gt; AMERICAN | </t>
  </si>
  <si>
    <t xml:space="preserve">BEER_GEN | BROWN_ALE &gt; BELGIAN | </t>
  </si>
  <si>
    <t xml:space="preserve">BEER_GEN | BROWN_ALE &gt; ENGLISH | </t>
  </si>
  <si>
    <t xml:space="preserve">BEER_GEN | BROWN_ALE &gt; IMPERIAL_/_DOUBLE | </t>
  </si>
  <si>
    <t xml:space="preserve">BEER_GEN | BROWN_ALE &gt; OTHER | </t>
  </si>
  <si>
    <t xml:space="preserve">BEER_GEN | CALIFORNIA_COMMON | </t>
  </si>
  <si>
    <t xml:space="preserve">BEER_GEN | CHILLI_/_CHILE_BEER | </t>
  </si>
  <si>
    <t xml:space="preserve">BEER_GEN | CIDER &gt; APPLEWINE | </t>
  </si>
  <si>
    <t xml:space="preserve">BEER_GEN | CIDER &gt; BASQUE | </t>
  </si>
  <si>
    <t xml:space="preserve">BEER_GEN | CIDER &gt; DRY | </t>
  </si>
  <si>
    <t xml:space="preserve">BEER_GEN | CIDER &gt; GRAFF | </t>
  </si>
  <si>
    <t xml:space="preserve">BEER_GEN | CIDER &gt; HERBED_/_SPICED_/_HOPPED | </t>
  </si>
  <si>
    <t xml:space="preserve">BEER_GEN | CIDER &gt; ICE | </t>
  </si>
  <si>
    <t xml:space="preserve">BEER_GEN | CIDER &gt; OTHER_FRUIT | </t>
  </si>
  <si>
    <t xml:space="preserve">BEER_GEN | CIDER &gt; PERRY_/_POIRE | </t>
  </si>
  <si>
    <t xml:space="preserve">BEER_GEN | CIDER &gt; ROSE | </t>
  </si>
  <si>
    <t xml:space="preserve">BEER_GEN | CIDER &gt; SWEET | </t>
  </si>
  <si>
    <t xml:space="preserve">BEER_GEN | CIDER &gt; TRADITIONAL_/_APFELWEIN | </t>
  </si>
  <si>
    <t xml:space="preserve">BEER_GEN | CORN_BEER_/_CHICHA_DE_JORA | </t>
  </si>
  <si>
    <t xml:space="preserve">BEER_GEN | CREAM_ALE | </t>
  </si>
  <si>
    <t xml:space="preserve">BEER_GEN | CREAM_ALE &gt; IMPERIAL_/_DOUBLE | </t>
  </si>
  <si>
    <t xml:space="preserve">BEER_GEN | DARK_ALE | </t>
  </si>
  <si>
    <t xml:space="preserve">BEER_GEN | FARMHOUSE_ALE &gt; BIERE_DE_COUPAGE | </t>
  </si>
  <si>
    <t xml:space="preserve">BEER_GEN | FARMHOUSE_ALE &gt; BIERE_DE_GARDE | </t>
  </si>
  <si>
    <t xml:space="preserve">BEER_GEN | FARMHOUSE_ALE &gt; BIERE_DE_MARS | </t>
  </si>
  <si>
    <t xml:space="preserve">BEER_GEN | FARMHOUSE_ALE &gt; BRETT | </t>
  </si>
  <si>
    <t xml:space="preserve">BEER_GEN | FARMHOUSE_ALE &gt; GRISETTE | </t>
  </si>
  <si>
    <t xml:space="preserve">BEER_GEN | FARMHOUSE_ALE &gt; KORNØL | </t>
  </si>
  <si>
    <t xml:space="preserve">BEER_GEN | FARMHOUSE_ALE &gt; OTHER | </t>
  </si>
  <si>
    <t xml:space="preserve">BEER_GEN | FARMHOUSE_ALE &gt; SAHTI | </t>
  </si>
  <si>
    <t xml:space="preserve">BEER_GEN | FARMHOUSE_ALE &gt; SAISON | </t>
  </si>
  <si>
    <t xml:space="preserve">BEER_GEN | FESTBIER | </t>
  </si>
  <si>
    <t xml:space="preserve">BEER_GEN | FLAVORED_MALT_BEVERAGE | </t>
  </si>
  <si>
    <t xml:space="preserve">BEER_GEN | FREEZE-DISTILLED_BEER | </t>
  </si>
  <si>
    <t xml:space="preserve">BEER_GEN | FRUIT_BEER | </t>
  </si>
  <si>
    <t xml:space="preserve">BEER_GEN | GLUTEN-FREE | </t>
  </si>
  <si>
    <t xml:space="preserve">BEER_GEN | GOLDEN_ALE &gt; UKRAINIAN | </t>
  </si>
  <si>
    <t xml:space="preserve">BEER_GEN | GRAPE_ALE &gt; ITALIAN | </t>
  </si>
  <si>
    <t xml:space="preserve">BEER_GEN | GRAPE_ALE &gt; OTHER | </t>
  </si>
  <si>
    <t xml:space="preserve">BEER_GEN | GRODZISKIE_/_GRATZER | </t>
  </si>
  <si>
    <t xml:space="preserve">BEER_GEN | HAPPOSHU | </t>
  </si>
  <si>
    <t xml:space="preserve">BEER_GEN | HARD_GINGER_BEER | </t>
  </si>
  <si>
    <t xml:space="preserve">BEER_GEN | HARD_KOMBUCHA_/_JUN | </t>
  </si>
  <si>
    <t xml:space="preserve">BEER_GEN | HARD_SELTZER | </t>
  </si>
  <si>
    <t xml:space="preserve">BEER_GEN | HISTORICAL_BEER &gt; ADAMBIER | </t>
  </si>
  <si>
    <t xml:space="preserve">BEER_GEN | HISTORICAL_BEER &gt; BERLINER_BRAUNBIER | </t>
  </si>
  <si>
    <t xml:space="preserve">BEER_GEN | HISTORICAL_BEER &gt; BROYHAN | </t>
  </si>
  <si>
    <t xml:space="preserve">BEER_GEN | HISTORICAL_BEER &gt; BURTON_ALE | </t>
  </si>
  <si>
    <t xml:space="preserve">BEER_GEN | HISTORICAL_BEER &gt; DAMPFBIER | </t>
  </si>
  <si>
    <t xml:space="preserve">BEER_GEN | HISTORICAL_BEER &gt; GRUIT_/_ANCIENT_HERBED_ALE | </t>
  </si>
  <si>
    <t xml:space="preserve">BEER_GEN | HISTORICAL_BEER &gt; KENTUCKY_COMMON | </t>
  </si>
  <si>
    <t xml:space="preserve">BEER_GEN | HISTORICAL_BEER &gt; KOTTBUSSER | </t>
  </si>
  <si>
    <t xml:space="preserve">BEER_GEN | HISTORICAL_BEER &gt; KUIT_/_KUYT_/_KOYT | </t>
  </si>
  <si>
    <t xml:space="preserve">BEER_GEN | HISTORICAL_BEER &gt; LICHTENHAINER | </t>
  </si>
  <si>
    <t xml:space="preserve">BEER_GEN | HISTORICAL_BEER &gt; MUMME | </t>
  </si>
  <si>
    <t xml:space="preserve">BEER_GEN | HISTORICAL_BEER &gt; OTHER | </t>
  </si>
  <si>
    <t xml:space="preserve">BEER_GEN | HISTORICAL_BEER &gt; STEINBIER | </t>
  </si>
  <si>
    <t xml:space="preserve">BEER_GEN | HISTORICAL_BEER &gt; ZOIGL | </t>
  </si>
  <si>
    <t xml:space="preserve">BEER_GEN | MAZOUT | </t>
  </si>
  <si>
    <t xml:space="preserve">BEER_GEN | HONEY_BEER | </t>
  </si>
  <si>
    <t xml:space="preserve">BEER_GEN | IPA &gt; AMERICAN | </t>
  </si>
  <si>
    <t xml:space="preserve">BEER_GEN | IPA &gt; BELGIAN | </t>
  </si>
  <si>
    <t xml:space="preserve">BEER_GEN | IPA &gt; BLACK_/_CASCADIAN_DARK_ALE | </t>
  </si>
  <si>
    <t xml:space="preserve">BEER_GEN | IPA &gt; BRETT | </t>
  </si>
  <si>
    <t xml:space="preserve">BEER_GEN | IPA &gt; BROWN | </t>
  </si>
  <si>
    <t xml:space="preserve">BEER_GEN | IPA &gt; BRUT | </t>
  </si>
  <si>
    <t xml:space="preserve">BEER_GEN | IPA &gt; COLD | </t>
  </si>
  <si>
    <t xml:space="preserve">BEER_GEN | IPA &gt; ENGLISH | </t>
  </si>
  <si>
    <t xml:space="preserve">BEER_GEN | IPA &gt; FARMHOUSE | </t>
  </si>
  <si>
    <t xml:space="preserve">BEER_GEN | IPA &gt; FRUITED | </t>
  </si>
  <si>
    <t xml:space="preserve">BEER_GEN | IPA &gt; IMPERIAL_/_DOUBLE | </t>
  </si>
  <si>
    <t xml:space="preserve">BEER_GEN | IPA &gt; IMPERIAL_/_DOUBLE_BLACK | </t>
  </si>
  <si>
    <t xml:space="preserve">BEER_GEN | IPA &gt; IMPERIAL_/_DOUBLE_MILKSHAKE | </t>
  </si>
  <si>
    <t xml:space="preserve">BEER_GEN | IPA &gt; IMPERIAL_/_DOUBLE_NEW_ENGLAND_/_HAZY | </t>
  </si>
  <si>
    <t xml:space="preserve">BEER_GEN | IPA &gt; MILKSHAKE | </t>
  </si>
  <si>
    <t xml:space="preserve">BEER_GEN | IPA &gt; NEW_ENGLAND_/_HAZY | </t>
  </si>
  <si>
    <t xml:space="preserve">BEER_GEN | IPA &gt; NEW_ZEALAND | </t>
  </si>
  <si>
    <t xml:space="preserve">BEER_GEN | IPA &gt; OTHER | </t>
  </si>
  <si>
    <t xml:space="preserve">BEER_GEN | IPA &gt; QUADRUPLE | </t>
  </si>
  <si>
    <t xml:space="preserve">BEER_GEN | IPA &gt; RED | </t>
  </si>
  <si>
    <t xml:space="preserve">BEER_GEN | IPA &gt; RYE | </t>
  </si>
  <si>
    <t xml:space="preserve">BEER_GEN | IPA &gt; SESSION | </t>
  </si>
  <si>
    <t xml:space="preserve">BEER_GEN | IPA &gt; SOUR | </t>
  </si>
  <si>
    <t xml:space="preserve">BEER_GEN | IPA &gt; TRIPLE | </t>
  </si>
  <si>
    <t xml:space="preserve">BEER_GEN | IPA &gt; TRIPLE_NEW_ENGLAND_/_HAZY | </t>
  </si>
  <si>
    <t xml:space="preserve">BEER_GEN | IPA &gt; WHITE_/_WHEAT | </t>
  </si>
  <si>
    <t xml:space="preserve">BEER_GEN | KELLERBIER_/_ZWICKELBIER | </t>
  </si>
  <si>
    <t xml:space="preserve">BEER_GEN | KOJI_/_GINJO_BEER | </t>
  </si>
  <si>
    <t xml:space="preserve">BEER_GEN | KOLSCH | </t>
  </si>
  <si>
    <t xml:space="preserve">BEER_GEN | KVASS | </t>
  </si>
  <si>
    <t xml:space="preserve">BEER_GEN | LAGER &gt; AMBER_/_RED | </t>
  </si>
  <si>
    <t xml:space="preserve">BEER_GEN | LAGER &gt; AMERICAN | </t>
  </si>
  <si>
    <t xml:space="preserve">BEER_GEN | LAGER &gt; AMERICAN_AMBER_/_RED | </t>
  </si>
  <si>
    <t xml:space="preserve">BEER_GEN | LAGER &gt; AMERICAN_LIGHT | </t>
  </si>
  <si>
    <t xml:space="preserve">BEER_GEN | LAGER &gt; AMERICAN_PRE-PROHIBITION | </t>
  </si>
  <si>
    <t xml:space="preserve">BEER_GEN | LAGER &gt; DARK | </t>
  </si>
  <si>
    <t xml:space="preserve">BEER_GEN | LAGER &gt; DORTMUNDER_/_EXPORT | </t>
  </si>
  <si>
    <t xml:space="preserve">BEER_GEN | LAGER &gt; HELLES | </t>
  </si>
  <si>
    <t xml:space="preserve">BEER_GEN | LAGER &gt; IPL_(INDIA_PALE_LAGER) | </t>
  </si>
  <si>
    <t xml:space="preserve">BEER_GEN | LAGER &gt; JAPANESE_RICE | </t>
  </si>
  <si>
    <t xml:space="preserve">BEER_GEN | LAGER &gt; LEICHTBIER | </t>
  </si>
  <si>
    <t xml:space="preserve">BEER_GEN | LAGER &gt; MEXICAN | </t>
  </si>
  <si>
    <t xml:space="preserve">BEER_GEN | LAGER &gt; MUNICH_DUNKEL | </t>
  </si>
  <si>
    <t xml:space="preserve">BEER_GEN | LAGER &gt; OTHER | </t>
  </si>
  <si>
    <t xml:space="preserve">BEER_GEN | LAGER &gt; PALE | </t>
  </si>
  <si>
    <t xml:space="preserve">BEER_GEN | LAGER &gt; POLOTMAVE_(CZECH_AMBER) | </t>
  </si>
  <si>
    <t xml:space="preserve">BEER_GEN | LAGER &gt; ROTBIER | </t>
  </si>
  <si>
    <t xml:space="preserve">BEER_GEN | LAGER &gt; SMOKED | </t>
  </si>
  <si>
    <t xml:space="preserve">BEER_GEN | LAGER &gt; STRONG | </t>
  </si>
  <si>
    <t xml:space="preserve">BEER_GEN | LAGER &gt; SVETLE_(CZECH_PALE) | </t>
  </si>
  <si>
    <t xml:space="preserve">BEER_GEN | LAGER &gt; TMAVE_(CZECH_DARK) | </t>
  </si>
  <si>
    <t xml:space="preserve">BEER_GEN | LAGER &gt; VIENNA | </t>
  </si>
  <si>
    <t xml:space="preserve">BEER_GEN | LAGER &gt; WINTER | </t>
  </si>
  <si>
    <t xml:space="preserve">BEER_GEN | LAMBIC &gt; FARO | </t>
  </si>
  <si>
    <t xml:space="preserve">BEER_GEN | LAMBIC &gt; FRAMBOISE | </t>
  </si>
  <si>
    <t xml:space="preserve">BEER_GEN | LAMBIC &gt; FRUIT | </t>
  </si>
  <si>
    <t xml:space="preserve">BEER_GEN | LAMBIC &gt; GUEUZE | </t>
  </si>
  <si>
    <t xml:space="preserve">BEER_GEN | LAMBIC &gt; KRIEK | </t>
  </si>
  <si>
    <t xml:space="preserve">BEER_GEN | LAMBIC &gt; OTHER | </t>
  </si>
  <si>
    <t xml:space="preserve">BEER_GEN | LAMBIC &gt; TRADITIONAL | </t>
  </si>
  <si>
    <t xml:space="preserve">BEER_GEN | MAKGEOLLI | </t>
  </si>
  <si>
    <t xml:space="preserve">BEER_GEN | MALT_BEER | </t>
  </si>
  <si>
    <t xml:space="preserve">BEER_GEN | MALT_LIQUOR | </t>
  </si>
  <si>
    <t xml:space="preserve">BEER_GEN | MEAD &gt; ACERGLYN_/_MAPLE_WINE | </t>
  </si>
  <si>
    <t xml:space="preserve">BEER_GEN | MEAD &gt; BOCHET | </t>
  </si>
  <si>
    <t xml:space="preserve">BEER_GEN | MEAD &gt; BRAGGOT | </t>
  </si>
  <si>
    <t xml:space="preserve">BEER_GEN | MEAD &gt; CYSER | </t>
  </si>
  <si>
    <t xml:space="preserve">BEER_GEN | MEAD &gt; MELOMEL | </t>
  </si>
  <si>
    <t xml:space="preserve">BEER_GEN | MEAD &gt; METHEGLIN | </t>
  </si>
  <si>
    <t xml:space="preserve">BEER_GEN | MEAD &gt; OTHER | </t>
  </si>
  <si>
    <t xml:space="preserve">BEER_GEN | MEAD &gt; PYMENT | </t>
  </si>
  <si>
    <t xml:space="preserve">BEER_GEN | MEAD &gt; SESSION_/_SHORT | </t>
  </si>
  <si>
    <t xml:space="preserve">BEER_GEN | MEAD &gt; TRADITIONAL | </t>
  </si>
  <si>
    <t xml:space="preserve">BEER_GEN | MILD &gt; DARK | </t>
  </si>
  <si>
    <t xml:space="preserve">BEER_GEN | MILD &gt; LIGHT | </t>
  </si>
  <si>
    <t xml:space="preserve">BEER_GEN | MILD &gt; OTHER | </t>
  </si>
  <si>
    <t xml:space="preserve">BEER_GEN | MARZEN | </t>
  </si>
  <si>
    <t xml:space="preserve">BEER_GEN | OLD_/_STOCK_ALE | </t>
  </si>
  <si>
    <t xml:space="preserve">BEER_GEN | PALE_ALE &gt; AMERICAN | </t>
  </si>
  <si>
    <t xml:space="preserve">BEER_GEN | PALE_ALE &gt; AUSTRALIAN | </t>
  </si>
  <si>
    <t xml:space="preserve">BEER_GEN | PALE_ALE &gt; BELGIAN | </t>
  </si>
  <si>
    <t xml:space="preserve">BEER_GEN | PALE_ALE &gt; ENGLISH | </t>
  </si>
  <si>
    <t xml:space="preserve">BEER_GEN | PALE_ALE &gt; FRUITED | </t>
  </si>
  <si>
    <t xml:space="preserve">BEER_GEN | PALE_ALE &gt; MILKSHAKE | </t>
  </si>
  <si>
    <t xml:space="preserve">BEER_GEN | PALE_ALE &gt; NEW_ENGLAND_/_HAZY | </t>
  </si>
  <si>
    <t xml:space="preserve">BEER_GEN | PALE_ALE &gt; NEW_ZEALAND | </t>
  </si>
  <si>
    <t xml:space="preserve">BEER_GEN | PALE_ALE &gt; OTHER | </t>
  </si>
  <si>
    <t xml:space="preserve">BEER_GEN | PALE_ALE &gt; XPA_(EXTRA_PALE) | </t>
  </si>
  <si>
    <t xml:space="preserve">BEER_GEN | PILSNER &gt; CZECH_/_BOHEMIAN | </t>
  </si>
  <si>
    <t xml:space="preserve">BEER_GEN | PILSNER &gt; GERMAN | </t>
  </si>
  <si>
    <t xml:space="preserve">BEER_GEN | PILSNER &gt; IMPERIAL_/_DOUBLE | </t>
  </si>
  <si>
    <t xml:space="preserve">BEER_GEN | PILSNER &gt; ITALIAN | </t>
  </si>
  <si>
    <t xml:space="preserve">BEER_GEN | PILSNER &gt; NEW_ZEALAND | </t>
  </si>
  <si>
    <t xml:space="preserve">BEER_GEN | PILSNER &gt; OTHER | </t>
  </si>
  <si>
    <t xml:space="preserve">BEER_GEN | PORTER &gt; AMERICAN | </t>
  </si>
  <si>
    <t xml:space="preserve">BEER_GEN | PORTER &gt; BALTIC | </t>
  </si>
  <si>
    <t xml:space="preserve">BEER_GEN | PORTER &gt; COFFEE | </t>
  </si>
  <si>
    <t xml:space="preserve">BEER_GEN | PORTER &gt; ENGLISH | </t>
  </si>
  <si>
    <t xml:space="preserve">BEER_GEN | PORTER &gt; IMPERIAL_/_DOUBLE | </t>
  </si>
  <si>
    <t xml:space="preserve">BEER_GEN | PORTER &gt; IMPERIAL_/_DOUBLE_BALTIC | </t>
  </si>
  <si>
    <t xml:space="preserve">BEER_GEN | PORTER &gt; IMPERIAL_/_DOUBLE_COFFEE | </t>
  </si>
  <si>
    <t xml:space="preserve">BEER_GEN | PORTER &gt; OTHER | </t>
  </si>
  <si>
    <t xml:space="preserve">BEER_GEN | PORTER &gt; SMOKED | </t>
  </si>
  <si>
    <t xml:space="preserve">BEER_GEN | PUMPKIN_/_YAM_BEER | </t>
  </si>
  <si>
    <t xml:space="preserve">BEER_GEN | RAUCHBIER | </t>
  </si>
  <si>
    <t xml:space="preserve">BEER_GEN | RED_ALE &gt; AMERICAN_AMBER_/_RED | </t>
  </si>
  <si>
    <t xml:space="preserve">BEER_GEN | RED_ALE &gt; IMPERIAL_/_DOUBLE | </t>
  </si>
  <si>
    <t xml:space="preserve">BEER_GEN | RED_ALE &gt; IRISH | </t>
  </si>
  <si>
    <t xml:space="preserve">BEER_GEN | RED_ALE &gt; OTHER | </t>
  </si>
  <si>
    <t xml:space="preserve">BEER_GEN | ROGGENBIER | </t>
  </si>
  <si>
    <t xml:space="preserve">BEER_GEN | ROOT_BEER | </t>
  </si>
  <si>
    <t xml:space="preserve">BEER_GEN | RYE_BEER | </t>
  </si>
  <si>
    <t xml:space="preserve">BEER_GEN | RYE_WINE | </t>
  </si>
  <si>
    <t xml:space="preserve">BEER_GEN | SCHWARZBIER | </t>
  </si>
  <si>
    <t xml:space="preserve">BEER_GEN | SCOTCH_ALE_/_WEE_HEAVY | </t>
  </si>
  <si>
    <t xml:space="preserve">BEER_GEN | SCOTTISH_ALE | </t>
  </si>
  <si>
    <t xml:space="preserve">BEER_GEN | SCOTTISH_EXPORT_ALE | </t>
  </si>
  <si>
    <t xml:space="preserve">BEER_GEN | SHANDY_/_RADLER | </t>
  </si>
  <si>
    <t xml:space="preserve">BEER_GEN | SMOKED_BEER | </t>
  </si>
  <si>
    <t xml:space="preserve">BEER_GEN | SORGHUM_/_MILLET_BEER | </t>
  </si>
  <si>
    <t xml:space="preserve">BEER_GEN | SOUR &gt; BERLINER_WEISSE | </t>
  </si>
  <si>
    <t xml:space="preserve">BEER_GEN | SOUR &gt; CATHARINA | </t>
  </si>
  <si>
    <t xml:space="preserve">BEER_GEN | SOUR &gt; FLANDERS_OUD_BRUIN | </t>
  </si>
  <si>
    <t xml:space="preserve">BEER_GEN | SOUR &gt; FLANDERS_RED_ALE | </t>
  </si>
  <si>
    <t xml:space="preserve">BEER_GEN | SOUR &gt; FRUITED | </t>
  </si>
  <si>
    <t xml:space="preserve">BEER_GEN | SOUR &gt; FRUITED_BERLINER_WEISSE | </t>
  </si>
  <si>
    <t xml:space="preserve">BEER_GEN | SOUR &gt; FRUITED_GOSE | </t>
  </si>
  <si>
    <t xml:space="preserve">BEER_GEN | SOUR &gt; OTHER | </t>
  </si>
  <si>
    <t xml:space="preserve">BEER_GEN | SOUR &gt; OTHER_GOSE | </t>
  </si>
  <si>
    <t xml:space="preserve">BEER_GEN | SOUR &gt; SMOOTHIE_/_PASTRY | </t>
  </si>
  <si>
    <t xml:space="preserve">BEER_GEN | SOUR &gt; TOMATO_/_VEGETABLE_GOSE | </t>
  </si>
  <si>
    <t xml:space="preserve">BEER_GEN | SOUR &gt; TRADITIONAL_GOSE | </t>
  </si>
  <si>
    <t xml:space="preserve">BEER_GEN | SPECIALTY_GRAIN | </t>
  </si>
  <si>
    <t xml:space="preserve">BEER_GEN | SPICED_/_HERBED_BEER | </t>
  </si>
  <si>
    <t xml:space="preserve">BEER_GEN | STOUT &gt; AMERICAN | </t>
  </si>
  <si>
    <t xml:space="preserve">BEER_GEN | STOUT &gt; BELGIAN | </t>
  </si>
  <si>
    <t xml:space="preserve">BEER_GEN | STOUT &gt; COFFEE | </t>
  </si>
  <si>
    <t xml:space="preserve">BEER_GEN | STOUT &gt; ENGLISH | </t>
  </si>
  <si>
    <t xml:space="preserve">BEER_GEN | STOUT &gt; FOREIGN_/_EXPORT | </t>
  </si>
  <si>
    <t xml:space="preserve">BEER_GEN | STOUT &gt; IMPERIAL_/_DOUBLE | </t>
  </si>
  <si>
    <t xml:space="preserve">BEER_GEN | STOUT &gt; IMPERIAL_/_DOUBLE_COFFEE | </t>
  </si>
  <si>
    <t xml:space="preserve">BEER_GEN | STOUT &gt; IMPERIAL_/_DOUBLE_MILK | </t>
  </si>
  <si>
    <t xml:space="preserve">BEER_GEN | STOUT &gt; IMPERIAL_/_DOUBLE_OATMEAL | </t>
  </si>
  <si>
    <t xml:space="preserve">BEER_GEN | STOUT &gt; IMPERIAL_/_DOUBLE_PASTRY | </t>
  </si>
  <si>
    <t xml:space="preserve">BEER_GEN | STOUT &gt; IMPERIAL_/_DOUBLE_WHITE_/_GOLDEN | </t>
  </si>
  <si>
    <t xml:space="preserve">BEER_GEN | STOUT &gt; IRISH_DRY | </t>
  </si>
  <si>
    <t xml:space="preserve">BEER_GEN | STOUT &gt; MILK_/_SWEET | </t>
  </si>
  <si>
    <t xml:space="preserve">BEER_GEN | STOUT &gt; OATMEAL | </t>
  </si>
  <si>
    <t xml:space="preserve">BEER_GEN | STOUT &gt; OTHER | </t>
  </si>
  <si>
    <t xml:space="preserve">BEER_GEN | STOUT &gt; OYSTER | </t>
  </si>
  <si>
    <t xml:space="preserve">BEER_GEN | STOUT &gt; PASTRY | </t>
  </si>
  <si>
    <t xml:space="preserve">BEER_GEN | STOUT &gt; RUSSIAN_IMPERIAL | </t>
  </si>
  <si>
    <t xml:space="preserve">BEER_GEN | STOUT &gt; WHITE_/_GOLDEN | </t>
  </si>
  <si>
    <t xml:space="preserve">BEER_GEN | STRONG_ALE &gt; AMERICAN | </t>
  </si>
  <si>
    <t xml:space="preserve">BEER_GEN | STRONG_ALE &gt; ENGLISH | </t>
  </si>
  <si>
    <t xml:space="preserve">BEER_GEN | STRONG_ALE &gt; OTHER | </t>
  </si>
  <si>
    <t xml:space="preserve">BEER_GEN | TABLE_BEER | </t>
  </si>
  <si>
    <t xml:space="preserve">BEER_GEN | TRADITIONAL_ALE | </t>
  </si>
  <si>
    <t xml:space="preserve">BEER_GEN | WHEAT_BEER &gt; AMERICAN_PALE_WHEAT | </t>
  </si>
  <si>
    <t xml:space="preserve">BEER_GEN | WHEAT_BEER &gt; DUNKELWEIZEN | </t>
  </si>
  <si>
    <t xml:space="preserve">BEER_GEN | WHEAT_BEER &gt; FRUITED | </t>
  </si>
  <si>
    <t xml:space="preserve">BEER_GEN | WHEAT_BEER &gt; HEFEWEIZEN | </t>
  </si>
  <si>
    <t xml:space="preserve">BEER_GEN | WHEAT_BEER &gt; HEFEWEIZEN_LIGHT_/_LEICHT | </t>
  </si>
  <si>
    <t xml:space="preserve">BEER_GEN | WHEAT_BEER &gt; HOPFENWEISSE | </t>
  </si>
  <si>
    <t xml:space="preserve">BEER_GEN | WHEAT_BEER &gt; KRISTALLWEIZEN | </t>
  </si>
  <si>
    <t xml:space="preserve">BEER_GEN | WHEAT_BEER &gt; OTHER | </t>
  </si>
  <si>
    <t xml:space="preserve">BEER_GEN | WHEAT_BEER &gt; WHEAT_WINE | </t>
  </si>
  <si>
    <t xml:space="preserve">BEER_GEN | WHEAT_BEER &gt; WITBIER_/_BLANCHE | </t>
  </si>
  <si>
    <t xml:space="preserve">BEER_GEN | WILD_ALE &gt; AMERICAN | </t>
  </si>
  <si>
    <t xml:space="preserve">BEER_GEN | WILD_ALE &gt; OTHER | </t>
  </si>
  <si>
    <t xml:space="preserve">BEER_GEN | WINTER_ALE | </t>
  </si>
  <si>
    <t xml:space="preserve">BEER_GEN | WINTER_WARMER | </t>
  </si>
  <si>
    <t xml:space="preserve">BEER_GEN | BEERS_OTHER | </t>
  </si>
  <si>
    <t xml:space="preserve">BEER_GEN | BEERS_SPECIAL | </t>
  </si>
  <si>
    <t xml:space="preserve">BEER_GEN | SPIRIT_FLAVOURED_BEERS | </t>
  </si>
  <si>
    <t>BEER_GEN | BOCK &gt; DOPPELBOCK | ZERO</t>
  </si>
  <si>
    <t>BEER_GEN | BOCK &gt; EISBOCK | ZERO</t>
  </si>
  <si>
    <t>BEER_GEN | BOCK &gt; HELL_/_MAIBOCK_/_LENTEBOCK | ZERO</t>
  </si>
  <si>
    <t>BEER_GEN | BOCK &gt; SINGLE_/_TRADITIONAL | ZERO</t>
  </si>
  <si>
    <t>BEER_GEN | BOCK &gt; WEIZENBOCK | ZERO</t>
  </si>
  <si>
    <t>BEER_GEN | BOCK &gt; WEIZENDOPPELBOCK | ZERO</t>
  </si>
  <si>
    <t>BEER_GEN | BRETT_BEER | ZERO</t>
  </si>
  <si>
    <t>BEER_GEN | BROWN_ALE &gt; AMERICAN | ZERO</t>
  </si>
  <si>
    <t>BEER_GEN | BROWN_ALE &gt; BELGIAN | ZERO</t>
  </si>
  <si>
    <t>BEER_GEN | BROWN_ALE &gt; ENGLISH | ZERO</t>
  </si>
  <si>
    <t>BEER_GEN | BROWN_ALE &gt; IMPERIAL_/_DOUBLE | ZERO</t>
  </si>
  <si>
    <t>BEER_GEN | BROWN_ALE &gt; OTHER | ZERO</t>
  </si>
  <si>
    <t>BEER_GEN | CALIFORNIA_COMMON | ZERO</t>
  </si>
  <si>
    <t>BEER_GEN | CHILLI_/_CHILE_BEER | ZERO</t>
  </si>
  <si>
    <t>BEER_GEN | CIDER &gt; APPLEWINE | ZERO</t>
  </si>
  <si>
    <t>BEER_GEN | CIDER &gt; BASQUE | ZERO</t>
  </si>
  <si>
    <t>BEER_GEN | CIDER &gt; DRY | ZERO</t>
  </si>
  <si>
    <t>BEER_GEN | CIDER &gt; GRAFF | ZERO</t>
  </si>
  <si>
    <t>BEER_GEN | CIDER &gt; HERBED_/_SPICED_/_HOPPED | ZERO</t>
  </si>
  <si>
    <t>BEER_GEN | CIDER &gt; ICE | ZERO</t>
  </si>
  <si>
    <t>BEER_GEN | CIDER &gt; OTHER_FRUIT | ZERO</t>
  </si>
  <si>
    <t>BEER_GEN | CIDER &gt; PERRY_/_POIRE | ZERO</t>
  </si>
  <si>
    <t>BEER_GEN | CIDER &gt; ROSE | ZERO</t>
  </si>
  <si>
    <t>BEER_GEN | CIDER &gt; SWEET | ZERO</t>
  </si>
  <si>
    <t>BEER_GEN | CIDER &gt; TRADITIONAL_/_APFELWEIN | ZERO</t>
  </si>
  <si>
    <t>BEER_GEN | CORN_BEER_/_CHICHA_DE_JORA | ZERO</t>
  </si>
  <si>
    <t>BEER_GEN | CREAM_ALE | ZERO</t>
  </si>
  <si>
    <t>BEER_GEN | CREAM_ALE &gt; IMPERIAL_/_DOUBLE | ZERO</t>
  </si>
  <si>
    <t>BEER_GEN | DARK_ALE | ZERO</t>
  </si>
  <si>
    <t>BEER_GEN | FARMHOUSE_ALE &gt; BIERE_DE_COUPAGE | ZERO</t>
  </si>
  <si>
    <t>BEER_GEN | FARMHOUSE_ALE &gt; BIERE_DE_GARDE | ZERO</t>
  </si>
  <si>
    <t>BEER_GEN | FARMHOUSE_ALE &gt; BIERE_DE_MARS | ZERO</t>
  </si>
  <si>
    <t>BEER_GEN | FARMHOUSE_ALE &gt; BRETT | ZERO</t>
  </si>
  <si>
    <t>BEER_GEN | FARMHOUSE_ALE &gt; GRISETTE | ZERO</t>
  </si>
  <si>
    <t>BEER_GEN | FARMHOUSE_ALE &gt; KORNØL | ZERO</t>
  </si>
  <si>
    <t>BEER_GEN | FARMHOUSE_ALE &gt; OTHER | ZERO</t>
  </si>
  <si>
    <t>BEER_GEN | FARMHOUSE_ALE &gt; SAHTI | ZERO</t>
  </si>
  <si>
    <t>BEER_GEN | FARMHOUSE_ALE &gt; SAISON | ZERO</t>
  </si>
  <si>
    <t>BEER_GEN | FESTBIER | ZERO</t>
  </si>
  <si>
    <t>BEER_GEN | FLAVORED_MALT_BEVERAGE | ZERO</t>
  </si>
  <si>
    <t>BEER_GEN | FREEZE-DISTILLED_BEER | ZERO</t>
  </si>
  <si>
    <t>BEER_GEN | FRUIT_BEER | ZERO</t>
  </si>
  <si>
    <t>BEER_GEN | GLUTEN-FREE | ZERO</t>
  </si>
  <si>
    <t>BEER_GEN | GOLDEN_ALE &gt; UKRAINIAN | ZERO</t>
  </si>
  <si>
    <t>BEER_GEN | GRAPE_ALE &gt; ITALIAN | ZERO</t>
  </si>
  <si>
    <t>BEER_GEN | GRAPE_ALE &gt; OTHER | ZERO</t>
  </si>
  <si>
    <t>BEER_GEN | GRODZISKIE_/_GRATZER | ZERO</t>
  </si>
  <si>
    <t>BEER_GEN | HAPPOSHU | ZERO</t>
  </si>
  <si>
    <t>BEER_GEN | HARD_GINGER_BEER | ZERO</t>
  </si>
  <si>
    <t>BEER_GEN | HARD_KOMBUCHA_/_JUN | ZERO</t>
  </si>
  <si>
    <t>BEER_GEN | HARD_SELTZER | ZERO</t>
  </si>
  <si>
    <t>BEER_GEN | HISTORICAL_BEER &gt; ADAMBIER | ZERO</t>
  </si>
  <si>
    <t>BEER_GEN | HISTORICAL_BEER &gt; BERLINER_BRAUNBIER | ZERO</t>
  </si>
  <si>
    <t>BEER_GEN | HISTORICAL_BEER &gt; BROYHAN | ZERO</t>
  </si>
  <si>
    <t>BEER_GEN | HISTORICAL_BEER &gt; BURTON_ALE | ZERO</t>
  </si>
  <si>
    <t>BEER_GEN | HISTORICAL_BEER &gt; DAMPFBIER | ZERO</t>
  </si>
  <si>
    <t>BEER_GEN | HISTORICAL_BEER &gt; GRUIT_/_ANCIENT_HERBED_ALE | ZERO</t>
  </si>
  <si>
    <t>BEER_GEN | HISTORICAL_BEER &gt; KENTUCKY_COMMON | ZERO</t>
  </si>
  <si>
    <t>BEER_GEN | HISTORICAL_BEER &gt; KOTTBUSSER | ZERO</t>
  </si>
  <si>
    <t>BEER_GEN | HISTORICAL_BEER &gt; KUIT_/_KUYT_/_KOYT | ZERO</t>
  </si>
  <si>
    <t>BEER_GEN | HISTORICAL_BEER &gt; LICHTENHAINER | ZERO</t>
  </si>
  <si>
    <t>BEER_GEN | HISTORICAL_BEER &gt; MUMME | ZERO</t>
  </si>
  <si>
    <t>BEER_GEN | HISTORICAL_BEER &gt; OTHER | ZERO</t>
  </si>
  <si>
    <t>BEER_GEN | HISTORICAL_BEER &gt; STEINBIER | ZERO</t>
  </si>
  <si>
    <t>BEER_GEN | HISTORICAL_BEER &gt; ZOIGL | ZERO</t>
  </si>
  <si>
    <t>BEER_GEN | MAZOUT | ZERO</t>
  </si>
  <si>
    <t>BEER_GEN | HONEY_BEER | ZERO</t>
  </si>
  <si>
    <t>BEER_GEN | IPA &gt; AMERICAN | ZERO</t>
  </si>
  <si>
    <t>BEER_GEN | IPA &gt; BELGIAN | ZERO</t>
  </si>
  <si>
    <t>BEER_GEN | IPA &gt; BLACK_/_CASCADIAN_DARK_ALE | ZERO</t>
  </si>
  <si>
    <t>BEER_GEN | IPA &gt; BRETT | ZERO</t>
  </si>
  <si>
    <t>BEER_GEN | IPA &gt; BROWN | ZERO</t>
  </si>
  <si>
    <t>BEER_GEN | IPA &gt; BRUT | ZERO</t>
  </si>
  <si>
    <t>BEER_GEN | IPA &gt; COLD | ZERO</t>
  </si>
  <si>
    <t>BEER_GEN | IPA &gt; ENGLISH | ZERO</t>
  </si>
  <si>
    <t>BEER_GEN | IPA &gt; FARMHOUSE | ZERO</t>
  </si>
  <si>
    <t>BEER_GEN | IPA &gt; FRUITED | ZERO</t>
  </si>
  <si>
    <t>BEER_GEN | IPA &gt; IMPERIAL_/_DOUBLE | ZERO</t>
  </si>
  <si>
    <t>BEER_GEN | IPA &gt; IMPERIAL_/_DOUBLE_BLACK | ZERO</t>
  </si>
  <si>
    <t>BEER_GEN | IPA &gt; IMPERIAL_/_DOUBLE_MILKSHAKE | ZERO</t>
  </si>
  <si>
    <t>BEER_GEN | IPA &gt; IMPERIAL_/_DOUBLE_NEW_ENGLAND_/_HAZY | ZERO</t>
  </si>
  <si>
    <t>BEER_GEN | IPA &gt; MILKSHAKE | ZERO</t>
  </si>
  <si>
    <t>BEER_GEN | IPA &gt; NEW_ENGLAND_/_HAZY | ZERO</t>
  </si>
  <si>
    <t>BEER_GEN | IPA &gt; NEW_ZEALAND | ZERO</t>
  </si>
  <si>
    <t>BEER_GEN | IPA &gt; OTHER | ZERO</t>
  </si>
  <si>
    <t>BEER_GEN | IPA &gt; QUADRUPLE | ZERO</t>
  </si>
  <si>
    <t>BEER_GEN | IPA &gt; RED | ZERO</t>
  </si>
  <si>
    <t>BEER_GEN | IPA &gt; RYE | ZERO</t>
  </si>
  <si>
    <t>BEER_GEN | IPA &gt; SESSION | ZERO</t>
  </si>
  <si>
    <t>BEER_GEN | IPA &gt; SOUR | ZERO</t>
  </si>
  <si>
    <t>BEER_GEN | IPA &gt; TRIPLE | ZERO</t>
  </si>
  <si>
    <t>BEER_GEN | IPA &gt; TRIPLE_NEW_ENGLAND_/_HAZY | ZERO</t>
  </si>
  <si>
    <t>BEER_GEN | IPA &gt; WHITE_/_WHEAT | ZERO</t>
  </si>
  <si>
    <t>BEER_GEN | KELLERBIER_/_ZWICKELBIER | ZERO</t>
  </si>
  <si>
    <t>BEER_GEN | KOJI_/_GINJO_BEER | ZERO</t>
  </si>
  <si>
    <t>BEER_GEN | KOLSCH | ZERO</t>
  </si>
  <si>
    <t>BEER_GEN | KVASS | ZERO</t>
  </si>
  <si>
    <t>BEER_GEN | LAGER &gt; AMBER_/_RED | ZERO</t>
  </si>
  <si>
    <t>BEER_GEN | LAGER &gt; AMERICAN | ZERO</t>
  </si>
  <si>
    <t>BEER_GEN | LAGER &gt; AMERICAN_AMBER_/_RED | ZERO</t>
  </si>
  <si>
    <t>BEER_GEN | LAGER &gt; AMERICAN_LIGHT | ZERO</t>
  </si>
  <si>
    <t>BEER_GEN | LAGER &gt; AMERICAN_PRE-PROHIBITION | ZERO</t>
  </si>
  <si>
    <t>BEER_GEN | LAGER &gt; DARK | ZERO</t>
  </si>
  <si>
    <t>BEER_GEN | LAGER &gt; DORTMUNDER_/_EXPORT | ZERO</t>
  </si>
  <si>
    <t>BEER_GEN | LAGER &gt; HELLES | ZERO</t>
  </si>
  <si>
    <t>BEER_GEN | LAGER &gt; IPL_(INDIA_PALE_LAGER) | ZERO</t>
  </si>
  <si>
    <t>BEER_GEN | LAGER &gt; JAPANESE_RICE | ZERO</t>
  </si>
  <si>
    <t>BEER_GEN | LAGER &gt; LEICHTBIER | ZERO</t>
  </si>
  <si>
    <t>BEER_GEN | LAGER &gt; MEXICAN | ZERO</t>
  </si>
  <si>
    <t>BEER_GEN | LAGER &gt; MUNICH_DUNKEL | ZERO</t>
  </si>
  <si>
    <t>BEER_GEN | LAGER &gt; OTHER | ZERO</t>
  </si>
  <si>
    <t>BEER_GEN | LAGER &gt; PALE | ZERO</t>
  </si>
  <si>
    <t>BEER_GEN | LAGER &gt; POLOTMAVE_(CZECH_AMBER) | ZERO</t>
  </si>
  <si>
    <t>BEER_GEN | LAGER &gt; ROTBIER | ZERO</t>
  </si>
  <si>
    <t>BEER_GEN | LAGER &gt; SMOKED | ZERO</t>
  </si>
  <si>
    <t>BEER_GEN | LAGER &gt; STRONG | ZERO</t>
  </si>
  <si>
    <t>BEER_GEN | LAGER &gt; SVETLE_(CZECH_PALE) | ZERO</t>
  </si>
  <si>
    <t>BEER_GEN | LAGER &gt; TMAVE_(CZECH_DARK) | ZERO</t>
  </si>
  <si>
    <t>BEER_GEN | LAGER &gt; VIENNA | ZERO</t>
  </si>
  <si>
    <t>BEER_GEN | LAGER &gt; WINTER | ZERO</t>
  </si>
  <si>
    <t>BEER_GEN | LAMBIC &gt; FARO | ZERO</t>
  </si>
  <si>
    <t>BEER_GEN | LAMBIC &gt; FRAMBOISE | ZERO</t>
  </si>
  <si>
    <t>BEER_GEN | LAMBIC &gt; FRUIT | ZERO</t>
  </si>
  <si>
    <t>BEER_GEN | LAMBIC &gt; GUEUZE | ZERO</t>
  </si>
  <si>
    <t>BEER_GEN | LAMBIC &gt; KRIEK | ZERO</t>
  </si>
  <si>
    <t>BEER_GEN | LAMBIC &gt; OTHER | ZERO</t>
  </si>
  <si>
    <t>BEER_GEN | LAMBIC &gt; TRADITIONAL | ZERO</t>
  </si>
  <si>
    <t>BEER_GEN | MAKGEOLLI | ZERO</t>
  </si>
  <si>
    <t>BEER_GEN | MALT_BEER | ZERO</t>
  </si>
  <si>
    <t>BEER_GEN | MALT_LIQUOR | ZERO</t>
  </si>
  <si>
    <t>BEER_GEN | MEAD &gt; ACERGLYN_/_MAPLE_WINE | ZERO</t>
  </si>
  <si>
    <t>BEER_GEN | MEAD &gt; BOCHET | ZERO</t>
  </si>
  <si>
    <t>BEER_GEN | MEAD &gt; BRAGGOT | ZERO</t>
  </si>
  <si>
    <t>BEER_GEN | MEAD &gt; CYSER | ZERO</t>
  </si>
  <si>
    <t>BEER_GEN | MEAD &gt; MELOMEL | ZERO</t>
  </si>
  <si>
    <t>BEER_GEN | MEAD &gt; METHEGLIN | ZERO</t>
  </si>
  <si>
    <t>BEER_GEN | MEAD &gt; OTHER | ZERO</t>
  </si>
  <si>
    <t>BEER_GEN | MEAD &gt; PYMENT | ZERO</t>
  </si>
  <si>
    <t>BEER_GEN | MEAD &gt; SESSION_/_SHORT | ZERO</t>
  </si>
  <si>
    <t>BEER_GEN | MEAD &gt; TRADITIONAL | ZERO</t>
  </si>
  <si>
    <t>BEER_GEN | MILD &gt; DARK | ZERO</t>
  </si>
  <si>
    <t>BEER_GEN | MILD &gt; LIGHT | ZERO</t>
  </si>
  <si>
    <t>BEER_GEN | MILD &gt; OTHER | ZERO</t>
  </si>
  <si>
    <t>BEER_GEN | MARZEN | ZERO</t>
  </si>
  <si>
    <t>BEER_GEN | OLD_/_STOCK_ALE | ZERO</t>
  </si>
  <si>
    <t>BEER_GEN | PALE_ALE &gt; AMERICAN | ZERO</t>
  </si>
  <si>
    <t>BEER_GEN | PALE_ALE &gt; AUSTRALIAN | ZERO</t>
  </si>
  <si>
    <t>BEER_GEN | PALE_ALE &gt; BELGIAN | ZERO</t>
  </si>
  <si>
    <t>BEER_GEN | PALE_ALE &gt; ENGLISH | ZERO</t>
  </si>
  <si>
    <t>BEER_GEN | PALE_ALE &gt; FRUITED | ZERO</t>
  </si>
  <si>
    <t>BEER_GEN | PALE_ALE &gt; MILKSHAKE | ZERO</t>
  </si>
  <si>
    <t>BEER_GEN | PALE_ALE &gt; NEW_ENGLAND_/_HAZY | ZERO</t>
  </si>
  <si>
    <t>BEER_GEN | PALE_ALE &gt; NEW_ZEALAND | ZERO</t>
  </si>
  <si>
    <t>BEER_GEN | PALE_ALE &gt; OTHER | ZERO</t>
  </si>
  <si>
    <t>BEER_GEN | PALE_ALE &gt; XPA_(EXTRA_PALE) | ZERO</t>
  </si>
  <si>
    <t>BEER_GEN | PILSNER &gt; CZECH_/_BOHEMIAN | ZERO</t>
  </si>
  <si>
    <t>BEER_GEN | PILSNER &gt; GERMAN | ZERO</t>
  </si>
  <si>
    <t>BEER_GEN | PILSNER &gt; IMPERIAL_/_DOUBLE | ZERO</t>
  </si>
  <si>
    <t>BEER_GEN | PILSNER &gt; ITALIAN | ZERO</t>
  </si>
  <si>
    <t>BEER_GEN | PILSNER &gt; NEW_ZEALAND | ZERO</t>
  </si>
  <si>
    <t>BEER_GEN | PILSNER &gt; OTHER | ZERO</t>
  </si>
  <si>
    <t>BEER_GEN | PORTER &gt; AMERICAN | ZERO</t>
  </si>
  <si>
    <t>BEER_GEN | PORTER &gt; BALTIC | ZERO</t>
  </si>
  <si>
    <t>BEER_GEN | PORTER &gt; COFFEE | ZERO</t>
  </si>
  <si>
    <t>BEER_GEN | PORTER &gt; ENGLISH | ZERO</t>
  </si>
  <si>
    <t>BEER_GEN | PORTER &gt; IMPERIAL_/_DOUBLE | ZERO</t>
  </si>
  <si>
    <t>BEER_GEN | PORTER &gt; IMPERIAL_/_DOUBLE_BALTIC | ZERO</t>
  </si>
  <si>
    <t>BEER_GEN | PORTER &gt; IMPERIAL_/_DOUBLE_COFFEE | ZERO</t>
  </si>
  <si>
    <t>BEER_GEN | PORTER &gt; OTHER | ZERO</t>
  </si>
  <si>
    <t>BEER_GEN | PORTER &gt; SMOKED | ZERO</t>
  </si>
  <si>
    <t>BEER_GEN | PUMPKIN_/_YAM_BEER | ZERO</t>
  </si>
  <si>
    <t>BEER_GEN | RAUCHBIER | ZERO</t>
  </si>
  <si>
    <t>BEER_GEN | RED_ALE &gt; AMERICAN_AMBER_/_RED | ZERO</t>
  </si>
  <si>
    <t>BEER_GEN | RED_ALE &gt; IMPERIAL_/_DOUBLE | ZERO</t>
  </si>
  <si>
    <t>BEER_GEN | RED_ALE &gt; IRISH | ZERO</t>
  </si>
  <si>
    <t>BEER_GEN | RED_ALE &gt; OTHER | ZERO</t>
  </si>
  <si>
    <t>BEER_GEN | ROGGENBIER | ZERO</t>
  </si>
  <si>
    <t>BEER_GEN | ROOT_BEER | ZERO</t>
  </si>
  <si>
    <t>BEER_GEN | RYE_BEER | ZERO</t>
  </si>
  <si>
    <t>BEER_GEN | RYE_WINE | ZERO</t>
  </si>
  <si>
    <t>BEER_GEN | SCHWARZBIER | ZERO</t>
  </si>
  <si>
    <t>BEER_GEN | SCOTCH_ALE_/_WEE_HEAVY | ZERO</t>
  </si>
  <si>
    <t>BEER_GEN | SCOTTISH_ALE | ZERO</t>
  </si>
  <si>
    <t>BEER_GEN | SCOTTISH_EXPORT_ALE | ZERO</t>
  </si>
  <si>
    <t>BEER_GEN | SHANDY_/_RADLER | ZERO</t>
  </si>
  <si>
    <t>BEER_GEN | SMOKED_BEER | ZERO</t>
  </si>
  <si>
    <t>BEER_GEN | SORGHUM_/_MILLET_BEER | ZERO</t>
  </si>
  <si>
    <t>BEER_GEN | SOUR &gt; BERLINER_WEISSE | ZERO</t>
  </si>
  <si>
    <t>BEER_GEN | SOUR &gt; CATHARINA | ZERO</t>
  </si>
  <si>
    <t>BEER_GEN | SOUR &gt; FLANDERS_OUD_BRUIN | ZERO</t>
  </si>
  <si>
    <t>BEER_GEN | SOUR &gt; FLANDERS_RED_ALE | ZERO</t>
  </si>
  <si>
    <t>BEER_GEN | SOUR &gt; FRUITED | ZERO</t>
  </si>
  <si>
    <t>BEER_GEN | SOUR &gt; FRUITED_BERLINER_WEISSE | ZERO</t>
  </si>
  <si>
    <t>BEER_GEN | SOUR &gt; FRUITED_GOSE | ZERO</t>
  </si>
  <si>
    <t>BEER_GEN | SOUR &gt; OTHER | ZERO</t>
  </si>
  <si>
    <t>BEER_GEN | SOUR &gt; OTHER_GOSE | ZERO</t>
  </si>
  <si>
    <t>BEER_GEN | SOUR &gt; SMOOTHIE_/_PASTRY | ZERO</t>
  </si>
  <si>
    <t>BEER_GEN | SOUR &gt; TOMATO_/_VEGETABLE_GOSE | ZERO</t>
  </si>
  <si>
    <t>BEER_GEN | SOUR &gt; TRADITIONAL_GOSE | ZERO</t>
  </si>
  <si>
    <t>BEER_GEN | SPECIALTY_GRAIN | ZERO</t>
  </si>
  <si>
    <t>BEER_GEN | SPICED_/_HERBED_BEER | ZERO</t>
  </si>
  <si>
    <t>BEER_GEN | STOUT &gt; AMERICAN | ZERO</t>
  </si>
  <si>
    <t>BEER_GEN | STOUT &gt; BELGIAN | ZERO</t>
  </si>
  <si>
    <t>BEER_GEN | STOUT &gt; COFFEE | ZERO</t>
  </si>
  <si>
    <t>BEER_GEN | STOUT &gt; ENGLISH | ZERO</t>
  </si>
  <si>
    <t>BEER_GEN | STOUT &gt; FOREIGN_/_EXPORT | ZERO</t>
  </si>
  <si>
    <t>BEER_GEN | STOUT &gt; IMPERIAL_/_DOUBLE | ZERO</t>
  </si>
  <si>
    <t>BEER_GEN | STOUT &gt; IMPERIAL_/_DOUBLE_COFFEE | ZERO</t>
  </si>
  <si>
    <t>BEER_GEN | STOUT &gt; IMPERIAL_/_DOUBLE_MILK | ZERO</t>
  </si>
  <si>
    <t>BEER_GEN | STOUT &gt; IMPERIAL_/_DOUBLE_OATMEAL | ZERO</t>
  </si>
  <si>
    <t>BEER_GEN | STOUT &gt; IMPERIAL_/_DOUBLE_PASTRY | ZERO</t>
  </si>
  <si>
    <t>BEER_GEN | STOUT &gt; IMPERIAL_/_DOUBLE_WHITE_/_GOLDEN | ZERO</t>
  </si>
  <si>
    <t>BEER_GEN | STOUT &gt; IRISH_DRY | ZERO</t>
  </si>
  <si>
    <t>BEER_GEN | STOUT &gt; MILK_/_SWEET | ZERO</t>
  </si>
  <si>
    <t>BEER_GEN | STOUT &gt; OATMEAL | ZERO</t>
  </si>
  <si>
    <t>BEER_GEN | STOUT &gt; OTHER | ZERO</t>
  </si>
  <si>
    <t>BEER_GEN | STOUT &gt; OYSTER | ZERO</t>
  </si>
  <si>
    <t>BEER_GEN | STOUT &gt; PASTRY | ZERO</t>
  </si>
  <si>
    <t>BEER_GEN | STOUT &gt; RUSSIAN_IMPERIAL | ZERO</t>
  </si>
  <si>
    <t>BEER_GEN | STOUT &gt; WHITE_/_GOLDEN | ZERO</t>
  </si>
  <si>
    <t>BEER_GEN | STRONG_ALE &gt; AMERICAN | ZERO</t>
  </si>
  <si>
    <t>BEER_GEN | STRONG_ALE &gt; ENGLISH | ZERO</t>
  </si>
  <si>
    <t>BEER_GEN | STRONG_ALE &gt; OTHER | ZERO</t>
  </si>
  <si>
    <t>BEER_GEN | TABLE_BEER | ZERO</t>
  </si>
  <si>
    <t>BEER_GEN | TRADITIONAL_ALE | ZERO</t>
  </si>
  <si>
    <t>BEER_GEN | WHEAT_BEER &gt; AMERICAN_PALE_WHEAT | ZERO</t>
  </si>
  <si>
    <t>BEER_GEN | WHEAT_BEER &gt; DUNKELWEIZEN | ZERO</t>
  </si>
  <si>
    <t>BEER_GEN | WHEAT_BEER &gt; FRUITED | ZERO</t>
  </si>
  <si>
    <t>BEER_GEN | WHEAT_BEER &gt; HEFEWEIZEN | ZERO</t>
  </si>
  <si>
    <t>BEER_GEN | WHEAT_BEER &gt; HEFEWEIZEN_LIGHT_/_LEICHT | ZERO</t>
  </si>
  <si>
    <t>BEER_GEN | WHEAT_BEER &gt; HOPFENWEISSE | ZERO</t>
  </si>
  <si>
    <t>BEER_GEN | WHEAT_BEER &gt; KRISTALLWEIZEN | ZERO</t>
  </si>
  <si>
    <t>BEER_GEN | WHEAT_BEER &gt; OTHER | ZERO</t>
  </si>
  <si>
    <t>BEER_GEN | WHEAT_BEER &gt; WHEAT_WINE | ZERO</t>
  </si>
  <si>
    <t>BEER_GEN | WHEAT_BEER &gt; WITBIER_/_BLANCHE | ZERO</t>
  </si>
  <si>
    <t>BEER_GEN | WILD_ALE &gt; AMERICAN | ZERO</t>
  </si>
  <si>
    <t>BEER_GEN | WILD_ALE &gt; OTHER | ZERO</t>
  </si>
  <si>
    <t>BEER_GEN | WINTER_ALE | ZERO</t>
  </si>
  <si>
    <t>BEER_GEN | WINTER_WARMER | ZERO</t>
  </si>
  <si>
    <t>BEER_GEN | BEERS_OTHER | ZERO</t>
  </si>
  <si>
    <t>BEER_GEN | BEERS_SPECIAL | ZERO</t>
  </si>
  <si>
    <t>BEER_GEN | BEER_SODA_MIX | ZERO</t>
  </si>
  <si>
    <t>BEER_GEN | BLOND_FRUITED | ZERO</t>
  </si>
  <si>
    <t>WEIZENBOCK</t>
  </si>
  <si>
    <t>WEIZENDOPPELBOCK</t>
  </si>
  <si>
    <t>HELL</t>
  </si>
  <si>
    <t>MAIBOCK</t>
  </si>
  <si>
    <t>EISBOCK</t>
  </si>
  <si>
    <t>DOPPELBOCK</t>
  </si>
  <si>
    <t>ENKEL</t>
  </si>
  <si>
    <t>PATERSBIER</t>
  </si>
  <si>
    <t>RUBY;CHERRY;GRAPEFRUIT;PASSION;RASPBERRY;PEACH</t>
  </si>
  <si>
    <t>LAMBIC_FARO</t>
  </si>
  <si>
    <t>MEAD</t>
  </si>
  <si>
    <t>RYE</t>
  </si>
  <si>
    <t>HEFEWEIZEN</t>
  </si>
  <si>
    <t>HOPFENWEISSE</t>
  </si>
  <si>
    <t>KRISTALLWEIZEN</t>
  </si>
  <si>
    <t>WINTER</t>
  </si>
  <si>
    <t>BELGIAN_DUBBEL;DUBBEL</t>
  </si>
  <si>
    <t>BELGIAN_ENKEL_/_PATERSBIER;ENKEL;PATERSBIER</t>
  </si>
  <si>
    <t>BELGIAN_QUADRUPEL;QUADRUPEL</t>
  </si>
  <si>
    <t>BELGIAN_TRIPEL;TRIPEL</t>
  </si>
  <si>
    <t>BIERE_DE_CHAMPAGNE_/_BIERE_BRUT;BRUT;CHAMPAGNE</t>
  </si>
  <si>
    <t>BLONDE_/_GOLDEN_ALE &gt; OTHER;BLOND</t>
  </si>
  <si>
    <t>BOCK &gt; DOPPELBOCK;DOPPELBOCK</t>
  </si>
  <si>
    <t>BOCK &gt; EISBOCK;EISBOCK</t>
  </si>
  <si>
    <t>BOCK &gt; HELL_/_MAIBOCK_/_LENTEBOCK;HELL;MAIBOCK;LENTEBOCK</t>
  </si>
  <si>
    <t>BOCK &gt; SINGLE_/_TRADITIONAL;BOCK</t>
  </si>
  <si>
    <t>BOCK &gt; WEIZENBOCK;WEIZENBOCK</t>
  </si>
  <si>
    <t>BOCK &gt; WEIZENDOPPELBOCK;WEIZENDOPPELBOCK</t>
  </si>
  <si>
    <t>BRETT_BEER;BRETT</t>
  </si>
  <si>
    <t>BROWN_ALE &gt; OTHER;BROWN</t>
  </si>
  <si>
    <t>CIDER &gt; OTHER_FRUIT;CIDER</t>
  </si>
  <si>
    <t>FRUIT_BEER;RUBY;CHERRY;GRAPEFRUIT;PASSION;RASPBERRY;PEACH</t>
  </si>
  <si>
    <t>LAGER &gt; OTHER;LAGER</t>
  </si>
  <si>
    <t>LAMBIC &gt; FARO;LAMBIC_FARO</t>
  </si>
  <si>
    <t>LAMBIC &gt; GUEUZE;GUEUZE</t>
  </si>
  <si>
    <t>LAMBIC &gt; OTHER;LAMBIC</t>
  </si>
  <si>
    <t>MEAD &gt; OTHER;MEAD</t>
  </si>
  <si>
    <t>PALE_ALE &gt; OTHER;PALE_ALE</t>
  </si>
  <si>
    <t>PILSNER &gt; OTHER;PILSNER</t>
  </si>
  <si>
    <t>PORTER &gt; OTHER;PORTER</t>
  </si>
  <si>
    <t>RYE_BEER;RYE</t>
  </si>
  <si>
    <t>SCOTCH_ALE_/_WEE_HEAVY;SCOTCH</t>
  </si>
  <si>
    <t>SHANDY_/_RADLER;RADLER</t>
  </si>
  <si>
    <t>SOUR &gt; OTHER;SOUR</t>
  </si>
  <si>
    <t>SOUR &gt; OTHER_GOSE;GOSE</t>
  </si>
  <si>
    <t>STOUT &gt; OTHER;STOUT</t>
  </si>
  <si>
    <t>WHEAT_BEER &gt; HEFEWEIZEN;HEFEWEIZEN</t>
  </si>
  <si>
    <t>WHEAT_BEER &gt; HOPFENWEISSE;HOPFENWEISSE</t>
  </si>
  <si>
    <t>WHEAT_BEER &gt; KRISTALLWEIZEN;KRISTALLWEIZEN</t>
  </si>
  <si>
    <t>WHEAT_BEER &gt; WITBIER_/_BLANCHE;WHEAT</t>
  </si>
  <si>
    <t>WINTER_ALE;WINTER</t>
  </si>
  <si>
    <t>BEER_GEN | ALTBIER &gt; STICKE | ZERO</t>
  </si>
  <si>
    <t>BEER_GEN | ALTBIER &gt; TRADITIONAL | ZERO</t>
  </si>
  <si>
    <t>BEER_GEN | AUSTRALIAN_SPARKLING_ALE | ZERO</t>
  </si>
  <si>
    <t>BEER_GEN | BARLEYWINE &gt; AMERICAN | ZERO</t>
  </si>
  <si>
    <t>BEER_GEN | BARLEYWINE &gt; ENGLISH | ZERO</t>
  </si>
  <si>
    <t>BEER_GEN | BARLEYWINE &gt; OTHER | ZERO</t>
  </si>
  <si>
    <t>BEER_GEN | BELGIAN_BLONDE | ZERO</t>
  </si>
  <si>
    <t>BEER_GEN | BELGIAN_DUBBEL | ZERO</t>
  </si>
  <si>
    <t>BEER_GEN | BELGIAN_ENKEL_/_PATERSBIER | ZERO</t>
  </si>
  <si>
    <t>BEER_GEN | BELGIAN_QUADRUPEL | ZERO</t>
  </si>
  <si>
    <t>BEER_GEN | BELGIAN_STRONG_DARK_ALE | ZERO</t>
  </si>
  <si>
    <t>BEER_GEN | BELGIAN_STRONG_GOLDEN_ALE | ZERO</t>
  </si>
  <si>
    <t>BEER_GEN | BELGIAN_TRIPEL | ZERO</t>
  </si>
  <si>
    <t>BEER_GEN | BIERE_DE_CHAMPAGNE_/_BIERE_BRUT | ZERO</t>
  </si>
  <si>
    <t>BEER_GEN | BITTER &gt; BEST | ZERO</t>
  </si>
  <si>
    <t>BEER_GEN | BITTER &gt; EXTRA_SPECIAL_/_STRONG_(ESB) | ZERO</t>
  </si>
  <si>
    <t>BEER_GEN | BITTER &gt; SESSION_/_ORDINARY | ZERO</t>
  </si>
  <si>
    <t>BEER_GEN | BLACK_&amp;_TAN | ZERO</t>
  </si>
  <si>
    <t>BEER_GEN | BLONDE_/_GOLDEN_ALE &gt; AMERICAN | ZERO</t>
  </si>
  <si>
    <t>BEER_GEN | BLONDE_/_GOLDEN_ALE &gt; ENGLISH | ZERO</t>
  </si>
  <si>
    <t>BEER_GEN | BLONDE_/_GOLDEN_ALE &gt; OTHER | ZERO</t>
  </si>
  <si>
    <t>CRAFT</t>
  </si>
  <si>
    <t>PILS;PINTJE;BIRA;FLUIT;BOERKE;PINKE</t>
  </si>
  <si>
    <t>TASTING_MIX</t>
  </si>
  <si>
    <t xml:space="preserve">BEER_GEN | BEER_SODA_MIX | </t>
  </si>
  <si>
    <t xml:space="preserve">BEER_GEN | BLOND_FRUITED | </t>
  </si>
  <si>
    <t>TONIC;BITTER_LEMON</t>
  </si>
  <si>
    <t>BECKS;BEACKS</t>
  </si>
  <si>
    <t>KRIEK_MYSTIC;MYSTIC_(KRIEK)</t>
  </si>
  <si>
    <t>PLUM</t>
  </si>
  <si>
    <t>TRAPPE;EPOS;TRAPPE,</t>
  </si>
  <si>
    <t>GRIMBERGEN;GRIMBERG;GRIMBERGEN,;GRIMBERGEN:</t>
  </si>
  <si>
    <t>LEFFE;LEFE;LEFLE;LEFFE,;laffeblond;LEFFE:;LEEFE</t>
  </si>
  <si>
    <t>TROUBADOUR;TROUBADOUR_W;TROUBADOUR_W.;ZESTRA</t>
  </si>
  <si>
    <t>BOERINNEKEN;BOERENNEKEN</t>
  </si>
  <si>
    <t>STILL;CORE;BLUE</t>
  </si>
  <si>
    <t>SPARKLING;RED</t>
  </si>
  <si>
    <t>BLUE;9;BROWN;DUBBEL;DARK</t>
  </si>
  <si>
    <t>GOLD;LAGER</t>
  </si>
  <si>
    <t>COLA_GEN | LEMON | ZERO</t>
  </si>
  <si>
    <t>RANKE;XXX_BITTER;XXX</t>
  </si>
  <si>
    <t>IPA;CORE</t>
  </si>
  <si>
    <t>WESTMALLE;WEST_MALLE;WESTMALE;WSTMALLE;TMALLE;WESTMA;VESTMALLE;WESTM.;WESTMALL</t>
  </si>
  <si>
    <t>ESTRELLA_GALICIA;GALICA;GALICIA</t>
  </si>
  <si>
    <t>OUDE_LAMBIEK</t>
  </si>
  <si>
    <t>3_FONTEINEN;03FONTEINEN;3FONTEINEN;3FONTIJNEN</t>
  </si>
  <si>
    <t>HOEGAARDEN | LEMON |</t>
  </si>
  <si>
    <t>HERBAL;CHAI</t>
  </si>
  <si>
    <t>JACK_S</t>
  </si>
  <si>
    <t>JACK_S;JACKS</t>
  </si>
  <si>
    <t>BIRD_OF_PREY;BIRD_OF_PREY,</t>
  </si>
  <si>
    <t>JUICY_LUCY</t>
  </si>
  <si>
    <t>MARTIN_S;MARTINS;MARTIN</t>
  </si>
  <si>
    <t>VIVEN;NADA_IPA;BIRA_NADA</t>
  </si>
  <si>
    <t>IMPERIAL_BLOND</t>
  </si>
  <si>
    <t>IMPERIAL_DARK</t>
  </si>
  <si>
    <t>GOUDEN_CAROLUS | IMPERIAL_BLOND |</t>
  </si>
  <si>
    <t>GOUDEN_CAROLUS | IMPERIAL_DARK |</t>
  </si>
  <si>
    <t>GRAPES;DRUIVEN;RAISINS;UVAS;TRAUBEN;GRAPE;DRUIF;RAISIN;TRAUBE</t>
  </si>
  <si>
    <t>MULTIFRUIT;MULTIVIT</t>
  </si>
  <si>
    <t>MINUTE_MAID | ACE |</t>
  </si>
  <si>
    <t>BLOND;TRIPEL</t>
  </si>
  <si>
    <t>LAGER;FLUITJE;BOERKE</t>
  </si>
  <si>
    <t>SEEF_BIER;SEEFBIER;SEEF;SEEFBIER;SEEBIER;SEE_BIER</t>
  </si>
  <si>
    <t>SWAF_SILLY</t>
  </si>
  <si>
    <t>SILLY;SWAF</t>
  </si>
  <si>
    <t>SPA_REINE | ORANGE |</t>
  </si>
  <si>
    <t>SPA_REINE | SPRITZ |</t>
  </si>
  <si>
    <t>SPA_REINE | GREEN |</t>
  </si>
  <si>
    <t>SPA_REINE | LEMON |</t>
  </si>
  <si>
    <t>SPA_REINE | MANGO |</t>
  </si>
  <si>
    <t>SPA_REINE | WHITE |</t>
  </si>
  <si>
    <t>SPA_REINE | BLUE |</t>
  </si>
  <si>
    <t>SPA_REINE | MINT |</t>
  </si>
  <si>
    <t>SPA_REINE | RED |</t>
  </si>
  <si>
    <t>SPA_REINE | STRAWBERRY | ZERO</t>
  </si>
  <si>
    <t>SPA_REINE | PASSION | ZERO</t>
  </si>
  <si>
    <t>SPA_REINE | ORANGE | ZERO</t>
  </si>
  <si>
    <t>SPA_REINE | LEMON | ZERO</t>
  </si>
  <si>
    <t>SPA_REINE | BLUE | ZERO</t>
  </si>
  <si>
    <t>SPA_REINE | SOUR | ZERO</t>
  </si>
  <si>
    <t>SPA_REINE | CORE | ZERO</t>
  </si>
  <si>
    <t>SPA_REINE | CORE |</t>
  </si>
  <si>
    <t>GOLD;BLOND;TRIPEL;CORE</t>
  </si>
  <si>
    <t>SILVER;CORE</t>
  </si>
  <si>
    <t>TIPSY | SILVER | ZERO</t>
  </si>
  <si>
    <t>BROWN;DUBBEL;OUD_BRUIN;DARK;RED</t>
  </si>
  <si>
    <t>SANPELLEGRINO;PELLEGRINO;PELEGRINO;PELLIGRINO;PELLEGRINO;SAN_PELLEGRINO;S.PELLIGRINO</t>
  </si>
  <si>
    <t>FUZETEA;FUSE;FUZE;FUZETEA,;FUZETEA.</t>
  </si>
  <si>
    <t>BLANCHE_DE_NAMUR;(BLANCHE_DE_NAMUR)</t>
  </si>
  <si>
    <t>BELLE_VUE | KRIEK_EXTRA |</t>
  </si>
  <si>
    <t>EXCELSIOR | PILSNER |</t>
  </si>
  <si>
    <t>CORE;PILSNER</t>
  </si>
  <si>
    <t>GEROLSTEINER</t>
  </si>
  <si>
    <t>GEROLSTEINER | ORANGE |</t>
  </si>
  <si>
    <t>GEROLSTEINER | SPRITZ |</t>
  </si>
  <si>
    <t>GEROLSTEINER | APPLE |</t>
  </si>
  <si>
    <t>GEROLSTEINER | LEMON |</t>
  </si>
  <si>
    <t>GEROLSTEINER | LIME |</t>
  </si>
  <si>
    <t>GEROLSTEINER | CORE |</t>
  </si>
  <si>
    <t>FRUIT</t>
  </si>
  <si>
    <t>ROSE;PINK;FRUIT</t>
  </si>
  <si>
    <t>LE_FORT | DARK |</t>
  </si>
  <si>
    <t>BROWN;DUBBEL;DARK</t>
  </si>
  <si>
    <t xml:space="preserve">LIEFMANS | GOUDENBAND | </t>
  </si>
  <si>
    <t>ROCHEFORT | TRIPEL_EXTRA |</t>
  </si>
  <si>
    <t>STRONGBOW | APPLE | ZERO</t>
  </si>
  <si>
    <t>BAVIK_SUPER_PILS</t>
  </si>
  <si>
    <t>SUPER_PILS;BAVIK</t>
  </si>
  <si>
    <t>BAVIK_SUPER_PILS | PILSNER |</t>
  </si>
  <si>
    <t>BAVIK_SUPER_PILS | WHITE |</t>
  </si>
  <si>
    <t>BAVIK_SUPER_PILS | CORE |</t>
  </si>
  <si>
    <t>TER_DOLEN | WINTER |</t>
  </si>
  <si>
    <t>ARMAND</t>
  </si>
  <si>
    <t>TER_DOLEN | DARK |</t>
  </si>
  <si>
    <t>TER_DOLEN | ARMAND |</t>
  </si>
  <si>
    <t>NOX</t>
  </si>
  <si>
    <t>BROWN;DUBBEL;NOX</t>
  </si>
  <si>
    <t>TRIPEL;PRIOR</t>
  </si>
  <si>
    <t>TONGERLO | TRIPEL_PRIOR |</t>
  </si>
  <si>
    <t>TONGERLO | BLOND_LUX |</t>
  </si>
  <si>
    <t>TONGERLO | BROWN_NOX |</t>
  </si>
  <si>
    <t>BLOND;CORE;LUX</t>
  </si>
  <si>
    <t>TROUBADOUR_ZESTRA;TROUBADOUR_ZESTRA;DOUR_ZESTRA;ZESTRA</t>
  </si>
  <si>
    <t>TROUBADOUR | ZESTRA | ZERO</t>
  </si>
  <si>
    <t>VEDETT | PILSNER |</t>
  </si>
  <si>
    <t>VEDETT | ABT_12 |</t>
  </si>
  <si>
    <t>VEDETT | DUBBEL |</t>
  </si>
  <si>
    <t>VEDETT | WHITE |</t>
  </si>
  <si>
    <t>VEDETT | BLOND |</t>
  </si>
  <si>
    <t>VEDETT | IPA |</t>
  </si>
  <si>
    <t>CHERRY;</t>
  </si>
  <si>
    <t>TONIC_WATER;CORE;INDIAN</t>
  </si>
  <si>
    <t>FRITZ | KOLA | ZERO</t>
  </si>
  <si>
    <t>CORE;KOLA;COLA</t>
  </si>
  <si>
    <t>BLACK_LEMON</t>
  </si>
  <si>
    <t>GREEN_LEMON</t>
  </si>
  <si>
    <t>GREEN_LEMON;LEMON_GREEN</t>
  </si>
  <si>
    <t>FUZETEA | BLACK_LEMON |</t>
  </si>
  <si>
    <t>FUZETEA | GREEN_LEMON |</t>
  </si>
  <si>
    <t>AGRUMES;CITRUSVRUCHTEN;AGRUMES;CÃTRICOS;ZITRUSFRÃœCHTE;AGRUM;ARUM;AGRUMES,;AGRUME,;AGRUME;/AGRUM;ARGUMES</t>
  </si>
  <si>
    <t>ROYAL_BLISS;BLISS</t>
  </si>
  <si>
    <t>OUDE_KRIEK;CHERRY</t>
  </si>
  <si>
    <t>CHERRY;CORE</t>
  </si>
  <si>
    <t>BRUGSE_ZOT | BLOND | ZERO</t>
  </si>
  <si>
    <t>WHITE;CORE</t>
  </si>
  <si>
    <t>CORONA | EXTRA | ZERO</t>
  </si>
  <si>
    <t>TREMENS;BLUE</t>
  </si>
  <si>
    <t>CLASSIC;CORE</t>
  </si>
  <si>
    <t>HOEGAARDEN | LEMON | ZERO</t>
  </si>
  <si>
    <t>RADLER;LEMON</t>
  </si>
  <si>
    <t>GUEUZE;CORE</t>
  </si>
  <si>
    <t>MIKKELLER_OLD</t>
  </si>
  <si>
    <t>KRIEK_LAMBIC;CORE;CHERRY</t>
  </si>
  <si>
    <t>QUADRUPEL;DUBBEL;BROWN;CORE</t>
  </si>
  <si>
    <t>PILSNER;BLOND;CORE</t>
  </si>
  <si>
    <t>BRUISEND</t>
  </si>
  <si>
    <t>BIEREN</t>
  </si>
  <si>
    <t>CERVEZAS</t>
  </si>
  <si>
    <t>WATERS</t>
  </si>
  <si>
    <t>GIN</t>
  </si>
  <si>
    <t>SUMOS</t>
  </si>
  <si>
    <t>BRUISEND;TONIC;WATERS;WATER;SUMOS</t>
  </si>
  <si>
    <t>BIEREN;CERVEZAS</t>
  </si>
  <si>
    <t>HOMEMADE;HOME_MADE;HUIS;HUISKE;HUISKEN</t>
  </si>
  <si>
    <t>VERS;FRESH;FRAIS;VERSE;FRAICHE</t>
  </si>
  <si>
    <t>LIEFMANS;LIFMANS;LIEFTMANS;LIEF_MANS;PECHERESSE;FRUITESSE;LIEFMA;PICHERESSE;LIEF_MANS;LIEFMAANS;LIEFMANS/ON;LIERMANS;LIEFERMANS;(LIEFMANS);VERBODEN_VRUCHT;LIEFMANNS</t>
  </si>
  <si>
    <t>zero;zèro;z…ro;cero;suikervrij;sugarfree;no sugar;zonder zuiker;SUGAR_FREE;(NA);PEPSI_MAX;ZERO;CERO</t>
  </si>
  <si>
    <t>AA_DRINK</t>
  </si>
  <si>
    <t>AA;AA_DRINK;AA_ENERGY</t>
  </si>
  <si>
    <t>HOT;WARM;CHAUD;WARME</t>
  </si>
  <si>
    <t>GUINNES;GUINES;GUINNESS;GUINESS</t>
  </si>
  <si>
    <t>OMER;OMER.;OMEAR</t>
  </si>
  <si>
    <t>CRISTAL;CRISTAL_ALKEN;CRISAL;CHRISTAL;KRISTAL</t>
  </si>
  <si>
    <t>MOINETTE;MORINETTE</t>
  </si>
  <si>
    <t>BRUGS_WIT;BRUGS_WHITE;BRUGS_TARWEBIER___WIT;BRUGSE_WITTE</t>
  </si>
  <si>
    <t>CORNET;CORNETT;CORNETTE;CORSNET</t>
  </si>
  <si>
    <t>DEUGNIET;DEUGENIET</t>
  </si>
  <si>
    <t>HEINEKEN;HEINIKEN;HEINEKE;HENIKEN</t>
  </si>
  <si>
    <t>JUPILER;JUPILLER;JUPITER;JUPLIER</t>
  </si>
  <si>
    <t>IJWIT;EIWIT;IIWIT;JWIT;LIWIT;LUVIT;YUWIT;JYWIT</t>
  </si>
  <si>
    <t>DE_KONINCK;KONINGK;CONINCK;KONICK</t>
  </si>
  <si>
    <t>G.O.D.;GOD;GOOD_OLD_DAYS</t>
  </si>
  <si>
    <t>CELTIC_DRY_CIDER</t>
  </si>
  <si>
    <t>MILNUEVE</t>
  </si>
  <si>
    <t>IRISH</t>
  </si>
  <si>
    <t>100_PAP</t>
  </si>
  <si>
    <t>SHANDY_BEER_SPRITE</t>
  </si>
  <si>
    <t>SAIGON</t>
  </si>
  <si>
    <t>NELLO_S</t>
  </si>
  <si>
    <t>AL_BLONDY</t>
  </si>
  <si>
    <t>MAMPOKO</t>
  </si>
  <si>
    <t>EFES</t>
  </si>
  <si>
    <t>FIX</t>
  </si>
  <si>
    <t>HELLAS</t>
  </si>
  <si>
    <t>TORNADO</t>
  </si>
  <si>
    <t>MOSCATEL</t>
  </si>
  <si>
    <t>BELMONDO</t>
  </si>
  <si>
    <t>BLOND;AURORA</t>
  </si>
  <si>
    <t>DARK;MEMENTO</t>
  </si>
  <si>
    <t>PRESIDENTE</t>
  </si>
  <si>
    <t>POLAR</t>
  </si>
  <si>
    <t>PILNSER;CORE</t>
  </si>
  <si>
    <t>CLASH_OF_THE_TITANS</t>
  </si>
  <si>
    <t>RESERVA</t>
  </si>
  <si>
    <t>GRAND</t>
  </si>
  <si>
    <t>SCANNING_FOR_SIGNS</t>
  </si>
  <si>
    <t>UIJIN</t>
  </si>
  <si>
    <t>BLOND;YUZU;CORE</t>
  </si>
  <si>
    <t>OWA</t>
  </si>
  <si>
    <t>BITTERE_BLOEMEN</t>
  </si>
  <si>
    <t>JOUR_DE_FETE</t>
  </si>
  <si>
    <t>THE_BELGIAN_CIDER</t>
  </si>
  <si>
    <t>DOKKIE</t>
  </si>
  <si>
    <t>PERLE</t>
  </si>
  <si>
    <t>DIPA;CORE</t>
  </si>
  <si>
    <t>DIPA</t>
  </si>
  <si>
    <t>IFIGENIA</t>
  </si>
  <si>
    <t>LES_PERLES_DU_HOMARD</t>
  </si>
  <si>
    <t>OCATA</t>
  </si>
  <si>
    <t>WARMOUTH</t>
  </si>
  <si>
    <t>DEAD_CAT</t>
  </si>
  <si>
    <t>ELLIOT</t>
  </si>
  <si>
    <t>BOBBY_BROWN</t>
  </si>
  <si>
    <t>GONNA_GRILL_SOME_BACON</t>
  </si>
  <si>
    <t>JOLLY_FUCKER</t>
  </si>
  <si>
    <t>PINK_ELISE</t>
  </si>
  <si>
    <t>BOHEMIAN_LAGER</t>
  </si>
  <si>
    <t>CORE;KRIEK</t>
  </si>
  <si>
    <t>KRIEK</t>
  </si>
  <si>
    <t>WEYN</t>
  </si>
  <si>
    <t>NASTRO_AZZURO</t>
  </si>
  <si>
    <t>SARDEGNA</t>
  </si>
  <si>
    <t>LECH</t>
  </si>
  <si>
    <t>BEIRUT</t>
  </si>
  <si>
    <t>CUM_LAUDE</t>
  </si>
  <si>
    <t>RED;BROWN</t>
  </si>
  <si>
    <t>BLONDE_BRIES</t>
  </si>
  <si>
    <t>DONKERE_DAUW</t>
  </si>
  <si>
    <t>ARABIER</t>
  </si>
  <si>
    <t>EVIL</t>
  </si>
  <si>
    <t>QUILMES</t>
  </si>
  <si>
    <t>CORUJA</t>
  </si>
  <si>
    <t>ABADIA</t>
  </si>
  <si>
    <t>RADLER;GREEN;LEMON</t>
  </si>
  <si>
    <t>SKY</t>
  </si>
  <si>
    <t>MARINA</t>
  </si>
  <si>
    <t>BOOTJES_BIER</t>
  </si>
  <si>
    <t>TOURTEL</t>
  </si>
  <si>
    <t>MALT;CORE</t>
  </si>
  <si>
    <t>MALT</t>
  </si>
  <si>
    <t>MAGNERS</t>
  </si>
  <si>
    <t>ORIGINAL;CORE</t>
  </si>
  <si>
    <t>ICE_TEA;ICED_TEA;ICE_T;ICED_T;IJSTHE;IJSTHEE;THE_GLACE;ICETEA</t>
  </si>
  <si>
    <t>JUICES</t>
  </si>
  <si>
    <t>TEA</t>
  </si>
  <si>
    <t>THE;TEA;THEE</t>
  </si>
  <si>
    <t>COFFEE</t>
  </si>
  <si>
    <t>COFFEE;COFFEES;KOFFIE</t>
  </si>
  <si>
    <t>MEAD;MEADS;MEDE</t>
  </si>
  <si>
    <t>WHISKEY</t>
  </si>
  <si>
    <t>JENEVER</t>
  </si>
  <si>
    <t>BIEREN;CERVEZAS;REGEX:(?:(?&lt;=_)|^)BEER?(?=(?:_|$));REGEX:(?&lt;!_)BEER?(?!_);REGEX:(?:(?&lt;=_)|^)BIER?(?=(?:_|$));REGEX:(?&lt;!_)BIER?(?!_);BIER;HUISBIEREN;KASTEELBIER;BLOND;BLONDES;BLONDE;BRUNE;BLANCHE;BIERTJES;WITBIER;GEUZE;BIERLIJST;DONKER;AMBER;STOUT;TRIPEL;IPA;FLESBIEREN;FRUITBIER;FLESBIER;SUGGESTIEBIER;SUGGESTIEBIEREN;BIERES;BIÈRES;STREEKBIREN;BIERE;BEER;BEERS;TRAPPIST;TAP;TAPS;DRAFT;VAT;FÛT;KLASSIEKERS OP FLES;STELLA ARTOIS;DE MEESTER (ASSORTIMENT KAN WIJZIGEN);BLÛND VAN 'T FLESKE.;VAN HET VAAT.;ZOOR &amp; ZEUT VAN _X0019_T FLESKE.;ROCHEFORT 10;ORVAL;WESTMALLE DUBBEL;WESTMALLE EXTRA;AU F˚T.;BI»RES</t>
  </si>
  <si>
    <t>MILKSHAKES</t>
  </si>
  <si>
    <t>MILKSHAKE;MILKSHAKES</t>
  </si>
  <si>
    <t>SMOOTHIES</t>
  </si>
  <si>
    <t>SMOOTHIE;SMOOTHIES</t>
  </si>
  <si>
    <t>SAPPEN;JUICES;SUMOS;SAPJES;FRUITSAPPEN;FRUITJUICES;JUS</t>
  </si>
  <si>
    <t>DFS</t>
  </si>
  <si>
    <t>PIZZAS</t>
  </si>
  <si>
    <t>PIZZA</t>
  </si>
  <si>
    <t>FRITUURSNACKS</t>
  </si>
  <si>
    <t>FRIES</t>
  </si>
  <si>
    <t>FRENCH_FRIES;FRIET;FRIETEN;FRIETJES</t>
  </si>
  <si>
    <t>SAUZEN</t>
  </si>
  <si>
    <t>SAUZEN;SAUS</t>
  </si>
  <si>
    <t>HOMEMADE;HUISGEMAAKT;HOME_MADE</t>
  </si>
  <si>
    <t>WATERS;WATER;EAU;LEAU:DEAU</t>
  </si>
  <si>
    <t>SALADS</t>
  </si>
  <si>
    <t>SALADS;SALADES</t>
  </si>
  <si>
    <t>SOUP</t>
  </si>
  <si>
    <t>SOUP;SOEP;SOUPE;SOUPEN</t>
  </si>
  <si>
    <t>BITES</t>
  </si>
  <si>
    <t>DIGESTIF</t>
  </si>
  <si>
    <t>DIGESTIEF;DIGESTIEVEN</t>
  </si>
  <si>
    <t>SHOTS</t>
  </si>
  <si>
    <t>SHOTS;SHOT</t>
  </si>
  <si>
    <t>SUPPLEMENTS</t>
  </si>
  <si>
    <t>SUPPLEMENTS;SUPPLEMENTEN;SUPPLEMENT;SUPPLEMENTES</t>
  </si>
  <si>
    <t>TEQUILA</t>
  </si>
  <si>
    <t>SPIRITS</t>
  </si>
  <si>
    <t>VODKA</t>
  </si>
  <si>
    <t>VODKA;WODKA</t>
  </si>
  <si>
    <t>ICE_CREAM</t>
  </si>
  <si>
    <t>GELATO;GLACE;IJSJES;IJS;ICE_CREAM;IJSCOUPES;IJSCOUPE</t>
  </si>
  <si>
    <t>SANDWICHES</t>
  </si>
  <si>
    <t>BROODJES;SANDWICHES;SANDWICH</t>
  </si>
  <si>
    <t>DESSERT</t>
  </si>
  <si>
    <t>DESSERT;DESSERTS;DESSERTEN</t>
  </si>
  <si>
    <t>BREAKFAST</t>
  </si>
  <si>
    <t>BREAKFAST;ONTBIJT;PETIT_DEJEUNER</t>
  </si>
  <si>
    <t>PANCAKES</t>
  </si>
  <si>
    <t>PANCAKES;PANNEKOEKEN;CREPES</t>
  </si>
  <si>
    <t>PASTAS</t>
  </si>
  <si>
    <t>PASTA;PASTAS</t>
  </si>
  <si>
    <t>BURGERS</t>
  </si>
  <si>
    <t>BURGER;BURGERS;HAMBURGER;HAMBURGERS</t>
  </si>
  <si>
    <t>HAPJES;BORRELHAPJES;BITES;SNACKS;CROQUES;HONGER;VERSNAPERINGEN;KNABBELS;TAPAS</t>
  </si>
  <si>
    <t>APERITIF;PORTO;SHERRY;VERMOUTH;APERITIFS;APERO;APERITIEF;APERITIEVEN;</t>
  </si>
  <si>
    <t>REFRESHING</t>
  </si>
  <si>
    <t>FRISDRANK</t>
  </si>
  <si>
    <t>BIBITE;BEVANDE;BRUISEND;TONIC;REGEX:(?:(?&lt;=_)|^)FRIS?(?=(?:_|$));REGEX:(?&lt;!_)FRIS?(?!_);REGEX:(?:(?&lt;=_)|^)SODA?(?=(?:_|$));;FRUITSAP;FRUITSAPPEN;MILKSHAKE;MILKSHAKES;FRITDRANKEN;SAPJES;JUICE;JUICES;SMOOTHIE;ICED_DRINKS;FRIS;FRISDRANKEN;SOFTS;SOFT;KOUDE_DRANKEN;LIMONADE;SAP;WATER;EAU;EAUX;JUS;BOISSONS_FROIDES;COLD_DRINKS</t>
  </si>
  <si>
    <t>REGEX:(?&lt;!_)SODA?(?!_);SOFTDRINKS;FRISDRANKEN;FRISSE_DRANKEN;</t>
  </si>
  <si>
    <t>ETEN;MEAL;GERECHT;FINGERFOOD;DISH;FOOD;DESSERT;DESSERTS;SANDWICH;SANDWICHES;SNACK;SNACKS;ONTBIJT;BREAKFAST;ZOET;ZOETE;SWEET;SAUCES;SAUCE;SAUZEN;SAUS;FRITES;PIATTI;PIZZA;PIZZAS;SUSHI;DOLCI;CAKES;PASTRY;PASTRIES;CAKE</t>
  </si>
  <si>
    <t>TOASTS</t>
  </si>
  <si>
    <t>TOAST;TOASTS</t>
  </si>
  <si>
    <t>WHISKEY;WHISKY;WISKEY</t>
  </si>
  <si>
    <t>LEMON;CORE</t>
  </si>
  <si>
    <t>LEMONADE_GEN | CORE | HOMEMADE</t>
  </si>
  <si>
    <t>MELK;MILK;LAIT;CHOCO</t>
  </si>
  <si>
    <t>POMTON;POM_TON</t>
  </si>
  <si>
    <t>SUPPLEMENT_GEN</t>
  </si>
  <si>
    <t>SUPPLEMENT;SUPPLEMENTS;SUPLEMENT;SUPLEMENTS;SUPPLEMENTES</t>
  </si>
  <si>
    <t xml:space="preserve">TANUSQUELLE | CORE | </t>
  </si>
  <si>
    <t>TANUSQUELLE</t>
  </si>
  <si>
    <t>JUICES_GEN | ORANGE | FRESH</t>
  </si>
  <si>
    <t>JUICES_GEN</t>
  </si>
  <si>
    <t xml:space="preserve">SMOOTHIES_GEN | APPLE | </t>
  </si>
  <si>
    <t>SMOOTHIES_GEN</t>
  </si>
  <si>
    <t xml:space="preserve">SMOOTHIES_GEN | MANGO | </t>
  </si>
  <si>
    <t xml:space="preserve">MINUTE_MAID | MULTIVITAMIN | </t>
  </si>
  <si>
    <t xml:space="preserve">JARRITOS | GUAVA | </t>
  </si>
  <si>
    <t>JARRITOS</t>
  </si>
  <si>
    <t>GUAVA</t>
  </si>
  <si>
    <t xml:space="preserve">JARRITOS | STRAWBERRY | </t>
  </si>
  <si>
    <t xml:space="preserve">JARRITOS | WATERMELON | </t>
  </si>
  <si>
    <t xml:space="preserve">JARRITOS | FRUIT_PUNCH | </t>
  </si>
  <si>
    <t>FRUIT_PUNCH</t>
  </si>
  <si>
    <t xml:space="preserve">JARRITOS | MANDARIN | </t>
  </si>
  <si>
    <t>MANDARIN</t>
  </si>
  <si>
    <t xml:space="preserve">JARRITOS | MANGO | </t>
  </si>
  <si>
    <t xml:space="preserve">JARRITOS | PASSION | </t>
  </si>
  <si>
    <t xml:space="preserve">JARRITOS | PINEAPPLE | </t>
  </si>
  <si>
    <t xml:space="preserve">JARRITOS | LIME | </t>
  </si>
  <si>
    <t xml:space="preserve">JARRITOS | GRAPEFRUIT | </t>
  </si>
  <si>
    <t xml:space="preserve">JARRITOS | TAMARIND | </t>
  </si>
  <si>
    <t>TAMARIND</t>
  </si>
  <si>
    <t xml:space="preserve">JARRITOS | COLA | </t>
  </si>
  <si>
    <t xml:space="preserve">FERNANDES | CHERRY | </t>
  </si>
  <si>
    <t>FERNANDES</t>
  </si>
  <si>
    <t xml:space="preserve">FERNANDES | GREEN | </t>
  </si>
  <si>
    <t xml:space="preserve">FERNANDES | GINGER | </t>
  </si>
  <si>
    <t xml:space="preserve">FERNANDES | PINEAPPLE | </t>
  </si>
  <si>
    <t xml:space="preserve">FERNANDES | GRAPE | </t>
  </si>
  <si>
    <t>GRAPE</t>
  </si>
  <si>
    <t xml:space="preserve">INZA | CHOCOLAT | </t>
  </si>
  <si>
    <t>INZA</t>
  </si>
  <si>
    <t xml:space="preserve">BUNDABERG | GINGER_BEER | </t>
  </si>
  <si>
    <t>BUNDABERG</t>
  </si>
  <si>
    <t>GINGER_BEER;GINGER</t>
  </si>
  <si>
    <t xml:space="preserve">BUNDABERG | GRAPEFRUIT | </t>
  </si>
  <si>
    <t xml:space="preserve">BUNDABERG | PASSION | </t>
  </si>
  <si>
    <t xml:space="preserve">BUNDABERG | GUAVA | </t>
  </si>
  <si>
    <t xml:space="preserve">BUNDABERG | BLOOD_ORANGE | </t>
  </si>
  <si>
    <t xml:space="preserve">BUNDABERG | PEACH | </t>
  </si>
  <si>
    <t xml:space="preserve">BUNDABERG | TROPICAL_MANGO | </t>
  </si>
  <si>
    <t>MANGO;TROPICAL</t>
  </si>
  <si>
    <t>TROPICAL_MANGO</t>
  </si>
  <si>
    <t xml:space="preserve">BUNDABERG | PINEAPPLE_COCONUT | </t>
  </si>
  <si>
    <t>PINEAPPLE;COCONUT</t>
  </si>
  <si>
    <t>PINEAPPLE_COCONUT</t>
  </si>
  <si>
    <t xml:space="preserve">BUNDABERG | SARSAPARILLA | </t>
  </si>
  <si>
    <t>SARSAPARILLA</t>
  </si>
  <si>
    <t xml:space="preserve">BUNDABERG | LEMON_LIME | </t>
  </si>
  <si>
    <t>LEMON;LIME;BITTER</t>
  </si>
  <si>
    <t>LEMON_LIME</t>
  </si>
  <si>
    <t xml:space="preserve">BUNDABERG | BURGUNDEE | </t>
  </si>
  <si>
    <t>BURGUNDEE</t>
  </si>
  <si>
    <t xml:space="preserve">DOUBLE_DUTCH | INDIAN_TONIC | </t>
  </si>
  <si>
    <t>DOUBLE_DUTCH</t>
  </si>
  <si>
    <t>INDIAN;CORE</t>
  </si>
  <si>
    <t>INDIAN_TONIC</t>
  </si>
  <si>
    <t xml:space="preserve">DOUBLE_DUTCH | SKINNY | </t>
  </si>
  <si>
    <t>SKINNY</t>
  </si>
  <si>
    <t xml:space="preserve">DOUBLE_DUTCH | CRANBERRY_GINGER | </t>
  </si>
  <si>
    <t>CRANBERRY;GINGER</t>
  </si>
  <si>
    <t>CRANBERRY_GINGER</t>
  </si>
  <si>
    <t xml:space="preserve">DOUBLE_DUTCH | GINGER_ALE | </t>
  </si>
  <si>
    <t xml:space="preserve">DOUBLE_DUTCH | GINGER_BEER | </t>
  </si>
  <si>
    <t xml:space="preserve">DOUBLE_DUTCH | PINK_GRAPEFRUIT | </t>
  </si>
  <si>
    <t>GRAPEFRUIT;PINK</t>
  </si>
  <si>
    <t>PINK_GRAPEFRUIT</t>
  </si>
  <si>
    <t xml:space="preserve">DOUBLE_DUTCH | POMEGRANATE_BASIL | </t>
  </si>
  <si>
    <t>POMEGRANATE;BASIL</t>
  </si>
  <si>
    <t>POMEGRANATE_BASIL</t>
  </si>
  <si>
    <t xml:space="preserve">DOUBLE_DUTCH | CUCUMBER_WATERMELON | </t>
  </si>
  <si>
    <t>CUCUMBER;WATERMELON</t>
  </si>
  <si>
    <t>CUCUMBER_WATERMELON</t>
  </si>
  <si>
    <t xml:space="preserve">DOUBLE_DUTCH | WATER | </t>
  </si>
  <si>
    <t xml:space="preserve">DOUBLE_DUTCH | DOUBLE_LEMON | </t>
  </si>
  <si>
    <t>DOUBLE_LEMON</t>
  </si>
  <si>
    <t xml:space="preserve">DOUBLE_DUTCH | REFRESHING_LEMONADE | </t>
  </si>
  <si>
    <t>REFRESHING_LEMONADE</t>
  </si>
  <si>
    <t xml:space="preserve">OLD_JAMAICA | GINGER_BEER | </t>
  </si>
  <si>
    <t>OLD_JAMAICA</t>
  </si>
  <si>
    <t xml:space="preserve">WALDEN | LEMON_LEMONGRASS | </t>
  </si>
  <si>
    <t>WALDEN</t>
  </si>
  <si>
    <t>LEMON;LEMONGRASS</t>
  </si>
  <si>
    <t>LEMON_LEMONGRASS</t>
  </si>
  <si>
    <t xml:space="preserve">WALDEN | PEACH_JASMINE | </t>
  </si>
  <si>
    <t>PEACH;JASMINE</t>
  </si>
  <si>
    <t>PEACH_JASMINE</t>
  </si>
  <si>
    <t xml:space="preserve">RC | COLA | </t>
  </si>
  <si>
    <t>RC</t>
  </si>
  <si>
    <t>RC | COLA | ZERO</t>
  </si>
  <si>
    <t xml:space="preserve">RC | VANILLA | </t>
  </si>
  <si>
    <t xml:space="preserve">DOUBLE; | DOUBLE_CAFFEINE | </t>
  </si>
  <si>
    <t>DOUBLE;</t>
  </si>
  <si>
    <t>DOUBLE_CAFFEINE</t>
  </si>
  <si>
    <t xml:space="preserve">ROYAL_CROWN | COLA | </t>
  </si>
  <si>
    <t>ROYAL_CROWN</t>
  </si>
  <si>
    <t xml:space="preserve">RC | ORANGE | </t>
  </si>
  <si>
    <t xml:space="preserve">RC | REFRESHER | </t>
  </si>
  <si>
    <t>REFRESHER</t>
  </si>
  <si>
    <t xml:space="preserve">DE_DRIE_WILGEN | APPLE | </t>
  </si>
  <si>
    <t>DE_DRIE_WILGEN</t>
  </si>
  <si>
    <t xml:space="preserve">DE_DRIE_WILGEN | ACE | </t>
  </si>
  <si>
    <t>ACE;MULTIFRUIT</t>
  </si>
  <si>
    <t xml:space="preserve">DE_DRIE_WILGEN | ORANGE | </t>
  </si>
  <si>
    <t xml:space="preserve">DE_DRIE_WILGEN | TOMATO | </t>
  </si>
  <si>
    <t xml:space="preserve">DE_DRIE_WILGEN | CRANBERRY | </t>
  </si>
  <si>
    <t xml:space="preserve">BIMSTER | GINGER_MANGO | </t>
  </si>
  <si>
    <t>BIMSTER</t>
  </si>
  <si>
    <t>GINGER;MANGO</t>
  </si>
  <si>
    <t>GINGER_MANGO</t>
  </si>
  <si>
    <t xml:space="preserve">BIMSTER | GRAPEFRUIT_CARDEMON | </t>
  </si>
  <si>
    <t>GRAPEFRUIT;CARDEMON</t>
  </si>
  <si>
    <t>GRAPEFRUIT_CARDEMON</t>
  </si>
  <si>
    <t xml:space="preserve">EPSA | ORANGE | </t>
  </si>
  <si>
    <t>EPSA</t>
  </si>
  <si>
    <t xml:space="preserve">EPSA | LEMON | </t>
  </si>
  <si>
    <t xml:space="preserve">EPSA | GRAPEFRUIT | </t>
  </si>
  <si>
    <t xml:space="preserve">EPSA | LEMON_SODA | </t>
  </si>
  <si>
    <t>LEMON_SODA</t>
  </si>
  <si>
    <t xml:space="preserve">EPSA | SPARKLING_WATER | </t>
  </si>
  <si>
    <t>SPARKLING;WATER;SODA</t>
  </si>
  <si>
    <t>SPARKLING_WATER</t>
  </si>
  <si>
    <t xml:space="preserve">EPSA | TONIC | </t>
  </si>
  <si>
    <t xml:space="preserve">EPSA | CHERRY | </t>
  </si>
  <si>
    <t xml:space="preserve">EPSA | BLOOD_ORANGE | </t>
  </si>
  <si>
    <t xml:space="preserve">EPSA | COLA | </t>
  </si>
  <si>
    <t xml:space="preserve">SALGAM_GEN | CORE | </t>
  </si>
  <si>
    <t>SALGAM_GEN</t>
  </si>
  <si>
    <t xml:space="preserve">GOLDEN_POWER | CORE | </t>
  </si>
  <si>
    <t>GOLDEN_POWER</t>
  </si>
  <si>
    <t xml:space="preserve">PERELEARE | POAR | </t>
  </si>
  <si>
    <t>PERELEARE</t>
  </si>
  <si>
    <t>POAR;CORE</t>
  </si>
  <si>
    <t>POAR</t>
  </si>
  <si>
    <t xml:space="preserve">FREEZ | LEMON_MINT | </t>
  </si>
  <si>
    <t>FREEZ</t>
  </si>
  <si>
    <t>LEMON;MINT</t>
  </si>
  <si>
    <t>LEMON_MINT</t>
  </si>
  <si>
    <t xml:space="preserve">FREEZ | BLUE_HAWAII | </t>
  </si>
  <si>
    <t>BLUE;HAWAII;TROPICAL</t>
  </si>
  <si>
    <t>BLUE_HAWAII</t>
  </si>
  <si>
    <t xml:space="preserve">FREEZ | LYCHEE | </t>
  </si>
  <si>
    <t xml:space="preserve">FREEZ | BERRY | </t>
  </si>
  <si>
    <t>BERRIES</t>
  </si>
  <si>
    <t xml:space="preserve">FREEZ | POMEGRANATE | </t>
  </si>
  <si>
    <t xml:space="preserve">FREEZ | MANGO_PEACH | </t>
  </si>
  <si>
    <t>MANGO;PEACH</t>
  </si>
  <si>
    <t>MANGO_PEACH</t>
  </si>
  <si>
    <t xml:space="preserve">FREEZ | STRAWBERRY | </t>
  </si>
  <si>
    <t xml:space="preserve">FREEZ | KIWI_LIME | </t>
  </si>
  <si>
    <t>KIWI;LIME</t>
  </si>
  <si>
    <t>KIWI_LIME</t>
  </si>
  <si>
    <t xml:space="preserve">FREEZ | PINEAPPLE_COCONUT | </t>
  </si>
  <si>
    <t xml:space="preserve">FREEZ | LEMON_GINGER | </t>
  </si>
  <si>
    <t>LEMON_GINGER</t>
  </si>
  <si>
    <t xml:space="preserve">FREEZ | MOJITO_STRAWBERRY | </t>
  </si>
  <si>
    <t>MOJITO;STRAWBERRY</t>
  </si>
  <si>
    <t>MOJITO_STRAWBERRY</t>
  </si>
  <si>
    <t xml:space="preserve">FREEZ | TAMARIND | </t>
  </si>
  <si>
    <t xml:space="preserve">FREEZ | APPLE_GRAPE | </t>
  </si>
  <si>
    <t>APPLE;GRAPE</t>
  </si>
  <si>
    <t>APPLE_GRAPE</t>
  </si>
  <si>
    <t xml:space="preserve">ROYAL_CLUB | ROSE_LEMONADE | </t>
  </si>
  <si>
    <t>ROYAL_CLUB</t>
  </si>
  <si>
    <t>ROSE;LEMONADE</t>
  </si>
  <si>
    <t>ROSE_LEMONADE</t>
  </si>
  <si>
    <t xml:space="preserve">ROYAL_CLUB | PINK_GRAPEFRUIT | </t>
  </si>
  <si>
    <t xml:space="preserve">ROYAL_CLUB | G_T | </t>
  </si>
  <si>
    <t>G_T</t>
  </si>
  <si>
    <t xml:space="preserve">ROYAL_CLUB | MOJITO | </t>
  </si>
  <si>
    <t xml:space="preserve">ROYAL_CLUB | GINGER_MULE | </t>
  </si>
  <si>
    <t>MULE</t>
  </si>
  <si>
    <t>GINGER_MULE</t>
  </si>
  <si>
    <t xml:space="preserve">ROYAL_CLUB | GINGER_BEER | </t>
  </si>
  <si>
    <t xml:space="preserve">ROYAL_CLUB | BITTER_LEMON | </t>
  </si>
  <si>
    <t>BITTER;LEMON</t>
  </si>
  <si>
    <t xml:space="preserve">ROYAL_CLUB | TONIC_CLASSIC | </t>
  </si>
  <si>
    <t>TONIC;CLASSIC;CORE</t>
  </si>
  <si>
    <t>TONIC_CLASSIC</t>
  </si>
  <si>
    <t xml:space="preserve">ROYAL_CLUB | GINGER_ALE | </t>
  </si>
  <si>
    <t>ALE</t>
  </si>
  <si>
    <t xml:space="preserve">ROYAL_CLUB | CASSIS | </t>
  </si>
  <si>
    <t xml:space="preserve">ROYAL_CLUB | APPLE | </t>
  </si>
  <si>
    <t xml:space="preserve">ROYAL_CLUB | ORANGE | </t>
  </si>
  <si>
    <t xml:space="preserve">ROYAL_CLUB | TOMATO | </t>
  </si>
  <si>
    <t xml:space="preserve">BIG_TOM | TOMATO | </t>
  </si>
  <si>
    <t>BIG_TOM</t>
  </si>
  <si>
    <t>CORE;TOMATO</t>
  </si>
  <si>
    <t xml:space="preserve">KAS | ORANGE | </t>
  </si>
  <si>
    <t>KAS</t>
  </si>
  <si>
    <t xml:space="preserve">ROYAL_CLUB | LEMON | </t>
  </si>
  <si>
    <t xml:space="preserve">CASERA | APPLE | </t>
  </si>
  <si>
    <t>CASERA</t>
  </si>
  <si>
    <t>APPLE;CORE</t>
  </si>
  <si>
    <t xml:space="preserve">POMTON_GEN | CORE | </t>
  </si>
  <si>
    <t xml:space="preserve">SCHULP | APPLE | </t>
  </si>
  <si>
    <t>SCHULP</t>
  </si>
  <si>
    <t>AURORA</t>
  </si>
  <si>
    <t>MEMENTO</t>
  </si>
  <si>
    <t>PILNSER</t>
  </si>
  <si>
    <t>COCONUT</t>
  </si>
  <si>
    <t>INDIAN</t>
  </si>
  <si>
    <t>BASIL</t>
  </si>
  <si>
    <t>CUCUMBER</t>
  </si>
  <si>
    <t>LEMONGRASS</t>
  </si>
  <si>
    <t>JASMINE</t>
  </si>
  <si>
    <t>DOUBLE</t>
  </si>
  <si>
    <t/>
  </si>
  <si>
    <t>CARDEMON</t>
  </si>
  <si>
    <t>SODA</t>
  </si>
  <si>
    <t>HAWAII</t>
  </si>
  <si>
    <t>KIWI</t>
  </si>
  <si>
    <t>LEMONADE</t>
  </si>
  <si>
    <t>FRISDRANK','JUICES','HOMEMADE','TEA','COFFEE','KOMBUCHA','CIDER','WHISKEY','JENEVER','WATER','MILKSHAKES','SMOOTHIES','PIZZAS','DFS','FRIES','SAUZEN','GIN','SALADS','SOUP','BITES','DIGESTIF','SHOTS','ICE_CREAM','SUPPLEMENTS','TEQUILA','SPIRITS','VODKA','SANDWICHES','DESSERT','BREAKFAST','PANCAKES','PASTAS','TOASTS','BURGERS','FOOD','REFRESHING','WINE','HOT_DRINKS','COCKTAILS','STRONG_DRINKS','APERITIF','OTHER','MEADS','BEER</t>
  </si>
  <si>
    <t>VALIDATION_CATEGORY</t>
  </si>
  <si>
    <t>EXCLUDED</t>
  </si>
  <si>
    <t>OUDE_GUEUZE;GUEUZE;CORE</t>
  </si>
  <si>
    <t xml:space="preserve">JACK_S | IPA | </t>
  </si>
  <si>
    <t>WEISSBIER;CORE</t>
  </si>
  <si>
    <t>TRIPEL;WHITE;CORE</t>
  </si>
  <si>
    <t>AMBER;CORE</t>
  </si>
  <si>
    <t>RADIO_MINERVA;MINERVA</t>
  </si>
  <si>
    <t>BOLLEKE;CORE;AMBER</t>
  </si>
  <si>
    <t>SPRING</t>
  </si>
  <si>
    <t>CELTIC_DRY_CIDRE;CELTIC_DRY</t>
  </si>
  <si>
    <t>GOLD;CORE</t>
  </si>
  <si>
    <t>RED;BLACK</t>
  </si>
  <si>
    <t>TAROT | BLACK |</t>
  </si>
  <si>
    <t>KASTEELBIER | DARK |</t>
  </si>
  <si>
    <t>BROWN;DARK;QUADRUPEL</t>
  </si>
  <si>
    <t xml:space="preserve">CRIME_PASSIONNEL | CORE | </t>
  </si>
  <si>
    <t>PASSION;CORE</t>
  </si>
  <si>
    <t>NASTRO_AZZURO;NASTRO_AZZURRO</t>
  </si>
  <si>
    <t>CRAFT;CORE</t>
  </si>
  <si>
    <t>GOD</t>
  </si>
  <si>
    <t>GREEN;CORE</t>
  </si>
  <si>
    <t>CHOCOLAT;CORE</t>
  </si>
  <si>
    <t>FEVER_TREE | GINGER_BEER |</t>
  </si>
  <si>
    <t>FEVER_TREE | GINGER_ALE |</t>
  </si>
  <si>
    <t>HELLAS;CORE</t>
  </si>
  <si>
    <t>IPA &gt; OTHER;IPA;HOP</t>
  </si>
  <si>
    <t>TRIPEL_HOP;TRIPEL;HOP;IPA</t>
  </si>
  <si>
    <t>EMPTY</t>
  </si>
  <si>
    <t>SAN_PELLEGRINO | BITTER |</t>
  </si>
  <si>
    <t>COCKTAIL;COCKTAILS;LONGDRINK;SPRITZ</t>
  </si>
  <si>
    <t>MOCKTAILS;MOCKTAIL;</t>
  </si>
  <si>
    <t>MOCKTAILS</t>
  </si>
  <si>
    <t>ALCOHOL_FREE;ALCOHOLVRIJ;</t>
  </si>
  <si>
    <t>INCONSISTENT_GROUP</t>
  </si>
  <si>
    <t>WINES</t>
  </si>
  <si>
    <t>VODKAS</t>
  </si>
  <si>
    <t>TEQUILAS</t>
  </si>
  <si>
    <t>DESSERTS</t>
  </si>
  <si>
    <t>APERITIFS</t>
  </si>
  <si>
    <t>OTHERS</t>
  </si>
  <si>
    <t>HOMEMADES</t>
  </si>
  <si>
    <t>ALCOHOL_FREES</t>
  </si>
  <si>
    <t>SAUCES</t>
  </si>
  <si>
    <t>GINS</t>
  </si>
  <si>
    <t>SOUPS</t>
  </si>
  <si>
    <t>DIGESTIFS</t>
  </si>
  <si>
    <t>TEAS</t>
  </si>
  <si>
    <t>COFFEES</t>
  </si>
  <si>
    <t>KOMBUCHAS</t>
  </si>
  <si>
    <t>CIDERS</t>
  </si>
  <si>
    <t>WHISKEYS</t>
  </si>
  <si>
    <t>JENEVERS</t>
  </si>
  <si>
    <t>BREAKFASTS</t>
  </si>
  <si>
    <t>ICE_CREAMS</t>
  </si>
  <si>
    <t>VODKA_GEN</t>
  </si>
  <si>
    <t>WHISKEY_GEN</t>
  </si>
  <si>
    <t>GIN_GEN</t>
  </si>
  <si>
    <t>PIZZA_GEN</t>
  </si>
  <si>
    <t>SMOOTHIE_GEN</t>
  </si>
  <si>
    <t>JENEVER_GEN</t>
  </si>
  <si>
    <t>TEQUILA_GEN</t>
  </si>
  <si>
    <t>DESSERT_GEN</t>
  </si>
  <si>
    <t>BREAKFAST_GEN</t>
  </si>
  <si>
    <t>ICE_CREAM_GEN</t>
  </si>
  <si>
    <t>BURGER_GEN</t>
  </si>
  <si>
    <t>TOAST_GEN</t>
  </si>
  <si>
    <t>PASTA_GEN</t>
  </si>
  <si>
    <t>PANCAKE_GEN</t>
  </si>
  <si>
    <t>WINE_GEN</t>
  </si>
  <si>
    <t>COCKTAIL_GEN</t>
  </si>
  <si>
    <t>MOCKTAIL_GEN</t>
  </si>
  <si>
    <t>SHOT_GEN</t>
  </si>
  <si>
    <t>DIGESTIF_GEN</t>
  </si>
  <si>
    <t>BITE_GEN</t>
  </si>
  <si>
    <t>SMOOTHIE</t>
  </si>
  <si>
    <t>TOAST</t>
  </si>
  <si>
    <t>PASTA</t>
  </si>
  <si>
    <t>PANCAKE</t>
  </si>
  <si>
    <t>COCKTAIL</t>
  </si>
  <si>
    <t>MOCKTAIL</t>
  </si>
  <si>
    <t>BITE</t>
  </si>
  <si>
    <t>MEADS_GEN</t>
  </si>
  <si>
    <t>MAGMA;IPA</t>
  </si>
  <si>
    <t>IMPERIAL_IPA;IPA;CORE</t>
  </si>
  <si>
    <t xml:space="preserve">3_FONTEINEN | PLUM | </t>
  </si>
  <si>
    <t xml:space="preserve">ACHEL | DARK | </t>
  </si>
  <si>
    <t xml:space="preserve">ACHEL | SINGLE | </t>
  </si>
  <si>
    <t xml:space="preserve">ACHEL | Winter Ale | </t>
  </si>
  <si>
    <t>Winter Ale</t>
  </si>
  <si>
    <t xml:space="preserve">ACHEL | ROUGE | </t>
  </si>
  <si>
    <t xml:space="preserve">ACHEL | GALLANT | </t>
  </si>
  <si>
    <t>GALLANT;GRAND_CRU</t>
  </si>
  <si>
    <t>GALLANT</t>
  </si>
  <si>
    <t xml:space="preserve">BACCHUS | RASPBERRY | </t>
  </si>
  <si>
    <t xml:space="preserve">PATRASCHE | CORE | </t>
  </si>
  <si>
    <t xml:space="preserve">PRINSKE | CORE | </t>
  </si>
  <si>
    <t xml:space="preserve">KILKENNY | CORE | </t>
  </si>
  <si>
    <t xml:space="preserve">SINGHA | CORE | </t>
  </si>
  <si>
    <t xml:space="preserve">TIPSY | OLD | </t>
  </si>
  <si>
    <t>OLD</t>
  </si>
  <si>
    <t xml:space="preserve">CHANG | CORE | </t>
  </si>
  <si>
    <t xml:space="preserve">STEENBRUGGE | TRIPEL | </t>
  </si>
  <si>
    <t xml:space="preserve">STEENBRUGGE | DUBBEL | </t>
  </si>
  <si>
    <t xml:space="preserve">STEENBRUGGE | SINGLE | </t>
  </si>
  <si>
    <t xml:space="preserve">STEENBRUGGE | QUADRUPEL | </t>
  </si>
  <si>
    <t xml:space="preserve">STEENBRUGGE | SPRING | </t>
  </si>
  <si>
    <t xml:space="preserve">SOMERSBY | BLACKBERRY | </t>
  </si>
  <si>
    <t xml:space="preserve">SOMERSBY | APPLE | </t>
  </si>
  <si>
    <t xml:space="preserve">SOMERSBY | POAR | </t>
  </si>
  <si>
    <t xml:space="preserve">TANGO | BEER_SODA | </t>
  </si>
  <si>
    <t>CORE;GRENADINE</t>
  </si>
  <si>
    <t>BEER_SODA</t>
  </si>
  <si>
    <t xml:space="preserve">SAIGON | CORE | </t>
  </si>
  <si>
    <t xml:space="preserve">SNAKE_BITE | CORE | </t>
  </si>
  <si>
    <t xml:space="preserve">TAROT | GOLD | </t>
  </si>
  <si>
    <t xml:space="preserve">TAROT | BLACK | </t>
  </si>
  <si>
    <t xml:space="preserve">SANCTUS_DOMINICUS_PRIOR | PRIOR | </t>
  </si>
  <si>
    <t xml:space="preserve">SALITOS | CORE | </t>
  </si>
  <si>
    <t xml:space="preserve">CIDER_GEN | CORE | </t>
  </si>
  <si>
    <t xml:space="preserve">MAEGHT_VAN_GOTTEM | HOP | </t>
  </si>
  <si>
    <t>HOP;CORE</t>
  </si>
  <si>
    <t xml:space="preserve">BLACK_ALBERT | STOUT | </t>
  </si>
  <si>
    <t>STOUT;CORE</t>
  </si>
  <si>
    <t xml:space="preserve">BIEKEN | HONEY | </t>
  </si>
  <si>
    <t>BIEKEN</t>
  </si>
  <si>
    <t>HONEY;CORE</t>
  </si>
  <si>
    <t xml:space="preserve">CLUB_COLOMBIA | CORE | </t>
  </si>
  <si>
    <t xml:space="preserve">WILDMAN | DUBBEL | </t>
  </si>
  <si>
    <t>WILDMAN</t>
  </si>
  <si>
    <t>CORE;DUBBEL</t>
  </si>
  <si>
    <t xml:space="preserve">MALIBU_STATE | CORE | </t>
  </si>
  <si>
    <t>MALIBU_STATE</t>
  </si>
  <si>
    <t xml:space="preserve">BREAKFAST_STOUT | STOUT | </t>
  </si>
  <si>
    <t>BREAKFAST_STOUT</t>
  </si>
  <si>
    <t>CORE;STOUT</t>
  </si>
  <si>
    <t xml:space="preserve">NISSOS | PILNSER | </t>
  </si>
  <si>
    <t xml:space="preserve">GALIPETTE | CIDER | </t>
  </si>
  <si>
    <t>GALIPETTE</t>
  </si>
  <si>
    <t>CIDER;CORE</t>
  </si>
  <si>
    <t xml:space="preserve">GALIPETTE | ROSE | </t>
  </si>
  <si>
    <t xml:space="preserve">MAMOS | CORE | </t>
  </si>
  <si>
    <t xml:space="preserve">JUICY_LUCY | IPA | </t>
  </si>
  <si>
    <t>JUICY_LUCY | IPA | ZERO</t>
  </si>
  <si>
    <t xml:space="preserve">LA_TRAPPE | WHEAT | </t>
  </si>
  <si>
    <t xml:space="preserve">LA_TRAPPE | BOCK | </t>
  </si>
  <si>
    <t xml:space="preserve">LA_TRAPPE | PUUR | </t>
  </si>
  <si>
    <t xml:space="preserve">THE_BELGIAN_CIDER | CORE | </t>
  </si>
  <si>
    <t xml:space="preserve">DOKKIE | CORE | </t>
  </si>
  <si>
    <t xml:space="preserve">PERLE | DIPA | </t>
  </si>
  <si>
    <t xml:space="preserve">IFIGENIA | CORE | </t>
  </si>
  <si>
    <t xml:space="preserve">LES_PERLES_DU_HOMARD | CORE | </t>
  </si>
  <si>
    <t xml:space="preserve">OCATA | CORE | </t>
  </si>
  <si>
    <t xml:space="preserve">WARMOUTH | CORE | </t>
  </si>
  <si>
    <t xml:space="preserve">DEAD_CAT | CORE | </t>
  </si>
  <si>
    <t xml:space="preserve">ELLIOT | CORE | </t>
  </si>
  <si>
    <t xml:space="preserve">BOBBY_BROWN | CORE | </t>
  </si>
  <si>
    <t xml:space="preserve">GONNA_GRILL_SOME_BACON | CORE | </t>
  </si>
  <si>
    <t xml:space="preserve">JOLLY_FUCKER | CORE | </t>
  </si>
  <si>
    <t xml:space="preserve">PINK_ELISE | CORE | </t>
  </si>
  <si>
    <t xml:space="preserve">BOHEMIAN_LAGER | CORE | </t>
  </si>
  <si>
    <t xml:space="preserve">BEER_GEN | KRIEK | </t>
  </si>
  <si>
    <t xml:space="preserve">WEYN | CORE | </t>
  </si>
  <si>
    <t xml:space="preserve">LECH | CORE | </t>
  </si>
  <si>
    <t xml:space="preserve">LECH | PILSNER | </t>
  </si>
  <si>
    <t xml:space="preserve">BEIRUT | CORE | </t>
  </si>
  <si>
    <t>VIVEN | IPA | ZERO</t>
  </si>
  <si>
    <t xml:space="preserve">CUM_LAUDE | IPA | </t>
  </si>
  <si>
    <t xml:space="preserve">CUM_LAUDE | RED | </t>
  </si>
  <si>
    <t xml:space="preserve">BLONDE_BRIES | CORE | </t>
  </si>
  <si>
    <t xml:space="preserve">DONKERE_DAUW | CORE | </t>
  </si>
  <si>
    <t xml:space="preserve">ARABIER | CORE | </t>
  </si>
  <si>
    <t xml:space="preserve">ARABIER | EVIL | </t>
  </si>
  <si>
    <t xml:space="preserve">QUILMES | CLASSIC | </t>
  </si>
  <si>
    <t xml:space="preserve">QUILMES | STOUT | </t>
  </si>
  <si>
    <t xml:space="preserve">SUPER_BOCK | CORE | </t>
  </si>
  <si>
    <t xml:space="preserve">SUPER_BOCK | STOUT | </t>
  </si>
  <si>
    <t xml:space="preserve">CORUJA | IPA | </t>
  </si>
  <si>
    <t xml:space="preserve">SUPER_BOCK | ABADIA | </t>
  </si>
  <si>
    <t>SUPER_BOCK | CORE | ZERO</t>
  </si>
  <si>
    <t xml:space="preserve">SUPER_BOCK | RADLER | </t>
  </si>
  <si>
    <t xml:space="preserve">SUPER_BOCK | SKY | </t>
  </si>
  <si>
    <t xml:space="preserve">SUPER_BOCK | TANGO | </t>
  </si>
  <si>
    <t xml:space="preserve">MARINA | CORE | </t>
  </si>
  <si>
    <t xml:space="preserve">BOOTJES_BIER | CORE | </t>
  </si>
  <si>
    <t xml:space="preserve">TOURTEL | MALT | </t>
  </si>
  <si>
    <t xml:space="preserve">ANTIGOON | IPA | </t>
  </si>
  <si>
    <t xml:space="preserve">MAGNERS | ORIGINAL | </t>
  </si>
  <si>
    <t>VERIFIED</t>
  </si>
  <si>
    <t>WOLF_8</t>
  </si>
  <si>
    <t>DUBBEL;AMBER;BROWN;DARK</t>
  </si>
  <si>
    <t>WINTERBOCK;WINTER</t>
  </si>
  <si>
    <t>BEER_GEN | KRIEK | ZERO</t>
  </si>
  <si>
    <t>WILDEMAN</t>
  </si>
  <si>
    <t>MAID;MINUTE_MADE;MINUTE_MATE;MINUTE_MAIT</t>
  </si>
  <si>
    <t>REDBERRIES;BERRY;RED</t>
  </si>
  <si>
    <t>STRONGBOW | RED_BERRIES |</t>
  </si>
  <si>
    <t>CHOUFFE;ACHOUFFE;LACHOUFFE;CHAUFFE;MCCHOUFFE</t>
  </si>
  <si>
    <t xml:space="preserve">LINDEMANS | FARO_LAMBIC | </t>
  </si>
  <si>
    <t xml:space="preserve">LEFFE | RITUEL | </t>
  </si>
  <si>
    <t>DUBBEL;BROWN;DARK</t>
  </si>
  <si>
    <t>E_ROUSSE;ROUSSE</t>
  </si>
  <si>
    <t>TRIPEL;GOLD;</t>
  </si>
  <si>
    <t>ST_IDESBALD | GOLDEN_BLOND |</t>
  </si>
  <si>
    <t>AMBER;ROUSSE</t>
  </si>
  <si>
    <t>ST_IDESBALD | AMBER_ROUSSE |</t>
  </si>
  <si>
    <t>PATER;6;</t>
  </si>
  <si>
    <t>BROWN;DARK;</t>
  </si>
  <si>
    <t>BLOND;BLONDE;BLONDA;BLONDE;BLOND/</t>
  </si>
  <si>
    <t>LUPULUS | ORGANICUS |</t>
  </si>
  <si>
    <t>KAISHUKA</t>
  </si>
  <si>
    <t xml:space="preserve">KEREL | KAISHUKA | </t>
  </si>
  <si>
    <t xml:space="preserve">CERCUEIL | CORE | </t>
  </si>
  <si>
    <t>CERCUEIL</t>
  </si>
  <si>
    <t xml:space="preserve">DE_LOGT | CORE | </t>
  </si>
  <si>
    <t>DE_LOGT</t>
  </si>
  <si>
    <t xml:space="preserve">PORETTI | WHITE | </t>
  </si>
  <si>
    <t xml:space="preserve">ROSDEL | CORE | </t>
  </si>
  <si>
    <t>ROSDEL</t>
  </si>
  <si>
    <t xml:space="preserve">V_PILS | CORE | </t>
  </si>
  <si>
    <t>V_PILS</t>
  </si>
  <si>
    <t xml:space="preserve">MODESTE | CORE | </t>
  </si>
  <si>
    <t>MODESTE</t>
  </si>
  <si>
    <t xml:space="preserve">MONGOZO | CORE | </t>
  </si>
  <si>
    <t xml:space="preserve">NE_VEURVECHTER | CORE | </t>
  </si>
  <si>
    <t>NE_VEURVECHTER</t>
  </si>
  <si>
    <t xml:space="preserve">HOPPY_HOUR | CORE | </t>
  </si>
  <si>
    <t>HOPPY_HOUR</t>
  </si>
  <si>
    <t xml:space="preserve">WISPE | BLOND;CORE | </t>
  </si>
  <si>
    <t>WISPE</t>
  </si>
  <si>
    <t xml:space="preserve">WISPE | TRIPEL | </t>
  </si>
  <si>
    <t xml:space="preserve">WISPE | IPA | </t>
  </si>
  <si>
    <t xml:space="preserve">WISPE | WHITE | </t>
  </si>
  <si>
    <t xml:space="preserve">WISPE | QUADRUPEL | </t>
  </si>
  <si>
    <t xml:space="preserve">WISPE | BOCK | </t>
  </si>
  <si>
    <t xml:space="preserve">WISPE | 1863 | </t>
  </si>
  <si>
    <t xml:space="preserve">WISPE | PORTER | </t>
  </si>
  <si>
    <t xml:space="preserve">WISPE | DUBBEL | </t>
  </si>
  <si>
    <t xml:space="preserve">WISPE | WEIZEN | </t>
  </si>
  <si>
    <t xml:space="preserve">ROARING_TWENTIES | CORE | </t>
  </si>
  <si>
    <t>ROARING_TWENTIES</t>
  </si>
  <si>
    <t xml:space="preserve">WISPE | CORE | </t>
  </si>
  <si>
    <t>WISPE | CORE | ZERO</t>
  </si>
  <si>
    <t xml:space="preserve">WOEST | CORE | </t>
  </si>
  <si>
    <t>WOEST</t>
  </si>
  <si>
    <t xml:space="preserve">LINDEMANS | CORE | </t>
  </si>
  <si>
    <t xml:space="preserve">LINDEMANS | SUMMER | </t>
  </si>
  <si>
    <t xml:space="preserve">SPAVELA | CORE | </t>
  </si>
  <si>
    <t>SPAVELA</t>
  </si>
  <si>
    <t xml:space="preserve">PALM | DOBBEL | </t>
  </si>
  <si>
    <t xml:space="preserve">ST_IDESBALD | ROUSSE;AMBER | </t>
  </si>
  <si>
    <t>ROUSSE;AMBER</t>
  </si>
  <si>
    <t xml:space="preserve">ST_IDESBALD | TRIPEL_ROUGE | </t>
  </si>
  <si>
    <t>TRIPEL_ROUGE</t>
  </si>
  <si>
    <t xml:space="preserve">ROSSE_TINKE | CORE | </t>
  </si>
  <si>
    <t>ROSSE_TINKE</t>
  </si>
  <si>
    <t xml:space="preserve">JUICY_BLONDE | CORE | </t>
  </si>
  <si>
    <t>JUICY_BLONDE</t>
  </si>
  <si>
    <t xml:space="preserve">LAZY_PANDA | CORE | </t>
  </si>
  <si>
    <t>LAZY_PANDA</t>
  </si>
  <si>
    <t xml:space="preserve">STEVIGE_LINKER | CORE | </t>
  </si>
  <si>
    <t>STEVIGE_LINKER</t>
  </si>
  <si>
    <t xml:space="preserve">STIEREN_KLOOT | CORE | </t>
  </si>
  <si>
    <t>STIEREN_KLOOT</t>
  </si>
  <si>
    <t xml:space="preserve">STOFFOASJE | CORE | </t>
  </si>
  <si>
    <t>STOFFOASJE</t>
  </si>
  <si>
    <t xml:space="preserve">FLORIS | CHOCOLAT | </t>
  </si>
  <si>
    <t xml:space="preserve">CORSAIRE | CORE | </t>
  </si>
  <si>
    <t>CORSAIRE</t>
  </si>
  <si>
    <t xml:space="preserve">FRULI | STRAWBERRY | </t>
  </si>
  <si>
    <t>FRULI</t>
  </si>
  <si>
    <t xml:space="preserve">PARANOIA | CORE;BLOND | </t>
  </si>
  <si>
    <t xml:space="preserve">PARANOIA | RED | </t>
  </si>
  <si>
    <t>PARANOIA | CORE;IPA | ZERO</t>
  </si>
  <si>
    <t xml:space="preserve">VILLERS | TRIPEL | </t>
  </si>
  <si>
    <t xml:space="preserve">VILLERS | OLD | </t>
  </si>
  <si>
    <t xml:space="preserve">ARTEVELDE | WIJZE | </t>
  </si>
  <si>
    <t>WIJZE</t>
  </si>
  <si>
    <t xml:space="preserve">LEFFE | SUMMER | </t>
  </si>
  <si>
    <t xml:space="preserve">13 | HOP | </t>
  </si>
  <si>
    <t xml:space="preserve">ROMAN_PILS | PILSNER;CORE | </t>
  </si>
  <si>
    <t>ROMAN_PILS</t>
  </si>
  <si>
    <t xml:space="preserve">BIZON | CORE | </t>
  </si>
  <si>
    <t>BIZON</t>
  </si>
  <si>
    <t>CLAUDETTE</t>
  </si>
  <si>
    <t xml:space="preserve">LIEFMANS | GOLD | </t>
  </si>
  <si>
    <t>GOUDENBAND</t>
  </si>
  <si>
    <t xml:space="preserve">REGENBOOGSKE | CORE | </t>
  </si>
  <si>
    <t>REGENBOOGSKE</t>
  </si>
  <si>
    <t xml:space="preserve">REUS | CORE | </t>
  </si>
  <si>
    <t>REUS</t>
  </si>
  <si>
    <t xml:space="preserve">ROUGE_MAX | RED | </t>
  </si>
  <si>
    <t>ROUGE_MAX</t>
  </si>
  <si>
    <t>STRONGBOW | RED_BERRIES | ZERO</t>
  </si>
  <si>
    <t>RED_BERRIES</t>
  </si>
  <si>
    <t>DE_KOM</t>
  </si>
  <si>
    <t xml:space="preserve">LUPULUS | VISTA | </t>
  </si>
  <si>
    <t>VISTA</t>
  </si>
  <si>
    <t xml:space="preserve">MOESJKE_TRIPPLE | TRIPEL;CORE | </t>
  </si>
  <si>
    <t>MOESJKE_TRIPPLE</t>
  </si>
  <si>
    <t>SAISON;CORE</t>
  </si>
  <si>
    <t xml:space="preserve">TAX | HOPPY_HUNTER | </t>
  </si>
  <si>
    <t>TAX</t>
  </si>
  <si>
    <t>HOPPY_HUNTER</t>
  </si>
  <si>
    <t xml:space="preserve">KRIEK_MAX | CORE | </t>
  </si>
  <si>
    <t xml:space="preserve">FRAMBOISE_MAX | CORE | </t>
  </si>
  <si>
    <t>FRAMBOISE_MAX</t>
  </si>
  <si>
    <t>KWAREMONT | CORE | ZERO</t>
  </si>
  <si>
    <t xml:space="preserve">GRIMBERGEN | BRUT;MAGNUM;OPUS | </t>
  </si>
  <si>
    <t>BRUT;MAGNUM;OPUS</t>
  </si>
  <si>
    <t xml:space="preserve">RODENBACH | GRAND_CRU | </t>
  </si>
  <si>
    <t xml:space="preserve">RODENBACH | GEORGES | </t>
  </si>
  <si>
    <t>GEORGES</t>
  </si>
  <si>
    <t xml:space="preserve">TANTEKE | SAISON;CORE | </t>
  </si>
  <si>
    <t>TANTEKE</t>
  </si>
  <si>
    <t xml:space="preserve">GOOD_CIDER | APPLE | </t>
  </si>
  <si>
    <t>GOOD_CIDER</t>
  </si>
  <si>
    <t xml:space="preserve">TORENTRAPPER | CORE | </t>
  </si>
  <si>
    <t>TORENTRAPPER</t>
  </si>
  <si>
    <t xml:space="preserve">TRIPEL_HAZART | CORE | </t>
  </si>
  <si>
    <t>TRIPEL_HAZART</t>
  </si>
  <si>
    <t xml:space="preserve">WEST_COAST_IPA | CORE | </t>
  </si>
  <si>
    <t xml:space="preserve">AFFLIGEM | WHITE | </t>
  </si>
  <si>
    <t xml:space="preserve">BELLEGEMS | WHITE | </t>
  </si>
  <si>
    <t>BELLEGEMS</t>
  </si>
  <si>
    <t xml:space="preserve">GOUDEN_CAROLUS | ULTRA | </t>
  </si>
  <si>
    <t>ULTRA</t>
  </si>
  <si>
    <t xml:space="preserve">KEREL | KAISHAKU | </t>
  </si>
  <si>
    <t xml:space="preserve">DUST | CORE | </t>
  </si>
  <si>
    <t>DUST</t>
  </si>
  <si>
    <t xml:space="preserve">FORSELA | CORE | </t>
  </si>
  <si>
    <t>FORSELA</t>
  </si>
  <si>
    <t xml:space="preserve">MORIAU | OUDE_GEUZE | </t>
  </si>
  <si>
    <t xml:space="preserve">ABATTOIR_VIANE | CORE | </t>
  </si>
  <si>
    <t>ABATTOIR_VIANE</t>
  </si>
  <si>
    <t xml:space="preserve">AFZUIPER | CORE | </t>
  </si>
  <si>
    <t>AFZUIPER</t>
  </si>
  <si>
    <t xml:space="preserve">PETRUS | AGED_PALE | </t>
  </si>
  <si>
    <t>AGED_PALE</t>
  </si>
  <si>
    <t>PICO_NOVA | CORE | ZERO</t>
  </si>
  <si>
    <t>PICO_NOVA</t>
  </si>
  <si>
    <t xml:space="preserve">NE_POEFER | CORE | </t>
  </si>
  <si>
    <t>NE_POEFER</t>
  </si>
  <si>
    <t xml:space="preserve">QUINTINE | XMAS | </t>
  </si>
  <si>
    <t>QUINTINE</t>
  </si>
  <si>
    <t xml:space="preserve">QUINTINE | BLOND | </t>
  </si>
  <si>
    <t xml:space="preserve">QUINTINE | AMBER | </t>
  </si>
  <si>
    <t xml:space="preserve">QUINTINE | NATURE | </t>
  </si>
  <si>
    <t>NATURE</t>
  </si>
  <si>
    <t xml:space="preserve">QUINTINE | 30 | </t>
  </si>
  <si>
    <t xml:space="preserve">ST_BERNARDUS | TOKYO | </t>
  </si>
  <si>
    <t>TOKYO</t>
  </si>
  <si>
    <t>GULPENER | CORE | ZERO</t>
  </si>
  <si>
    <t>GULPENER | IPA | ZERO</t>
  </si>
  <si>
    <t>ZWARTE_RUITER | WHITE | ZERO</t>
  </si>
  <si>
    <t>ZWARTE_RUITER</t>
  </si>
  <si>
    <t>ZWARTE_RUITER | CORE;ORIGINAL | ZERO</t>
  </si>
  <si>
    <t xml:space="preserve">HERKENRODE | VESPER | </t>
  </si>
  <si>
    <t>HERKENRODE</t>
  </si>
  <si>
    <t xml:space="preserve">HERKENRODE | CISTER | </t>
  </si>
  <si>
    <t xml:space="preserve">HERKENRODE | NOCTIS | </t>
  </si>
  <si>
    <t>NOCTIS</t>
  </si>
  <si>
    <t xml:space="preserve">HERKENRODE | CANTOR | </t>
  </si>
  <si>
    <t>CANTOR</t>
  </si>
  <si>
    <t xml:space="preserve">CIDER_RUWET | CORE | </t>
  </si>
  <si>
    <t>CIDER_RUWET</t>
  </si>
  <si>
    <t xml:space="preserve">SAISON_MUSETTE | CORE | </t>
  </si>
  <si>
    <t>SAISON_MUSETTE</t>
  </si>
  <si>
    <t xml:space="preserve">SLAAPMUTSKE | TRIPEL | </t>
  </si>
  <si>
    <t xml:space="preserve">SLAAPMUTSKE | BLOND | </t>
  </si>
  <si>
    <t xml:space="preserve">SLAAPMUTSKE | XMAS | </t>
  </si>
  <si>
    <t xml:space="preserve">SLAAPMUTSKE | FLOSS | </t>
  </si>
  <si>
    <t>FLOSS</t>
  </si>
  <si>
    <t xml:space="preserve">SLAAPMUTSKE | DUBBEL | </t>
  </si>
  <si>
    <t xml:space="preserve">SLAAPMUTSKE | HOP | </t>
  </si>
  <si>
    <t xml:space="preserve">SLAAPMUTSKE | BROWN | </t>
  </si>
  <si>
    <t>JAN_VAN_OUDENAARDE | CORE | GLUTEN_FREE</t>
  </si>
  <si>
    <t>JAN_VAN_OUDENAARDE</t>
  </si>
  <si>
    <t xml:space="preserve">FLOSS | KRIEK | </t>
  </si>
  <si>
    <t xml:space="preserve">SLAAPMUTSKE | CORE | </t>
  </si>
  <si>
    <t xml:space="preserve">RONSISCHEN | TRIPEL | </t>
  </si>
  <si>
    <t>RONSISCHEN</t>
  </si>
  <si>
    <t xml:space="preserve">SAISON_VAN_DEN_BRUWER | CORE | </t>
  </si>
  <si>
    <t>SAISON_VAN_DEN_BRUWER</t>
  </si>
  <si>
    <t>SUPERB_OWL</t>
  </si>
  <si>
    <t>MAGNUM_OPUS</t>
  </si>
  <si>
    <t>LEMON;TOUCH</t>
  </si>
  <si>
    <t>GREEN;FINESSE</t>
  </si>
  <si>
    <t>RED;INTENSE</t>
  </si>
  <si>
    <t>INTENSE</t>
  </si>
  <si>
    <t>FINESSE</t>
  </si>
  <si>
    <t>CERCEUIL;CERCUEIL</t>
  </si>
  <si>
    <t>LA_TRAPPE | BOCKBIER |</t>
  </si>
  <si>
    <t xml:space="preserve">LA_TRAPPE | NILLIS | </t>
  </si>
  <si>
    <t>LA_TRAPPE | PUUR |</t>
  </si>
  <si>
    <t xml:space="preserve">DR_JUICE | CORE | </t>
  </si>
  <si>
    <t>DR_JUICE</t>
  </si>
  <si>
    <t xml:space="preserve">STEAM BREW | IPA | </t>
  </si>
  <si>
    <t>STEAM BREW</t>
  </si>
  <si>
    <t xml:space="preserve">STROOM | NEIPA | </t>
  </si>
  <si>
    <t xml:space="preserve">13 | EXPORT | </t>
  </si>
  <si>
    <t>13</t>
  </si>
  <si>
    <t xml:space="preserve">1830 | BLOND | </t>
  </si>
  <si>
    <t>1830</t>
  </si>
  <si>
    <t xml:space="preserve">1830 | LIBERTE | </t>
  </si>
  <si>
    <t>LIBERTE</t>
  </si>
  <si>
    <t xml:space="preserve">1830 | LOI | </t>
  </si>
  <si>
    <t>LOI</t>
  </si>
  <si>
    <t xml:space="preserve">1830 | ROI | </t>
  </si>
  <si>
    <t>ROI</t>
  </si>
  <si>
    <t xml:space="preserve">7700 | IPA | </t>
  </si>
  <si>
    <t>7700</t>
  </si>
  <si>
    <t xml:space="preserve">8410 | IPA | </t>
  </si>
  <si>
    <t>8410</t>
  </si>
  <si>
    <t xml:space="preserve">8410 | DARK | </t>
  </si>
  <si>
    <t xml:space="preserve">ALE_BEBACK | CORE | </t>
  </si>
  <si>
    <t>ALE_BEBACK</t>
  </si>
  <si>
    <t xml:space="preserve">CUBANISTO | CORE | </t>
  </si>
  <si>
    <t xml:space="preserve">PILS_LIEGEOISE | CORE | </t>
  </si>
  <si>
    <t>PILS_LIEGEOISE</t>
  </si>
  <si>
    <t xml:space="preserve">GAUFREE | CORE | </t>
  </si>
  <si>
    <t>GAUFREE</t>
  </si>
  <si>
    <t>3_HORSES | CORE | ZERO</t>
  </si>
  <si>
    <t>3_HORSES</t>
  </si>
  <si>
    <t xml:space="preserve">3_SCHTENG | CORE | </t>
  </si>
  <si>
    <t>3_SCHTENG</t>
  </si>
  <si>
    <t xml:space="preserve">3_MONTS | CORE | </t>
  </si>
  <si>
    <t xml:space="preserve">3_MONTS | GRAND_RESERVE | </t>
  </si>
  <si>
    <t>GRAND;RESERVE</t>
  </si>
  <si>
    <t>GRAND_RESERVE</t>
  </si>
  <si>
    <t xml:space="preserve">3_MONTS | SAISON | </t>
  </si>
  <si>
    <t xml:space="preserve">421_PINTJE | CORE | </t>
  </si>
  <si>
    <t>421_PINTJE</t>
  </si>
  <si>
    <t xml:space="preserve">5_QUINTO | CORE | </t>
  </si>
  <si>
    <t>5_QUINTO</t>
  </si>
  <si>
    <t xml:space="preserve">7PK | CORE | </t>
  </si>
  <si>
    <t>7PK</t>
  </si>
  <si>
    <t xml:space="preserve">8_6 | EXTREME | </t>
  </si>
  <si>
    <t>8_6</t>
  </si>
  <si>
    <t xml:space="preserve">8_6 | CHERRY | </t>
  </si>
  <si>
    <t xml:space="preserve">8_6 | ORIGINAL | </t>
  </si>
  <si>
    <t xml:space="preserve">AULNE | TRIPEL | </t>
  </si>
  <si>
    <t>AULNE</t>
  </si>
  <si>
    <t xml:space="preserve">AULNE | BLOND | </t>
  </si>
  <si>
    <t xml:space="preserve">AULNE | BROWN | </t>
  </si>
  <si>
    <t xml:space="preserve">HEYLISSEM | BROWN | </t>
  </si>
  <si>
    <t>HEYLISSEM</t>
  </si>
  <si>
    <t xml:space="preserve">HEYLISSEM | TRIPEL_BLOND | </t>
  </si>
  <si>
    <t xml:space="preserve">HEYLISSEM | TRIPEL_BROWN | </t>
  </si>
  <si>
    <t>TRIPEL_BROWN</t>
  </si>
  <si>
    <t xml:space="preserve">HELECINE | AMBER | </t>
  </si>
  <si>
    <t>HELECINE</t>
  </si>
  <si>
    <t xml:space="preserve">AULNE | CRU | </t>
  </si>
  <si>
    <t xml:space="preserve">AULNE | XMAS | </t>
  </si>
  <si>
    <t xml:space="preserve">FLONE | BLOND | </t>
  </si>
  <si>
    <t>FLONE</t>
  </si>
  <si>
    <t xml:space="preserve">FLONE | TRIPEL | </t>
  </si>
  <si>
    <t xml:space="preserve">FLONE | CUVEE | </t>
  </si>
  <si>
    <t xml:space="preserve">FLONE | CHERRY | </t>
  </si>
  <si>
    <t xml:space="preserve">VILLERS | BLOND | </t>
  </si>
  <si>
    <t xml:space="preserve">ROCS | NIGHT | </t>
  </si>
  <si>
    <t>ROCS</t>
  </si>
  <si>
    <t>NIGHT</t>
  </si>
  <si>
    <t xml:space="preserve">ROCS | PASSE_TOUT | </t>
  </si>
  <si>
    <t>PASSE_TOUT</t>
  </si>
  <si>
    <t xml:space="preserve">ROCS | XMAS | </t>
  </si>
  <si>
    <t xml:space="preserve">ROCS | TRIPEL | </t>
  </si>
  <si>
    <t xml:space="preserve">GHISLAIN | BLOND | </t>
  </si>
  <si>
    <t>GHISLAIN</t>
  </si>
  <si>
    <t xml:space="preserve">GHISLAIN | SPRING | </t>
  </si>
  <si>
    <t xml:space="preserve">GHISLAIN | HOP | </t>
  </si>
  <si>
    <t xml:space="preserve">GEMBLOUX | TRIPEL | </t>
  </si>
  <si>
    <t>CORE;TRIPEL</t>
  </si>
  <si>
    <t xml:space="preserve">ACHEL | JUBILEUM | </t>
  </si>
  <si>
    <t>JUBILEUM</t>
  </si>
  <si>
    <t xml:space="preserve">AD_VITAM | BLOND | </t>
  </si>
  <si>
    <t>AD_VITAM</t>
  </si>
  <si>
    <t xml:space="preserve">AD_VITAM | TRIPEL | </t>
  </si>
  <si>
    <t xml:space="preserve">ADELAAR | OUDE_GUEZE | </t>
  </si>
  <si>
    <t>ADELAAR</t>
  </si>
  <si>
    <t>OUDE_GUEZE</t>
  </si>
  <si>
    <t>ADEPT | TRIPEL | ZERO</t>
  </si>
  <si>
    <t xml:space="preserve">ADRIAEN_BROUWER | DARK_GOLD | </t>
  </si>
  <si>
    <t>DARK;GOLD</t>
  </si>
  <si>
    <t>DARK_GOLD</t>
  </si>
  <si>
    <t>WIT</t>
  </si>
  <si>
    <t>AFFLIGEM | WIT | ZERO</t>
  </si>
  <si>
    <t xml:space="preserve">AFFLIGEM | BRUT | </t>
  </si>
  <si>
    <t xml:space="preserve">AFZUIPER | BLOND | </t>
  </si>
  <si>
    <t xml:space="preserve">AGAINST_THE_MACHINE | CORE | </t>
  </si>
  <si>
    <t>AGAINST_THE_MACHINE</t>
  </si>
  <si>
    <t xml:space="preserve">AIRBORNE | TRIPEL | </t>
  </si>
  <si>
    <t xml:space="preserve">AIRBORNE | BROWN | </t>
  </si>
  <si>
    <t xml:space="preserve">AL_BARAQUE | TRINQUE | </t>
  </si>
  <si>
    <t>AL_BARAQUE</t>
  </si>
  <si>
    <t>CORE;TRINQUE</t>
  </si>
  <si>
    <t>TRINQUE</t>
  </si>
  <si>
    <t xml:space="preserve">AMBACHTELIJK_BLOND_BIER | BLOND | </t>
  </si>
  <si>
    <t>AMBACHTELIJK_BLOND_BIER</t>
  </si>
  <si>
    <t xml:space="preserve">AMBRAS | CORE | </t>
  </si>
  <si>
    <t>AMBRAS</t>
  </si>
  <si>
    <t xml:space="preserve">AMBROSIA | CORE | </t>
  </si>
  <si>
    <t>AMBROSIA</t>
  </si>
  <si>
    <t xml:space="preserve">ANGELE | BROWN | </t>
  </si>
  <si>
    <t>ANGELE</t>
  </si>
  <si>
    <t xml:space="preserve">ANONYME | AMBER | </t>
  </si>
  <si>
    <t>ANONYME</t>
  </si>
  <si>
    <t xml:space="preserve">ANOSTEKE | WINTER | </t>
  </si>
  <si>
    <t xml:space="preserve">ANOSTEKE | PRESTIGE | </t>
  </si>
  <si>
    <t xml:space="preserve">ANOSTEKE | BLOND | </t>
  </si>
  <si>
    <t xml:space="preserve">ANTON_AUS_THIOL | CORE | </t>
  </si>
  <si>
    <t>ANTON_AUS_THIOL</t>
  </si>
  <si>
    <t xml:space="preserve">ANTWERPSE_TRIPEL | CORE | </t>
  </si>
  <si>
    <t>ANTWERPSE_TRIPEL</t>
  </si>
  <si>
    <t xml:space="preserve">APEROOOOO | CORE | </t>
  </si>
  <si>
    <t>APEROOOOO</t>
  </si>
  <si>
    <t xml:space="preserve">APICOLE | CORE | </t>
  </si>
  <si>
    <t>APICOLE</t>
  </si>
  <si>
    <t xml:space="preserve">APPLEBOCQ | CORE | </t>
  </si>
  <si>
    <t>APPLEBOCQ</t>
  </si>
  <si>
    <t xml:space="preserve">ARA | PORTER | </t>
  </si>
  <si>
    <t xml:space="preserve">ARA | RYE | </t>
  </si>
  <si>
    <t xml:space="preserve">ARA_FALE | IPA | </t>
  </si>
  <si>
    <t>ARA_FALE</t>
  </si>
  <si>
    <t xml:space="preserve">ARAMISS | PALE_ALE | </t>
  </si>
  <si>
    <t>ARAMISS</t>
  </si>
  <si>
    <t xml:space="preserve">ARAMISS | BLOND | </t>
  </si>
  <si>
    <t xml:space="preserve">ARDEN_44 | CORE | </t>
  </si>
  <si>
    <t>ARDEN_44</t>
  </si>
  <si>
    <t xml:space="preserve">ARDENNE | WHITE | </t>
  </si>
  <si>
    <t xml:space="preserve">ARDENNE | GIVREE | </t>
  </si>
  <si>
    <t xml:space="preserve">ARDENNE | BEE_GEES | </t>
  </si>
  <si>
    <t>BEE_GEES</t>
  </si>
  <si>
    <t xml:space="preserve">ARDENNE | SPIRIT | </t>
  </si>
  <si>
    <t>SPIRIT</t>
  </si>
  <si>
    <t xml:space="preserve">ARDENNE | MY_DEER | </t>
  </si>
  <si>
    <t>MY_DEER</t>
  </si>
  <si>
    <t xml:space="preserve">ARDENNE | LOUP | </t>
  </si>
  <si>
    <t>LOUP</t>
  </si>
  <si>
    <t xml:space="preserve">AREND | WINTER | </t>
  </si>
  <si>
    <t xml:space="preserve">AREND | CORE | </t>
  </si>
  <si>
    <t xml:space="preserve">AREND | DUBBEL | </t>
  </si>
  <si>
    <t xml:space="preserve">ARSENAL | WHITE | </t>
  </si>
  <si>
    <t>ARSENAL</t>
  </si>
  <si>
    <t xml:space="preserve">ARTEVELDE | LEUTE | </t>
  </si>
  <si>
    <t xml:space="preserve">ASNAISE | TRIPEL | </t>
  </si>
  <si>
    <t>ASNAISE</t>
  </si>
  <si>
    <t xml:space="preserve">ASNAISE | BLOND | </t>
  </si>
  <si>
    <t xml:space="preserve">ASNAISE | MAISON | </t>
  </si>
  <si>
    <t>MAISON</t>
  </si>
  <si>
    <t xml:space="preserve">ASNAISE | ORIGINAL | </t>
  </si>
  <si>
    <t xml:space="preserve">ASNAISE | FRUIT | </t>
  </si>
  <si>
    <t xml:space="preserve">ATLAS | CORE | </t>
  </si>
  <si>
    <t>ATLAS</t>
  </si>
  <si>
    <t xml:space="preserve">ATLAS | STRONG | </t>
  </si>
  <si>
    <t xml:space="preserve">ATRIUM | WHITE | </t>
  </si>
  <si>
    <t>ATRIUM</t>
  </si>
  <si>
    <t xml:space="preserve">ATRIUM | RYE | </t>
  </si>
  <si>
    <t xml:space="preserve">ATRIUM | THE_ONE | </t>
  </si>
  <si>
    <t>THE_ONE</t>
  </si>
  <si>
    <t xml:space="preserve">ATRIUM | DE_TABLE | </t>
  </si>
  <si>
    <t>DE_TABLE</t>
  </si>
  <si>
    <t xml:space="preserve">ATRIUM | LOCALE_II | </t>
  </si>
  <si>
    <t>LOCALE_II</t>
  </si>
  <si>
    <t xml:space="preserve">ATRIUM | INFUSED | </t>
  </si>
  <si>
    <t>INFUSED</t>
  </si>
  <si>
    <t xml:space="preserve">AUBEL | BROWN | </t>
  </si>
  <si>
    <t xml:space="preserve">AUGURE | AMBER | </t>
  </si>
  <si>
    <t>AUGURE</t>
  </si>
  <si>
    <t xml:space="preserve">AUGUSTIJN | DARK | </t>
  </si>
  <si>
    <t xml:space="preserve">AUTHENTIQUE | AMBER | </t>
  </si>
  <si>
    <t>AUTHENTIQUE</t>
  </si>
  <si>
    <t xml:space="preserve">AUTHENTIQUE | BLOND | </t>
  </si>
  <si>
    <t xml:space="preserve">AVENA | SAISON | </t>
  </si>
  <si>
    <t>AVENA</t>
  </si>
  <si>
    <t xml:space="preserve">AVENA | BIO | </t>
  </si>
  <si>
    <t>BIO</t>
  </si>
  <si>
    <t xml:space="preserve">AVENA | HOP | </t>
  </si>
  <si>
    <t xml:space="preserve">AVOUERIE_D_ANTI | CORE | </t>
  </si>
  <si>
    <t>AVOUERIE_D_ANTI</t>
  </si>
  <si>
    <t xml:space="preserve">AVOUERIE_D_ANTI | BLOND | </t>
  </si>
  <si>
    <t xml:space="preserve">BABELEIR | HUGUES | </t>
  </si>
  <si>
    <t>BABELEIR</t>
  </si>
  <si>
    <t>HUGUES</t>
  </si>
  <si>
    <t xml:space="preserve">BABELEIR | SERGE | </t>
  </si>
  <si>
    <t>SERGE</t>
  </si>
  <si>
    <t xml:space="preserve">BABELEIR | HOP | </t>
  </si>
  <si>
    <t xml:space="preserve">BADJAWE | AMBER | </t>
  </si>
  <si>
    <t>BADJAWE</t>
  </si>
  <si>
    <t xml:space="preserve">BADJAWE | BLOND | </t>
  </si>
  <si>
    <t xml:space="preserve">BADJAWE | FESTIVE | </t>
  </si>
  <si>
    <t xml:space="preserve">TRIGNAC | CORE | </t>
  </si>
  <si>
    <t>TRIGNAC</t>
  </si>
  <si>
    <t xml:space="preserve">BARRIQUEE_WHISKY | CORE | </t>
  </si>
  <si>
    <t>BARRIQUEE_WHISKY</t>
  </si>
  <si>
    <t xml:space="preserve">BARSLECHT | CORE | </t>
  </si>
  <si>
    <t>BARSLECHT</t>
  </si>
  <si>
    <t xml:space="preserve">BASEQUE | CORE | </t>
  </si>
  <si>
    <t>BASEQUE</t>
  </si>
  <si>
    <t xml:space="preserve">BASILIUS | CORE | </t>
  </si>
  <si>
    <t>BASILIUS</t>
  </si>
  <si>
    <t xml:space="preserve">BATTELAAR | CORE | </t>
  </si>
  <si>
    <t xml:space="preserve">BATTELIEK | BAOBAB | </t>
  </si>
  <si>
    <t>BATTELIEK</t>
  </si>
  <si>
    <t xml:space="preserve">BATTELIEK | BARON | </t>
  </si>
  <si>
    <t>BARON</t>
  </si>
  <si>
    <t xml:space="preserve">BATTELIEK | BATTELAAR | </t>
  </si>
  <si>
    <t xml:space="preserve">BATTELIEK | IPA | </t>
  </si>
  <si>
    <t xml:space="preserve">BATTELIEK | OERKNAL | </t>
  </si>
  <si>
    <t>OERKNAL</t>
  </si>
  <si>
    <t xml:space="preserve">BATTIN | FRUIT | </t>
  </si>
  <si>
    <t xml:space="preserve">BATTIN | XMAS | </t>
  </si>
  <si>
    <t xml:space="preserve">BAVARIA | 8_6 | </t>
  </si>
  <si>
    <t xml:space="preserve">BAVIK | EXPORT | </t>
  </si>
  <si>
    <t xml:space="preserve">BAXBIER | CITRA | </t>
  </si>
  <si>
    <t>BAXBIER</t>
  </si>
  <si>
    <t>BAXBier</t>
  </si>
  <si>
    <t>KOUDVUUR</t>
  </si>
  <si>
    <t xml:space="preserve">BEER_VAN_BRUGGE | CORE | </t>
  </si>
  <si>
    <t>BEER_VAN_BRUGGE</t>
  </si>
  <si>
    <t xml:space="preserve">BEER_OF_CONTRADICTIONS | CORE | </t>
  </si>
  <si>
    <t>BEER_OF_CONTRADICTIONS</t>
  </si>
  <si>
    <t xml:space="preserve">BEERSTORMING | PINK | </t>
  </si>
  <si>
    <t>BEERSTORMING</t>
  </si>
  <si>
    <t xml:space="preserve">BEERSTORMING | WESH | </t>
  </si>
  <si>
    <t>WESH</t>
  </si>
  <si>
    <t xml:space="preserve">BEL_CHIC | EVENTS | </t>
  </si>
  <si>
    <t>EVENTS</t>
  </si>
  <si>
    <t xml:space="preserve">BEL_CHIC | RED | </t>
  </si>
  <si>
    <t xml:space="preserve">BELGA | WHITE | </t>
  </si>
  <si>
    <t>BELGA</t>
  </si>
  <si>
    <t xml:space="preserve">BELGA | RED | </t>
  </si>
  <si>
    <t xml:space="preserve">BELGA | TRIPEL | </t>
  </si>
  <si>
    <t xml:space="preserve">BELGA | VIVA | </t>
  </si>
  <si>
    <t>VIVA</t>
  </si>
  <si>
    <t xml:space="preserve">ZANZI | TRIPEL | </t>
  </si>
  <si>
    <t>ZANZI</t>
  </si>
  <si>
    <t xml:space="preserve">BELGIAN_BALANCE | CORE | </t>
  </si>
  <si>
    <t>BELGIAN_BALANCE</t>
  </si>
  <si>
    <t xml:space="preserve">LA_MILLE_VERTUS | CORE | </t>
  </si>
  <si>
    <t>LA_MILLE_VERTUS</t>
  </si>
  <si>
    <t xml:space="preserve">BELGICA | BLOND | </t>
  </si>
  <si>
    <t>BELGICA</t>
  </si>
  <si>
    <t xml:space="preserve">BELGICA | BROWN | </t>
  </si>
  <si>
    <t xml:space="preserve">BELGICA | TRIPEL | </t>
  </si>
  <si>
    <t xml:space="preserve">BELGICA | WHITE | </t>
  </si>
  <si>
    <t xml:space="preserve">BELGICUS | DARK | </t>
  </si>
  <si>
    <t>BELGICUS</t>
  </si>
  <si>
    <t xml:space="preserve">BELGICUS | IPA | </t>
  </si>
  <si>
    <t xml:space="preserve">BELGICUS | GOLD | </t>
  </si>
  <si>
    <t xml:space="preserve">BELGICUS | KITAP | </t>
  </si>
  <si>
    <t>KITAP</t>
  </si>
  <si>
    <t xml:space="preserve">BELGICUS | RED | </t>
  </si>
  <si>
    <t xml:space="preserve">BELGICUS | DUBBEL | </t>
  </si>
  <si>
    <t xml:space="preserve">BELGICUS | VIOLET | </t>
  </si>
  <si>
    <t>VIOLET</t>
  </si>
  <si>
    <t xml:space="preserve">BELGICUS | HOP | </t>
  </si>
  <si>
    <t xml:space="preserve">BELGIUM_BREW | WHITE | </t>
  </si>
  <si>
    <t>BELGIUM_BREW</t>
  </si>
  <si>
    <t xml:space="preserve">BELGIUM_BREW | IPA | </t>
  </si>
  <si>
    <t xml:space="preserve">BELGO_SAPIENS | CORE | </t>
  </si>
  <si>
    <t>BELGO_SAPIENS</t>
  </si>
  <si>
    <t xml:space="preserve">BELGOO | MAGUS | </t>
  </si>
  <si>
    <t>MAGUS</t>
  </si>
  <si>
    <t xml:space="preserve">BELGOO | LUPPO | </t>
  </si>
  <si>
    <t>LUPPO</t>
  </si>
  <si>
    <t xml:space="preserve">BELGOO | CORE | </t>
  </si>
  <si>
    <t>BELLEGEMS | CORE | ZERO</t>
  </si>
  <si>
    <t xml:space="preserve">BELLEROSE | IPA | </t>
  </si>
  <si>
    <t>BELLEROSE</t>
  </si>
  <si>
    <t xml:space="preserve">BELLE_VUE | EXTRA_KRIEK | </t>
  </si>
  <si>
    <t>EXTRA_KRIEK</t>
  </si>
  <si>
    <t xml:space="preserve">BELZEBUTH | RED | </t>
  </si>
  <si>
    <t>BELZEBUTH</t>
  </si>
  <si>
    <t xml:space="preserve">BELZEBUTH | BLOND | </t>
  </si>
  <si>
    <t xml:space="preserve">BELZEBUTH | PINK | </t>
  </si>
  <si>
    <t xml:space="preserve">BELZEBUTH | VIOLETTE | </t>
  </si>
  <si>
    <t xml:space="preserve">BELZEBUTH | CORE | </t>
  </si>
  <si>
    <t>BENEDIKTINER | CORE | ZERO</t>
  </si>
  <si>
    <t>BENEDIKTINER</t>
  </si>
  <si>
    <t xml:space="preserve">BENEDIKTINER | CORE | </t>
  </si>
  <si>
    <t xml:space="preserve">BERNE | TRIPEL | </t>
  </si>
  <si>
    <t>BERNE</t>
  </si>
  <si>
    <t xml:space="preserve">BERNE | CORE | </t>
  </si>
  <si>
    <t xml:space="preserve">BERSALIS | CADET | </t>
  </si>
  <si>
    <t>CADET</t>
  </si>
  <si>
    <t xml:space="preserve">BERSALIS | TRIPEL | </t>
  </si>
  <si>
    <t xml:space="preserve">BERSALIS | OAK | </t>
  </si>
  <si>
    <t>OAK</t>
  </si>
  <si>
    <t xml:space="preserve">BERTINCHAMPS | LIGHT | </t>
  </si>
  <si>
    <t xml:space="preserve">BERTINCHAMPS | WINTER | </t>
  </si>
  <si>
    <t xml:space="preserve">BESTIALE | BLOND | </t>
  </si>
  <si>
    <t xml:space="preserve">BHANG | CORE | </t>
  </si>
  <si>
    <t>BHANG</t>
  </si>
  <si>
    <t xml:space="preserve">BI_RATE | CORE | </t>
  </si>
  <si>
    <t>BI_RATE</t>
  </si>
  <si>
    <t xml:space="preserve">DE_MIEL | CORE | </t>
  </si>
  <si>
    <t>DE_MIEL</t>
  </si>
  <si>
    <t xml:space="preserve">DES_COLLINES | CORE | </t>
  </si>
  <si>
    <t>DES_COLLINES</t>
  </si>
  <si>
    <t xml:space="preserve">DES_OURS | CORE | </t>
  </si>
  <si>
    <t>DES_OURS</t>
  </si>
  <si>
    <t>DU_CORBEAU</t>
  </si>
  <si>
    <t xml:space="preserve">DU_CORSAIRE | CORE | </t>
  </si>
  <si>
    <t>DU_CORSAIRE</t>
  </si>
  <si>
    <t xml:space="preserve">AROMATISEE_AU_GENIEVRE | CORE | </t>
  </si>
  <si>
    <t>AROMATISEE_AU_GENIEVRE</t>
  </si>
  <si>
    <t xml:space="preserve">BLONDE_A_L_EPEAUTRE | CORE | </t>
  </si>
  <si>
    <t>BLONDE_A_L_EPEAUTRE</t>
  </si>
  <si>
    <t xml:space="preserve">BLONDE_ARTISANALE | CORE | </t>
  </si>
  <si>
    <t>BLONDE_ARTISANALE</t>
  </si>
  <si>
    <t xml:space="preserve">BLONDE_BELGE | CORE | </t>
  </si>
  <si>
    <t>BLONDE_BELGE</t>
  </si>
  <si>
    <t xml:space="preserve">BLONDE_DE_FARMHOUSE_ALE_|_SAISON | CORE | </t>
  </si>
  <si>
    <t>BLONDE_DE_FARMHOUSE_ALE_|_SAISON</t>
  </si>
  <si>
    <t xml:space="preserve">TRIPLE_AU_PARFUM_D_ORANGE | CORE | </t>
  </si>
  <si>
    <t>TRIPLE_AU_PARFUM_D_ORANGE</t>
  </si>
  <si>
    <t xml:space="preserve">BIG_BANG | PALE_ALE | </t>
  </si>
  <si>
    <t>BIG_BANG</t>
  </si>
  <si>
    <t xml:space="preserve">BIG_BELLY | QUADRUPEL | </t>
  </si>
  <si>
    <t>BIG_BELLY</t>
  </si>
  <si>
    <t xml:space="preserve">BIG_MAMA | CORE | </t>
  </si>
  <si>
    <t>BIG_MAMA</t>
  </si>
  <si>
    <t xml:space="preserve">BIG_MOUSS_TACHE | CORE | </t>
  </si>
  <si>
    <t>BIG_MOUSS_TACHE</t>
  </si>
  <si>
    <t xml:space="preserve">BIG_WAVE | CORE | </t>
  </si>
  <si>
    <t>BIG_WAVE</t>
  </si>
  <si>
    <t xml:space="preserve">BINK | CORE | </t>
  </si>
  <si>
    <t>BINK</t>
  </si>
  <si>
    <t xml:space="preserve">HERVOISE | CORE | </t>
  </si>
  <si>
    <t>HERVOISE</t>
  </si>
  <si>
    <t xml:space="preserve">BIRRA_DELLO_STRETTO | CORE | </t>
  </si>
  <si>
    <t>BIRRA_DELLO_STRETTO</t>
  </si>
  <si>
    <t xml:space="preserve">BISOUS_M_CHOU | CORE | </t>
  </si>
  <si>
    <t>BISOUS_M_CHOU</t>
  </si>
  <si>
    <t xml:space="preserve">BISOUS_M_CHOU | SEIZE | </t>
  </si>
  <si>
    <t>SEIZE</t>
  </si>
  <si>
    <t xml:space="preserve">BITTER_BOESKE | CORE | </t>
  </si>
  <si>
    <t>BITTER_BOESKE</t>
  </si>
  <si>
    <t>BIZON | CORE | ZERO</t>
  </si>
  <si>
    <t xml:space="preserve">BJJ | CORE | </t>
  </si>
  <si>
    <t>BJJ</t>
  </si>
  <si>
    <t xml:space="preserve">BJOY | BLOND | </t>
  </si>
  <si>
    <t>BJOY</t>
  </si>
  <si>
    <t xml:space="preserve">BJOY | TRIPEL | </t>
  </si>
  <si>
    <t>BL_BRUXELLES</t>
  </si>
  <si>
    <t xml:space="preserve">BL_CHARLEROI | CORE | </t>
  </si>
  <si>
    <t>BL_CHARLEROI</t>
  </si>
  <si>
    <t xml:space="preserve">BL_DES_HONNELLES | CORE | </t>
  </si>
  <si>
    <t>BL_DES_HONNELLES</t>
  </si>
  <si>
    <t xml:space="preserve">BLACK_C | CORE | </t>
  </si>
  <si>
    <t>BLACK_C</t>
  </si>
  <si>
    <t xml:space="preserve">BLACK_MAMBA | CORE | </t>
  </si>
  <si>
    <t>BLACK_MAMBA</t>
  </si>
  <si>
    <t xml:space="preserve">BLAGEUR | CORE | </t>
  </si>
  <si>
    <t>BLAGEUR</t>
  </si>
  <si>
    <t xml:space="preserve">BLANCHE_DE_BOUILLON | CORE | </t>
  </si>
  <si>
    <t>BLANCHE_DE_BOUILLON</t>
  </si>
  <si>
    <t xml:space="preserve">BLANCHE_DE_LESSIVE | CORE | </t>
  </si>
  <si>
    <t>BLANCHE_DE_LESSIVE</t>
  </si>
  <si>
    <t xml:space="preserve">BLANCHE_DE_NAMUR | CORE | </t>
  </si>
  <si>
    <t xml:space="preserve">BLANCHE_DE_THINES | CORE | </t>
  </si>
  <si>
    <t>BLANCHE_DE_THINES</t>
  </si>
  <si>
    <t xml:space="preserve">BLANCHE_DU_HAINAUT | CORE | </t>
  </si>
  <si>
    <t>BLANCHE_DU_HAINAUT</t>
  </si>
  <si>
    <t xml:space="preserve">BLANCHETTE_DE_GAUME | CORE | </t>
  </si>
  <si>
    <t>BLANCHETTE_DE_GAUME</t>
  </si>
  <si>
    <t xml:space="preserve">BLEU_METAL_SPIRIT | CORE | </t>
  </si>
  <si>
    <t>BLEU_METAL_SPIRIT</t>
  </si>
  <si>
    <t xml:space="preserve">BLIDEGARIAN | CORE | </t>
  </si>
  <si>
    <t>BLIDEGARIAN</t>
  </si>
  <si>
    <t xml:space="preserve">BLOEMENBIER | CORE | </t>
  </si>
  <si>
    <t>BLOEMENBIER</t>
  </si>
  <si>
    <t xml:space="preserve">BLOESEM_KRIEK | CORE | </t>
  </si>
  <si>
    <t>BLOESEM_KRIEK</t>
  </si>
  <si>
    <t xml:space="preserve">RECEVRESSE | CORE | </t>
  </si>
  <si>
    <t>RECEVRESSE</t>
  </si>
  <si>
    <t xml:space="preserve">DJAN_D_NIVELE | CORE | </t>
  </si>
  <si>
    <t>DJAN_D_NIVELE</t>
  </si>
  <si>
    <t xml:space="preserve">BICHETTE | CORE | </t>
  </si>
  <si>
    <t>BICHETTE</t>
  </si>
  <si>
    <t xml:space="preserve">FABULEUSE | CORE | </t>
  </si>
  <si>
    <t>FABULEUSE</t>
  </si>
  <si>
    <t xml:space="preserve">FIERE | CORE | </t>
  </si>
  <si>
    <t>FIERE</t>
  </si>
  <si>
    <t xml:space="preserve">GALIPETTE | CORE | </t>
  </si>
  <si>
    <t xml:space="preserve">GAUMAISE | CORE | </t>
  </si>
  <si>
    <t>GAUMAISE</t>
  </si>
  <si>
    <t xml:space="preserve">GOUTTE | CORE | </t>
  </si>
  <si>
    <t>GOUTTE</t>
  </si>
  <si>
    <t xml:space="preserve">LOUVE | CORE | </t>
  </si>
  <si>
    <t>LOUVE</t>
  </si>
  <si>
    <t xml:space="preserve">MONT_NOIRE | CORE | </t>
  </si>
  <si>
    <t>MONT_NOIRE</t>
  </si>
  <si>
    <t xml:space="preserve">MONTOISE | CORE | </t>
  </si>
  <si>
    <t>MONTOISE</t>
  </si>
  <si>
    <t xml:space="preserve">POILUCHETTE | CORE | </t>
  </si>
  <si>
    <t xml:space="preserve">TROUFFETTE | CORE | </t>
  </si>
  <si>
    <t>TROUFFETTE</t>
  </si>
  <si>
    <t xml:space="preserve">BLONDER_BRAU | CORE | </t>
  </si>
  <si>
    <t>BLONDER_BRAU</t>
  </si>
  <si>
    <t xml:space="preserve">BLONDINETTE | CORE | </t>
  </si>
  <si>
    <t>BLONDINETTE</t>
  </si>
  <si>
    <t xml:space="preserve">BLONDOR | CORE | </t>
  </si>
  <si>
    <t>BLONDOR</t>
  </si>
  <si>
    <t xml:space="preserve">BOBBI | TRIPEL | </t>
  </si>
  <si>
    <t xml:space="preserve">BOBBI | IPA | </t>
  </si>
  <si>
    <t xml:space="preserve">BOBELINE | TRIPEL | </t>
  </si>
  <si>
    <t>BOBELINE</t>
  </si>
  <si>
    <t xml:space="preserve">BOBELINE | WHITE | </t>
  </si>
  <si>
    <t xml:space="preserve">BOBELINE | BLACK | </t>
  </si>
  <si>
    <t xml:space="preserve">BOCA | BROWN | </t>
  </si>
  <si>
    <t>BOCA</t>
  </si>
  <si>
    <t xml:space="preserve">BOCA | TRIPEL | </t>
  </si>
  <si>
    <t xml:space="preserve">BOCA | AMBER | </t>
  </si>
  <si>
    <t xml:space="preserve">BOCA | BLOND | </t>
  </si>
  <si>
    <t xml:space="preserve">BOCKOR | BLOND | </t>
  </si>
  <si>
    <t xml:space="preserve">BOCKOR | BROWN | </t>
  </si>
  <si>
    <t xml:space="preserve">BOENTJE | RYE | </t>
  </si>
  <si>
    <t>BOENTJE</t>
  </si>
  <si>
    <t xml:space="preserve">BOERKEN | CORE | </t>
  </si>
  <si>
    <t>BOERKEN</t>
  </si>
  <si>
    <t xml:space="preserve">BOFFERDING | SPRING | </t>
  </si>
  <si>
    <t xml:space="preserve">BOFFERDING | XMAS | </t>
  </si>
  <si>
    <t xml:space="preserve">BOGAERDEN | DUBBEL | </t>
  </si>
  <si>
    <t>BOGAERDEN</t>
  </si>
  <si>
    <t>BOGAERDEN_TRIPEL</t>
  </si>
  <si>
    <t xml:space="preserve">BOHO | CORE | </t>
  </si>
  <si>
    <t>BOHO</t>
  </si>
  <si>
    <t xml:space="preserve">BOKBIER | CORE | </t>
  </si>
  <si>
    <t>BOKBIER</t>
  </si>
  <si>
    <t xml:space="preserve">BON_HOMME | CORE | </t>
  </si>
  <si>
    <t>BON_HOMME</t>
  </si>
  <si>
    <t xml:space="preserve">BON_SECOURS | EMERITE | </t>
  </si>
  <si>
    <t>EMERITE</t>
  </si>
  <si>
    <t xml:space="preserve">BON_SECOURS | HERITAGE | </t>
  </si>
  <si>
    <t>HERITAGE</t>
  </si>
  <si>
    <t xml:space="preserve">BON_SECOURS | XMAS | </t>
  </si>
  <si>
    <t xml:space="preserve">BON_SECOURS | TRADITION | </t>
  </si>
  <si>
    <t xml:space="preserve">BONS_BAISERS | CORE | </t>
  </si>
  <si>
    <t>BONS_BAISERS</t>
  </si>
  <si>
    <t xml:space="preserve">BOON | NO_5 | </t>
  </si>
  <si>
    <t>NO_5</t>
  </si>
  <si>
    <t xml:space="preserve">BOON | NO_6 | </t>
  </si>
  <si>
    <t>NO_6</t>
  </si>
  <si>
    <t xml:space="preserve">BOON | NO_7 | </t>
  </si>
  <si>
    <t>NO_7</t>
  </si>
  <si>
    <t xml:space="preserve">BOON | NO_8 | </t>
  </si>
  <si>
    <t>NO_8</t>
  </si>
  <si>
    <t xml:space="preserve">BOON | NO_9 | </t>
  </si>
  <si>
    <t>NO_9</t>
  </si>
  <si>
    <t xml:space="preserve">BOOZY_BLOND | CORE | </t>
  </si>
  <si>
    <t>BOOZY_BLOND</t>
  </si>
  <si>
    <t xml:space="preserve">BOURGOGNE_DES_FLANDRES | CORE | </t>
  </si>
  <si>
    <t xml:space="preserve">BOURLETTINE | CORE | </t>
  </si>
  <si>
    <t>BOURLETTINE</t>
  </si>
  <si>
    <t xml:space="preserve">BR | WHITE | </t>
  </si>
  <si>
    <t>BR</t>
  </si>
  <si>
    <t xml:space="preserve">BR | TRIPEL | </t>
  </si>
  <si>
    <t xml:space="preserve">BR | BLOND | </t>
  </si>
  <si>
    <t xml:space="preserve">BRAMBRASS | CORE | </t>
  </si>
  <si>
    <t>BRAMBRASS</t>
  </si>
  <si>
    <t xml:space="preserve">BRAND | WHITE | </t>
  </si>
  <si>
    <t xml:space="preserve">BRAND | WINTER | </t>
  </si>
  <si>
    <t>BRAND_0_0</t>
  </si>
  <si>
    <t xml:space="preserve">DE_LA_LESSE | CORE | </t>
  </si>
  <si>
    <t>DE_LA_LESSE</t>
  </si>
  <si>
    <t xml:space="preserve">DE_LA_MULE | WEISSE | </t>
  </si>
  <si>
    <t>DE_LA_MULE</t>
  </si>
  <si>
    <t>WEISSE</t>
  </si>
  <si>
    <t xml:space="preserve">DE_LA_MULE | SAISON | </t>
  </si>
  <si>
    <t xml:space="preserve">DE_LA_SEMOIS | CORE | </t>
  </si>
  <si>
    <t>DE_LA_SEMOIS</t>
  </si>
  <si>
    <t xml:space="preserve">DES_LOUPS | WHITE | </t>
  </si>
  <si>
    <t>DES_LOUPS</t>
  </si>
  <si>
    <t xml:space="preserve">DES_LOUPS | CRU | </t>
  </si>
  <si>
    <t>CRU;GRAND</t>
  </si>
  <si>
    <t>DU_PAYS_NOIR</t>
  </si>
  <si>
    <t xml:space="preserve">HURL | CORE | </t>
  </si>
  <si>
    <t>HURL</t>
  </si>
  <si>
    <t xml:space="preserve">LION | LYCHEE | </t>
  </si>
  <si>
    <t>LION</t>
  </si>
  <si>
    <t xml:space="preserve">LION | XMAS | </t>
  </si>
  <si>
    <t xml:space="preserve">LION_5 | WHITE | </t>
  </si>
  <si>
    <t>LION_5</t>
  </si>
  <si>
    <t xml:space="preserve">LION_6 | IPA | </t>
  </si>
  <si>
    <t>LION_6</t>
  </si>
  <si>
    <t xml:space="preserve">MINNE | CORE | </t>
  </si>
  <si>
    <t>MINNE</t>
  </si>
  <si>
    <t xml:space="preserve">PHILIPPE | IPA | </t>
  </si>
  <si>
    <t>PHILIPPE</t>
  </si>
  <si>
    <t xml:space="preserve">PHILIPPE | TRIPEL | </t>
  </si>
  <si>
    <t xml:space="preserve">PHILIPPE | ESUS | </t>
  </si>
  <si>
    <t>ESUS</t>
  </si>
  <si>
    <t xml:space="preserve">PHILIPPE | BLACK | </t>
  </si>
  <si>
    <t>BLACK;FOREST</t>
  </si>
  <si>
    <t xml:space="preserve">DE_L_HERITAGE | TRIPEL | </t>
  </si>
  <si>
    <t>DE_L_HERITAGE</t>
  </si>
  <si>
    <t xml:space="preserve">DE_L_HERITAGE | SAISON | </t>
  </si>
  <si>
    <t xml:space="preserve">DE_LA_MULE | CORE | </t>
  </si>
  <si>
    <t xml:space="preserve">DE_L_HERITAGE | CORE | </t>
  </si>
  <si>
    <t xml:space="preserve">ETLISO | CORE | </t>
  </si>
  <si>
    <t>ETLISO</t>
  </si>
  <si>
    <t xml:space="preserve">BRASVAR | CORE | </t>
  </si>
  <si>
    <t xml:space="preserve">BRAVEN | CORE | </t>
  </si>
  <si>
    <t>BREWDOG | PUNK | ZERO</t>
  </si>
  <si>
    <t>PUNK</t>
  </si>
  <si>
    <t xml:space="preserve">BREWDOG | NANNY | </t>
  </si>
  <si>
    <t>NANNY</t>
  </si>
  <si>
    <t xml:space="preserve">BREWDOG | ELVIS | </t>
  </si>
  <si>
    <t>ELVIS</t>
  </si>
  <si>
    <t xml:space="preserve">BREWDOG | PONY | </t>
  </si>
  <si>
    <t>PONY</t>
  </si>
  <si>
    <t xml:space="preserve">BREWDOG | PUNK_IPA | </t>
  </si>
  <si>
    <t>PUNK_IPA</t>
  </si>
  <si>
    <t xml:space="preserve">BREWDOG | SESSION_IPA | </t>
  </si>
  <si>
    <t>SESSION_IPA</t>
  </si>
  <si>
    <t xml:space="preserve">BREWKSEL | IPA | </t>
  </si>
  <si>
    <t>BREWKSEL</t>
  </si>
  <si>
    <t xml:space="preserve">BREWKSEL | SANSHO | </t>
  </si>
  <si>
    <t>SANSHO</t>
  </si>
  <si>
    <t xml:space="preserve">BREWKSEL | PROUD | </t>
  </si>
  <si>
    <t>PROUD</t>
  </si>
  <si>
    <t xml:space="preserve">BREWSTER_GANG | BLOND | </t>
  </si>
  <si>
    <t>BREWSTER_GANG</t>
  </si>
  <si>
    <t xml:space="preserve">BREWSTER_GANG | DUBBEL | </t>
  </si>
  <si>
    <t xml:space="preserve">BREWSTER_GANG | TRIPEL | </t>
  </si>
  <si>
    <t xml:space="preserve">BRISE_LIME | CORE | </t>
  </si>
  <si>
    <t>BRISE_LIME</t>
  </si>
  <si>
    <t xml:space="preserve">BROEBBELEIR | CORE | </t>
  </si>
  <si>
    <t>BROEBBELEIR</t>
  </si>
  <si>
    <t xml:space="preserve">BROEDER_JACOB | TRIPEL | </t>
  </si>
  <si>
    <t xml:space="preserve">BROEDER_JACOB | ESPRESSO | </t>
  </si>
  <si>
    <t>ESPRESSO</t>
  </si>
  <si>
    <t xml:space="preserve">BROEDER_JACOB | PORT | </t>
  </si>
  <si>
    <t>PORT;PORTER</t>
  </si>
  <si>
    <t>PORT</t>
  </si>
  <si>
    <t xml:space="preserve">BROOKLYN | CORE | </t>
  </si>
  <si>
    <t>BROOKLYN</t>
  </si>
  <si>
    <t xml:space="preserve">BROUWERIJ_T_IJ | ZATTE | </t>
  </si>
  <si>
    <t>ZATTE</t>
  </si>
  <si>
    <t xml:space="preserve">BROUWERIJ_T_IJ | FLINK | </t>
  </si>
  <si>
    <t>FLINK</t>
  </si>
  <si>
    <t xml:space="preserve">BROUWERIJ_T_IJ | IPA | </t>
  </si>
  <si>
    <t xml:space="preserve">BRUGGE_LIMITED_EDITION | TRIPEL | </t>
  </si>
  <si>
    <t>BRUGGE_LIMITED_EDITION</t>
  </si>
  <si>
    <t xml:space="preserve">BRUGS_WIT | WITBIER | </t>
  </si>
  <si>
    <t xml:space="preserve">BRUGSE_ZOT | CORE | </t>
  </si>
  <si>
    <t xml:space="preserve">BRUNEHAUT | WHITE | </t>
  </si>
  <si>
    <t xml:space="preserve">BRUNEHAUT | AMBER | </t>
  </si>
  <si>
    <t xml:space="preserve">BRUNEHAUT | ARTISANAL | </t>
  </si>
  <si>
    <t>ARTISANAL</t>
  </si>
  <si>
    <t xml:space="preserve">BRUNEHAUT | SAISON | </t>
  </si>
  <si>
    <t xml:space="preserve">BRUNEHAUT | DRY | </t>
  </si>
  <si>
    <t>DRY</t>
  </si>
  <si>
    <t xml:space="preserve">BRUNEHAUT | IPA | </t>
  </si>
  <si>
    <t xml:space="preserve">BRUSSELS_CALLING | CORE | </t>
  </si>
  <si>
    <t>BRUSSELS_CALLING</t>
  </si>
  <si>
    <t xml:space="preserve">BRUTE | CORE | </t>
  </si>
  <si>
    <t>BRUTE</t>
  </si>
  <si>
    <t xml:space="preserve">BRYGGJA | TRIPEL | </t>
  </si>
  <si>
    <t>BRYGGJA</t>
  </si>
  <si>
    <t xml:space="preserve">BRYGGJA | BROWN | </t>
  </si>
  <si>
    <t xml:space="preserve">BRYGGJA | IPA | </t>
  </si>
  <si>
    <t xml:space="preserve">BRYGGJA | AMUSE | </t>
  </si>
  <si>
    <t>AMUSE</t>
  </si>
  <si>
    <t xml:space="preserve">BRYGGJA | SAREPTA | </t>
  </si>
  <si>
    <t>SAREPTA</t>
  </si>
  <si>
    <t xml:space="preserve">BRYGGJA | AXIDENT | </t>
  </si>
  <si>
    <t>AXIDENT</t>
  </si>
  <si>
    <t xml:space="preserve">BRYGGJA | ARISTIDE | </t>
  </si>
  <si>
    <t>ARISTIDE</t>
  </si>
  <si>
    <t xml:space="preserve">BUD | CORE | </t>
  </si>
  <si>
    <t>BUD</t>
  </si>
  <si>
    <t xml:space="preserve">BUFFALO | CORE | </t>
  </si>
  <si>
    <t xml:space="preserve">BUSH | CARACTERE | </t>
  </si>
  <si>
    <t xml:space="preserve">BUXBEER | BLOND | </t>
  </si>
  <si>
    <t>BUXBEER</t>
  </si>
  <si>
    <t xml:space="preserve">BUXBEER | DUBBEL | </t>
  </si>
  <si>
    <t xml:space="preserve">BUXBEER | TRIPEL | </t>
  </si>
  <si>
    <t xml:space="preserve">CANNAHOPPER | CORE | </t>
  </si>
  <si>
    <t>CANNAHOPPER</t>
  </si>
  <si>
    <t xml:space="preserve">CANTILLON | OUDE_GEUZE | </t>
  </si>
  <si>
    <t xml:space="preserve">CANTILLON | FOU | </t>
  </si>
  <si>
    <t>FOU</t>
  </si>
  <si>
    <t xml:space="preserve">CAPITAINE_WOODEN | CORE | </t>
  </si>
  <si>
    <t>CAPITAINE_WOODEN</t>
  </si>
  <si>
    <t xml:space="preserve">CARACOLE | CORE | </t>
  </si>
  <si>
    <t xml:space="preserve">CARACOLE | PARADISE | </t>
  </si>
  <si>
    <t>PARADISE</t>
  </si>
  <si>
    <t xml:space="preserve">CARDENA | DUBBEL | </t>
  </si>
  <si>
    <t>CARDENA</t>
  </si>
  <si>
    <t xml:space="preserve">CARDENA | TRIPEL | </t>
  </si>
  <si>
    <t xml:space="preserve">CARLSBERG | CORE | </t>
  </si>
  <si>
    <t xml:space="preserve">CASS | RED | </t>
  </si>
  <si>
    <t xml:space="preserve">CASS | LIGHT | </t>
  </si>
  <si>
    <t>CASS | CORE | ZERO</t>
  </si>
  <si>
    <t xml:space="preserve">CHAPEAU | CUVEE | </t>
  </si>
  <si>
    <t>CHAPEAU</t>
  </si>
  <si>
    <t xml:space="preserve">CHAPEAU | LEMON | </t>
  </si>
  <si>
    <t xml:space="preserve">CHAPEAU | EXOTIC | </t>
  </si>
  <si>
    <t xml:space="preserve">CHAPEAU | PECHE | </t>
  </si>
  <si>
    <t xml:space="preserve">CHAPEAU | FARO | </t>
  </si>
  <si>
    <t xml:space="preserve">CHAPEAU | GUEZE | </t>
  </si>
  <si>
    <t>GUEZE</t>
  </si>
  <si>
    <t xml:space="preserve">CHAPEAU | TROCH | </t>
  </si>
  <si>
    <t>TROCH</t>
  </si>
  <si>
    <t xml:space="preserve">CHARLEROY | XMAS | </t>
  </si>
  <si>
    <t>CHARLEROY</t>
  </si>
  <si>
    <t xml:space="preserve">CHARLEROY | AMBER | </t>
  </si>
  <si>
    <t xml:space="preserve">CHARLEROY | ZEBREE | </t>
  </si>
  <si>
    <t>ZEBREE</t>
  </si>
  <si>
    <t xml:space="preserve">CHARLEROY | TRIPEL | </t>
  </si>
  <si>
    <t xml:space="preserve">CHARLEROY | CHERRY | </t>
  </si>
  <si>
    <t xml:space="preserve">CHARLEROY | IPA | </t>
  </si>
  <si>
    <t xml:space="preserve">CHARLEROY | 350 | </t>
  </si>
  <si>
    <t xml:space="preserve">CHARLEROY | WHITE | </t>
  </si>
  <si>
    <t xml:space="preserve">CHARMETINE | CORE | </t>
  </si>
  <si>
    <t>CHARMETINE</t>
  </si>
  <si>
    <t xml:space="preserve">CHATEAU_DE_BOUSSU | CORE | </t>
  </si>
  <si>
    <t>CHATEAU_DE_BOUSSU</t>
  </si>
  <si>
    <t xml:space="preserve">CHATEAU_D_HELECINE | CORE | </t>
  </si>
  <si>
    <t>CHATEAU_D_HELECINE</t>
  </si>
  <si>
    <t xml:space="preserve">CHEVAL_GODET | DUBBEL | </t>
  </si>
  <si>
    <t xml:space="preserve">CHEVAL_GODET | QUADRUPEL | </t>
  </si>
  <si>
    <t xml:space="preserve">CHTI | TRIPEL | </t>
  </si>
  <si>
    <t>CHTI</t>
  </si>
  <si>
    <t xml:space="preserve">CHTI | GARDE | </t>
  </si>
  <si>
    <t>GARDE</t>
  </si>
  <si>
    <t xml:space="preserve">CHURCH_SESSION | CORE | </t>
  </si>
  <si>
    <t>CHURCH_SESSION</t>
  </si>
  <si>
    <t xml:space="preserve">CIRCUS_HERB_TRIPEL | CORE | </t>
  </si>
  <si>
    <t>CIRCUS_HERB_TRIPEL</t>
  </si>
  <si>
    <t xml:space="preserve">CLAK_BELGIAN_IPA | CORE | </t>
  </si>
  <si>
    <t>CLAK_BELGIAN_IPA</t>
  </si>
  <si>
    <t xml:space="preserve">COCHONNETTE | CORE | </t>
  </si>
  <si>
    <t>COCHONNETTE</t>
  </si>
  <si>
    <t xml:space="preserve">COLONEL_ARCH | CORE | </t>
  </si>
  <si>
    <t>COLONEL_ARCH</t>
  </si>
  <si>
    <t xml:space="preserve">COOHOP | CORE | </t>
  </si>
  <si>
    <t>COOHOP</t>
  </si>
  <si>
    <t xml:space="preserve">COUAGGA | CORE | </t>
  </si>
  <si>
    <t>COUAGGA</t>
  </si>
  <si>
    <t xml:space="preserve">COYOTE | CORE | </t>
  </si>
  <si>
    <t>COYOTE</t>
  </si>
  <si>
    <t xml:space="preserve">CRIME_AMOUREUX | CORE | </t>
  </si>
  <si>
    <t>CRIME_AMOUREUX</t>
  </si>
  <si>
    <t xml:space="preserve">CRIMINELLE_BLONDE | CORE | </t>
  </si>
  <si>
    <t>CRIMINELLE_BLONDE</t>
  </si>
  <si>
    <t xml:space="preserve">CUM_LAUDE_BLOND | CORE | </t>
  </si>
  <si>
    <t>CUM_LAUDE_BLOND</t>
  </si>
  <si>
    <t xml:space="preserve">CURCU | CORE | </t>
  </si>
  <si>
    <t>CURCU</t>
  </si>
  <si>
    <t xml:space="preserve">CURCU_BIO | CORE | </t>
  </si>
  <si>
    <t>CURCU_BIO</t>
  </si>
  <si>
    <t xml:space="preserve">CURTIUS_CLASSIC | CORE | </t>
  </si>
  <si>
    <t>CURTIUS_CLASSIC</t>
  </si>
  <si>
    <t xml:space="preserve">CUVEE_DES_SEIGNEURS_DE_BOUSSU | CORE | </t>
  </si>
  <si>
    <t>CUVEE_DES_SEIGNEURS_DE_BOUSSU</t>
  </si>
  <si>
    <t xml:space="preserve">CUVEE_DES_TROLLS | CORE | </t>
  </si>
  <si>
    <t xml:space="preserve">CUVEE_DU_TCHESTE | CORE | </t>
  </si>
  <si>
    <t>CUVEE_DU_TCHESTE</t>
  </si>
  <si>
    <t xml:space="preserve">CUVEE_GERPINNOISE | CORE | </t>
  </si>
  <si>
    <t>CUVEE_GERPINNOISE</t>
  </si>
  <si>
    <t xml:space="preserve">CUVEE_LI_CROCHON | CORE | </t>
  </si>
  <si>
    <t>CUVEE_LI_CROCHON</t>
  </si>
  <si>
    <t xml:space="preserve">CUVEE_ST_ANTOINE | CORE | </t>
  </si>
  <si>
    <t>CUVEE_ST_ANTOINE</t>
  </si>
  <si>
    <t xml:space="preserve">CUVEE_DE_BOUILLON_BLONDE | CORE | </t>
  </si>
  <si>
    <t>CUVEE_DE_BOUILLON_BLONDE</t>
  </si>
  <si>
    <t xml:space="preserve">CUVEE_DES_JONQUILLES | CORE | </t>
  </si>
  <si>
    <t>CUVEE_DES_JONQUILLES</t>
  </si>
  <si>
    <t xml:space="preserve">CUVEE_GERPINNOISE_BLONDE | CORE | </t>
  </si>
  <si>
    <t>CUVEE_GERPINNOISE_BLONDE</t>
  </si>
  <si>
    <t xml:space="preserve">DAM | CORE | </t>
  </si>
  <si>
    <t>DAM</t>
  </si>
  <si>
    <t xml:space="preserve">DAM_BLONDE | CORE | </t>
  </si>
  <si>
    <t>DAM_BLONDE</t>
  </si>
  <si>
    <t xml:space="preserve">DAMME_BLOND | CORE | </t>
  </si>
  <si>
    <t>DAMME_BLOND</t>
  </si>
  <si>
    <t xml:space="preserve">DANSAERT | GEUZE | </t>
  </si>
  <si>
    <t>DANSAERT</t>
  </si>
  <si>
    <t xml:space="preserve">DANSAERT | PLUM | </t>
  </si>
  <si>
    <t xml:space="preserve">DANSAERT | WILD | </t>
  </si>
  <si>
    <t xml:space="preserve">DARBYSTE | CORE | </t>
  </si>
  <si>
    <t>DARBYSTE</t>
  </si>
  <si>
    <t xml:space="preserve">DARBYSTE_NI | CORE | </t>
  </si>
  <si>
    <t>DARBYSTE_NI</t>
  </si>
  <si>
    <t xml:space="preserve">DATISANDERE_KOEKOEK_FARMHOUSE_ALE_|_SAISON | CORE | </t>
  </si>
  <si>
    <t>DATISANDERE_KOEKOEK_FARMHOUSE_ALE_|_SAISON</t>
  </si>
  <si>
    <t xml:space="preserve">DE_LEITE | PAPA | </t>
  </si>
  <si>
    <t>DE_LEITE</t>
  </si>
  <si>
    <t>PAPA</t>
  </si>
  <si>
    <t xml:space="preserve">DE_LEITE | CUVEE | </t>
  </si>
  <si>
    <t xml:space="preserve">DE_POES | CORE | </t>
  </si>
  <si>
    <t xml:space="preserve">DE_RANKE | BELGE | </t>
  </si>
  <si>
    <t>BELGE</t>
  </si>
  <si>
    <t xml:space="preserve">DE_RANKE | MIRAKEL | </t>
  </si>
  <si>
    <t>MIRAKEL</t>
  </si>
  <si>
    <t xml:space="preserve">DE_RANKE | SIMPLEX | </t>
  </si>
  <si>
    <t xml:space="preserve">DE_RANKE | CUVEE | </t>
  </si>
  <si>
    <t xml:space="preserve">DE_RANKE | OLD | </t>
  </si>
  <si>
    <t xml:space="preserve">DE_RUMOERIGE_ROODBORST | CORE | </t>
  </si>
  <si>
    <t>DE_RUMOERIGE_ROODBORST</t>
  </si>
  <si>
    <t xml:space="preserve">DE_TROCH | BANANA | </t>
  </si>
  <si>
    <t xml:space="preserve">DE_TROCH | KROOSJES | </t>
  </si>
  <si>
    <t>KROOSJES</t>
  </si>
  <si>
    <t xml:space="preserve">DE_WITTE_ZWAAN | CORE | </t>
  </si>
  <si>
    <t>DE_WITTE_ZWAAN</t>
  </si>
  <si>
    <t xml:space="preserve">DE_BIE_VELO | CORE | </t>
  </si>
  <si>
    <t>DE_BIE_VELO</t>
  </si>
  <si>
    <t xml:space="preserve">DE_BLÉ | CORE | </t>
  </si>
  <si>
    <t>DE_BLÉ</t>
  </si>
  <si>
    <t xml:space="preserve">DE_KOPEREN_MARKIES | RED | </t>
  </si>
  <si>
    <t xml:space="preserve">DE_KOPEREN_MARKIES | BRUT | </t>
  </si>
  <si>
    <t xml:space="preserve">DE_KOPEREN_MARKIES | EXTRA | </t>
  </si>
  <si>
    <t xml:space="preserve">DE_LEGENDE_TRIPEL | CORE | </t>
  </si>
  <si>
    <t>DE_LEGENDE_TRIPEL</t>
  </si>
  <si>
    <t xml:space="preserve">PALLIETER_TRIPEL | CORE | </t>
  </si>
  <si>
    <t>PALLIETER_TRIPEL</t>
  </si>
  <si>
    <t xml:space="preserve">DE_RANKE | AMER | </t>
  </si>
  <si>
    <t>AMER</t>
  </si>
  <si>
    <t xml:space="preserve">DE_SOIGNIES | CARABIBI | </t>
  </si>
  <si>
    <t>DE_SOIGNIES</t>
  </si>
  <si>
    <t>CARABIBI</t>
  </si>
  <si>
    <t xml:space="preserve">DE_SOIGNIES | BLUE | </t>
  </si>
  <si>
    <t xml:space="preserve">DE_SOLEIL | SUN | </t>
  </si>
  <si>
    <t>DE_SOLEIL</t>
  </si>
  <si>
    <t xml:space="preserve">DEETZ | CORE | </t>
  </si>
  <si>
    <t>DEETZ</t>
  </si>
  <si>
    <t xml:space="preserve">DELIRIUM | BARREL | </t>
  </si>
  <si>
    <t>BARREL</t>
  </si>
  <si>
    <t xml:space="preserve">DELIRIUM | XMAS | </t>
  </si>
  <si>
    <t xml:space="preserve">DELIRIUM | QUADRUPEL | </t>
  </si>
  <si>
    <t xml:space="preserve">DEMETER | SPRING | </t>
  </si>
  <si>
    <t>DEMETER</t>
  </si>
  <si>
    <t xml:space="preserve">DEN_IJZEREN_ARM | CORE | </t>
  </si>
  <si>
    <t>DEN_IJZEREN_ARM</t>
  </si>
  <si>
    <t xml:space="preserve">DESPERADOS | GINGER | </t>
  </si>
  <si>
    <t xml:space="preserve">DESPERADOS | RED | </t>
  </si>
  <si>
    <t>CAIPIRINHA</t>
  </si>
  <si>
    <t xml:space="preserve">DESPERADOS | STRAWBERRY | </t>
  </si>
  <si>
    <t xml:space="preserve">DESPERADOS | CACTUS | </t>
  </si>
  <si>
    <t xml:space="preserve">DIOLE | AMBER | </t>
  </si>
  <si>
    <t xml:space="preserve">DIOLE | XMAS | </t>
  </si>
  <si>
    <t xml:space="preserve">DIOLE | BROWN | </t>
  </si>
  <si>
    <t xml:space="preserve">DIOLE_BIO | BIO | </t>
  </si>
  <si>
    <t>DIOLE_BIO</t>
  </si>
  <si>
    <t xml:space="preserve">DIOLE_HOPPY | HOP | </t>
  </si>
  <si>
    <t>DIOLE_HOPPY</t>
  </si>
  <si>
    <t xml:space="preserve">DJU{C} | CORE | </t>
  </si>
  <si>
    <t>DJU{C}</t>
  </si>
  <si>
    <t xml:space="preserve">DODOENS | CORE | </t>
  </si>
  <si>
    <t>DODOENS</t>
  </si>
  <si>
    <t xml:space="preserve">DOERAK | CORE | </t>
  </si>
  <si>
    <t>DOERAK</t>
  </si>
  <si>
    <t xml:space="preserve">STICKY_WINGS | CORE | </t>
  </si>
  <si>
    <t>STICKY_WINGS</t>
  </si>
  <si>
    <t>DOKKIE | CORE | ZERO</t>
  </si>
  <si>
    <t xml:space="preserve">DOKTER_WHO‑HOO | CORE | </t>
  </si>
  <si>
    <t>DOKTER_WHO‑HOO</t>
  </si>
  <si>
    <t xml:space="preserve">MET_JE_MOER_TEGEN_DE_DAMPOORT | CORE | </t>
  </si>
  <si>
    <t>MET_JE_MOER_TEGEN_DE_DAMPOORT</t>
  </si>
  <si>
    <t xml:space="preserve">TWIN_PINKS | CORE | </t>
  </si>
  <si>
    <t>TWIN_PINKS</t>
  </si>
  <si>
    <t xml:space="preserve">DOK_BREWING | PILSNER | </t>
  </si>
  <si>
    <t xml:space="preserve">DOK_BREWING | SAISON | </t>
  </si>
  <si>
    <t xml:space="preserve">DOK_BREWING | CITADELLA | </t>
  </si>
  <si>
    <t>CITADELLA</t>
  </si>
  <si>
    <t xml:space="preserve">DOK_BREWING | WHITE | </t>
  </si>
  <si>
    <t xml:space="preserve">DOKTOR_RUDI | CORE | </t>
  </si>
  <si>
    <t>DOKTOR_RUDI</t>
  </si>
  <si>
    <t xml:space="preserve">DORPSBROUWERIJ_BIERBEEK | WHITE | </t>
  </si>
  <si>
    <t>DORPSBROUWERIJ_BIERBEEK</t>
  </si>
  <si>
    <t xml:space="preserve">DORPSBROUWERIJ_BIERBEEK | BROWN | </t>
  </si>
  <si>
    <t xml:space="preserve">DORPSBROUWERIJ_BIERBEEK | SAISON | </t>
  </si>
  <si>
    <t>DOUBLE_ENGHIEN_BLOND</t>
  </si>
  <si>
    <t xml:space="preserve">DRONKENPUT | BROWN | </t>
  </si>
  <si>
    <t>DRONKENPUT</t>
  </si>
  <si>
    <t xml:space="preserve">DRONKENPUT_TRIPEL | TRIPEL | </t>
  </si>
  <si>
    <t>DRONKENPUT_TRIPEL</t>
  </si>
  <si>
    <t xml:space="preserve">DRUNK_SAILOR | CORE | </t>
  </si>
  <si>
    <t>DRUNK_SAILOR</t>
  </si>
  <si>
    <t xml:space="preserve">DRUPPEL | QUADRUPEL | </t>
  </si>
  <si>
    <t>DRUPPEL</t>
  </si>
  <si>
    <t xml:space="preserve">DRUPPEL_TRIPEL | TRIPEL | </t>
  </si>
  <si>
    <t>DRUPPEL_TRIPEL</t>
  </si>
  <si>
    <t xml:space="preserve">DOMINICAINS | DUBBEL | </t>
  </si>
  <si>
    <t xml:space="preserve">DUFF | CORE | </t>
  </si>
  <si>
    <t>DUFF</t>
  </si>
  <si>
    <t xml:space="preserve">DULLE_GRIET | DUBBEL | </t>
  </si>
  <si>
    <t xml:space="preserve">DUNEKUEN_GOUDBLOND | GOLD | </t>
  </si>
  <si>
    <t>DUNEKUEN_GOUDBLOND</t>
  </si>
  <si>
    <t xml:space="preserve">DUPONT | STOUT | </t>
  </si>
  <si>
    <t>DUPONT</t>
  </si>
  <si>
    <t xml:space="preserve">DUVEL | BARREL | </t>
  </si>
  <si>
    <t xml:space="preserve">DUVEL | BRASIL | </t>
  </si>
  <si>
    <t>BRASIL</t>
  </si>
  <si>
    <t xml:space="preserve">DUVEL | IRISH | </t>
  </si>
  <si>
    <t xml:space="preserve">DUVEL | RUM | </t>
  </si>
  <si>
    <t>RUM</t>
  </si>
  <si>
    <t xml:space="preserve">EL_BIETE | CORE | </t>
  </si>
  <si>
    <t>EL_BIETE</t>
  </si>
  <si>
    <t xml:space="preserve">ELFIQUE | CUBERDON | </t>
  </si>
  <si>
    <t>CUBERDON</t>
  </si>
  <si>
    <t xml:space="preserve">ELFIQUE | WHITE | </t>
  </si>
  <si>
    <t xml:space="preserve">ELFIQUE | WINTER | </t>
  </si>
  <si>
    <t xml:space="preserve">EN_STOEMELINGS | HOLY | </t>
  </si>
  <si>
    <t>EN_STOEMELINGS</t>
  </si>
  <si>
    <t>HOLY</t>
  </si>
  <si>
    <t xml:space="preserve">EN_STOEMELINGS | IPA | </t>
  </si>
  <si>
    <t xml:space="preserve">EN_STOEMELINGS | CASQUETTE | </t>
  </si>
  <si>
    <t>CASQUETTE</t>
  </si>
  <si>
    <t xml:space="preserve">EN_STOEMELINGS | TANTEKE | </t>
  </si>
  <si>
    <t xml:space="preserve">EN_STOEMELINGS | YODELEIR | </t>
  </si>
  <si>
    <t xml:space="preserve">EN_STOEMELINGS | KOLSCH | </t>
  </si>
  <si>
    <t xml:space="preserve">EN_STOEMELINGS | RED | </t>
  </si>
  <si>
    <t xml:space="preserve">EN_STOEMELINGS | HOP | </t>
  </si>
  <si>
    <t xml:space="preserve">EN_STOEMELINGS | PAPY | </t>
  </si>
  <si>
    <t>PAPY</t>
  </si>
  <si>
    <t xml:space="preserve">ENAME | HOP | </t>
  </si>
  <si>
    <t xml:space="preserve">ENAME | CUVEE | </t>
  </si>
  <si>
    <t xml:space="preserve">ENAME | RED | </t>
  </si>
  <si>
    <t xml:space="preserve">ENTRE_NOUS | CORE | </t>
  </si>
  <si>
    <t xml:space="preserve">EPHIMERE | CORE | </t>
  </si>
  <si>
    <t>EPHIMERE</t>
  </si>
  <si>
    <t xml:space="preserve">EPIK | KERMESS | </t>
  </si>
  <si>
    <t>EPIK</t>
  </si>
  <si>
    <t>KERMESS</t>
  </si>
  <si>
    <t xml:space="preserve">EPIK | HOP | </t>
  </si>
  <si>
    <t xml:space="preserve">ERDINGER | KRISTALL | </t>
  </si>
  <si>
    <t>KRISTALL</t>
  </si>
  <si>
    <t xml:space="preserve">ERDINGER | PIKANTUS | </t>
  </si>
  <si>
    <t>PIKANTUS</t>
  </si>
  <si>
    <t xml:space="preserve">ERDINGER | OKTOBERFEST | </t>
  </si>
  <si>
    <t>OKTOBERFEST</t>
  </si>
  <si>
    <t xml:space="preserve">ERDINGER | WEISSBIER | </t>
  </si>
  <si>
    <t xml:space="preserve">ERDINGER | SCHNEEWEISSE | </t>
  </si>
  <si>
    <t>SCHNEEWEISSE</t>
  </si>
  <si>
    <t xml:space="preserve">ERDINGER | URWEISSE | </t>
  </si>
  <si>
    <t>URWEISSE</t>
  </si>
  <si>
    <t xml:space="preserve">ESPERLUETTE | AMBER | </t>
  </si>
  <si>
    <t>ESPERLUETTE</t>
  </si>
  <si>
    <t xml:space="preserve">ESPERLUETTE | ARTISANAL | </t>
  </si>
  <si>
    <t xml:space="preserve">ESPERLUETTE | GLA | </t>
  </si>
  <si>
    <t>GLA</t>
  </si>
  <si>
    <t xml:space="preserve">ESTIVALE | CORE | </t>
  </si>
  <si>
    <t xml:space="preserve">EXCEL | PILSNER | </t>
  </si>
  <si>
    <t>EXCEL</t>
  </si>
  <si>
    <t xml:space="preserve">EXPERIMENTAL_{C} | OWL | </t>
  </si>
  <si>
    <t>EXPERIMENTAL_{C}</t>
  </si>
  <si>
    <t>OWL</t>
  </si>
  <si>
    <t xml:space="preserve">FAGNES | GRIOTTES | </t>
  </si>
  <si>
    <t>GRIOTTES</t>
  </si>
  <si>
    <t xml:space="preserve">FAGNES_GOLD | GOLD | </t>
  </si>
  <si>
    <t>FAGNES_GOLD</t>
  </si>
  <si>
    <t xml:space="preserve">LA_COSSE | CORE | </t>
  </si>
  <si>
    <t>LA_COSSE</t>
  </si>
  <si>
    <t xml:space="preserve">VAPEUR_EN_FOLIE | CORE | </t>
  </si>
  <si>
    <t>VAPEUR_EN_FOLIE</t>
  </si>
  <si>
    <t xml:space="preserve">ZAGEMAN | CORE | </t>
  </si>
  <si>
    <t>ZAGEMAN</t>
  </si>
  <si>
    <t xml:space="preserve">SAISON_DE_PIPAIX | CORE | </t>
  </si>
  <si>
    <t>SAISON_DE_PIPAIX</t>
  </si>
  <si>
    <t xml:space="preserve">SAISON_DUPONT | BIO | </t>
  </si>
  <si>
    <t xml:space="preserve">SAISON_DUPONT | CUVEE | </t>
  </si>
  <si>
    <t xml:space="preserve">SAISON_DUPONT | CORE | </t>
  </si>
  <si>
    <t xml:space="preserve">SAISON_RÉGAL | CORE | </t>
  </si>
  <si>
    <t>SAISON_RÉGAL</t>
  </si>
  <si>
    <t xml:space="preserve">SAISON_SAINT_MÉDARD | AMBER | </t>
  </si>
  <si>
    <t>SAISON_SAINT_MÉDARD</t>
  </si>
  <si>
    <t xml:space="preserve">SAISON_SAINT_MÉDARD | BROWN | </t>
  </si>
  <si>
    <t xml:space="preserve">SAISON_VAN_DE_BRUWER | CORE | </t>
  </si>
  <si>
    <t>SAISON_VAN_DE_BRUWER</t>
  </si>
  <si>
    <t xml:space="preserve">SAISON 1818 | CORE | </t>
  </si>
  <si>
    <t>SAISON 1818</t>
  </si>
  <si>
    <t xml:space="preserve">SAISON_1858 | CORE | </t>
  </si>
  <si>
    <t>SAISON_1858</t>
  </si>
  <si>
    <t xml:space="preserve">SAISON_D_ERPE_MERE | CORE | </t>
  </si>
  <si>
    <t xml:space="preserve">SAISON_REGAL | CORE | </t>
  </si>
  <si>
    <t xml:space="preserve">SAISONNEKE | CORE | </t>
  </si>
  <si>
    <t xml:space="preserve">FAT_GRISOU | CORE | </t>
  </si>
  <si>
    <t>FAT_GRISOU</t>
  </si>
  <si>
    <t xml:space="preserve">FAXE | EXPORT | </t>
  </si>
  <si>
    <t>FAXE</t>
  </si>
  <si>
    <t xml:space="preserve">FAXE | PREMIUM | </t>
  </si>
  <si>
    <t>PREMIUM</t>
  </si>
  <si>
    <t xml:space="preserve">FAXE | 10 | </t>
  </si>
  <si>
    <t xml:space="preserve">FLAK | IPA | </t>
  </si>
  <si>
    <t>FLAK</t>
  </si>
  <si>
    <t xml:space="preserve">FLAK | TRIPEL | </t>
  </si>
  <si>
    <t xml:space="preserve">FLAK | BLOND | </t>
  </si>
  <si>
    <t xml:space="preserve">FLAK | ABSOLEM | </t>
  </si>
  <si>
    <t>ABSOLEM</t>
  </si>
  <si>
    <t xml:space="preserve">FLANDERS_FIELDS | CORE | </t>
  </si>
  <si>
    <t>FLANDERS_FIELDS</t>
  </si>
  <si>
    <t xml:space="preserve">FLO58 | CORE | </t>
  </si>
  <si>
    <t>FLO58</t>
  </si>
  <si>
    <t xml:space="preserve">FLOEM | CORE | </t>
  </si>
  <si>
    <t>FLOEM</t>
  </si>
  <si>
    <t xml:space="preserve">FLOREFFE | CORE | </t>
  </si>
  <si>
    <t xml:space="preserve">FLORENTINE | CORE | </t>
  </si>
  <si>
    <t>FLORENTINE</t>
  </si>
  <si>
    <t xml:space="preserve">FLORIS | CORE | </t>
  </si>
  <si>
    <t xml:space="preserve">FLURK | 9 | </t>
  </si>
  <si>
    <t xml:space="preserve">FLURK | HOPPER | </t>
  </si>
  <si>
    <t>HOPPER</t>
  </si>
  <si>
    <t xml:space="preserve">FONTANA | BLOND | </t>
  </si>
  <si>
    <t xml:space="preserve">FONTANA | CORE | </t>
  </si>
  <si>
    <t xml:space="preserve">FORGE_TRIPLE | CORE | </t>
  </si>
  <si>
    <t>FORGE_TRIPLE</t>
  </si>
  <si>
    <t xml:space="preserve">FORT_LAPIN | RED | </t>
  </si>
  <si>
    <t xml:space="preserve">FORT_LAPIN | HOP | </t>
  </si>
  <si>
    <t xml:space="preserve">FRANCH | IPA | </t>
  </si>
  <si>
    <t>FRANCH</t>
  </si>
  <si>
    <t xml:space="preserve">FRANCH | TRIPEL | </t>
  </si>
  <si>
    <t>FRANCH | BLOND | LIGHT</t>
  </si>
  <si>
    <t>BLOND;LIGHT</t>
  </si>
  <si>
    <t xml:space="preserve">FRANZISKANER | CORE | </t>
  </si>
  <si>
    <t>FREE_BREW | CORE | ZERO</t>
  </si>
  <si>
    <t>FREE_BREW</t>
  </si>
  <si>
    <t xml:space="preserve">FREEDOM | CORE | </t>
  </si>
  <si>
    <t>FREEDOM</t>
  </si>
  <si>
    <t xml:space="preserve">FRIS_BIE | CORE | </t>
  </si>
  <si>
    <t>FRIS_BIE</t>
  </si>
  <si>
    <t>JUICE;PUNCH</t>
  </si>
  <si>
    <t xml:space="preserve">FRONTAAL | RHODESIAN | </t>
  </si>
  <si>
    <t>RHODESIAN</t>
  </si>
  <si>
    <t xml:space="preserve">FRUIT_BOMB | CORE | </t>
  </si>
  <si>
    <t>FRUIT_BOMB</t>
  </si>
  <si>
    <t xml:space="preserve">FRÜLI | CORE | </t>
  </si>
  <si>
    <t>FRÜLI</t>
  </si>
  <si>
    <t xml:space="preserve">FUGU | CORE | </t>
  </si>
  <si>
    <t>FUGU</t>
  </si>
  <si>
    <t>G_DE_GOUDALE</t>
  </si>
  <si>
    <t xml:space="preserve">G4 | TRIPEL | </t>
  </si>
  <si>
    <t>G4</t>
  </si>
  <si>
    <t xml:space="preserve">GAIA | CORE | </t>
  </si>
  <si>
    <t>GAIA</t>
  </si>
  <si>
    <t xml:space="preserve">GANSBEEK | PALE | </t>
  </si>
  <si>
    <t>GANSBEEK</t>
  </si>
  <si>
    <t xml:space="preserve">GANSBEEK | BLOND | </t>
  </si>
  <si>
    <t xml:space="preserve">GANSBEEK | TRIPEL | </t>
  </si>
  <si>
    <t xml:space="preserve">GANSBEEK | SABROSA | </t>
  </si>
  <si>
    <t>SABROSA</t>
  </si>
  <si>
    <t xml:space="preserve">GEMBLOUX | SPIRIT | </t>
  </si>
  <si>
    <t xml:space="preserve">GEMBLOUX | FRUIT;FOREST | </t>
  </si>
  <si>
    <t>FRUIT;FOREST</t>
  </si>
  <si>
    <t xml:space="preserve">GEMBLOUX | SPLASH | </t>
  </si>
  <si>
    <t>SPASH;IPA</t>
  </si>
  <si>
    <t>SPLASH</t>
  </si>
  <si>
    <t xml:space="preserve">GENGOULF | CEPES | </t>
  </si>
  <si>
    <t>GENGOULF</t>
  </si>
  <si>
    <t>CEPES</t>
  </si>
  <si>
    <t xml:space="preserve">GENGOULF | ARTISANALE | </t>
  </si>
  <si>
    <t>ARTISANALE</t>
  </si>
  <si>
    <t xml:space="preserve">GENGOULF | TOUT | </t>
  </si>
  <si>
    <t>TOUT</t>
  </si>
  <si>
    <t xml:space="preserve">HETE_KLINKE | CORE | </t>
  </si>
  <si>
    <t>HETE_KLINKE</t>
  </si>
  <si>
    <t xml:space="preserve">GEYSK | DUNKELWEIZEN | </t>
  </si>
  <si>
    <t>GEYSK</t>
  </si>
  <si>
    <t>DUNKELWEIZEN</t>
  </si>
  <si>
    <t xml:space="preserve">GINETTE | AMBER | </t>
  </si>
  <si>
    <t xml:space="preserve">GINETTE | IPA | </t>
  </si>
  <si>
    <t xml:space="preserve">GLUCK | PILSNER | </t>
  </si>
  <si>
    <t>GLUCK</t>
  </si>
  <si>
    <t>GOALS | BOOST | ZERO</t>
  </si>
  <si>
    <t>GOALS</t>
  </si>
  <si>
    <t>BOOST</t>
  </si>
  <si>
    <t xml:space="preserve">GODEFROY | ROUSSE | </t>
  </si>
  <si>
    <t>GODEFROY</t>
  </si>
  <si>
    <t xml:space="preserve">GOEDENDAG | TRIPEL | </t>
  </si>
  <si>
    <t xml:space="preserve">GOLDOR | LEIVES | </t>
  </si>
  <si>
    <t>GOLDOR</t>
  </si>
  <si>
    <t>LEIVES</t>
  </si>
  <si>
    <t xml:space="preserve">GOLIATH | VINTAGE | </t>
  </si>
  <si>
    <t xml:space="preserve">GOOOO | TRIPEL | </t>
  </si>
  <si>
    <t>GOOOO</t>
  </si>
  <si>
    <t xml:space="preserve">GOOOO | BEURRE | </t>
  </si>
  <si>
    <t>BEURRE</t>
  </si>
  <si>
    <t xml:space="preserve">GORDON | REVOLUCION | </t>
  </si>
  <si>
    <t>REVOLUCION</t>
  </si>
  <si>
    <t xml:space="preserve">GORDON | CHOCOLAT | </t>
  </si>
  <si>
    <t xml:space="preserve">GORDON | LIME | </t>
  </si>
  <si>
    <t xml:space="preserve">GORDON | PEACH | </t>
  </si>
  <si>
    <t xml:space="preserve">GORDON | PINA_COLADA | </t>
  </si>
  <si>
    <t>PINA_COLADA</t>
  </si>
  <si>
    <t xml:space="preserve">GORDON | WATERMELON | </t>
  </si>
  <si>
    <t>FINEST</t>
  </si>
  <si>
    <t xml:space="preserve">GRAIN_D_ORGE | CORE | </t>
  </si>
  <si>
    <t>GRAIN_D_ORGE</t>
  </si>
  <si>
    <t xml:space="preserve">GRAND_MIR | BROWN | </t>
  </si>
  <si>
    <t>GRAND_MIR</t>
  </si>
  <si>
    <t xml:space="preserve">GRAND_MIR | SAISON | </t>
  </si>
  <si>
    <t xml:space="preserve">GRAND_MIR | SOYEUSE | </t>
  </si>
  <si>
    <t>SOYEUSE</t>
  </si>
  <si>
    <t xml:space="preserve">GRAND_MIR | RUBIS | </t>
  </si>
  <si>
    <t>RUBIS</t>
  </si>
  <si>
    <t xml:space="preserve">GRAND_MIR | BLACK | </t>
  </si>
  <si>
    <t xml:space="preserve">GRAND_MIR | FESTIVE | </t>
  </si>
  <si>
    <t xml:space="preserve">GRAND_MIR | AMBER | </t>
  </si>
  <si>
    <t xml:space="preserve">GRAND_MIR | BLOND | </t>
  </si>
  <si>
    <t xml:space="preserve">GRANDGOUSIER | CORE | </t>
  </si>
  <si>
    <t>GRANDGOUSIER</t>
  </si>
  <si>
    <t xml:space="preserve">GROLSCH | PILNSER | </t>
  </si>
  <si>
    <t>SUMER</t>
  </si>
  <si>
    <t xml:space="preserve">GROLSCH | TRIPEL | </t>
  </si>
  <si>
    <t>BOCK;AUTUMN</t>
  </si>
  <si>
    <t>HERFST_BOK</t>
  </si>
  <si>
    <t>AUTUMN</t>
  </si>
  <si>
    <t xml:space="preserve">GRONCKEL | CORE | </t>
  </si>
  <si>
    <t>GRONCKEL</t>
  </si>
  <si>
    <t xml:space="preserve">GROOVE_SESSION | CORE | </t>
  </si>
  <si>
    <t>GROOVE_SESSION</t>
  </si>
  <si>
    <t xml:space="preserve">GRUUT | CORE | </t>
  </si>
  <si>
    <t>GRUUT</t>
  </si>
  <si>
    <t xml:space="preserve">GUID_O_RIA | CORE | </t>
  </si>
  <si>
    <t>GUID_O_RIA</t>
  </si>
  <si>
    <t xml:space="preserve">GUINNESS | CORE | </t>
  </si>
  <si>
    <t xml:space="preserve">GULDEN_DRAAK | PRESTIGE | </t>
  </si>
  <si>
    <t xml:space="preserve">GULDEN_DRAAK | CALVADOS | </t>
  </si>
  <si>
    <t xml:space="preserve">GULDEN_SPOOR | QUADRUPEL | </t>
  </si>
  <si>
    <t>GULDEN_SPOOR</t>
  </si>
  <si>
    <t xml:space="preserve">GULDEN_SPOOR | TRIPEL | </t>
  </si>
  <si>
    <t xml:space="preserve">GULDEN_SPOOR | BLOND | </t>
  </si>
  <si>
    <t>GULPENER 0_0</t>
  </si>
  <si>
    <t xml:space="preserve">GUST | BLOND | </t>
  </si>
  <si>
    <t>GUST</t>
  </si>
  <si>
    <t xml:space="preserve">GUSTUS | CORE | </t>
  </si>
  <si>
    <t>GUSTUS</t>
  </si>
  <si>
    <t xml:space="preserve">GYPSY_ROSE | CORE | </t>
  </si>
  <si>
    <t>GYPSY_ROSE</t>
  </si>
  <si>
    <t xml:space="preserve">HAESEVELD | ULTRA | </t>
  </si>
  <si>
    <t xml:space="preserve">HAKA | 10 | </t>
  </si>
  <si>
    <t>HAKA</t>
  </si>
  <si>
    <t xml:space="preserve">HAKA | 12 | </t>
  </si>
  <si>
    <t xml:space="preserve">HAKA | PEACH;11 | </t>
  </si>
  <si>
    <t>PEACH;11</t>
  </si>
  <si>
    <t xml:space="preserve">HALEN | DUBBEL | </t>
  </si>
  <si>
    <t>HALEN</t>
  </si>
  <si>
    <t xml:space="preserve">HANALEI | IPA | </t>
  </si>
  <si>
    <t>HANALEI</t>
  </si>
  <si>
    <t xml:space="preserve">HANSSENS | CHERRY | </t>
  </si>
  <si>
    <t xml:space="preserve">HAPPY_HOPPY_HIPPIE | IPA | </t>
  </si>
  <si>
    <t>HAPPY_HOPPY_HIPPIE</t>
  </si>
  <si>
    <t xml:space="preserve">HAPPY_NEW_BEER | AMBER | </t>
  </si>
  <si>
    <t>HAPPY_NEW_BEER</t>
  </si>
  <si>
    <t xml:space="preserve">SUZANNE | HOP;SAISON | </t>
  </si>
  <si>
    <t>HOP;SAISON</t>
  </si>
  <si>
    <t xml:space="preserve">MIDDENVAKRIJDER | CORE | </t>
  </si>
  <si>
    <t>MIDDENVAKRIJDER</t>
  </si>
  <si>
    <t xml:space="preserve">HEINEKEN | SILVER | </t>
  </si>
  <si>
    <t xml:space="preserve">HELDIN | CORE | </t>
  </si>
  <si>
    <t>HELDIN</t>
  </si>
  <si>
    <t xml:space="preserve">HERBERG | CORE | </t>
  </si>
  <si>
    <t xml:space="preserve">HERTOG_JAN | BOCK | </t>
  </si>
  <si>
    <t xml:space="preserve">HERTOG_JAN | LENTEBOCK | </t>
  </si>
  <si>
    <t>LENTEBOCK;SPRING</t>
  </si>
  <si>
    <t xml:space="preserve">HESBY_ONE | BROWN | </t>
  </si>
  <si>
    <t>HESBY_ONE</t>
  </si>
  <si>
    <t xml:space="preserve">HESBY_ONE | AMBER | </t>
  </si>
  <si>
    <t xml:space="preserve">HEYLISSEM | BLOND | </t>
  </si>
  <si>
    <t xml:space="preserve">HITACHINO_NEST | STOUT | </t>
  </si>
  <si>
    <t>HITACHINO_NEST</t>
  </si>
  <si>
    <t xml:space="preserve">HITACHINO_NEST | WHITE | </t>
  </si>
  <si>
    <t xml:space="preserve">HITACHINO_NEST | RED | </t>
  </si>
  <si>
    <t xml:space="preserve">HOF_TEN_DORMAAL | DARK | </t>
  </si>
  <si>
    <t>HOF_TEN_DORMAAL</t>
  </si>
  <si>
    <t xml:space="preserve">HOF_TEN_DORMAAL | SAISON | </t>
  </si>
  <si>
    <t xml:space="preserve">HOF_TEN_DORMAAL | DAD | </t>
  </si>
  <si>
    <t>DAD</t>
  </si>
  <si>
    <t xml:space="preserve">HOF_TEN_DORMAAL | AMBER | </t>
  </si>
  <si>
    <t xml:space="preserve">HOF_TEN_DORMAAL | HOP | </t>
  </si>
  <si>
    <t xml:space="preserve">HOF_TEN_DORMAAL | WITGOUD | </t>
  </si>
  <si>
    <t xml:space="preserve">HOF_TEN_DORMAAL | PARADISE | </t>
  </si>
  <si>
    <t xml:space="preserve">HOF_TEN_DORMAAL | RASPBERRY | </t>
  </si>
  <si>
    <t xml:space="preserve">HOF_TEN_DORMAAL | CHERRY | </t>
  </si>
  <si>
    <t xml:space="preserve">HOF_TEN_DORMAAL | TILDONK | </t>
  </si>
  <si>
    <t>TILDONK</t>
  </si>
  <si>
    <t xml:space="preserve">HOF_TEN_DORMAAL | WINTER | </t>
  </si>
  <si>
    <t xml:space="preserve">HOF_TEN_DORMAAL | BOUTS | </t>
  </si>
  <si>
    <t>BOUTS</t>
  </si>
  <si>
    <t xml:space="preserve">HOF_TEN_DORMAAL_BLOND | BLOND | </t>
  </si>
  <si>
    <t>HOF_TEN_DORMAAL_BLOND</t>
  </si>
  <si>
    <t xml:space="preserve">HOF_TEN_DORMAAL_TINTO | TINTO | </t>
  </si>
  <si>
    <t>HOF_TEN_DORMAAL_TINTO</t>
  </si>
  <si>
    <t>TINTO</t>
  </si>
  <si>
    <t xml:space="preserve">HOLTLAND | LAGER | </t>
  </si>
  <si>
    <t>HOLTLAND</t>
  </si>
  <si>
    <t xml:space="preserve">HOMMELBIER | TRIPEL | </t>
  </si>
  <si>
    <t xml:space="preserve">LE_PAVE_DE_L_OURS | CORE | </t>
  </si>
  <si>
    <t>LE_PAVE_DE_L_OURS</t>
  </si>
  <si>
    <t xml:space="preserve">GAGEOLE | HOP | </t>
  </si>
  <si>
    <t>GAGEOLE</t>
  </si>
  <si>
    <t xml:space="preserve">XII_DES_DIEUX | HOP | </t>
  </si>
  <si>
    <t>XII_DES_DIEUX</t>
  </si>
  <si>
    <t xml:space="preserve">HOPPY_ROAD | CORE | </t>
  </si>
  <si>
    <t>HOPPY_ROAD</t>
  </si>
  <si>
    <t xml:space="preserve">HOPSASAM | CALVADOS | </t>
  </si>
  <si>
    <t>HOPSASAM</t>
  </si>
  <si>
    <t xml:space="preserve">HOPSASAM | STOUT | </t>
  </si>
  <si>
    <t xml:space="preserve">HOPTIMIST | CORE | </t>
  </si>
  <si>
    <t>HOPTIMIST</t>
  </si>
  <si>
    <t xml:space="preserve">HOPUS | CORE | </t>
  </si>
  <si>
    <t xml:space="preserve">HOPVERDOMME | CORE | </t>
  </si>
  <si>
    <t xml:space="preserve">HOUBLONDE | BLOND | </t>
  </si>
  <si>
    <t>HOUBLONDE</t>
  </si>
  <si>
    <t xml:space="preserve">HOUBLONDE | WHITE_IPA | </t>
  </si>
  <si>
    <t>IPA;WHITE</t>
  </si>
  <si>
    <t>WHITE_IPA</t>
  </si>
  <si>
    <t xml:space="preserve">HOUPPE | WHITE | </t>
  </si>
  <si>
    <t xml:space="preserve">HOUPPE | ABEILLE | </t>
  </si>
  <si>
    <t>ABEILLE</t>
  </si>
  <si>
    <t xml:space="preserve">HOUPPE | BADE_SKIFFLE | </t>
  </si>
  <si>
    <t>BADEN;SKIFFLE</t>
  </si>
  <si>
    <t>BADE_SKIFFLE</t>
  </si>
  <si>
    <t xml:space="preserve">HOUPPE | BARDCORE | </t>
  </si>
  <si>
    <t>BARDCORE</t>
  </si>
  <si>
    <t xml:space="preserve">HOUPPE | GREEN | </t>
  </si>
  <si>
    <t xml:space="preserve">HOUPPE | HOP | </t>
  </si>
  <si>
    <t xml:space="preserve">HOUPPE | JAMBES | </t>
  </si>
  <si>
    <t>JAMBES</t>
  </si>
  <si>
    <t xml:space="preserve">HOUPPE | SLIQ | </t>
  </si>
  <si>
    <t>SLIQ</t>
  </si>
  <si>
    <t xml:space="preserve">HOUPPE | CHEFS | </t>
  </si>
  <si>
    <t>CHEFS</t>
  </si>
  <si>
    <t xml:space="preserve">HOVAARDIG_BOERKE | CORE | </t>
  </si>
  <si>
    <t>HOVAARDIG_BOERKE</t>
  </si>
  <si>
    <t xml:space="preserve">I_LOVE_SOIGNIES | CORE | </t>
  </si>
  <si>
    <t>I_LOVE_SOIGNIES</t>
  </si>
  <si>
    <t xml:space="preserve">IBUBONIC | CORE | </t>
  </si>
  <si>
    <t>IBUBONIC</t>
  </si>
  <si>
    <t xml:space="preserve">IKI | CORE | </t>
  </si>
  <si>
    <t>IKI</t>
  </si>
  <si>
    <t xml:space="preserve">IMPERIALE_21 | CORE | </t>
  </si>
  <si>
    <t xml:space="preserve">INGLORIOUS_QUAD | CORE | </t>
  </si>
  <si>
    <t>INGLORIOUS_QUAD</t>
  </si>
  <si>
    <t xml:space="preserve">INSTAR | CORE | </t>
  </si>
  <si>
    <t>INSTAR</t>
  </si>
  <si>
    <t xml:space="preserve">LA_VRAIE_BIERE | CORE | </t>
  </si>
  <si>
    <t>LA_VRAIE_BIERE</t>
  </si>
  <si>
    <t xml:space="preserve">LA_REDOUTABLE | CORE | </t>
  </si>
  <si>
    <t xml:space="preserve">JACOBINS | RED | </t>
  </si>
  <si>
    <t>JACOBINS</t>
  </si>
  <si>
    <t xml:space="preserve">JACOBINS | CHERRY | </t>
  </si>
  <si>
    <t xml:space="preserve">JANIMAL | CORE | </t>
  </si>
  <si>
    <t>JANIMAL</t>
  </si>
  <si>
    <t xml:space="preserve">JANINE | CAROL | </t>
  </si>
  <si>
    <t>CAROL</t>
  </si>
  <si>
    <t xml:space="preserve">JANINE | MAX | </t>
  </si>
  <si>
    <t>MAX</t>
  </si>
  <si>
    <t xml:space="preserve">JANINE | POLAR | </t>
  </si>
  <si>
    <t xml:space="preserve">JANINE | VOLVA | </t>
  </si>
  <si>
    <t>VOLVA</t>
  </si>
  <si>
    <t xml:space="preserve">JAZZ | AMBER | </t>
  </si>
  <si>
    <t>JAZZ</t>
  </si>
  <si>
    <t xml:space="preserve">JESSENHOFKE | RSRV | </t>
  </si>
  <si>
    <t>RSRV</t>
  </si>
  <si>
    <t xml:space="preserve">JESSENHOFKE | PMPRNL | </t>
  </si>
  <si>
    <t>PMPRNL</t>
  </si>
  <si>
    <t xml:space="preserve">JESSENHOFKE | BROWN | </t>
  </si>
  <si>
    <t xml:space="preserve">JOSBOK | BLOND | </t>
  </si>
  <si>
    <t xml:space="preserve">JOSBOK | TRIPEL | </t>
  </si>
  <si>
    <t xml:space="preserve">JOSEPH | BLOND | </t>
  </si>
  <si>
    <t>JOSEPH</t>
  </si>
  <si>
    <t xml:space="preserve">JOSEPH | ARTISANAL | </t>
  </si>
  <si>
    <t xml:space="preserve">JOUP | BROWN | </t>
  </si>
  <si>
    <t>JOUP</t>
  </si>
  <si>
    <t xml:space="preserve">JOYRIDE_IN_A_SHOPPING_CART | CORE | </t>
  </si>
  <si>
    <t>JOYRIDE_IN_A_SHOPPING_CART</t>
  </si>
  <si>
    <t xml:space="preserve">JUDITH | BLOND | </t>
  </si>
  <si>
    <t>JUDITH</t>
  </si>
  <si>
    <t xml:space="preserve">JUICY_WILD | MUSCAR | </t>
  </si>
  <si>
    <t>JUICY_WILD</t>
  </si>
  <si>
    <t>MUSCAR</t>
  </si>
  <si>
    <t xml:space="preserve">JUICY_WILD | SUN | </t>
  </si>
  <si>
    <t xml:space="preserve">JUICY_BLOND | CORE | </t>
  </si>
  <si>
    <t>JUICY_BLOND</t>
  </si>
  <si>
    <t xml:space="preserve">JULES_DE_BANANES | CORE | </t>
  </si>
  <si>
    <t>JULES_DE_BANANES</t>
  </si>
  <si>
    <t xml:space="preserve">JULIA_BLOND | CORE | </t>
  </si>
  <si>
    <t>JULIA_BLOND</t>
  </si>
  <si>
    <t xml:space="preserve">KAISER | PILSNER | </t>
  </si>
  <si>
    <t>KAISER</t>
  </si>
  <si>
    <t xml:space="preserve">KAISER | BROWN | </t>
  </si>
  <si>
    <t xml:space="preserve">KAPITTEL_WATOU | TRIPEL;10 | </t>
  </si>
  <si>
    <t>KAPITTEL_WATOU</t>
  </si>
  <si>
    <t>TRIPEL;10</t>
  </si>
  <si>
    <t xml:space="preserve">KAPKE | CORE | </t>
  </si>
  <si>
    <t>KAPKE</t>
  </si>
  <si>
    <t xml:space="preserve">KEEKEBISJ | CORE | </t>
  </si>
  <si>
    <t xml:space="preserve">KEKETTE | CORE | </t>
  </si>
  <si>
    <t>KEKETTE</t>
  </si>
  <si>
    <t xml:space="preserve">KEREL | WINTER | </t>
  </si>
  <si>
    <t>KEREL_PARADISE_ALE</t>
  </si>
  <si>
    <t xml:space="preserve">KERST_MUS | CORE | </t>
  </si>
  <si>
    <t>KERST_MUS</t>
  </si>
  <si>
    <t xml:space="preserve">KESTEMONT | OUDE_GEUZE | </t>
  </si>
  <si>
    <t>KESTEMONT</t>
  </si>
  <si>
    <t xml:space="preserve">KING_OF_HEARTS | CORE | </t>
  </si>
  <si>
    <t>KING_OF_HEARTS</t>
  </si>
  <si>
    <t xml:space="preserve">VIVA_FOR_LIFE | CORE | </t>
  </si>
  <si>
    <t>VIVA_FOR_LIFE</t>
  </si>
  <si>
    <t xml:space="preserve">KLBS | CORE | </t>
  </si>
  <si>
    <t>KLBS</t>
  </si>
  <si>
    <t xml:space="preserve">KLUIZ | IPA | </t>
  </si>
  <si>
    <t>KLUIZ</t>
  </si>
  <si>
    <t xml:space="preserve">KLUIZ | FOREST | </t>
  </si>
  <si>
    <t xml:space="preserve">KLUIZ | WINTER | </t>
  </si>
  <si>
    <t xml:space="preserve">KLUIZ_SERIES | SAISON | </t>
  </si>
  <si>
    <t>KLUIZ_SERIES</t>
  </si>
  <si>
    <t xml:space="preserve">KLUIZ_SERIES | TRIPEL | </t>
  </si>
  <si>
    <t xml:space="preserve">KLUIZ_SERIES | LIEDERICQ | </t>
  </si>
  <si>
    <t xml:space="preserve">KOBOI | INFUSED | </t>
  </si>
  <si>
    <t xml:space="preserve">KOBOI | FOREST | </t>
  </si>
  <si>
    <t xml:space="preserve">KOMPEL | SCHACHTSTUIKER | </t>
  </si>
  <si>
    <t>SCHACHTSTUIKER</t>
  </si>
  <si>
    <t>KORNEEL | CORE | ZERO</t>
  </si>
  <si>
    <t>KORNEEL</t>
  </si>
  <si>
    <t xml:space="preserve">KOT_MADAM | CORE | </t>
  </si>
  <si>
    <t>KOT_MADAM</t>
  </si>
  <si>
    <t xml:space="preserve">KRAAIKE | GOLD | </t>
  </si>
  <si>
    <t xml:space="preserve">KRAAIKE | BRUT | </t>
  </si>
  <si>
    <t xml:space="preserve">KRAAIKE | METTEKO | </t>
  </si>
  <si>
    <t>METTEKO</t>
  </si>
  <si>
    <t xml:space="preserve">KRAAIKE | DUBBEL | </t>
  </si>
  <si>
    <t xml:space="preserve">KRAAIKE | RED | </t>
  </si>
  <si>
    <t xml:space="preserve">KRAAIKE | AMBER | </t>
  </si>
  <si>
    <t xml:space="preserve">KRAAIKE | DARK | </t>
  </si>
  <si>
    <t xml:space="preserve">KRIEK_DE_SILENRIEUX | CORE | </t>
  </si>
  <si>
    <t>KRIEK_DE_SILENRIEUX</t>
  </si>
  <si>
    <t xml:space="preserve">KWAK | AMBER | </t>
  </si>
  <si>
    <t xml:space="preserve">KWAK | RED | </t>
  </si>
  <si>
    <t xml:space="preserve">L_ADOREE | CORE | </t>
  </si>
  <si>
    <t>L_ADOREE</t>
  </si>
  <si>
    <t xml:space="preserve">L_ANGELUS | BLOND | </t>
  </si>
  <si>
    <t>L_ANGELUS</t>
  </si>
  <si>
    <t xml:space="preserve">L_ANNEXE | ROSSE | </t>
  </si>
  <si>
    <t>L_ANNEXE</t>
  </si>
  <si>
    <t>ROSSE</t>
  </si>
  <si>
    <t xml:space="preserve">L_ANNEXE | CORE | </t>
  </si>
  <si>
    <t xml:space="preserve">L_ANNEXE | BLOND | </t>
  </si>
  <si>
    <t xml:space="preserve">L_ESTAMINE | TRIPEL | </t>
  </si>
  <si>
    <t>L_ESTAMINE</t>
  </si>
  <si>
    <t xml:space="preserve">L_IMPERATRICE | TRIPEL | </t>
  </si>
  <si>
    <t xml:space="preserve">L_OPHINOISE | TRIPEL | </t>
  </si>
  <si>
    <t>L_OPHINOISE</t>
  </si>
  <si>
    <t xml:space="preserve">L’AUBEOLE_D’ESTINNES | CORE | </t>
  </si>
  <si>
    <t>L’AUBEOLE_D’ESTINNES</t>
  </si>
  <si>
    <t xml:space="preserve">L’INA_TENDUE | CORE | </t>
  </si>
  <si>
    <t>L’INA_TENDUE</t>
  </si>
  <si>
    <t xml:space="preserve">LA_4_PISTILS |  CORE | </t>
  </si>
  <si>
    <t>LA_4_PISTILS</t>
  </si>
  <si>
    <t xml:space="preserve"> CORE</t>
  </si>
  <si>
    <t xml:space="preserve">LA_BARAQUE | CORE | </t>
  </si>
  <si>
    <t>LA_BARAQUE</t>
  </si>
  <si>
    <t xml:space="preserve">LA_BELLE_DES_VIGNES | CORE | </t>
  </si>
  <si>
    <t>LA_BELLE_DES_VIGNES</t>
  </si>
  <si>
    <t xml:space="preserve">LA_BIGOTE | CORE | </t>
  </si>
  <si>
    <t>LA_BIGOTE</t>
  </si>
  <si>
    <t xml:space="preserve">LA_BINCHOISE | CORE | </t>
  </si>
  <si>
    <t>LA_BINCHOISE</t>
  </si>
  <si>
    <t xml:space="preserve">LA_BLONDASSE | CORE | </t>
  </si>
  <si>
    <t>LA_BLONDASSE</t>
  </si>
  <si>
    <t xml:space="preserve">LA_BOTTERESSE | WHITE | </t>
  </si>
  <si>
    <t>LA_BOTTERESSE</t>
  </si>
  <si>
    <t xml:space="preserve">LA_BOTTERESSE | XMAS | </t>
  </si>
  <si>
    <t xml:space="preserve">LA_BOUILLONNAISE | BROWN | </t>
  </si>
  <si>
    <t>LA_BOUILLONNAISE</t>
  </si>
  <si>
    <t xml:space="preserve">LA_BRUNETTE | BROWN | </t>
  </si>
  <si>
    <t>LA_BRUNETTE</t>
  </si>
  <si>
    <t xml:space="preserve">LA_CHARLEMAGNE | CORE | </t>
  </si>
  <si>
    <t>LA_CHARLEMAGNE</t>
  </si>
  <si>
    <t xml:space="preserve">LA_CHATTE | WHITE | </t>
  </si>
  <si>
    <t xml:space="preserve">LA_CHATTE | BROWN | </t>
  </si>
  <si>
    <t xml:space="preserve">LA_CHATTE | FRUIT | </t>
  </si>
  <si>
    <t xml:space="preserve">LA_CORNE_DU_BOIS_DES_PENDUS | BLACK | </t>
  </si>
  <si>
    <t xml:space="preserve">LA_CORNE_DU_BOIS_DES_PENDUS | WINTER | </t>
  </si>
  <si>
    <t xml:space="preserve">LA_CRAPULE | CORE | </t>
  </si>
  <si>
    <t>LA_CRAPULE</t>
  </si>
  <si>
    <t xml:space="preserve">LA_CUBERDOISE | WHITE | </t>
  </si>
  <si>
    <t>LA_CUBERDOISE</t>
  </si>
  <si>
    <t xml:space="preserve">LA_DEREN | WHITE | </t>
  </si>
  <si>
    <t>LA_DEREN</t>
  </si>
  <si>
    <t xml:space="preserve">LA_DIABLESSE | CORE | </t>
  </si>
  <si>
    <t>LA_DIABLESSE</t>
  </si>
  <si>
    <t xml:space="preserve">LA_DONCOURT | WHITE | </t>
  </si>
  <si>
    <t>LA_DONCOURT</t>
  </si>
  <si>
    <t xml:space="preserve">LA_DONCOURT | SAISON | </t>
  </si>
  <si>
    <t xml:space="preserve">LA_DONCOURT | IPA | </t>
  </si>
  <si>
    <t xml:space="preserve">LA_DONCOURT | DARK | </t>
  </si>
  <si>
    <t xml:space="preserve">LA_DONCOURT | GOLD | </t>
  </si>
  <si>
    <t xml:space="preserve">LA_DONCOURT | RED | </t>
  </si>
  <si>
    <t xml:space="preserve">LA_FAUCHEUSE | BROWN | </t>
  </si>
  <si>
    <t>LA_FAUCHEUSE</t>
  </si>
  <si>
    <t xml:space="preserve">LA_FAUCHEUSE | HOP | </t>
  </si>
  <si>
    <t xml:space="preserve">LA_FERRUSIENNE | CORE | </t>
  </si>
  <si>
    <t>LA_FERRUSIENNE</t>
  </si>
  <si>
    <t xml:space="preserve">LA_FURETOISE | CORE | </t>
  </si>
  <si>
    <t>LA_FURETOISE</t>
  </si>
  <si>
    <t xml:space="preserve">LA_GÉDINNOISE | CORE | </t>
  </si>
  <si>
    <t>LA_GÉDINNOISE</t>
  </si>
  <si>
    <t xml:space="preserve">LA_GRELOTTE | CORE | </t>
  </si>
  <si>
    <t>LA_GRELOTTE</t>
  </si>
  <si>
    <t xml:space="preserve">LA_GUEULARDE | CORE | </t>
  </si>
  <si>
    <t>LA_GUEULARDE</t>
  </si>
  <si>
    <t xml:space="preserve">LA_GUILLOTINE | CORE | </t>
  </si>
  <si>
    <t xml:space="preserve">LA_MAC_VERTUS | CORE | </t>
  </si>
  <si>
    <t>LA_MAC_VERTUS</t>
  </si>
  <si>
    <t xml:space="preserve">LA_MARQUISE | CORE | </t>
  </si>
  <si>
    <t xml:space="preserve">LA_MINE | CORE | </t>
  </si>
  <si>
    <t>LA_MINE</t>
  </si>
  <si>
    <t xml:space="preserve">LA_MONTOISE | RED | </t>
  </si>
  <si>
    <t>LA_MONTOISE</t>
  </si>
  <si>
    <t xml:space="preserve">LA_MONTOISE | WINTER | </t>
  </si>
  <si>
    <t xml:space="preserve">LA_MORHETTE | BERRIES | </t>
  </si>
  <si>
    <t>LA_MORHETTE</t>
  </si>
  <si>
    <t xml:space="preserve">LA_MYRTILLE_D_AMELIE | CORE | </t>
  </si>
  <si>
    <t>LA_MYRTILLE_D_AMELIE</t>
  </si>
  <si>
    <t xml:space="preserve">LA_PEPONE | ROSE | </t>
  </si>
  <si>
    <t>LA_PEPONE</t>
  </si>
  <si>
    <t xml:space="preserve">LA_PETITE_VERTUS | CORE | </t>
  </si>
  <si>
    <t>LA_PETITE_VERTUS</t>
  </si>
  <si>
    <t xml:space="preserve">LA_PIC | CORE | </t>
  </si>
  <si>
    <t>LA_PIC</t>
  </si>
  <si>
    <t xml:space="preserve">LA_PIE_COLLEUSE | CORE | </t>
  </si>
  <si>
    <t>LA_PIE_COLLEUSE</t>
  </si>
  <si>
    <t xml:space="preserve">LA_POILUCHETTE | CORE | </t>
  </si>
  <si>
    <t>LA_POILUCHETTE</t>
  </si>
  <si>
    <t xml:space="preserve">LA_RÉCEVRESSE | CORE | </t>
  </si>
  <si>
    <t>LA_RÉCEVRESSE</t>
  </si>
  <si>
    <t xml:space="preserve">LA_ROUGE_CROIX | CORE | </t>
  </si>
  <si>
    <t>LA_ROUGE_CROIX</t>
  </si>
  <si>
    <t xml:space="preserve">LA_RULLES | CORE | </t>
  </si>
  <si>
    <t>LA_RULLES</t>
  </si>
  <si>
    <t xml:space="preserve">LA_SULTANE | CORE | </t>
  </si>
  <si>
    <t>LA_SULTANE</t>
  </si>
  <si>
    <t xml:space="preserve">LA_SUPER_SANGLIER | CORE | </t>
  </si>
  <si>
    <t>LA_SUPER_SANGLIER</t>
  </si>
  <si>
    <t xml:space="preserve">LA_TENDUE | CORE | </t>
  </si>
  <si>
    <t xml:space="preserve">LA_THAREE | LIGHT | </t>
  </si>
  <si>
    <t xml:space="preserve">LA_THAREE | PALE | </t>
  </si>
  <si>
    <t xml:space="preserve">LA_THAREE | STRAWBERRY | </t>
  </si>
  <si>
    <t xml:space="preserve">LA_THAREE | IPA | </t>
  </si>
  <si>
    <t xml:space="preserve">LA_THAREE | NEIPA | </t>
  </si>
  <si>
    <t xml:space="preserve">LA_THAREE | SESSION_IPA | </t>
  </si>
  <si>
    <t xml:space="preserve">LA_THIBOLENE | CORE | </t>
  </si>
  <si>
    <t>LA_THIBOLENE</t>
  </si>
  <si>
    <t xml:space="preserve">LA_TOP_LESSE | CORE | </t>
  </si>
  <si>
    <t>LA_TOP_LESSE</t>
  </si>
  <si>
    <t xml:space="preserve">LA_TROUFFETTE | SUMMER | </t>
  </si>
  <si>
    <t>LA_TROUFFETTE</t>
  </si>
  <si>
    <t xml:space="preserve">LA_VERMONTOISE | CORE | </t>
  </si>
  <si>
    <t xml:space="preserve">LA_VRAIE_BIÈRE | FRUIT | </t>
  </si>
  <si>
    <t>LA_VRAIE_BIÈRE</t>
  </si>
  <si>
    <t xml:space="preserve">LA_VRAIE_BIÈRE | TRIPEL | </t>
  </si>
  <si>
    <t xml:space="preserve">LA_WEPIONNAISE | CORE | </t>
  </si>
  <si>
    <t>LA_WEPIONNAISE</t>
  </si>
  <si>
    <t xml:space="preserve">LA_5310 | HOP | </t>
  </si>
  <si>
    <t xml:space="preserve">LA_BELLA_MERE | HOP | </t>
  </si>
  <si>
    <t>LA_BELLA_MERE</t>
  </si>
  <si>
    <t xml:space="preserve">LA_BIERE_DU_DEMON | CORE | </t>
  </si>
  <si>
    <t>LA_BIERE_DU_DEMON</t>
  </si>
  <si>
    <t xml:space="preserve">LA_BIERE_TOMBALE | CORE | </t>
  </si>
  <si>
    <t>LA_BIERE_TOMBALE</t>
  </si>
  <si>
    <t xml:space="preserve">LA_BLONDE_QUI_SKETTE | CORE | </t>
  </si>
  <si>
    <t>LA_BLONDE_QUI_SKETTE</t>
  </si>
  <si>
    <t xml:space="preserve">LA_BOTTERESSE | CORE | </t>
  </si>
  <si>
    <t xml:space="preserve">LA_CAMBRE | BLOND | </t>
  </si>
  <si>
    <t xml:space="preserve">LA_CAMBRE | IPA | </t>
  </si>
  <si>
    <t xml:space="preserve">LA_CERVOISE_DES_ANCETRES | CORE | </t>
  </si>
  <si>
    <t>LA_CERVOISE_DES_ANCETRES</t>
  </si>
  <si>
    <t xml:space="preserve">LA_CHARLEMAGNE | TRIPEL | </t>
  </si>
  <si>
    <t xml:space="preserve">LA_CHARLEMAGNE | AMBER | </t>
  </si>
  <si>
    <t xml:space="preserve">LA_CHATTE | CORE | </t>
  </si>
  <si>
    <t xml:space="preserve">LA_CHINETTE | CORE | </t>
  </si>
  <si>
    <t>LA_CHINETTE</t>
  </si>
  <si>
    <t xml:space="preserve">LA_CLE_DU_BONHEUR | CORE | </t>
  </si>
  <si>
    <t>LA_CLE_DU_BONHEUR</t>
  </si>
  <si>
    <t xml:space="preserve">LA_DAME_DES_LACS | CORE | </t>
  </si>
  <si>
    <t>LA_DAME_DES_LACS</t>
  </si>
  <si>
    <t xml:space="preserve">LA_DIVINE | CORE | </t>
  </si>
  <si>
    <t>LA_DIVINE</t>
  </si>
  <si>
    <t xml:space="preserve">LA_FOLKLORIQUE | CORE | </t>
  </si>
  <si>
    <t>LA_FOLKLORIQUE</t>
  </si>
  <si>
    <t xml:space="preserve">LA_FUMETTE | CORE | </t>
  </si>
  <si>
    <t>LA_FUMETTE</t>
  </si>
  <si>
    <t xml:space="preserve">LA_GEDINNOISE | CORE | </t>
  </si>
  <si>
    <t>LA_GEDINNOISE</t>
  </si>
  <si>
    <t xml:space="preserve">LA_GOUTTE | CORE | </t>
  </si>
  <si>
    <t>LA_GOUTTE</t>
  </si>
  <si>
    <t xml:space="preserve">LA_GRANDE_10 | CORE | </t>
  </si>
  <si>
    <t xml:space="preserve">LA_LOUVE | WHITE | </t>
  </si>
  <si>
    <t>LA_LOUVE</t>
  </si>
  <si>
    <t>LA_LOUVE | AMBER | BIO</t>
  </si>
  <si>
    <t xml:space="preserve">LA_LOUVE | IPA | </t>
  </si>
  <si>
    <t xml:space="preserve">LA_LOUVE | AMBER | </t>
  </si>
  <si>
    <t xml:space="preserve">LA_LOUVE | CORE | </t>
  </si>
  <si>
    <t xml:space="preserve">LA_MALMEDY | CORE | </t>
  </si>
  <si>
    <t>LA_MALMEDY</t>
  </si>
  <si>
    <t xml:space="preserve">LA_MERE_NOEL | CORE | </t>
  </si>
  <si>
    <t>LA_MERE_NOEL</t>
  </si>
  <si>
    <t xml:space="preserve">LA_MICHE | CORE | </t>
  </si>
  <si>
    <t>LA_MICHE</t>
  </si>
  <si>
    <t xml:space="preserve">LA_MONEUSE | XMAS | </t>
  </si>
  <si>
    <t>LA_MONEUSE</t>
  </si>
  <si>
    <t xml:space="preserve">LA_MONEUSE | BLOND | </t>
  </si>
  <si>
    <t xml:space="preserve">LA_MONTAGNARDE | CORE | </t>
  </si>
  <si>
    <t>LA_MONTAGNARDE</t>
  </si>
  <si>
    <t xml:space="preserve">LA_MORHETTE | CORE | </t>
  </si>
  <si>
    <t xml:space="preserve">LA_PETASSE | CORE | </t>
  </si>
  <si>
    <t>LA_PETASSE</t>
  </si>
  <si>
    <t xml:space="preserve">LA_PUNITION_HOUBLONNEE | CORE | </t>
  </si>
  <si>
    <t>LA_PUNITION_HOUBLONNEE</t>
  </si>
  <si>
    <t xml:space="preserve">LA_RAMEE | CORE | </t>
  </si>
  <si>
    <t xml:space="preserve">LA_RONDE_FARMHOUSE_ALE_|_SAISON | CORE | </t>
  </si>
  <si>
    <t>LA_RONDE_FARMHOUSE_ALE_|_SAISON</t>
  </si>
  <si>
    <t xml:space="preserve">LA_ROUBLARDE | CORE | </t>
  </si>
  <si>
    <t>LA_ROUBLARDE</t>
  </si>
  <si>
    <t xml:space="preserve">LA_RULLES | BLOND | </t>
  </si>
  <si>
    <t xml:space="preserve">LA_RULLES | CUVEE | </t>
  </si>
  <si>
    <t xml:space="preserve">LA_RULLES | TRIPEL | </t>
  </si>
  <si>
    <t xml:space="preserve">LA_RULLES | HOLY | </t>
  </si>
  <si>
    <t xml:space="preserve">LA_RULLES | HOUBLON | </t>
  </si>
  <si>
    <t>HOUBLON</t>
  </si>
  <si>
    <t xml:space="preserve">LA_THAREE | AMBER | </t>
  </si>
  <si>
    <t xml:space="preserve">LA_TOUCHE_DE_FERRIERES | CORE | </t>
  </si>
  <si>
    <t>LA_TOUCHE_DE_FERRIERES</t>
  </si>
  <si>
    <t xml:space="preserve">LA_TRIPLE | CORE | </t>
  </si>
  <si>
    <t xml:space="preserve">LA_VIEIL_BONSEC | CORE | </t>
  </si>
  <si>
    <t>LA_VIEIL_BONSEC</t>
  </si>
  <si>
    <t xml:space="preserve">L_AFFOLANTE | CORE | </t>
  </si>
  <si>
    <t>L_AFFOLANTE</t>
  </si>
  <si>
    <t xml:space="preserve">LAGUNITAS | DAYTIME | </t>
  </si>
  <si>
    <t>DAYTIME</t>
  </si>
  <si>
    <t xml:space="preserve">LAGUNITAS | SUMPIN | </t>
  </si>
  <si>
    <t>SUMPIN</t>
  </si>
  <si>
    <t xml:space="preserve">LAGUNITAS | PILSNER | </t>
  </si>
  <si>
    <t xml:space="preserve">LAGUNITAS | HOP | </t>
  </si>
  <si>
    <t xml:space="preserve">LAGUNITAS | MAXIMUS | </t>
  </si>
  <si>
    <t>MAXIMUS</t>
  </si>
  <si>
    <t xml:space="preserve">LAGUNITAS | SUCKS | </t>
  </si>
  <si>
    <t>SUCKS</t>
  </si>
  <si>
    <t xml:space="preserve">LAGUNITAS | SUPER | </t>
  </si>
  <si>
    <t>SUPER</t>
  </si>
  <si>
    <t xml:space="preserve">L_ANNEXE | BLACK | </t>
  </si>
  <si>
    <t xml:space="preserve">L_ANNEXE | UNION | </t>
  </si>
  <si>
    <t>UNION</t>
  </si>
  <si>
    <t xml:space="preserve">L_AROGANTE | CORE | </t>
  </si>
  <si>
    <t xml:space="preserve">L_AURORE_DE_LA_SALM | CORE | </t>
  </si>
  <si>
    <t>L_AURORE_DE_LA_SALM</t>
  </si>
  <si>
    <t xml:space="preserve">L_AUTRUCHE | CORE | </t>
  </si>
  <si>
    <t>L_AUTRUCHE</t>
  </si>
  <si>
    <t xml:space="preserve">LAZARUS | WHISKEY | </t>
  </si>
  <si>
    <t xml:space="preserve">LAZARUS | CALVADOS | </t>
  </si>
  <si>
    <t xml:space="preserve">LAZARUS | SHERRY | </t>
  </si>
  <si>
    <t>SHERRY</t>
  </si>
  <si>
    <t xml:space="preserve">LAZARUS | ARMAGNAC | </t>
  </si>
  <si>
    <t>ARMAGNAC</t>
  </si>
  <si>
    <t xml:space="preserve">LAZARUS | RUM | </t>
  </si>
  <si>
    <t xml:space="preserve">LAZY_RED_CHEEKS | CORE | </t>
  </si>
  <si>
    <t>LAZY_RED_CHEEKS</t>
  </si>
  <si>
    <t xml:space="preserve">LE_COQ | CORE | </t>
  </si>
  <si>
    <t>LE_COQ</t>
  </si>
  <si>
    <t xml:space="preserve">LE_FR_DEFENDU | CORE | </t>
  </si>
  <si>
    <t>LE_FR_DEFENDU</t>
  </si>
  <si>
    <t xml:space="preserve">LEGIA | AMBER | </t>
  </si>
  <si>
    <t xml:space="preserve">LEGIA | FRUIT | </t>
  </si>
  <si>
    <t xml:space="preserve">LEGIA | IPA | </t>
  </si>
  <si>
    <t xml:space="preserve">L_EMPIRE | CORE | </t>
  </si>
  <si>
    <t>L_EMPIRE</t>
  </si>
  <si>
    <t xml:space="preserve">LEOPOLD_7 | ASTRONAUT | </t>
  </si>
  <si>
    <t>LEOPOLD_7</t>
  </si>
  <si>
    <t>ASTRONAUT</t>
  </si>
  <si>
    <t xml:space="preserve">LEOPOLD_7 | BOURBON | </t>
  </si>
  <si>
    <t xml:space="preserve">L_ERMITAGE | THEOREME | </t>
  </si>
  <si>
    <t>L_ERMITAGE</t>
  </si>
  <si>
    <t>THEOREME</t>
  </si>
  <si>
    <t xml:space="preserve">L_ERMITAGE | LANTERNE | </t>
  </si>
  <si>
    <t>LANTERNE</t>
  </si>
  <si>
    <t xml:space="preserve">L_ERMITAGE | SUN | </t>
  </si>
  <si>
    <t xml:space="preserve">LES_RETROUVAILLES | CORE | </t>
  </si>
  <si>
    <t>LES_RETROUVAILLES</t>
  </si>
  <si>
    <t xml:space="preserve">L_ESTAMINE | CORE | </t>
  </si>
  <si>
    <t xml:space="preserve">LEUTE | CORE | </t>
  </si>
  <si>
    <t xml:space="preserve">LI_LOM_GNE | CORE | </t>
  </si>
  <si>
    <t>LI_LOM_GNE</t>
  </si>
  <si>
    <t xml:space="preserve">LIBERTAS_GENTIS | CORE | </t>
  </si>
  <si>
    <t>LIBERTAS_GENTIS</t>
  </si>
  <si>
    <t xml:space="preserve">LIBIDUS | CORE | </t>
  </si>
  <si>
    <t>LIBIDUS</t>
  </si>
  <si>
    <t xml:space="preserve">LILY_BLUE | CORE | </t>
  </si>
  <si>
    <t>LILY_BLUE</t>
  </si>
  <si>
    <t xml:space="preserve">LINUS | CORE | </t>
  </si>
  <si>
    <t>LINUS</t>
  </si>
  <si>
    <t xml:space="preserve">LOETEPOEPE | CORE | </t>
  </si>
  <si>
    <t>LOETEPOEPE</t>
  </si>
  <si>
    <t>LOWA_TROLLS | CORE | ZERO</t>
  </si>
  <si>
    <t>LOWA_TROLLS</t>
  </si>
  <si>
    <t xml:space="preserve">LUCIEN | CORE | </t>
  </si>
  <si>
    <t>LUCIEN</t>
  </si>
  <si>
    <t xml:space="preserve">LUCKY_ME | CORE | </t>
  </si>
  <si>
    <t>LUCKY_ME</t>
  </si>
  <si>
    <t xml:space="preserve">LUVANIUM | WINTER | </t>
  </si>
  <si>
    <t xml:space="preserve">LUVANIUM | HOP | </t>
  </si>
  <si>
    <t xml:space="preserve">LUVANIUM | DARK | </t>
  </si>
  <si>
    <t xml:space="preserve">LUXUS | CORE | </t>
  </si>
  <si>
    <t>LUXUS</t>
  </si>
  <si>
    <t xml:space="preserve">MA_MERE_SPECIALE | CORE | </t>
  </si>
  <si>
    <t>MA_MERE_SPECIALE</t>
  </si>
  <si>
    <t xml:space="preserve">MACHA | CORE | </t>
  </si>
  <si>
    <t>MACHA</t>
  </si>
  <si>
    <t xml:space="preserve">MAES | CORE | </t>
  </si>
  <si>
    <t>MAES | LEMON | ZERO</t>
  </si>
  <si>
    <t>MAES | MOJITO | ZERO</t>
  </si>
  <si>
    <t>MAES | ROSE | ZERO</t>
  </si>
  <si>
    <t xml:space="preserve">MAHOU | CORE | </t>
  </si>
  <si>
    <t>MAHOU</t>
  </si>
  <si>
    <t xml:space="preserve">MAK | CORE | </t>
  </si>
  <si>
    <t>MAK</t>
  </si>
  <si>
    <t xml:space="preserve">MAKADAM | CORE | </t>
  </si>
  <si>
    <t>MAKADAM</t>
  </si>
  <si>
    <t xml:space="preserve">MALHEUR | BRUT | </t>
  </si>
  <si>
    <t xml:space="preserve">MALHEUR | RESERVE | </t>
  </si>
  <si>
    <t>RESERVE</t>
  </si>
  <si>
    <t xml:space="preserve">MALMEDY | WHITE | </t>
  </si>
  <si>
    <t>MALMEDY</t>
  </si>
  <si>
    <t xml:space="preserve">MALMEDY | BROWN | </t>
  </si>
  <si>
    <t xml:space="preserve">MALMEDY | TRIPEL | </t>
  </si>
  <si>
    <t xml:space="preserve">MALMEDY | BLOND | </t>
  </si>
  <si>
    <t xml:space="preserve">MAM_ZELLE | CORE | </t>
  </si>
  <si>
    <t>MAM_ZELLE</t>
  </si>
  <si>
    <t xml:space="preserve">MAMZELLE_BIBICHE | CORE | </t>
  </si>
  <si>
    <t>MAMZELLE_BIBICHE</t>
  </si>
  <si>
    <t xml:space="preserve">MANIAK | CORE | </t>
  </si>
  <si>
    <t>MANIAK</t>
  </si>
  <si>
    <t xml:space="preserve">MAREDRET | TRIPEL | </t>
  </si>
  <si>
    <t xml:space="preserve">MAREDRET | ALTUS | </t>
  </si>
  <si>
    <t xml:space="preserve">MARSHALL | IPA | </t>
  </si>
  <si>
    <t>MARSHALL</t>
  </si>
  <si>
    <t xml:space="preserve">MARSHALL | ROCK | </t>
  </si>
  <si>
    <t>ROCK</t>
  </si>
  <si>
    <t xml:space="preserve">MARTENS | CORE | </t>
  </si>
  <si>
    <t xml:space="preserve">MARTENS | EXTRA | </t>
  </si>
  <si>
    <t xml:space="preserve">MARTENS | STOUT | </t>
  </si>
  <si>
    <t xml:space="preserve">MARTHA | GUILTY | </t>
  </si>
  <si>
    <t>GUILTY</t>
  </si>
  <si>
    <t xml:space="preserve">MARTIN_S | WHITE_IPA | </t>
  </si>
  <si>
    <t>WHITE;IPA</t>
  </si>
  <si>
    <t xml:space="preserve">MATER | CORE | </t>
  </si>
  <si>
    <t>MATER</t>
  </si>
  <si>
    <t xml:space="preserve">MAUNA_KEA | CORE | </t>
  </si>
  <si>
    <t>MAUNA_KEA</t>
  </si>
  <si>
    <t xml:space="preserve">MAX_ON_ICE | CORE | </t>
  </si>
  <si>
    <t>MAX_ON_ICE</t>
  </si>
  <si>
    <t xml:space="preserve">ME_GUSTAS | CORE | </t>
  </si>
  <si>
    <t>ME_GUSTAS</t>
  </si>
  <si>
    <t xml:space="preserve">MERMAID | CORE | </t>
  </si>
  <si>
    <t>MERMAID</t>
  </si>
  <si>
    <t xml:space="preserve">MERVEIL_CHEVREMONT | TRIPEL | </t>
  </si>
  <si>
    <t>MERVEIL_CHEVREMONT</t>
  </si>
  <si>
    <t xml:space="preserve">MERVEIL_CHEVREMONT | ROYAL | </t>
  </si>
  <si>
    <t>ROYAL</t>
  </si>
  <si>
    <t xml:space="preserve">MERVEIL_CHEVREMONT | ABBEY | </t>
  </si>
  <si>
    <t>ABBEY</t>
  </si>
  <si>
    <t xml:space="preserve">MEXICAN_COWBOY | CORE | </t>
  </si>
  <si>
    <t>MEXICAN_COWBOY</t>
  </si>
  <si>
    <t xml:space="preserve">MHAKA | CORE | </t>
  </si>
  <si>
    <t>MHAKA</t>
  </si>
  <si>
    <t xml:space="preserve">MICRO_IPA | CORE | </t>
  </si>
  <si>
    <t>MICRO_IPA</t>
  </si>
  <si>
    <t xml:space="preserve">MIKKELLER | BURST | </t>
  </si>
  <si>
    <t>BURST</t>
  </si>
  <si>
    <t xml:space="preserve">MIKKELLER | SUN | </t>
  </si>
  <si>
    <t xml:space="preserve">MIKKELLER | DRAGONFRUIT | </t>
  </si>
  <si>
    <t xml:space="preserve">MIKKELLER | RIESLING | </t>
  </si>
  <si>
    <t>RIESLING</t>
  </si>
  <si>
    <t xml:space="preserve">MIKKELLER | RASPBERRY | </t>
  </si>
  <si>
    <t xml:space="preserve">MILUS | CORE | </t>
  </si>
  <si>
    <t>MILUS</t>
  </si>
  <si>
    <t xml:space="preserve">MIRA | CORE | </t>
  </si>
  <si>
    <t>MIRA</t>
  </si>
  <si>
    <t xml:space="preserve">MISTINGUETT | CORE | </t>
  </si>
  <si>
    <t>MISTINGUETT</t>
  </si>
  <si>
    <t xml:space="preserve">MOAT | CORE | </t>
  </si>
  <si>
    <t>MOAT</t>
  </si>
  <si>
    <t xml:space="preserve">MOBIUS | CORE | </t>
  </si>
  <si>
    <t xml:space="preserve">MOCHENAIRE | BLOND | </t>
  </si>
  <si>
    <t>MOCHENAIRE</t>
  </si>
  <si>
    <t xml:space="preserve">MOCHENAIRE | LITTLE_ONE | </t>
  </si>
  <si>
    <t>LITTLE_ONE</t>
  </si>
  <si>
    <t xml:space="preserve">MOCHENAIRE | BLACK | </t>
  </si>
  <si>
    <t xml:space="preserve">MONNIKBOSBIER | CORE | </t>
  </si>
  <si>
    <t>MONNIKBOSBIER</t>
  </si>
  <si>
    <t xml:space="preserve">MONSIEUR_MOUCHE | CORE | </t>
  </si>
  <si>
    <t>MONSIEUR_MOUCHE</t>
  </si>
  <si>
    <t xml:space="preserve">MONSIEUR_ROCK | CORE | </t>
  </si>
  <si>
    <t>MONSIEUR_ROCK</t>
  </si>
  <si>
    <t xml:space="preserve">MOORSELES_BUKSKE | CORE | </t>
  </si>
  <si>
    <t>MOORSELES_BUKSKE</t>
  </si>
  <si>
    <t xml:space="preserve">MOOSE | CORE | </t>
  </si>
  <si>
    <t xml:space="preserve">MORIAU | CORE | </t>
  </si>
  <si>
    <t xml:space="preserve">MOZAIK | CORE | </t>
  </si>
  <si>
    <t>MOZAIK</t>
  </si>
  <si>
    <t xml:space="preserve">MURK_LIFE_BALANCE | CORE | </t>
  </si>
  <si>
    <t>MURK_LIFE_BALANCE</t>
  </si>
  <si>
    <t xml:space="preserve">MUSIC_BEER | BLOND;BLUE | </t>
  </si>
  <si>
    <t>MUSIC_BEER</t>
  </si>
  <si>
    <t>BLOND;BLUE</t>
  </si>
  <si>
    <t xml:space="preserve">MUSIC_BEER | TRIPEL_BLOND | </t>
  </si>
  <si>
    <t xml:space="preserve">MUSIC_BEER | WHITE_CHERRY | </t>
  </si>
  <si>
    <t>WHITE;CHERRY</t>
  </si>
  <si>
    <t>WHITE_CHERRY</t>
  </si>
  <si>
    <t xml:space="preserve">MUTIAU | CORE | </t>
  </si>
  <si>
    <t>MUTIAU</t>
  </si>
  <si>
    <t xml:space="preserve">MYDAY | CORE | </t>
  </si>
  <si>
    <t>MYDAY</t>
  </si>
  <si>
    <t xml:space="preserve">MYSTIC | CORE | </t>
  </si>
  <si>
    <t>MYSTIC</t>
  </si>
  <si>
    <t xml:space="preserve">MYSTICUM | TRIPEL | </t>
  </si>
  <si>
    <t>MYSTICUM</t>
  </si>
  <si>
    <t xml:space="preserve">MYSTICUM | CORE | </t>
  </si>
  <si>
    <t xml:space="preserve">LA_ROY_D_ESPAGNE | CORE | </t>
  </si>
  <si>
    <t>LA_ROY_D_ESPAGNE</t>
  </si>
  <si>
    <t xml:space="preserve">THE_WIPERS_TIMES | CORE | </t>
  </si>
  <si>
    <t>THE_WIPERS_TIMES</t>
  </si>
  <si>
    <t xml:space="preserve">THEROISE | CORE | </t>
  </si>
  <si>
    <t>THEROISE</t>
  </si>
  <si>
    <t xml:space="preserve">TIP_TOP | CORE | </t>
  </si>
  <si>
    <t>TIP_TOP</t>
  </si>
  <si>
    <t xml:space="preserve">TOURNEE_BEAURINOISE | CORE | </t>
  </si>
  <si>
    <t>TOURNEE_BEAURINOISE</t>
  </si>
  <si>
    <t xml:space="preserve">VILLEE | CORE | </t>
  </si>
  <si>
    <t>VILLEE</t>
  </si>
  <si>
    <t xml:space="preserve">WAREM | CORE | </t>
  </si>
  <si>
    <t>WAREM</t>
  </si>
  <si>
    <t xml:space="preserve">WARMSTE_ZOT | CORE | </t>
  </si>
  <si>
    <t>WARMSTE_ZOT</t>
  </si>
  <si>
    <t xml:space="preserve">YELLOW_FLO | CORE | </t>
  </si>
  <si>
    <t>YELLOW_FLO</t>
  </si>
  <si>
    <t xml:space="preserve">LA_VIEILLE_SALME | CORE | </t>
  </si>
  <si>
    <t>LA_VIEILLE_SALME</t>
  </si>
  <si>
    <t xml:space="preserve">TEXELS | TRIPEL | </t>
  </si>
  <si>
    <t xml:space="preserve">TEXELS | SPRING | </t>
  </si>
  <si>
    <t xml:space="preserve">TRIPEL_LOUVANISTE | CORE | </t>
  </si>
  <si>
    <t>TRIPEL_LOUVANISTE</t>
  </si>
  <si>
    <t xml:space="preserve">TRIPLE_DU_PRINCE | CORE | </t>
  </si>
  <si>
    <t>TRIPLE_DU_PRINCE</t>
  </si>
  <si>
    <t xml:space="preserve">TRIPICK | 5 | </t>
  </si>
  <si>
    <t xml:space="preserve">TRIPICK | 6 | </t>
  </si>
  <si>
    <t xml:space="preserve">TRIPICK | 7 | </t>
  </si>
  <si>
    <t xml:space="preserve">TRIPICK | 8 | </t>
  </si>
  <si>
    <t xml:space="preserve">TUMULUS | AMARA | </t>
  </si>
  <si>
    <t>AMARA</t>
  </si>
  <si>
    <t xml:space="preserve">TUMULUS | MAGNA | </t>
  </si>
  <si>
    <t>MAGNA</t>
  </si>
  <si>
    <t xml:space="preserve">VLETEREN | CORE | </t>
  </si>
  <si>
    <t xml:space="preserve">LA_DEREN | CORE | </t>
  </si>
  <si>
    <t xml:space="preserve">VIE | CORE | </t>
  </si>
  <si>
    <t>VIE</t>
  </si>
  <si>
    <t xml:space="preserve">WAKKO | CORE | </t>
  </si>
  <si>
    <t>WAKKO</t>
  </si>
  <si>
    <t xml:space="preserve">WARSAGE | CORE | </t>
  </si>
  <si>
    <t>WARSAGE</t>
  </si>
  <si>
    <t xml:space="preserve">WHOPE | CORE | </t>
  </si>
  <si>
    <t>WHOPE</t>
  </si>
  <si>
    <t xml:space="preserve">ZATTE_RITA | CORE | </t>
  </si>
  <si>
    <t>ZATTE_RITA</t>
  </si>
  <si>
    <t xml:space="preserve">ZEUNT | CORE | </t>
  </si>
  <si>
    <t>ZEUNT</t>
  </si>
  <si>
    <t xml:space="preserve">ZWAWI | CORE | </t>
  </si>
  <si>
    <t>ZWAWI</t>
  </si>
  <si>
    <t xml:space="preserve">TERVOERKE | CORE | </t>
  </si>
  <si>
    <t>TERVOERKE</t>
  </si>
  <si>
    <t xml:space="preserve">TRINITE | CORE | </t>
  </si>
  <si>
    <t xml:space="preserve">TOEWIJDING | CORE | </t>
  </si>
  <si>
    <t>TOEWIJDING</t>
  </si>
  <si>
    <t xml:space="preserve">LA_WATERLOOTOISE | CORE | </t>
  </si>
  <si>
    <t>LA_WATERLOOTOISE</t>
  </si>
  <si>
    <t xml:space="preserve">TIMISOREANA | CORE | </t>
  </si>
  <si>
    <t>TIMISOREANA</t>
  </si>
  <si>
    <t xml:space="preserve">TRINKEL | CORE | </t>
  </si>
  <si>
    <t>TRINKEL</t>
  </si>
  <si>
    <t xml:space="preserve">VERHAEGHE | CORE | </t>
  </si>
  <si>
    <t>VERHAEGHE</t>
  </si>
  <si>
    <t>NA</t>
  </si>
  <si>
    <t xml:space="preserve">BRASSERIE_DE_BRUNEHAUT | CORE | </t>
  </si>
  <si>
    <t>BRASSERIE_DE_BRUNEHAUT</t>
  </si>
  <si>
    <t xml:space="preserve">BROUWERIJ_DE_BUDELS | CORE | </t>
  </si>
  <si>
    <t>BROUWERIJ_DE_BUDELS</t>
  </si>
  <si>
    <t xml:space="preserve">NE_BREWERS | CORE | </t>
  </si>
  <si>
    <t>NE_BREWERS</t>
  </si>
  <si>
    <t xml:space="preserve">NEROES_BREWERY | CORE | </t>
  </si>
  <si>
    <t>NEROES_BREWERY</t>
  </si>
  <si>
    <t xml:space="preserve">BROUWERIJ_DE_NEUS | CORE | </t>
  </si>
  <si>
    <t>BROUWERIJ_DE_NEUS</t>
  </si>
  <si>
    <t xml:space="preserve">NEW_GANGSTERDAM | CORE | </t>
  </si>
  <si>
    <t>NEW_GANGSTERDAM</t>
  </si>
  <si>
    <t xml:space="preserve">NEXT | CORE | </t>
  </si>
  <si>
    <t>NEXT</t>
  </si>
  <si>
    <t>NIGHT_ORIENT | CORE | ZERO</t>
  </si>
  <si>
    <t>NIGHT_ORIENT</t>
  </si>
  <si>
    <t xml:space="preserve">NIVARD | CORE | </t>
  </si>
  <si>
    <t xml:space="preserve">NOBILEM | CORE | </t>
  </si>
  <si>
    <t xml:space="preserve">NOBLESSE_OBLIGE | CORE | </t>
  </si>
  <si>
    <t>NOBLESSE_OBLIGE</t>
  </si>
  <si>
    <t xml:space="preserve">NOËL_DE_SILENRIEUX | CORE | </t>
  </si>
  <si>
    <t>NOËL_DE_SILENRIEUX</t>
  </si>
  <si>
    <t xml:space="preserve">NOG_EENDJE | CORE | </t>
  </si>
  <si>
    <t xml:space="preserve">NON_PEUT_ETRE | AMBER | </t>
  </si>
  <si>
    <t xml:space="preserve">NON_PEUT_ETRE | TICHKE | </t>
  </si>
  <si>
    <t>TICHKE</t>
  </si>
  <si>
    <t xml:space="preserve">NONNEKE | CORE | </t>
  </si>
  <si>
    <t xml:space="preserve">NORM | CORE | </t>
  </si>
  <si>
    <t>NORM</t>
  </si>
  <si>
    <t xml:space="preserve">NOSTRADAMUS | CORE | </t>
  </si>
  <si>
    <t xml:space="preserve">NOUNNETTE | CORE | </t>
  </si>
  <si>
    <t>NOUNNETTE</t>
  </si>
  <si>
    <t xml:space="preserve">NOVA | CORE | </t>
  </si>
  <si>
    <t>NOVA</t>
  </si>
  <si>
    <t xml:space="preserve">NOVABIRRA | CORE | </t>
  </si>
  <si>
    <t>NOVABIRRA</t>
  </si>
  <si>
    <t xml:space="preserve">NOVICE | CORE | </t>
  </si>
  <si>
    <t>NOVICE</t>
  </si>
  <si>
    <t xml:space="preserve">NOW_OR_NEVER | CORE | </t>
  </si>
  <si>
    <t>NOW_OR_NEVER</t>
  </si>
  <si>
    <t xml:space="preserve">OBSQUUR | CORE | </t>
  </si>
  <si>
    <t>OBSQUUR</t>
  </si>
  <si>
    <t xml:space="preserve">ODAS | CORE | </t>
  </si>
  <si>
    <t>ODAS</t>
  </si>
  <si>
    <t xml:space="preserve">OERBIER | CORE | </t>
  </si>
  <si>
    <t xml:space="preserve">OMAHA | CORE | </t>
  </si>
  <si>
    <t xml:space="preserve">OMER | CORE | </t>
  </si>
  <si>
    <t xml:space="preserve">OOSTVLETEREN | CORE | </t>
  </si>
  <si>
    <t>OOSTVLETEREN</t>
  </si>
  <si>
    <t xml:space="preserve">ORBIT | CORE | </t>
  </si>
  <si>
    <t xml:space="preserve">ORNE | CORE | </t>
  </si>
  <si>
    <t>ORNE</t>
  </si>
  <si>
    <t>ORNOISE | CORE | BIO</t>
  </si>
  <si>
    <t>ORNOISE</t>
  </si>
  <si>
    <t xml:space="preserve">ORNOISE | TRIPEL | </t>
  </si>
  <si>
    <t xml:space="preserve">ORNOISE | ROZETTE | </t>
  </si>
  <si>
    <t>ROZETTE</t>
  </si>
  <si>
    <t xml:space="preserve">ORVAL | CORE | </t>
  </si>
  <si>
    <t xml:space="preserve">OTHER | CORE | </t>
  </si>
  <si>
    <t xml:space="preserve">OUD_BEERSEL | RHUBARB | </t>
  </si>
  <si>
    <t xml:space="preserve">OUD_BRUIN | CORE | </t>
  </si>
  <si>
    <t xml:space="preserve">OUD_BEERSEL | OUDE_GEUZE | </t>
  </si>
  <si>
    <t xml:space="preserve">OUFTI | CORE | </t>
  </si>
  <si>
    <t>OUFTI</t>
  </si>
  <si>
    <t xml:space="preserve">OURS_POLAIRE | CORE | </t>
  </si>
  <si>
    <t>OURS_POLAIRE</t>
  </si>
  <si>
    <t xml:space="preserve">OUWEN_DUIKER | CORE | </t>
  </si>
  <si>
    <t xml:space="preserve">OWA | CRU | </t>
  </si>
  <si>
    <t xml:space="preserve">OWA | UME | </t>
  </si>
  <si>
    <t>UME</t>
  </si>
  <si>
    <t xml:space="preserve">OWA | YUZU | </t>
  </si>
  <si>
    <t xml:space="preserve">PAALSTEEN | CORE | </t>
  </si>
  <si>
    <t xml:space="preserve">PAIX_DIEU | CORE | </t>
  </si>
  <si>
    <t xml:space="preserve">PALE | CORE | </t>
  </si>
  <si>
    <t xml:space="preserve">PALJAS | CORE | </t>
  </si>
  <si>
    <t xml:space="preserve">PALM | WEISS | </t>
  </si>
  <si>
    <t>WEISS</t>
  </si>
  <si>
    <t xml:space="preserve">PALM_8_HORSE_POWER | CORE | </t>
  </si>
  <si>
    <t>PALM_8_HORSE_POWER</t>
  </si>
  <si>
    <t xml:space="preserve">PANEM | CORE | </t>
  </si>
  <si>
    <t xml:space="preserve">PARANOIA | HOP | </t>
  </si>
  <si>
    <t xml:space="preserve">PARANOIA | FRUIT | </t>
  </si>
  <si>
    <t xml:space="preserve">PATER_LIEVEN | WHITE | </t>
  </si>
  <si>
    <t xml:space="preserve">PATER_LIEVEN | BROWN | </t>
  </si>
  <si>
    <t xml:space="preserve">PATER_LIEVEN | TRIPEL | </t>
  </si>
  <si>
    <t xml:space="preserve">PATER_LIEVEN | BLOND | </t>
  </si>
  <si>
    <t xml:space="preserve">PAU_WAU_RANGER | CORE | </t>
  </si>
  <si>
    <t>PAU_WAU_RANGER</t>
  </si>
  <si>
    <t xml:space="preserve">PEAK | XMAS | </t>
  </si>
  <si>
    <t>PEAK</t>
  </si>
  <si>
    <t xml:space="preserve">PEAK | BROWN | </t>
  </si>
  <si>
    <t xml:space="preserve">PEAK | IPA | </t>
  </si>
  <si>
    <t xml:space="preserve">PEAK | MYRTILLE | </t>
  </si>
  <si>
    <t>MYRTILLE</t>
  </si>
  <si>
    <t xml:space="preserve">PEAK | SUMMER | </t>
  </si>
  <si>
    <t xml:space="preserve">PEAK | CRU | </t>
  </si>
  <si>
    <t xml:space="preserve">PEAK | WHITE | </t>
  </si>
  <si>
    <t xml:space="preserve">PEAK | SCOTCH | </t>
  </si>
  <si>
    <t>PEAK_BLOND</t>
  </si>
  <si>
    <t>PEAK_TRIPEL</t>
  </si>
  <si>
    <t xml:space="preserve">PEALCE | CORE | </t>
  </si>
  <si>
    <t>PEALCE</t>
  </si>
  <si>
    <t xml:space="preserve">PEARL | CORE | </t>
  </si>
  <si>
    <t xml:space="preserve">PEETERMAN | CORE | </t>
  </si>
  <si>
    <t xml:space="preserve">PERE | CORE | </t>
  </si>
  <si>
    <t xml:space="preserve">PERKAMENT_MIEL | CORE | </t>
  </si>
  <si>
    <t>PERKAMENT_MIEL</t>
  </si>
  <si>
    <t xml:space="preserve">PERLA | CORE | </t>
  </si>
  <si>
    <t xml:space="preserve">PETITE | CORE | </t>
  </si>
  <si>
    <t xml:space="preserve">PETRE_DEVOS | WILDEBEEST | </t>
  </si>
  <si>
    <t>PETRE_DEVOS</t>
  </si>
  <si>
    <t xml:space="preserve">PETRE_DEVOS_STEEPLE | STEEPLE | </t>
  </si>
  <si>
    <t>PETRE_DEVOS_STEEPLE</t>
  </si>
  <si>
    <t>STEEPLE</t>
  </si>
  <si>
    <t xml:space="preserve">PETRUS | CHOCOLAT | </t>
  </si>
  <si>
    <t xml:space="preserve">PETRUS | OUD_BRUIN | </t>
  </si>
  <si>
    <t xml:space="preserve">PETRUS | RED | </t>
  </si>
  <si>
    <t xml:space="preserve">PETRUS_GOUDEN_TRIPEL | GOLD | </t>
  </si>
  <si>
    <t>PETRUS_GOUDEN_TRIPEL</t>
  </si>
  <si>
    <t xml:space="preserve">PHILOMENE | FLORALE | </t>
  </si>
  <si>
    <t>FLORALE</t>
  </si>
  <si>
    <t xml:space="preserve">PHILOMÈNE | HOP | </t>
  </si>
  <si>
    <t>PHILOMÈNE</t>
  </si>
  <si>
    <t xml:space="preserve">PIER_KLOEFFE | CORE | </t>
  </si>
  <si>
    <t xml:space="preserve">PINK_KILLER | CORE | </t>
  </si>
  <si>
    <t xml:space="preserve">PINTECOTE | CORE | </t>
  </si>
  <si>
    <t>PINTECOTE</t>
  </si>
  <si>
    <t xml:space="preserve">PIRAAT | RESERVE | </t>
  </si>
  <si>
    <t xml:space="preserve">PIRAAT | RED | </t>
  </si>
  <si>
    <t xml:space="preserve">PIT_CARIBOU | CORE | </t>
  </si>
  <si>
    <t>PIT_CARIBOU</t>
  </si>
  <si>
    <t xml:space="preserve">PITT | CORE | </t>
  </si>
  <si>
    <t>PITT</t>
  </si>
  <si>
    <t xml:space="preserve">PIUS X | CORE | </t>
  </si>
  <si>
    <t>PIUS X</t>
  </si>
  <si>
    <t xml:space="preserve">PJEIREFRETTER | PASSION | </t>
  </si>
  <si>
    <t xml:space="preserve">PJEIREFRETTER | GOLD | </t>
  </si>
  <si>
    <t xml:space="preserve">PLAISIR_DE_LA_BIÈRE | CORE | </t>
  </si>
  <si>
    <t>PLAISIR_DE_LA_BIÈRE</t>
  </si>
  <si>
    <t>PLAYGROUND | CORE | ZERO</t>
  </si>
  <si>
    <t xml:space="preserve">PLOQUETTE | CORE | </t>
  </si>
  <si>
    <t>PLOQUETTE</t>
  </si>
  <si>
    <t xml:space="preserve">PODIUM | CORE | </t>
  </si>
  <si>
    <t>PODIUM</t>
  </si>
  <si>
    <t xml:space="preserve">POEFER | CORE | </t>
  </si>
  <si>
    <t>POEFER</t>
  </si>
  <si>
    <t xml:space="preserve">POKER_FACE | CORE | </t>
  </si>
  <si>
    <t>POKER_FACE</t>
  </si>
  <si>
    <t xml:space="preserve">POLARIUS | CORE | </t>
  </si>
  <si>
    <t>POLARIUS</t>
  </si>
  <si>
    <t xml:space="preserve">PONY_S | CORE | </t>
  </si>
  <si>
    <t xml:space="preserve">POORTER | CORE | </t>
  </si>
  <si>
    <t xml:space="preserve">PREARIS | CORE | </t>
  </si>
  <si>
    <t xml:space="preserve">PRÉFACE | CORE | </t>
  </si>
  <si>
    <t>PRÉFACE</t>
  </si>
  <si>
    <t>PREMIUM_KRIEK | CORE | ZERO</t>
  </si>
  <si>
    <t>PREMIUM_KRIEK</t>
  </si>
  <si>
    <t xml:space="preserve">PRIEURE_DE_BEAUFAYS | CORE | </t>
  </si>
  <si>
    <t>PRIEURE_DE_BEAUFAYS</t>
  </si>
  <si>
    <t xml:space="preserve">PRIMUS | CORE | </t>
  </si>
  <si>
    <t xml:space="preserve">P_TIT_GRANIT | CORE | </t>
  </si>
  <si>
    <t>P_TIT_GRANIT</t>
  </si>
  <si>
    <t xml:space="preserve">PULP | CORE | </t>
  </si>
  <si>
    <t>PULP</t>
  </si>
  <si>
    <t xml:space="preserve">QUADRUPLE_BLOND | CORE | </t>
  </si>
  <si>
    <t>QUADRUPLE_BLOND</t>
  </si>
  <si>
    <t xml:space="preserve">QUEUE_DE_CHARRUE | OUD_BRUIN | </t>
  </si>
  <si>
    <t xml:space="preserve">QUEUE_DE_CHARRUE | RED | </t>
  </si>
  <si>
    <t xml:space="preserve">QUEUE_DE_CHARRUE | AMBER | </t>
  </si>
  <si>
    <t xml:space="preserve">QUEUE_DE_CHARRUE | TRIPEL | </t>
  </si>
  <si>
    <t xml:space="preserve">QUINOUX | BLOND | </t>
  </si>
  <si>
    <t>QUINOUX</t>
  </si>
  <si>
    <t xml:space="preserve">RASTA_TROLLS | APPLE_RUM | </t>
  </si>
  <si>
    <t>RASTA_TROLLS</t>
  </si>
  <si>
    <t>APPLE;RUM</t>
  </si>
  <si>
    <t>APPLE_RUM</t>
  </si>
  <si>
    <t xml:space="preserve">RASTA_MOINE | GREEN | </t>
  </si>
  <si>
    <t>RASTA_MOINE</t>
  </si>
  <si>
    <t xml:space="preserve">RASTA_MOINE | MINT | </t>
  </si>
  <si>
    <t xml:space="preserve">RAZORBACK | CORE | </t>
  </si>
  <si>
    <t>RAZORBACK</t>
  </si>
  <si>
    <t xml:space="preserve">RDV | CORE | </t>
  </si>
  <si>
    <t>RDV</t>
  </si>
  <si>
    <t xml:space="preserve">REBEL_LOCAL | CORE | </t>
  </si>
  <si>
    <t xml:space="preserve">REINAERT | TRIPEL | </t>
  </si>
  <si>
    <t>REINAERT</t>
  </si>
  <si>
    <t xml:space="preserve">REINAERT | CRU | </t>
  </si>
  <si>
    <t xml:space="preserve">REMI | CORE | </t>
  </si>
  <si>
    <t xml:space="preserve">RESERVE_ROYALE | CORE | </t>
  </si>
  <si>
    <t>RESERVE_ROYALE</t>
  </si>
  <si>
    <t xml:space="preserve">RHIZOME | CORE | </t>
  </si>
  <si>
    <t>RHIZOME</t>
  </si>
  <si>
    <t xml:space="preserve">RIEBEDEBIE | CORE | </t>
  </si>
  <si>
    <t xml:space="preserve">RINCE_COCHON | RED | </t>
  </si>
  <si>
    <t>RINCE_COCHON</t>
  </si>
  <si>
    <t xml:space="preserve">RINCE_COCHON | IPA | </t>
  </si>
  <si>
    <t>HOP;IPA</t>
  </si>
  <si>
    <t xml:space="preserve">RINCE_COCHON | BLOND | </t>
  </si>
  <si>
    <t xml:space="preserve">ROBETE | CORE | </t>
  </si>
  <si>
    <t>ROBETE</t>
  </si>
  <si>
    <t xml:space="preserve">ROCHEHAUT | RASPBERRY | </t>
  </si>
  <si>
    <t xml:space="preserve">ROCHEHAUT | MYRTILLE | </t>
  </si>
  <si>
    <t xml:space="preserve">ROMAN | white | </t>
  </si>
  <si>
    <t>ROMAN</t>
  </si>
  <si>
    <t>white</t>
  </si>
  <si>
    <t xml:space="preserve">ROMY | CORE | </t>
  </si>
  <si>
    <t>ROMY</t>
  </si>
  <si>
    <t>ROSSE_TINKE | CORE | ZERO</t>
  </si>
  <si>
    <t xml:space="preserve">ROSTEKOP | CORE | </t>
  </si>
  <si>
    <t xml:space="preserve">RUBBENS | CORE | </t>
  </si>
  <si>
    <t xml:space="preserve">RULLQUIN | BLACKCURRANT | </t>
  </si>
  <si>
    <t>RULLQUIN</t>
  </si>
  <si>
    <t xml:space="preserve">RULLQUIN | SUREAU | </t>
  </si>
  <si>
    <t>SUREAU</t>
  </si>
  <si>
    <t xml:space="preserve">RULLQUIN | STOUT | </t>
  </si>
  <si>
    <t xml:space="preserve">S4ISONS_DE_LIÈGE | SPRING | </t>
  </si>
  <si>
    <t>S4ISONS_DE_LIÈGE</t>
  </si>
  <si>
    <t xml:space="preserve">S4ISONS_DE_LIÈGE | AUTUMN | </t>
  </si>
  <si>
    <t xml:space="preserve">S4ISONS_DE_LIÈGE | WINTER | </t>
  </si>
  <si>
    <t xml:space="preserve">SAGRES | CORE | </t>
  </si>
  <si>
    <t xml:space="preserve">SAINT_IDESBALD | RED | </t>
  </si>
  <si>
    <t>SAINT_IDESBALD</t>
  </si>
  <si>
    <t xml:space="preserve">SAINT_LAZARE | SAISON | </t>
  </si>
  <si>
    <t>SAINT_LAZARE</t>
  </si>
  <si>
    <t xml:space="preserve">SAINT_LAZARE | BROWN | </t>
  </si>
  <si>
    <t xml:space="preserve">SAINT_MENGOLD | AMBER | </t>
  </si>
  <si>
    <t>SAINT_MENGOLD</t>
  </si>
  <si>
    <t xml:space="preserve">SAINT_JOSEPH | CORE | </t>
  </si>
  <si>
    <t>SAINT_JOSEPH</t>
  </si>
  <si>
    <t xml:space="preserve">SAINT_LAZARE | PALE | </t>
  </si>
  <si>
    <t xml:space="preserve">SAINT_LAZARE | TRIPEL | </t>
  </si>
  <si>
    <t xml:space="preserve">SAINT_LAZARE | 2 | </t>
  </si>
  <si>
    <t xml:space="preserve">SAINT_LAZARE | IPA | </t>
  </si>
  <si>
    <t xml:space="preserve">SAINT_MENGOLD | CORE | </t>
  </si>
  <si>
    <t xml:space="preserve">SAINTE_NITOUCHE | WHITE | </t>
  </si>
  <si>
    <t xml:space="preserve">SAINTE_NITOUCHE | XMAS | </t>
  </si>
  <si>
    <t xml:space="preserve">SAINTE_NITOUCHE | VERGER | </t>
  </si>
  <si>
    <t>VERGER</t>
  </si>
  <si>
    <t xml:space="preserve">SAINTE_NITOUCHE | PEACH | </t>
  </si>
  <si>
    <t xml:space="preserve">SAINTE_HELENE | CORE | </t>
  </si>
  <si>
    <t>SAINTE_HELENE</t>
  </si>
  <si>
    <t xml:space="preserve">SAINTE_NITOUCHE | ARDENTE | </t>
  </si>
  <si>
    <t>ARDENTE</t>
  </si>
  <si>
    <t xml:space="preserve">SAINT_MARTIN | BLOND | </t>
  </si>
  <si>
    <t>SAINT_MARTIN</t>
  </si>
  <si>
    <t xml:space="preserve">SAINT_MARTIN | BROWN | </t>
  </si>
  <si>
    <t xml:space="preserve">SAINT_MARTIN | TRIPEL | </t>
  </si>
  <si>
    <t>SAINT_MARTIN | TOURNAISIS | 4</t>
  </si>
  <si>
    <t>TOURNAISIS</t>
  </si>
  <si>
    <t xml:space="preserve">SAINT_MARTIN | WINTER | </t>
  </si>
  <si>
    <t xml:space="preserve">SAINT_MARTIN | XMAS | </t>
  </si>
  <si>
    <t xml:space="preserve">SAMBRO_BREWERS | CORE | </t>
  </si>
  <si>
    <t>SAMBRO_BREWERS</t>
  </si>
  <si>
    <t xml:space="preserve">SAN_MIGUEL | CORE | </t>
  </si>
  <si>
    <t xml:space="preserve">SANG | AMBER | </t>
  </si>
  <si>
    <t>SANG</t>
  </si>
  <si>
    <t xml:space="preserve">SANTE | GROTTEN | </t>
  </si>
  <si>
    <t>SANTE</t>
  </si>
  <si>
    <t>GROTTEN</t>
  </si>
  <si>
    <t xml:space="preserve">SANTE | HOLY_WHITE | </t>
  </si>
  <si>
    <t>HOLY_WHITE</t>
  </si>
  <si>
    <t>SAPPORO | CORE | ZERO</t>
  </si>
  <si>
    <t>SARA | CORE | BIO</t>
  </si>
  <si>
    <t>SARA</t>
  </si>
  <si>
    <t xml:space="preserve">SARA | BOEKEWEIT | </t>
  </si>
  <si>
    <t>BOEKEWEIT</t>
  </si>
  <si>
    <t xml:space="preserve">SARAZEN | XMAS | </t>
  </si>
  <si>
    <t>SARAZEN</t>
  </si>
  <si>
    <t xml:space="preserve">SARAZEN | BROWN | </t>
  </si>
  <si>
    <t xml:space="preserve">SARAZEN | BLOND | </t>
  </si>
  <si>
    <t xml:space="preserve">SARAZEN | TRIPEL | </t>
  </si>
  <si>
    <t xml:space="preserve">SATAN | GOLD | </t>
  </si>
  <si>
    <t xml:space="preserve">SAXO | BLOND | </t>
  </si>
  <si>
    <t>SAXO</t>
  </si>
  <si>
    <t xml:space="preserve">SCHUPPEN_BOER | TRIPEL | </t>
  </si>
  <si>
    <t xml:space="preserve">SCHUPPEN_BOER | CRU | </t>
  </si>
  <si>
    <t xml:space="preserve">SCHUPPEN_BOER | MAXIMA | </t>
  </si>
  <si>
    <t>MAXIMA</t>
  </si>
  <si>
    <t xml:space="preserve">SCHUPPEN_BOER | JACK | </t>
  </si>
  <si>
    <t>JACK</t>
  </si>
  <si>
    <t xml:space="preserve">SCHUPPENAAS | CORE | </t>
  </si>
  <si>
    <t>SCHUPPENAAS</t>
  </si>
  <si>
    <t xml:space="preserve">SCOTT | CORE | </t>
  </si>
  <si>
    <t>SCOTT</t>
  </si>
  <si>
    <t xml:space="preserve">SEEF | CORE | </t>
  </si>
  <si>
    <t>SEEF</t>
  </si>
  <si>
    <t xml:space="preserve">SERVEZ_CA | CORE | </t>
  </si>
  <si>
    <t>SERVEZ_CA</t>
  </si>
  <si>
    <t xml:space="preserve">SETBERG | CORE | </t>
  </si>
  <si>
    <t>SETBERG</t>
  </si>
  <si>
    <t xml:space="preserve">SEZOENS | CORE | </t>
  </si>
  <si>
    <t xml:space="preserve">SHAKE_SHAKE | CORE | </t>
  </si>
  <si>
    <t>SHAKE_SHAKE</t>
  </si>
  <si>
    <t xml:space="preserve">SHENG | CORE | </t>
  </si>
  <si>
    <t>SHENG</t>
  </si>
  <si>
    <t xml:space="preserve">SICHUAN | CORE | </t>
  </si>
  <si>
    <t>SICHUAN</t>
  </si>
  <si>
    <t xml:space="preserve">SIERRA_NEVADA | CORE | </t>
  </si>
  <si>
    <t>SIERRA_NEVADA</t>
  </si>
  <si>
    <t xml:space="preserve">SILLY | BARREL | </t>
  </si>
  <si>
    <t xml:space="preserve">SILLY | SCOTCH | </t>
  </si>
  <si>
    <t xml:space="preserve">SILLY | TRIPEL | </t>
  </si>
  <si>
    <t xml:space="preserve">SILLY | CHERRY | </t>
  </si>
  <si>
    <t xml:space="preserve">SINT_JAN_DIEST | CORE | </t>
  </si>
  <si>
    <t>SINT_JAN_DIEST</t>
  </si>
  <si>
    <t xml:space="preserve">SINT‑GUMMARUS | DUBBEL | </t>
  </si>
  <si>
    <t>SINT‑GUMMARUS</t>
  </si>
  <si>
    <t xml:space="preserve">SINT‑GUMMARUS | TRIPEL | </t>
  </si>
  <si>
    <t xml:space="preserve">SITIS | CORE | </t>
  </si>
  <si>
    <t>SITIS</t>
  </si>
  <si>
    <t xml:space="preserve">SLUTTE | CORE | </t>
  </si>
  <si>
    <t>SLUTTE</t>
  </si>
  <si>
    <t xml:space="preserve">SMASH | CORE | </t>
  </si>
  <si>
    <t xml:space="preserve">SMASHINE | CORE | </t>
  </si>
  <si>
    <t>SMASHINE</t>
  </si>
  <si>
    <t xml:space="preserve">SMOKEY_LI | CORE | </t>
  </si>
  <si>
    <t>SMOKEY_LI</t>
  </si>
  <si>
    <t xml:space="preserve">SOL | CORE | </t>
  </si>
  <si>
    <t>SOL</t>
  </si>
  <si>
    <t xml:space="preserve">SOMBRERO | CORE | </t>
  </si>
  <si>
    <t>SOMBRERO</t>
  </si>
  <si>
    <t xml:space="preserve">SOSAB | CORE | </t>
  </si>
  <si>
    <t>SOSAB</t>
  </si>
  <si>
    <t xml:space="preserve">SPACE_CADET | CORE | </t>
  </si>
  <si>
    <t xml:space="preserve">SPECIALE_BLONDE | CORE | </t>
  </si>
  <si>
    <t>SPECIALE_BLONDE</t>
  </si>
  <si>
    <t xml:space="preserve">SPENCER | CORE | </t>
  </si>
  <si>
    <t>SPENCER</t>
  </si>
  <si>
    <t xml:space="preserve">SPIJKER_BIER | CORE | </t>
  </si>
  <si>
    <t>SPIJKER_BIER</t>
  </si>
  <si>
    <t xml:space="preserve">SPITS | WHITE | </t>
  </si>
  <si>
    <t>SPITS</t>
  </si>
  <si>
    <t xml:space="preserve">SPITS | BROWN | </t>
  </si>
  <si>
    <t xml:space="preserve">SS_MARQUE | PALE | </t>
  </si>
  <si>
    <t>SS_MARQUE</t>
  </si>
  <si>
    <t xml:space="preserve">SS_MARQUE | WHITE | </t>
  </si>
  <si>
    <t xml:space="preserve">SS_MARQUE | IPA | </t>
  </si>
  <si>
    <t xml:space="preserve">ST_BERNARDUS | CORE | </t>
  </si>
  <si>
    <t xml:space="preserve">ST_IDESBALD | DUBBEL | </t>
  </si>
  <si>
    <t xml:space="preserve">ST_IDESBALD | ROUSSE | </t>
  </si>
  <si>
    <t xml:space="preserve">STEAM_BREW | STOUT | </t>
  </si>
  <si>
    <t>STEAM_BREW</t>
  </si>
  <si>
    <t xml:space="preserve">STEAM_BREW | SUMMER | </t>
  </si>
  <si>
    <t xml:space="preserve">STEVIGE_LINKER | TRIPEL | </t>
  </si>
  <si>
    <t xml:space="preserve">STIEN | TRIPEL | </t>
  </si>
  <si>
    <t xml:space="preserve">STIEN | DUBBEL | </t>
  </si>
  <si>
    <t xml:space="preserve">STIERENKLOOT | CORE | </t>
  </si>
  <si>
    <t>STIERENKLOOT</t>
  </si>
  <si>
    <t>STONE | IPA | 6</t>
  </si>
  <si>
    <t xml:space="preserve">STONE | CRUSH | </t>
  </si>
  <si>
    <t>CRUSH</t>
  </si>
  <si>
    <t xml:space="preserve">STONE | BUENAVEZA | </t>
  </si>
  <si>
    <t>BUENAVEZA</t>
  </si>
  <si>
    <t xml:space="preserve">STRAFFE_HENDRIK | QUADRUPEL | </t>
  </si>
  <si>
    <t xml:space="preserve">STRAFFE_HENDRIK | XMAS | </t>
  </si>
  <si>
    <t xml:space="preserve">SUPER_BOCK | TWIN | </t>
  </si>
  <si>
    <t>TWIN</t>
  </si>
  <si>
    <t xml:space="preserve">SUPER_DES_FAGNES | CORE | </t>
  </si>
  <si>
    <t xml:space="preserve">SUPER_CADIX | DRY_HOPPED | </t>
  </si>
  <si>
    <t xml:space="preserve">SUPERFOOD_BEERS | 5G | </t>
  </si>
  <si>
    <t>SUPERFOOD_BEERS</t>
  </si>
  <si>
    <t>5G</t>
  </si>
  <si>
    <t xml:space="preserve">SUPERFOOD_BEERS | BLACA | </t>
  </si>
  <si>
    <t>BLACA</t>
  </si>
  <si>
    <t xml:space="preserve">SUPERFOOD_BEERS | WACA | </t>
  </si>
  <si>
    <t>WACA</t>
  </si>
  <si>
    <t xml:space="preserve">SUPERFOOD_BEERS | APY | </t>
  </si>
  <si>
    <t>APY</t>
  </si>
  <si>
    <t xml:space="preserve">SUR_LES_BOIS | BROWN | </t>
  </si>
  <si>
    <t>SUR_LES_BOIS</t>
  </si>
  <si>
    <t xml:space="preserve">SUR_LES_BOIS | BLOND | </t>
  </si>
  <si>
    <t xml:space="preserve">SWEYNBEER | YUZU | </t>
  </si>
  <si>
    <t>SWEYNBEER</t>
  </si>
  <si>
    <t xml:space="preserve">SWEYNBEER | PORTER | </t>
  </si>
  <si>
    <t xml:space="preserve">TAK_KHUNN | CORE | </t>
  </si>
  <si>
    <t>TAK_KHUNN</t>
  </si>
  <si>
    <t xml:space="preserve">TARTARUGA | SUN | </t>
  </si>
  <si>
    <t>TARTARUGA</t>
  </si>
  <si>
    <t xml:space="preserve">TARTARUGA | ALMA | </t>
  </si>
  <si>
    <t>ALMA</t>
  </si>
  <si>
    <t xml:space="preserve">TARTARUGA | MORENA | </t>
  </si>
  <si>
    <t>MORENA</t>
  </si>
  <si>
    <t xml:space="preserve">TAXANDRIA | CORE | </t>
  </si>
  <si>
    <t>CORE;COPPER</t>
  </si>
  <si>
    <t xml:space="preserve">TECH’_TU! | CORE | </t>
  </si>
  <si>
    <t>TECH’_TU!</t>
  </si>
  <si>
    <t xml:space="preserve">TECHNO_KVEIKING | CORE | </t>
  </si>
  <si>
    <t>TECHNO_KVEIKING</t>
  </si>
  <si>
    <t xml:space="preserve">TEN_DUINEN | ROUSSE | </t>
  </si>
  <si>
    <t>TEN_DUINEN</t>
  </si>
  <si>
    <t xml:space="preserve">TENEBREUSE | BROWN | </t>
  </si>
  <si>
    <t>TENEBREUSE</t>
  </si>
  <si>
    <t xml:space="preserve">TERMONT | RED | </t>
  </si>
  <si>
    <t>TERMONT</t>
  </si>
  <si>
    <t xml:space="preserve">TERRA_PILS | CORE | </t>
  </si>
  <si>
    <t>TERRA_PILS</t>
  </si>
  <si>
    <t xml:space="preserve">THE_FUTURE_EUROPE | CORE | </t>
  </si>
  <si>
    <t>THE_FUTURE_EUROPE</t>
  </si>
  <si>
    <t xml:space="preserve">THRIVE | PEAK | </t>
  </si>
  <si>
    <t xml:space="preserve">THRIVE | PLAY | </t>
  </si>
  <si>
    <t xml:space="preserve">TIMMERMANS | KRIEK | </t>
  </si>
  <si>
    <t xml:space="preserve">TIMMERMANS | GRIOTTEKE | </t>
  </si>
  <si>
    <t>GRIOTTEKE</t>
  </si>
  <si>
    <t xml:space="preserve">TITS | TRIPEL | </t>
  </si>
  <si>
    <t xml:space="preserve">TO_ØL | IPA | </t>
  </si>
  <si>
    <t>TO_ØL</t>
  </si>
  <si>
    <t xml:space="preserve">TORPAH | 60 | </t>
  </si>
  <si>
    <t xml:space="preserve">TORPAH | 90 | </t>
  </si>
  <si>
    <t xml:space="preserve">TORPAH | NEED | </t>
  </si>
  <si>
    <t>NEED</t>
  </si>
  <si>
    <t xml:space="preserve">TOUCH_OF_SUN | CORE | </t>
  </si>
  <si>
    <t>TOUCH_OF_SUN</t>
  </si>
  <si>
    <t xml:space="preserve">TOURNAY | XMAS | </t>
  </si>
  <si>
    <t xml:space="preserve">TRACK_DOWN | NEIPA | </t>
  </si>
  <si>
    <t>TRACK_DOWN</t>
  </si>
  <si>
    <t xml:space="preserve">TREWEISS | WHITE | </t>
  </si>
  <si>
    <t>TREWEISS</t>
  </si>
  <si>
    <t xml:space="preserve">TREWEISS | BROWN | </t>
  </si>
  <si>
    <t xml:space="preserve">OUDE_CAERT | CORE | </t>
  </si>
  <si>
    <t>OUDE_CAERT</t>
  </si>
  <si>
    <t xml:space="preserve">LIZA_TRIPEL | CORE | </t>
  </si>
  <si>
    <t>LIZA_TRIPEL</t>
  </si>
  <si>
    <t xml:space="preserve">TRIPEL_KATRIEN | CORE | </t>
  </si>
  <si>
    <t>TRIPEL_KATRIEN</t>
  </si>
  <si>
    <t xml:space="preserve">ENFANT_TERRIPLE | CORE | </t>
  </si>
  <si>
    <t xml:space="preserve">DIKKE_JAN | CORE | </t>
  </si>
  <si>
    <t>DIKKE_JAN</t>
  </si>
  <si>
    <t xml:space="preserve">TRIPICK | 3 | </t>
  </si>
  <si>
    <t xml:space="preserve">LA_FAUCHEUSE | FAU | </t>
  </si>
  <si>
    <t>FAU</t>
  </si>
  <si>
    <t xml:space="preserve">LANGUE_QUI | CORE | </t>
  </si>
  <si>
    <t>LANGUE_QUI</t>
  </si>
  <si>
    <t xml:space="preserve">TRIPLE_MOINE | CORE | </t>
  </si>
  <si>
    <t>TRIPLE_MOINE</t>
  </si>
  <si>
    <t xml:space="preserve">LA_MARLOYAT | CORE | </t>
  </si>
  <si>
    <t>LA_MARLOYAT</t>
  </si>
  <si>
    <t xml:space="preserve">LA_DONCOURT | CORE | </t>
  </si>
  <si>
    <t xml:space="preserve">LA_FABULEUSE | CORE | </t>
  </si>
  <si>
    <t>LA_FABULEUSE</t>
  </si>
  <si>
    <t xml:space="preserve">LA_MINE | TRIPEL | </t>
  </si>
  <si>
    <t xml:space="preserve">LE_FOU_DU_ROI | CORE | </t>
  </si>
  <si>
    <t>LE_FOU_DU_ROI</t>
  </si>
  <si>
    <t xml:space="preserve">LA_MONEUSE | CORE | </t>
  </si>
  <si>
    <t xml:space="preserve">TROOST | CORE | </t>
  </si>
  <si>
    <t>TROOST</t>
  </si>
  <si>
    <t xml:space="preserve">TUMULUS | CORE | </t>
  </si>
  <si>
    <t xml:space="preserve">UNE_SACREE_TRIPLE | CORE | </t>
  </si>
  <si>
    <t>UNE_SACREE_TRIPLE</t>
  </si>
  <si>
    <t xml:space="preserve">UNPLUGGED | CORE | </t>
  </si>
  <si>
    <t>UNWRAPP | CORE | ZERO</t>
  </si>
  <si>
    <t>UNWRAPP</t>
  </si>
  <si>
    <t xml:space="preserve">URINE | CORE | </t>
  </si>
  <si>
    <t xml:space="preserve">V_CENSE | CORE | </t>
  </si>
  <si>
    <t>V_CENSE</t>
  </si>
  <si>
    <t xml:space="preserve">VALDUC | GREEN | </t>
  </si>
  <si>
    <t xml:space="preserve">VALDUC | THOR | </t>
  </si>
  <si>
    <t>THOR</t>
  </si>
  <si>
    <t xml:space="preserve">VALDUC | TRIPEL | </t>
  </si>
  <si>
    <t xml:space="preserve">VALEIR | HOP | </t>
  </si>
  <si>
    <t xml:space="preserve">VAPEUR | CORE | </t>
  </si>
  <si>
    <t xml:space="preserve">VERY_CHIC | CORE | </t>
  </si>
  <si>
    <t>VERY_CHIC</t>
  </si>
  <si>
    <t xml:space="preserve">VIA_EMILIA | CORE | </t>
  </si>
  <si>
    <t>VIA_EMILIA</t>
  </si>
  <si>
    <t xml:space="preserve">VICARIS | TRIPEL_GEUZE | </t>
  </si>
  <si>
    <t>TRIPEL_GEUZE</t>
  </si>
  <si>
    <t xml:space="preserve">VICTORIUS | DOREE | </t>
  </si>
  <si>
    <t>VICTORIUS</t>
  </si>
  <si>
    <t>DOREE</t>
  </si>
  <si>
    <t xml:space="preserve">VICTORIUS | SILVER | </t>
  </si>
  <si>
    <t xml:space="preserve">VIEUX_TEMPS | AMBER | </t>
  </si>
  <si>
    <t xml:space="preserve">VIVA | CORE | </t>
  </si>
  <si>
    <t xml:space="preserve">VLETEREN | BARREL_AGED | </t>
  </si>
  <si>
    <t>PORTER;BARREL</t>
  </si>
  <si>
    <t xml:space="preserve">VLETEREN | BROWN | </t>
  </si>
  <si>
    <t xml:space="preserve">VOODOO | CORE | </t>
  </si>
  <si>
    <t>VOODOO</t>
  </si>
  <si>
    <t xml:space="preserve">VULPUS | CORE | </t>
  </si>
  <si>
    <t>VULPUS</t>
  </si>
  <si>
    <t xml:space="preserve">WALHAIN | CORE | </t>
  </si>
  <si>
    <t>WALHAIN</t>
  </si>
  <si>
    <t xml:space="preserve">WALHALLA | CORE | </t>
  </si>
  <si>
    <t>WALHALLA</t>
  </si>
  <si>
    <t xml:space="preserve">WARKA | CORE | </t>
  </si>
  <si>
    <t>WARKA</t>
  </si>
  <si>
    <t xml:space="preserve">WATERLOO | CORE | </t>
  </si>
  <si>
    <t xml:space="preserve">WATOUS | CORE | </t>
  </si>
  <si>
    <t>WATOUS</t>
  </si>
  <si>
    <t xml:space="preserve">WAW | MYSTERY | </t>
  </si>
  <si>
    <t>WAW</t>
  </si>
  <si>
    <t>MYSTERY</t>
  </si>
  <si>
    <t xml:space="preserve">WAW | JUNGLE | </t>
  </si>
  <si>
    <t xml:space="preserve">WHIPLASH | CORE | </t>
  </si>
  <si>
    <t>WHIPLASH</t>
  </si>
  <si>
    <t xml:space="preserve">WHIRL_DOMINATION | CORE | </t>
  </si>
  <si>
    <t>WHIRL_DOMINATION</t>
  </si>
  <si>
    <t xml:space="preserve">WIJNBERG | CORE | </t>
  </si>
  <si>
    <t>WIJNBERG</t>
  </si>
  <si>
    <t xml:space="preserve">WILDEREN | CORE | </t>
  </si>
  <si>
    <t xml:space="preserve">WINDY | CORE | </t>
  </si>
  <si>
    <t>WINDY</t>
  </si>
  <si>
    <t xml:space="preserve">WINTERKONINKJE | CORE | </t>
  </si>
  <si>
    <t>WINTERKONINKJE</t>
  </si>
  <si>
    <t>WITKAP | STIMULO | ZERO</t>
  </si>
  <si>
    <t>STIMULO</t>
  </si>
  <si>
    <t xml:space="preserve">WITKAP_PATER | SPECIAL | </t>
  </si>
  <si>
    <t>SPECIAL</t>
  </si>
  <si>
    <t xml:space="preserve">WUNDER_LAGER | CORE | </t>
  </si>
  <si>
    <t>WUNDER_LAGER</t>
  </si>
  <si>
    <t>XXL_NUTRITION | IPA | ZERO</t>
  </si>
  <si>
    <t>XXL_NUTRITION</t>
  </si>
  <si>
    <t xml:space="preserve">YPERMAN | CORE | </t>
  </si>
  <si>
    <t>YPERMAN</t>
  </si>
  <si>
    <t xml:space="preserve">ZATTE_RITA | BROWN | </t>
  </si>
  <si>
    <t xml:space="preserve">ZESTY | CORE | </t>
  </si>
  <si>
    <t>ZESTY</t>
  </si>
  <si>
    <t xml:space="preserve">ZUBR | CORE | </t>
  </si>
  <si>
    <t>ZUBR</t>
  </si>
  <si>
    <t>SUPERB_OWL | IPA | ZERO</t>
  </si>
  <si>
    <t xml:space="preserve">100_PAP | CORE | </t>
  </si>
  <si>
    <t xml:space="preserve">13 | PILSNER | </t>
  </si>
  <si>
    <t xml:space="preserve">1818 | SAISON | </t>
  </si>
  <si>
    <t xml:space="preserve">1906 | BLACK | </t>
  </si>
  <si>
    <t>1906 | CORE | GLUTEN_FREE</t>
  </si>
  <si>
    <t>1906 | CORE | ZERO</t>
  </si>
  <si>
    <t xml:space="preserve">1906 | IRISH | </t>
  </si>
  <si>
    <t xml:space="preserve">1906 | MILNUEVE | </t>
  </si>
  <si>
    <t xml:space="preserve">1906 | RED | </t>
  </si>
  <si>
    <t>3_FONTEINEN | CUVEE_ARMAND_GASTON |</t>
  </si>
  <si>
    <t>3_FONTEINEN | RED |</t>
  </si>
  <si>
    <t>3_MONTS | AMBREE |</t>
  </si>
  <si>
    <t xml:space="preserve">8_6 | CORE | </t>
  </si>
  <si>
    <t>AIRBORNE | BLOND |</t>
  </si>
  <si>
    <t xml:space="preserve">AL_BLONDY | CORE | </t>
  </si>
  <si>
    <t>AMSTEL | BLOND |</t>
  </si>
  <si>
    <t>AMSTEL | PILSNER | ZERO</t>
  </si>
  <si>
    <t xml:space="preserve">AMSTEL | LEMON | </t>
  </si>
  <si>
    <t xml:space="preserve">AMSTEL | BOCK | </t>
  </si>
  <si>
    <t xml:space="preserve">AMSTEL | ROSE | </t>
  </si>
  <si>
    <t xml:space="preserve">ARDENNE | SAISON | </t>
  </si>
  <si>
    <t>BAPTIST | FARMHOUSE_ALE | SAISON |</t>
  </si>
  <si>
    <t xml:space="preserve">BARBE | DUBBEL | </t>
  </si>
  <si>
    <t xml:space="preserve">BARBE | XMAS | </t>
  </si>
  <si>
    <t>BAVIK | WHITE |</t>
  </si>
  <si>
    <t xml:space="preserve">BAXBIER | KOUDVUUR | </t>
  </si>
  <si>
    <t>BEER_GEN | ALTBIER &gt; TRADITIONAL| ZERO</t>
  </si>
  <si>
    <t>BEER_GEN | BARLEYWINE &gt; AMERICAN| ZERO</t>
  </si>
  <si>
    <t>BEER_GEN | BELGIAN_TRIPEL| ZERO</t>
  </si>
  <si>
    <t>BEER_GEN | FARO_LAMBIC | ZERO</t>
  </si>
  <si>
    <t>BEER_GEN | OUD_BRUIN | ZERO</t>
  </si>
  <si>
    <t>BEER_GEN | OUDE_GUEUZE | ZERO</t>
  </si>
  <si>
    <t>BEER_GEN | SAISON;BEER_GEN | BLOOD_ORANGE | | ZERO</t>
  </si>
  <si>
    <t>BEER_GEN | SPIRIT_FLAVOURED_BEERS | ZERO</t>
  </si>
  <si>
    <t xml:space="preserve">BELGIAN | 8 | </t>
  </si>
  <si>
    <t xml:space="preserve">BELMONDO | CRAFT | </t>
  </si>
  <si>
    <t>BESTIALE | BLOND | LIGHT</t>
  </si>
  <si>
    <t>BINCHOISE | XMAS |</t>
  </si>
  <si>
    <t xml:space="preserve">BITTERE_BLOEMEN | CORE | </t>
  </si>
  <si>
    <t xml:space="preserve">BLAUW | BLUE | </t>
  </si>
  <si>
    <t>BLOEMEKEI | TRIPEL |</t>
  </si>
  <si>
    <t xml:space="preserve">BOGAERDENL | TRIPEL | </t>
  </si>
  <si>
    <t xml:space="preserve">BOUDELO | BLOND | </t>
  </si>
  <si>
    <t>BRAND | PILSNER |</t>
  </si>
  <si>
    <t>BROGNE | TRIPEL |</t>
  </si>
  <si>
    <t xml:space="preserve">BROGNE | XMAS | </t>
  </si>
  <si>
    <t xml:space="preserve">BROUWERIJ__T_IJ | CORE | </t>
  </si>
  <si>
    <t>BROUWERIJ_T_IJ | SESSION |</t>
  </si>
  <si>
    <t xml:space="preserve">BUFFALO_BITTER | BITTER | </t>
  </si>
  <si>
    <t>BUSH | AMBER |</t>
  </si>
  <si>
    <t xml:space="preserve">BUSH | CHARMES | </t>
  </si>
  <si>
    <t xml:space="preserve">BUSH | CORE | </t>
  </si>
  <si>
    <t xml:space="preserve">BUSH | NIGHT | </t>
  </si>
  <si>
    <t xml:space="preserve">BUSH | PEACH | </t>
  </si>
  <si>
    <t xml:space="preserve">BUSH | PRESTIGE | </t>
  </si>
  <si>
    <t xml:space="preserve">BUSH | STRAWBERRY | </t>
  </si>
  <si>
    <t xml:space="preserve">CAMPBELL | SCOTCH | </t>
  </si>
  <si>
    <t xml:space="preserve">CAMPBELL | XMAS | </t>
  </si>
  <si>
    <t xml:space="preserve">CARA | PILSNER | </t>
  </si>
  <si>
    <t>CARA | PILSNER | ZERO</t>
  </si>
  <si>
    <t xml:space="preserve">CARA | STRONG_BLOND | </t>
  </si>
  <si>
    <t xml:space="preserve">CAULIER | BLOND | </t>
  </si>
  <si>
    <t xml:space="preserve">CAULIER | IPA | </t>
  </si>
  <si>
    <t>CAZEAU | FARMHOUSE_ALE | SAISON |</t>
  </si>
  <si>
    <t xml:space="preserve">CAZEAU | SOUR | </t>
  </si>
  <si>
    <t xml:space="preserve">CHTI | AMBER | </t>
  </si>
  <si>
    <t xml:space="preserve">CHERIE_BIERE_BLANCHE | AGRUMES | </t>
  </si>
  <si>
    <t xml:space="preserve">CHERIE_BIERE_BLANCHE | CHERRY | </t>
  </si>
  <si>
    <t xml:space="preserve">CHERIE_BIERE_BLANCHE | PASSIONFRUIT | </t>
  </si>
  <si>
    <t xml:space="preserve">CHERIE_BIERE_BLANCHE | PEACH | </t>
  </si>
  <si>
    <t xml:space="preserve">CHERIE_BIERE_BLANCHE | POMEGRANATE | </t>
  </si>
  <si>
    <t xml:space="preserve">CHERIE_BIERE_BLANCHE | RASPBERRY | </t>
  </si>
  <si>
    <t>CHEVAL_GODET | BLOND |</t>
  </si>
  <si>
    <t>CIRCUS | FARMHOUSE_ALE | SAISON |</t>
  </si>
  <si>
    <t xml:space="preserve">CIUCAS | CORE | </t>
  </si>
  <si>
    <t xml:space="preserve">CLASH_OF_THE_TITANS | CORE | </t>
  </si>
  <si>
    <t xml:space="preserve">CLASH_OF_THE_TITANS | GRAND | </t>
  </si>
  <si>
    <t xml:space="preserve">CLASH_OF_THE_TITANS | RESERVA | </t>
  </si>
  <si>
    <t xml:space="preserve">CLAUDETTE | BLOND | </t>
  </si>
  <si>
    <t xml:space="preserve">CNUDDE | BROWN | </t>
  </si>
  <si>
    <t xml:space="preserve">CNUDDE | CORE | </t>
  </si>
  <si>
    <t xml:space="preserve">CORONA | LIGHT | </t>
  </si>
  <si>
    <t>CORSENDONK | CHERRY|</t>
  </si>
  <si>
    <t>CUM_LAUDE | IPA | ZERO</t>
  </si>
  <si>
    <t>CUVEE_VAN_DE_KEIZER | DUBBEL |</t>
  </si>
  <si>
    <t>CUVEE_VAN_DE_KEIZER | WHISKEY_INFUSED |</t>
  </si>
  <si>
    <t xml:space="preserve">DE_KOM | BLOND | </t>
  </si>
  <si>
    <t>DE_KONINCK | AMBER |</t>
  </si>
  <si>
    <t xml:space="preserve">DE_LA_LESSE | DUBBEL | </t>
  </si>
  <si>
    <t xml:space="preserve">DE_LA_LESSE | TRIPEL | </t>
  </si>
  <si>
    <t>DE_POES | EXPORT |</t>
  </si>
  <si>
    <t>DE_POES | STOUT |</t>
  </si>
  <si>
    <t>DE_TROCH | APRICOT |</t>
  </si>
  <si>
    <t>DE_TROCH | STRAWBERRY |</t>
  </si>
  <si>
    <t xml:space="preserve">DEBOWE | CORE | </t>
  </si>
  <si>
    <t xml:space="preserve">DELIRIUM | SOUR | </t>
  </si>
  <si>
    <t xml:space="preserve">DESPERADOS | CAIPIRINHA | </t>
  </si>
  <si>
    <t xml:space="preserve">DESPERADOS | LIME | </t>
  </si>
  <si>
    <t xml:space="preserve">DESPERADOS | MINT | </t>
  </si>
  <si>
    <t xml:space="preserve">DESPERADOS | PINEAPPLE | </t>
  </si>
  <si>
    <t>DIEKIRCH | RADLER |</t>
  </si>
  <si>
    <t>DIEKIRCH | XMAS |</t>
  </si>
  <si>
    <t xml:space="preserve">DJU | IPA | </t>
  </si>
  <si>
    <t xml:space="preserve">DOMINICAINS| TRIPEL | </t>
  </si>
  <si>
    <t xml:space="preserve">DU_CORBEAU | RED | </t>
  </si>
  <si>
    <t xml:space="preserve">DU_CORBEAU | BLOND| </t>
  </si>
  <si>
    <t xml:space="preserve">DU_CORSAIRE | CUVEE | </t>
  </si>
  <si>
    <t xml:space="preserve">DU_PAYS_NOIR | BROWN | </t>
  </si>
  <si>
    <t xml:space="preserve">DU_PAYS_NOIR | BLOND | </t>
  </si>
  <si>
    <t>DUVEL | IPA |</t>
  </si>
  <si>
    <t xml:space="preserve">EFES | PILSNER | </t>
  </si>
  <si>
    <t>EILANDJE | CORE |</t>
  </si>
  <si>
    <t>EMBUSCADE | FRUIT |</t>
  </si>
  <si>
    <t>ENERGIBAJER | LEMON | ZERO</t>
  </si>
  <si>
    <t xml:space="preserve">ENFANT_TERRIPLE | QUADRUPEL | </t>
  </si>
  <si>
    <t>ENTRE_NOUS | 6 |</t>
  </si>
  <si>
    <t xml:space="preserve">ENTRE_NOUS | 7 | </t>
  </si>
  <si>
    <t>ESTAMINET | TRIPEL |</t>
  </si>
  <si>
    <t xml:space="preserve">EVOYE! | IPA | </t>
  </si>
  <si>
    <t xml:space="preserve">EVOYE! | TRIPEL | </t>
  </si>
  <si>
    <t xml:space="preserve">EXCELSIOR | PILSNER | </t>
  </si>
  <si>
    <t xml:space="preserve">FAGNES | GOLD | </t>
  </si>
  <si>
    <t xml:space="preserve">FARMHOUSE_ALE | SAISON_&amp;_LAMBIC | FARMHOUSE_ALE | SAISON | </t>
  </si>
  <si>
    <t xml:space="preserve">FIX | HELLAS | </t>
  </si>
  <si>
    <t xml:space="preserve">FLAQUE | IPA | </t>
  </si>
  <si>
    <t xml:space="preserve">FLAQUE | RASPBERRY | </t>
  </si>
  <si>
    <t>RISE_SHINE | CORE |</t>
  </si>
  <si>
    <t>FLEUR_DU_SOLEIL | SUN |</t>
  </si>
  <si>
    <t xml:space="preserve">FLO | BLOND | </t>
  </si>
  <si>
    <t xml:space="preserve">FLO | CORE | </t>
  </si>
  <si>
    <t xml:space="preserve">FLO | RED | </t>
  </si>
  <si>
    <t xml:space="preserve">FLO | TRIPEL_HOP | </t>
  </si>
  <si>
    <t xml:space="preserve">FLOREFFE | MELIOR | </t>
  </si>
  <si>
    <t xml:space="preserve">FLORIS | HONEY | </t>
  </si>
  <si>
    <t xml:space="preserve">FLORIS | WHITE | </t>
  </si>
  <si>
    <t>FONTANA |ORIGINAL |</t>
  </si>
  <si>
    <t xml:space="preserve">FONTANA | IPA | </t>
  </si>
  <si>
    <t>FORT_LAPIN | WHITE |</t>
  </si>
  <si>
    <t>FRANZISKANER | CORE | ZERO</t>
  </si>
  <si>
    <t xml:space="preserve">FRONTAAL | JUICE_PUNCH | </t>
  </si>
  <si>
    <t xml:space="preserve">FRULI | CORE | </t>
  </si>
  <si>
    <t>GAGELEER | SOUR |</t>
  </si>
  <si>
    <t>GAULOISE | FRUIT |</t>
  </si>
  <si>
    <t>GAULOISE | XMAS |</t>
  </si>
  <si>
    <t xml:space="preserve">GEMBLOUX | FRUIT | </t>
  </si>
  <si>
    <t xml:space="preserve">GEMINI | FARMHOUSE_ALE | SAISON | </t>
  </si>
  <si>
    <t xml:space="preserve">GEMINI | PALE_ALE | </t>
  </si>
  <si>
    <t xml:space="preserve">GLEZIA | CORE | </t>
  </si>
  <si>
    <t xml:space="preserve">GLEZIA | GINGER | </t>
  </si>
  <si>
    <t>GOD | CORE | ZERO</t>
  </si>
  <si>
    <t>GOLIATH | XMAS |</t>
  </si>
  <si>
    <t>GOLIATH | WINTER |</t>
  </si>
  <si>
    <t>GRIBOUSINE | AMBER |</t>
  </si>
  <si>
    <t>GRIMBERGEN | BROWN |</t>
  </si>
  <si>
    <t>GRIMBERGEN | ASTRUM |</t>
  </si>
  <si>
    <t>GRIMBERGEN | BLOND | ZERO</t>
  </si>
  <si>
    <t xml:space="preserve">GRIMBERGEN | MAGNUM_OPUS | </t>
  </si>
  <si>
    <t xml:space="preserve">GRISETTE | BERRY | </t>
  </si>
  <si>
    <t>GRISETTE | VRUCHTEN |</t>
  </si>
  <si>
    <t>GUEUZE_GEN | GUEUZE |</t>
  </si>
  <si>
    <t>GUINNESS | SPECIAL |</t>
  </si>
  <si>
    <t xml:space="preserve">GULDEN_DRAAK | CORE | </t>
  </si>
  <si>
    <t xml:space="preserve">GULDEN_DRAAK | QUADRUPEL | </t>
  </si>
  <si>
    <t xml:space="preserve">GULPENER | BLOND | </t>
  </si>
  <si>
    <t>GULPENER | BLOND| ZERO</t>
  </si>
  <si>
    <t>GULPENER | WHITE | ZERO</t>
  </si>
  <si>
    <t xml:space="preserve">GULPENER | WINTERBOCK | </t>
  </si>
  <si>
    <t xml:space="preserve">HAKA | PEACH | </t>
  </si>
  <si>
    <t>HAKA | RED |</t>
  </si>
  <si>
    <t xml:space="preserve">HERCKENRODE | TRIPEL | </t>
  </si>
  <si>
    <t xml:space="preserve">HOEGAARDEN | LEMON | </t>
  </si>
  <si>
    <t>JACK_S | IPA |</t>
  </si>
  <si>
    <t xml:space="preserve">JANINE | PILSNER | </t>
  </si>
  <si>
    <t xml:space="preserve">JEAN_BRASSE | BROWN | </t>
  </si>
  <si>
    <t xml:space="preserve">JOUR_DE_FETE | IPA | </t>
  </si>
  <si>
    <t>JUNGLE_JOY | MANGO |</t>
  </si>
  <si>
    <t xml:space="preserve">KAPITTEL_WATOU | 10 | </t>
  </si>
  <si>
    <t xml:space="preserve">KATHEDRAAL | BLOND | </t>
  </si>
  <si>
    <t xml:space="preserve">KATHEDRAAL | DARK | </t>
  </si>
  <si>
    <t xml:space="preserve">KEES | CORE | </t>
  </si>
  <si>
    <t xml:space="preserve">KEES | HOP | </t>
  </si>
  <si>
    <t xml:space="preserve">KEKETTE | AMBER | </t>
  </si>
  <si>
    <t xml:space="preserve">KEKETTE | RED | </t>
  </si>
  <si>
    <t>KEREL | FARMHOUSE_ALE | SAISON |</t>
  </si>
  <si>
    <t xml:space="preserve">KOLSCH | CORE | </t>
  </si>
  <si>
    <t xml:space="preserve">KORUS | BLOND | </t>
  </si>
  <si>
    <t xml:space="preserve">L_TRIPLE | TRIPEL | </t>
  </si>
  <si>
    <t xml:space="preserve">LA_BIGOTE | BLOND | </t>
  </si>
  <si>
    <t xml:space="preserve">LA_BINCHOISE | XO | </t>
  </si>
  <si>
    <t xml:space="preserve">LA_BINCHOISE | BELGE | </t>
  </si>
  <si>
    <t xml:space="preserve">LA_BOTTERESSE | AMBER | </t>
  </si>
  <si>
    <t>LA_CHATTE | BLACK |</t>
  </si>
  <si>
    <t xml:space="preserve">LA_GEDINNOISE | AMBER | </t>
  </si>
  <si>
    <t xml:space="preserve">LA_GEDINNOISE | TRIPEL | </t>
  </si>
  <si>
    <t xml:space="preserve">LA_GEDINNOISE | SCOTCH | </t>
  </si>
  <si>
    <t>LA_GOUDALE | IPA |</t>
  </si>
  <si>
    <t>LA_RAMEE | TRIPEL |</t>
  </si>
  <si>
    <t xml:space="preserve">LA_RAMEE | TRIPEL_BLOND | </t>
  </si>
  <si>
    <t xml:space="preserve">LA_RECEVRESSE | IPA | </t>
  </si>
  <si>
    <t xml:space="preserve">LA_RECEVRESSE | STOUT | </t>
  </si>
  <si>
    <t xml:space="preserve">LA_REDOUTABLE | IPA | </t>
  </si>
  <si>
    <t xml:space="preserve">LA_REDOUTABLE | TRIPEL_BLOND | </t>
  </si>
  <si>
    <t>LA_REDOUTABLE | TRIPEL_BROWN |</t>
  </si>
  <si>
    <t xml:space="preserve">LA_RONDE | SAISON | CORE | </t>
  </si>
  <si>
    <t xml:space="preserve">LA_RULLES | PILSNER | </t>
  </si>
  <si>
    <t xml:space="preserve">LA_RULLES | VINCENT | </t>
  </si>
  <si>
    <t xml:space="preserve">LA_TENDUE | BROWN | </t>
  </si>
  <si>
    <t>LA_THAREE | CORE | LIGHT</t>
  </si>
  <si>
    <t xml:space="preserve">LA_VIEIL_BONSEC | BROWN | </t>
  </si>
  <si>
    <t xml:space="preserve">LA_VIEIL_BONSEC | BLOND | </t>
  </si>
  <si>
    <t xml:space="preserve">LA_VRAIE_BIERE | FRUIT | </t>
  </si>
  <si>
    <t xml:space="preserve">LA_VRAIE_BIERE | TRIPEL | </t>
  </si>
  <si>
    <t>LAGUNITAS | HAZY |</t>
  </si>
  <si>
    <t>LE_FORT | BARREL |</t>
  </si>
  <si>
    <t>LE_FORT | BLOND |</t>
  </si>
  <si>
    <t>LEGIA | PILSNER |</t>
  </si>
  <si>
    <t xml:space="preserve">LIBIDUS | ONYX | </t>
  </si>
  <si>
    <t xml:space="preserve">LIBIDUS | QUARTZ | </t>
  </si>
  <si>
    <t xml:space="preserve">LIENNE | BLACK | </t>
  </si>
  <si>
    <t xml:space="preserve">LIENNE | BROWN | </t>
  </si>
  <si>
    <t xml:space="preserve">LIENNE | CORE | </t>
  </si>
  <si>
    <t>LINDEMANS | BLOSSOM |</t>
  </si>
  <si>
    <t>LINDEMANS | GINGER |</t>
  </si>
  <si>
    <t xml:space="preserve">LINDEMANS | STRAWBERRY | </t>
  </si>
  <si>
    <t xml:space="preserve">LOUVE | BLOND | </t>
  </si>
  <si>
    <t xml:space="preserve">LOWLANDER | IPA | </t>
  </si>
  <si>
    <t>LUPULUS | PORTER|</t>
  </si>
  <si>
    <t xml:space="preserve">MAK_MAKNIFIQUE | CORE | </t>
  </si>
  <si>
    <t xml:space="preserve">MAMPOKO | WHITE | </t>
  </si>
  <si>
    <t>MARCUS | FARMHOUSE_ALE | SAISON |</t>
  </si>
  <si>
    <t>MAREDSOUS | RED |</t>
  </si>
  <si>
    <t xml:space="preserve">METTET | BLOND | </t>
  </si>
  <si>
    <t xml:space="preserve">MOBIUS | DRY_HOPPING | </t>
  </si>
  <si>
    <t>MOBIUS | TRIPEL |</t>
  </si>
  <si>
    <t>MOBIUS | WHITE |</t>
  </si>
  <si>
    <t xml:space="preserve">MOESJKE_TRIPPLE | TRIPEL | </t>
  </si>
  <si>
    <t xml:space="preserve">MUSIC_BEER | BLOND | </t>
  </si>
  <si>
    <t xml:space="preserve">MUSIC_BEER | TRIPEL_BROWN | </t>
  </si>
  <si>
    <t xml:space="preserve">NELLO_S | BLOND | </t>
  </si>
  <si>
    <t xml:space="preserve">NELLO_S | TRIPEL | </t>
  </si>
  <si>
    <t xml:space="preserve">NOEL_DE_SILENRIEUX | CORE | </t>
  </si>
  <si>
    <t>NOIR_DE_DOTTIGNIES | CORE |</t>
  </si>
  <si>
    <t xml:space="preserve">OMAHA | IPA | </t>
  </si>
  <si>
    <t>OMAHA | TRIPEL |</t>
  </si>
  <si>
    <t xml:space="preserve">OMER | BRUT | </t>
  </si>
  <si>
    <t xml:space="preserve">OMMEGANG | TRIPEL | </t>
  </si>
  <si>
    <t>ORGANIC | CORE |</t>
  </si>
  <si>
    <t>ORGANIC | WHITE |</t>
  </si>
  <si>
    <t xml:space="preserve">OSCAR | BROWN | </t>
  </si>
  <si>
    <t xml:space="preserve">OSCAR | TRIPEL | </t>
  </si>
  <si>
    <t>OUD_BEERSEL | GREEN |</t>
  </si>
  <si>
    <t>OUD_BEERSEL | OUDE_GEUZE |</t>
  </si>
  <si>
    <t>OUD_BEERSEL | OUDE_PIJPEN |</t>
  </si>
  <si>
    <t>OUD_BEERSEL | RED |</t>
  </si>
  <si>
    <t>OUD_BEERSEL | STRAWBERRY |</t>
  </si>
  <si>
    <t>OUD_BEERSEL | WINTER |</t>
  </si>
  <si>
    <t xml:space="preserve">OUD_BRUIN | HOP | </t>
  </si>
  <si>
    <t>PADEL | BLOND |</t>
  </si>
  <si>
    <t xml:space="preserve">PALJAS | SAISON | </t>
  </si>
  <si>
    <t xml:space="preserve">PALM | HORSE | </t>
  </si>
  <si>
    <t xml:space="preserve">PARANOIA | BLOND | </t>
  </si>
  <si>
    <t>PARANOIA | IPA | ZERO</t>
  </si>
  <si>
    <t>PATER_LIEVEN | XMAS |</t>
  </si>
  <si>
    <t>PAULANER | WEISSBIER | ZERO</t>
  </si>
  <si>
    <t xml:space="preserve">PERE | TOTAL | </t>
  </si>
  <si>
    <t>PERE_NOEL | XMAS |</t>
  </si>
  <si>
    <t>PERE_GLORIEUX | CORE |</t>
  </si>
  <si>
    <t>PERLE | AMBER |</t>
  </si>
  <si>
    <t xml:space="preserve">PETRE_DEVOS | STEEPLE | </t>
  </si>
  <si>
    <t xml:space="preserve">PETRUS | INFINITUM | </t>
  </si>
  <si>
    <t xml:space="preserve">PETRUS | NITRO | </t>
  </si>
  <si>
    <t xml:space="preserve">PHILOMENE | COINTESSENCE | </t>
  </si>
  <si>
    <t xml:space="preserve">PHILOMENE | HOP | </t>
  </si>
  <si>
    <t xml:space="preserve">PICHOU | BLOND | </t>
  </si>
  <si>
    <t xml:space="preserve">PICHOU | TRIPEL | </t>
  </si>
  <si>
    <t xml:space="preserve">PIED_BOEUF | BROWN | </t>
  </si>
  <si>
    <t xml:space="preserve">PIED_BOEUF | CORE | </t>
  </si>
  <si>
    <t xml:space="preserve">PIED_BOEUF | PILSNER | </t>
  </si>
  <si>
    <t xml:space="preserve">PIED_BOEUF | TRIPEL | </t>
  </si>
  <si>
    <t xml:space="preserve">PIRAAT | CORE | </t>
  </si>
  <si>
    <t>PJEIREFRETTER | BLOND |</t>
  </si>
  <si>
    <t xml:space="preserve">POLAR | PILSNER | </t>
  </si>
  <si>
    <t xml:space="preserve">PREARIS | CRU | </t>
  </si>
  <si>
    <t xml:space="preserve">PREFACE | ACE | </t>
  </si>
  <si>
    <t xml:space="preserve">PRESIDENTE | BLACK | </t>
  </si>
  <si>
    <t xml:space="preserve">PRESIDENTE | CORE | </t>
  </si>
  <si>
    <t>PRESIDENTE | CORE | LIGHT</t>
  </si>
  <si>
    <t xml:space="preserve">PRESIDENTE | GOLD | </t>
  </si>
  <si>
    <t xml:space="preserve">RASTA_MOINE | AMBER | </t>
  </si>
  <si>
    <t xml:space="preserve">REDENAAR | BLOND | </t>
  </si>
  <si>
    <t>RENE | CORE |</t>
  </si>
  <si>
    <t>ROCHEHAUT | WINTER |</t>
  </si>
  <si>
    <t xml:space="preserve">RODENBACH | ALEXANDER | </t>
  </si>
  <si>
    <t>RODENBACH | CARACTERE |</t>
  </si>
  <si>
    <t>RODENBACH | CLASSIC |</t>
  </si>
  <si>
    <t xml:space="preserve">ROMAN | PILSNER | </t>
  </si>
  <si>
    <t>JACOBINS | ROSE |</t>
  </si>
  <si>
    <t xml:space="preserve">RUBBENS | DUBBEL | </t>
  </si>
  <si>
    <t xml:space="preserve">RUBBENS | BLOND | </t>
  </si>
  <si>
    <t xml:space="preserve">RUBBENS | TRIPEL | </t>
  </si>
  <si>
    <t xml:space="preserve">RUBBENS | SUMMER | </t>
  </si>
  <si>
    <t xml:space="preserve">S4ISONS_DE_LIÈGE | ESTIVALE | </t>
  </si>
  <si>
    <t xml:space="preserve">SAIGON | EXPORT | </t>
  </si>
  <si>
    <t xml:space="preserve">SAINT_MARTIN | TOURNAISIS | </t>
  </si>
  <si>
    <t xml:space="preserve">SAINT_MONON | AMBER | </t>
  </si>
  <si>
    <t xml:space="preserve">SAINT_MONON | BROWN | </t>
  </si>
  <si>
    <t xml:space="preserve">SAINT_MONON | HONEY | </t>
  </si>
  <si>
    <t xml:space="preserve">SAINT_MONON | LA_BELLE | </t>
  </si>
  <si>
    <t>SAINTE_NITOUCHE | BLOND |</t>
  </si>
  <si>
    <t xml:space="preserve">SAISON_1818 | CORE | </t>
  </si>
  <si>
    <t>SATAN | RED |</t>
  </si>
  <si>
    <t xml:space="preserve">SCANNING_FOR_SIGNS | CORE | </t>
  </si>
  <si>
    <t>SCHUPPEN_BOER | WINTER |</t>
  </si>
  <si>
    <t xml:space="preserve">SCHUPPENBOER | MOSCATEL | </t>
  </si>
  <si>
    <t xml:space="preserve">SHANDY_BEER_SPRITE | CORE | </t>
  </si>
  <si>
    <t>SILLY | PILSNER | BIO</t>
  </si>
  <si>
    <t>SILLY | SUPER |</t>
  </si>
  <si>
    <t xml:space="preserve">SINT_GUMMARUS | DUBBEL | </t>
  </si>
  <si>
    <t xml:space="preserve">SLAAPMUTSKE | WHITE | </t>
  </si>
  <si>
    <t>SLAAPMUTSKE | SUN |</t>
  </si>
  <si>
    <t>SLAAPMUTSKE | XMAS |</t>
  </si>
  <si>
    <t>SMASH | LIEGE |</t>
  </si>
  <si>
    <t>SMASH | PALE_ALE |</t>
  </si>
  <si>
    <t>SMASH | PILSNER |</t>
  </si>
  <si>
    <t xml:space="preserve">SOMBRERO | MOJITO | </t>
  </si>
  <si>
    <t xml:space="preserve">SOMBRERO | SPIRIT | </t>
  </si>
  <si>
    <t xml:space="preserve">SPACE_CADET | IPA | </t>
  </si>
  <si>
    <t>SPECIALE_DE_SOIF | CORE |</t>
  </si>
  <si>
    <t xml:space="preserve">CLEMENT_SPECIAL | CORE | </t>
  </si>
  <si>
    <t xml:space="preserve">SPENCER | STOUT | </t>
  </si>
  <si>
    <t xml:space="preserve">ST_BERNARDUS | 75 | </t>
  </si>
  <si>
    <t>ST_FEUILLIEN | FARMHOUSE_ALE | SAISON |</t>
  </si>
  <si>
    <t>ST_MEDARD_CUVEE_DE_NOEL</t>
  </si>
  <si>
    <t>ST_OMER_BLANCHE_PAMPLEMOUSSE</t>
  </si>
  <si>
    <t>ST_OMER_PANACHE</t>
  </si>
  <si>
    <t xml:space="preserve">STAR | LAGER | </t>
  </si>
  <si>
    <t xml:space="preserve">STOFFOASJE | TRIPEL | </t>
  </si>
  <si>
    <t xml:space="preserve">STRONGBOW | DARK_FRUIT | </t>
  </si>
  <si>
    <t xml:space="preserve">STRONGBOW | GOLD_APPLE | </t>
  </si>
  <si>
    <t xml:space="preserve">STRONGBOW | RED_BERRIES | </t>
  </si>
  <si>
    <t xml:space="preserve">SUPER_8 | SAISON | </t>
  </si>
  <si>
    <t>SUPER_DES_FAGNES | XMAS |</t>
  </si>
  <si>
    <t>SUPER_PILS | PILSNER |</t>
  </si>
  <si>
    <t xml:space="preserve">SUZANNE | HOP | </t>
  </si>
  <si>
    <t>SWAF_SILLY | CORE |</t>
  </si>
  <si>
    <t xml:space="preserve">TANTEKE | SAISON | </t>
  </si>
  <si>
    <t>TARAS_BOULBA | HOP |</t>
  </si>
  <si>
    <t xml:space="preserve">TAX | HOP | </t>
  </si>
  <si>
    <t xml:space="preserve">TEMBO | AMBER | </t>
  </si>
  <si>
    <t xml:space="preserve">TEMBO | BLOND | </t>
  </si>
  <si>
    <t>TER_DOLEN | WINTERBOCK |</t>
  </si>
  <si>
    <t xml:space="preserve">TERVOERKE | IPA | </t>
  </si>
  <si>
    <t xml:space="preserve">TERVOERKE | TRIPEL | </t>
  </si>
  <si>
    <t xml:space="preserve">TETE_DE_MORT | AMBER | </t>
  </si>
  <si>
    <t xml:space="preserve">TETE_DE_MORT | IPA | </t>
  </si>
  <si>
    <t xml:space="preserve">TETE_DE_MORT | RED | </t>
  </si>
  <si>
    <t xml:space="preserve">TETE_DE_MORT | TRIPEL | </t>
  </si>
  <si>
    <t xml:space="preserve">TETE_DE_MORT | XMAS | </t>
  </si>
  <si>
    <t>TEXELS | BLOND |</t>
  </si>
  <si>
    <t xml:space="preserve">TEXELS | BOCK | </t>
  </si>
  <si>
    <t>TEXELS | SKUUMKOPPE |</t>
  </si>
  <si>
    <t>TEXELS | WIT |</t>
  </si>
  <si>
    <t xml:space="preserve">THE_WIPERS_TIMES | BLOND | </t>
  </si>
  <si>
    <t xml:space="preserve">THE_WIPERS_TIMES | TRIPEL | </t>
  </si>
  <si>
    <t xml:space="preserve">TIMISOREANA | ORIGINAL | </t>
  </si>
  <si>
    <t xml:space="preserve">TIMISOREANA | POVESTA | </t>
  </si>
  <si>
    <t>TIMMERMANS | FARO |</t>
  </si>
  <si>
    <t>TIMMERMANS | LAMBICUS |</t>
  </si>
  <si>
    <t>TIMMERMANS | OUDE_GEUZE |</t>
  </si>
  <si>
    <t>TIMMERMANS | RASBERRY |</t>
  </si>
  <si>
    <t>TIMMERMANS | STOUT |</t>
  </si>
  <si>
    <t>TONGERLO | BLOND |</t>
  </si>
  <si>
    <t>TONGERLO | BROWN |</t>
  </si>
  <si>
    <t>TONGERLO | LUX |</t>
  </si>
  <si>
    <t>TONGERLO | PRIOR |</t>
  </si>
  <si>
    <t>TONGERLO | TRIPEL |</t>
  </si>
  <si>
    <t xml:space="preserve">TORNADO | CORE | </t>
  </si>
  <si>
    <t>TORPAH | 30 |</t>
  </si>
  <si>
    <t>TRE_FONTANE | SCALA |</t>
  </si>
  <si>
    <t xml:space="preserve">TRINITE | TRIPEL | </t>
  </si>
  <si>
    <t xml:space="preserve">TRIOMF | CORE | </t>
  </si>
  <si>
    <t xml:space="preserve">TRIPICK | 10 | </t>
  </si>
  <si>
    <t>SIMPLEX | TRIPEL |</t>
  </si>
  <si>
    <t>TRIPORTEUR | HEAVEN |</t>
  </si>
  <si>
    <t>TRIPORTEUR | HELL |</t>
  </si>
  <si>
    <t>TRIPORTEUR | BLING |</t>
  </si>
  <si>
    <t>TRIPORTEUR | MOON |</t>
  </si>
  <si>
    <t>TROUBADOUR | BARREL |</t>
  </si>
  <si>
    <t xml:space="preserve">TROUBADOUR | CORE | </t>
  </si>
  <si>
    <t>TROUBADOUR | WESTKUST |</t>
  </si>
  <si>
    <t>TUMULUS | AURA |</t>
  </si>
  <si>
    <t xml:space="preserve">TUMULUS | NERA | </t>
  </si>
  <si>
    <t xml:space="preserve">UIJIN | BLOND | </t>
  </si>
  <si>
    <t xml:space="preserve">UIJIN | WHEAT | </t>
  </si>
  <si>
    <t xml:space="preserve">VAL_DIEU | CUVEE | </t>
  </si>
  <si>
    <t>VAL_DIEU | XMAS |</t>
  </si>
  <si>
    <t>VALDUC | STEVE |</t>
  </si>
  <si>
    <t xml:space="preserve">VAN_BULCK | WHITE | </t>
  </si>
  <si>
    <t>VANDERGHINSTE | REDBROWN |</t>
  </si>
  <si>
    <t xml:space="preserve">VANDESTREEK | BLOND | </t>
  </si>
  <si>
    <t xml:space="preserve">VANDESTREEK | CORE | </t>
  </si>
  <si>
    <t>VAPEUR | FOLIE |</t>
  </si>
  <si>
    <t xml:space="preserve">VAPEUR | COCHONNE | </t>
  </si>
  <si>
    <t>VEDETT | SESSION |</t>
  </si>
  <si>
    <t>VEDETT | TROPICAL |</t>
  </si>
  <si>
    <t xml:space="preserve">VERHAEGHE | CHOCOLAT | </t>
  </si>
  <si>
    <t xml:space="preserve">VERHAEGHE | XMAS | </t>
  </si>
  <si>
    <t xml:space="preserve">VERTUS | BROWN | </t>
  </si>
  <si>
    <t xml:space="preserve">VERTUS | GREEN | </t>
  </si>
  <si>
    <t xml:space="preserve"> LA_MEDIEVALE | AMBER | </t>
  </si>
  <si>
    <t xml:space="preserve">VLETEREN | BLOND | </t>
  </si>
  <si>
    <t>VOISIN | FARMHOUSE_ALE | SAISON |</t>
  </si>
  <si>
    <t xml:space="preserve">WALSBERGER | TRIPEL | </t>
  </si>
  <si>
    <t xml:space="preserve">WAREM | BLOND | </t>
  </si>
  <si>
    <t xml:space="preserve">WAREM | TRIPEL | </t>
  </si>
  <si>
    <t xml:space="preserve">WARSAGE | BLOND | </t>
  </si>
  <si>
    <t xml:space="preserve">WARSAGE | BROWN | </t>
  </si>
  <si>
    <t xml:space="preserve">WARSAGE | TRIPEL | </t>
  </si>
  <si>
    <t>WATERLOO | CUVEE |</t>
  </si>
  <si>
    <t xml:space="preserve">WATERLOO | PEACH | </t>
  </si>
  <si>
    <t>WEIHENSTEPHANER | WEISSBIER | ZERO</t>
  </si>
  <si>
    <t>WIEZE | PILSNER |</t>
  </si>
  <si>
    <t xml:space="preserve">WIJNBERG | OUD_BRUIN | </t>
  </si>
  <si>
    <t xml:space="preserve">WILDEMAN | DUBBEL | </t>
  </si>
  <si>
    <t xml:space="preserve">WISPE | SAISON | </t>
  </si>
  <si>
    <t xml:space="preserve">WISPE | SESSION | </t>
  </si>
  <si>
    <t xml:space="preserve">WITKAP | SPECIAL | </t>
  </si>
  <si>
    <t xml:space="preserve">WITKAP | STIMULO | </t>
  </si>
  <si>
    <t xml:space="preserve">WITTEKERKE | CORE | </t>
  </si>
  <si>
    <t xml:space="preserve">WOLF_8 | CORE | </t>
  </si>
  <si>
    <t>DELIRIUM | BLACK |</t>
  </si>
  <si>
    <t>YPRA | HOP| ZERO</t>
  </si>
  <si>
    <t>ZWARTE_RUITER | ORIGINAL | ZERO</t>
  </si>
  <si>
    <t xml:space="preserve">ZYWIEC | CORE | </t>
  </si>
  <si>
    <t xml:space="preserve">ZYWIEC | ORIGINAL | </t>
  </si>
  <si>
    <t>1818</t>
  </si>
  <si>
    <t>FARMHOUSE_ALE</t>
  </si>
  <si>
    <t>ALTBIER &gt; TRADITIONAL| ZERO</t>
  </si>
  <si>
    <t>BARLEYWINE &gt; AMERICAN| ZERO</t>
  </si>
  <si>
    <t>BELGIAN_TRIPEL| ZERO</t>
  </si>
  <si>
    <t>BOGAERDENL</t>
  </si>
  <si>
    <t>CAMPBELL</t>
  </si>
  <si>
    <t>CHERRY|</t>
  </si>
  <si>
    <t>DJU</t>
  </si>
  <si>
    <t>DOMINICAINS| TRIPEL</t>
  </si>
  <si>
    <t xml:space="preserve">BLOND| </t>
  </si>
  <si>
    <t>RISE_SHINE</t>
  </si>
  <si>
    <t>FLEUR_DU_SOLEIL</t>
  </si>
  <si>
    <t>MELIOR</t>
  </si>
  <si>
    <t>JUICE_PUNCH</t>
  </si>
  <si>
    <t>GUEUZE_GEN</t>
  </si>
  <si>
    <t>BLOND| ZERO</t>
  </si>
  <si>
    <t>XO</t>
  </si>
  <si>
    <t>LA_RECEVRESSE</t>
  </si>
  <si>
    <t>VINCENT</t>
  </si>
  <si>
    <t>PORTER|</t>
  </si>
  <si>
    <t>MAK_MAKNIFIQUE</t>
  </si>
  <si>
    <t>DRY_HOPPING</t>
  </si>
  <si>
    <t>NOEL_DE_SILENRIEUX</t>
  </si>
  <si>
    <t>HORSE</t>
  </si>
  <si>
    <t>TOTAL</t>
  </si>
  <si>
    <t>PERE_NOEL</t>
  </si>
  <si>
    <t>PERE_GLORIEUX</t>
  </si>
  <si>
    <t>REDENAAR</t>
  </si>
  <si>
    <t>LA_BELLE</t>
  </si>
  <si>
    <t>SAISON_1818</t>
  </si>
  <si>
    <t>SPECIALE_DE_SOIF</t>
  </si>
  <si>
    <t>CLEMENT_SPECIAL</t>
  </si>
  <si>
    <t>75</t>
  </si>
  <si>
    <t>DARK_FRUIT</t>
  </si>
  <si>
    <t>GOLD_APPLE</t>
  </si>
  <si>
    <t>POVESTA</t>
  </si>
  <si>
    <t>NERA</t>
  </si>
  <si>
    <t>VANDERGHINSTE</t>
  </si>
  <si>
    <t>COCHONNE</t>
  </si>
  <si>
    <t xml:space="preserve"> LA_MEDIEVALE</t>
  </si>
  <si>
    <t>HOP| ZERO</t>
  </si>
  <si>
    <t>CUVEE_ARMAND_GASTON</t>
  </si>
  <si>
    <t>AMBREE</t>
  </si>
  <si>
    <t>APRICOT</t>
  </si>
  <si>
    <t>ASTRUM</t>
  </si>
  <si>
    <t>BLOSSOM</t>
  </si>
  <si>
    <t>OUDE_PIJPEN</t>
  </si>
  <si>
    <t>LIEGE</t>
  </si>
  <si>
    <t>SKUUMKOPPE</t>
  </si>
  <si>
    <t>LAMBICUS</t>
  </si>
  <si>
    <t>RASBERRY</t>
  </si>
  <si>
    <t>SCALA</t>
  </si>
  <si>
    <t>HEAVEN</t>
  </si>
  <si>
    <t>BLING</t>
  </si>
  <si>
    <t>MOON</t>
  </si>
  <si>
    <t>WESTKUST</t>
  </si>
  <si>
    <t>STEVE</t>
  </si>
  <si>
    <t>FOLIE</t>
  </si>
  <si>
    <t>SAISON |</t>
  </si>
  <si>
    <t>BEERS_OTHER;CORE</t>
  </si>
  <si>
    <t xml:space="preserve">DOUBLE_ENGHIEN | BLOND | </t>
  </si>
  <si>
    <t>CLAUDETTE | BLOND | ZERO</t>
  </si>
  <si>
    <t>BRAND | CORE | ZERO</t>
  </si>
  <si>
    <t>PALE_ALE;CORE</t>
  </si>
  <si>
    <t>BITBURGER | PILSNER |</t>
  </si>
  <si>
    <t>AQUARIUS | PEACH | ZERO</t>
  </si>
  <si>
    <t>AQUARIUS | LEMON | ZERO</t>
  </si>
  <si>
    <t xml:space="preserve">1128 | BRUT_BEER | </t>
  </si>
  <si>
    <t xml:space="preserve">1128 | BRUT_ROSE | </t>
  </si>
  <si>
    <t xml:space="preserve">1128 | QUADRUPEL | </t>
  </si>
  <si>
    <t xml:space="preserve">1664 | BLOND | </t>
  </si>
  <si>
    <t xml:space="preserve">1664 | WHITE | </t>
  </si>
  <si>
    <t xml:space="preserve">1664 | ROSE | </t>
  </si>
  <si>
    <t xml:space="preserve">BEER_GEN | TASTING_MIX | </t>
  </si>
  <si>
    <t xml:space="preserve">BITE_GEN | CORE | </t>
  </si>
  <si>
    <t xml:space="preserve">BOGAERDEN | TRIPEL | </t>
  </si>
  <si>
    <t xml:space="preserve">BREAKFAST_GEN | CORE | </t>
  </si>
  <si>
    <t xml:space="preserve">BROUWERIJ_T_IJ | IJNDEJAARDS | </t>
  </si>
  <si>
    <t xml:space="preserve">BROUWERIJ_T_IJ | CALYPSO | </t>
  </si>
  <si>
    <t xml:space="preserve">BROUWERIJ_T_IJ | MOKUMS | </t>
  </si>
  <si>
    <t xml:space="preserve">BROUWERIJ_T_IJ | BLOND | </t>
  </si>
  <si>
    <t xml:space="preserve">BROUWERIJ_T_IJ | NATTE | </t>
  </si>
  <si>
    <t xml:space="preserve">BROUWERIJ_T_IJ | NIJPA | </t>
  </si>
  <si>
    <t xml:space="preserve">BROUWERIJ_T_IJ | BIRI | </t>
  </si>
  <si>
    <t xml:space="preserve">BROUWERIJ_T_IJ | BOCK | </t>
  </si>
  <si>
    <t xml:space="preserve">BROUWERIJ_T_IJ | FREE | </t>
  </si>
  <si>
    <t xml:space="preserve">BURGER_GEN | CORE | </t>
  </si>
  <si>
    <t xml:space="preserve">BUXBEER | SESSION | </t>
  </si>
  <si>
    <t xml:space="preserve">BUXBEER | AMBER | </t>
  </si>
  <si>
    <t xml:space="preserve">BUXBEER | GOLD | </t>
  </si>
  <si>
    <t xml:space="preserve">CARA | ROUGE | </t>
  </si>
  <si>
    <t xml:space="preserve">COCKTAIL_GEN | CORE | </t>
  </si>
  <si>
    <t xml:space="preserve">COFFEE_GEN | CORE | </t>
  </si>
  <si>
    <t xml:space="preserve">DESSERT_GEN | CORE | </t>
  </si>
  <si>
    <t xml:space="preserve">DIGESTIF_GEN | CORE | </t>
  </si>
  <si>
    <t xml:space="preserve">EAUMEGA | CORE | </t>
  </si>
  <si>
    <t xml:space="preserve">ESTRELLA_GALICIA | CORE | </t>
  </si>
  <si>
    <t xml:space="preserve">EXCELSIOR | CORE | </t>
  </si>
  <si>
    <t>FANTA | TUTTI_FRUTTI | ZERO</t>
  </si>
  <si>
    <t xml:space="preserve">FANTA | PINEAPPLE;GRAPEFRUIT | </t>
  </si>
  <si>
    <t xml:space="preserve">FANTA | SHOKATA | </t>
  </si>
  <si>
    <t>FANTA | SHOKATA | ZERO</t>
  </si>
  <si>
    <t xml:space="preserve">GIN_GEN | CORE | </t>
  </si>
  <si>
    <t xml:space="preserve">GULDEN_DRAAK | GRAND_PRESTIGE | </t>
  </si>
  <si>
    <t xml:space="preserve">GULDEN_DRAAK | WINTERBEER | </t>
  </si>
  <si>
    <t xml:space="preserve">GULDEN_DRAAK | LAPHROAIG;CUVEE;PRESTIGE | </t>
  </si>
  <si>
    <t xml:space="preserve">GULDEN_DRAAK | LENTEBOCK | </t>
  </si>
  <si>
    <t xml:space="preserve">GULDEN_DRAAK | COGNAC | </t>
  </si>
  <si>
    <t xml:space="preserve">GULDEN_DRAAK | PORTO | </t>
  </si>
  <si>
    <t xml:space="preserve">GULDEN_DRAAK | BRUT | </t>
  </si>
  <si>
    <t xml:space="preserve">GULDEN_DRAAK | FIRE | </t>
  </si>
  <si>
    <t xml:space="preserve">HOEGAARDEN | JULIUS | </t>
  </si>
  <si>
    <t xml:space="preserve">ICE_CREAM_GEN | CORE | </t>
  </si>
  <si>
    <t xml:space="preserve">JENEVER_GEN | CORE | </t>
  </si>
  <si>
    <t xml:space="preserve">LUPULUS | NELSON | </t>
  </si>
  <si>
    <t xml:space="preserve">LUPULUS | HAZY | </t>
  </si>
  <si>
    <t xml:space="preserve">MEADS_GEN | CORE | </t>
  </si>
  <si>
    <t xml:space="preserve">MOCKTAIL_GEN | CORE | </t>
  </si>
  <si>
    <t xml:space="preserve">NELLO_S | CORE | </t>
  </si>
  <si>
    <t xml:space="preserve">ORANGINA | TROPICAL | </t>
  </si>
  <si>
    <t xml:space="preserve">ORANGINA | RED | </t>
  </si>
  <si>
    <t xml:space="preserve">OWA | CORE | </t>
  </si>
  <si>
    <t xml:space="preserve">PANCAKE_GEN | CORE | </t>
  </si>
  <si>
    <t xml:space="preserve">PASTA_GEN | CORE | </t>
  </si>
  <si>
    <t xml:space="preserve">PIZZA_GEN | CORE | </t>
  </si>
  <si>
    <t xml:space="preserve">POWERADE | MANGO;GOLDEN | </t>
  </si>
  <si>
    <t xml:space="preserve">POWERADE | BLUE | </t>
  </si>
  <si>
    <t xml:space="preserve">RITCHIE | BLOOD_ORANGE | </t>
  </si>
  <si>
    <t xml:space="preserve">RITCHIE | COLA | </t>
  </si>
  <si>
    <t xml:space="preserve">SCHWEPPES | GINGER_BEER | </t>
  </si>
  <si>
    <t xml:space="preserve">SHOT_GEN | CORE | </t>
  </si>
  <si>
    <t xml:space="preserve">SMOOTHIE_GEN | CORE | </t>
  </si>
  <si>
    <t xml:space="preserve">STASSEN | MANGO_PASSION | </t>
  </si>
  <si>
    <t xml:space="preserve">STASSEN | RED_FRUITS | </t>
  </si>
  <si>
    <t xml:space="preserve">STASSEN | LYCHEE | </t>
  </si>
  <si>
    <t xml:space="preserve">STASSEN | PEACH | </t>
  </si>
  <si>
    <t>STASSEN | RASPBERRY | ZERO</t>
  </si>
  <si>
    <t>STASSEN | FOREST | ZERO</t>
  </si>
  <si>
    <t>STASSEN | PEACH | ZERO</t>
  </si>
  <si>
    <t xml:space="preserve">SWAF_SILLY | TRIPEL | </t>
  </si>
  <si>
    <t xml:space="preserve">TEA_GEN | CORE | </t>
  </si>
  <si>
    <t xml:space="preserve">TEQUILA_GEN | CORE | </t>
  </si>
  <si>
    <t xml:space="preserve">TOAST_GEN | CORE | </t>
  </si>
  <si>
    <t xml:space="preserve">VODKA_GEN | CORE | </t>
  </si>
  <si>
    <t xml:space="preserve">WATER_GEN | CORE | </t>
  </si>
  <si>
    <t xml:space="preserve">WHISKEY_GEN | CORE | </t>
  </si>
  <si>
    <t xml:space="preserve">WINE_GEN | CORE | </t>
  </si>
  <si>
    <t>IN_REGISTRY</t>
  </si>
  <si>
    <t>BADEN</t>
  </si>
  <si>
    <t>SKIFFLE</t>
  </si>
  <si>
    <t>2</t>
  </si>
  <si>
    <t>ISID_OR</t>
  </si>
  <si>
    <t>3</t>
  </si>
  <si>
    <t>CINEY | DUBBEL |</t>
  </si>
  <si>
    <t>1863</t>
  </si>
  <si>
    <t>60</t>
  </si>
  <si>
    <t>90</t>
  </si>
  <si>
    <t>30</t>
  </si>
  <si>
    <t>SPASH</t>
  </si>
  <si>
    <t>YLANG</t>
  </si>
  <si>
    <t>CHILI</t>
  </si>
  <si>
    <t>350</t>
  </si>
  <si>
    <t>COPPER</t>
  </si>
  <si>
    <t>ICE</t>
  </si>
  <si>
    <t>JUICE</t>
  </si>
  <si>
    <t>PUNCH</t>
  </si>
  <si>
    <t>OPUS</t>
  </si>
  <si>
    <t>9000</t>
  </si>
  <si>
    <t>GOLDEN</t>
  </si>
  <si>
    <t>TOUCH</t>
  </si>
  <si>
    <t xml:space="preserve">PULCO | CORE | </t>
  </si>
  <si>
    <t>PULCO</t>
  </si>
  <si>
    <t xml:space="preserve">SCHWEPPES | ORANGE | </t>
  </si>
  <si>
    <t xml:space="preserve">ROSPORT | POM | </t>
  </si>
  <si>
    <t>ROSPORT</t>
  </si>
  <si>
    <t>APPLE;POM</t>
  </si>
  <si>
    <t>POM</t>
  </si>
  <si>
    <t xml:space="preserve">ROSPORT | STILL | </t>
  </si>
  <si>
    <t xml:space="preserve">ROSPORT | MAT | </t>
  </si>
  <si>
    <t>MAT;GRAPEFRUIT</t>
  </si>
  <si>
    <t>MAT</t>
  </si>
  <si>
    <t xml:space="preserve">ROSPORT | SUNNY | </t>
  </si>
  <si>
    <t>SUNNY;LEMON;LIME</t>
  </si>
  <si>
    <t>SUNNY</t>
  </si>
  <si>
    <t xml:space="preserve">ROSPORT | SPARKLING | </t>
  </si>
  <si>
    <t xml:space="preserve">VAL | ICE_TEA | </t>
  </si>
  <si>
    <t>ICE_TEA</t>
  </si>
  <si>
    <t xml:space="preserve">YUGEN | STRAWBERRY | </t>
  </si>
  <si>
    <t xml:space="preserve">ROMAN | TONIC | </t>
  </si>
  <si>
    <t xml:space="preserve">ROMAN | COLA | </t>
  </si>
  <si>
    <t>ROMAN | COLA | ZERO</t>
  </si>
  <si>
    <t xml:space="preserve">ROMAN | ORANGE | </t>
  </si>
  <si>
    <t xml:space="preserve">ROMAN | LEMON | </t>
  </si>
  <si>
    <t xml:space="preserve">FANTA | BERRY | </t>
  </si>
  <si>
    <t xml:space="preserve">GEROLSTEINER | STILL | </t>
  </si>
  <si>
    <t>STILL;CORE</t>
  </si>
  <si>
    <t xml:space="preserve">GEROLSTEINER | LEMON | </t>
  </si>
  <si>
    <t xml:space="preserve">GEROLSTEINER | SPARKLING | </t>
  </si>
  <si>
    <t xml:space="preserve">PAJOTTENLANDER | APPEL | </t>
  </si>
  <si>
    <t>PAJOTTENLANDER</t>
  </si>
  <si>
    <t>APPEL</t>
  </si>
  <si>
    <t xml:space="preserve">DR_PEPPER | CORE | </t>
  </si>
  <si>
    <t xml:space="preserve">ENERGADE | CORE | </t>
  </si>
  <si>
    <t xml:space="preserve">LUCOZADE | CORE | </t>
  </si>
  <si>
    <t xml:space="preserve">MAYTEA | CORE | </t>
  </si>
  <si>
    <t xml:space="preserve">FRANKLIN | INDIAN | </t>
  </si>
  <si>
    <t>FRANKLIN</t>
  </si>
  <si>
    <t xml:space="preserve">FRANKLIN | LIGHT | </t>
  </si>
  <si>
    <t xml:space="preserve">FRANKLIN | MALLORCAN | </t>
  </si>
  <si>
    <t>MALLORCAN</t>
  </si>
  <si>
    <t xml:space="preserve">FRANKLIN | LEMON_SILICIAN | </t>
  </si>
  <si>
    <t>LEMON;SICILIAN</t>
  </si>
  <si>
    <t>LEMON_SILICIAN</t>
  </si>
  <si>
    <t xml:space="preserve">FRANKLIN | GRAPEFRUIT | </t>
  </si>
  <si>
    <t xml:space="preserve">FRANKLIN | EDLERFLOWER_TONIC | </t>
  </si>
  <si>
    <t>CUCUMBER;ELDERFLOWER</t>
  </si>
  <si>
    <t>EDLERFLOWER_TONIC</t>
  </si>
  <si>
    <t xml:space="preserve">FRANKLIN | BLACK_OLIVE | </t>
  </si>
  <si>
    <t>OLIVE</t>
  </si>
  <si>
    <t>BLACK_OLIVE</t>
  </si>
  <si>
    <t xml:space="preserve">FRANKLIN | HIBISCUS | </t>
  </si>
  <si>
    <t xml:space="preserve">FRANKLIN | GINGER_BEER | </t>
  </si>
  <si>
    <t xml:space="preserve">FRANKLIN | ORCHARD_APPLE_PEAR | </t>
  </si>
  <si>
    <t>APPLE;ORCHARD;PEAR</t>
  </si>
  <si>
    <t>ORCHARD_APPLE_PEAR</t>
  </si>
  <si>
    <t xml:space="preserve">FRANKLIN | MANGO_PEACH | </t>
  </si>
  <si>
    <t xml:space="preserve">FRANKLIN | ELDERFLOWER_LEMONADE | </t>
  </si>
  <si>
    <t>ELDERFLOWER_LEMONADE</t>
  </si>
  <si>
    <t xml:space="preserve">FRANKLIN | ROSE | </t>
  </si>
  <si>
    <t xml:space="preserve">FRANKLIN | RASPBERRY | </t>
  </si>
  <si>
    <t xml:space="preserve">FRANKLIN | DANDELION | </t>
  </si>
  <si>
    <t>DANDELION</t>
  </si>
  <si>
    <t xml:space="preserve">FRANKLIN | RHUBARB | </t>
  </si>
  <si>
    <t xml:space="preserve">FRANKLIN | COLA | </t>
  </si>
  <si>
    <t xml:space="preserve">FRANKLIN | YUZU | </t>
  </si>
  <si>
    <t xml:space="preserve">FRANKLIN | GUAVA | </t>
  </si>
  <si>
    <t xml:space="preserve">FRANKLIN | GRAPEFRUIT_SODA | </t>
  </si>
  <si>
    <t>GRAPEFRUIT_SODA</t>
  </si>
  <si>
    <t xml:space="preserve">FRANKLIN | PINEAPPLE | </t>
  </si>
  <si>
    <t xml:space="preserve">FRANKLIN | SODA_WATER | </t>
  </si>
  <si>
    <t>SODA_WATER</t>
  </si>
  <si>
    <t xml:space="preserve">LONDON_ESSENCE | BLOOD_ORANGE | </t>
  </si>
  <si>
    <t>LONDON_ESSENCE</t>
  </si>
  <si>
    <t xml:space="preserve">LONDON_ESSENCE | GRAPEFRUIT | </t>
  </si>
  <si>
    <t xml:space="preserve">LONDON_ESSENCE | INDIAN | </t>
  </si>
  <si>
    <t xml:space="preserve">LONDON_ESSENCE | PEACH_JASMINE | </t>
  </si>
  <si>
    <t xml:space="preserve">LONDON_ESSENCE | PINK_GRAPEFRUIT | </t>
  </si>
  <si>
    <t xml:space="preserve">LONDON_ESSENCE | PINEAPPLE | </t>
  </si>
  <si>
    <t xml:space="preserve">LONDON_ESSENCE | SODA_WATER | </t>
  </si>
  <si>
    <t>WATER;SODA</t>
  </si>
  <si>
    <t xml:space="preserve">LONDON_ESSENCE | LEMONADE | </t>
  </si>
  <si>
    <t>CRAFTED;LEMONADE</t>
  </si>
  <si>
    <t xml:space="preserve">LONDON_ESSENCE | ORANGE_FIG | </t>
  </si>
  <si>
    <t>ORANGE_FIG</t>
  </si>
  <si>
    <t xml:space="preserve">LONDON_ESSENCE | RASPBERRY | </t>
  </si>
  <si>
    <t xml:space="preserve">LONDON_ESSENCE | GINGER_BEER | </t>
  </si>
  <si>
    <t xml:space="preserve">LONDON_ESSENCE | GINGER_ALE | </t>
  </si>
  <si>
    <t>COPPERHEAD | CORE |</t>
  </si>
  <si>
    <t xml:space="preserve">VAL | SPARKLING | </t>
  </si>
  <si>
    <t xml:space="preserve">SPAVALA | CORE | </t>
  </si>
  <si>
    <t>SPAVALA</t>
  </si>
  <si>
    <t>SICILIAN</t>
  </si>
  <si>
    <t>ORCHARD</t>
  </si>
  <si>
    <t>PEAR</t>
  </si>
  <si>
    <t>REINE;SPA</t>
  </si>
  <si>
    <t>GRENADINE,;GRENADINE;SIROPE;SIROOP</t>
  </si>
  <si>
    <t>BRAND_PRIORITY</t>
  </si>
  <si>
    <t>PRIORITY_VLOOKUP</t>
  </si>
  <si>
    <t>BLOND;CUVEE;CORE</t>
  </si>
  <si>
    <t>8_6;8.6;86</t>
  </si>
  <si>
    <t>OUDE_GUEUZE;CORE</t>
  </si>
  <si>
    <t>HOP;TRIPEL;CORE</t>
  </si>
  <si>
    <t>RASBERRY;FRAMBOOS;FRAMBOISE;FRAMBUESA;HIMBEERE;FRAMBO;RASPBERRY;FRAMBOISE;FRAMBOOS;FRAM</t>
  </si>
  <si>
    <t>SAISON_&amp;_LAMBIC;CORE</t>
  </si>
  <si>
    <t xml:space="preserve">SAISON_&amp;_LAMBIC | CORE | </t>
  </si>
  <si>
    <t xml:space="preserve">GORDON | FINEST_GOLD | </t>
  </si>
  <si>
    <t>GRAND_CRU;GRAND</t>
  </si>
  <si>
    <t xml:space="preserve">ANA_HOP | CORE | </t>
  </si>
  <si>
    <t>BIERE_DES_AMIS | BLOND | ZERO</t>
  </si>
  <si>
    <t>MAREDSOUS | XMAS |</t>
  </si>
  <si>
    <t>CITRA;9</t>
  </si>
  <si>
    <t>PATER;5</t>
  </si>
  <si>
    <t>BROWN;DARK</t>
  </si>
  <si>
    <t>LUPPOLI</t>
  </si>
  <si>
    <t>J&amp;W</t>
  </si>
  <si>
    <t>PEATY</t>
  </si>
  <si>
    <t>PLATINUM</t>
  </si>
  <si>
    <t>FORET</t>
  </si>
  <si>
    <t>REDDEN</t>
  </si>
  <si>
    <t xml:space="preserve">BONI_TAFELBIER | TRIPEL | </t>
  </si>
  <si>
    <t xml:space="preserve">BONI_TAFELBIER | BROWN | </t>
  </si>
  <si>
    <t xml:space="preserve">SWINCKELS | PILSNER | </t>
  </si>
  <si>
    <t>SWINCKELS | PILSNER | ZERO</t>
  </si>
  <si>
    <t xml:space="preserve">LUPPOLI | 6 | </t>
  </si>
  <si>
    <t xml:space="preserve">LUPPOLI | 9 | </t>
  </si>
  <si>
    <t xml:space="preserve">LUPPOLI | 3 | </t>
  </si>
  <si>
    <t xml:space="preserve">LUPPOLI | 5 | </t>
  </si>
  <si>
    <t xml:space="preserve">TAXANDRIA | COPPER | </t>
  </si>
  <si>
    <t xml:space="preserve">TAXANDRIA | GOLDEN | </t>
  </si>
  <si>
    <t xml:space="preserve">TAXANDRIA | PORTER | </t>
  </si>
  <si>
    <t xml:space="preserve">TAXANDRIA | PEATY | </t>
  </si>
  <si>
    <t xml:space="preserve">LA_TRAPPE | EPOS | </t>
  </si>
  <si>
    <t xml:space="preserve">BIERE_DES_AMIS | TRIPEL | </t>
  </si>
  <si>
    <t xml:space="preserve">BIERE_DES_AMIS | REDDEN | </t>
  </si>
  <si>
    <t xml:space="preserve">BIERE_DES_AMIS | WINTER | </t>
  </si>
  <si>
    <t>BIERE_DES_AMIS | REDDEN | ZERO</t>
  </si>
  <si>
    <t xml:space="preserve">GENTSE_STROP | CORE | </t>
  </si>
  <si>
    <t xml:space="preserve">GORDON | PLATINUM | </t>
  </si>
  <si>
    <t xml:space="preserve">J&amp;W | XMAS | </t>
  </si>
  <si>
    <t>TRIPEL_KARMELIET | CORE | ZERO</t>
  </si>
  <si>
    <t xml:space="preserve">MOINETTE | FORET | </t>
  </si>
  <si>
    <t>GENTSE_STROP | BLOND | ZERO</t>
  </si>
  <si>
    <t>IPA;HOUBLON;BEER;BIER;BIERE;PILSKE;PILS;PILSNER;CERVECA;BOERKE;FLUITJE;WITBIER</t>
  </si>
  <si>
    <t>KRIEK_BRUT</t>
  </si>
  <si>
    <t>BRUT_EXTRA</t>
  </si>
  <si>
    <t>LIEFMANS | KRIEK_BRUT |</t>
  </si>
  <si>
    <t>LIEFMANS | BRUT_EXTRA |</t>
  </si>
  <si>
    <t>ST_FEUILLIEN | XMAS |</t>
  </si>
  <si>
    <t>AH</t>
  </si>
  <si>
    <t>_</t>
  </si>
  <si>
    <t>SPORTDRINK</t>
  </si>
  <si>
    <t>YOGURT</t>
  </si>
  <si>
    <t>GINGER_DRINK</t>
  </si>
  <si>
    <t>VITAMIN_DRINK</t>
  </si>
  <si>
    <t>ENERGY_DRINK</t>
  </si>
  <si>
    <t>MILK_DRINK</t>
  </si>
  <si>
    <t>APPELSAP</t>
  </si>
  <si>
    <t>VERS_GEPERSTE</t>
  </si>
  <si>
    <t>ANANASSAP</t>
  </si>
  <si>
    <t>SINAASAPPELSAP</t>
  </si>
  <si>
    <t>WATER;PLAT;EAU;PLATTE;PLATWATER;BRUISEND;WATER_SPARKLING;SPUITWATER;SPARKLING;PETILLANTE;BRUISWATER;PETILLANT;MINERAALWATER</t>
  </si>
  <si>
    <t>SPORTDRINK_GEN</t>
  </si>
  <si>
    <t>SPORTDRANK;SPORTDRINK;SPORTDRINKS</t>
  </si>
  <si>
    <t>SMOOTHIE;AH_ROOD_FRUIT</t>
  </si>
  <si>
    <t>VITAMINDRINK;VITAMIN</t>
  </si>
  <si>
    <t>VITAMIN_DRINK_GEN</t>
  </si>
  <si>
    <t>DRINKYOGHURT</t>
  </si>
  <si>
    <t>YOGURTDRINK_GEN</t>
  </si>
  <si>
    <t>AH_LEMON;LEMONADE;LIMONADE;LIMONADES;SODA;AGRUMES;AGRUM;AGRUMS;ELDERFLOWER;POM_TON;LICHT_EN_ZONDER_PRIK;SINAS;FRUITDRANK;AH_DUODRANK</t>
  </si>
  <si>
    <t>AH_COCONUT;KOKOSWATER;SINAASAPPELDRANK;MULTIVITAMINE;DRUIVENSAP;AH_CRANBERRY;JUS;JUICE;SAP;SINAASAPPELSAP;APPELSIENSAP;APPELSIEN;MULTIVITAMINEN;FRUITSAP;MULTIVRUCHTENSAP;CITROENSAP;FRUITSAPPEN;ANANASSAP;PERENSAP;MULTIFRUIT;NECTAR;TOMATENSAP;APPELSAP;AH_CASSIS;MANDARIJNSAP;BLOEDSINAASAPPELSAP</t>
  </si>
  <si>
    <t>SHOT;GROENTESHOT;AH_GINGER;AH_YELLOW</t>
  </si>
  <si>
    <t>APPELSIENTJE</t>
  </si>
  <si>
    <t>ARIZONA</t>
  </si>
  <si>
    <t>BELVOIR</t>
  </si>
  <si>
    <t>COOLBEST</t>
  </si>
  <si>
    <t>DUBBELDRANK</t>
  </si>
  <si>
    <t>DUBBELFRISSS</t>
  </si>
  <si>
    <t>E_ENERGY</t>
  </si>
  <si>
    <t>GIMBER</t>
  </si>
  <si>
    <t>HEALTHY_PEOPLE</t>
  </si>
  <si>
    <t>HERO</t>
  </si>
  <si>
    <t>INNOCENT</t>
  </si>
  <si>
    <t>KIDIBUL</t>
  </si>
  <si>
    <t>MOGU_MOGU</t>
  </si>
  <si>
    <t>NESTLE_PURE_LIFE</t>
  </si>
  <si>
    <t>NOCCO</t>
  </si>
  <si>
    <t>OCEAN_SPRAY</t>
  </si>
  <si>
    <t>SOURCY</t>
  </si>
  <si>
    <t>TAKSI</t>
  </si>
  <si>
    <t>VIT_HIT</t>
  </si>
  <si>
    <t>VITWATER</t>
  </si>
  <si>
    <t>VOLVIC</t>
  </si>
  <si>
    <t>ZONNATURA</t>
  </si>
  <si>
    <t>DR_FOOTS</t>
  </si>
  <si>
    <t>SPARKLING;SPUITWATER;PETTILLANTE;BRUIS;GAZEUSE;GASEUS;KOOLZUURHOUDEND</t>
  </si>
  <si>
    <t>STILL;PLAT;NON_PETTILLANTE;NON_GAZEUSE;NON_GAZEUS;KOOLZUURVRIJ</t>
  </si>
  <si>
    <t>SEMI_SPARKLING</t>
  </si>
  <si>
    <t>SEMI_SPARKLING;LICHT_BRUISEND</t>
  </si>
  <si>
    <t>LAZARUS | WHISKEY_INFUSED_CRU |</t>
  </si>
  <si>
    <t>EXTRA_TAG_A</t>
  </si>
  <si>
    <t>EXTRA_TAG_B</t>
  </si>
  <si>
    <t>CARROT</t>
  </si>
  <si>
    <t>PUMPKIN</t>
  </si>
  <si>
    <t>PUMPKIN;POMPOEN;CALABAZA;CITROUILLE;KÜRBIS</t>
  </si>
  <si>
    <t>YELLOW_CARROT</t>
  </si>
  <si>
    <t>YELLOW_CARROT;GELE_WORTEL;ZANAHORIA_AMARILLA;CAROTTE_JAUNE;GELBE_KAROTTE</t>
  </si>
  <si>
    <t>BEETROOT</t>
  </si>
  <si>
    <t>BEETROOT;RODE_BIET;REMOLACHA;BETTERAVE;ROTE_BETE</t>
  </si>
  <si>
    <t>AVOCADO</t>
  </si>
  <si>
    <t>AVOCADO;AVOCADO;AGUACATE;AVOCAT;AVOCADO</t>
  </si>
  <si>
    <t>FENNEL</t>
  </si>
  <si>
    <t>FENNEL;VENKEL;HINOJO;FENOUIL;FENCHEL</t>
  </si>
  <si>
    <t>SPINACH</t>
  </si>
  <si>
    <t>SPINACH;SPINAZIE;ESPINACA;ÉPINARDS;SPINAT</t>
  </si>
  <si>
    <t>CUCUMBER;KOMKOMMER;PEPINO;CONCOMBRE;GURKE</t>
  </si>
  <si>
    <t>CARROT;WORTEL;ZANAHORIA;CAROTTE;KAROTTE</t>
  </si>
  <si>
    <t>RED_FRUIT</t>
  </si>
  <si>
    <t>RED_FRUITS;RED_FRUIT</t>
  </si>
  <si>
    <t>POAR;PEER</t>
  </si>
  <si>
    <t>BLOOD;BLOED;SANGINE;ARANCIATA_ROSSA</t>
  </si>
  <si>
    <t>CLEMENTINE;CLEMENTINA;CLEMENTIN</t>
  </si>
  <si>
    <t>TEISSEIRE</t>
  </si>
  <si>
    <t>PROTECT</t>
  </si>
  <si>
    <t>RELOAD</t>
  </si>
  <si>
    <t>ANTIOXIDANT</t>
  </si>
  <si>
    <t>ALOE_VERA</t>
  </si>
  <si>
    <t>SISI</t>
  </si>
  <si>
    <t>FENTIMANS | GINGER_ALE|</t>
  </si>
  <si>
    <t>FENTIMANS | GINGER_BEER |</t>
  </si>
  <si>
    <t>FEVER_TREE | BLOOD_ORANGE_GINGER_BEER |</t>
  </si>
  <si>
    <t>FEVER_TREE | GINGER_BEER | LIGHT</t>
  </si>
  <si>
    <t>CASSIS;GROSELLA_NEGRA;SCHWARZE_JOHANNISBEERE</t>
  </si>
  <si>
    <t>FOREST_BERRIES</t>
  </si>
  <si>
    <t>BOSVRUCHTEN;BOSBESSEN;FOREST_BERRIES</t>
  </si>
  <si>
    <t>BUILD</t>
  </si>
  <si>
    <t>VARIANT_BUILD</t>
  </si>
  <si>
    <t>ROOSVICEE</t>
  </si>
  <si>
    <t>BAR_LE_DUC</t>
  </si>
  <si>
    <t>CHARLIE_S_ORGANICS</t>
  </si>
  <si>
    <t>GRACE</t>
  </si>
  <si>
    <t>100_COCONUT</t>
  </si>
  <si>
    <t>BLUEBERRY;BLAUWE_BES;MYRTILLE;ARÃNDANO;BLAUBEERE;BOSBES</t>
  </si>
  <si>
    <t>CORE;LEMON</t>
  </si>
  <si>
    <t>7UP | LEMON | ZERO</t>
  </si>
  <si>
    <t>COCONUT;KOKOS</t>
  </si>
  <si>
    <t>APPELSIENTJE;PPELSIENTJE</t>
  </si>
  <si>
    <t>FRUITDRINK</t>
  </si>
  <si>
    <t>NATURAL</t>
  </si>
  <si>
    <t>NATURAL;NATUURLIJK</t>
  </si>
  <si>
    <t>CAMPINA</t>
  </si>
  <si>
    <t>COCA_COLA | VANILLA |</t>
  </si>
  <si>
    <t>COCA_COLA | VANILLA | ZERO</t>
  </si>
  <si>
    <t>COCA_COLA | CHERRY | ZERO</t>
  </si>
  <si>
    <t>COCA_COLA | LEMON | ZERO</t>
  </si>
  <si>
    <t>FRUITDRINK;FRUIT_DRINK</t>
  </si>
  <si>
    <t>MEDITERRANEAN;MEDITER</t>
  </si>
  <si>
    <t>TUMERIC</t>
  </si>
  <si>
    <t>DEFENCE</t>
  </si>
  <si>
    <t>LIPTON | BLACK_LEMON |</t>
  </si>
  <si>
    <t>GREEN;</t>
  </si>
  <si>
    <t>LIPTON | GREEN_MANGO | ZERO</t>
  </si>
  <si>
    <t>PIPELINE</t>
  </si>
  <si>
    <t>NESTLE</t>
  </si>
  <si>
    <t>LIGHT;1KCAL;LAAG_IN_SUIKER</t>
  </si>
  <si>
    <t>BLAST</t>
  </si>
  <si>
    <t>MARACUJA</t>
  </si>
  <si>
    <t>GUAVE</t>
  </si>
  <si>
    <t xml:space="preserve">AA_DRINK | LEMON | </t>
  </si>
  <si>
    <t>PUMPKIN_YELLOW_CARROT</t>
  </si>
  <si>
    <t>BEETROOT_AVOCADO_FENNEL</t>
  </si>
  <si>
    <t>SPINACH_CUCUMBER_GREEN</t>
  </si>
  <si>
    <t>AVOCADO_CARROT_GREEN</t>
  </si>
  <si>
    <t>MANGO_APPLE</t>
  </si>
  <si>
    <t>GINGER_LEMONGRASS</t>
  </si>
  <si>
    <t>PEACH_APPLE</t>
  </si>
  <si>
    <t>GRAPES_LEMON</t>
  </si>
  <si>
    <t>CRANBERRY_RASPBERRY</t>
  </si>
  <si>
    <t>GINGER_LEMON_APPLE</t>
  </si>
  <si>
    <t>GINGER_STRAWBERRY_APPLE</t>
  </si>
  <si>
    <t>APPLE_POAR</t>
  </si>
  <si>
    <t>BANANA;PINEAPPLE</t>
  </si>
  <si>
    <t>BANANA_PINEAPPLE</t>
  </si>
  <si>
    <t>BLACKCURRANT_STRAWBERRY_APPLE</t>
  </si>
  <si>
    <t>MANGO_PASSIONFRUIT</t>
  </si>
  <si>
    <t>RASPBERRY_APPLE_POAR</t>
  </si>
  <si>
    <t>STRAWBERRY_ORANGE</t>
  </si>
  <si>
    <t>BANANA_ORANGE</t>
  </si>
  <si>
    <t>ORANGE_KIWI</t>
  </si>
  <si>
    <t>MANGO_ORANGE</t>
  </si>
  <si>
    <t>STRAWBERRY_BANANA</t>
  </si>
  <si>
    <t>MANGO_PINEAPPLE</t>
  </si>
  <si>
    <t>MANGO_MARACUJA</t>
  </si>
  <si>
    <t>POMEGRANATE;APPLE</t>
  </si>
  <si>
    <t>POMEGRANATE_APPLE</t>
  </si>
  <si>
    <t>LEMON_LIME_LYCHEE</t>
  </si>
  <si>
    <t>MANGO_GUAVE</t>
  </si>
  <si>
    <t>GINGER;YELLOW</t>
  </si>
  <si>
    <t>GINGER_YELLOW</t>
  </si>
  <si>
    <t xml:space="preserve">PPELSIENTJE | APPLE | </t>
  </si>
  <si>
    <t>PPELSIENTJE</t>
  </si>
  <si>
    <t xml:space="preserve">PPELSIENTJE | ORANGE | </t>
  </si>
  <si>
    <t xml:space="preserve">PPELSIENTJE | APPLE_GOLD | </t>
  </si>
  <si>
    <t>APPLE;GOLD</t>
  </si>
  <si>
    <t>APPLE_GOLD</t>
  </si>
  <si>
    <t xml:space="preserve">AQUARIUS | LEMON | </t>
  </si>
  <si>
    <t xml:space="preserve">AQUARIUS | PEACH | </t>
  </si>
  <si>
    <t>PEACH_WHITE_HONEY_GREEN</t>
  </si>
  <si>
    <t xml:space="preserve">ARIZONA | WHITE_HONEY_GREEN | </t>
  </si>
  <si>
    <t>WHITE_HONEY_GREEN</t>
  </si>
  <si>
    <t xml:space="preserve">ARIZONA | RASPBERRY | </t>
  </si>
  <si>
    <t>ARLA | CORE | LACTOSE_FREE</t>
  </si>
  <si>
    <t>ARLA</t>
  </si>
  <si>
    <t xml:space="preserve">BAR_LE_DUC | SPARKLING | </t>
  </si>
  <si>
    <t xml:space="preserve">BAR_LE_DUC | STILL | </t>
  </si>
  <si>
    <t xml:space="preserve">BAR_LE_DUC | NATURAL | </t>
  </si>
  <si>
    <t xml:space="preserve">BELVOIR | GINGER | </t>
  </si>
  <si>
    <t xml:space="preserve">CAMPINA | CORE | </t>
  </si>
  <si>
    <t xml:space="preserve">CHARLIE_S_ORGANICS | GRAPES_GRAPE | </t>
  </si>
  <si>
    <t>GRAPES;GRAPE</t>
  </si>
  <si>
    <t>GRAPES_GRAPE</t>
  </si>
  <si>
    <t xml:space="preserve">CHARLIE_S_ORGANICS | ORANGE_MANDARIN | </t>
  </si>
  <si>
    <t>ORANGE;MANDARIN</t>
  </si>
  <si>
    <t>ORANGE_MANDARIN</t>
  </si>
  <si>
    <t xml:space="preserve">CHARLIE_S_ORGANICS | LEMON | </t>
  </si>
  <si>
    <t xml:space="preserve">COOLBEST | MANGO | </t>
  </si>
  <si>
    <t xml:space="preserve">COOLBEST | PASSIONFRUIT_PASSION | </t>
  </si>
  <si>
    <t>PASSIONFRUIT_PASSION</t>
  </si>
  <si>
    <t xml:space="preserve">COOLBEST | APPLE_PINEAPPLE | </t>
  </si>
  <si>
    <t>APPLE;PINEAPPLE</t>
  </si>
  <si>
    <t>APPLE_PINEAPPLE</t>
  </si>
  <si>
    <t xml:space="preserve">COOLBEST | STRAWBERRY | </t>
  </si>
  <si>
    <t xml:space="preserve">DR_FOOTS | CORE | </t>
  </si>
  <si>
    <t>DR_FOOTS | CORE | ZERO</t>
  </si>
  <si>
    <t xml:space="preserve">DUBBELDRANK | PINEAPPLE | </t>
  </si>
  <si>
    <t xml:space="preserve">DUBBELDRANK | MANGO | </t>
  </si>
  <si>
    <t xml:space="preserve">DUBBELDRANK | MANGO_PASSIONFRUIT | </t>
  </si>
  <si>
    <t xml:space="preserve">DUBBELDRANK | PEACH_ORANGE | </t>
  </si>
  <si>
    <t>PEACH_ORANGE</t>
  </si>
  <si>
    <t>DUBBELFRISSS | PEACH_APPLE | LIGHT</t>
  </si>
  <si>
    <t>DUBBELFRISSS | BLACKCURRANT_APPLE | LIGHT</t>
  </si>
  <si>
    <t>BLACKCURRANT;APPLE</t>
  </si>
  <si>
    <t>BLACKCURRANT_APPLE</t>
  </si>
  <si>
    <t>DUBBELFRISSS | CRANBERRY_RASPBERRY | LIGHT</t>
  </si>
  <si>
    <t>GRAPES_LEMON_WHITE</t>
  </si>
  <si>
    <t xml:space="preserve">DUBBELFRISSS | PEACH_APPLE | </t>
  </si>
  <si>
    <t xml:space="preserve">DUBBELFRISSS | BERRY_APPLE_FOREST_BERRIES | </t>
  </si>
  <si>
    <t>BERRY_APPLE_FOREST_BERRIES</t>
  </si>
  <si>
    <t>E_ENERGY | CORE | ZERO</t>
  </si>
  <si>
    <t xml:space="preserve">EVIAN | STILL | </t>
  </si>
  <si>
    <t>FANTA | GRAPES_PINEAPPLE | ZERO</t>
  </si>
  <si>
    <t>GRAPES_PINEAPPLE</t>
  </si>
  <si>
    <t xml:space="preserve">FENTIMANS | GINGER_GINGER_BEER | </t>
  </si>
  <si>
    <t>GINGER_GINGER_BEER</t>
  </si>
  <si>
    <t xml:space="preserve">FENTIMANS | GINGER_PINK | </t>
  </si>
  <si>
    <t>GINGER;PINK</t>
  </si>
  <si>
    <t>GINGER_PINK</t>
  </si>
  <si>
    <t xml:space="preserve">FEVER_TREE | TONIC_WATER | </t>
  </si>
  <si>
    <t xml:space="preserve">FUZETEA | MANGO_GREEN | </t>
  </si>
  <si>
    <t>MANGO;GREEN</t>
  </si>
  <si>
    <t>MANGO_GREEN</t>
  </si>
  <si>
    <t xml:space="preserve">GIMBER | GINGER | </t>
  </si>
  <si>
    <t xml:space="preserve">GINI | LEMON | </t>
  </si>
  <si>
    <t xml:space="preserve">GRACE | COCONUT | </t>
  </si>
  <si>
    <t xml:space="preserve">HEALTHY_PEOPLE | POMEGRANATE_APPLE | </t>
  </si>
  <si>
    <t xml:space="preserve">HEALTHY_PEOPLE | COCONUT | </t>
  </si>
  <si>
    <t xml:space="preserve">HERO | BLACKCURRANT | </t>
  </si>
  <si>
    <t>BLACKCURRANT;CASSIS</t>
  </si>
  <si>
    <t>HERO | BLACKCURRANT | ZERO</t>
  </si>
  <si>
    <t xml:space="preserve">INNOCENT | APPLE | </t>
  </si>
  <si>
    <t xml:space="preserve">INNOCENT | BERRY | </t>
  </si>
  <si>
    <t xml:space="preserve">INNOCENT | BLUE | </t>
  </si>
  <si>
    <t xml:space="preserve">INNOCENT | CITRUS | </t>
  </si>
  <si>
    <t xml:space="preserve">INNOCENT | GINGER | </t>
  </si>
  <si>
    <t xml:space="preserve">INNOCENT | MANGO_ORANGE | </t>
  </si>
  <si>
    <t xml:space="preserve">INNOCENT | RASPBERRY_STRAWBERRY | </t>
  </si>
  <si>
    <t>RASPBERRY_STRAWBERRY</t>
  </si>
  <si>
    <t xml:space="preserve">INNOCENT | WHITE_ORANGE | </t>
  </si>
  <si>
    <t>WHITE_ORANGE</t>
  </si>
  <si>
    <t xml:space="preserve">INNOCENT | TUTTI_FRUTTI | </t>
  </si>
  <si>
    <t xml:space="preserve">INNOCENT | BLUEBERRY_ANTIOXIDANT_BLUE | </t>
  </si>
  <si>
    <t>BLUEBERRY_ANTIOXIDANT_BLUE</t>
  </si>
  <si>
    <t xml:space="preserve">INNOCENT | GREEN_ANTIOXIDANT | </t>
  </si>
  <si>
    <t>GREEN_ANTIOXIDANT</t>
  </si>
  <si>
    <t xml:space="preserve">INNOCENT | ORANGE | </t>
  </si>
  <si>
    <t xml:space="preserve">INNOCENT | TROPICAL | </t>
  </si>
  <si>
    <t xml:space="preserve">KIDIBUL | STRAWBERRY | </t>
  </si>
  <si>
    <t xml:space="preserve">KIDIBUL | APPLE | </t>
  </si>
  <si>
    <t xml:space="preserve">MOGU_MOGU | LYCHEE | </t>
  </si>
  <si>
    <t xml:space="preserve">MOGU_MOGU | BLACKCURRANT | </t>
  </si>
  <si>
    <t xml:space="preserve">MONSTER_ENERGY | CORE | </t>
  </si>
  <si>
    <t>MONSTER_ENERGY | CORE | ZERO</t>
  </si>
  <si>
    <t xml:space="preserve">MONSTER_ENERGY | MANGO | </t>
  </si>
  <si>
    <t xml:space="preserve">MONSTER_ENERGY | PIPELINE | </t>
  </si>
  <si>
    <t xml:space="preserve">MONSTER_ENERGY | ULTRA | </t>
  </si>
  <si>
    <t xml:space="preserve">NESTLE_PURE_LIFE | CORE | </t>
  </si>
  <si>
    <t xml:space="preserve">NOCCO | MANGO | </t>
  </si>
  <si>
    <t xml:space="preserve">NOCCO | TROPICAL | </t>
  </si>
  <si>
    <t xml:space="preserve">OASIS | RASPBERRY_APPLE | </t>
  </si>
  <si>
    <t>RASPBERRY_APPLE</t>
  </si>
  <si>
    <t xml:space="preserve">OCEAN_SPRAY | CRANBERRY | </t>
  </si>
  <si>
    <t>OCEAN_SPRAY | CRANBERRY | LIGHT</t>
  </si>
  <si>
    <t xml:space="preserve">POWERADE | BLAST | </t>
  </si>
  <si>
    <t xml:space="preserve">RED_BULL | BLUE | </t>
  </si>
  <si>
    <t xml:space="preserve">RED_BULL | GREEN | </t>
  </si>
  <si>
    <t xml:space="preserve">RED_BULL | BERRY_BLUE | </t>
  </si>
  <si>
    <t>BERRY_BLUE</t>
  </si>
  <si>
    <t xml:space="preserve">RED_BULL | WHITE | </t>
  </si>
  <si>
    <t xml:space="preserve">RITCHIE | ORANGE | </t>
  </si>
  <si>
    <t xml:space="preserve">ROOSVICEE | FRUITMIX | </t>
  </si>
  <si>
    <t>FRUITMIX</t>
  </si>
  <si>
    <t xml:space="preserve">ROYAL_CLUB | LEMON_ROSE | </t>
  </si>
  <si>
    <t>LEMON;ROSE</t>
  </si>
  <si>
    <t>LEMON_ROSE</t>
  </si>
  <si>
    <t xml:space="preserve">ROYAL_CLUB | TONIC_WATER | </t>
  </si>
  <si>
    <t xml:space="preserve">SAN_PELLEGRINO | BLOOD_ORANGE | </t>
  </si>
  <si>
    <t xml:space="preserve">SAN_PELLEGRINO | CLEMENTINE | </t>
  </si>
  <si>
    <t xml:space="preserve">SAN_PELLEGRINO | LEMON | </t>
  </si>
  <si>
    <t xml:space="preserve">SAN_PELLEGRINO | SPARKLING | </t>
  </si>
  <si>
    <t xml:space="preserve">SCHWEPPES | AGRUMES | </t>
  </si>
  <si>
    <t xml:space="preserve">SCHWEPPES | TONIC_WATER | </t>
  </si>
  <si>
    <t>SISI | ORANGE | ZERO</t>
  </si>
  <si>
    <t xml:space="preserve">SHOT_GEN | PUMPKIN_YELLOW_CARROT | </t>
  </si>
  <si>
    <t xml:space="preserve">SHOT_GEN | BEETROOT_AVOCADO_FENNEL | </t>
  </si>
  <si>
    <t xml:space="preserve">SHOT_GEN | SPINACH_CUCUMBER_GREEN | </t>
  </si>
  <si>
    <t xml:space="preserve">SHOT_GEN | AVOCADO_CARROT_GREEN | </t>
  </si>
  <si>
    <t xml:space="preserve">JUICE_GEN | PINEAPPLE | </t>
  </si>
  <si>
    <t xml:space="preserve">JUICE_GEN | APPLE | </t>
  </si>
  <si>
    <t>JUICE_GEN | MANGO_APPLE | BIO</t>
  </si>
  <si>
    <t>JUICE_GEN | APPLE | BIO</t>
  </si>
  <si>
    <t>JUICE_GEN | ORANGE | BIO</t>
  </si>
  <si>
    <t>GRENADINE_GEN | ELDERFLOWER | BIO</t>
  </si>
  <si>
    <t xml:space="preserve">JUICE_GEN | BLOOD_ORANGE | </t>
  </si>
  <si>
    <t xml:space="preserve">WATER_GEN | BLOOD_ORANGE | </t>
  </si>
  <si>
    <t xml:space="preserve">WATER_GEN | LEMON | </t>
  </si>
  <si>
    <t xml:space="preserve">WATER_GEN | MINT | </t>
  </si>
  <si>
    <t xml:space="preserve">WATER_GEN | GINGER_LEMONGRASS | </t>
  </si>
  <si>
    <t xml:space="preserve">JUICE_GEN | BLACKCURRANT | </t>
  </si>
  <si>
    <t xml:space="preserve">JUICE_GEN | CLEMENTINE | </t>
  </si>
  <si>
    <t xml:space="preserve">COLA_GEN | CORE | </t>
  </si>
  <si>
    <t>COLA_GEN | CHERRY | ZERO</t>
  </si>
  <si>
    <t>COLA_GEN | VANILLA | ZERO</t>
  </si>
  <si>
    <t xml:space="preserve">JUICE_GEN | CRANBERRY | </t>
  </si>
  <si>
    <t>JUICE_GEN | CRANBERRY | LIGHT</t>
  </si>
  <si>
    <t xml:space="preserve">YOGURTDRINK_GEN | STRAWBERRY | </t>
  </si>
  <si>
    <t xml:space="preserve">JUICE_GEN | GRAPES | </t>
  </si>
  <si>
    <t xml:space="preserve">LEMONADE_GEN | TROPICAL | </t>
  </si>
  <si>
    <t xml:space="preserve">LEMONADE_GEN | PEACH_APPLE | </t>
  </si>
  <si>
    <t>LEMONADE_GEN | PEACH_APPLE | LIGHT</t>
  </si>
  <si>
    <t>LEMONADE_GEN | GRAPES_LEMON | LIGHT</t>
  </si>
  <si>
    <t xml:space="preserve">LEMONADE_GEN | CRANBERRY_RASPBERRY | </t>
  </si>
  <si>
    <t>JUICE_GEN | ORANGE | FRESH</t>
  </si>
  <si>
    <t xml:space="preserve">SHOT_GEN | GINGER | </t>
  </si>
  <si>
    <t>SHOT_GEN | GINGER_LEMON_APPLE | FRESH</t>
  </si>
  <si>
    <t>SHOT_GEN | GINGER_STRAWBERRY_APPLE | FRESH</t>
  </si>
  <si>
    <t xml:space="preserve">ICE_TEA_GEN | GREEN | </t>
  </si>
  <si>
    <t xml:space="preserve">ICE_TEA_GEN | CORE | </t>
  </si>
  <si>
    <t xml:space="preserve">ICE_TEA_GEN | PEACH | </t>
  </si>
  <si>
    <t xml:space="preserve">JUICE_GEN | COCONUT | </t>
  </si>
  <si>
    <t xml:space="preserve">LEMONADE_GEN | LEMON_LIME | </t>
  </si>
  <si>
    <t>LEMONADE_GEN | LEMON_LIME | ZERO</t>
  </si>
  <si>
    <t xml:space="preserve">LEMONADE_GEN | APPLE_POAR | </t>
  </si>
  <si>
    <t xml:space="preserve">LEMONADE_GEN | RASPBERRY | </t>
  </si>
  <si>
    <t xml:space="preserve">WATER_GEN | SPARKLING | </t>
  </si>
  <si>
    <t xml:space="preserve">WATER_GEN | STILL | </t>
  </si>
  <si>
    <t xml:space="preserve">WATER_GEN | SEMI_SPARKLING | </t>
  </si>
  <si>
    <t xml:space="preserve">JUICE_GEN | MULTIFRUIT | </t>
  </si>
  <si>
    <t xml:space="preserve">JUICE_GEN | MULTIVITAMIN | </t>
  </si>
  <si>
    <t>JUICE_GEN | MULTIVITAMIN | LIGHT</t>
  </si>
  <si>
    <t xml:space="preserve">SMOOTHIE_GEN | RED_FRUIT | </t>
  </si>
  <si>
    <t xml:space="preserve">JUICE_GEN | ORANGE | </t>
  </si>
  <si>
    <t xml:space="preserve">LEMONADE_GEN | ORANGE | </t>
  </si>
  <si>
    <t>LEMONADE_GEN | ORANGE | ZERO</t>
  </si>
  <si>
    <t xml:space="preserve">GRENADINE_GEN | STRAWBERRY | </t>
  </si>
  <si>
    <t xml:space="preserve">GRENADINE_GEN | CORE | </t>
  </si>
  <si>
    <t xml:space="preserve">SMOOTHIE_GEN | BANANA_PINEAPPLE | </t>
  </si>
  <si>
    <t xml:space="preserve">SMOOTHIE_GEN | BLACKCURRANT_STRAWBERRY_APPLE | </t>
  </si>
  <si>
    <t xml:space="preserve">SMOOTHIE_GEN | MANGO_PASSIONFRUIT | </t>
  </si>
  <si>
    <t xml:space="preserve">SPORTDRINK_GEN | BLUE | </t>
  </si>
  <si>
    <t xml:space="preserve">SPORTDRINK_GEN | ORANGE | </t>
  </si>
  <si>
    <t xml:space="preserve">JUICE_GEN | TOMATO | </t>
  </si>
  <si>
    <t>JUICE_GEN | GINGER_LEMON_APPLE | FRESH</t>
  </si>
  <si>
    <t>JUICE_GEN | RASPBERRY_APPLE_POAR | FRESH</t>
  </si>
  <si>
    <t>JUICE_GEN | STRAWBERRY_ORANGE | FRESH</t>
  </si>
  <si>
    <t>JUICE_GEN | BANANA_ORANGE | FRESH</t>
  </si>
  <si>
    <t>JUICE_GEN | ORANGE_KIWI | FRESH</t>
  </si>
  <si>
    <t>JUICE_GEN | MANGO_ORANGE | FRESH</t>
  </si>
  <si>
    <t>SMOOTHIE_GEN | STRAWBERRY_BANANA | FRESH</t>
  </si>
  <si>
    <t>SMOOTHIE_GEN | MANGO_PINEAPPLE | FRESH</t>
  </si>
  <si>
    <t>SMOOTHIE_GEN | MANGO_MARACUJA | FRESH</t>
  </si>
  <si>
    <t>SMOOTHIE_GEN | MANGO_ORANGE | FRESH</t>
  </si>
  <si>
    <t xml:space="preserve">VITAMIN_DRINK_GEN | POMEGRANATE_APPLE | </t>
  </si>
  <si>
    <t xml:space="preserve">VITAMIN_DRINK_GEN | LEMON_LIME_LYCHEE | </t>
  </si>
  <si>
    <t xml:space="preserve">VITAMIN_DRINK_GEN | MANGO_GUAVE | </t>
  </si>
  <si>
    <t xml:space="preserve">SHOT_GEN | GINGER_YELLOW | </t>
  </si>
  <si>
    <t>PUMPKIN;YELLOW;GREEN</t>
  </si>
  <si>
    <t>BEETROOT;FENNEL;GREEN</t>
  </si>
  <si>
    <t>;AVOCADO</t>
  </si>
  <si>
    <t>;CUCUMBER</t>
  </si>
  <si>
    <t>;CARROT</t>
  </si>
  <si>
    <t>;APPLE</t>
  </si>
  <si>
    <t>SPINACH;GREEN</t>
  </si>
  <si>
    <t>AVOCADO;GREEN</t>
  </si>
  <si>
    <t>PEACH;</t>
  </si>
  <si>
    <t>GRAPES;</t>
  </si>
  <si>
    <t>CRANBERRY;</t>
  </si>
  <si>
    <t>GINGER;LEMON;</t>
  </si>
  <si>
    <t>GINGER;APPLE</t>
  </si>
  <si>
    <t>;STRAWBERRY</t>
  </si>
  <si>
    <t>APPLE;</t>
  </si>
  <si>
    <t>MANGO;</t>
  </si>
  <si>
    <t>RASPBERRY;APPLE;</t>
  </si>
  <si>
    <t>STRAWBERRY;</t>
  </si>
  <si>
    <t>BANANA;</t>
  </si>
  <si>
    <t>ORANGE;</t>
  </si>
  <si>
    <t>POMEGRANATE;</t>
  </si>
  <si>
    <t>LEMON;LIME;</t>
  </si>
  <si>
    <t xml:space="preserve">ARIZONA | PEACH_HONEY_GREEN | </t>
  </si>
  <si>
    <t>;HONEY;GREEN</t>
  </si>
  <si>
    <t>HONEY;</t>
  </si>
  <si>
    <t>;PASSIONFRUIT</t>
  </si>
  <si>
    <t>BLACKCURRANT;</t>
  </si>
  <si>
    <t>;LEMON</t>
  </si>
  <si>
    <t>DUBBELFRISSS | GRAPES_LEMON | LIGHT</t>
  </si>
  <si>
    <t>HERO | BLACKCURRANT_STILL | ZERO</t>
  </si>
  <si>
    <t>GLUTEN_FREE;BIOLOGISCH</t>
  </si>
  <si>
    <t>RASPBERRY;</t>
  </si>
  <si>
    <t>WHITE;</t>
  </si>
  <si>
    <t>BLUEBERRY;</t>
  </si>
  <si>
    <t>BERRY;</t>
  </si>
  <si>
    <t>PINEAPPLE;</t>
  </si>
  <si>
    <t>BERRY;FOREST_BERRIES</t>
  </si>
  <si>
    <t>ABT</t>
  </si>
  <si>
    <t>EXTRA;XTRA</t>
  </si>
  <si>
    <t>BOOTJESBIER;BOOTJES</t>
  </si>
  <si>
    <t>TURBO</t>
  </si>
  <si>
    <t>KANON</t>
  </si>
  <si>
    <t>BLURRED</t>
  </si>
  <si>
    <t>NEL</t>
  </si>
  <si>
    <t>NON_IPA</t>
  </si>
  <si>
    <t>CRAFTED</t>
  </si>
  <si>
    <t>FINESSE;FINESS</t>
  </si>
  <si>
    <t>INTENS;INTENSE</t>
  </si>
  <si>
    <t>SPRING;LENTE;PRINTEMPS</t>
  </si>
  <si>
    <t>BLACK_LEMON;LEMON_BLACK</t>
  </si>
  <si>
    <t>FRUIT;VRUCHT</t>
  </si>
  <si>
    <t>COLA;KOLA</t>
  </si>
  <si>
    <t>CHAI</t>
  </si>
  <si>
    <t>OUDE_LAMBIEK;OLD_LAMBIC</t>
  </si>
  <si>
    <t>PRUIM;PLUM;PRUNE</t>
  </si>
  <si>
    <t>TASTING;PROEVEN;DEGUSTATIE</t>
  </si>
  <si>
    <t>DUBBEL_CHERRY;DUBBEL_KRIEK;DUBBELKRIEK</t>
  </si>
  <si>
    <t>PAASIJ</t>
  </si>
  <si>
    <t>TUTTI;FRUTTI</t>
  </si>
  <si>
    <t>HOPS;HOP;HOUBLON;HOUBL;HOPERA;HOPERNA</t>
  </si>
  <si>
    <t>GRAND_CRU;GR_CRU</t>
  </si>
  <si>
    <t>RESERV;RESERV</t>
  </si>
  <si>
    <t>EXTRA;XTRA;"EXTRA;"EXTRA"</t>
  </si>
  <si>
    <t>CUVEE;CUVE</t>
  </si>
  <si>
    <t>CARAC;KARAK;CARACTERE</t>
  </si>
  <si>
    <t>SPICED</t>
  </si>
  <si>
    <t>TAROT_D_OR;TAROT_D__OR</t>
  </si>
  <si>
    <t>TAROT_NOIRE;TAROT_NOIR</t>
  </si>
  <si>
    <t>ANGUS;AGNUS</t>
  </si>
  <si>
    <t>TRIPLUS</t>
  </si>
  <si>
    <t>SOLEIL</t>
  </si>
  <si>
    <t>SMOKE;SMOKED</t>
  </si>
  <si>
    <t>FRAISE,</t>
  </si>
  <si>
    <t>SGANSHEIDESTRAAT</t>
  </si>
  <si>
    <t>REGULAR;REGULAR;RÃ‰GULIER;REGULAR;REGULÃ„R</t>
  </si>
  <si>
    <t>PRIOR;BERNARDUS_PR;DUS_PRIOR</t>
  </si>
  <si>
    <t>NILLIS;NILIS</t>
  </si>
  <si>
    <t>NICE;ICE</t>
  </si>
  <si>
    <t>MEDITERRANEAN;MEDITERREAN</t>
  </si>
  <si>
    <t>MAC;MC</t>
  </si>
  <si>
    <t>FRUTESSE;FRUITESSE</t>
  </si>
  <si>
    <t>DONKERE;DARK;DONKER;NOIR</t>
  </si>
  <si>
    <t>KAAS;FROMAGE</t>
  </si>
  <si>
    <t>CHAMOMILE;CAMOMILE;KAMILLE,;CAMILLE;CHAMONILLE;KAMILLE;CAMOMILLE;MANZANILLA;KAMILLE</t>
  </si>
  <si>
    <t>BLOOD</t>
  </si>
  <si>
    <t>ARGENTUM</t>
  </si>
  <si>
    <t>ABT_12;BERNARDUS_ABT;NARDUS_12;ABT.;12.10;ABT;ABT12;ABT</t>
  </si>
  <si>
    <t>ARGENT;ZILVER</t>
  </si>
  <si>
    <t>SPARKLING;SPUITWATER;PETTILLANTE;BRUIS;GAZEUSE;GASEUS</t>
  </si>
  <si>
    <t>CASSIS;ZWARTE_BES;CASSIS;GROSELLA_NEGRA;SCHWARZE_JOHANNISBEERE</t>
  </si>
  <si>
    <t>BLUEBERRY;BLAUWE_BES;MYRTILLE;ARÃNDANO;BLAUBEERE</t>
  </si>
  <si>
    <t>STILL;PLAT;NON_PETTILLANTE;NON_GAZEUSE;NON_GAZEUS</t>
  </si>
  <si>
    <t>WEISSBIER;</t>
  </si>
  <si>
    <t>WEIZEN;WEISSE</t>
  </si>
  <si>
    <t>BAVARIA | ROSE | ZERO</t>
  </si>
  <si>
    <t>BAVARIA | GINGER | ZERO</t>
  </si>
  <si>
    <t>BAVARIA | LEMON | ZERO</t>
  </si>
  <si>
    <t>BENEDIKTINER | WEISSBIER | ZERO</t>
  </si>
  <si>
    <t xml:space="preserve">BENEDIKTINER | WEISSBIER | </t>
  </si>
  <si>
    <t xml:space="preserve">BENEDIKTINER | DUNKEL | </t>
  </si>
  <si>
    <t>DUNKEL</t>
  </si>
  <si>
    <t xml:space="preserve">BIRRA_MORETTI | AUTHENTIC | </t>
  </si>
  <si>
    <t>AUTHENTIC</t>
  </si>
  <si>
    <t xml:space="preserve">BREWDOG | PUNK | </t>
  </si>
  <si>
    <t xml:space="preserve">BREWDOG | EVLIS | </t>
  </si>
  <si>
    <t>EVLIS</t>
  </si>
  <si>
    <t xml:space="preserve">BREWDOG | JANE | </t>
  </si>
  <si>
    <t>JANE</t>
  </si>
  <si>
    <t xml:space="preserve">BREWDOG | DOUBLE_HAZY | </t>
  </si>
  <si>
    <t>DOUBLE_HAZY</t>
  </si>
  <si>
    <t xml:space="preserve">BREWDOG | CLOCKWORK | </t>
  </si>
  <si>
    <t>CLOCKWORK</t>
  </si>
  <si>
    <t xml:space="preserve">BREWDOG | 5AM | </t>
  </si>
  <si>
    <t>5AM</t>
  </si>
  <si>
    <t xml:space="preserve">BREWDOG | JACK | </t>
  </si>
  <si>
    <t xml:space="preserve">BREWDOG | LOST | </t>
  </si>
  <si>
    <t>LOST</t>
  </si>
  <si>
    <t xml:space="preserve">BREWDOG | WINGMAN | </t>
  </si>
  <si>
    <t>WINGMAN</t>
  </si>
  <si>
    <t xml:space="preserve">BROUWERIJ_T_IJ | GOLD | </t>
  </si>
  <si>
    <t>BROUWERIJ_T_IJ | WHITE | ZERO</t>
  </si>
  <si>
    <t xml:space="preserve">BROUWERS | PILSNER | </t>
  </si>
  <si>
    <t>BROUWERS</t>
  </si>
  <si>
    <t xml:space="preserve">BROUWERS | FRESH | </t>
  </si>
  <si>
    <t xml:space="preserve">BROUWERS | EXTRA | </t>
  </si>
  <si>
    <t xml:space="preserve">BROUWERS | RADLER | </t>
  </si>
  <si>
    <t>EEUWIGE_JEUGD</t>
  </si>
  <si>
    <t xml:space="preserve">FRANCOIS | CORE | </t>
  </si>
  <si>
    <t>FRANCOIS</t>
  </si>
  <si>
    <t xml:space="preserve">GEBROUWEN_DOOR_VROUWEN | GOLD | </t>
  </si>
  <si>
    <t>GEBROUWEN_DOOR_VROUWEN</t>
  </si>
  <si>
    <t xml:space="preserve">GEBROUWEN_DOOR_VROUWEN | BLOESEM | </t>
  </si>
  <si>
    <t>BLOESEM</t>
  </si>
  <si>
    <t xml:space="preserve">GEBROUWEN_DOOR_VROUWEN | TRIPEL | </t>
  </si>
  <si>
    <t xml:space="preserve">GEBROUWEN_DOOR_VROUWEN | WEIZEN | </t>
  </si>
  <si>
    <t xml:space="preserve">GEBROUWEN_DOOR_VROUWEN | MANGO | </t>
  </si>
  <si>
    <t xml:space="preserve">GEBROUWEN_DOOR_VROUWEN | SUNNY | </t>
  </si>
  <si>
    <t xml:space="preserve">GUINNESS | STOUT | </t>
  </si>
  <si>
    <t>JEVER_FUN | CORE | ZERO</t>
  </si>
  <si>
    <t>JEVER_FUN</t>
  </si>
  <si>
    <t xml:space="preserve">LANDER_BRAU | STRONG | </t>
  </si>
  <si>
    <t>LANDER_BRAU</t>
  </si>
  <si>
    <t xml:space="preserve">LANDER_BRAU | SUPER_STRONG | </t>
  </si>
  <si>
    <t>SUPER_STRONG</t>
  </si>
  <si>
    <t>LOWLANDER | WHITE | ZERO</t>
  </si>
  <si>
    <t>LOWLANDER | MANGO | ZERO</t>
  </si>
  <si>
    <t xml:space="preserve">LOWLANDER | COOL | </t>
  </si>
  <si>
    <t>COOL</t>
  </si>
  <si>
    <t>LOWLANDER | CITRUS | ZERO</t>
  </si>
  <si>
    <t xml:space="preserve">MOERSLEUTEL | CORE | </t>
  </si>
  <si>
    <t>MOERSLEUTEL</t>
  </si>
  <si>
    <t xml:space="preserve">MANNENLIEFDE | CORE | </t>
  </si>
  <si>
    <t>MANNENLIEFDE</t>
  </si>
  <si>
    <t xml:space="preserve">TWO_CHEFS_BREWING | CORE | </t>
  </si>
  <si>
    <t>TWO_CHEFS_BREWING</t>
  </si>
  <si>
    <t>FALCON</t>
  </si>
  <si>
    <t xml:space="preserve">TWO_CHEFS_BREWING | IPA | </t>
  </si>
  <si>
    <t>CHEF</t>
  </si>
  <si>
    <t>TWO_CHEFS_BREWING | CORE | ZERO</t>
  </si>
  <si>
    <t xml:space="preserve">TWO_CHEFS_BREWING | WHITE | </t>
  </si>
  <si>
    <t>MAMBA</t>
  </si>
  <si>
    <t>TWO_CHEFS_BREWING | IPA | ZERO</t>
  </si>
  <si>
    <t xml:space="preserve">UILTJE | PREY | </t>
  </si>
  <si>
    <t>UILTJE</t>
  </si>
  <si>
    <t>PREY</t>
  </si>
  <si>
    <t xml:space="preserve">UILTJE | COSMIC | </t>
  </si>
  <si>
    <t>COSMIC</t>
  </si>
  <si>
    <t xml:space="preserve">UILTJE | HOP | </t>
  </si>
  <si>
    <t xml:space="preserve">UILTJE | YELLOW | </t>
  </si>
  <si>
    <t xml:space="preserve">UILTJE | WIZARD | </t>
  </si>
  <si>
    <t>WIZARD</t>
  </si>
  <si>
    <t>UILTJE | PREY | ZERO</t>
  </si>
  <si>
    <t>VANDESTREEK | PLAY | ZERO</t>
  </si>
  <si>
    <t>VANDESTREEK | FUN | ZERO</t>
  </si>
  <si>
    <t>FUN</t>
  </si>
  <si>
    <t>VERMEERSCH | COFFEE | ZERO</t>
  </si>
  <si>
    <t>VERMEERSCH</t>
  </si>
  <si>
    <t>VERMEERSCH | KRIEK | ZERO</t>
  </si>
  <si>
    <t>VERMEERSCH | BLOND | ZERO</t>
  </si>
  <si>
    <t>WIZARD;WIT</t>
  </si>
  <si>
    <t>COSMIC;BLOND</t>
  </si>
  <si>
    <t>TOUT_BIEN | PILSNER | ZERO</t>
  </si>
  <si>
    <t>PASSIONFRUIT;PASSIEVRUCHT;FRUIT_DE_LA_PASSION;MARACUYÃ;PASSIONSFRUCHT;MARACUYA;PASSIE</t>
  </si>
  <si>
    <t>BLANCHE_DE_NAMUR | ROSE |</t>
  </si>
  <si>
    <t>BRUT_KRIEK</t>
  </si>
  <si>
    <t>LIEFMANS | OUD_BRUIN |</t>
  </si>
  <si>
    <t>MAREDSOUS | BROWN |</t>
  </si>
  <si>
    <t>OUDE_GUEUZE;GUEUZE</t>
  </si>
  <si>
    <t xml:space="preserve">PIED_BOEUF | BLOND | </t>
  </si>
  <si>
    <t>LA_REDOUTABLE | IPA |</t>
  </si>
  <si>
    <t>SOMERSBY | BLACKBERRY |</t>
  </si>
  <si>
    <t>BLOND;HOP;CORE</t>
  </si>
  <si>
    <t>BLOND;CORE;HOP</t>
  </si>
  <si>
    <t>TRIPEL;ZATTE</t>
  </si>
  <si>
    <t xml:space="preserve">BROUWERIJ_T_IJ | ZATTE_TRIPEL | </t>
  </si>
  <si>
    <t xml:space="preserve">KEREL | PARADISE | </t>
  </si>
  <si>
    <t>KEREL | PINTJE |</t>
  </si>
  <si>
    <t>LINDEMANS | TAROT_NOIR |</t>
  </si>
  <si>
    <t>MOTOR</t>
  </si>
  <si>
    <t xml:space="preserve">PAULANER | WEISSBIER | </t>
  </si>
  <si>
    <t xml:space="preserve">PERONI | AZZURO_SARDEGNA | </t>
  </si>
  <si>
    <t>PERONI | AZZURO | GLUTEN_FREE</t>
  </si>
  <si>
    <t xml:space="preserve">PERONI | AZZURO | </t>
  </si>
  <si>
    <t>PERONI | AZZURO | UNFILTERED</t>
  </si>
  <si>
    <t>PERONI | AZZURO | ZERO</t>
  </si>
  <si>
    <t>WARSTEINER | PILSNER | ZERO</t>
  </si>
  <si>
    <t>ZUNDERT | 4 |</t>
  </si>
  <si>
    <t xml:space="preserve">PEAK| TRIPEL | </t>
  </si>
  <si>
    <t xml:space="preserve">PEAK | BLOND | </t>
  </si>
  <si>
    <t>TRIPEL;PRESTIGE</t>
  </si>
  <si>
    <t>BON</t>
  </si>
  <si>
    <t>FRESH;FRESCA</t>
  </si>
  <si>
    <t>BULLEBAK</t>
  </si>
  <si>
    <t xml:space="preserve">EEUWIGE_JEUGD | BULLEBAK | </t>
  </si>
  <si>
    <t>AZZURRO</t>
  </si>
  <si>
    <t>CORE;NASTRO_AZZURRO</t>
  </si>
  <si>
    <t>PERONI | AZZURRO | ZERO</t>
  </si>
  <si>
    <t>BLACK;11</t>
  </si>
  <si>
    <t>DELIRIUM | BLACK_BARREL_AGED |</t>
  </si>
  <si>
    <t>VITAMALT</t>
  </si>
  <si>
    <t>GLADIATOR</t>
  </si>
  <si>
    <t>CUVEE_RENE</t>
  </si>
  <si>
    <t>LINDERMANS</t>
  </si>
  <si>
    <t>CRANK</t>
  </si>
  <si>
    <t>BOMB</t>
  </si>
  <si>
    <t>MACHINE</t>
  </si>
  <si>
    <t>QUAD</t>
  </si>
  <si>
    <t>TAROT_NOIR</t>
  </si>
  <si>
    <t>IPA;6</t>
  </si>
  <si>
    <t>SUMMER;ZOMER</t>
  </si>
  <si>
    <t>BREWDOG | PUNK | GLUTEN_FREE</t>
  </si>
  <si>
    <t xml:space="preserve">CHOUFFE | RASPBERRY | </t>
  </si>
  <si>
    <t xml:space="preserve">BBP | GUEUZE_DANSAERT | </t>
  </si>
  <si>
    <t>BBP</t>
  </si>
  <si>
    <t>GUEUZE;DANSAERT</t>
  </si>
  <si>
    <t>GUEUZE_DANSAERT</t>
  </si>
  <si>
    <t xml:space="preserve">DESPERADOS | AGUARDIENTE | </t>
  </si>
  <si>
    <t>AGUARDIENTE</t>
  </si>
  <si>
    <t xml:space="preserve">DESPERADOS | TEQUILA | </t>
  </si>
  <si>
    <t xml:space="preserve">GROLSCH | KANON | </t>
  </si>
  <si>
    <t>THRIVE | PEAK |</t>
  </si>
  <si>
    <t>PILS;PINTJE;BIRA;FLUIT;BOERKE;PINKE;PINT</t>
  </si>
  <si>
    <t>IPA;INDIA_PALE_ALE;I.P.A;I.P.A.;INDIAN_PALE_ALE</t>
  </si>
  <si>
    <t>LITE;LIGHT;</t>
  </si>
  <si>
    <t>PERONI | AZZURRO |</t>
  </si>
  <si>
    <t>WHITE;VRIJWIT</t>
  </si>
  <si>
    <t>BLUE;9;DUBBEL;DARK;BROWN;GR_RESERVE</t>
  </si>
  <si>
    <t>QUINT;KEIZER_KAREL;CHARLES_QUINT</t>
  </si>
  <si>
    <t>SCHULTENBRAU</t>
  </si>
  <si>
    <t>BROUWMEESTER</t>
  </si>
  <si>
    <t>DEL_RIO</t>
  </si>
  <si>
    <t>CARISTA</t>
  </si>
  <si>
    <t>APPLE_BANDIT</t>
  </si>
  <si>
    <t>BEST_BIER</t>
  </si>
  <si>
    <t>CLARO</t>
  </si>
  <si>
    <t>CREW_REPUBLIC</t>
  </si>
  <si>
    <t>CREW_REPUBLIC;DRUNKEN_SAILOR;7_45_ESCALATION;IN_YOUR_FACE;JACKPOT_HAZY_IPA;FOUNDATION_11;ROUNDHOUSE_KICK;HOP_JUNKIE;EASY;LOCAL_HERO;TROOPER_PROGRESSIVE_LAGER;REST_IN_PEACE;GRENADE_EDITION;BAVARIAN_PSYCHO;IMPERIAL_RED;FIRESIDE</t>
  </si>
  <si>
    <t>KLOK</t>
  </si>
  <si>
    <t>KAAPSE</t>
  </si>
  <si>
    <t>KAAPSE;FIRESIDE;KAAPSE_KAREL;KAAPSE_HARRIE;KAAPSE_CARRIE;KAAPSE_BEA;KAAPSE_GOZER;KAAPSE_MARIA;KAAPSE_JAAPIE;KAAPSE_BOK;KAAPSE_TESS;KAAPSE_ZWEIPAC;KAAPSE_KALIMERO;KAAPSE_NELIS;KAAPSE_KLAAS_WINTER_ALE;KAAPSE_LEEN;KAAPSE_LOUISE;KAREL_ON_STEROIDS_FINAL_DESTINATION;KAAPSE_BOLT</t>
  </si>
  <si>
    <t>CRAFTY_BREWING</t>
  </si>
  <si>
    <t>RYE_RIVER</t>
  </si>
  <si>
    <t>LAMME GOEDZAK</t>
  </si>
  <si>
    <t>STRANDGAPER</t>
  </si>
  <si>
    <t>DULLE GRIET</t>
  </si>
  <si>
    <t>WITHEER</t>
  </si>
  <si>
    <t>KRAB_IPA</t>
  </si>
  <si>
    <t>TOEBACK</t>
  </si>
  <si>
    <t>TOEBACK_8</t>
  </si>
  <si>
    <t>SCHUTTERS</t>
  </si>
  <si>
    <t>ST_FLORENT</t>
  </si>
  <si>
    <t>TWO_CHEFS_BREWING;FUNKY_FALCON;GREEN_BULLET;BON_CHEF;WHITE_MAMBA;TROPICAL_RALPHIE;HOWLING_WOLF;STROOPWAFEL_STOUT;SUNSET_SUZY;BOCK_BRULEE;DRAGONS_KISS;FUNKY_FALCON;HOLY_GUNTER;KINKY_KOOS;WETLAND_HAZE;WING_WALKER;SPACE_JUMPER;STEEP_DREAMS</t>
  </si>
  <si>
    <t>DOMMELSCH</t>
  </si>
  <si>
    <t>DOMMELSCH;DUTCH_GOLD</t>
  </si>
  <si>
    <t>KORENWOLF</t>
  </si>
  <si>
    <t>HOLGER</t>
  </si>
  <si>
    <t>KONIG_LUDWIG</t>
  </si>
  <si>
    <t>OBERBRAU</t>
  </si>
  <si>
    <t>KALTENBERG</t>
  </si>
  <si>
    <t>PRINZREGENT</t>
  </si>
  <si>
    <t>100_WATT</t>
  </si>
  <si>
    <t>100_WATT;ORCHESTRA_OF_ANGELS;150_WATT;NON_DE_JUS;40_WATT;WITTE_DAME;EVOLUWONDER;ALLURE;75_WATT;OUDE_HAAS;HEEREN_VAN_EYNTHOVEN;ZWARTE_BLIKSEM;BRABANTSCH_WEISSHEIT;SHOQUE_LE_BOQUE;EUFORIE;400_VOLT;BYE_BYE_SUMMER</t>
  </si>
  <si>
    <t>BREUGEM</t>
  </si>
  <si>
    <t>BREUGEM;ZOENTJE;HIGH_FIVE;MAN_HUG;BOKS;HANDDRUK;APPLAUS;FLIRT;WARME_GROET;COMPLIMENT;KNIPOOG;STOMP;HOWDY;SMAKKERD;SERVUS;ZUM_WOHL;TOOST;GOUDEN_HANDDRUK;GOEDE_GAST;SHAKA;GLIMLACH;GRÜß_GOTT;GROET</t>
  </si>
  <si>
    <t>GAJES</t>
  </si>
  <si>
    <t>EEUWIGE_JEUGD;LELLEBEL;BULLEBAK;GLADJANUS;BELHAMEL;GLEUVENGLIJDER;BOKKELUL;GAPPIE;NITWIT;CONJO;VRIJER_BLOND</t>
  </si>
  <si>
    <t>NAECKTE</t>
  </si>
  <si>
    <t>PIMPELMEESCH</t>
  </si>
  <si>
    <t>PIMPELMEESCH;CHAAMSE_TRIPEL;CHAAMSE_DUBBEL;HEISSE_WEISSE;CHAAMS_WINTERBIER;BAKEN_VAN_BREDA;ZILVERPEL;SOCIUS_OAK;GOUDPEL;CHAAMS_TARWEBIER;PRACHT_VAN_CHAAM;CHAAMS_BOCKBIER;TRIPEL_OAK</t>
  </si>
  <si>
    <t>DORS</t>
  </si>
  <si>
    <t>DUTCH_BARGAIN</t>
  </si>
  <si>
    <t>FRONTAAL;JUICE_PUNCH;BULLDOG;RHODESIAN;DOUBLE_JUICE_PUNCH;ANDREAS;KIA_ORA;AUTHOR;FREEHAND;DROP_BOCK;HEAD_FIRST;BLONDE_SIMMIE;PINEAPPLE_EXPRESS;WITTE_SIMMIE;JUICE_PUNCH_V12;BILLIARD;RITE_OF_PASSAGE;TRIPEL_INTELLIGENCE;INSPECTRUM_GADGET;JUICE_PUNCH_GREATEST_HITS_V3;TANKARD;FOR_THE_LOVE_OF_HOPS_'YELLOW';JUICE_PUNCH_GREATEST_HITS_V6;COME_BACK_TO_EARTH;WHEN_THE_RUBBER_MEETS_THE_ROAD;SMOKING_GUN</t>
  </si>
  <si>
    <t>GOOISCH</t>
  </si>
  <si>
    <t>GRAANSILO</t>
  </si>
  <si>
    <t>GRAANSILO;WINTERGOUDEN_RAKKER;SILVER_HARVEST;VIERGRANEN;VIER_GRANEN_TRIPEL</t>
  </si>
  <si>
    <t>GRUTTE_PIER</t>
  </si>
  <si>
    <t>GRUTTE_PIER;FRIESE_BOEZEM</t>
  </si>
  <si>
    <t>GUILTY_MONKEY</t>
  </si>
  <si>
    <t>GUILTY_MONKEY;TRIPEL_AAP;BLONDE_AAP;IPA_AAP;WITTE_AAP;BARLEY_AAP;NEIPA_AAP;DUIKBOOTJE;FUCK_MY_LIFE;FOXWILDE_BARLEY;FOXWILDE_TRIPEL;FOXWILDE_WITTE;FOXWILDE_IPA;RENE_LE_BLOND;BOKKIGE_AAP</t>
  </si>
  <si>
    <t>PALEISJE</t>
  </si>
  <si>
    <t>PALEISJE;BOKKIGE_AAP;MAXIMAALTJE;WILLEM_S_WIT;TRIPEL_A;PRINS_PALE_ALE;BERNARD_S_BLOND;WILLEM_S_ORANJE;KROON_OP_HET_WERK;BEA_S_BOKJE;BERNARD_S_BOK;FITTE_WILLEM;WITTE_FIETS;KROONJUWEEL;BEA_S_DUBBELBOCK;MOEF_BLOND;AVILA_BLOND;PRINS_PILS</t>
  </si>
  <si>
    <t>KLEIBURG</t>
  </si>
  <si>
    <t>KLEIBURG;DUBBELBLOND;SICILIAANS_WIT;QUADRUPEL_POORTER;BLOEMENBOK;BIJLMER_BOK;SLIGHTLY_SOUR_SUMMER_SESSION_ALE;VIN_DE_HOUBLON;KLEIBURG_PILSENER;BIRI_BANA;TRINITY_TRIPEL;WIJBLOND;QUADRUPEL_POORTER_BARREL_AGED;BETER_EEN_GOEDE_BUUR</t>
  </si>
  <si>
    <t>KLEIN_DUIMPJE</t>
  </si>
  <si>
    <t>KLEIN_DUIMPJE;DE_BLAUWE_TRAM;SLOBBERBOK;GAGEL_TRIPEL;HILLEGOMS_WEIZEN;ZEVENMIJLSLAARZEN;TULPENBOK;ERIK_DE_NOORMAN;BOLLENSTREEK_ALE;HILLEGOMSE_HANGKOUS;VANILLA_MAPLE_MADNESS;AHOLI;KD_DIPA;VLOEIBAAR_GOUD;BLACK_JACK_CHOCO_RIS;HOPPA_PROOST!;DIABLO_FUEGO</t>
  </si>
  <si>
    <t>KOMPAAN</t>
  </si>
  <si>
    <t>KOMPAAN;LEVENSGENIETER;HANDLANGER;BONDGENOOT;BLOEDBROEDER;KOMPAAN_45_VRIJBUITER;JOEY_GREENHORN_RESTLESS_IPA;SASSY_THREESOME;STICKY_FINGERS;LEFGOZER;MAVERICK_MONK;WITTE_WAS;POPULUS_6921_HOPGEWEKT;KAMERAAD;BLUBBERDIKKEJETSER;THREE_OF_A_KIND;TOMMY_DOUBLE-BARREL;SPRING_BREAK;THUNDER_WOLF;DOUBLE_NEIPA;HIBISCUS_HIPSTER;WHEN_LIFE_GIVES_YOU_LEMONS</t>
  </si>
  <si>
    <t>MAISEL</t>
  </si>
  <si>
    <t>MAISEL;BAJUWARUS;WHEEPA;EDELHOPFEN;HOPFENREITER;TAONGA_IPA;LUNAHOP</t>
  </si>
  <si>
    <t>OEDIPUS</t>
  </si>
  <si>
    <t>OEDIPUS;MANNENLIEFDE;THAI_THAI;GAIA;PAIS_TROPICAL;POLYAMORIE;SWINGERS;MADELEINE;PANTY;OFFLINE;AVATAR;SLOMO;KINDERYOGA;DORINKU;OEDIPUS_IPA;BRIDE;DODO;RING_YOUR_MOTHER;RUBBEREN_ROBBIE;LEKKER_GEZELLIG;LEKKERBEK</t>
  </si>
  <si>
    <t>POHJALA</t>
  </si>
  <si>
    <t>GUEUZE_DARK</t>
  </si>
  <si>
    <t>HEFE_WEISSBIER</t>
  </si>
  <si>
    <t>EXTRA_STRONG</t>
  </si>
  <si>
    <t>JUICY</t>
  </si>
  <si>
    <t>WEIZEN_GRAPEFRUIT</t>
  </si>
  <si>
    <t>NAIPA</t>
  </si>
  <si>
    <t>STRONG_LAGER</t>
  </si>
  <si>
    <t>MEGA</t>
  </si>
  <si>
    <t>KRACHTIG</t>
  </si>
  <si>
    <t>IMPERATOR</t>
  </si>
  <si>
    <t>UP</t>
  </si>
  <si>
    <t>SAILOR</t>
  </si>
  <si>
    <t>ESCALATION</t>
  </si>
  <si>
    <t>FACE</t>
  </si>
  <si>
    <t>JACKPOT</t>
  </si>
  <si>
    <t>FOUNDATION</t>
  </si>
  <si>
    <t>ROUNDHOUSE</t>
  </si>
  <si>
    <t>JUNKIE</t>
  </si>
  <si>
    <t>EASY</t>
  </si>
  <si>
    <t>LOCAL</t>
  </si>
  <si>
    <t>TROOPER</t>
  </si>
  <si>
    <t>PEACE</t>
  </si>
  <si>
    <t>GRENADE</t>
  </si>
  <si>
    <t>PSYCHO</t>
  </si>
  <si>
    <t>FIRESIDE</t>
  </si>
  <si>
    <t>KELLERBIER</t>
  </si>
  <si>
    <t>KAREL</t>
  </si>
  <si>
    <t>HARRIE</t>
  </si>
  <si>
    <t>CARRIE</t>
  </si>
  <si>
    <t>BEA</t>
  </si>
  <si>
    <t>GOZER</t>
  </si>
  <si>
    <t>MARIA</t>
  </si>
  <si>
    <t>JAAPIE</t>
  </si>
  <si>
    <t>BOK</t>
  </si>
  <si>
    <t>TESS</t>
  </si>
  <si>
    <t>ZWEIPAC</t>
  </si>
  <si>
    <t>KALIMERO</t>
  </si>
  <si>
    <t>NELIS</t>
  </si>
  <si>
    <t>KLAAS</t>
  </si>
  <si>
    <t>LEEN</t>
  </si>
  <si>
    <t>LOUISE</t>
  </si>
  <si>
    <t>STEROIDS</t>
  </si>
  <si>
    <t>BOLT</t>
  </si>
  <si>
    <t>MOSAIC</t>
  </si>
  <si>
    <t>SUNRISE</t>
  </si>
  <si>
    <t>BARLEY</t>
  </si>
  <si>
    <t>FARMHOUSE</t>
  </si>
  <si>
    <t>DOUBLE_IPA</t>
  </si>
  <si>
    <t>DOUBLE_HAZE</t>
  </si>
  <si>
    <t>SILENCE</t>
  </si>
  <si>
    <t>ZEEUWSE</t>
  </si>
  <si>
    <t>BANGIN</t>
  </si>
  <si>
    <t>COASTAL</t>
  </si>
  <si>
    <t>SUGAR</t>
  </si>
  <si>
    <t>JUTTERS</t>
  </si>
  <si>
    <t>TUUNWAL</t>
  </si>
  <si>
    <t>SPRINGTIJ</t>
  </si>
  <si>
    <t>ZEEBRIES</t>
  </si>
  <si>
    <t>SKILLER</t>
  </si>
  <si>
    <t>VUURBAAK</t>
  </si>
  <si>
    <t>GOUDKOPPE</t>
  </si>
  <si>
    <t>NOODERWIEND</t>
  </si>
  <si>
    <t>OVERZEE</t>
  </si>
  <si>
    <t>STORMBOCK</t>
  </si>
  <si>
    <t>FRISSE</t>
  </si>
  <si>
    <t>BON_CHEF</t>
  </si>
  <si>
    <t>TROPICAL_RALPHIE</t>
  </si>
  <si>
    <t>HOWLING_WOLF</t>
  </si>
  <si>
    <t>STROOPWAFEL_STOUT</t>
  </si>
  <si>
    <t>SUNSET_SUZY</t>
  </si>
  <si>
    <t>BOCK_BRULEE</t>
  </si>
  <si>
    <t>DRAGONS_KISS</t>
  </si>
  <si>
    <t>HOLY_GUNTER</t>
  </si>
  <si>
    <t>KINKY_KOOS</t>
  </si>
  <si>
    <t>WETLAND_HAZE</t>
  </si>
  <si>
    <t>WING_WALKER</t>
  </si>
  <si>
    <t>SPACE_JUMPER</t>
  </si>
  <si>
    <t>STEEP_DREAMS</t>
  </si>
  <si>
    <t>DUTCH_GOLD</t>
  </si>
  <si>
    <t>WEISSBIER_DUNKEL</t>
  </si>
  <si>
    <t>RITTERBOCK</t>
  </si>
  <si>
    <t>KELLER</t>
  </si>
  <si>
    <t>OKTOBER</t>
  </si>
  <si>
    <t>FESTTAGS</t>
  </si>
  <si>
    <t>ORCHESTRA_OF_ANGELS</t>
  </si>
  <si>
    <t>150_WATT</t>
  </si>
  <si>
    <t>NON_DE_JUS</t>
  </si>
  <si>
    <t>40_WATT</t>
  </si>
  <si>
    <t>WITTE_DAME</t>
  </si>
  <si>
    <t>EVOLUWONDER</t>
  </si>
  <si>
    <t>ALLURE</t>
  </si>
  <si>
    <t>75_WATT</t>
  </si>
  <si>
    <t>OUDE_HAAS</t>
  </si>
  <si>
    <t>HEEREN_VAN_EYNTHOVEN</t>
  </si>
  <si>
    <t>ZWARTE_BLIKSEM</t>
  </si>
  <si>
    <t>BRABANTSCH_WEISSHEIT</t>
  </si>
  <si>
    <t>SHOQUE_LE_BOQUE</t>
  </si>
  <si>
    <t>EUFORIE</t>
  </si>
  <si>
    <t>400_VOLT</t>
  </si>
  <si>
    <t>BYE_BYE_SUMMER</t>
  </si>
  <si>
    <t>ABT_TRIPEL</t>
  </si>
  <si>
    <t>NORBERTIJN_BLOND</t>
  </si>
  <si>
    <t>ABT-GENERAAL_QUADRUPEL</t>
  </si>
  <si>
    <t>PRIOR_DUBBEL</t>
  </si>
  <si>
    <t>WITHEREN_WIT</t>
  </si>
  <si>
    <t>ZOENTJE</t>
  </si>
  <si>
    <t>HIGH_FIVE</t>
  </si>
  <si>
    <t>MAN_HUG</t>
  </si>
  <si>
    <t>BOKS</t>
  </si>
  <si>
    <t>HANDDRUK</t>
  </si>
  <si>
    <t>APPLAUS</t>
  </si>
  <si>
    <t>FLIRT</t>
  </si>
  <si>
    <t>WARME_GROET</t>
  </si>
  <si>
    <t>COMPLIMENT</t>
  </si>
  <si>
    <t>KNIPOOG</t>
  </si>
  <si>
    <t>STOMP</t>
  </si>
  <si>
    <t>HOWDY</t>
  </si>
  <si>
    <t>SMAKKERD</t>
  </si>
  <si>
    <t>SERVUS</t>
  </si>
  <si>
    <t>ZUM_WOHL</t>
  </si>
  <si>
    <t>TOOST</t>
  </si>
  <si>
    <t>GOUDEN_HANDDRUK</t>
  </si>
  <si>
    <t>GOEDE_GAST</t>
  </si>
  <si>
    <t>SHAKA</t>
  </si>
  <si>
    <t>GLIMLACH</t>
  </si>
  <si>
    <t>GRÜß_GOTT</t>
  </si>
  <si>
    <t>GROET</t>
  </si>
  <si>
    <t>LELLEBEL</t>
  </si>
  <si>
    <t>GLADJANUS</t>
  </si>
  <si>
    <t>BELHAMEL</t>
  </si>
  <si>
    <t>GLEUVENGLIJDER</t>
  </si>
  <si>
    <t>BOKKELUL</t>
  </si>
  <si>
    <t>GAPPIE</t>
  </si>
  <si>
    <t>NITWIT</t>
  </si>
  <si>
    <t>CONJO</t>
  </si>
  <si>
    <t>VRIJER_BLOND</t>
  </si>
  <si>
    <t>NAECKTE_NON</t>
  </si>
  <si>
    <t>FEEKS</t>
  </si>
  <si>
    <t>NIMF</t>
  </si>
  <si>
    <t>ZONNEGLOED</t>
  </si>
  <si>
    <t>ELEGAST</t>
  </si>
  <si>
    <t>ELSER</t>
  </si>
  <si>
    <t>NAECKTE_BOCK</t>
  </si>
  <si>
    <t>NOORDERLICHT</t>
  </si>
  <si>
    <t>DIRNDL</t>
  </si>
  <si>
    <t>CHAAMSE_TRIPEL</t>
  </si>
  <si>
    <t>CHAAMSE_DUBBEL</t>
  </si>
  <si>
    <t>HEISSE_WEISSE</t>
  </si>
  <si>
    <t>CHAAMS_WINTERBIER</t>
  </si>
  <si>
    <t>BAKEN_VAN_BREDA</t>
  </si>
  <si>
    <t>ZILVERPEL</t>
  </si>
  <si>
    <t>SOCIUS_OAK</t>
  </si>
  <si>
    <t>GOUDPEL</t>
  </si>
  <si>
    <t>CHAAMS_TARWEBIER</t>
  </si>
  <si>
    <t>PRACHT_VAN_CHAAM</t>
  </si>
  <si>
    <t>CHAAMS_BOCKBIER</t>
  </si>
  <si>
    <t>TRIPEL_OAK</t>
  </si>
  <si>
    <t>CERVEZA</t>
  </si>
  <si>
    <t>SALUD</t>
  </si>
  <si>
    <t>SPARKLE</t>
  </si>
  <si>
    <t>SEAWISE</t>
  </si>
  <si>
    <t>PACIFIC_HAZE</t>
  </si>
  <si>
    <t>ZUIDWESTER</t>
  </si>
  <si>
    <t>ZEEUWS_BLOND</t>
  </si>
  <si>
    <t>COASTAL_IPA</t>
  </si>
  <si>
    <t>GLITTER_EXTRAVAGANZA_IPA</t>
  </si>
  <si>
    <t>DESIGNATED_DRYVER</t>
  </si>
  <si>
    <t>VIVA_LA_VIDA</t>
  </si>
  <si>
    <t>CHAMPAGNE_SHOWERS_GLITTER_EXTRAVAGANZA</t>
  </si>
  <si>
    <t>ZEEUWSE_BABBELAAR_STOUT</t>
  </si>
  <si>
    <t>MOELLEUX_AU_CHOCOLAT</t>
  </si>
  <si>
    <t>ZE_SMELTEN_DE_PAASHAAS_X_HEIDEROOSJES</t>
  </si>
  <si>
    <t>SOFT_TROPICAL_WAVES</t>
  </si>
  <si>
    <t>CAN_I_KICK_IT?</t>
  </si>
  <si>
    <t>BULLDOG</t>
  </si>
  <si>
    <t>DOUBLE_JUICE_PUNCH</t>
  </si>
  <si>
    <t>ANDREAS</t>
  </si>
  <si>
    <t>KIA_ORA</t>
  </si>
  <si>
    <t>AUTHOR</t>
  </si>
  <si>
    <t>FREEHAND</t>
  </si>
  <si>
    <t>DROP_BOCK</t>
  </si>
  <si>
    <t>HEAD_FIRST</t>
  </si>
  <si>
    <t>BLONDE_SIMMIE</t>
  </si>
  <si>
    <t>PINEAPPLE_EXPRESS</t>
  </si>
  <si>
    <t>WITTE_SIMMIE</t>
  </si>
  <si>
    <t>JUICE_PUNCH_V12</t>
  </si>
  <si>
    <t>BILLIARD</t>
  </si>
  <si>
    <t>RITE_OF_PASSAGE</t>
  </si>
  <si>
    <t>TRIPEL_INTELLIGENCE</t>
  </si>
  <si>
    <t>INSPECTRUM_GADGET</t>
  </si>
  <si>
    <t>JUICE_PUNCH_GREATEST_HITS_V3</t>
  </si>
  <si>
    <t>TANKARD</t>
  </si>
  <si>
    <t>FOR_THE_LOVE_OF_HOPS_'YELLOW'</t>
  </si>
  <si>
    <t>JUICE_PUNCH_GREATEST_HITS_V6</t>
  </si>
  <si>
    <t>COME_BACK_TO_EARTH</t>
  </si>
  <si>
    <t>WHEN_THE_RUBBER_MEETS_THE_ROAD</t>
  </si>
  <si>
    <t>SMOKING_GUN</t>
  </si>
  <si>
    <t>BUBBEL</t>
  </si>
  <si>
    <t>ZWART</t>
  </si>
  <si>
    <t>GOUD</t>
  </si>
  <si>
    <t>ROOD</t>
  </si>
  <si>
    <t>TOMINTOUL</t>
  </si>
  <si>
    <t>BLACK_IPA</t>
  </si>
  <si>
    <t>TRIPLE_IPA</t>
  </si>
  <si>
    <t>INFUSED_DNEIPA</t>
  </si>
  <si>
    <t>GRAANSILO_IPA</t>
  </si>
  <si>
    <t>WINTERGOUDEN_RAKKER</t>
  </si>
  <si>
    <t>GRAANSILO_DNEIPA</t>
  </si>
  <si>
    <t>PAPA_BLOND</t>
  </si>
  <si>
    <t>WEIZEN_TRIPEL</t>
  </si>
  <si>
    <t>SILVER_HARVEST</t>
  </si>
  <si>
    <t>VIERGRANEN</t>
  </si>
  <si>
    <t>VIER_GRANEN_TRIPEL</t>
  </si>
  <si>
    <t>PUUR_WEIZEN</t>
  </si>
  <si>
    <t>HERFSTBOCK</t>
  </si>
  <si>
    <t>DE_KLOK</t>
  </si>
  <si>
    <t>ZOMERBOCK</t>
  </si>
  <si>
    <t>DUNKEL_WEIZENBOCK</t>
  </si>
  <si>
    <t>WEIZEN_IPA</t>
  </si>
  <si>
    <t>NAVIGATOR</t>
  </si>
  <si>
    <t>FRIESE_BOEZEM</t>
  </si>
  <si>
    <t>ELIXER</t>
  </si>
  <si>
    <t>TRIPEL_AAP</t>
  </si>
  <si>
    <t>BLONDE_AAP</t>
  </si>
  <si>
    <t>IPA_AAP</t>
  </si>
  <si>
    <t>WITTE_AAP</t>
  </si>
  <si>
    <t>BARLEY_AAP</t>
  </si>
  <si>
    <t>NEIPA_AAP</t>
  </si>
  <si>
    <t>DUIKBOOTJE</t>
  </si>
  <si>
    <t>FUCK_MY_LIFE</t>
  </si>
  <si>
    <t>LENTE_BOCK</t>
  </si>
  <si>
    <t>FOXWILDE_BARLEY</t>
  </si>
  <si>
    <t>FOXWILDE_TRIPEL</t>
  </si>
  <si>
    <t>JÄGERMEISTER_INFUSED</t>
  </si>
  <si>
    <t>HAZY_DOUBLE_IPA</t>
  </si>
  <si>
    <t>HAZY_JUICY_IPA</t>
  </si>
  <si>
    <t>IMPERIAL_STOUT</t>
  </si>
  <si>
    <t>APFELSTRUDEL_DUBBELBOCK</t>
  </si>
  <si>
    <t>FOXWILDE_WITTE</t>
  </si>
  <si>
    <t>LIQUOR_43_INFUSED</t>
  </si>
  <si>
    <t>FOXWILDE_IPA</t>
  </si>
  <si>
    <t>RENÉ_LE_BLOND</t>
  </si>
  <si>
    <t>SCOTCH_ALE_WEE_HEAVY</t>
  </si>
  <si>
    <t>BOKKIGE_AAP</t>
  </si>
  <si>
    <t>MAXIMAALTJE</t>
  </si>
  <si>
    <t>WILLEM_S_WIT</t>
  </si>
  <si>
    <t>TRIPEL_A</t>
  </si>
  <si>
    <t>PRINS_PALE_ALE</t>
  </si>
  <si>
    <t>BERNARD'S_BLOND</t>
  </si>
  <si>
    <t>WILLEM'S_ORANJE</t>
  </si>
  <si>
    <t>KROON_OP_HET_WERK</t>
  </si>
  <si>
    <t>BEA_S_BOKJE</t>
  </si>
  <si>
    <t>BERNARD_S_BOK</t>
  </si>
  <si>
    <t>FITTE_WILLEM</t>
  </si>
  <si>
    <t>WITTE_FIETS</t>
  </si>
  <si>
    <t>KROONJUWEEL</t>
  </si>
  <si>
    <t>BEA_S_DUBBELBOCK</t>
  </si>
  <si>
    <t>SINT_HUBERTUS_TRIPEL</t>
  </si>
  <si>
    <t>MOEF_BLOND</t>
  </si>
  <si>
    <t>AVILA_BLOND</t>
  </si>
  <si>
    <t>PRINS_PILS</t>
  </si>
  <si>
    <t>MOOIE_NEL</t>
  </si>
  <si>
    <t>BLURRED_LINES</t>
  </si>
  <si>
    <t>BLOESEM_BLOND</t>
  </si>
  <si>
    <t>ADRIAAN_WIT</t>
  </si>
  <si>
    <t>ONGELOVIGE_THOMAS_/_DOUBTING_THOMAS</t>
  </si>
  <si>
    <t>HEAVY_CROSS</t>
  </si>
  <si>
    <t>LIFE_S_A_BEACH</t>
  </si>
  <si>
    <t>LENTEBIER</t>
  </si>
  <si>
    <t>JACOBUS_PALE_ALE</t>
  </si>
  <si>
    <t>HOPPENBIER</t>
  </si>
  <si>
    <t>HOP_ZIJ_MET_ONS</t>
  </si>
  <si>
    <t>TRINITAS_TRIPEL</t>
  </si>
  <si>
    <t>GIN_WEIZEN</t>
  </si>
  <si>
    <t>KOYT</t>
  </si>
  <si>
    <t>JOHANNIETER</t>
  </si>
  <si>
    <t>WITTE_KERST</t>
  </si>
  <si>
    <t>EXTRA_STOUT</t>
  </si>
  <si>
    <t>SUNNY_DAY</t>
  </si>
  <si>
    <t>LET_THERE_BE_LIGHT</t>
  </si>
  <si>
    <t>KLAAGZANG</t>
  </si>
  <si>
    <t>HYPERCOLOUR</t>
  </si>
  <si>
    <t>NEDER_WIT</t>
  </si>
  <si>
    <t>TRIPEL_IPA</t>
  </si>
  <si>
    <t>DUBBELBLOND</t>
  </si>
  <si>
    <t>SICILIAANS_WIT</t>
  </si>
  <si>
    <t>QUADRUPEL_POORTER</t>
  </si>
  <si>
    <t>BLOEMENBOK</t>
  </si>
  <si>
    <t>BIJLMER_BOK</t>
  </si>
  <si>
    <t>SLIGHTLY_SOUR_SUMMER_SESSION_ALE</t>
  </si>
  <si>
    <t>VIN_DE_HOUBLON</t>
  </si>
  <si>
    <t>KLEIBURG_PILSENER</t>
  </si>
  <si>
    <t>BIRI_BANA</t>
  </si>
  <si>
    <t>TRINITY_TRIPEL</t>
  </si>
  <si>
    <t>WIJBLOND</t>
  </si>
  <si>
    <t>QUADRUPEL_POORTER_BARREL_AGED</t>
  </si>
  <si>
    <t>BETER_EEN_GOEDE_BUUR</t>
  </si>
  <si>
    <t>DE_BLAUWE_TRAM</t>
  </si>
  <si>
    <t>SLOBBERBOK</t>
  </si>
  <si>
    <t>GAGEL_TRIPEL</t>
  </si>
  <si>
    <t>HILLEGOMS_WEIZEN</t>
  </si>
  <si>
    <t>ZEVENMIJLSLAARZEN</t>
  </si>
  <si>
    <t>KERSTBIER</t>
  </si>
  <si>
    <t>DUBBELBOK</t>
  </si>
  <si>
    <t>STERKE_BLONDE_CITRA</t>
  </si>
  <si>
    <t>TULPENBOK</t>
  </si>
  <si>
    <t>ERIK_DE_NOORMAN</t>
  </si>
  <si>
    <t>BOLLENSTREEK_ALE</t>
  </si>
  <si>
    <t>HILLEGOMSE_HANGKOUS</t>
  </si>
  <si>
    <t>IMPERIAL_RUSSIAN_STOUT</t>
  </si>
  <si>
    <t>AMBER_JENEVERBES</t>
  </si>
  <si>
    <t>VANILLA_MAPLE_MADNESS</t>
  </si>
  <si>
    <t>AHOLI</t>
  </si>
  <si>
    <t>KD_DIPA</t>
  </si>
  <si>
    <t>VLOEIBAAR_GOUD</t>
  </si>
  <si>
    <t>BLACK_JACK_CHOCO_RIS</t>
  </si>
  <si>
    <t>HOPPA_PROOST!</t>
  </si>
  <si>
    <t>IMPERIAL_BARLEY_WINE</t>
  </si>
  <si>
    <t>GERSTEBIER</t>
  </si>
  <si>
    <t>DIABLO_FUEGO</t>
  </si>
  <si>
    <t>LEVENSGENIETER</t>
  </si>
  <si>
    <t>HANDLANGER</t>
  </si>
  <si>
    <t>BONDGENOOT</t>
  </si>
  <si>
    <t>BLOEDBROEDER</t>
  </si>
  <si>
    <t>KOMPAAN_45_VRIJBUITER</t>
  </si>
  <si>
    <t>JOEY_GREENHORN_RESTLESS_IPA</t>
  </si>
  <si>
    <t>SASSY_THREESOME</t>
  </si>
  <si>
    <t>STICKY_FINGERS</t>
  </si>
  <si>
    <t>LEFGOZER</t>
  </si>
  <si>
    <t>MAVERICK_MONK</t>
  </si>
  <si>
    <t>WITTE_WAS</t>
  </si>
  <si>
    <t>POPULUS_6921_HOPGEWEKT</t>
  </si>
  <si>
    <t>KAMERAAD</t>
  </si>
  <si>
    <t>HOP_WEIZEN_BOCK</t>
  </si>
  <si>
    <t>BLUBBERDIKKEJETSER</t>
  </si>
  <si>
    <t>THREE_OF_A_KIND</t>
  </si>
  <si>
    <t>TOMMY_DOUBLE-BARREL</t>
  </si>
  <si>
    <t>SPRING_BREAK</t>
  </si>
  <si>
    <t>GIN_&amp;_JUICE</t>
  </si>
  <si>
    <t>THUNDER_WOLF</t>
  </si>
  <si>
    <t>DOUBLE_NEIPA</t>
  </si>
  <si>
    <t>HIBISCUS_HIPSTER</t>
  </si>
  <si>
    <t>WHEN_LIFE_GIVES_YOU_LEMONS</t>
  </si>
  <si>
    <t>LEFTOVER</t>
  </si>
  <si>
    <t>TOMPOUCE</t>
  </si>
  <si>
    <t>CHOCOLATE_BOCK</t>
  </si>
  <si>
    <t>INDIA_ALE</t>
  </si>
  <si>
    <t>EDELHOPFEN</t>
  </si>
  <si>
    <t>URBAN_IPA</t>
  </si>
  <si>
    <t>HAZY_IPA</t>
  </si>
  <si>
    <t>BAJUWARUS</t>
  </si>
  <si>
    <t>HOPLANDER</t>
  </si>
  <si>
    <t>WHEEPA</t>
  </si>
  <si>
    <t>IRISH_RED</t>
  </si>
  <si>
    <t>HOPFENREITER</t>
  </si>
  <si>
    <t>IRISH_STOUT</t>
  </si>
  <si>
    <t>TAONGA_IPA</t>
  </si>
  <si>
    <t>LUNAHOP</t>
  </si>
  <si>
    <t>PAIS_TROPICAL</t>
  </si>
  <si>
    <t>POLYAMORIE</t>
  </si>
  <si>
    <t>STRIP</t>
  </si>
  <si>
    <t>MAMA</t>
  </si>
  <si>
    <t>SWINGERS</t>
  </si>
  <si>
    <t>MADELEINE</t>
  </si>
  <si>
    <t>PANTY</t>
  </si>
  <si>
    <t>OFFLINE</t>
  </si>
  <si>
    <t>AVATAR</t>
  </si>
  <si>
    <t>SLOMO</t>
  </si>
  <si>
    <t>KINDERYOGA</t>
  </si>
  <si>
    <t>DORINKU</t>
  </si>
  <si>
    <t>OEDIPUS_IPA</t>
  </si>
  <si>
    <t>BRIDE</t>
  </si>
  <si>
    <t>DODO</t>
  </si>
  <si>
    <t>MASH</t>
  </si>
  <si>
    <t>RING_YOUR_MOTHER</t>
  </si>
  <si>
    <t>RUBBEREN_ROBBIE</t>
  </si>
  <si>
    <t>LEKKER_GEZELLIG</t>
  </si>
  <si>
    <t>LEKKERBEK</t>
  </si>
  <si>
    <t>KOSMOS</t>
  </si>
  <si>
    <t>VIRMALISED</t>
  </si>
  <si>
    <t>MUST_KULD</t>
  </si>
  <si>
    <t>OO</t>
  </si>
  <si>
    <t>UUS_MAAILM</t>
  </si>
  <si>
    <t>OO_XO</t>
  </si>
  <si>
    <t>ORANGE_GOSE</t>
  </si>
  <si>
    <t>COCOBANGER</t>
  </si>
  <si>
    <t>OHTU</t>
  </si>
  <si>
    <t>SATURNUS</t>
  </si>
  <si>
    <t>JOULUOO</t>
  </si>
  <si>
    <t>PRENZLAUER_BERG</t>
  </si>
  <si>
    <t>PIME_OO</t>
  </si>
  <si>
    <t>PIME_OO_PX</t>
  </si>
  <si>
    <t>MERI</t>
  </si>
  <si>
    <t>ODRAVEIN_BOURBON</t>
  </si>
  <si>
    <t>GIMME_DANGER</t>
  </si>
  <si>
    <t>SUN_CITY</t>
  </si>
  <si>
    <t>LAAGER</t>
  </si>
  <si>
    <t>TORM</t>
  </si>
  <si>
    <t>KUUSK</t>
  </si>
  <si>
    <t>SUVILA</t>
  </si>
  <si>
    <t>CAMPING</t>
  </si>
  <si>
    <t>HELGE</t>
  </si>
  <si>
    <t>STICKS_&amp;_STONES</t>
  </si>
  <si>
    <t xml:space="preserve">DUVEL | IMPERIAL_BLOND | </t>
  </si>
  <si>
    <t xml:space="preserve">CUVEE_RENE | OUDE_GUEUZE | </t>
  </si>
  <si>
    <t xml:space="preserve">CUVEE_RENE | OUDE_KRIEK | </t>
  </si>
  <si>
    <t xml:space="preserve">CUVEE_RENE | GUEUZE_DARK | </t>
  </si>
  <si>
    <t xml:space="preserve">SCHULTENBRAU | PILSNER | </t>
  </si>
  <si>
    <t xml:space="preserve">SCHULTENBRAU | IPA | </t>
  </si>
  <si>
    <t xml:space="preserve">SCHULTENBRAU | HEFE_WEISSBIER | </t>
  </si>
  <si>
    <t>HEFEWEIZEN;WEISSBIER</t>
  </si>
  <si>
    <t xml:space="preserve">SCHULTENBRAU | WINTERBOCK | </t>
  </si>
  <si>
    <t xml:space="preserve">SCHULTENBRAU | HELLES | </t>
  </si>
  <si>
    <t xml:space="preserve">SCHULTENBRAU | NEIPA | </t>
  </si>
  <si>
    <t xml:space="preserve">SCHULTENBRAU | STRONG | </t>
  </si>
  <si>
    <t xml:space="preserve">SCHULTENBRAU | RADLER | </t>
  </si>
  <si>
    <t xml:space="preserve">SCHULTENBRAU | EXTRA_STRONG | </t>
  </si>
  <si>
    <t xml:space="preserve">SCHULTENBRAU | TROPICAL | </t>
  </si>
  <si>
    <t xml:space="preserve">SCHULTENBRAU | JUICY | </t>
  </si>
  <si>
    <t xml:space="preserve">SCHULTENBRAU | WEIZEN_GRAPEFRUIT | </t>
  </si>
  <si>
    <t>SCHULTENBRAU | RADLER | ZERO</t>
  </si>
  <si>
    <t>SCHULTENBRAU | LAGER | ZERO</t>
  </si>
  <si>
    <t>SCHULTENBRAU | NAIPA | ZERO</t>
  </si>
  <si>
    <t xml:space="preserve">SCHULTENBRAU | EXPORT | </t>
  </si>
  <si>
    <t>SCHULTENBRAU | PILNSER | BIO</t>
  </si>
  <si>
    <t xml:space="preserve">SCHULTENBRAU | WEISSBIER | </t>
  </si>
  <si>
    <t xml:space="preserve">SCHULTENBRAU | LENTEBOCK | </t>
  </si>
  <si>
    <t xml:space="preserve">SCHULTENBRAU | GRAPEFRUIT | </t>
  </si>
  <si>
    <t xml:space="preserve">SCHULTENBRAU | STRONG_LAGER | </t>
  </si>
  <si>
    <t xml:space="preserve">BROUWMEESTER | PILSNER | </t>
  </si>
  <si>
    <t xml:space="preserve">DEL_RIO | LAGER | </t>
  </si>
  <si>
    <t xml:space="preserve">CARISTA | LAGER | </t>
  </si>
  <si>
    <t>AMSTEL | LAGER | LIGHT</t>
  </si>
  <si>
    <t>AMSTEL | ROSE | ZERO</t>
  </si>
  <si>
    <t xml:space="preserve">APPLE_BANDIT | APPLE | </t>
  </si>
  <si>
    <t xml:space="preserve">APPLE_BANDIT | JUICY | </t>
  </si>
  <si>
    <t xml:space="preserve">APPLE_BANDIT | RASPBERRY | </t>
  </si>
  <si>
    <t>APPLE_BANDIT | APPLE | ZERO</t>
  </si>
  <si>
    <t>APPLE_BANDIT | RASPBERRY | ZERO</t>
  </si>
  <si>
    <t xml:space="preserve">APPLE_BANDIT | MANGO | </t>
  </si>
  <si>
    <t xml:space="preserve">ATLAS | ULTRA | </t>
  </si>
  <si>
    <t xml:space="preserve">ATLAS | SUPER | </t>
  </si>
  <si>
    <t xml:space="preserve">ATLAS | MEGA | </t>
  </si>
  <si>
    <t xml:space="preserve">BEST_BIER | CORE | </t>
  </si>
  <si>
    <t xml:space="preserve">BRAND | PILSNER | </t>
  </si>
  <si>
    <t xml:space="preserve">BRAND | IPA | </t>
  </si>
  <si>
    <t xml:space="preserve">BRAND | DUBBELBOCK | </t>
  </si>
  <si>
    <t xml:space="preserve">BRAND | WEIZEN | </t>
  </si>
  <si>
    <t xml:space="preserve">BRAND | LENTEBOCK | </t>
  </si>
  <si>
    <t xml:space="preserve">BRAND | KRACHTIG | </t>
  </si>
  <si>
    <t xml:space="preserve">BRAND | IMPERATOR | </t>
  </si>
  <si>
    <t xml:space="preserve">BRAND | WINTERBOCK | </t>
  </si>
  <si>
    <t xml:space="preserve">BRAND | UP | </t>
  </si>
  <si>
    <t xml:space="preserve">CLARO | LAGER | </t>
  </si>
  <si>
    <t>CORE;LAGER</t>
  </si>
  <si>
    <t xml:space="preserve">CLARO | TEQUILA | </t>
  </si>
  <si>
    <t xml:space="preserve">CREW_REPUBLIC | SAILOR | </t>
  </si>
  <si>
    <t xml:space="preserve">CREW_REPUBLIC | ESCALATION | </t>
  </si>
  <si>
    <t xml:space="preserve">CREW_REPUBLIC | FACE | </t>
  </si>
  <si>
    <t xml:space="preserve">CREW_REPUBLIC | JACKPOT | </t>
  </si>
  <si>
    <t xml:space="preserve">CREW_REPUBLIC | FOUNDATION | </t>
  </si>
  <si>
    <t xml:space="preserve">CREW_REPUBLIC | ROUNDHOUSE | </t>
  </si>
  <si>
    <t xml:space="preserve">CREW_REPUBLIC | JUNKIE | </t>
  </si>
  <si>
    <t xml:space="preserve">CREW_REPUBLIC | EASY | </t>
  </si>
  <si>
    <t xml:space="preserve">CREW_REPUBLIC | LOCAL | </t>
  </si>
  <si>
    <t xml:space="preserve">CREW_REPUBLIC | TROOPER | </t>
  </si>
  <si>
    <t xml:space="preserve">CREW_REPUBLIC | PEACE | </t>
  </si>
  <si>
    <t xml:space="preserve">CREW_REPUBLIC | GRENADE | </t>
  </si>
  <si>
    <t xml:space="preserve">CREW_REPUBLIC | PSYCHO | </t>
  </si>
  <si>
    <t xml:space="preserve">CREW_REPUBLIC | IMPERIAL | </t>
  </si>
  <si>
    <t xml:space="preserve">CREW_REPUBLIC | 25 | </t>
  </si>
  <si>
    <t xml:space="preserve">CREW_REPUBLIC | FIRESIDE | </t>
  </si>
  <si>
    <t xml:space="preserve">KLOK | PILSNER | </t>
  </si>
  <si>
    <t xml:space="preserve">KLOK | RADLER | </t>
  </si>
  <si>
    <t xml:space="preserve">KLOK | WEIZEN | </t>
  </si>
  <si>
    <t xml:space="preserve">KLOK | STRONG | </t>
  </si>
  <si>
    <t>FRANZISKANER | WEISSBIER | ZERO</t>
  </si>
  <si>
    <t xml:space="preserve">FRANZISKANER | KELLERBIER | </t>
  </si>
  <si>
    <t xml:space="preserve">FRANZISKANER | KRISTALLWEIZEN | </t>
  </si>
  <si>
    <t xml:space="preserve">FRANZISKANER | ROYAL | </t>
  </si>
  <si>
    <t xml:space="preserve">FRANZISKANER | HELLES | </t>
  </si>
  <si>
    <t xml:space="preserve">FRANZISKANER | RADLER | </t>
  </si>
  <si>
    <t>FRANZISKANER | RADLER | ZERO</t>
  </si>
  <si>
    <t xml:space="preserve">FRANZISKANER | WEISSBIER | </t>
  </si>
  <si>
    <t xml:space="preserve">FRANZISKANER | DUNKEL | </t>
  </si>
  <si>
    <t>HERTOG_JAN | CORE | ZERO</t>
  </si>
  <si>
    <t xml:space="preserve">KAAPSE | KAREL | </t>
  </si>
  <si>
    <t xml:space="preserve">KAAPSE | HARRIE | </t>
  </si>
  <si>
    <t xml:space="preserve">KAAPSE | CARRIE | </t>
  </si>
  <si>
    <t xml:space="preserve">KAAPSE | BEA | </t>
  </si>
  <si>
    <t xml:space="preserve">KAAPSE | GOZER | </t>
  </si>
  <si>
    <t xml:space="preserve">KAAPSE | MARIA | </t>
  </si>
  <si>
    <t xml:space="preserve">KAAPSE | JAAPIE | </t>
  </si>
  <si>
    <t xml:space="preserve">KAAPSE | BOK | </t>
  </si>
  <si>
    <t xml:space="preserve">KAAPSE | TESS | </t>
  </si>
  <si>
    <t xml:space="preserve">KAAPSE | ZWEIPAC | </t>
  </si>
  <si>
    <t xml:space="preserve">KAAPSE | KALIMERO | </t>
  </si>
  <si>
    <t xml:space="preserve">KAAPSE | NELIS | </t>
  </si>
  <si>
    <t xml:space="preserve">KAAPSE | KLAAS | </t>
  </si>
  <si>
    <t xml:space="preserve">KAAPSE | LEEN | </t>
  </si>
  <si>
    <t xml:space="preserve">KAAPSE | LOUISE | </t>
  </si>
  <si>
    <t xml:space="preserve">KAAPSE | STEROIDS | </t>
  </si>
  <si>
    <t xml:space="preserve">KAAPSE | BOLT | </t>
  </si>
  <si>
    <t xml:space="preserve">KEES | STOUT | </t>
  </si>
  <si>
    <t xml:space="preserve">KEES | MOSAIC | </t>
  </si>
  <si>
    <t xml:space="preserve">KEES | SUNRISE | </t>
  </si>
  <si>
    <t xml:space="preserve">KEES | PORTER | </t>
  </si>
  <si>
    <t xml:space="preserve">KEES | BLOND | </t>
  </si>
  <si>
    <t xml:space="preserve">KEES | BARLEY | </t>
  </si>
  <si>
    <t xml:space="preserve">KEES | IPA | </t>
  </si>
  <si>
    <t xml:space="preserve">KEES | SESSION | </t>
  </si>
  <si>
    <t xml:space="preserve">KEES | PALE_ALE | </t>
  </si>
  <si>
    <t xml:space="preserve">KEES | SUMMER | </t>
  </si>
  <si>
    <t xml:space="preserve">KEES | FARMHOUSE | </t>
  </si>
  <si>
    <t xml:space="preserve">KEES | DOUBLE_IPA | </t>
  </si>
  <si>
    <t xml:space="preserve">KEES | SPRING | </t>
  </si>
  <si>
    <t xml:space="preserve">KEES | GRAPEFRUIT | </t>
  </si>
  <si>
    <t xml:space="preserve">KEES | DOUBLE_HAZE | </t>
  </si>
  <si>
    <t xml:space="preserve">KEES | SILENCE | </t>
  </si>
  <si>
    <t xml:space="preserve">KEES | ZEEUWSE | </t>
  </si>
  <si>
    <t xml:space="preserve">CRAFTY_BREWING | IPA | </t>
  </si>
  <si>
    <t xml:space="preserve">CRAFTY_BREWING | STOUT | </t>
  </si>
  <si>
    <t xml:space="preserve">RYE_RIVER | BANGIN | </t>
  </si>
  <si>
    <t xml:space="preserve">RYE_RIVER | RED | </t>
  </si>
  <si>
    <t xml:space="preserve">CRAFTY_BREWING | COASTAL | </t>
  </si>
  <si>
    <t xml:space="preserve">ZEEZUIPER | CORE | </t>
  </si>
  <si>
    <t xml:space="preserve">LAMME GOEDZAK | CORE | </t>
  </si>
  <si>
    <t xml:space="preserve">STRANDGAPER | CORE | </t>
  </si>
  <si>
    <t xml:space="preserve">HOPRUITER | CORE | </t>
  </si>
  <si>
    <t xml:space="preserve">DULLE GRIET | CORE | </t>
  </si>
  <si>
    <t xml:space="preserve">OESTERSTOUT | CORE | </t>
  </si>
  <si>
    <t xml:space="preserve">WITHEER | CORE | </t>
  </si>
  <si>
    <t xml:space="preserve">KRAB_IPA | CORE | </t>
  </si>
  <si>
    <t xml:space="preserve">TOEBACK | CORE | </t>
  </si>
  <si>
    <t xml:space="preserve">TOEBACK_8 | CORE | </t>
  </si>
  <si>
    <t xml:space="preserve">SCHUTTERS | PILSNER | </t>
  </si>
  <si>
    <t xml:space="preserve">SCHUTTERS | RADLER | </t>
  </si>
  <si>
    <t xml:space="preserve">SCHUTTERS | BLOND | </t>
  </si>
  <si>
    <t>SCHUTTERS | PILSNER | ZERO</t>
  </si>
  <si>
    <t xml:space="preserve">ST_FLORENT | TRIPEL | </t>
  </si>
  <si>
    <t>TIRPEL;CORE</t>
  </si>
  <si>
    <t xml:space="preserve">ST_FLORENT | BLOND | </t>
  </si>
  <si>
    <t>SUPERMALT | ORIGINAL | ZERO</t>
  </si>
  <si>
    <t xml:space="preserve">SUPERMALT | STOUT | </t>
  </si>
  <si>
    <t>SUPERMALT | MANGO | ZERO</t>
  </si>
  <si>
    <t>SUPERMALT | STRAWBERRY | ZERO</t>
  </si>
  <si>
    <t>SUPERMALT | SUGAR | ZERO</t>
  </si>
  <si>
    <t>SUPERMALT | GINGER | ZERO</t>
  </si>
  <si>
    <t xml:space="preserve">TEXELS | SKUUMKOPPE | </t>
  </si>
  <si>
    <t xml:space="preserve">TEXELS | JUTTERS | </t>
  </si>
  <si>
    <t xml:space="preserve">TEXELS | TUUNWAL | </t>
  </si>
  <si>
    <t xml:space="preserve">TEXELS | SPRINGTIJ | </t>
  </si>
  <si>
    <t xml:space="preserve">TEXELS | ZEEBRIES | </t>
  </si>
  <si>
    <t xml:space="preserve">TEXELS | SKILLER | </t>
  </si>
  <si>
    <t xml:space="preserve">TEXELS | VUURBAAK | </t>
  </si>
  <si>
    <t xml:space="preserve">TEXELS | GOUDKOPPE | </t>
  </si>
  <si>
    <t xml:space="preserve">TEXELS | NOODERWIEND | </t>
  </si>
  <si>
    <t xml:space="preserve">TEXELS | OVERZEE | </t>
  </si>
  <si>
    <t xml:space="preserve">TEXELS | STORMBOCK | </t>
  </si>
  <si>
    <t>TEXELS | SKUUMKOPPE | ZERO</t>
  </si>
  <si>
    <t xml:space="preserve">TEXELS | FRISSE | </t>
  </si>
  <si>
    <t xml:space="preserve">TEXELS | QUADRUPEL | </t>
  </si>
  <si>
    <t xml:space="preserve">TEXELS | TROOST | </t>
  </si>
  <si>
    <t xml:space="preserve">TWO_CHEFS_BREWING | FUNKY_FALCON | </t>
  </si>
  <si>
    <t xml:space="preserve">TWO_CHEFS_BREWING | GREEN_BULLET | </t>
  </si>
  <si>
    <t xml:space="preserve">TWO_CHEFS_BREWING | BON_CHEF | </t>
  </si>
  <si>
    <t xml:space="preserve">TWO_CHEFS_BREWING | WHITE_MAMBA | </t>
  </si>
  <si>
    <t xml:space="preserve">TWO_CHEFS_BREWING | TROPICAL_RALPHIE | </t>
  </si>
  <si>
    <t xml:space="preserve">TWO_CHEFS_BREWING | HOWLING_WOLF | </t>
  </si>
  <si>
    <t xml:space="preserve">TWO_CHEFS_BREWING | STROOPWAFEL_STOUT | </t>
  </si>
  <si>
    <t xml:space="preserve">TWO_CHEFS_BREWING | SUNSET_SUZY | </t>
  </si>
  <si>
    <t xml:space="preserve">TWO_CHEFS_BREWING | BOCK_BRULEE | </t>
  </si>
  <si>
    <t xml:space="preserve">TWO_CHEFS_BREWING | DRAGONS_KISS | </t>
  </si>
  <si>
    <t>TWO_CHEFS_BREWING | FUNKY_FALCON | ZERO</t>
  </si>
  <si>
    <t xml:space="preserve">TWO_CHEFS_BREWING | HOLY_GUNTER | </t>
  </si>
  <si>
    <t xml:space="preserve">TWO_CHEFS_BREWING | KINKY_KOOS | </t>
  </si>
  <si>
    <t xml:space="preserve">TWO_CHEFS_BREWING | WETLAND_HAZE | </t>
  </si>
  <si>
    <t xml:space="preserve">TWO_CHEFS_BREWING | WING_WALKER | </t>
  </si>
  <si>
    <t xml:space="preserve">TWO_CHEFS_BREWING | SPACE_JUMPER | </t>
  </si>
  <si>
    <t xml:space="preserve">TWO_CHEFS_BREWING | STEEP_DREAMS | </t>
  </si>
  <si>
    <t xml:space="preserve">DOMMELSCH | PILSNER | </t>
  </si>
  <si>
    <t xml:space="preserve">DOMMELSCH | DUTCH_GOLD | </t>
  </si>
  <si>
    <t xml:space="preserve">GROLSCH | WINTERBOCK | </t>
  </si>
  <si>
    <t xml:space="preserve">GROLSCH | RADLER | </t>
  </si>
  <si>
    <t xml:space="preserve">KORENWOLF | WHITE | </t>
  </si>
  <si>
    <t xml:space="preserve">HOLGER | PILSNER | </t>
  </si>
  <si>
    <t xml:space="preserve">KONIG_LUDWIG | WEISSBIER | </t>
  </si>
  <si>
    <t xml:space="preserve">KONIG_LUDWIG | DUNKEL | </t>
  </si>
  <si>
    <t xml:space="preserve">OBERBRAU | HELL | </t>
  </si>
  <si>
    <t xml:space="preserve">KONIG_LUDWIG | HELL | </t>
  </si>
  <si>
    <t xml:space="preserve">KONIG_LUDWIG | WEISSBIER_DUNKEL | </t>
  </si>
  <si>
    <t>KONIG_LUDWIG | WEISSBIER | ZERO</t>
  </si>
  <si>
    <t xml:space="preserve">KALTENBERG | PILSNER | </t>
  </si>
  <si>
    <t xml:space="preserve">KONIG_LUDWIG | KRISTALL | </t>
  </si>
  <si>
    <t xml:space="preserve">KALTENBERG | RITTERBOCK | </t>
  </si>
  <si>
    <t xml:space="preserve">KALTENBERG | ROYAL | </t>
  </si>
  <si>
    <t xml:space="preserve">KALTENBERG | KELLER | </t>
  </si>
  <si>
    <t xml:space="preserve">PRINZREGENT | WEIZENBOCK | </t>
  </si>
  <si>
    <t>KONIG_LUDWIG | WEISSBIER | LIGHT</t>
  </si>
  <si>
    <t xml:space="preserve">KALTENBERG | OKTOBER | </t>
  </si>
  <si>
    <t xml:space="preserve">KONIG_LUDWIG | FESTTAGS | </t>
  </si>
  <si>
    <t xml:space="preserve">KALTENBERG | SPECIAL | </t>
  </si>
  <si>
    <t xml:space="preserve">KALTENBERG | HEFEWEIZEN | </t>
  </si>
  <si>
    <t xml:space="preserve">KALTENBERG | ORGANIC | </t>
  </si>
  <si>
    <t xml:space="preserve">KALTENBERG | HELL | </t>
  </si>
  <si>
    <t xml:space="preserve">100_WATT | ORCHESTRA_OF_ANGELS | </t>
  </si>
  <si>
    <t xml:space="preserve">100_WATT | 150_WATT | </t>
  </si>
  <si>
    <t xml:space="preserve">100_WATT | NON_DE_JUS | </t>
  </si>
  <si>
    <t xml:space="preserve">100_WATT | 40_WATT | </t>
  </si>
  <si>
    <t xml:space="preserve">100_WATT | WITTE_DAME | </t>
  </si>
  <si>
    <t xml:space="preserve">100_WATT | EVOLUWONDER | </t>
  </si>
  <si>
    <t xml:space="preserve">100_WATT | ALLURE | </t>
  </si>
  <si>
    <t xml:space="preserve">100_WATT | 75_WATT | </t>
  </si>
  <si>
    <t xml:space="preserve">100_WATT | OUDE_HAAS | </t>
  </si>
  <si>
    <t xml:space="preserve">100_WATT | HEEREN_VAN_EYNTHOVEN | </t>
  </si>
  <si>
    <t xml:space="preserve">100_WATT | ZWARTE_BLIKSEM | </t>
  </si>
  <si>
    <t xml:space="preserve">100_WATT | BRABANTSCH_WEISSHEIT | </t>
  </si>
  <si>
    <t xml:space="preserve">100_WATT | SHOQUE_LE_BOQUE | </t>
  </si>
  <si>
    <t xml:space="preserve">100_WATT | EUFORIE | </t>
  </si>
  <si>
    <t xml:space="preserve">100_WATT | 400_VOLT | </t>
  </si>
  <si>
    <t xml:space="preserve">100_WATT | BYE_BYE_SUMMER | </t>
  </si>
  <si>
    <t xml:space="preserve">ALFA | DARK | </t>
  </si>
  <si>
    <t>DARK;BROWN</t>
  </si>
  <si>
    <t xml:space="preserve">ALFA | PILSNER | </t>
  </si>
  <si>
    <t xml:space="preserve">ALFA | SPRING | </t>
  </si>
  <si>
    <t xml:space="preserve">ALFA | AUTUMN | </t>
  </si>
  <si>
    <t xml:space="preserve">ALFA | KRACHTIG | </t>
  </si>
  <si>
    <t xml:space="preserve">ALFA | SUPER | </t>
  </si>
  <si>
    <t>ALFA | CORE | UNFILTERED</t>
  </si>
  <si>
    <t xml:space="preserve">BERNE | ABT_TRIPEL | </t>
  </si>
  <si>
    <t xml:space="preserve">BERNE | NORBERTIJN_BLOND | </t>
  </si>
  <si>
    <t>NORBERTIJN;BLOND</t>
  </si>
  <si>
    <t>GENERAAL;QUADRUPEL</t>
  </si>
  <si>
    <t xml:space="preserve">BERNE | PRIOR_DUBBEL | </t>
  </si>
  <si>
    <t>PRIOR;DUBBEL</t>
  </si>
  <si>
    <t xml:space="preserve">BERNE | WITHEREN_WIT | </t>
  </si>
  <si>
    <t xml:space="preserve">BREUGEM | ZOENTJE | </t>
  </si>
  <si>
    <t xml:space="preserve">BREUGEM | HIGH_FIVE | </t>
  </si>
  <si>
    <t xml:space="preserve">BREUGEM | MAN_HUG | </t>
  </si>
  <si>
    <t xml:space="preserve">BREUGEM | BOKS | </t>
  </si>
  <si>
    <t xml:space="preserve">BREUGEM | HANDDRUK | </t>
  </si>
  <si>
    <t xml:space="preserve">BREUGEM | APPLAUS | </t>
  </si>
  <si>
    <t xml:space="preserve">BREUGEM | FLIRT | </t>
  </si>
  <si>
    <t xml:space="preserve">BREUGEM | WARME_GROET | </t>
  </si>
  <si>
    <t xml:space="preserve">BREUGEM | COMPLIMENT | </t>
  </si>
  <si>
    <t>BREUGEM | KNIPOOG | ZERO</t>
  </si>
  <si>
    <t xml:space="preserve">BREUGEM | STOMP | </t>
  </si>
  <si>
    <t xml:space="preserve">BREUGEM | HOWDY | </t>
  </si>
  <si>
    <t xml:space="preserve">BREUGEM | SMAKKERD | </t>
  </si>
  <si>
    <t xml:space="preserve">BREUGEM | SERVUS | </t>
  </si>
  <si>
    <t xml:space="preserve">BREUGEM | ZUM_WOHL | </t>
  </si>
  <si>
    <t xml:space="preserve">BREUGEM | TOOST | </t>
  </si>
  <si>
    <t xml:space="preserve">BREUGEM | GOUDEN_HANDDRUK | </t>
  </si>
  <si>
    <t xml:space="preserve">BREUGEM | GOEDE_GAST | </t>
  </si>
  <si>
    <t xml:space="preserve">BREUGEM | SHAKA | </t>
  </si>
  <si>
    <t xml:space="preserve">BREUGEM | GLIMLACH | </t>
  </si>
  <si>
    <t xml:space="preserve">BREUGEM | GRÜß_GOTT | </t>
  </si>
  <si>
    <t xml:space="preserve">BREUGEM | GROET | </t>
  </si>
  <si>
    <t xml:space="preserve">GAJES | TRIPEL | </t>
  </si>
  <si>
    <t xml:space="preserve">EEUWIGE_JEUGD | LELLEBEL | </t>
  </si>
  <si>
    <t xml:space="preserve">EEUWIGE_JEUGD | GLADJANUS | </t>
  </si>
  <si>
    <t xml:space="preserve">EEUWIGE_JEUGD | BELHAMEL | </t>
  </si>
  <si>
    <t xml:space="preserve">EEUWIGE_JEUGD | GLEUVENGLIJDER | </t>
  </si>
  <si>
    <t xml:space="preserve">EEUWIGE_JEUGD | BOKKELUL | </t>
  </si>
  <si>
    <t xml:space="preserve">EEUWIGE_JEUGD | GAPPIE | </t>
  </si>
  <si>
    <t xml:space="preserve">EEUWIGE_JEUGD | NITWIT | </t>
  </si>
  <si>
    <t xml:space="preserve">EEUWIGE_JEUGD | CONJO | </t>
  </si>
  <si>
    <t>EEUWIGE_JEUGD | VRIJER_BLOND | ZERO</t>
  </si>
  <si>
    <t xml:space="preserve">NAECKTE | NAECKTE_NON | </t>
  </si>
  <si>
    <t xml:space="preserve">NAECKTE | FEEKS | </t>
  </si>
  <si>
    <t xml:space="preserve">NAECKTE | NIMF | </t>
  </si>
  <si>
    <t xml:space="preserve">NAECKTE | ZONNEGLOED | </t>
  </si>
  <si>
    <t xml:space="preserve">NAECKTE | ELEGAST | </t>
  </si>
  <si>
    <t xml:space="preserve">NAECKTE | ELSER | </t>
  </si>
  <si>
    <t xml:space="preserve">NAECKTE | NAECKTE_BOCK | </t>
  </si>
  <si>
    <t xml:space="preserve">NAECKTE | MOSAIC | </t>
  </si>
  <si>
    <t xml:space="preserve">NAECKTE | NOORDERLICHT | </t>
  </si>
  <si>
    <t xml:space="preserve">NAECKTE | DIRNDL | </t>
  </si>
  <si>
    <t xml:space="preserve">PIMPELMEESCH | CHAAMSE_TRIPEL | </t>
  </si>
  <si>
    <t xml:space="preserve">PIMPELMEESCH | CHAAMSE_DUBBEL | </t>
  </si>
  <si>
    <t xml:space="preserve">PIMPELMEESCH | HEISSE_WEISSE | </t>
  </si>
  <si>
    <t xml:space="preserve">PIMPELMEESCH | CHAAMS_WINTERBIER | </t>
  </si>
  <si>
    <t xml:space="preserve">PIMPELMEESCH | BAKEN_VAN_BREDA | </t>
  </si>
  <si>
    <t xml:space="preserve">PIMPELMEESCH | ZILVERPEL | </t>
  </si>
  <si>
    <t xml:space="preserve">PIMPELMEESCH | SOCIUS_OAK | </t>
  </si>
  <si>
    <t xml:space="preserve">PIMPELMEESCH | GOUDPEL | </t>
  </si>
  <si>
    <t xml:space="preserve">PIMPELMEESCH | CHAAMS_TARWEBIER | </t>
  </si>
  <si>
    <t xml:space="preserve">PIMPELMEESCH | PRACHT_VAN_CHAAM | </t>
  </si>
  <si>
    <t xml:space="preserve">PIMPELMEESCH | CHAAMS_BOCKBIER | </t>
  </si>
  <si>
    <t xml:space="preserve">PIMPELMEESCH | TRIPEL_OAK | </t>
  </si>
  <si>
    <t xml:space="preserve">DORS | PILSNER | </t>
  </si>
  <si>
    <t xml:space="preserve">DORS | TRIPEL | </t>
  </si>
  <si>
    <t xml:space="preserve">DORS | BLOND | </t>
  </si>
  <si>
    <t xml:space="preserve">DORS | WEIZEN | </t>
  </si>
  <si>
    <t xml:space="preserve">DORS | IPA | </t>
  </si>
  <si>
    <t xml:space="preserve">DORS | CERVEZA | </t>
  </si>
  <si>
    <t xml:space="preserve">DORS | TEQUILA | </t>
  </si>
  <si>
    <t xml:space="preserve">DORS | SALUD | </t>
  </si>
  <si>
    <t xml:space="preserve">DORS | SPARKLE | </t>
  </si>
  <si>
    <t xml:space="preserve">DORS | STRONG | </t>
  </si>
  <si>
    <t xml:space="preserve">DORS | RADLER | </t>
  </si>
  <si>
    <t xml:space="preserve">DUTCH_BARGAIN | SEAWISE | </t>
  </si>
  <si>
    <t xml:space="preserve">DUTCH_BARGAIN | PACIFIC_HAZE | </t>
  </si>
  <si>
    <t xml:space="preserve">DUTCH_BARGAIN | ZUIDWESTER | </t>
  </si>
  <si>
    <t xml:space="preserve">DUTCH_BARGAIN | ZEEUWS_BLOND | </t>
  </si>
  <si>
    <t xml:space="preserve">DUTCH_BARGAIN | COASTAL_IPA | </t>
  </si>
  <si>
    <t xml:space="preserve">DUTCH_BARGAIN | GLITTER_EXTRAVAGANZA_IPA | </t>
  </si>
  <si>
    <t xml:space="preserve">DUTCH_BARGAIN | DUBBELBOCK | </t>
  </si>
  <si>
    <t>DUTCH_BARGAIN | DESIGNATED_DRYVER | ZERO</t>
  </si>
  <si>
    <t xml:space="preserve">DUTCH_BARGAIN | WOEST | </t>
  </si>
  <si>
    <t xml:space="preserve">DUTCH_BARGAIN | VIVA_LA_VIDA | </t>
  </si>
  <si>
    <t xml:space="preserve">DUTCH_BARGAIN | CHAMPAGNE_SHOWERS_GLITTER_EXTRAVAGANZA | </t>
  </si>
  <si>
    <t xml:space="preserve">DUTCH_BARGAIN | ZEEUWSE_BABBELAAR_STOUT | </t>
  </si>
  <si>
    <t xml:space="preserve">DUTCH_BARGAIN | MOELLEUX_AU_CHOCOLAT | </t>
  </si>
  <si>
    <t xml:space="preserve">DUTCH_BARGAIN | ZE_SMELTEN_DE_PAASHAAS_X_HEIDEROOSJES | </t>
  </si>
  <si>
    <t xml:space="preserve">DUTCH_BARGAIN | SOFT_TROPICAL_WAVES | </t>
  </si>
  <si>
    <t xml:space="preserve">DUTCH_BARGAIN | CAN_I_KICK_IT? | </t>
  </si>
  <si>
    <t xml:space="preserve">FRONTAAL | BULLDOG | </t>
  </si>
  <si>
    <t xml:space="preserve">FRONTAAL | DOUBLE_JUICE_PUNCH | </t>
  </si>
  <si>
    <t xml:space="preserve">FRONTAAL | ANDREAS | </t>
  </si>
  <si>
    <t xml:space="preserve">FRONTAAL | KIA_ORA | </t>
  </si>
  <si>
    <t xml:space="preserve">FRONTAAL | AUTHOR | </t>
  </si>
  <si>
    <t xml:space="preserve">FRONTAAL | FREEHAND | </t>
  </si>
  <si>
    <t xml:space="preserve">FRONTAAL | DROP_BOCK | </t>
  </si>
  <si>
    <t xml:space="preserve">FRONTAAL | HEAD_FIRST | </t>
  </si>
  <si>
    <t xml:space="preserve">FRONTAAL | BLONDE_SIMMIE | </t>
  </si>
  <si>
    <t xml:space="preserve">FRONTAAL | PINEAPPLE_EXPRESS | </t>
  </si>
  <si>
    <t xml:space="preserve">FRONTAAL | WITTE_SIMMIE | </t>
  </si>
  <si>
    <t xml:space="preserve">FRONTAAL | JUICE_PUNCH_V12 | </t>
  </si>
  <si>
    <t xml:space="preserve">FRONTAAL | BILLIARD | </t>
  </si>
  <si>
    <t xml:space="preserve">FRONTAAL | RITE_OF_PASSAGE | </t>
  </si>
  <si>
    <t xml:space="preserve">FRONTAAL | TRIPEL_INTELLIGENCE | </t>
  </si>
  <si>
    <t xml:space="preserve">FRONTAAL | INSPECTRUM_GADGET | </t>
  </si>
  <si>
    <t xml:space="preserve">FRONTAAL | JUICE_PUNCH_GREATEST_HITS_V3 | </t>
  </si>
  <si>
    <t xml:space="preserve">FRONTAAL | TANKARD | </t>
  </si>
  <si>
    <t xml:space="preserve">FRONTAAL | FOR_THE_LOVE_OF_HOPS_'YELLOW' | </t>
  </si>
  <si>
    <t xml:space="preserve">FRONTAAL | JUICE_PUNCH_GREATEST_HITS_V6 | </t>
  </si>
  <si>
    <t xml:space="preserve">FRONTAAL | COME_BACK_TO_EARTH | </t>
  </si>
  <si>
    <t xml:space="preserve">FRONTAAL | WHEN_THE_RUBBER_MEETS_THE_ROAD | </t>
  </si>
  <si>
    <t xml:space="preserve">FRONTAAL | SMOKING_GUN | </t>
  </si>
  <si>
    <t xml:space="preserve">GOOISCH | BUBBEL | </t>
  </si>
  <si>
    <t xml:space="preserve">GOOISCH | BLOND | </t>
  </si>
  <si>
    <t xml:space="preserve">GOOISCH | ZWART | </t>
  </si>
  <si>
    <t xml:space="preserve">GOOISCH | WIT | </t>
  </si>
  <si>
    <t xml:space="preserve">GOOISCH | TRIPEL | </t>
  </si>
  <si>
    <t xml:space="preserve">GOOISCH | IPA | </t>
  </si>
  <si>
    <t xml:space="preserve">GOOISCH | GOUD | </t>
  </si>
  <si>
    <t xml:space="preserve">GOOISCH | SAISON | </t>
  </si>
  <si>
    <t xml:space="preserve">GOOISCH | ROOD | </t>
  </si>
  <si>
    <t xml:space="preserve">GOOISCH | STOUT | </t>
  </si>
  <si>
    <t xml:space="preserve">GOOISCH | WINTER | </t>
  </si>
  <si>
    <t xml:space="preserve">GOOISCH | GRISETTE | </t>
  </si>
  <si>
    <t xml:space="preserve">GOOISCH | BOCK | </t>
  </si>
  <si>
    <t xml:space="preserve">GOOISCH | GARDE | </t>
  </si>
  <si>
    <t xml:space="preserve">GOOISCH | TOMINTOUL | </t>
  </si>
  <si>
    <t xml:space="preserve">GRAANSILO | TRIPEL | </t>
  </si>
  <si>
    <t xml:space="preserve">GRAANSILO | BLOND | </t>
  </si>
  <si>
    <t xml:space="preserve">GRAANSILO | IPA | </t>
  </si>
  <si>
    <t xml:space="preserve">GRAANSILO | NEIPA | </t>
  </si>
  <si>
    <t xml:space="preserve">GRAANSILO | WIT | </t>
  </si>
  <si>
    <t xml:space="preserve">GRAANSILO | BOK | </t>
  </si>
  <si>
    <t xml:space="preserve">GRAANSILO | BLACK_IPA | </t>
  </si>
  <si>
    <t xml:space="preserve">GRAANSILO | TRIPLE_IPA | </t>
  </si>
  <si>
    <t xml:space="preserve">GRAANSILO | INFUSED_DNEIPA | </t>
  </si>
  <si>
    <t xml:space="preserve">GRAANSILO | WEIZEN | </t>
  </si>
  <si>
    <t>GRAANSILO | GRAANSILO_IPA | ZERO</t>
  </si>
  <si>
    <t xml:space="preserve">GRAANSILO | WINTERGOUDEN_RAKKER | </t>
  </si>
  <si>
    <t xml:space="preserve">GRAANSILO | GRAANSILO_DNEIPA | </t>
  </si>
  <si>
    <t xml:space="preserve">GRAANSILO | PAPA_BLOND | </t>
  </si>
  <si>
    <t xml:space="preserve">GRAANSILO | WEIZEN_TRIPEL | </t>
  </si>
  <si>
    <t>GRAANSILO | NEIPA | ZERO</t>
  </si>
  <si>
    <t xml:space="preserve">GRAANSILO | SILVER_HARVEST | </t>
  </si>
  <si>
    <t xml:space="preserve">GRAANSILO | VIERGRANEN | </t>
  </si>
  <si>
    <t xml:space="preserve">GRAANSILO | VIER_GRANEN_TRIPEL | </t>
  </si>
  <si>
    <t xml:space="preserve">GROLSCH | PUUR_WEIZEN | </t>
  </si>
  <si>
    <t>WEIZEN;CORE</t>
  </si>
  <si>
    <t>LAGER;PILSNER</t>
  </si>
  <si>
    <t xml:space="preserve">GROLSCH | HERFSTBOCK | </t>
  </si>
  <si>
    <t xml:space="preserve">GROLSCH | LENTEBOCK | </t>
  </si>
  <si>
    <t xml:space="preserve">GROLSCH | DE_KLOK | </t>
  </si>
  <si>
    <t xml:space="preserve">GROLSCH | IPA | </t>
  </si>
  <si>
    <t xml:space="preserve">GROLSCH | ZOMERBOCK | </t>
  </si>
  <si>
    <t xml:space="preserve">GROLSCH | DUNKEL_WEIZENBOCK | </t>
  </si>
  <si>
    <t xml:space="preserve">GROLSCH | WEIZEN_IPA | </t>
  </si>
  <si>
    <t xml:space="preserve">GROLSCH | DUBBEL | </t>
  </si>
  <si>
    <t xml:space="preserve">GROLSCH | SUN | </t>
  </si>
  <si>
    <t>GROLSCH | LAGER | ZERO</t>
  </si>
  <si>
    <t xml:space="preserve">GROLSCH | SAISON | </t>
  </si>
  <si>
    <t xml:space="preserve">GROLSCH | BLOND | </t>
  </si>
  <si>
    <t xml:space="preserve">GROLSCH | NAVIGATOR | </t>
  </si>
  <si>
    <t>GROLSCH | WEIZEN | ZERO</t>
  </si>
  <si>
    <t>GROLSCH | SUMMER | ZERO</t>
  </si>
  <si>
    <t xml:space="preserve">GRUTTE_PIER | TRIPEL | </t>
  </si>
  <si>
    <t xml:space="preserve">GRUTTE_PIER | BLOND | </t>
  </si>
  <si>
    <t xml:space="preserve">GRUTTE_PIER | BOCK | </t>
  </si>
  <si>
    <t xml:space="preserve">GRUTTE_PIER | DUBBEL | </t>
  </si>
  <si>
    <t xml:space="preserve">GRUTTE_PIER | WHITE | </t>
  </si>
  <si>
    <t xml:space="preserve">GRUTTE_PIER | FRIESE_BOEZEM | </t>
  </si>
  <si>
    <t xml:space="preserve">GRUTTE_PIER | QUADRUPEL | </t>
  </si>
  <si>
    <t xml:space="preserve">GRUTTE_PIER | ELIXER | </t>
  </si>
  <si>
    <t xml:space="preserve">GRUTTE_PIER | SPRING | </t>
  </si>
  <si>
    <t xml:space="preserve">GUILTY_MONKEY | TRIPEL_AAP | </t>
  </si>
  <si>
    <t xml:space="preserve">GUILTY_MONKEY | BLONDE_AAP | </t>
  </si>
  <si>
    <t xml:space="preserve">GUILTY_MONKEY | IPA_AAP | </t>
  </si>
  <si>
    <t xml:space="preserve">GUILTY_MONKEY | WITTE_AAP | </t>
  </si>
  <si>
    <t xml:space="preserve">GUILTY_MONKEY | BARLEY_AAP | </t>
  </si>
  <si>
    <t xml:space="preserve">GUILTY_MONKEY | NEIPA_AAP | </t>
  </si>
  <si>
    <t xml:space="preserve">GUILTY_MONKEY | DUIKBOOTJE | </t>
  </si>
  <si>
    <t xml:space="preserve">GUILTY_MONKEY | FUCK_MY_LIFE | </t>
  </si>
  <si>
    <t xml:space="preserve">GUILTY_MONKEY | DUBBELBOCK | </t>
  </si>
  <si>
    <t xml:space="preserve">GUILTY_MONKEY | LENTE_BOCK | </t>
  </si>
  <si>
    <t xml:space="preserve">GUILTY_MONKEY | BLACK_IPA | </t>
  </si>
  <si>
    <t xml:space="preserve">GUILTY_MONKEY | FOXWILDE_BARLEY | </t>
  </si>
  <si>
    <t xml:space="preserve">GUILTY_MONKEY | FOXWILDE_TRIPEL | </t>
  </si>
  <si>
    <t xml:space="preserve">GUILTY_MONKEY | JÄGERMEISTER_INFUSED | </t>
  </si>
  <si>
    <t xml:space="preserve">GUILTY_MONKEY | HAZY_DOUBLE_IPA | </t>
  </si>
  <si>
    <t xml:space="preserve">GUILTY_MONKEY | HAZY_JUICY_IPA | </t>
  </si>
  <si>
    <t xml:space="preserve">GUILTY_MONKEY | IMPERIAL_STOUT | </t>
  </si>
  <si>
    <t xml:space="preserve">GUILTY_MONKEY | APFELSTRUDEL_DUBBELBOCK | </t>
  </si>
  <si>
    <t xml:space="preserve">GUILTY_MONKEY | FOXWILDE_WITTE | </t>
  </si>
  <si>
    <t xml:space="preserve">GUILTY_MONKEY | LIQUOR_43_INFUSED | </t>
  </si>
  <si>
    <t xml:space="preserve">GUILTY_MONKEY | FOXWILDE_IPA | </t>
  </si>
  <si>
    <t xml:space="preserve">GUILTY_MONKEY | SCOTCH_ALE_WEE_HEAVY | </t>
  </si>
  <si>
    <t xml:space="preserve">GUILTY_MONKEY | WHISKEY_INFUSED | </t>
  </si>
  <si>
    <t xml:space="preserve">GUILTY_MONKEY | BOKKIGE_AAP | </t>
  </si>
  <si>
    <t xml:space="preserve">PALEISJE | MAXIMAALTJE | </t>
  </si>
  <si>
    <t xml:space="preserve">PALEISJE | WILLEM_S_WIT | </t>
  </si>
  <si>
    <t xml:space="preserve">PALEISJE | TRIPEL_A | </t>
  </si>
  <si>
    <t xml:space="preserve">PALEISJE | PRINS_PALE_ALE | </t>
  </si>
  <si>
    <t xml:space="preserve">PALEISJE | BERNARD'S_BLOND | </t>
  </si>
  <si>
    <t xml:space="preserve">PALEISJE | WILLEM'S_ORANJE | </t>
  </si>
  <si>
    <t xml:space="preserve">PALEISJE | KROON_OP_HET_WERK | </t>
  </si>
  <si>
    <t xml:space="preserve">PALEISJE | BEA_S_BOKJE | </t>
  </si>
  <si>
    <t xml:space="preserve">PALEISJE | BERNARD_S_BOK | </t>
  </si>
  <si>
    <t>PALEISJE | FITTE_WILLEM | ZERO</t>
  </si>
  <si>
    <t xml:space="preserve">PALEISJE | KROONJUWEEL | </t>
  </si>
  <si>
    <t xml:space="preserve">PALEISJE | BEA_S_DUBBELBOCK | </t>
  </si>
  <si>
    <t xml:space="preserve">PALEISJE | SINT_HUBERTUS_TRIPEL | </t>
  </si>
  <si>
    <t xml:space="preserve">PALEISJE | MOEF_BLOND | </t>
  </si>
  <si>
    <t xml:space="preserve">PALEISJE | AVILA_BLOND | </t>
  </si>
  <si>
    <t xml:space="preserve">PALEISJE | PRINS_PILS | </t>
  </si>
  <si>
    <t xml:space="preserve">JOPEN | MOOIE_NEL | </t>
  </si>
  <si>
    <t xml:space="preserve">JOPEN | BLURRED_LINES | </t>
  </si>
  <si>
    <t xml:space="preserve">JOPEN | BOKBIER | </t>
  </si>
  <si>
    <t xml:space="preserve">JOPEN | BLOESEM_BLOND | </t>
  </si>
  <si>
    <t xml:space="preserve">JOPEN | ADRIAAN_WIT | </t>
  </si>
  <si>
    <t xml:space="preserve">JOPEN | ONGELOVIGE_THOMAS_/_DOUBTING_THOMAS | </t>
  </si>
  <si>
    <t xml:space="preserve">JOPEN | HEAVY_CROSS | </t>
  </si>
  <si>
    <t xml:space="preserve">JOPEN | LIFE_S_A_BEACH | </t>
  </si>
  <si>
    <t xml:space="preserve">JOPEN | LENTEBIER | </t>
  </si>
  <si>
    <t xml:space="preserve">JOPEN | JACOBUS_PALE_ALE | </t>
  </si>
  <si>
    <t xml:space="preserve">JOPEN | HOPPENBIER | </t>
  </si>
  <si>
    <t xml:space="preserve">JOPEN | HOP_ZIJ_MET_ONS | </t>
  </si>
  <si>
    <t xml:space="preserve">JOPEN | TRINITAS_TRIPEL | </t>
  </si>
  <si>
    <t xml:space="preserve">JOPEN | GIN_WEIZEN | </t>
  </si>
  <si>
    <t xml:space="preserve">JOPEN | KOYT | </t>
  </si>
  <si>
    <t xml:space="preserve">JOPEN | JOHANNIETER | </t>
  </si>
  <si>
    <t xml:space="preserve">JOPEN | WITTE_KERST | </t>
  </si>
  <si>
    <t xml:space="preserve">JOPEN | EXTRA_STOUT | </t>
  </si>
  <si>
    <t>JOPEN | NON_IPA | ZERO</t>
  </si>
  <si>
    <t xml:space="preserve">JOPEN | SUNNY_DAY | </t>
  </si>
  <si>
    <t xml:space="preserve">JOPEN | LET_THERE_BE_LIGHT | </t>
  </si>
  <si>
    <t xml:space="preserve">JOPEN | KLAAGZANG | </t>
  </si>
  <si>
    <t xml:space="preserve">JOPEN | BLOND | </t>
  </si>
  <si>
    <t xml:space="preserve">JOPEN | HYPERCOLOUR | </t>
  </si>
  <si>
    <t xml:space="preserve">JOPEN | NEDER_WIT | </t>
  </si>
  <si>
    <t xml:space="preserve">KLEIBURG | TRIPEL_IPA | </t>
  </si>
  <si>
    <t>TRIPEL;IPA;CORE</t>
  </si>
  <si>
    <t xml:space="preserve">KLEIBURG | DUBBELBLOND | </t>
  </si>
  <si>
    <t xml:space="preserve">KLEIBURG | SICILIAANS_WIT | </t>
  </si>
  <si>
    <t xml:space="preserve">KLEIBURG | QUADRUPEL_POORTER | </t>
  </si>
  <si>
    <t xml:space="preserve">KLEIBURG | SESSION_IPA | </t>
  </si>
  <si>
    <t xml:space="preserve">KLEIBURG | BLOEMENBOK | </t>
  </si>
  <si>
    <t xml:space="preserve">KLEIBURG | BIJLMER_BOK | </t>
  </si>
  <si>
    <t xml:space="preserve">KLEIBURG | SLIGHTLY_SOUR_SUMMER_SESSION_ALE | </t>
  </si>
  <si>
    <t xml:space="preserve">KLEIBURG | VIN_DE_HOUBLON | </t>
  </si>
  <si>
    <t xml:space="preserve">KLEIBURG | KLEIBURG_PILSENER | </t>
  </si>
  <si>
    <t xml:space="preserve">KLEIBURG | BIRI_BANA | </t>
  </si>
  <si>
    <t xml:space="preserve">KLEIBURG | TRINITY_TRIPEL | </t>
  </si>
  <si>
    <t>TRINITY</t>
  </si>
  <si>
    <t xml:space="preserve">KLEIBURG | WIJBLOND | </t>
  </si>
  <si>
    <t xml:space="preserve">KLEIBURG | QUADRUPEL_POORTER_BARREL_AGED | </t>
  </si>
  <si>
    <t xml:space="preserve">KLEIBURG | BETER_EEN_GOEDE_BUUR | </t>
  </si>
  <si>
    <t>BUUR</t>
  </si>
  <si>
    <t xml:space="preserve">KLEIN_DUIMPJE | DE_BLAUWE_TRAM | </t>
  </si>
  <si>
    <t xml:space="preserve">KLEIN_DUIMPJE | SLOBBERBOK | </t>
  </si>
  <si>
    <t xml:space="preserve">KLEIN_DUIMPJE | GAGEL_TRIPEL | </t>
  </si>
  <si>
    <t xml:space="preserve">KLEIN_DUIMPJE | HILLEGOMS_WEIZEN | </t>
  </si>
  <si>
    <t xml:space="preserve">KLEIN_DUIMPJE | ZEVENMIJLSLAARZEN | </t>
  </si>
  <si>
    <t xml:space="preserve">KLEIN_DUIMPJE | KERSTBIER | </t>
  </si>
  <si>
    <t xml:space="preserve">KLEIN_DUIMPJE | DUBBELBOK | </t>
  </si>
  <si>
    <t xml:space="preserve">KLEIN_DUIMPJE | STERKE_BLONDE_CITRA | </t>
  </si>
  <si>
    <t xml:space="preserve">KLEIN_DUIMPJE | TULPENBOK | </t>
  </si>
  <si>
    <t xml:space="preserve">KLEIN_DUIMPJE | ERIK_DE_NOORMAN | </t>
  </si>
  <si>
    <t xml:space="preserve">KLEIN_DUIMPJE | BOLLENSTREEK_ALE | </t>
  </si>
  <si>
    <t xml:space="preserve">KLEIN_DUIMPJE | HILLEGOMSE_HANGKOUS | </t>
  </si>
  <si>
    <t xml:space="preserve">KLEIN_DUIMPJE | IMPERIAL_RUSSIAN_STOUT | </t>
  </si>
  <si>
    <t xml:space="preserve">KLEIN_DUIMPJE | AMBER_JENEVERBES | </t>
  </si>
  <si>
    <t xml:space="preserve">KLEIN_DUIMPJE | QUADRUPEL | </t>
  </si>
  <si>
    <t xml:space="preserve">KLEIN_DUIMPJE | VANILLA_MAPLE_MADNESS | </t>
  </si>
  <si>
    <t xml:space="preserve">KLEIN_DUIMPJE | AHOLI | </t>
  </si>
  <si>
    <t xml:space="preserve">KLEIN_DUIMPJE | KD_DIPA | </t>
  </si>
  <si>
    <t xml:space="preserve">KLEIN_DUIMPJE | VLOEIBAAR_GOUD | </t>
  </si>
  <si>
    <t xml:space="preserve">KLEIN_DUIMPJE | BLACK_JACK_CHOCO_RIS | </t>
  </si>
  <si>
    <t xml:space="preserve">KLEIN_DUIMPJE | HOPPA_PROOST! | </t>
  </si>
  <si>
    <t xml:space="preserve">KLEIN_DUIMPJE | IMPERIAL_BARLEY_WINE | </t>
  </si>
  <si>
    <t xml:space="preserve">KLEIN_DUIMPJE | GERSTEBIER | </t>
  </si>
  <si>
    <t xml:space="preserve">KLEIN_DUIMPJE | DIABLO_FUEGO | </t>
  </si>
  <si>
    <t xml:space="preserve">KOMPAAN | LEVENSGENIETER | </t>
  </si>
  <si>
    <t xml:space="preserve">KOMPAAN | HANDLANGER | </t>
  </si>
  <si>
    <t xml:space="preserve">KOMPAAN | BONDGENOOT | </t>
  </si>
  <si>
    <t xml:space="preserve">KOMPAAN | BLOEDBROEDER | </t>
  </si>
  <si>
    <t xml:space="preserve">KOMPAAN | KOMPAAN_45_VRIJBUITER | </t>
  </si>
  <si>
    <t xml:space="preserve">KOMPAAN | JOEY_GREENHORN_RESTLESS_IPA | </t>
  </si>
  <si>
    <t xml:space="preserve">KOMPAAN | SASSY_THREESOME | </t>
  </si>
  <si>
    <t xml:space="preserve">KOMPAAN | STICKY_FINGERS | </t>
  </si>
  <si>
    <t xml:space="preserve">KOMPAAN | LEFGOZER | </t>
  </si>
  <si>
    <t xml:space="preserve">KOMPAAN | MAVERICK_MONK | </t>
  </si>
  <si>
    <t xml:space="preserve">KOMPAAN | WITTE_WAS | </t>
  </si>
  <si>
    <t xml:space="preserve">KOMPAAN | POPULUS_6921_HOPGEWEKT | </t>
  </si>
  <si>
    <t xml:space="preserve">KOMPAAN | KAMERAAD | </t>
  </si>
  <si>
    <t xml:space="preserve">KOMPAAN | HOP_WEIZEN_BOCK | </t>
  </si>
  <si>
    <t xml:space="preserve">KOMPAAN | BLUBBERDIKKEJETSER | </t>
  </si>
  <si>
    <t xml:space="preserve">KOMPAAN | THREE_OF_A_KIND | </t>
  </si>
  <si>
    <t xml:space="preserve">KOMPAAN | TOMMY_DOUBLE-BARREL | </t>
  </si>
  <si>
    <t xml:space="preserve">KOMPAAN | SPRING_BREAK | </t>
  </si>
  <si>
    <t xml:space="preserve">KOMPAAN | GIN_&amp;_JUICE | </t>
  </si>
  <si>
    <t xml:space="preserve">KOMPAAN | THUNDER_WOLF | </t>
  </si>
  <si>
    <t xml:space="preserve">KOMPAAN | DOUBLE_NEIPA | </t>
  </si>
  <si>
    <t xml:space="preserve">KOMPAAN | HIBISCUS_HIPSTER | </t>
  </si>
  <si>
    <t xml:space="preserve">KOMPAAN | WHEN_LIFE_GIVES_YOU_LEMONS | </t>
  </si>
  <si>
    <t xml:space="preserve">LOWLANDER | WHITE | </t>
  </si>
  <si>
    <t xml:space="preserve">LOWLANDER | WINTER | </t>
  </si>
  <si>
    <t xml:space="preserve">LOWLANDER | TROPICAL | </t>
  </si>
  <si>
    <t xml:space="preserve">LOWLANDER | PUMPKIN | </t>
  </si>
  <si>
    <t xml:space="preserve">LOWLANDER | LEFTOVER | </t>
  </si>
  <si>
    <t xml:space="preserve">LOWLANDER | TOMPOUCE | </t>
  </si>
  <si>
    <t xml:space="preserve">LOWLANDER | MANGO | </t>
  </si>
  <si>
    <t xml:space="preserve">LOWLANDER | CITRUS | </t>
  </si>
  <si>
    <t>LOWLANDER | TROPICAL | ZERO</t>
  </si>
  <si>
    <t xml:space="preserve">LOWLANDER | BLACKBERRY | </t>
  </si>
  <si>
    <t>LOWLANDER | WINTER | ZERO</t>
  </si>
  <si>
    <t>LOWLANDER | TOMPOUCE | ZERO</t>
  </si>
  <si>
    <t xml:space="preserve">MAISEL | WEISSE | </t>
  </si>
  <si>
    <t>WEISSE;WHITE;CORE;ORIGINAL</t>
  </si>
  <si>
    <t xml:space="preserve">MAISEL | PALE_ALE | </t>
  </si>
  <si>
    <t xml:space="preserve">MAISEL | IPA | </t>
  </si>
  <si>
    <t xml:space="preserve">MAISEL | DUNKEL | </t>
  </si>
  <si>
    <t>MAISEL | WEISSE | ZERO</t>
  </si>
  <si>
    <t xml:space="preserve">MAISEL | CHOCOLATE_BOCK | </t>
  </si>
  <si>
    <t xml:space="preserve">MAISEL | INDIA_ALE | </t>
  </si>
  <si>
    <t xml:space="preserve">MAISEL | BAVARIA | </t>
  </si>
  <si>
    <t xml:space="preserve">MAISEL | WEST_COAST_IPA | </t>
  </si>
  <si>
    <t xml:space="preserve">MAISEL | KRISTALL | </t>
  </si>
  <si>
    <t>MAISEL | IPA | ZERO</t>
  </si>
  <si>
    <t xml:space="preserve">MAISEL | EDELHOPFEN | </t>
  </si>
  <si>
    <t xml:space="preserve">MAISEL | URBAN_IPA | </t>
  </si>
  <si>
    <t xml:space="preserve">MAISEL | HAZY_IPA | </t>
  </si>
  <si>
    <t xml:space="preserve">MAISEL | BAJUWARUS | </t>
  </si>
  <si>
    <t xml:space="preserve">MAISEL | HOPLANDER | </t>
  </si>
  <si>
    <t xml:space="preserve">MAISEL | WHEEPA | </t>
  </si>
  <si>
    <t xml:space="preserve">MAISEL | IRISH_RED | </t>
  </si>
  <si>
    <t>MAISEL | WEISSE | LIGHT</t>
  </si>
  <si>
    <t xml:space="preserve">MAISEL | HOPFENREITER | </t>
  </si>
  <si>
    <t xml:space="preserve">MAISEL | PILSNER | </t>
  </si>
  <si>
    <t xml:space="preserve">MAISEL | IRISH_STOUT | </t>
  </si>
  <si>
    <t xml:space="preserve">MAISEL | TAONGA_IPA | </t>
  </si>
  <si>
    <t xml:space="preserve">MAISEL | LUNAHOP | </t>
  </si>
  <si>
    <t xml:space="preserve">OEDIPUS | MANNENLIEFDE | </t>
  </si>
  <si>
    <t xml:space="preserve">OEDIPUS | THAI_THAI | </t>
  </si>
  <si>
    <t xml:space="preserve">OEDIPUS | GAIA | </t>
  </si>
  <si>
    <t xml:space="preserve">OEDIPUS | PAIS_TROPICAL | </t>
  </si>
  <si>
    <t xml:space="preserve">OEDIPUS | POLYAMORIE | </t>
  </si>
  <si>
    <t xml:space="preserve">OEDIPUS | STRIP | </t>
  </si>
  <si>
    <t xml:space="preserve">OEDIPUS | MAMA | </t>
  </si>
  <si>
    <t xml:space="preserve">OEDIPUS | SWINGERS | </t>
  </si>
  <si>
    <t xml:space="preserve">OEDIPUS | MADELEINE | </t>
  </si>
  <si>
    <t xml:space="preserve">OEDIPUS | PANTY | </t>
  </si>
  <si>
    <t xml:space="preserve">OEDIPUS | OFFLINE | </t>
  </si>
  <si>
    <t xml:space="preserve">OEDIPUS | AVATAR | </t>
  </si>
  <si>
    <t xml:space="preserve">OEDIPUS | SLOMO | </t>
  </si>
  <si>
    <t xml:space="preserve">OEDIPUS | KINDERYOGA | </t>
  </si>
  <si>
    <t>OEDIPUS | DORINKU | ZERO</t>
  </si>
  <si>
    <t xml:space="preserve">OEDIPUS | OEDIPUS_IPA | </t>
  </si>
  <si>
    <t xml:space="preserve">OEDIPUS | BRIDE | </t>
  </si>
  <si>
    <t xml:space="preserve">OEDIPUS | DODO | </t>
  </si>
  <si>
    <t xml:space="preserve">OEDIPUS | MASH | </t>
  </si>
  <si>
    <t xml:space="preserve">OEDIPUS | PILSNER | </t>
  </si>
  <si>
    <t xml:space="preserve">OEDIPUS | RING_YOUR_MOTHER | </t>
  </si>
  <si>
    <t xml:space="preserve">OEDIPUS | RUBBEREN_ROBBIE | </t>
  </si>
  <si>
    <t xml:space="preserve">OEDIPUS | LEKKER_GEZELLIG | </t>
  </si>
  <si>
    <t xml:space="preserve">OEDIPUS | LEKKERBEK | </t>
  </si>
  <si>
    <t xml:space="preserve">POHJALA | KOSMOS | </t>
  </si>
  <si>
    <t xml:space="preserve">POHJALA | VIRMALISED | </t>
  </si>
  <si>
    <t xml:space="preserve">POHJALA | MUST_KULD | </t>
  </si>
  <si>
    <t xml:space="preserve">POHJALA | OO | </t>
  </si>
  <si>
    <t xml:space="preserve">POHJALA | UUS_MAAILM | </t>
  </si>
  <si>
    <t xml:space="preserve">POHJALA | OO_XO | </t>
  </si>
  <si>
    <t xml:space="preserve">POHJALA | ORANGE_GOSE | </t>
  </si>
  <si>
    <t xml:space="preserve">POHJALA | COCOBANGER | </t>
  </si>
  <si>
    <t xml:space="preserve">POHJALA | OHTU | </t>
  </si>
  <si>
    <t xml:space="preserve">POHJALA | SATURNUS | </t>
  </si>
  <si>
    <t xml:space="preserve">POHJALA | JOULUOO | </t>
  </si>
  <si>
    <t xml:space="preserve">POHJALA | PRENZLAUER_BERG | </t>
  </si>
  <si>
    <t xml:space="preserve">POHJALA | PIME_OO | </t>
  </si>
  <si>
    <t xml:space="preserve">POHJALA | PIME_OO_PX | </t>
  </si>
  <si>
    <t xml:space="preserve">POHJALA | MERI | </t>
  </si>
  <si>
    <t xml:space="preserve">POHJALA | ODRAVEIN_BOURBON | </t>
  </si>
  <si>
    <t xml:space="preserve">POHJALA | GIMME_DANGER | </t>
  </si>
  <si>
    <t xml:space="preserve">POHJALA | SUN_CITY | </t>
  </si>
  <si>
    <t xml:space="preserve">POHJALA | LAAGER | </t>
  </si>
  <si>
    <t xml:space="preserve">POHJALA | TORM | </t>
  </si>
  <si>
    <t xml:space="preserve">POHJALA | KUUSK | </t>
  </si>
  <si>
    <t xml:space="preserve">POHJALA | SUVILA | </t>
  </si>
  <si>
    <t xml:space="preserve">POHJALA | CAMPING | </t>
  </si>
  <si>
    <t xml:space="preserve">POHJALA | HELGE | </t>
  </si>
  <si>
    <t xml:space="preserve">POHJALA | STICKS_&amp;_STONES | </t>
  </si>
  <si>
    <t>ST_FLORENT;SAINT_FLORENT;FLORENT</t>
  </si>
  <si>
    <t>WINTERBOCK;WINTERBOK</t>
  </si>
  <si>
    <t>LENTEBOCK;LENTEBOK</t>
  </si>
  <si>
    <t>HERFSTBOCK;HERFSTBOK</t>
  </si>
  <si>
    <t>ZOMERBOCK;ZOMERBOK</t>
  </si>
  <si>
    <t>AUTUMN;HERFSTBOCK</t>
  </si>
  <si>
    <t>GROLSCH | HERFSTBOCK | ZERO</t>
  </si>
  <si>
    <t>HERFSTBOCK;AUTUMN</t>
  </si>
  <si>
    <t xml:space="preserve">GROLSCH | SUMMER | </t>
  </si>
  <si>
    <t xml:space="preserve">GROLSCH | PILSNER | </t>
  </si>
  <si>
    <t>SKUUMKOPPE;CORE</t>
  </si>
  <si>
    <t>ROSE;ROSA</t>
  </si>
  <si>
    <t xml:space="preserve">BERNE | ABT_GENERAAL_QUADRUPEL | </t>
  </si>
  <si>
    <t xml:space="preserve">PALEISJE | WITTE_FIETS | </t>
  </si>
  <si>
    <t xml:space="preserve">GUILTY_MONKEY | RENE_LE_BLOND | </t>
  </si>
  <si>
    <t xml:space="preserve">BREWDOG | JANE_GUAVA | </t>
  </si>
  <si>
    <t>JOPEN;MOOIE_NEL;BLURRED_LINES;ADRIAAN_WIT;ONGELOVIGE_THOMAS;HEAVY_CROSS;LIFE_S_A_BEACH;JACOBUS_PALE_ALE;HOP_ZIJ_MET_ONS;TRINITAS_TRIPEL;GIN_WEIZEN;KOYT;JOHANNIETER;WITTE_KERST;EXTRA_STOUT;NON_IPA;SUNNY_DAY;LET_THERE_BE_LIGHT;KLAAGZANG;HYPERCOLOUR;NEDER_WIT</t>
  </si>
  <si>
    <t>GOOISCH;TOMINTOUL;GOOISCHE</t>
  </si>
  <si>
    <t>MOOIE_NEL;CORE</t>
  </si>
  <si>
    <t>LEVENSGENIETER;NEIPA;JOYFUL</t>
  </si>
  <si>
    <t>TETE_DE_MORT;TE_DE_MORT</t>
  </si>
  <si>
    <t>CHRISTMAS;XMAS;KERSTMIS;NOEL;CHRISMAS;KERST;NOAL</t>
  </si>
  <si>
    <t>VRIJER_BLOND;VRIJER</t>
  </si>
  <si>
    <t>EXPORT;DORTMUNDER</t>
  </si>
  <si>
    <t>DROP_BOCK;DROPBOCK</t>
  </si>
  <si>
    <t>RUBBER</t>
  </si>
  <si>
    <t>GEBROUWEN_DOOR_VROUWEN;GEBROUWEN_DOOR_VROUW</t>
  </si>
  <si>
    <t>LA_TRAPPE | ISID_OR |</t>
  </si>
  <si>
    <t>POHJALA;PAHJALA;KOSMOS;VIRMALISED;MUST_KULD;OO;UUS_MAAILM;OO_XO;ORANGE_GOSE;COCOBANGER;OHTU;SATURNUS;JOULUOO;PRENZLAUER_BERG;PIME_OO;PIME_OO_PX;MERI;ODRAVEIN_BOURBON;GIMME_DANGER;SUN_CITY;LAAGER;TORM;KUUSK;SUVILA;CAMPING;HELGE;STICKS_&amp;_STONES</t>
  </si>
  <si>
    <t>MOKSHA</t>
  </si>
  <si>
    <t>MUIFEL</t>
  </si>
  <si>
    <t>UITLJE;BIRD_OF_PREY;TRACKDOWN;DR_RAPTOR;FF_LEKKER_MET_JE_BEK_IN_HET_ZONNETJE;DIKKE_LUL_3_BIER;PIEWEE_THE_PINEAPPLE_WEIZEN;ME_MYSELF_IPA;APFELSTRUDEL_DOPPELBOCK;JUICY_LUCY;COSMIC_BLOND;EL_PATRON;WIZARD_WIT;FANCY_PANTS;PRIMA_DONNA;HAVE_YOU_EVER_BEEN_YELLOW;CASCADE_GROENE_TRUI;CASCADE_GREEN_SWEATER;HATS_HOPS;WARM_SOCKS;WHOOOO_LET_THE_DOG_OUT;SUPERB_OWL;GELE_RAKKER;PRINCE_OWLBERT;CARAVAN_IS_ON_FIRE;CARAVAN_STAAT_IN_DE_FIK;JOOST_MAG_HET_WETEN;MOSAIC_MAMMOTH</t>
  </si>
  <si>
    <t>VANDESTREEK;PLAYGROUND;HAZY_WEEKEND;TURF_N_SURF;BROEDERS;HOP_ART;ZONNESTEEK;BLACKBOCK;FUN_HOUSE_NON_ALCOHOLIC_NEIPA;FRISKY;ROOKWORST_WEIZEN;WITZIGE_WEIZEN;FRUIT_MACHINE;MAN_MAN_MANGO;BOURBON_BA_BARLEY_WINE;GRAPEFRUIT_NON_ALCOHOLIC_IPA;BOCK_JIJ_OF_BOCK_IK;BUMPER_NON_ALCOHOLIC_BLOND;CHEERS_TO_THE_NEXT_10_YEARS;LEBOWSKI_TARWE_TRIPEL;BARREL_HAZARD;GAME_ON;HBC_692_DOUBLE_HAZY_IPA</t>
  </si>
  <si>
    <t>ARPUS</t>
  </si>
  <si>
    <t>ARPUS;HOPCHEST;HOPHEART;FRUITHEART;CLOUDWATER;DREKKER;DANKHOUSE;MESSOREM</t>
  </si>
  <si>
    <t>BIG_BELLY;MO_PHI;LOULOU;BOBBY_LOVE;ÆTHELSTAN;JACQUES_HOLY_QUADRUPLE;LIQUID_DESSERTS_13;LIQUID_DESSERTS_08;CABRON;BRENDAAS;LIQUID_DESSERTS_11;THE_IRON_HORSE;LIQUID_DESSERTS_17;LIQUID_DESSERTS_04;LIQUID_DESSERTS_16;LIQUID_DESSERTS_10;LIQUID_DESSERTS_15;AETHELSTAN_BARREL_AGED;LIQUID_DESSERTS_19;LIQUID_DESSERTS_21;LA_BELLA_TRIPEL_D_OR;LIQUID_DESSERTS_20_2;BOMPA_SMOOTH_DUBBEL</t>
  </si>
  <si>
    <t>BOEGBEELD</t>
  </si>
  <si>
    <t>BOEGBEELD;KUTBIER;KOEKWAUS;SKEITERT</t>
  </si>
  <si>
    <t>SANCTI_ADALBERTI</t>
  </si>
  <si>
    <t>SANCTI_ADALBERTI;ALKMAARS_VERZETJE;DE_TRANEN_VAN_ADELBERT;JAN_S_WITTE_KERK;HERBERG_ZOMERBIER;SOUL_MATE</t>
  </si>
  <si>
    <t>HOMELAND</t>
  </si>
  <si>
    <t>HOMELAND;ZEEBONK;KATZWIJM;BRASSERS_BLOND;PIEREMEGOGGEL;AMSTERDAMS_WIT;SCHEEPSBOK;KETELBINKIE;LORRE;ZWARTBAARD;KIELZOG;LOVE_BOAT;THE_SEVEN_C_S;LIFELINE;POPULUS_6921;ZWARTE_ZWAAN;VALREEP;VLIEGENDE_HOLLANDER;HULLBREAKER;AVERIJ;IJSBAARD;ATLANTIS</t>
  </si>
  <si>
    <t>HOOP</t>
  </si>
  <si>
    <t>HOOP;KAPER;BLEKE_NELIS;AWESOME_AUTUMN_RUM_BOCK;PEPERNOTENBIER;SUMMER_SESSION_TROPICAL_IPA;SWEET_SPRING_BISON_GRASS_BOCK;OUDT_HEYN;SPAANSCH_BENAUWD;QUEEN_BEER;TSAR_PJOTR;BULLEBIER;HULA_HULA;DE_ECHTE_ZAANSE_MOSTERD_TRIPEL;VREDESPIJP;DUNKELWEIZEN;SPICY_MOSTERD_TRIPEL;AUSSIE_DOWN_UNDER_BEER;WIT_WOUDTJE;ZAKKENDRAGER;1862;IMPERIAL_STROOPWAFEL_STOUT</t>
  </si>
  <si>
    <t>NOORDT</t>
  </si>
  <si>
    <t>NOORDT;NOORDTSINGLE;POMELO_IPA;HAWAIIAN_NEIPA;AMARENA;BRAZILIAN_WITBIER;WITTE_AAP;CLEY</t>
  </si>
  <si>
    <t>VIEUX_BRUGES</t>
  </si>
  <si>
    <t>ST_MARTIN</t>
  </si>
  <si>
    <t>ST_AMAND</t>
  </si>
  <si>
    <t>NE_KOPSTOOT</t>
  </si>
  <si>
    <t>PAYS_BLANC</t>
  </si>
  <si>
    <t>COUP_D_BOULE</t>
  </si>
  <si>
    <t>FLOUR_POWER</t>
  </si>
  <si>
    <t>BOUSVAL</t>
  </si>
  <si>
    <t>BRUUT</t>
  </si>
  <si>
    <t>BRUUT;PINK_POGO;STENNIS;BERGAMOT;STRUIKROVER;CALAMITY_JANE;FOR_MANKIND;YOUMANKIND_HOPPY_SAISON</t>
  </si>
  <si>
    <t>MAGISTRAAT</t>
  </si>
  <si>
    <t>MAGISTRAAT;DOCHTER_VAN_DE_BURGEMEESTER;SCHEEPSTIMMERMAN;DIKKE_PRINS;VUURBOETER;PIKJONGEN;DIENSTMEID_VAN_DE_RIJKSONTVANGER;DIEFHENKER;QUESTEERDER;WAARSMAN;HEEMRAAD;POLDERMOLENAAR</t>
  </si>
  <si>
    <t>KORENAAR</t>
  </si>
  <si>
    <t>KORENAAR;BELLE_FLEUR;CRIME_PASSIONNEL;SANS_PARDON;BRAVOURE;NOUVEAU_RICHE;DI_MONTALCINO;PASSE_PARTOUT;BEAU_MONDE;BIEN_SUR;SANS_PARDON;BRUNELLO;LA_FRONTIERE</t>
  </si>
  <si>
    <t>ERDINGER;STEIGENBERGER_1930;RIDGEBACK</t>
  </si>
  <si>
    <t>GREEN_KING</t>
  </si>
  <si>
    <t>GREENE_KING</t>
  </si>
  <si>
    <t>HEIDEBROUWERIJ</t>
  </si>
  <si>
    <t>HEIDEBROUWERIJ;EVERZWIJN_TRIPEL;BIJENBLOND;VALK_INDIA_PALE_ALE;VLINDERBLOND;OEHOE_DONKER;EDELHERTDONKER;EDENOARTJE;WOLFWEIZEN;EDELHERT_QUADRUPEL;VOSBLOND;TULIPS_SCHIFFMACHER_EDITION;VOS_ZWAAR_BLOND;MOEFLON;TULIPS_CRAFT_BEER;VINCENT_BLOND;FLOW_BEER;VOSBLOND_SCHIFFMACHER;NULTIENTJE;BIJENBLOND_SCHIFFMACHER_EDITION;VALK_IPA;OEHOEDONKER_SCHIFFMACHER_EDITION;WOLFWEIZEN_SCHIFFMACHER_EDITION</t>
  </si>
  <si>
    <t>KOMPAAN;THRILL_SEEKER</t>
  </si>
  <si>
    <t>GOUDALE</t>
  </si>
  <si>
    <t>LERVIG</t>
  </si>
  <si>
    <t>LERVIG;TASTY_JUICE;LUCKY_JACK;PERLER_FOR_SVIN;SUPERSONIC;HOUSE_PARTY;HOPPY_JOE;3_BEAN_STOUT;KONRAD_S_STOUT;SOUR_SUZY;PASSION_TANG;ORANGE_VELVET;NO_WORRIES_ORIGINAL;TOASTED_MAPLE_STOUT;COCONUTS;HUMAN_NATURE;ORIGINAL_SIN;HELLES_YEAH;SIPPIN_INTO_DARKNESS;NAUGHTY_&amp;_NICE;BAD_HAIRCUT;TIMES_8;LUCKY_JACK_MANGO;LOUDSPEAKER;NO_WORRIES_GRAPEFRUIT;IT'S_NOT_ME;GROUP_DYNAMIC;NZDDHDIPA;TASTY_JUICE_TROPICAL_MILKSHAKE;NO_WORRIES_MANGO;SWEET_WHEAT;NO_WORRIES_DRIVING_HOME_FOR_CHRISTMAS;JULEBOCK;MAGELLANIC_CLOUDS;PARAGON_2021_BY_RACKHOUSE;SALTED_RHUBARB_VANILLA_SOUR_CREAM_CRUMBLE;LEIF;MAGIC_CLOUDS</t>
  </si>
  <si>
    <t>LINDEBOOM</t>
  </si>
  <si>
    <t>LINDEBOOM;NOG_EENDJE_BLOND;WITTE_BUSJOP;LA_SELVA;UMBELDER_AMBER</t>
  </si>
  <si>
    <t>VENLOOSCH</t>
  </si>
  <si>
    <t>GRUYTER</t>
  </si>
  <si>
    <t>MOERSLEUTEL;COCONUT_SPACE_BROWNIE;CRANK_THE_JUICE;MOTOR_OIL_/_MOTOROLIE;FRUIT_BOMB;MACAROON_MACHINE;COFFEE_GRINDER;CAN_BRULEE;REMBLOCK;GEITENBREIER;FRUIT_PRESS;OCTANE_OVERLORD;WANNA_TASTE_MY_SNOWFLAKES?;COSMIC_CITRA;WRENCH;AZACCA;MOTOR_OIL_CHRISTMAS_SPECIAL;MAPLE_PECAN_PIE;MARGREET;HYPE_BOMB;FRUIT_BLIZZARD;SUPERCHARGED_LEAF_BLOWER</t>
  </si>
  <si>
    <t>POESIAT_KATER</t>
  </si>
  <si>
    <t>ROCK_CITY</t>
  </si>
  <si>
    <t>ROCK_CITY;KOENE_RIDDER;SMULBOCK;SQUEEZER;MAKERS_MONK;SECOND_DATE;CARTE_BLANCHE;ROADIE_STERK_BLOND;ROADIE_IPA_V2;ROADIE_IPA;ROADIE_WIT;FARMHOUSE_BLOND;HEFFY;SECOND_DATE;SHAKY_BONES;CHOCO_PORTER</t>
  </si>
  <si>
    <t>SCHNEIDER_WEISSE</t>
  </si>
  <si>
    <t>SCHNEIDER_WEISSE;AVENTINUS;LABRASSBANDA;BROTZEIT</t>
  </si>
  <si>
    <t>SCHNEIDER</t>
  </si>
  <si>
    <t>SIERRA_NEVADA;TORPEDO_EXTRA_IPA;HAZY_LITTLE_THING;HOP_HUNTER;TROPICAL_TORPEDO;HOP_BULLET;FLIPSIDE;NOONER;NARWHAL;KELLERWEIS;HOPTIMUM;BIG_LITTLE_THING_IMPERIAL_IPA;BARREL_AGED_NARWHAL;WILD_LITTLE_THING;DANKFUL_IPA;TUMBLER;ATOMIC_TORPEDO;CALIFORNIA_IPA;RUTHLESS_RYE_IPA;FANTASTIC_HAZE;POWDER_DAY_IPA;SUNNY_LITTLE_THING;NORTHERN_HEMISPHERE_HARVEST;SIERRAVEZA;SUMMER_BREAK;SIDECAR_ORANGE_IPA;HAZY_LITTLE_THING_SESSION_EDITION/LITTLE_THING_IPA;WANDERLAND;LIQUID_HOPPINESS_JUICY_IPA;JUICY_LITTLE_THING;OTRA_VEZ;ESTATE_HOMEGROWN_IPA;COSMIC_LITTLE_THING;3_WEIGHT;TROPICAL_LITTLE_THING;MAPLE_SCOTCH_ALE;SOUTHERN_GOTHIC;HOP_SOLO;HELLES_IN_THE_TROPICS</t>
  </si>
  <si>
    <t>STADSHAVEN</t>
  </si>
  <si>
    <t>STADSHAVEN;PIRANHA_TRIPEL;OCTOPUS_KRAKEN;GREAT_WHITE;MORAY_IPA;BOCK_RAMMER;ICE_BREAKER;REDHEAD_ALE;LIMONCELLO_NEIPA;DEVIL_S_FRUIT;SAILORS_LAGER;OER-PILSNER;INFUSED_PIRANHA_TRIPEL;OCTOPUS_BLOND;AI_NAVIGATOR_S_BOCK;OCEAN_REBELS;MAASSIVE_ROTTERDAM_COLLAB;SHIPPED_22;MORAY_IPA;KONINGSBIER;DE_MOOIE_TOOSKE;CLUB_HAUG;SHIPPED_23;BOCK_RAMMER;SMAAK_VAN_ROTTERDAM_WEIZEN;DE_WITTE_PETER;HEIMOLEN_TRIPEL;SABRO_GOLD;HOPPY_WIT;WALHALLA_S_IPA;WEESKRANIG_BLOND;OCTOPUS_BLOND;BOMMEER_WIT_BIER;WITTE_PETER;SPICY_MANGO_PEACH;RASPBERRY_DRAGON_FRUIT;WEESKRANIG_IPA;LIME_AND_PASSION;MOONSHINE_WEIZEN;MOONSHINE_TRIPEL</t>
  </si>
  <si>
    <t>TO_OL</t>
  </si>
  <si>
    <t>VAN_MOLL</t>
  </si>
  <si>
    <t>VAN_MOLL;LANGHARIG_TUIG;DOERAK;TRIPLE_TROUBLE;TOEWIJDING;WODAN;WANDERLUST;EINDBAAS_LEVEL_2;PASTORALE;OPGEBOKT;ZOLTAN_-_BUFFALO_TRACE_BA;CAMP_CARIBOO;HOLY_HOPSTER;SPELT_GEWELD;JAZZ_AGE;QUADROPHENIA;CITRAMAN;BLOODY_HERRIE;SHADOW_ASSASSIN;TOTAL_BLACKOUT;PUNJABI_PUNCH;FUNKY_DRUMMER;HOPPINESS_IS_EASY;CLUB_TROPICANA;MORRICONE;LUIKSE_VECHTER;SPELLBOUND;SHADOW_ASSASSIN_BOURBON;HOPOCALYPSE_FOREVER;GRANDEUR;BLACK_METAL_MANITA;EINDBAAS_LEVEL_4;GUAVEMENTE;EINDE_OEFENING;MU_MU_LAND;DREAMCATCHER;TALUSMAN</t>
  </si>
  <si>
    <t>VELTINS</t>
  </si>
  <si>
    <t>VELTINS;V+_CURUBA;V+_ENERGY;V+;V+_LEMON_GRAPEFRUIT;V+_SPRIZZ;ZITRONKEN;V+_BERRY;V+_LEMON;V+_TUTTI_FRUTTI_ENERGY;V+_WILD_BERRY</t>
  </si>
  <si>
    <t>GREVENSTEINER</t>
  </si>
  <si>
    <t>DUCHESSE;ANNE_TRIPLE</t>
  </si>
  <si>
    <t>WALHALLA;LOKI_GOLDEN_IPA;ZEUS_DIPA;NJORD_HAZY_PALE_ALE;ELIXER_NEW_ENGLAND_IPA;NABU_MANGO_IPA;NISABA_WEST_COAST_IPA;HEIMDALL_IMPERIAL_RYE_BOCK;MIST_WEIZEN;APHRODITE_RASPBERRY_SOUR;APOLLO_HOPPY_PILSNER</t>
  </si>
  <si>
    <t>WHIPLASH;BONE_MACHINE;ROLLOVER;BODY_RIDDLE;SETTING_SUN;SURRENDER_TO_THE_VOID;THE_SUP;LET_IT_HAPPEN;SCALDY_PORTER;FATAL_DEVIATION;SHADES_OF_MARBLE;DO_YOU_WANNA_TOUCH_ME;SLOW_LIFE;DISCO_MYSTIC;SPACE_OPERATOR;DRONE_LOGIC;SWOON;BLUE_GHOSTS;RECKONER;WATER_JUMP;CREAM_ON_CHROME;HORSE_POWER;SUNSHINE_UNDER_GROUND;STATION_TO_STATION;NEVER_CURSED;NICE_DREAM;VELOURIA;FANTASM_PLANES;DOOM_CITY;FATAL_DEVIATION_(BARREL_AGED);QUIET_CROWD;HEADLINES;HEART_OF_CHAMBERS;ANOTHER_LIGHT;JUNGLE_WINDOW;BREAKING_GLASS;LOUD_PLACES;CLOSE_TO_PARADISE;APOCALYPSE_DREAMS;PRISONER_OF_LOVE</t>
  </si>
  <si>
    <t xml:space="preserve">BRAND | NEIPA | </t>
  </si>
  <si>
    <t xml:space="preserve">DORS | LAGER | </t>
  </si>
  <si>
    <t xml:space="preserve">GULPENER | PILNSER | </t>
  </si>
  <si>
    <t xml:space="preserve">GULPENER | IJSBOCK | </t>
  </si>
  <si>
    <t>IJSBOCK</t>
  </si>
  <si>
    <t xml:space="preserve">GULPENER | LENTEBOCK | </t>
  </si>
  <si>
    <t xml:space="preserve">GULPENER | TRIPEL | </t>
  </si>
  <si>
    <t xml:space="preserve">MOKSHA | ELDERFLOWER | </t>
  </si>
  <si>
    <t xml:space="preserve">SCHULTENBRAU | ZUSTER_AGATHA | </t>
  </si>
  <si>
    <t>AGATHA</t>
  </si>
  <si>
    <t>ZUSTER_AGATHA</t>
  </si>
  <si>
    <t xml:space="preserve">SCHULTENBRAU | OSSEKOP_BLOND | </t>
  </si>
  <si>
    <t>OSSEKOP</t>
  </si>
  <si>
    <t>OSSEKOP_BLOND</t>
  </si>
  <si>
    <t xml:space="preserve">SCHULTENBRAU | BROEDER_EVERARDUS | </t>
  </si>
  <si>
    <t>EVERARDUS</t>
  </si>
  <si>
    <t>BROEDER_EVERARDUS</t>
  </si>
  <si>
    <t xml:space="preserve">SCHULTENBRAU | OSSEBOCK | </t>
  </si>
  <si>
    <t>OSSEBOCK</t>
  </si>
  <si>
    <t xml:space="preserve">SCHULTENBRAU | BEERSKEY | </t>
  </si>
  <si>
    <t>BEERSKEY</t>
  </si>
  <si>
    <t xml:space="preserve">SCHULTENBRAU | LENTE_BIER | </t>
  </si>
  <si>
    <t>LENTE_BIER</t>
  </si>
  <si>
    <t xml:space="preserve">SCHULTENBRAU | NONDEJU_GRAND_CRU | </t>
  </si>
  <si>
    <t>NONDEJU_GRAND_CRU</t>
  </si>
  <si>
    <t xml:space="preserve">MUIFEL | MESSENTREKKER | </t>
  </si>
  <si>
    <t>MESSENTREKKER</t>
  </si>
  <si>
    <t xml:space="preserve">MUIFEL | MUIFEL_BOCKSKI | </t>
  </si>
  <si>
    <t>BOCKSKI</t>
  </si>
  <si>
    <t>MUIFEL_BOCKSKI</t>
  </si>
  <si>
    <t xml:space="preserve">MUIFEL | 1357_DUBBEL | </t>
  </si>
  <si>
    <t>1357_DUBBEL</t>
  </si>
  <si>
    <t xml:space="preserve">MUIFEL | UNNE_ZIEVERZAK | </t>
  </si>
  <si>
    <t>ZIEVERZAK</t>
  </si>
  <si>
    <t>UNNE_ZIEVERZAK</t>
  </si>
  <si>
    <t xml:space="preserve">MUIFEL | WEIZEN | </t>
  </si>
  <si>
    <t xml:space="preserve">MUIFEL | NINA_S_BLACK_METAL_BDIPA | </t>
  </si>
  <si>
    <t>NINA</t>
  </si>
  <si>
    <t>NINA_S_BLACK_METAL_BDIPA</t>
  </si>
  <si>
    <t xml:space="preserve">MUIFEL | GRAAF_DICBIER | </t>
  </si>
  <si>
    <t>DICBIER</t>
  </si>
  <si>
    <t>GRAAF_DICBIER</t>
  </si>
  <si>
    <t xml:space="preserve">MUIFEL | HOPPY_WEIZEN_LENTEBIER | </t>
  </si>
  <si>
    <t>HOPPY_WEIZEN_LENTEBIER</t>
  </si>
  <si>
    <t xml:space="preserve">MUIFEL | I_SPY_DOUBLE_RYE_DUBBELBOCK | </t>
  </si>
  <si>
    <t>I_SPY_DOUBLE_RYE_DUBBELBOCK</t>
  </si>
  <si>
    <t xml:space="preserve">MUIFEL | MAASHORST_BLOND | </t>
  </si>
  <si>
    <t>MAASHORST</t>
  </si>
  <si>
    <t>MAASHORST_BLOND</t>
  </si>
  <si>
    <t xml:space="preserve">MUIFEL | SEBIUS_TRIPEL_WEIZEN | </t>
  </si>
  <si>
    <t>SEBIUS</t>
  </si>
  <si>
    <t>SEBIUS_TRIPEL_WEIZEN</t>
  </si>
  <si>
    <t xml:space="preserve">MUIFEL | BERGHS_BIER_AMBER | </t>
  </si>
  <si>
    <t>BERGHS</t>
  </si>
  <si>
    <t>BERGHS_BIER_AMBER</t>
  </si>
  <si>
    <t>TRACKDOWN</t>
  </si>
  <si>
    <t>RAPTOR</t>
  </si>
  <si>
    <t>DR._RAPTOR</t>
  </si>
  <si>
    <t>FF_LEKKER_MET_JE_BEK_IN_HET_ZONNETJE</t>
  </si>
  <si>
    <t>DIKKE_LUL_3_BIER!</t>
  </si>
  <si>
    <t>PIEWEE_THE_PINEAPPLE_WEIZEN</t>
  </si>
  <si>
    <t>ME_MYSELF</t>
  </si>
  <si>
    <t>ME_MYSELF_&amp;_IPA</t>
  </si>
  <si>
    <t>APFELSTRUDEL_DOPPELBOCK</t>
  </si>
  <si>
    <t>COSMIC_BLOND</t>
  </si>
  <si>
    <t>EL_PATRON</t>
  </si>
  <si>
    <t>F*CK_THE_CHRISTMAS_TREE_IS_ON_FIRE!!!_/_F*CK_DE_KERSTBOOM_STAAT_IN_DE_FIK!!!</t>
  </si>
  <si>
    <t>WIZARD_WIT</t>
  </si>
  <si>
    <t>FANCY</t>
  </si>
  <si>
    <t>FANCY_PANTS</t>
  </si>
  <si>
    <t>DONNA</t>
  </si>
  <si>
    <t>PRIMA_DONNA</t>
  </si>
  <si>
    <t>HAVE_YOU_EVER_BEEN_YELLOW</t>
  </si>
  <si>
    <t>CASCADE</t>
  </si>
  <si>
    <t>MET_JE_CASCADE_GROENE_TRUI_/_CASCADE_GREEN_SWEATER</t>
  </si>
  <si>
    <t>SOCKS</t>
  </si>
  <si>
    <t>HATS,_HOPS_&amp;_WARM_SOCKS</t>
  </si>
  <si>
    <t>DOG</t>
  </si>
  <si>
    <t>WHOOOO_LET_THE_DOG_OUT</t>
  </si>
  <si>
    <t>SUPERB</t>
  </si>
  <si>
    <t>RAKKER</t>
  </si>
  <si>
    <t>GELE_RAKKER</t>
  </si>
  <si>
    <t>OWLBERT</t>
  </si>
  <si>
    <t>PRINCE_OWLBERT</t>
  </si>
  <si>
    <t>CARAVAN</t>
  </si>
  <si>
    <t>F*CK_THE_CARAVAN_IS_ON_FIRE!_/_F*CK_DE_CARAVAN_STAAT_IN_DE_FIK!</t>
  </si>
  <si>
    <t>JOOST</t>
  </si>
  <si>
    <t>JOOST_MAG_HET_WETEN</t>
  </si>
  <si>
    <t>MOSAIC_MAMMOTH</t>
  </si>
  <si>
    <t xml:space="preserve">VANDESTREEK | HAZY_WEEKEND | </t>
  </si>
  <si>
    <t>WEEKEND</t>
  </si>
  <si>
    <t>HAZY_WEEKEND</t>
  </si>
  <si>
    <t xml:space="preserve">VANDESTREEK | TURF_'N_SURF | </t>
  </si>
  <si>
    <t>SURF</t>
  </si>
  <si>
    <t>TURF_'N_SURF</t>
  </si>
  <si>
    <t xml:space="preserve">VANDESTREEK | BROEDERS | </t>
  </si>
  <si>
    <t>BROEDERS</t>
  </si>
  <si>
    <t xml:space="preserve">VANDESTREEK | HOP_ART | </t>
  </si>
  <si>
    <t>HOP_ART</t>
  </si>
  <si>
    <t xml:space="preserve">VANDESTREEK | ZONNESTEEK | </t>
  </si>
  <si>
    <t>ZONNESTEEK</t>
  </si>
  <si>
    <t xml:space="preserve">VANDESTREEK | BLACKBOCK | </t>
  </si>
  <si>
    <t>BLACKBOCK</t>
  </si>
  <si>
    <t xml:space="preserve">VANDESTREEK | FRISKY | </t>
  </si>
  <si>
    <t>FRISKY</t>
  </si>
  <si>
    <t xml:space="preserve">VANDESTREEK | ROOKWORST_WEIZEN | </t>
  </si>
  <si>
    <t>ROOKWORST</t>
  </si>
  <si>
    <t>ROOKWORST_WEIZEN</t>
  </si>
  <si>
    <t xml:space="preserve">VANDESTREEK | WITZIGE_WEIZEN | </t>
  </si>
  <si>
    <t>WITZIGE</t>
  </si>
  <si>
    <t>WITZIGE_WEIZEN</t>
  </si>
  <si>
    <t xml:space="preserve">VANDESTREEK | FRUIT_MACHINE_&lt;0.5% | </t>
  </si>
  <si>
    <t>FRUIT_MACHINE_&lt;0.5%</t>
  </si>
  <si>
    <t xml:space="preserve">VANDESTREEK | MAN_MAN_MANGO | </t>
  </si>
  <si>
    <t>MAN_MAN_MANGO</t>
  </si>
  <si>
    <t xml:space="preserve">VANDESTREEK | BOURBON_BA_BARLEY_WINE | </t>
  </si>
  <si>
    <t>BOURBON_BA_BARLEY_WINE</t>
  </si>
  <si>
    <t xml:space="preserve">VANDESTREEK | GRAPEFRUIT_NON_ALCOHOLIC_IPA | </t>
  </si>
  <si>
    <t>GRAPEFRUIT_NON_ALCOHOLIC_IPA</t>
  </si>
  <si>
    <t xml:space="preserve">VANDESTREEK | BOCK_JIJ_OF_BOCK_IK | </t>
  </si>
  <si>
    <t>BOCK_JIJ</t>
  </si>
  <si>
    <t>BOCK_JIJ_OF_BOCK_IK</t>
  </si>
  <si>
    <t xml:space="preserve">VANDESTREEK | BUMPER_NON_ALCOHOLIC_BLOND | </t>
  </si>
  <si>
    <t>BUMPER</t>
  </si>
  <si>
    <t>BUMPER_NON_ALCOHOLIC_BLOND</t>
  </si>
  <si>
    <t xml:space="preserve">VANDESTREEK | CHEERS_TO_THE_NEXT_10_YEARS | </t>
  </si>
  <si>
    <t>CHEERS</t>
  </si>
  <si>
    <t>CHEERS_TO_THE_NEXT_10_YEARS</t>
  </si>
  <si>
    <t xml:space="preserve">VANDESTREEK | LEBOWSKI_TARWE_TRIPEL | </t>
  </si>
  <si>
    <t>LEBOWSKI</t>
  </si>
  <si>
    <t>LEBOWSKI_TARWE_TRIPEL</t>
  </si>
  <si>
    <t xml:space="preserve">VANDESTREEK | BARREL_HAZARD | </t>
  </si>
  <si>
    <t>HAZARD</t>
  </si>
  <si>
    <t>BARREL_HAZARD</t>
  </si>
  <si>
    <t xml:space="preserve">VANDESTREEK | GAME_ON | </t>
  </si>
  <si>
    <t>GAME_ON</t>
  </si>
  <si>
    <t xml:space="preserve">VANDESTREEK | HBC_692_DOUBLE_HAZY_IPA | </t>
  </si>
  <si>
    <t>HBC_692_DOUBLE_HAZY_IPA</t>
  </si>
  <si>
    <t xml:space="preserve">WEIHENSTEPHANER | HEFEWEIZEN | </t>
  </si>
  <si>
    <t xml:space="preserve">WEIHENSTEPHANER | VITUS | </t>
  </si>
  <si>
    <t>VITUS</t>
  </si>
  <si>
    <t xml:space="preserve">WEIHENSTEPHANER | FESTBIER | </t>
  </si>
  <si>
    <t xml:space="preserve">WEIHENSTEPHANER | DUNKEL | </t>
  </si>
  <si>
    <t xml:space="preserve">WEIHENSTEPHANER | ORIGINAL | </t>
  </si>
  <si>
    <t>ORIGINAL;LAGER</t>
  </si>
  <si>
    <t xml:space="preserve">WEIHENSTEPHANER | KORBINIAN | </t>
  </si>
  <si>
    <t>KORBINIAN</t>
  </si>
  <si>
    <t xml:space="preserve">WEIHENSTEPHANER | KRISTALLWEIZEN | </t>
  </si>
  <si>
    <t xml:space="preserve">WEIHENSTEPHANER | 1516 | </t>
  </si>
  <si>
    <t xml:space="preserve">WEIHENSTEPHANER | PILSNER | </t>
  </si>
  <si>
    <t xml:space="preserve">WEIHENSTEPHANER | HELLES | </t>
  </si>
  <si>
    <t xml:space="preserve">WEIHENSTEPHANER | TRADITION | </t>
  </si>
  <si>
    <t xml:space="preserve">WEIHENSTEPHANER | WINTER | </t>
  </si>
  <si>
    <t>HELLES;ORIGINAL</t>
  </si>
  <si>
    <t>HELLES_ORIGINAL</t>
  </si>
  <si>
    <t xml:space="preserve">WEIHENSTEPHANER | WEIHENSTEPHANER_PALE_ALE | </t>
  </si>
  <si>
    <t>WEIHENSTEPHANER_PALE_ALE</t>
  </si>
  <si>
    <t>WEIHENSTEPHANER | HEFEWEIZEN | LIGHT</t>
  </si>
  <si>
    <t xml:space="preserve">WEIHENSTEPHANER | RADLER | </t>
  </si>
  <si>
    <t xml:space="preserve">WITTEKERKE | WITTEKERKE_ROSÉ | </t>
  </si>
  <si>
    <t>WITTEKERKE_ROSÉ</t>
  </si>
  <si>
    <t xml:space="preserve">WITTEKERKE | WITTEKERKE_SOUR_GRAPEFRUIT | </t>
  </si>
  <si>
    <t>WITTEKERKE_SOUR_GRAPEFRUIT</t>
  </si>
  <si>
    <t xml:space="preserve">WITTEKERKE | WITTEKERKE_SOUR_STRAWBERRY | </t>
  </si>
  <si>
    <t>WITTEKERKE_SOUR_STRAWBERRY</t>
  </si>
  <si>
    <t xml:space="preserve">WITTEKERKE | WITTEKERKE_SOUR_CRANBERRY | </t>
  </si>
  <si>
    <t>WITTEKERKE_SOUR_CRANBERRY</t>
  </si>
  <si>
    <t xml:space="preserve">ARPUS | HOPCHEST | </t>
  </si>
  <si>
    <t>HOPCHEST</t>
  </si>
  <si>
    <t xml:space="preserve">ARPUS | HOPHEART | </t>
  </si>
  <si>
    <t>HOPHEART</t>
  </si>
  <si>
    <t xml:space="preserve">ARPUS | FRUITHEART | </t>
  </si>
  <si>
    <t>FRUITHEART</t>
  </si>
  <si>
    <t xml:space="preserve">ARPUS | CLOUDWATER | </t>
  </si>
  <si>
    <t>CLOUDWATER</t>
  </si>
  <si>
    <t xml:space="preserve">ARPUS | GUAVA | </t>
  </si>
  <si>
    <t xml:space="preserve">ARPUS | MANGO | </t>
  </si>
  <si>
    <t xml:space="preserve">ARPUS | PINEAPPLE_X_COCONUT_X_VANILLA_SMOOTHIE_SOUR_ALE | </t>
  </si>
  <si>
    <t>PINEAPPLE_X_COCONUT_X_VANILLA_SMOOTHIE_SOUR_ALE</t>
  </si>
  <si>
    <t xml:space="preserve">ARPUS | NELSON | </t>
  </si>
  <si>
    <t xml:space="preserve">ARPUS | DREKKER | </t>
  </si>
  <si>
    <t>DREKKER</t>
  </si>
  <si>
    <t xml:space="preserve">ARPUS | DANKHOUSE | </t>
  </si>
  <si>
    <t>DANKHOUSE</t>
  </si>
  <si>
    <t xml:space="preserve">ARPUS | MESSOREM | </t>
  </si>
  <si>
    <t>MESSOREM</t>
  </si>
  <si>
    <t xml:space="preserve">BAVARIA | PILNSER | </t>
  </si>
  <si>
    <t xml:space="preserve">BAVARIA | HERFSTBOCK | </t>
  </si>
  <si>
    <t xml:space="preserve">BAVARIA | WHITE | </t>
  </si>
  <si>
    <t xml:space="preserve">BAVARIA | IPA | </t>
  </si>
  <si>
    <t xml:space="preserve">BAVARIA | RADLER | </t>
  </si>
  <si>
    <t xml:space="preserve">BAVARIA | PILSNER | </t>
  </si>
  <si>
    <t xml:space="preserve">BAVARIA | ROSE | </t>
  </si>
  <si>
    <t>BAVARIA | PILSNER | GLUTEN_FREE</t>
  </si>
  <si>
    <t xml:space="preserve">BAVARIA | LENTEBOCK | </t>
  </si>
  <si>
    <t xml:space="preserve">BIG_BELLY | MO_PHI | </t>
  </si>
  <si>
    <t>MO_PHI</t>
  </si>
  <si>
    <t xml:space="preserve">BIG_BELLY | LOULOU | </t>
  </si>
  <si>
    <t>LOULOU</t>
  </si>
  <si>
    <t xml:space="preserve">BIG_BELLY | BOBBY_LOVE | </t>
  </si>
  <si>
    <t>BOBBY_LOVE</t>
  </si>
  <si>
    <t xml:space="preserve">BIG_BELLY | ÆTHELSTAN | </t>
  </si>
  <si>
    <t>ÆTHELSTAN</t>
  </si>
  <si>
    <t xml:space="preserve">BIG_BELLY | JACQUES_HOLY_QUADRUPLE | </t>
  </si>
  <si>
    <t>JACQUES</t>
  </si>
  <si>
    <t>JACQUES_HOLY_QUADRUPLE</t>
  </si>
  <si>
    <t xml:space="preserve">BIG_BELLY | LIQUID_DESSERTS_13 | </t>
  </si>
  <si>
    <t>LIQUID_DESSERTS_13</t>
  </si>
  <si>
    <t xml:space="preserve">BIG_BELLY | LIQUID_DESSERTS_08 | </t>
  </si>
  <si>
    <t>LIQUID_DESSERTS_08</t>
  </si>
  <si>
    <t xml:space="preserve">BIG_BELLY | CABRON | </t>
  </si>
  <si>
    <t>CABRON</t>
  </si>
  <si>
    <t xml:space="preserve">BIG_BELLY | BRENDAAS | </t>
  </si>
  <si>
    <t>BRENDAAS</t>
  </si>
  <si>
    <t xml:space="preserve">BIG_BELLY | LIQUID_DESSERTS_11 | </t>
  </si>
  <si>
    <t>LIQUID_DESSERTS_11</t>
  </si>
  <si>
    <t xml:space="preserve">BIG_BELLY | THE_IRON_HORSE | </t>
  </si>
  <si>
    <t>THE_IRON_HORSE</t>
  </si>
  <si>
    <t xml:space="preserve">BIG_BELLY | LIQUID_DESSERTS_17 | </t>
  </si>
  <si>
    <t>LIQUID_DESSERTS_17</t>
  </si>
  <si>
    <t xml:space="preserve">BIG_BELLY | LIQUID_DESSERTS_04 | </t>
  </si>
  <si>
    <t>LIQUID_DESSERTS_04</t>
  </si>
  <si>
    <t xml:space="preserve">BIG_BELLY | LIQUID_DESSERTS_16 | </t>
  </si>
  <si>
    <t>LIQUID_DESSERTS_16</t>
  </si>
  <si>
    <t xml:space="preserve">BIG_BELLY | LIQUID_DESSERTS_10 | </t>
  </si>
  <si>
    <t>LIQUID_DESSERTS_10</t>
  </si>
  <si>
    <t xml:space="preserve">BIG_BELLY | LIQUID_DESSERTS_15 | </t>
  </si>
  <si>
    <t>LIQUID_DESSERTS_15</t>
  </si>
  <si>
    <t xml:space="preserve">BIG_BELLY | AETHELSTAN_BARREL_AGED | </t>
  </si>
  <si>
    <t>AETHELSTAN_BARREL_AGED</t>
  </si>
  <si>
    <t xml:space="preserve">BIG_BELLY | LIQUID_DESSERTS_19 | </t>
  </si>
  <si>
    <t>LIQUID_DESSERTS_19</t>
  </si>
  <si>
    <t xml:space="preserve">BIG_BELLY | LIQUID_DESSERTS_21 | </t>
  </si>
  <si>
    <t>LIQUID_DESSERTS_21</t>
  </si>
  <si>
    <t xml:space="preserve">BIG_BELLY | LA_BELLA_TRIPEL_D_OR | </t>
  </si>
  <si>
    <t>BELLA</t>
  </si>
  <si>
    <t>LA_BELLA_TRIPEL_D_OR</t>
  </si>
  <si>
    <t xml:space="preserve">BIG_BELLY | LIQUID_DESSERTS_20_2 | </t>
  </si>
  <si>
    <t>20_2</t>
  </si>
  <si>
    <t>LIQUID_DESSERTS_20_2</t>
  </si>
  <si>
    <t xml:space="preserve">BIG_BELLY | 6 | </t>
  </si>
  <si>
    <t xml:space="preserve">BIG_BELLY | 20_1 | </t>
  </si>
  <si>
    <t>20_1</t>
  </si>
  <si>
    <t xml:space="preserve">BIG_BELLY | BOMPA_SMOOTH_DUBBEL | </t>
  </si>
  <si>
    <t>BOMPA</t>
  </si>
  <si>
    <t>BOMPA_SMOOTH_DUBBEL</t>
  </si>
  <si>
    <t xml:space="preserve">BOEGBEELD | KUTBIER | </t>
  </si>
  <si>
    <t>KUTBIER;CORE</t>
  </si>
  <si>
    <t>KUTBIER</t>
  </si>
  <si>
    <t xml:space="preserve">BOEGBEELD | KUTBIER_MET_PERZIK | </t>
  </si>
  <si>
    <t>KUTBIER_MET_PERZIK</t>
  </si>
  <si>
    <t xml:space="preserve">BOEGBEELD | KOEKWAUS | </t>
  </si>
  <si>
    <t>KOEKWAUS</t>
  </si>
  <si>
    <t>SKEITERT</t>
  </si>
  <si>
    <t xml:space="preserve">SANCTI_ADALBERTI | BLOND | </t>
  </si>
  <si>
    <t xml:space="preserve">SANCTI_ADALBERTI | ABDIJBOCK | </t>
  </si>
  <si>
    <t>ABDIJBOCK</t>
  </si>
  <si>
    <t xml:space="preserve">SANCTI_ADALBERTI | ALKMAARS_VERZETJE | </t>
  </si>
  <si>
    <t>ALKMAARS</t>
  </si>
  <si>
    <t>ALKMAARS_VERZETJE</t>
  </si>
  <si>
    <t xml:space="preserve">SANCTI_ADALBERTI | DE_TRANEN_VAN_ADELBERT | </t>
  </si>
  <si>
    <t>TRANEN</t>
  </si>
  <si>
    <t>DE_TRANEN_VAN_ADELBERT</t>
  </si>
  <si>
    <t xml:space="preserve">SANCTI_ADALBERTI | 3_SAISON | </t>
  </si>
  <si>
    <t>3_SAISON</t>
  </si>
  <si>
    <t xml:space="preserve">SANCTI_ADALBERTI | JAN_S_WITTE_KERK | </t>
  </si>
  <si>
    <t>JAN_S_WITTE_KERK</t>
  </si>
  <si>
    <t xml:space="preserve">SANCTI_ADALBERTI | SOUL_MATE | </t>
  </si>
  <si>
    <t>SOUL_MATE</t>
  </si>
  <si>
    <t xml:space="preserve">SANCTI_ADALBERTI | HERBERG_ZOMERBIER | </t>
  </si>
  <si>
    <t>HERBERG_ZOMERBIER</t>
  </si>
  <si>
    <t xml:space="preserve">HOMELAND | ZEEBONK | </t>
  </si>
  <si>
    <t>ZEEBONK</t>
  </si>
  <si>
    <t xml:space="preserve">HOMELAND | KATZWIJM | </t>
  </si>
  <si>
    <t>KATZWIJM</t>
  </si>
  <si>
    <t xml:space="preserve">HOMELAND | BRASSERS_BLOND | </t>
  </si>
  <si>
    <t>BRASSERS</t>
  </si>
  <si>
    <t>BRASSERS_BLOND</t>
  </si>
  <si>
    <t xml:space="preserve">HOMELAND | PIEREMEGOGGEL | </t>
  </si>
  <si>
    <t>PIEREMEGOGGEL</t>
  </si>
  <si>
    <t xml:space="preserve">HOMELAND | AMSTERDAMS_WIT | </t>
  </si>
  <si>
    <t>AMSTERDAM</t>
  </si>
  <si>
    <t>AMSTERDAMS_WIT</t>
  </si>
  <si>
    <t xml:space="preserve">HOMELAND | SCHEEPSBOK | </t>
  </si>
  <si>
    <t>SCHEEPSBOK</t>
  </si>
  <si>
    <t xml:space="preserve">HOMELAND | KETELBINKIE | </t>
  </si>
  <si>
    <t>KETELBINKIE</t>
  </si>
  <si>
    <t xml:space="preserve">HOMELAND | LORRE | </t>
  </si>
  <si>
    <t>LORRE</t>
  </si>
  <si>
    <t xml:space="preserve">HOMELAND | ZWARTBAARD | </t>
  </si>
  <si>
    <t>ZWARTBAARD</t>
  </si>
  <si>
    <t xml:space="preserve">HOMELAND | KIELZOG | </t>
  </si>
  <si>
    <t>KIELZOG</t>
  </si>
  <si>
    <t xml:space="preserve">HOMELAND | LOVE_BOAT | </t>
  </si>
  <si>
    <t>LOVE</t>
  </si>
  <si>
    <t>LOVE_BOAT</t>
  </si>
  <si>
    <t xml:space="preserve">HOMELAND | SPELT | </t>
  </si>
  <si>
    <t>SPELT</t>
  </si>
  <si>
    <t xml:space="preserve">HOMELAND | THE_SEVEN_C_S | </t>
  </si>
  <si>
    <t>SEVEN</t>
  </si>
  <si>
    <t>THE_SEVEN_C_S</t>
  </si>
  <si>
    <t xml:space="preserve">HOMELAND | LIFELINE | </t>
  </si>
  <si>
    <t>LIFELINE</t>
  </si>
  <si>
    <t xml:space="preserve">HOMELAND | POPULUS_6921 | </t>
  </si>
  <si>
    <t>STOUT;POPULUS;6921</t>
  </si>
  <si>
    <t>POPULUS_6921</t>
  </si>
  <si>
    <t xml:space="preserve">HOMELAND | ZWARTE_ZWAAN | </t>
  </si>
  <si>
    <t>ZWAAN</t>
  </si>
  <si>
    <t>ZWARTE_ZWAAN</t>
  </si>
  <si>
    <t xml:space="preserve">HOMELAND | VALREEP | </t>
  </si>
  <si>
    <t>VALREEP</t>
  </si>
  <si>
    <t xml:space="preserve">HOMELAND | VLIEGENDE_HOLLANDER | </t>
  </si>
  <si>
    <t>VLIEGENDE</t>
  </si>
  <si>
    <t>VLIEGENDE_HOLLANDER</t>
  </si>
  <si>
    <t xml:space="preserve">HOMELAND | HULLBREAKER | </t>
  </si>
  <si>
    <t>HULLBREAKER</t>
  </si>
  <si>
    <t xml:space="preserve">HOMELAND | AVERIJ | </t>
  </si>
  <si>
    <t>AVERIJ</t>
  </si>
  <si>
    <t xml:space="preserve">HOMELAND | IJSBAARD | </t>
  </si>
  <si>
    <t>IJSBAARD</t>
  </si>
  <si>
    <t xml:space="preserve">HOMELAND | ATLANTIS | </t>
  </si>
  <si>
    <t>ATLANTIS</t>
  </si>
  <si>
    <t xml:space="preserve">HOOP | KAPER | </t>
  </si>
  <si>
    <t>KAPER</t>
  </si>
  <si>
    <t xml:space="preserve">HOOP | BLEKE_NELIS | </t>
  </si>
  <si>
    <t>BLEKE_NELIS</t>
  </si>
  <si>
    <t xml:space="preserve">HOOP | AWESOME_AUTUMN_RUM_BOCK | </t>
  </si>
  <si>
    <t>AWESOME_AUTUMN_RUM_BOCK</t>
  </si>
  <si>
    <t xml:space="preserve">HOOP | PEPERNOTENBIER | </t>
  </si>
  <si>
    <t>PEPERNOTENBIER</t>
  </si>
  <si>
    <t xml:space="preserve">HOOP | SUMMER_SESSION_TROPICAL_IPA | </t>
  </si>
  <si>
    <t>SUMMER_SESSION_TROPICAL_IPA</t>
  </si>
  <si>
    <t xml:space="preserve">HOOP | SWEET_SPRING_BISON_GRASS_BOCK | </t>
  </si>
  <si>
    <t>SWEET_SPRING_BISON_GRASS_BOCK</t>
  </si>
  <si>
    <t xml:space="preserve">HOOP | ANKER | </t>
  </si>
  <si>
    <t xml:space="preserve">HOOP | OUDT_HEYN | </t>
  </si>
  <si>
    <t>HEYN</t>
  </si>
  <si>
    <t>OUDT_HEYN</t>
  </si>
  <si>
    <t xml:space="preserve">HOOP | SPAANSCH_BENAUWD | </t>
  </si>
  <si>
    <t>SPAANSCH</t>
  </si>
  <si>
    <t>SPAANSCH_BENAUWD</t>
  </si>
  <si>
    <t xml:space="preserve">HOOP | QUEEN_BEE(R) | </t>
  </si>
  <si>
    <t>QUEEN</t>
  </si>
  <si>
    <t>QUEEN_BEE(R)</t>
  </si>
  <si>
    <t xml:space="preserve">HOOP | TSAR_PJOTR | </t>
  </si>
  <si>
    <t>TSAR</t>
  </si>
  <si>
    <t>TSAR_PJOTR</t>
  </si>
  <si>
    <t xml:space="preserve">HOOP | BULLEBIER | </t>
  </si>
  <si>
    <t>BULLEBIER</t>
  </si>
  <si>
    <t xml:space="preserve">HOOP | HULA_HULA | </t>
  </si>
  <si>
    <t>HULA_HULA</t>
  </si>
  <si>
    <t xml:space="preserve">HOOP | DE_ECHTE_ZAANSE_MOSTERD_TRIPEL | </t>
  </si>
  <si>
    <t>ZAANSE</t>
  </si>
  <si>
    <t>DE_ECHTE_ZAANSE_MOSTERD_TRIPEL</t>
  </si>
  <si>
    <t xml:space="preserve">HOOP | VREDESPIJP | </t>
  </si>
  <si>
    <t>VREDESPIJP</t>
  </si>
  <si>
    <t xml:space="preserve">HOOP | DUNKELWEIZEN | </t>
  </si>
  <si>
    <t xml:space="preserve">HOOP | SPICY_MOSTERD_TRIPEL | </t>
  </si>
  <si>
    <t>SPICY</t>
  </si>
  <si>
    <t>SPICY_MOSTERD_TRIPEL</t>
  </si>
  <si>
    <t xml:space="preserve">HOOP | AUSSIE_DOWN_UNDER_BEER | </t>
  </si>
  <si>
    <t>AUSSIE</t>
  </si>
  <si>
    <t>AUSSIE_DOWN_UNDER_BEER</t>
  </si>
  <si>
    <t xml:space="preserve">HOOP | WIT_WOUDTJE | </t>
  </si>
  <si>
    <t>WOUDTJE</t>
  </si>
  <si>
    <t>WIT_WOUDTJE</t>
  </si>
  <si>
    <t xml:space="preserve">HOOP | ZAKKENDRAGER | </t>
  </si>
  <si>
    <t>ZAKKENDRAGER</t>
  </si>
  <si>
    <t xml:space="preserve">HOOP | 1862 | </t>
  </si>
  <si>
    <t xml:space="preserve">HOOP | BLOOD_ORANGE | </t>
  </si>
  <si>
    <t xml:space="preserve">HOOP | IMPERIAL_STROOPWAFEL_STOUT | </t>
  </si>
  <si>
    <t>IMPERIAL_STROOPWAFEL_STOUT</t>
  </si>
  <si>
    <t xml:space="preserve">NOORDT | NOORDTSINGLE | </t>
  </si>
  <si>
    <t>NOORDTSINGLE</t>
  </si>
  <si>
    <t xml:space="preserve">NOORDT | BLONDT | </t>
  </si>
  <si>
    <t>BLONDT</t>
  </si>
  <si>
    <t xml:space="preserve">NOORDT | TRIPEL | </t>
  </si>
  <si>
    <t xml:space="preserve">NOORDT | POMELO_IPA | </t>
  </si>
  <si>
    <t>POMELO_IPA</t>
  </si>
  <si>
    <t xml:space="preserve">NOORDT | 7_HOPS | </t>
  </si>
  <si>
    <t>7_HOPS</t>
  </si>
  <si>
    <t xml:space="preserve">NOORDT | SESSION | </t>
  </si>
  <si>
    <t xml:space="preserve">NOORDT | DUBBEL | </t>
  </si>
  <si>
    <t xml:space="preserve">NOORDT | 84 | </t>
  </si>
  <si>
    <t xml:space="preserve">NOORDT | BOK | </t>
  </si>
  <si>
    <t xml:space="preserve">NOORDT | WIT | </t>
  </si>
  <si>
    <t xml:space="preserve">NOORDT | PUMPKIN | </t>
  </si>
  <si>
    <t xml:space="preserve">NOORDT | HAWAIIAN_NEIPA | </t>
  </si>
  <si>
    <t>HAWAIIAN_NEIPA</t>
  </si>
  <si>
    <t xml:space="preserve">NOORDT | AMARENA | </t>
  </si>
  <si>
    <t>AMARENA</t>
  </si>
  <si>
    <t xml:space="preserve">NOORDT | BRAZILIAN_WITBIER | </t>
  </si>
  <si>
    <t>BRAZILIAN</t>
  </si>
  <si>
    <t>BRAZILIAN_WITBIER</t>
  </si>
  <si>
    <t xml:space="preserve">NOORDT | WITTE_AAP | </t>
  </si>
  <si>
    <t xml:space="preserve">NOORDT | CLEY | </t>
  </si>
  <si>
    <t>CLEY</t>
  </si>
  <si>
    <t xml:space="preserve">NOORDT | ZOMERBIER | </t>
  </si>
  <si>
    <t>ZOMERBIER</t>
  </si>
  <si>
    <t xml:space="preserve">NOORDT | FARMHOUSE | </t>
  </si>
  <si>
    <t xml:space="preserve">NOORDT | FOODHALLEN | </t>
  </si>
  <si>
    <t>FOODHALLEN</t>
  </si>
  <si>
    <t xml:space="preserve">NOORDT | RED | </t>
  </si>
  <si>
    <t xml:space="preserve">NOORDT | NEIPA | </t>
  </si>
  <si>
    <t xml:space="preserve">NOORDT | TRIPELWIT | </t>
  </si>
  <si>
    <t>TRIPELWIT</t>
  </si>
  <si>
    <t>BRUNEHAUT | TRIPEL | GLUTEN_FREE</t>
  </si>
  <si>
    <t>BRUNEHAUT | BLANCHE | GLUTEN_FREE</t>
  </si>
  <si>
    <t>BLANCHE</t>
  </si>
  <si>
    <t xml:space="preserve">VIEUX_BRUGES | BLANCHE | </t>
  </si>
  <si>
    <t xml:space="preserve">ST_MARTIN | QUADRUPEL | </t>
  </si>
  <si>
    <t>QUADRUPEL;CORE</t>
  </si>
  <si>
    <t xml:space="preserve">BRUNEHAUT | HOPPYBRETT | </t>
  </si>
  <si>
    <t>HOPPY;BRETT</t>
  </si>
  <si>
    <t>HOPPYBRETT</t>
  </si>
  <si>
    <t xml:space="preserve">ST_AMAND | CORE | </t>
  </si>
  <si>
    <t xml:space="preserve">LA_MICHE | BLOND | </t>
  </si>
  <si>
    <t xml:space="preserve">NE_KOPSTOOT | CHERRY | </t>
  </si>
  <si>
    <t xml:space="preserve">PAYS_BLANC | WHITE | </t>
  </si>
  <si>
    <t xml:space="preserve">COUP_D_BOULE | COUP_D_BOULE | </t>
  </si>
  <si>
    <t>BRUNEHAUT | TRIPEL | ZERO</t>
  </si>
  <si>
    <t xml:space="preserve">FLOUR_POWER | CORE | </t>
  </si>
  <si>
    <t xml:space="preserve">BOUSVAL | CORE | </t>
  </si>
  <si>
    <t xml:space="preserve">BRUUT | GAJES | </t>
  </si>
  <si>
    <t xml:space="preserve">BRUUT | WAZIG | </t>
  </si>
  <si>
    <t>WAZIG</t>
  </si>
  <si>
    <t xml:space="preserve">BRUUT | SOELAAS | </t>
  </si>
  <si>
    <t>SOELAAS</t>
  </si>
  <si>
    <t xml:space="preserve">BRUUT | EIGENWEISS | </t>
  </si>
  <si>
    <t>EIGENWEISS</t>
  </si>
  <si>
    <t xml:space="preserve">BRUUT | PINK_POGO | </t>
  </si>
  <si>
    <t>PINK_POGO</t>
  </si>
  <si>
    <t xml:space="preserve">BRUUT | SAISON | </t>
  </si>
  <si>
    <t xml:space="preserve">BRUUT | VOGT | </t>
  </si>
  <si>
    <t>VOGT</t>
  </si>
  <si>
    <t xml:space="preserve">BRUUT | STENNIS | </t>
  </si>
  <si>
    <t>STENNIS</t>
  </si>
  <si>
    <t xml:space="preserve">BRUUT | BERGAMOT | </t>
  </si>
  <si>
    <t>BERGAMOT</t>
  </si>
  <si>
    <t xml:space="preserve">BRUUT | STEREO | </t>
  </si>
  <si>
    <t>STEREO</t>
  </si>
  <si>
    <t xml:space="preserve">BRUUT | FIER | </t>
  </si>
  <si>
    <t>FIER</t>
  </si>
  <si>
    <t xml:space="preserve">BRUUT | STRUIKROVER | </t>
  </si>
  <si>
    <t>STRUIKROVER</t>
  </si>
  <si>
    <t xml:space="preserve">BRUUT | DUBBEL | </t>
  </si>
  <si>
    <t xml:space="preserve">BRUUT | CALAMITY_JANE | </t>
  </si>
  <si>
    <t>CALAMITY_JANE</t>
  </si>
  <si>
    <t xml:space="preserve">BRUUT | FOR_MANKIND | </t>
  </si>
  <si>
    <t>FOR_MANKIND</t>
  </si>
  <si>
    <t xml:space="preserve">BRUUT | YOUMANKIND_HOPPY_SAISON | </t>
  </si>
  <si>
    <t>YOUMANKIND</t>
  </si>
  <si>
    <t>YOUMANKIND_HOPPY_SAISON</t>
  </si>
  <si>
    <t xml:space="preserve">MAGISTRAAT | DOCHTER_VAN_DE_BURGEMEESTER | </t>
  </si>
  <si>
    <t>BURGEMEESTER</t>
  </si>
  <si>
    <t>DOCHTER_VAN_DE_BURGEMEESTER</t>
  </si>
  <si>
    <t xml:space="preserve">MAGISTRAAT | SCHEEPSTIMMERMAN | </t>
  </si>
  <si>
    <t>SCHEEPSTIMMERMAN</t>
  </si>
  <si>
    <t xml:space="preserve">MAGISTRAAT | DIKKE_PRINS | </t>
  </si>
  <si>
    <t>PRINS</t>
  </si>
  <si>
    <t>DIKKE_PRINS</t>
  </si>
  <si>
    <t xml:space="preserve">MAGISTRAAT | VUURBOETER | </t>
  </si>
  <si>
    <t>VUURBOETER</t>
  </si>
  <si>
    <t xml:space="preserve">MAGISTRAAT | PIKJONGEN | </t>
  </si>
  <si>
    <t>PIKJONGEN</t>
  </si>
  <si>
    <t xml:space="preserve">MAGISTRAAT | DIENSTMEID_VAN_DE_RIJKSONTVANGER | </t>
  </si>
  <si>
    <t>DIENSTMEID</t>
  </si>
  <si>
    <t>DIENSTMEID_VAN_DE_RIJKSONTVANGER</t>
  </si>
  <si>
    <t xml:space="preserve">MAGISTRAAT | DIEFHENKER | </t>
  </si>
  <si>
    <t>DIEFHENKER</t>
  </si>
  <si>
    <t xml:space="preserve">MAGISTRAAT | QUESTEERDER | </t>
  </si>
  <si>
    <t>QUESTEERDER</t>
  </si>
  <si>
    <t xml:space="preserve">MAGISTRAAT | WAARSMAN | </t>
  </si>
  <si>
    <t>WAARSMAN</t>
  </si>
  <si>
    <t xml:space="preserve">MAGISTRAAT | HEEMRAAD | </t>
  </si>
  <si>
    <t>HEEMRAAD</t>
  </si>
  <si>
    <t xml:space="preserve">MAGISTRAAT | HAZY_PALE_ALE | </t>
  </si>
  <si>
    <t>PALE_ALE;HAZY</t>
  </si>
  <si>
    <t>HAZY_PALE_ALE</t>
  </si>
  <si>
    <t xml:space="preserve">MAGISTRAAT | POLDERMOLENAAR | </t>
  </si>
  <si>
    <t>POLDERMOLENAAR</t>
  </si>
  <si>
    <t xml:space="preserve">MAGISTRAAT | HOPFENWEIZEN | </t>
  </si>
  <si>
    <t>HOPFENWEIZEN</t>
  </si>
  <si>
    <t xml:space="preserve">KORENAAR | BELLE_FLEUR | </t>
  </si>
  <si>
    <t xml:space="preserve">KORENAAR | CRIME_PASSIONNEL | </t>
  </si>
  <si>
    <t>CRIME_PASSIONNEL</t>
  </si>
  <si>
    <t xml:space="preserve">KORENAAR | CHARBON | </t>
  </si>
  <si>
    <t>CHARBON</t>
  </si>
  <si>
    <t xml:space="preserve">KORENAAR | EMBRASSE | </t>
  </si>
  <si>
    <t>EMBRASSE</t>
  </si>
  <si>
    <t xml:space="preserve">KORENAAR | EXTASE | </t>
  </si>
  <si>
    <t>EXTASE</t>
  </si>
  <si>
    <t xml:space="preserve">KORENAAR | SANS_PARDON | </t>
  </si>
  <si>
    <t>SANS_PARDON</t>
  </si>
  <si>
    <t xml:space="preserve">KORENAAR | FINESSE | </t>
  </si>
  <si>
    <t xml:space="preserve">KORENAAR | NOBLESSE | </t>
  </si>
  <si>
    <t>NOBLESSE</t>
  </si>
  <si>
    <t xml:space="preserve">KORENAAR | BRAVOURE | </t>
  </si>
  <si>
    <t>BRAVOURE</t>
  </si>
  <si>
    <t xml:space="preserve">KORENAAR | NOUVEAU_RICHE | </t>
  </si>
  <si>
    <t>RICHE</t>
  </si>
  <si>
    <t>NOUVEAU_RICHE</t>
  </si>
  <si>
    <t xml:space="preserve">KORENAAR | L_ENSEMBLE_DI_MONTALCINO | </t>
  </si>
  <si>
    <t>MONTALCINO</t>
  </si>
  <si>
    <t>L_ENSEMBLE_DI_MONTALCINO</t>
  </si>
  <si>
    <t xml:space="preserve">KORENAAR | L_ENSEMBLE | </t>
  </si>
  <si>
    <t>L_ENSEMBLE</t>
  </si>
  <si>
    <t xml:space="preserve">KORENAAR | PASSE_PARTOUT | </t>
  </si>
  <si>
    <t>PASSE_PARTOUT</t>
  </si>
  <si>
    <t xml:space="preserve">KORENAAR | BEAU_MONDE | </t>
  </si>
  <si>
    <t>BEAU_MONDE</t>
  </si>
  <si>
    <t xml:space="preserve">KORENAAR | BIEN_SUR | </t>
  </si>
  <si>
    <t>BIEN_SUR</t>
  </si>
  <si>
    <t xml:space="preserve">KORENAAR | REVANCHE | </t>
  </si>
  <si>
    <t>REVANCHE</t>
  </si>
  <si>
    <t xml:space="preserve">KORENAAR | BOCK | </t>
  </si>
  <si>
    <t xml:space="preserve">KORENAAR | BRUNELLO | </t>
  </si>
  <si>
    <t>BRUNELLO</t>
  </si>
  <si>
    <t xml:space="preserve">KORENAAR | LA_FRONTIERE | </t>
  </si>
  <si>
    <t>LA_FRONTIERE</t>
  </si>
  <si>
    <t xml:space="preserve">ERDINGER | HEFEWEIZEN | </t>
  </si>
  <si>
    <t xml:space="preserve">ERDINGER | DUNKEL | </t>
  </si>
  <si>
    <t xml:space="preserve">ERDINGER | OKTOBER | </t>
  </si>
  <si>
    <t xml:space="preserve">ERDINGER | HELLES | </t>
  </si>
  <si>
    <t>SCHNEE</t>
  </si>
  <si>
    <t xml:space="preserve">ERDINGER | RADLER | </t>
  </si>
  <si>
    <t>GRAPERFRUIT</t>
  </si>
  <si>
    <t xml:space="preserve">ERDINGER | CHAMP | </t>
  </si>
  <si>
    <t>CHAMP</t>
  </si>
  <si>
    <t>ERDINGER | WEIZEN | LIGHT</t>
  </si>
  <si>
    <t xml:space="preserve">ERDINGER | STEIGENBERGER_1930 | </t>
  </si>
  <si>
    <t>STEIGENBERGER;1930</t>
  </si>
  <si>
    <t>STEIGENBERGER_1930</t>
  </si>
  <si>
    <t xml:space="preserve">FRONTAAL | RIDGEBACK | </t>
  </si>
  <si>
    <t>RIDGEBACK</t>
  </si>
  <si>
    <t xml:space="preserve">FRONTAAL | TRIPLE_JUICE_PUNCH | </t>
  </si>
  <si>
    <t>TRIPLE_JUICE_PUNCH</t>
  </si>
  <si>
    <t xml:space="preserve">GREEN_KING | IPA | </t>
  </si>
  <si>
    <t xml:space="preserve">GREENE_KING | HOUSE | </t>
  </si>
  <si>
    <t>HOUSE</t>
  </si>
  <si>
    <t xml:space="preserve">HEIDEBROUWERIJ | EVERZWIJN_TRIPEL | </t>
  </si>
  <si>
    <t>EVERZWIJN</t>
  </si>
  <si>
    <t>EVERZWIJN_TRIPEL</t>
  </si>
  <si>
    <t xml:space="preserve">HEIDEBROUWERIJ | BIJENBLOND | </t>
  </si>
  <si>
    <t>BIJEN</t>
  </si>
  <si>
    <t>BIJENBLOND</t>
  </si>
  <si>
    <t xml:space="preserve">HEIDEBROUWERIJ | VALK_INDIA_PALE_ALE | </t>
  </si>
  <si>
    <t>VALK</t>
  </si>
  <si>
    <t>VALK_INDIA_PALE_ALE</t>
  </si>
  <si>
    <t xml:space="preserve">HEIDEBROUWERIJ | VLINDERBLOND | </t>
  </si>
  <si>
    <t>VLINDER</t>
  </si>
  <si>
    <t>VLINDERBLOND</t>
  </si>
  <si>
    <t xml:space="preserve">HEIDEBROUWERIJ | OEHOE_DONKER | </t>
  </si>
  <si>
    <t>OEHOE</t>
  </si>
  <si>
    <t>OEHOE_DONKER</t>
  </si>
  <si>
    <t xml:space="preserve">HEIDEBROUWERIJ | EDELHERTDONKER | </t>
  </si>
  <si>
    <t>EDELHERT</t>
  </si>
  <si>
    <t>EDELHERTDONKER</t>
  </si>
  <si>
    <t xml:space="preserve">HEIDEBROUWERIJ | EDENOARTJE | </t>
  </si>
  <si>
    <t>EDENOARTJE</t>
  </si>
  <si>
    <t xml:space="preserve">HEIDEBROUWERIJ | WOLFWEIZEN | </t>
  </si>
  <si>
    <t>WOLF</t>
  </si>
  <si>
    <t>WOLFWEIZEN</t>
  </si>
  <si>
    <t xml:space="preserve">HEIDEBROUWERIJ | EDELHERT_QUADRUPEL | </t>
  </si>
  <si>
    <t>EDELHERT;QUADRUPEL</t>
  </si>
  <si>
    <t>EDELHERT_QUADRUPEL</t>
  </si>
  <si>
    <t>VOS</t>
  </si>
  <si>
    <t>VOSBLOND</t>
  </si>
  <si>
    <t xml:space="preserve">HEIDEBROUWERIJ | TULIPS_SCHIFFMACHER_EDITION | </t>
  </si>
  <si>
    <t>TULIPS</t>
  </si>
  <si>
    <t>TULIPS_SCHIFFMACHER_EDITION</t>
  </si>
  <si>
    <t xml:space="preserve">HEIDEBROUWERIJ | VOS_ZWAAR_BLOND | </t>
  </si>
  <si>
    <t>ZWAAR</t>
  </si>
  <si>
    <t>VOS_ZWAAR_BLOND</t>
  </si>
  <si>
    <t xml:space="preserve">HEIDEBROUWERIJ | MOEFLON | </t>
  </si>
  <si>
    <t>MOEFLON</t>
  </si>
  <si>
    <t xml:space="preserve">HEIDEBROUWERIJ | TULIPS_CRAFT_BEER | </t>
  </si>
  <si>
    <t>TULIPS_CRAFT_BEER</t>
  </si>
  <si>
    <t xml:space="preserve">HEIDEBROUWERIJ | VINCENT_BLOND | </t>
  </si>
  <si>
    <t>VINCENT_BLOND</t>
  </si>
  <si>
    <t xml:space="preserve">HEIDEBROUWERIJ | FLOW_BEER | </t>
  </si>
  <si>
    <t>FLOW</t>
  </si>
  <si>
    <t>FLOW_BEER</t>
  </si>
  <si>
    <t>VOSBLOND_SCHIFFMACHER</t>
  </si>
  <si>
    <t xml:space="preserve">HEIDEBROUWERIJ | NULTIENTJE | </t>
  </si>
  <si>
    <t>NULTIENTJE</t>
  </si>
  <si>
    <t>BIJENBLOND_SCHIFFMACHER_EDITION</t>
  </si>
  <si>
    <t>HEIDEBROUWERIJ | VALK_IPA | IPA</t>
  </si>
  <si>
    <t>VALK_IPA</t>
  </si>
  <si>
    <t>OEHOEDONKER_SCHIFFMACHER_EDITION</t>
  </si>
  <si>
    <t>WOLFWEIZEN_SCHIFFMACHER_EDITION</t>
  </si>
  <si>
    <t>THRILL_SEEKER</t>
  </si>
  <si>
    <t xml:space="preserve">GOUDALE | BLOND | </t>
  </si>
  <si>
    <t xml:space="preserve">GOUDALE | IPA | </t>
  </si>
  <si>
    <t xml:space="preserve">GOUDALE | AMBREE | </t>
  </si>
  <si>
    <t xml:space="preserve">GOUDALE | XMAS | </t>
  </si>
  <si>
    <t xml:space="preserve">GOUDALE | RUBIS | </t>
  </si>
  <si>
    <t xml:space="preserve">GOUDALE | SPRING | </t>
  </si>
  <si>
    <t xml:space="preserve">GOUDALE | WHITE | </t>
  </si>
  <si>
    <t xml:space="preserve">GOUDALE | TRIPEL | </t>
  </si>
  <si>
    <t xml:space="preserve">GOUDALE | ORIGINE | </t>
  </si>
  <si>
    <t>ORIGINE</t>
  </si>
  <si>
    <t xml:space="preserve">LERVIG | TASTY_JUICE | </t>
  </si>
  <si>
    <t>TASTY_JUICE</t>
  </si>
  <si>
    <t xml:space="preserve">LERVIG | LUCKY_JACK | </t>
  </si>
  <si>
    <t>LUCKY_JACK</t>
  </si>
  <si>
    <t xml:space="preserve">LERVIG | PERLER_FOR_SVIN | </t>
  </si>
  <si>
    <t>PERLER</t>
  </si>
  <si>
    <t>PERLER_FOR_SVIN</t>
  </si>
  <si>
    <t xml:space="preserve">LERVIG | SUPERSONIC | </t>
  </si>
  <si>
    <t>SUPERSONIC</t>
  </si>
  <si>
    <t xml:space="preserve">LERVIG | HOUSE_PARTY | </t>
  </si>
  <si>
    <t>HOUSE_PARTY</t>
  </si>
  <si>
    <t xml:space="preserve">LERVIG | HOPPY_JOE | </t>
  </si>
  <si>
    <t>HOPPY_JOE</t>
  </si>
  <si>
    <t xml:space="preserve">LERVIG | 3_BEAN_STOUT | </t>
  </si>
  <si>
    <t>BEAN;STOUT</t>
  </si>
  <si>
    <t>3_BEAN_STOUT</t>
  </si>
  <si>
    <t xml:space="preserve">LERVIG | KONRAD_S_STOUT | </t>
  </si>
  <si>
    <t>KONRAD</t>
  </si>
  <si>
    <t>KONRAD_S_STOUT</t>
  </si>
  <si>
    <t xml:space="preserve">LERVIG | SOUR_SUZY | </t>
  </si>
  <si>
    <t>SUZY</t>
  </si>
  <si>
    <t>SOUR_SUZY</t>
  </si>
  <si>
    <t xml:space="preserve">LERVIG | PASSION_TANG | </t>
  </si>
  <si>
    <t>PASSION_TANG</t>
  </si>
  <si>
    <t xml:space="preserve">LERVIG | ORANGE_VELVET | </t>
  </si>
  <si>
    <t>ORANGE_VELVET</t>
  </si>
  <si>
    <t>WORRIES</t>
  </si>
  <si>
    <t>NO_WORRIES_ORIGINAL</t>
  </si>
  <si>
    <t xml:space="preserve">LERVIG | PILSNER | </t>
  </si>
  <si>
    <t xml:space="preserve">LERVIG | TOASTED_MAPLE_STOUT | </t>
  </si>
  <si>
    <t>MAPLE</t>
  </si>
  <si>
    <t>TOASTED_MAPLE_STOUT</t>
  </si>
  <si>
    <t xml:space="preserve">LERVIG | COCONUTS | </t>
  </si>
  <si>
    <t>COCO</t>
  </si>
  <si>
    <t>COCONUTS</t>
  </si>
  <si>
    <t xml:space="preserve">LERVIG | HUMAN_NATURE | </t>
  </si>
  <si>
    <t>HUMAN</t>
  </si>
  <si>
    <t>HUMAN_NATURE</t>
  </si>
  <si>
    <t xml:space="preserve">LERVIG | ORIGINAL_SIN | </t>
  </si>
  <si>
    <t>SIN</t>
  </si>
  <si>
    <t>ORIGINAL_SIN</t>
  </si>
  <si>
    <t xml:space="preserve">LERVIG | HELLES_YEAH | </t>
  </si>
  <si>
    <t>HELLES_YEAH</t>
  </si>
  <si>
    <t xml:space="preserve">LERVIG | SIPPIN_INTO_DARKNESS | </t>
  </si>
  <si>
    <t>DARKNESS</t>
  </si>
  <si>
    <t>SIPPIN_INTO_DARKNESS</t>
  </si>
  <si>
    <t xml:space="preserve">LERVIG | NAUGHTY_&amp;_NICE | </t>
  </si>
  <si>
    <t>NAUGHTY</t>
  </si>
  <si>
    <t>NAUGHTY_&amp;_NICE</t>
  </si>
  <si>
    <t xml:space="preserve">LERVIG | BAD_HAIRCUT | </t>
  </si>
  <si>
    <t>HAIRCUT</t>
  </si>
  <si>
    <t>BAD_HAIRCUT</t>
  </si>
  <si>
    <t xml:space="preserve">LERVIG | TIMES_8 | </t>
  </si>
  <si>
    <t>TIMES</t>
  </si>
  <si>
    <t>TIMES_8</t>
  </si>
  <si>
    <t xml:space="preserve">LERVIG | LUCKY_JACK_MANGO | </t>
  </si>
  <si>
    <t>LUCKY_JACK_MANGO</t>
  </si>
  <si>
    <t xml:space="preserve">LERVIG | LOUDSPEAKER | </t>
  </si>
  <si>
    <t>LOUDSPEAKER</t>
  </si>
  <si>
    <t>NO_WORRIES_GRAPEFRUIT</t>
  </si>
  <si>
    <t xml:space="preserve">LERVIG | IT'S_NOT_ME,_IT'S_YOU | </t>
  </si>
  <si>
    <t>NOT_ME</t>
  </si>
  <si>
    <t>IT'S_NOT_ME,_IT'S_YOU</t>
  </si>
  <si>
    <t xml:space="preserve">LERVIG | GROUP_DYNAMIC | </t>
  </si>
  <si>
    <t>DYNAMIC</t>
  </si>
  <si>
    <t>GROUP_DYNAMIC</t>
  </si>
  <si>
    <t xml:space="preserve">LERVIG | NZDDHDIPA | </t>
  </si>
  <si>
    <t>NZDDHDIPA</t>
  </si>
  <si>
    <t xml:space="preserve">LERVIG | TASTY_JUICE_TROPICAL_MILKSHAKE | </t>
  </si>
  <si>
    <t>TASTY_JUICE_TROPICAL_MILKSHAKE</t>
  </si>
  <si>
    <t>NO_WORRIES_MANGO</t>
  </si>
  <si>
    <t xml:space="preserve">LERVIG | SWEET_WHEAT | </t>
  </si>
  <si>
    <t>SWEET_WHEAT</t>
  </si>
  <si>
    <t>NO_WORRIES_-_DRIVING_HOME_FOR_CHRISTMAS</t>
  </si>
  <si>
    <t xml:space="preserve">LERVIG | JULEBOCK | </t>
  </si>
  <si>
    <t>JULEBOCK</t>
  </si>
  <si>
    <t xml:space="preserve">LERVIG | MAGELLANIC_CLOUDS | </t>
  </si>
  <si>
    <t>CLOUDS</t>
  </si>
  <si>
    <t>MAGELLANIC_CLOUDS</t>
  </si>
  <si>
    <t xml:space="preserve">LERVIG | PARAGON_2021_BY_RACKHOUSE | </t>
  </si>
  <si>
    <t>RACKHOUSE</t>
  </si>
  <si>
    <t>PARAGON_2021_BY_RACKHOUSE</t>
  </si>
  <si>
    <t>SALTED_RHUBARB_VANILLA_SOUR_CREAM_CRUMBLE</t>
  </si>
  <si>
    <t xml:space="preserve">LERVIG | LEIF | </t>
  </si>
  <si>
    <t>LEIF</t>
  </si>
  <si>
    <t xml:space="preserve">LERVIG | MAGIC_CLOUDS | </t>
  </si>
  <si>
    <t>MAGIC</t>
  </si>
  <si>
    <t>MAGIC_CLOUDS</t>
  </si>
  <si>
    <t xml:space="preserve">GOUVERNEUR | BLOND | </t>
  </si>
  <si>
    <t xml:space="preserve">LINDEBOOM | PILSNER | </t>
  </si>
  <si>
    <t xml:space="preserve">GOUVERNEUR | PALE_ALE | </t>
  </si>
  <si>
    <t xml:space="preserve">GOUVERNEUR | Stout - American | </t>
  </si>
  <si>
    <t>Stout - American</t>
  </si>
  <si>
    <t xml:space="preserve">GOUVERNEUR | DUBBEL | </t>
  </si>
  <si>
    <t xml:space="preserve">VENLOOSCH | WIT | </t>
  </si>
  <si>
    <t xml:space="preserve">GOUVERNEUR | TRIPEL | </t>
  </si>
  <si>
    <t xml:space="preserve">LINDEBOOM | SAISON | </t>
  </si>
  <si>
    <t xml:space="preserve">VENLOOSCH | ALT | </t>
  </si>
  <si>
    <t>ALT</t>
  </si>
  <si>
    <t xml:space="preserve">GOUVERNEUR | IPA | </t>
  </si>
  <si>
    <t xml:space="preserve">LINDEBOOM | CHERRY | </t>
  </si>
  <si>
    <t xml:space="preserve">LINDEBOOM | LEMON | </t>
  </si>
  <si>
    <t xml:space="preserve">GOUVERNEUR | WEIZEN | </t>
  </si>
  <si>
    <t xml:space="preserve">LINDEBOOM | MANGO | </t>
  </si>
  <si>
    <t xml:space="preserve">LINDEBOOM | OUD | </t>
  </si>
  <si>
    <t>OUD</t>
  </si>
  <si>
    <t xml:space="preserve">LINDEBOOM | SUNNY | </t>
  </si>
  <si>
    <t xml:space="preserve">GOUVERNEUR | SUPERIOR | </t>
  </si>
  <si>
    <t xml:space="preserve">LINDEBOOM | BOCK | </t>
  </si>
  <si>
    <t xml:space="preserve">GRUYTER | WEIZEN | </t>
  </si>
  <si>
    <t xml:space="preserve">LINDEBOOM | NOG_EENDJE_BLOND | </t>
  </si>
  <si>
    <t>EENDJE</t>
  </si>
  <si>
    <t>NOG_EENDJE_BLOND</t>
  </si>
  <si>
    <t xml:space="preserve">LINDEBOOM | WITTE_BUSJOP | </t>
  </si>
  <si>
    <t>BUSJOP</t>
  </si>
  <si>
    <t>WITTE_BUSJOP</t>
  </si>
  <si>
    <t xml:space="preserve">LINDEBOOM | LA_SELVA | </t>
  </si>
  <si>
    <t>LA_SELVA</t>
  </si>
  <si>
    <t xml:space="preserve">LINDEBOOM | UMBELDER_AMBER | </t>
  </si>
  <si>
    <t>UMBELDER</t>
  </si>
  <si>
    <t>UMBELDER_AMBER</t>
  </si>
  <si>
    <t xml:space="preserve">GOUVERNEUR | QUADRUPEL | </t>
  </si>
  <si>
    <t xml:space="preserve">MOERSLEUTEL | COCONUT_SPACE_BROWNIE | </t>
  </si>
  <si>
    <t>COCONUT_SPACE_BROWNIE</t>
  </si>
  <si>
    <t xml:space="preserve">MOERSLEUTEL | CRANK_THE_JUICE | </t>
  </si>
  <si>
    <t>CRANK_THE_JUICE</t>
  </si>
  <si>
    <t xml:space="preserve">MOERSLEUTEL | MOTOR_OIL_/_MOTOROLIE | </t>
  </si>
  <si>
    <t>MOTOR_OIL_/_MOTOROLIE</t>
  </si>
  <si>
    <t xml:space="preserve">MOERSLEUTEL | FRUIT_BOMB | </t>
  </si>
  <si>
    <t xml:space="preserve">MOERSLEUTEL | MACAROON_MACHINE | </t>
  </si>
  <si>
    <t>MACAROON_MACHINE</t>
  </si>
  <si>
    <t xml:space="preserve">MOERSLEUTEL | QUAD | </t>
  </si>
  <si>
    <t xml:space="preserve">MOERSLEUTEL | COFFEE_GRINDER | </t>
  </si>
  <si>
    <t>COFFEE_GRINDER</t>
  </si>
  <si>
    <t xml:space="preserve">MOERSLEUTEL | CAN_BRÛLÉE | </t>
  </si>
  <si>
    <t>BRULEE</t>
  </si>
  <si>
    <t>CAN_BRÛLÉE</t>
  </si>
  <si>
    <t xml:space="preserve">MOERSLEUTEL | REMBLOCK | </t>
  </si>
  <si>
    <t>REM</t>
  </si>
  <si>
    <t>REMBLOCK</t>
  </si>
  <si>
    <t xml:space="preserve">MOERSLEUTEL | GEITENBREIER | </t>
  </si>
  <si>
    <t>GEIT</t>
  </si>
  <si>
    <t>GEITENBREIER</t>
  </si>
  <si>
    <t xml:space="preserve">MOERSLEUTEL | FRUIT_PRESS | </t>
  </si>
  <si>
    <t>PRESS</t>
  </si>
  <si>
    <t>FRUIT_PRESS</t>
  </si>
  <si>
    <t xml:space="preserve">MOERSLEUTEL | OCTANE_OVERLORD | </t>
  </si>
  <si>
    <t>OCTANE</t>
  </si>
  <si>
    <t>OCTANE_OVERLORD</t>
  </si>
  <si>
    <t xml:space="preserve">MOERSLEUTEL | BLOND | </t>
  </si>
  <si>
    <t xml:space="preserve">MOERSLEUTEL | WANNA_TASTE_MY_SNOWFLAKES? | </t>
  </si>
  <si>
    <t>SNOWFLAKES</t>
  </si>
  <si>
    <t>WANNA_TASTE_MY_SNOWFLAKES?</t>
  </si>
  <si>
    <t xml:space="preserve">MOERSLEUTEL | COSMIC_CITRA | </t>
  </si>
  <si>
    <t>COSMIC_CITRA</t>
  </si>
  <si>
    <t xml:space="preserve">MOERSLEUTEL | WRENCH | </t>
  </si>
  <si>
    <t>WRENCH</t>
  </si>
  <si>
    <t xml:space="preserve">MOERSLEUTEL | AZACCA_X7 | </t>
  </si>
  <si>
    <t>AZACCA</t>
  </si>
  <si>
    <t>AZACCA_X7</t>
  </si>
  <si>
    <t xml:space="preserve">MOERSLEUTEL | MOTOR_OIL_CHRISTMAS_SPECIAL | </t>
  </si>
  <si>
    <t>MOTOR_OIL_CHRISTMAS_SPECIAL</t>
  </si>
  <si>
    <t xml:space="preserve">MOERSLEUTEL | MAPLE_PECAN_PIE | </t>
  </si>
  <si>
    <t>MAPLE_PECAN_PIE</t>
  </si>
  <si>
    <t xml:space="preserve">MOERSLEUTEL | MAX | </t>
  </si>
  <si>
    <t xml:space="preserve">MOERSLEUTEL | MARGREET | </t>
  </si>
  <si>
    <t>MARGREET</t>
  </si>
  <si>
    <t xml:space="preserve">MOERSLEUTEL | HYPE_BOMB_2025 | </t>
  </si>
  <si>
    <t>HYPE</t>
  </si>
  <si>
    <t>HYPE_BOMB_2025</t>
  </si>
  <si>
    <t xml:space="preserve">MOERSLEUTEL | FRUIT_BLIZZARD | </t>
  </si>
  <si>
    <t>BLIZZARD</t>
  </si>
  <si>
    <t>FRUIT_BLIZZARD</t>
  </si>
  <si>
    <t xml:space="preserve">MOERSLEUTEL | SUPERCHARGED_LEAF_BLOWER | </t>
  </si>
  <si>
    <t>SUPERCHARGED</t>
  </si>
  <si>
    <t>SUPERCHARGED_LEAF_BLOWER</t>
  </si>
  <si>
    <t xml:space="preserve">POESIAT_KATER | PRINCES | </t>
  </si>
  <si>
    <t>PRINCES</t>
  </si>
  <si>
    <t xml:space="preserve">POESIAT_KATER | KAINTZ_MODERN_TRIPEL | </t>
  </si>
  <si>
    <t>KAINTZ</t>
  </si>
  <si>
    <t>KAINTZ_MODERN_TRIPEL</t>
  </si>
  <si>
    <t xml:space="preserve">POESIAT_KATER | EXTRA_STOUT | </t>
  </si>
  <si>
    <t xml:space="preserve">POESIAT_KATER | SMULING_IPA | </t>
  </si>
  <si>
    <t>SMULING_IPA</t>
  </si>
  <si>
    <t xml:space="preserve">POESIAT_KATER | LITTLE_SMULING_SESSION_IPA | </t>
  </si>
  <si>
    <t>LITTLE_SMULING_SESSION_IPA</t>
  </si>
  <si>
    <t xml:space="preserve">POESIAT_KATER | EAST_IPA | </t>
  </si>
  <si>
    <t>EAST</t>
  </si>
  <si>
    <t>EAST_IPA</t>
  </si>
  <si>
    <t xml:space="preserve">POESIAT_KATER | MEYER_HAZY_IPA | </t>
  </si>
  <si>
    <t>MEYER</t>
  </si>
  <si>
    <t>MEYER_HAZY_IPA</t>
  </si>
  <si>
    <t xml:space="preserve">POESIAT_KATER | MIKKIE_IS_CATTIVELLA | </t>
  </si>
  <si>
    <t>MIKKIE</t>
  </si>
  <si>
    <t>MIKKIE_IS_CATTIVELLA</t>
  </si>
  <si>
    <t xml:space="preserve">POESIAT_KATER | BOCKBIER | </t>
  </si>
  <si>
    <t xml:space="preserve">POESIAT_KATER | DOS_BURROS | </t>
  </si>
  <si>
    <t>BURROS</t>
  </si>
  <si>
    <t>DOS_BURROS</t>
  </si>
  <si>
    <t xml:space="preserve">POESIAT_KATER | WISSE_WEIZEN | </t>
  </si>
  <si>
    <t>WISSE</t>
  </si>
  <si>
    <t>WISSE_WEIZEN</t>
  </si>
  <si>
    <t xml:space="preserve">POESIAT_KATER | DUTCH_EAGLE | </t>
  </si>
  <si>
    <t>EAGLE</t>
  </si>
  <si>
    <t>DUTCH_EAGLE</t>
  </si>
  <si>
    <t xml:space="preserve">POESIAT_KATER | THE_BIG_FAT_5_DOUBLE_IPA | </t>
  </si>
  <si>
    <t>BIG_FAT</t>
  </si>
  <si>
    <t>THE_BIG_FAT_5_DOUBLE_IPA</t>
  </si>
  <si>
    <t xml:space="preserve">POESIAT_KATER | DÅBLE_DÆTE | </t>
  </si>
  <si>
    <t>DABLE</t>
  </si>
  <si>
    <t>DÅBLE_DÆTE</t>
  </si>
  <si>
    <t xml:space="preserve">POESIAT_KATER | MARLE | </t>
  </si>
  <si>
    <t>MARLE</t>
  </si>
  <si>
    <t xml:space="preserve">POESIAT_KATER | NAMAZU | </t>
  </si>
  <si>
    <t>NAMAZU</t>
  </si>
  <si>
    <t xml:space="preserve">POESIAT_KATER | BEYOND_THE_HORIZON | </t>
  </si>
  <si>
    <t>BEYOND</t>
  </si>
  <si>
    <t>BEYOND_THE_HORIZON</t>
  </si>
  <si>
    <t xml:space="preserve">POESIAT_KATER | VRIJE_KATER_NEW_ENGLAND_IPA | </t>
  </si>
  <si>
    <t>KATER</t>
  </si>
  <si>
    <t>VRIJE_KATER_NEW_ENGLAND_IPA</t>
  </si>
  <si>
    <t xml:space="preserve">POESIAT_KATER | BALD_EAGLE | </t>
  </si>
  <si>
    <t>BALD</t>
  </si>
  <si>
    <t>BALD_EAGLE</t>
  </si>
  <si>
    <t xml:space="preserve">POESIAT_KATER | HILLY | </t>
  </si>
  <si>
    <t>HILLY</t>
  </si>
  <si>
    <t xml:space="preserve">POESIAT_KATER | POKA | </t>
  </si>
  <si>
    <t>POKA</t>
  </si>
  <si>
    <t xml:space="preserve">POESIAT_KATER | WILDT_WIT | </t>
  </si>
  <si>
    <t>WILDT</t>
  </si>
  <si>
    <t>WILDT_WIT</t>
  </si>
  <si>
    <t xml:space="preserve">POESIAT_KATER | LEGENDARY_PALE_ALE | </t>
  </si>
  <si>
    <t>LEGENDARY</t>
  </si>
  <si>
    <t>LEGENDARY_PALE_ALE</t>
  </si>
  <si>
    <t xml:space="preserve">POESIAT_KATER | THE_POETRY_OF_HANGOVERS_VERSE_2:_SCHAPENTIET | </t>
  </si>
  <si>
    <t>POETRY</t>
  </si>
  <si>
    <t>THE_POETRY_OF_HANGOVERS_VERSE_2:_SCHAPENTIET</t>
  </si>
  <si>
    <t xml:space="preserve">POESIAT_KATER | MUUKE_015:_SMASH_SMASH | </t>
  </si>
  <si>
    <t>MUUKE_015:_SMASH_SMASH</t>
  </si>
  <si>
    <t xml:space="preserve">POESIAT_KATER | OSO_LOCO | </t>
  </si>
  <si>
    <t>LOCO</t>
  </si>
  <si>
    <t>OSO_LOCO</t>
  </si>
  <si>
    <t xml:space="preserve">POESIAT_KATER | MUUKE_016:_DOS_BURROS_OSCUROS | </t>
  </si>
  <si>
    <t>OSCUROS</t>
  </si>
  <si>
    <t>MUUKE_016:_DOS_BURROS_OSCUROS</t>
  </si>
  <si>
    <t xml:space="preserve">POESIAT_KATER | KERKEN | </t>
  </si>
  <si>
    <t>KERKEN</t>
  </si>
  <si>
    <t xml:space="preserve">POESIAT_KATER | BREW_OF_THE_MAGI_IMMACULATE_SPICED_ALE | </t>
  </si>
  <si>
    <t>IMMACULATE</t>
  </si>
  <si>
    <t>BREW_OF_THE_MAGI_IMMACULATE_SPICED_ALE</t>
  </si>
  <si>
    <t xml:space="preserve">POESIAT_KATER | MOSAIC_SMASH | </t>
  </si>
  <si>
    <t>MOSAIC_SMASH</t>
  </si>
  <si>
    <t xml:space="preserve">POESIAT_KATER | BIERBITCH_PROJECT | </t>
  </si>
  <si>
    <t>BIERBITCH</t>
  </si>
  <si>
    <t>BIERBITCH_PROJECT</t>
  </si>
  <si>
    <t xml:space="preserve">ROCK_CITY | KOENE_RIDDER | </t>
  </si>
  <si>
    <t>KOENE_RIDDER</t>
  </si>
  <si>
    <t xml:space="preserve">ROCK_CITY | HAZY_PALE_ALE | </t>
  </si>
  <si>
    <t xml:space="preserve">ROCK_CITY | SMULBOCK | </t>
  </si>
  <si>
    <t>SMULBOCK</t>
  </si>
  <si>
    <t xml:space="preserve">ROCK_CITY | SQUEEZER | </t>
  </si>
  <si>
    <t>SQUEEZER</t>
  </si>
  <si>
    <t xml:space="preserve">ROCK_CITY | MAKERS_MONK | </t>
  </si>
  <si>
    <t>MONK</t>
  </si>
  <si>
    <t>MAKERS_MONK</t>
  </si>
  <si>
    <t xml:space="preserve">ROCK_CITY | SECOND_DATE | </t>
  </si>
  <si>
    <t>DATE</t>
  </si>
  <si>
    <t>SECOND_DATE</t>
  </si>
  <si>
    <t xml:space="preserve">ROCK_CITY | IPA | </t>
  </si>
  <si>
    <t xml:space="preserve">ROCK_CITY | CARTE_BLANCHE | </t>
  </si>
  <si>
    <t>CARTE</t>
  </si>
  <si>
    <t>CARTE_BLANCHE</t>
  </si>
  <si>
    <t xml:space="preserve">ROCK_CITY | ROADIE_STERK_BLOND | </t>
  </si>
  <si>
    <t>ROADIE</t>
  </si>
  <si>
    <t>ROADIE_STERK_BLOND</t>
  </si>
  <si>
    <t xml:space="preserve">ROCK_CITY | ROADIE_IPA_V2 | </t>
  </si>
  <si>
    <t>ROADIE_IPA_V2</t>
  </si>
  <si>
    <t xml:space="preserve">ROCK_CITY | ROADIE_IPA | </t>
  </si>
  <si>
    <t>ROADIE_IPA</t>
  </si>
  <si>
    <t xml:space="preserve">ROCK_CITY | ROADIE_WIT | </t>
  </si>
  <si>
    <t>ROADIE_WIT</t>
  </si>
  <si>
    <t xml:space="preserve">ROCK_CITY | ROADIE | </t>
  </si>
  <si>
    <t xml:space="preserve">ROCK_CITY | FARMHOUSE_BLOND | </t>
  </si>
  <si>
    <t>FARMHOUSE_BLOND</t>
  </si>
  <si>
    <t xml:space="preserve">ROCK_CITY | HEFFY | </t>
  </si>
  <si>
    <t>HEFFY</t>
  </si>
  <si>
    <t>SECOND</t>
  </si>
  <si>
    <t xml:space="preserve">ROCK_CITY | SHAKY_BONES | </t>
  </si>
  <si>
    <t>BONES</t>
  </si>
  <si>
    <t>SHAKY_BONES</t>
  </si>
  <si>
    <t xml:space="preserve">ROCK_CITY | CHOCO_PORTER | </t>
  </si>
  <si>
    <t>CHOCO</t>
  </si>
  <si>
    <t>CHOCO_PORTER</t>
  </si>
  <si>
    <t xml:space="preserve">ROCK_CITY | SECOND_DATE_(TURQUOISE_EDITION) | </t>
  </si>
  <si>
    <t>TURQOUISE</t>
  </si>
  <si>
    <t>SECOND_DATE_(TURQUOISE_EDITION)</t>
  </si>
  <si>
    <t xml:space="preserve">ROCK_CITY | TROPICAL_WHITE | </t>
  </si>
  <si>
    <t>TROPICAL_WHITE</t>
  </si>
  <si>
    <t xml:space="preserve">SCHNEIDER_WEISSE | ORIGINAL | </t>
  </si>
  <si>
    <t>WEIZEN;CORE;ORIGINAL</t>
  </si>
  <si>
    <t xml:space="preserve">SCHNEIDER_WEISSE | AVENTINUS | </t>
  </si>
  <si>
    <t>AVENTINUS</t>
  </si>
  <si>
    <t xml:space="preserve">SCHNEIDER_WEISSE | HOPFENWEISSE | </t>
  </si>
  <si>
    <t xml:space="preserve">SCHNEIDER_WEISSE | EISBOCK | </t>
  </si>
  <si>
    <t xml:space="preserve">SCHNEIDER_WEISSE | FESTWEISSE | </t>
  </si>
  <si>
    <t>FESTWEISSE</t>
  </si>
  <si>
    <t xml:space="preserve">SCHNEIDER_WEISSE | HELLES | </t>
  </si>
  <si>
    <t xml:space="preserve">SCHNEIDER_WEISSE | KRISTALL | </t>
  </si>
  <si>
    <t xml:space="preserve">SCHNEIDER_WEISSE | LABRASSBANDA | </t>
  </si>
  <si>
    <t>LABRASSBANDA</t>
  </si>
  <si>
    <t xml:space="preserve">SCHNEIDER_WEISSE | NELSON | </t>
  </si>
  <si>
    <t xml:space="preserve">SCHNEIDER_WEISSE | HEFEWEIZZEN | </t>
  </si>
  <si>
    <t>HEFEWEIZZEN</t>
  </si>
  <si>
    <t>SCHNEIDER_WEISSE | WEIZEN | LIGHT</t>
  </si>
  <si>
    <t xml:space="preserve">SCHNEIDER_WEISSE | BROTZEIT | </t>
  </si>
  <si>
    <t>BROTZEIT</t>
  </si>
  <si>
    <t xml:space="preserve">SCHNEIDER | HEFEWEIZEN | </t>
  </si>
  <si>
    <t xml:space="preserve">SIERRA_NEVADA | PALE_ALE | </t>
  </si>
  <si>
    <t xml:space="preserve">SIERRA_NEVADA | TORPEDO_EXTRA_IPA | </t>
  </si>
  <si>
    <t>TORPEDO</t>
  </si>
  <si>
    <t>TORPEDO_EXTRA_IPA</t>
  </si>
  <si>
    <t xml:space="preserve">SIERRA_NEVADA | HAZY_LITTLE_THING | </t>
  </si>
  <si>
    <t>LITTLE</t>
  </si>
  <si>
    <t>HAZY_LITTLE_THING</t>
  </si>
  <si>
    <t xml:space="preserve">SIERRA_NEVADA | CELEBRATION | </t>
  </si>
  <si>
    <t>CELEBRATION</t>
  </si>
  <si>
    <t xml:space="preserve">SIERRA_NEVADA | HOP_HUNTER | </t>
  </si>
  <si>
    <t>HUNTER</t>
  </si>
  <si>
    <t>HOP_HUNTER</t>
  </si>
  <si>
    <t xml:space="preserve">SIERRA_NEVADA | TROPICAL_TORPEDO | </t>
  </si>
  <si>
    <t>TROPICAL_TORPEDO</t>
  </si>
  <si>
    <t xml:space="preserve">SIERRA_NEVADA | HOP_BULLET | </t>
  </si>
  <si>
    <t>BULLET</t>
  </si>
  <si>
    <t>HOP_BULLET</t>
  </si>
  <si>
    <t xml:space="preserve">SIERRA_NEVADA | FLIPSIDE | </t>
  </si>
  <si>
    <t>FLIPSIDE</t>
  </si>
  <si>
    <t xml:space="preserve">SIERRA_NEVADA | NOONER | </t>
  </si>
  <si>
    <t>NOONER</t>
  </si>
  <si>
    <t xml:space="preserve">SIERRA_NEVADA | NARWHAL | </t>
  </si>
  <si>
    <t>NARWHAL</t>
  </si>
  <si>
    <t xml:space="preserve">SIERRA_NEVADA | KELLERWEIS | </t>
  </si>
  <si>
    <t>KELLERWEIS</t>
  </si>
  <si>
    <t xml:space="preserve">SIERRA_NEVADA | HOPTIMUM | </t>
  </si>
  <si>
    <t>HOPTIMUM</t>
  </si>
  <si>
    <t xml:space="preserve">SIERRA_NEVADA | SUMMERFEST | </t>
  </si>
  <si>
    <t>SUMMERFEST</t>
  </si>
  <si>
    <t xml:space="preserve">SIERRA_NEVADA | BIG_LITTLE_THING_IMPERIAL_IPA | </t>
  </si>
  <si>
    <t>BIG_LITTLE</t>
  </si>
  <si>
    <t>BIG_LITTLE_THING_IMPERIAL_IPA</t>
  </si>
  <si>
    <t xml:space="preserve">SIERRA_NEVADA | BARREL_AGED_NARWHAL | </t>
  </si>
  <si>
    <t>BARREL_AGED_NARWHAL</t>
  </si>
  <si>
    <t xml:space="preserve">SIERRA_NEVADA | COFFEE_STOUT | </t>
  </si>
  <si>
    <t>COFFEE_STOUT</t>
  </si>
  <si>
    <t xml:space="preserve">SIERRA_NEVADA | WILD_LITTLE_THING | </t>
  </si>
  <si>
    <t>WILD_LITTLE_THING</t>
  </si>
  <si>
    <t xml:space="preserve">SIERRA_NEVADA | BIGFOOT | </t>
  </si>
  <si>
    <t>BIGFOOT</t>
  </si>
  <si>
    <t xml:space="preserve">SIERRA_NEVADA | PORTER | </t>
  </si>
  <si>
    <t xml:space="preserve">SIERRA_NEVADA | DANKFUL_IPA | </t>
  </si>
  <si>
    <t>DANKFUL</t>
  </si>
  <si>
    <t>DANKFUL_IPA</t>
  </si>
  <si>
    <t xml:space="preserve">SIERRA_NEVADA | TUMBLER | </t>
  </si>
  <si>
    <t>TUMBLER</t>
  </si>
  <si>
    <t xml:space="preserve">SIERRA_NEVADA | ATOMIC_TORPEDO | </t>
  </si>
  <si>
    <t>ATOMIC</t>
  </si>
  <si>
    <t>ATOMIC_TORPEDO</t>
  </si>
  <si>
    <t xml:space="preserve">SIERRA_NEVADA | CALIFORNIA_IPA | </t>
  </si>
  <si>
    <t>CALIFORNIA</t>
  </si>
  <si>
    <t>CALIFORNIA_IPA</t>
  </si>
  <si>
    <t xml:space="preserve">SIERRA_NEVADA | RUTHLESS_RYE_IPA | </t>
  </si>
  <si>
    <t>RUTHLESS</t>
  </si>
  <si>
    <t>RUTHLESS_RYE_IPA</t>
  </si>
  <si>
    <t xml:space="preserve">SIERRA_NEVADA | FANTASTIC_HAZE | </t>
  </si>
  <si>
    <t>FANTASTIC</t>
  </si>
  <si>
    <t>FANTASTIC_HAZE</t>
  </si>
  <si>
    <t xml:space="preserve">SIERRA_NEVADA | POWDER_DAY_IPA | </t>
  </si>
  <si>
    <t>POWDER</t>
  </si>
  <si>
    <t>POWDER_DAY_IPA</t>
  </si>
  <si>
    <t xml:space="preserve">SIERRA_NEVADA | SUNNY_LITTLE_THING | </t>
  </si>
  <si>
    <t>SUNNY_LITTLE_THING</t>
  </si>
  <si>
    <t xml:space="preserve">SIERRA_NEVADA | NORTHERN_HEMISPHERE_HARVEST | </t>
  </si>
  <si>
    <t>NORTHERN</t>
  </si>
  <si>
    <t>NORTHERN_HEMISPHERE_HARVEST</t>
  </si>
  <si>
    <t xml:space="preserve">SIERRA_NEVADA | SIERRAVEZA | </t>
  </si>
  <si>
    <t>SIERRAVEZA</t>
  </si>
  <si>
    <t xml:space="preserve">SIERRA_NEVADA | STOUT | </t>
  </si>
  <si>
    <t xml:space="preserve">SIERRA_NEVADA | SUMMER_BREAK | </t>
  </si>
  <si>
    <t>SUMMER_BREAK</t>
  </si>
  <si>
    <t xml:space="preserve">SIERRA_NEVADA | SIDECAR_ORANGE_IPA | </t>
  </si>
  <si>
    <t>SIDECAR_ORANGE_IPA</t>
  </si>
  <si>
    <t xml:space="preserve">SIERRA_NEVADA | VIENNA | </t>
  </si>
  <si>
    <t>VIENNA</t>
  </si>
  <si>
    <t xml:space="preserve">SIERRA_NEVADA | BRUT_IPA | </t>
  </si>
  <si>
    <t>BRUT_IPA</t>
  </si>
  <si>
    <t xml:space="preserve">SIERRA_NEVADA | HAZY_LITTLE_THING_SESSION_EDITION/LITTLE_THING_IPA | </t>
  </si>
  <si>
    <t>HAZY_LITTLE_THING_SESSION_EDITION/LITTLE_THING_IPA</t>
  </si>
  <si>
    <t xml:space="preserve">SIERRA_NEVADA | WANDERLAND | </t>
  </si>
  <si>
    <t>WANDERLAND</t>
  </si>
  <si>
    <t xml:space="preserve">SIERRA_NEVADA | LIQUID_HOPPINESS_JUICY_IPA | </t>
  </si>
  <si>
    <t>LIQUID</t>
  </si>
  <si>
    <t>LIQUID_HOPPINESS_JUICY_IPA</t>
  </si>
  <si>
    <t xml:space="preserve">SIERRA_NEVADA | JUICY_LITTLE_THING | </t>
  </si>
  <si>
    <t>JUICY_LITTLE_THING</t>
  </si>
  <si>
    <t xml:space="preserve">SIERRA_NEVADA | OTRA_VEZ | </t>
  </si>
  <si>
    <t>OTRA_VEZ</t>
  </si>
  <si>
    <t xml:space="preserve">SIERRA_NEVADA | ESTATE_HOMEGROWN_IPA | </t>
  </si>
  <si>
    <t>ESTATE</t>
  </si>
  <si>
    <t>ESTATE_HOMEGROWN_IPA</t>
  </si>
  <si>
    <t xml:space="preserve">SIERRA_NEVADA | COSMIC_LITTLE_THING | </t>
  </si>
  <si>
    <t>COSMIC_LITTLE_THING</t>
  </si>
  <si>
    <t xml:space="preserve">SIERRA_NEVADA | 3_WEIGHT | </t>
  </si>
  <si>
    <t>WEIGHT</t>
  </si>
  <si>
    <t>3_WEIGHT</t>
  </si>
  <si>
    <t xml:space="preserve">SIERRA_NEVADA | TROPICAL_LITTLE_THING | </t>
  </si>
  <si>
    <t>TROPICAL_LITTLE_THING</t>
  </si>
  <si>
    <t xml:space="preserve">SIERRA_NEVADA | MAPLE_SCOTCH_ALE | </t>
  </si>
  <si>
    <t>MAPLE_SCOTCH_ALE</t>
  </si>
  <si>
    <t xml:space="preserve">SIERRA_NEVADA | SOUTHERN_GOTHIC | </t>
  </si>
  <si>
    <t>SOUTHERN</t>
  </si>
  <si>
    <t>SOUTHERN_GOTHIC</t>
  </si>
  <si>
    <t xml:space="preserve">SIERRA_NEVADA | GERMAN_IPA | </t>
  </si>
  <si>
    <t>GERMAN</t>
  </si>
  <si>
    <t>GERMAN_IPA</t>
  </si>
  <si>
    <t xml:space="preserve">SIERRA_NEVADA | HOP_SOLO | </t>
  </si>
  <si>
    <t>SOLO</t>
  </si>
  <si>
    <t>HOP_SOLO</t>
  </si>
  <si>
    <t xml:space="preserve">SIERRA_NEVADA | HELLES_IN_THE_TROPICS | </t>
  </si>
  <si>
    <t>HELLES_IN_THE_TROPICS</t>
  </si>
  <si>
    <t xml:space="preserve">STADSHAVEN | PIRANHA_TRIPEL | </t>
  </si>
  <si>
    <t>PIRANHA</t>
  </si>
  <si>
    <t>PIRANHA_TRIPEL</t>
  </si>
  <si>
    <t xml:space="preserve">STADSHAVEN | OCTOPUS_KRAKEN | </t>
  </si>
  <si>
    <t>KRAKEN</t>
  </si>
  <si>
    <t>OCTOPUS_KRAKEN</t>
  </si>
  <si>
    <t xml:space="preserve">STADSHAVEN | GREAT_WHITE | </t>
  </si>
  <si>
    <t>GREAT</t>
  </si>
  <si>
    <t>GREAT_WHITE</t>
  </si>
  <si>
    <t xml:space="preserve">STADSHAVEN | MORAY_IPA | </t>
  </si>
  <si>
    <t>MORAY</t>
  </si>
  <si>
    <t>MORAY_IPA</t>
  </si>
  <si>
    <t xml:space="preserve">STADSHAVEN | BOCK_RAMMER | </t>
  </si>
  <si>
    <t>RAMMER</t>
  </si>
  <si>
    <t>BOCK_RAMMER</t>
  </si>
  <si>
    <t xml:space="preserve">STADSHAVEN | ICE_BREAKER | </t>
  </si>
  <si>
    <t>BREAKER</t>
  </si>
  <si>
    <t>ICE_BREAKER</t>
  </si>
  <si>
    <t xml:space="preserve">STADSHAVEN | REDHEAD_ALE | </t>
  </si>
  <si>
    <t>REDHEAD</t>
  </si>
  <si>
    <t>REDHEAD_ALE</t>
  </si>
  <si>
    <t xml:space="preserve">STADSHAVEN | TRIPEL | </t>
  </si>
  <si>
    <t xml:space="preserve">STADSHAVEN | INDIA_PALE_ALE | </t>
  </si>
  <si>
    <t>INDIA_PALE_ALE</t>
  </si>
  <si>
    <t xml:space="preserve">STADSHAVEN | LIMONCELLO_NEIPA | </t>
  </si>
  <si>
    <t>LIMONCELLO;NEIPA</t>
  </si>
  <si>
    <t>LIMONCELLO_NEIPA</t>
  </si>
  <si>
    <t xml:space="preserve">STADSHAVEN | DEVIL_S_FRUIT | </t>
  </si>
  <si>
    <t>DEVIL_S_FRUIT</t>
  </si>
  <si>
    <t xml:space="preserve">STADSHAVEN | SAILORS_LAGER | </t>
  </si>
  <si>
    <t>SAILORS_LAGER</t>
  </si>
  <si>
    <t xml:space="preserve">STADSHAVEN | OER-PILSNER | </t>
  </si>
  <si>
    <t>OER</t>
  </si>
  <si>
    <t>OER-PILSNER</t>
  </si>
  <si>
    <t xml:space="preserve">STADSHAVEN | INFUSED_PIRANHA_TRIPEL | </t>
  </si>
  <si>
    <t>INFUSED_PIRANHA_TRIPEL</t>
  </si>
  <si>
    <t xml:space="preserve">STADSHAVEN | PORTER | </t>
  </si>
  <si>
    <t>STADSHAVEN | OCTOPUS_BLOND | ZERO</t>
  </si>
  <si>
    <t>OCTOPUS</t>
  </si>
  <si>
    <t>OCTOPUS_BLOND</t>
  </si>
  <si>
    <t xml:space="preserve">STADSHAVEN | AI_NAVIGATOR_S_BOCK | </t>
  </si>
  <si>
    <t>AI_NAVIGATOR_S_BOCK</t>
  </si>
  <si>
    <t xml:space="preserve">STADSHAVEN | OCEAN_REBELS | </t>
  </si>
  <si>
    <t>OCEAN</t>
  </si>
  <si>
    <t>OCEAN_REBELS</t>
  </si>
  <si>
    <t xml:space="preserve">STADSHAVEN | MAASSIVE_ROTTERDAM_COLLAB | </t>
  </si>
  <si>
    <t>MAASSIVE</t>
  </si>
  <si>
    <t>MAASSIVE_ROTTERDAM_COLLAB</t>
  </si>
  <si>
    <t xml:space="preserve">STADSHAVEN | SHIPPED_22 | </t>
  </si>
  <si>
    <t>SHIPPED_22</t>
  </si>
  <si>
    <t>STADSHAVEN | MORAY_IPA | ZERO</t>
  </si>
  <si>
    <t xml:space="preserve">STADSHAVEN | KONINGSBIER | </t>
  </si>
  <si>
    <t>KING</t>
  </si>
  <si>
    <t>KONINGSBIER</t>
  </si>
  <si>
    <t xml:space="preserve">STADSHAVEN | DE_MOOIE_TOOSKE | </t>
  </si>
  <si>
    <t>TOOSKE</t>
  </si>
  <si>
    <t>DE_MOOIE_TOOSKE</t>
  </si>
  <si>
    <t xml:space="preserve">STADSHAVEN | CLUB_HAUG | </t>
  </si>
  <si>
    <t>HAUG</t>
  </si>
  <si>
    <t>CLUB_HAUG</t>
  </si>
  <si>
    <t xml:space="preserve">STADSHAVEN | SHIPPED_23 | </t>
  </si>
  <si>
    <t>SHIPPED_23</t>
  </si>
  <si>
    <t xml:space="preserve">STADSHAVEN | SMAAK_VAN_ROTTERDAM_WEIZEN | </t>
  </si>
  <si>
    <t>SMAAK</t>
  </si>
  <si>
    <t>SMAAK_VAN_ROTTERDAM_WEIZEN</t>
  </si>
  <si>
    <t xml:space="preserve">STADSHAVEN | DE_WITTE_PETER | </t>
  </si>
  <si>
    <t>PETER</t>
  </si>
  <si>
    <t>DE_WITTE_PETER</t>
  </si>
  <si>
    <t xml:space="preserve">STADSHAVEN | HEIMOLEN_TRIPEL | </t>
  </si>
  <si>
    <t>HEIMOLEN</t>
  </si>
  <si>
    <t>HEIMOLEN_TRIPEL</t>
  </si>
  <si>
    <t xml:space="preserve">STADSHAVEN | ZOMERBLOND | </t>
  </si>
  <si>
    <t>ZOMERBLOND</t>
  </si>
  <si>
    <t xml:space="preserve">STADSHAVEN | SABRO_GOLD | </t>
  </si>
  <si>
    <t>SABRO</t>
  </si>
  <si>
    <t>SABRO_GOLD</t>
  </si>
  <si>
    <t xml:space="preserve">STADSHAVEN | HOPPY_WIT | </t>
  </si>
  <si>
    <t>HOPPY_WIT</t>
  </si>
  <si>
    <t xml:space="preserve">STADSHAVEN | WALHALLA_S_IPA | </t>
  </si>
  <si>
    <t>WALHALLA_S_IPA</t>
  </si>
  <si>
    <t xml:space="preserve">STADSHAVEN | WEESKRANIG_BLOND | </t>
  </si>
  <si>
    <t>WEESKRANIG</t>
  </si>
  <si>
    <t>WEESKRANIG_BLOND</t>
  </si>
  <si>
    <t xml:space="preserve">STADSHAVEN | BOMMEER_WIT_BIER | </t>
  </si>
  <si>
    <t>BOMMEER</t>
  </si>
  <si>
    <t>BOMMEER_WIT_BIER</t>
  </si>
  <si>
    <t xml:space="preserve">STADSHAVEN | WITTE_PETER | </t>
  </si>
  <si>
    <t>WITTE_PETER</t>
  </si>
  <si>
    <t xml:space="preserve">STADSHAVEN | SPICY_MANGO_PEACH | </t>
  </si>
  <si>
    <t>SPICY_MANGO_PEACH</t>
  </si>
  <si>
    <t xml:space="preserve">STADSHAVEN | RASPBERRY_DRAGON_FRUIT | </t>
  </si>
  <si>
    <t>RASPBERRY_DRAGON_FRUIT</t>
  </si>
  <si>
    <t xml:space="preserve">STADSHAVEN | TROPICAL_BLOND | </t>
  </si>
  <si>
    <t>TROPICAL_BLOND</t>
  </si>
  <si>
    <t xml:space="preserve">STADSHAVEN | WEESKRANIG_IPA | </t>
  </si>
  <si>
    <t>WEESKRANIG_IPA</t>
  </si>
  <si>
    <t xml:space="preserve">STADSHAVEN | LIME_AND_PASSION | </t>
  </si>
  <si>
    <t>LIME_AND_PASSION</t>
  </si>
  <si>
    <t xml:space="preserve">STADSHAVEN | MOONSHINE_WEIZEN | </t>
  </si>
  <si>
    <t>MOONSHINE</t>
  </si>
  <si>
    <t>MOONSHINE_WEIZEN</t>
  </si>
  <si>
    <t xml:space="preserve">STADSHAVEN | MOONSHINE_TRIPEL | </t>
  </si>
  <si>
    <t>MOONSHINE_TRIPEL</t>
  </si>
  <si>
    <t xml:space="preserve">STADSHAVEN | WINTER | </t>
  </si>
  <si>
    <t xml:space="preserve">STADSHAVEN | WEIZEN | </t>
  </si>
  <si>
    <t xml:space="preserve">TO_OL | WHIRL_DOMINATION | </t>
  </si>
  <si>
    <t>DOMINATION</t>
  </si>
  <si>
    <t xml:space="preserve">TO_OL | DIPA | </t>
  </si>
  <si>
    <t xml:space="preserve">TO_OL | HOUSE_OF_PALE | </t>
  </si>
  <si>
    <t>HOUSE_OF_PALE</t>
  </si>
  <si>
    <t xml:space="preserve">TO_OL | GARDEN_OF_EDEN | </t>
  </si>
  <si>
    <t>EDEN</t>
  </si>
  <si>
    <t>GARDEN_OF_EDEN</t>
  </si>
  <si>
    <t xml:space="preserve">TO_OL | GOSE_TO_HOLLYWOOD | </t>
  </si>
  <si>
    <t>HOLLYWOOD</t>
  </si>
  <si>
    <t>GOSE_TO_HOLLYWOOD</t>
  </si>
  <si>
    <t xml:space="preserve">TO_OL | SNUBLEJUICE | </t>
  </si>
  <si>
    <t>SNUBLE</t>
  </si>
  <si>
    <t>SNUBLEJUICE</t>
  </si>
  <si>
    <t xml:space="preserve">TO_OL | TROPICAL_RUMBLE | </t>
  </si>
  <si>
    <t>RUMBLE</t>
  </si>
  <si>
    <t>TROPICAL_RUMBLE</t>
  </si>
  <si>
    <t xml:space="preserve">TO_OL | STEREO_MONO:_MOSAIC | </t>
  </si>
  <si>
    <t>STEREO_MONO:_MOSAIC</t>
  </si>
  <si>
    <t xml:space="preserve">TO_OL | DANGEROUSLY_CLOSE_TO_STUPID | </t>
  </si>
  <si>
    <t>DANGEROUSLY</t>
  </si>
  <si>
    <t>DANGEROUSLY_CLOSE_TO_STUPID</t>
  </si>
  <si>
    <t xml:space="preserve">TO_OL | CITY_SESSION_IPA | </t>
  </si>
  <si>
    <t>CITY</t>
  </si>
  <si>
    <t>CITY_SESSION_IPA</t>
  </si>
  <si>
    <t xml:space="preserve">TO_OL | SUR_CITRA | </t>
  </si>
  <si>
    <t>SUR_CITRA</t>
  </si>
  <si>
    <t xml:space="preserve">TO_OL | BLACK_MALTS_&amp;_BODY_SALTS | </t>
  </si>
  <si>
    <t>BLACK_MALTS_&amp;_BODY_SALTS</t>
  </si>
  <si>
    <t xml:space="preserve">TO_OL | 45_DAYS_ORGANIC_PILSNER | </t>
  </si>
  <si>
    <t>45_DAYS_ORGANIC_PILSNER</t>
  </si>
  <si>
    <t xml:space="preserve">TO_OL | GOLIAT | </t>
  </si>
  <si>
    <t>GOLIAT</t>
  </si>
  <si>
    <t>TO_OL | IMPLOSION | ZERO</t>
  </si>
  <si>
    <t>IMPLOSION</t>
  </si>
  <si>
    <t xml:space="preserve">TO_OL | REPARATIONSBAJER | </t>
  </si>
  <si>
    <t>REPARATION</t>
  </si>
  <si>
    <t>REPARATIONSBAJER</t>
  </si>
  <si>
    <t xml:space="preserve">TO_OL | FIRST_FRONTIER_IPA | </t>
  </si>
  <si>
    <t>FRONTIER</t>
  </si>
  <si>
    <t>FIRST_FRONTIER_IPA</t>
  </si>
  <si>
    <t xml:space="preserve">TO_OL | JULE_MALT | </t>
  </si>
  <si>
    <t>JULE_MALT</t>
  </si>
  <si>
    <t xml:space="preserve">TO_OL | ORBITAL_MOVEMENT | </t>
  </si>
  <si>
    <t>ORBITAL</t>
  </si>
  <si>
    <t>ORBITAL_MOVEMENT</t>
  </si>
  <si>
    <t xml:space="preserve">TO_OL | SUR_AMARILLO | </t>
  </si>
  <si>
    <t>AMARILLO</t>
  </si>
  <si>
    <t>SUR_AMARILLO</t>
  </si>
  <si>
    <t xml:space="preserve">TO_OL | SNOWBALL_SAISON | </t>
  </si>
  <si>
    <t>SNOWBALL</t>
  </si>
  <si>
    <t>SNOWBALL_SAISON</t>
  </si>
  <si>
    <t xml:space="preserve">TO_OL | SANTA_GOSE | </t>
  </si>
  <si>
    <t>SANTA</t>
  </si>
  <si>
    <t>SANTA_GOSE</t>
  </si>
  <si>
    <t xml:space="preserve">TO_OL | BERLINER_VICE | </t>
  </si>
  <si>
    <t>BERLINER_VICE</t>
  </si>
  <si>
    <t xml:space="preserve">TO_OL | SESSION_RAID | </t>
  </si>
  <si>
    <t>RAID</t>
  </si>
  <si>
    <t>SESSION_RAID</t>
  </si>
  <si>
    <t xml:space="preserve">TO_OL | BLACK_BALL | </t>
  </si>
  <si>
    <t>BALL</t>
  </si>
  <si>
    <t>BLACK_BALL</t>
  </si>
  <si>
    <t xml:space="preserve">TO_OL | MOCHACCINO_MESSIAH | </t>
  </si>
  <si>
    <t>MESSIAH</t>
  </si>
  <si>
    <t>MOCHACCINO_MESSIAH</t>
  </si>
  <si>
    <t xml:space="preserve">TO_OL | 01_DIPA | </t>
  </si>
  <si>
    <t>01_DIPA</t>
  </si>
  <si>
    <t xml:space="preserve">TO_OL | RAID_BEER | </t>
  </si>
  <si>
    <t>RAID_BEER</t>
  </si>
  <si>
    <t xml:space="preserve">TO_OL | SIPA | </t>
  </si>
  <si>
    <t>SIPA</t>
  </si>
  <si>
    <t xml:space="preserve">TO_OL | QUAFFZILLA | </t>
  </si>
  <si>
    <t>QUAFFZILLA</t>
  </si>
  <si>
    <t xml:space="preserve">TO_OL | RODGROD_MED_FLODE | </t>
  </si>
  <si>
    <t>RODGROD</t>
  </si>
  <si>
    <t>RODGROD_MED_FLODE</t>
  </si>
  <si>
    <t xml:space="preserve">TO_OL | 45_DAYS_IPL | </t>
  </si>
  <si>
    <t>IPL</t>
  </si>
  <si>
    <t>45_DAYS_IPL</t>
  </si>
  <si>
    <t xml:space="preserve">TO_OL | BY_UDDER_MEANS | </t>
  </si>
  <si>
    <t>UDDER</t>
  </si>
  <si>
    <t>BY_UDDER_MEANS</t>
  </si>
  <si>
    <t xml:space="preserve">TO_OL | LIQUID_CONFIDENCE_/_CONFIDENTIAL | </t>
  </si>
  <si>
    <t>CONFIDENCE</t>
  </si>
  <si>
    <t>LIQUID_CONFIDENCE_/_CONFIDENTIAL</t>
  </si>
  <si>
    <t xml:space="preserve">TO_OL | MY_PILS | </t>
  </si>
  <si>
    <t>MY_PILS</t>
  </si>
  <si>
    <t xml:space="preserve">TO_OL | SUR_SIMCOE | </t>
  </si>
  <si>
    <t>SIMCOE</t>
  </si>
  <si>
    <t>SUR_SIMCOE</t>
  </si>
  <si>
    <t xml:space="preserve">TO_OL | #IPA | </t>
  </si>
  <si>
    <t>#IPA</t>
  </si>
  <si>
    <t xml:space="preserve">TO_OL | HUMLE_SOVS | </t>
  </si>
  <si>
    <t>HUMLE</t>
  </si>
  <si>
    <t>HUMLE_SOVS</t>
  </si>
  <si>
    <t xml:space="preserve">TO_OL | BLIZZARD_(IN_A_BEER_MUG) | </t>
  </si>
  <si>
    <t>BLIZZARD_(IN_A_BEER_MUG)</t>
  </si>
  <si>
    <t xml:space="preserve">TO_OL | SUR_MOSAIC | </t>
  </si>
  <si>
    <t>SUR_MOSAIC</t>
  </si>
  <si>
    <t xml:space="preserve">TO_OL | THIRSTY_FRONTIER | </t>
  </si>
  <si>
    <t>THIRSTY</t>
  </si>
  <si>
    <t>THIRSTY_FRONTIER</t>
  </si>
  <si>
    <t xml:space="preserve">TO_OL | FUCK_ART | </t>
  </si>
  <si>
    <t>FUCK</t>
  </si>
  <si>
    <t>FUCK_ART</t>
  </si>
  <si>
    <t xml:space="preserve">VAN_MOLL | LANGHARIG_TUIG | </t>
  </si>
  <si>
    <t>LANGHARIG</t>
  </si>
  <si>
    <t xml:space="preserve">VAN_MOLL | DOERAK | </t>
  </si>
  <si>
    <t xml:space="preserve">VAN_MOLL | TRIPLE_TROUBLE | </t>
  </si>
  <si>
    <t>TROUBLE</t>
  </si>
  <si>
    <t xml:space="preserve">VAN_MOLL | TOEWIJDING | </t>
  </si>
  <si>
    <t xml:space="preserve">VAN_MOLL | WODAN | </t>
  </si>
  <si>
    <t>WODAN</t>
  </si>
  <si>
    <t>VAN_MOLL | WANDERLUST | ZERO</t>
  </si>
  <si>
    <t>WANDERLUST</t>
  </si>
  <si>
    <t xml:space="preserve">VAN_MOLL | EINDBAAS_-_LEVEL_2 | </t>
  </si>
  <si>
    <t>EINDBAAS</t>
  </si>
  <si>
    <t>EINDBAAS_-_LEVEL_2</t>
  </si>
  <si>
    <t xml:space="preserve">VAN_MOLL | PASTORALE | </t>
  </si>
  <si>
    <t>PASTORALE</t>
  </si>
  <si>
    <t xml:space="preserve">VAN_MOLL | OPGEBOKT! | </t>
  </si>
  <si>
    <t>OPGEBOKT</t>
  </si>
  <si>
    <t>OPGEBOKT!</t>
  </si>
  <si>
    <t xml:space="preserve">VAN_MOLL | 3D | </t>
  </si>
  <si>
    <t>3D</t>
  </si>
  <si>
    <t xml:space="preserve">VAN_MOLL | BLACK_&amp;_TAN | </t>
  </si>
  <si>
    <t>TAN</t>
  </si>
  <si>
    <t xml:space="preserve">VAN_MOLL | ZOLTAN_-_BUFFALO_TRACE_BA | </t>
  </si>
  <si>
    <t>ZOLTAN</t>
  </si>
  <si>
    <t>ZOLTAN_-_BUFFALO_TRACE_BA</t>
  </si>
  <si>
    <t xml:space="preserve">VAN_MOLL | CAMP_CARIBOO | </t>
  </si>
  <si>
    <t>CARIBOO</t>
  </si>
  <si>
    <t>CAMP_CARIBOO</t>
  </si>
  <si>
    <t xml:space="preserve">VAN_MOLL | HOLY_HOPSTER | </t>
  </si>
  <si>
    <t>HOPSTER</t>
  </si>
  <si>
    <t>HOLY_HOPSTER</t>
  </si>
  <si>
    <t xml:space="preserve">VAN_MOLL | SPELT_GEWELD | </t>
  </si>
  <si>
    <t>SPELT_GEWELD</t>
  </si>
  <si>
    <t xml:space="preserve">VAN_MOLL | JAZZ_AGE | </t>
  </si>
  <si>
    <t>JAZZ_AGE</t>
  </si>
  <si>
    <t xml:space="preserve">VAN_MOLL | QUADROPHENIA | </t>
  </si>
  <si>
    <t>QUADROPHENIA</t>
  </si>
  <si>
    <t xml:space="preserve">VAN_MOLL | MILJAAR! | </t>
  </si>
  <si>
    <t>MILJAAR</t>
  </si>
  <si>
    <t>MILJAAR!</t>
  </si>
  <si>
    <t xml:space="preserve">VAN_MOLL | CITRAMAN | </t>
  </si>
  <si>
    <t>CITRAMAN</t>
  </si>
  <si>
    <t xml:space="preserve">VAN_MOLL | BLOODY_HERRIE | </t>
  </si>
  <si>
    <t>BLOODY</t>
  </si>
  <si>
    <t>BLOODY_HERRIE</t>
  </si>
  <si>
    <t xml:space="preserve">VAN_MOLL | SHADOW_ASSASSIN | </t>
  </si>
  <si>
    <t>SHADOW</t>
  </si>
  <si>
    <t>SHADOW_ASSASSIN</t>
  </si>
  <si>
    <t xml:space="preserve">VAN_MOLL | TOTAL_BLACKOUT | </t>
  </si>
  <si>
    <t>BLACKOUT</t>
  </si>
  <si>
    <t>TOTAL_BLACKOUT</t>
  </si>
  <si>
    <t xml:space="preserve">VAN_MOLL | PUNJABI_PUNCH | </t>
  </si>
  <si>
    <t>PUNJABI</t>
  </si>
  <si>
    <t>PUNJABI_PUNCH</t>
  </si>
  <si>
    <t xml:space="preserve">VAN_MOLL | FUNKY_DRUMMER | </t>
  </si>
  <si>
    <t>DRUMMER</t>
  </si>
  <si>
    <t>FUNKY_DRUMMER</t>
  </si>
  <si>
    <t xml:space="preserve">VAN_MOLL | HOPPINESS_IS_EASY | </t>
  </si>
  <si>
    <t>HOPPINESS_IS_EASY</t>
  </si>
  <si>
    <t xml:space="preserve">VAN_MOLL | CLUB_TROPICANA | </t>
  </si>
  <si>
    <t>TROPICANA</t>
  </si>
  <si>
    <t>CLUB_TROPICANA</t>
  </si>
  <si>
    <t xml:space="preserve">VAN_MOLL | MORRICONE | </t>
  </si>
  <si>
    <t>MORRICONE</t>
  </si>
  <si>
    <t xml:space="preserve">VAN_MOLL | LUIKSE_VECHTER | </t>
  </si>
  <si>
    <t>LUIKS</t>
  </si>
  <si>
    <t>LUIKSE_VECHTER</t>
  </si>
  <si>
    <t xml:space="preserve">VAN_MOLL | SPELLBOUND | </t>
  </si>
  <si>
    <t>SPELLBOUND</t>
  </si>
  <si>
    <t xml:space="preserve">VAN_MOLL | SHADOW_ASSASSIN_BOURBON | </t>
  </si>
  <si>
    <t>BOURBAN</t>
  </si>
  <si>
    <t>SHADOW_ASSASSIN_BOURBON</t>
  </si>
  <si>
    <t xml:space="preserve">VAN_MOLL | HOPOCALYPSE_FOREVER | </t>
  </si>
  <si>
    <t>HOPOCALYPSE</t>
  </si>
  <si>
    <t>HOPOCALYPSE_FOREVER</t>
  </si>
  <si>
    <t xml:space="preserve">VAN_MOLL | GRANDEUR | </t>
  </si>
  <si>
    <t>GRANDEUR</t>
  </si>
  <si>
    <t xml:space="preserve">VAN_MOLL | BLACK_METAL_MANITA | </t>
  </si>
  <si>
    <t>MANITA</t>
  </si>
  <si>
    <t>BLACK_METAL_MANITA</t>
  </si>
  <si>
    <t xml:space="preserve">VAN_MOLL | EINDBAAS_-_LEVEL_4 | </t>
  </si>
  <si>
    <t>LEVEL_4</t>
  </si>
  <si>
    <t>EINDBAAS_-_LEVEL_4</t>
  </si>
  <si>
    <t xml:space="preserve">VAN_MOLL | GUAVEMENTE | </t>
  </si>
  <si>
    <t>GUAVEMENTE</t>
  </si>
  <si>
    <t xml:space="preserve">VAN_MOLL | EINDE_OEFENING | </t>
  </si>
  <si>
    <t>OEFENING</t>
  </si>
  <si>
    <t>EINDE_OEFENING</t>
  </si>
  <si>
    <t xml:space="preserve">VAN_MOLL | MU_MU_LAND | </t>
  </si>
  <si>
    <t>LAND</t>
  </si>
  <si>
    <t>MU_MU_LAND</t>
  </si>
  <si>
    <t xml:space="preserve">VAN_MOLL | DREAMCATCHER | </t>
  </si>
  <si>
    <t>DREAM</t>
  </si>
  <si>
    <t>DREAMCATCHER</t>
  </si>
  <si>
    <t xml:space="preserve">VAN_MOLL | TALUSMAN | </t>
  </si>
  <si>
    <t>TALUSMAN</t>
  </si>
  <si>
    <t xml:space="preserve">VELTINS | PILSNER | </t>
  </si>
  <si>
    <t xml:space="preserve">GREVENSTEINER | CORE | </t>
  </si>
  <si>
    <t xml:space="preserve">VELTINS | HELLES | </t>
  </si>
  <si>
    <t>PULLEKEN</t>
  </si>
  <si>
    <t xml:space="preserve">VELTINS | V+_CURUBA | </t>
  </si>
  <si>
    <t>CURUBA</t>
  </si>
  <si>
    <t>V+_CURUBA</t>
  </si>
  <si>
    <t xml:space="preserve">GREVENSTEINER | GREVENSTEINER_NATURTRÜBES_HELLES_(BLUE/BLAU) | </t>
  </si>
  <si>
    <t>GREVENSTEINER_NATURTRÜBES_HELLES_(BLUE/BLAU)</t>
  </si>
  <si>
    <t xml:space="preserve">VELTINS | RADLER | </t>
  </si>
  <si>
    <t>VELTINS | PILSNER | ZERO</t>
  </si>
  <si>
    <t xml:space="preserve">GREVENSTEINER | DUNKEL | </t>
  </si>
  <si>
    <t xml:space="preserve">GREVENSTEINER | RADLER | </t>
  </si>
  <si>
    <t xml:space="preserve">VELTINS | V+_ENERGY | </t>
  </si>
  <si>
    <t>ENERGY</t>
  </si>
  <si>
    <t>V+_ENERGY</t>
  </si>
  <si>
    <t>VELTINS | RADLER | ZERO</t>
  </si>
  <si>
    <t xml:space="preserve">VELTINS | V+_LEMON_GRAPEFRUIT | </t>
  </si>
  <si>
    <t>V+_LEMON_GRAPEFRUIT</t>
  </si>
  <si>
    <t xml:space="preserve">VELTINS | V+_SPRIZZ | </t>
  </si>
  <si>
    <t>SPRIZZ;SPRITZ</t>
  </si>
  <si>
    <t>V+_SPRIZZ</t>
  </si>
  <si>
    <t xml:space="preserve">VELTINS | ZITRONKEN | </t>
  </si>
  <si>
    <t>ZITRONKEN</t>
  </si>
  <si>
    <t xml:space="preserve">VELTINS | V+_BERRY-X | </t>
  </si>
  <si>
    <t>V+_BERRY-X</t>
  </si>
  <si>
    <t xml:space="preserve">VELTINS | V+_LEMON_5.0% | </t>
  </si>
  <si>
    <t>V+_LEMON_5.0%</t>
  </si>
  <si>
    <t xml:space="preserve">VELTINS | V+_TUTTI_FRUTTI_ENERGY | </t>
  </si>
  <si>
    <t>TUTTI</t>
  </si>
  <si>
    <t>V+_TUTTI_FRUTTI_ENERGY</t>
  </si>
  <si>
    <t xml:space="preserve">VELTINS | V+_WILD_BERRY | </t>
  </si>
  <si>
    <t>V+_WILD_BERRY</t>
  </si>
  <si>
    <t xml:space="preserve">DUCHESSE | RED | </t>
  </si>
  <si>
    <t xml:space="preserve">DUCHESSE | ANNE_TRIPLE | </t>
  </si>
  <si>
    <t>ANNE_TRIPLE</t>
  </si>
  <si>
    <t xml:space="preserve">DUCHESSE | CHOCOLATE_CHERRY | </t>
  </si>
  <si>
    <t>CHOCOLATE</t>
  </si>
  <si>
    <t>CHOCOLATE_CHERRY</t>
  </si>
  <si>
    <t xml:space="preserve">WALHALLA | LOKI_GOLDEN_IPA | </t>
  </si>
  <si>
    <t>LOKI</t>
  </si>
  <si>
    <t>LOKI_GOLDEN_IPA</t>
  </si>
  <si>
    <t xml:space="preserve">WALHALLA | ZEUS_DIPA | </t>
  </si>
  <si>
    <t>ZEUS</t>
  </si>
  <si>
    <t>ZEUS_DIPA</t>
  </si>
  <si>
    <t xml:space="preserve">WALHALLA | NJORD_HAZY_PALE_ALE | </t>
  </si>
  <si>
    <t>NJORD</t>
  </si>
  <si>
    <t>NJORD_HAZY_PALE_ALE</t>
  </si>
  <si>
    <t xml:space="preserve">WALHALLA | ELIXER_NEW_ENGLAND_IPA | </t>
  </si>
  <si>
    <t>ELIXER_NEW_ENGLAND_IPA</t>
  </si>
  <si>
    <t xml:space="preserve">WALHALLA | NABU_MANGO_IPA | </t>
  </si>
  <si>
    <t>NABU</t>
  </si>
  <si>
    <t>NABU_MANGO_IPA</t>
  </si>
  <si>
    <t xml:space="preserve">WALHALLA | NISABA_WEST_COAST_IPA | </t>
  </si>
  <si>
    <t>NISABA</t>
  </si>
  <si>
    <t>NISABA_WEST_COAST_IPA</t>
  </si>
  <si>
    <t xml:space="preserve">WALHALLA | HEIMDALL_IMPERIAL_RYE_BOCK | </t>
  </si>
  <si>
    <t>HEIMDALL</t>
  </si>
  <si>
    <t>HEIMDALL_IMPERIAL_RYE_BOCK</t>
  </si>
  <si>
    <t xml:space="preserve">WALHALLA | MIST_WEIZEN | </t>
  </si>
  <si>
    <t>MIST</t>
  </si>
  <si>
    <t>MIST_WEIZEN</t>
  </si>
  <si>
    <t xml:space="preserve">WALHALLA | APHRODITE_RASPBERRY_SOUR | </t>
  </si>
  <si>
    <t>APHRODITE</t>
  </si>
  <si>
    <t>APHRODITE_RASPBERRY_SOUR</t>
  </si>
  <si>
    <t xml:space="preserve">WALHALLA | APOLLO_HOPPY_PILSNER | </t>
  </si>
  <si>
    <t>APOLLO</t>
  </si>
  <si>
    <t>APOLLO_HOPPY_PILSNER</t>
  </si>
  <si>
    <t xml:space="preserve">WHIPLASH | BONE_MACHINE | </t>
  </si>
  <si>
    <t>BONE_MACHINE</t>
  </si>
  <si>
    <t xml:space="preserve">WHIPLASH | ROLLOVER | </t>
  </si>
  <si>
    <t>ROLLOVER</t>
  </si>
  <si>
    <t xml:space="preserve">WHIPLASH | BODY_RIDDLE | </t>
  </si>
  <si>
    <t>RIDDLE</t>
  </si>
  <si>
    <t>BODY_RIDDLE</t>
  </si>
  <si>
    <t xml:space="preserve">WHIPLASH | SETTING_SUN | </t>
  </si>
  <si>
    <t>SETTING_SUN</t>
  </si>
  <si>
    <t xml:space="preserve">WHIPLASH | SURRENDER_TO_THE_VOID | </t>
  </si>
  <si>
    <t>SURRENDER</t>
  </si>
  <si>
    <t>SURRENDER_TO_THE_VOID</t>
  </si>
  <si>
    <t xml:space="preserve">WHIPLASH | THE_SUP | </t>
  </si>
  <si>
    <t>SUP</t>
  </si>
  <si>
    <t>THE_SUP</t>
  </si>
  <si>
    <t xml:space="preserve">WHIPLASH | LET_IT_HAPPEN | </t>
  </si>
  <si>
    <t>HAPPEN</t>
  </si>
  <si>
    <t>LET_IT_HAPPEN</t>
  </si>
  <si>
    <t xml:space="preserve">WHIPLASH | SCALDY_PORTER | </t>
  </si>
  <si>
    <t>SCALDY</t>
  </si>
  <si>
    <t>SCALDY_PORTER</t>
  </si>
  <si>
    <t xml:space="preserve">WHIPLASH | FATAL_DEVIATION | </t>
  </si>
  <si>
    <t>FATAL</t>
  </si>
  <si>
    <t>FATAL_DEVIATION</t>
  </si>
  <si>
    <t xml:space="preserve">WHIPLASH | SHADES_OF_MARBLE | </t>
  </si>
  <si>
    <t>SHADE</t>
  </si>
  <si>
    <t>SHADES_OF_MARBLE</t>
  </si>
  <si>
    <t xml:space="preserve">WHIPLASH | DO_YOU_WANNA_TOUCH_ME | </t>
  </si>
  <si>
    <t>DO_YOU_WANNA_TOUCH_ME</t>
  </si>
  <si>
    <t xml:space="preserve">WHIPLASH | SLOW_LIFE | </t>
  </si>
  <si>
    <t>SLOW</t>
  </si>
  <si>
    <t>SLOW_LIFE</t>
  </si>
  <si>
    <t xml:space="preserve">WHIPLASH | DISCO_MYSTIC | </t>
  </si>
  <si>
    <t>DISCO</t>
  </si>
  <si>
    <t>DISCO_MYSTIC</t>
  </si>
  <si>
    <t xml:space="preserve">WHIPLASH | SPACE_OPERATOR | </t>
  </si>
  <si>
    <t>SPACE</t>
  </si>
  <si>
    <t>SPACE_OPERATOR</t>
  </si>
  <si>
    <t xml:space="preserve">WHIPLASH | DRONE_LOGIC | </t>
  </si>
  <si>
    <t>DRONE</t>
  </si>
  <si>
    <t>DRONE_LOGIC</t>
  </si>
  <si>
    <t xml:space="preserve">WHIPLASH | SWOON | </t>
  </si>
  <si>
    <t>SWOON</t>
  </si>
  <si>
    <t xml:space="preserve">WHIPLASH | BLUE_GHOSTS | </t>
  </si>
  <si>
    <t>GHOST</t>
  </si>
  <si>
    <t>BLUE_GHOSTS</t>
  </si>
  <si>
    <t xml:space="preserve">WHIPLASH | RECKONER | </t>
  </si>
  <si>
    <t>RECKONER</t>
  </si>
  <si>
    <t xml:space="preserve">WHIPLASH | WATER_JUMP | </t>
  </si>
  <si>
    <t>WATER_JUMP</t>
  </si>
  <si>
    <t xml:space="preserve">WHIPLASH | CREAM_ON_CHROME | </t>
  </si>
  <si>
    <t>CREAM</t>
  </si>
  <si>
    <t>CREAM_ON_CHROME</t>
  </si>
  <si>
    <t xml:space="preserve">WHIPLASH | HORSE_POWER | </t>
  </si>
  <si>
    <t>HORSE_POWER</t>
  </si>
  <si>
    <t xml:space="preserve">WHIPLASH | SUNSHINE_UNDER_GROUND | </t>
  </si>
  <si>
    <t>GROUND</t>
  </si>
  <si>
    <t>SUNSHINE_UNDER_GROUND</t>
  </si>
  <si>
    <t xml:space="preserve">WHIPLASH | STATION_TO_STATION | </t>
  </si>
  <si>
    <t>STATION</t>
  </si>
  <si>
    <t>STATION_TO_STATION</t>
  </si>
  <si>
    <t xml:space="preserve">WHIPLASH | NEVER_CURSED | </t>
  </si>
  <si>
    <t>CURSED</t>
  </si>
  <si>
    <t>NEVER_CURSED</t>
  </si>
  <si>
    <t xml:space="preserve">WHIPLASH | NICE_DREAM | </t>
  </si>
  <si>
    <t>NICE_DREAM</t>
  </si>
  <si>
    <t xml:space="preserve">WHIPLASH | VELOURIA | </t>
  </si>
  <si>
    <t>VELOURIA</t>
  </si>
  <si>
    <t xml:space="preserve">WHIPLASH | FANTASM_PLANES | </t>
  </si>
  <si>
    <t>FANTASM</t>
  </si>
  <si>
    <t>FANTASM_PLANES</t>
  </si>
  <si>
    <t xml:space="preserve">WHIPLASH | DOOM_CITY | </t>
  </si>
  <si>
    <t>DOOM</t>
  </si>
  <si>
    <t>DOOM_CITY</t>
  </si>
  <si>
    <t xml:space="preserve">WHIPLASH | FATAL_DEVIATION_(BARREL_AGED) | </t>
  </si>
  <si>
    <t>FATAL_DEVIATION_(BARREL_AGED)</t>
  </si>
  <si>
    <t xml:space="preserve">WHIPLASH | QUIET_CROWD | </t>
  </si>
  <si>
    <t>QUIET</t>
  </si>
  <si>
    <t>QUIET_CROWD</t>
  </si>
  <si>
    <t xml:space="preserve">WHIPLASH | HEADLINES | </t>
  </si>
  <si>
    <t>HEADLINES</t>
  </si>
  <si>
    <t xml:space="preserve">WHIPLASH | HEART_OF_CHAMBERS | </t>
  </si>
  <si>
    <t>CHAMBRES</t>
  </si>
  <si>
    <t>HEART_OF_CHAMBERS</t>
  </si>
  <si>
    <t xml:space="preserve">WHIPLASH | ANOTHER_LIGHT | </t>
  </si>
  <si>
    <t>ANOTHER</t>
  </si>
  <si>
    <t>ANOTHER_LIGHT</t>
  </si>
  <si>
    <t xml:space="preserve">WHIPLASH | JUNGLE_WINDOW | </t>
  </si>
  <si>
    <t>JUNGLE_WINDOW</t>
  </si>
  <si>
    <t xml:space="preserve">WHIPLASH | BREAKING_GLASS | </t>
  </si>
  <si>
    <t>BREAKING</t>
  </si>
  <si>
    <t>BREAKING_GLASS</t>
  </si>
  <si>
    <t xml:space="preserve">WHIPLASH | LOUD_PLACES | </t>
  </si>
  <si>
    <t>LOUD</t>
  </si>
  <si>
    <t>LOUD_PLACES</t>
  </si>
  <si>
    <t xml:space="preserve">WHIPLASH | CLOSE_TO_PARADISE | </t>
  </si>
  <si>
    <t>CLOSE_TO_PARADISE</t>
  </si>
  <si>
    <t xml:space="preserve">WHIPLASH | APOCALYPSE_DREAMS | </t>
  </si>
  <si>
    <t>APOCALYPSE</t>
  </si>
  <si>
    <t>APOCALYPSE_DREAMS</t>
  </si>
  <si>
    <t xml:space="preserve">WHIPLASH | PRISONER_OF_LOVE | </t>
  </si>
  <si>
    <t>PRISONER</t>
  </si>
  <si>
    <t>PRISONER_OF_LOVE</t>
  </si>
  <si>
    <t>SCHIFFMACHER</t>
  </si>
  <si>
    <t xml:space="preserve">HEIDEBROUWERIJ | BIJENBLOND_SCHIFFMACHER_EDITION | </t>
  </si>
  <si>
    <t xml:space="preserve">HEIDEBROUWERIJ | WOLFWEIZEN_SCHIFFMACHER_EDITION | </t>
  </si>
  <si>
    <t xml:space="preserve">HEIDEBROUWERIJ | OEHOEDONKER_SCHIFFMACHER_EDITION | </t>
  </si>
  <si>
    <t>692</t>
  </si>
  <si>
    <t>1516</t>
  </si>
  <si>
    <t>17</t>
  </si>
  <si>
    <t>16</t>
  </si>
  <si>
    <t>15</t>
  </si>
  <si>
    <t>19</t>
  </si>
  <si>
    <t>21</t>
  </si>
  <si>
    <t>84</t>
  </si>
  <si>
    <t>STEIGENBERGER</t>
  </si>
  <si>
    <t>BEAN</t>
  </si>
  <si>
    <t>LIMONCELLO</t>
  </si>
  <si>
    <t>22</t>
  </si>
  <si>
    <t>23</t>
  </si>
  <si>
    <t>45</t>
  </si>
  <si>
    <t>SPRIZZ</t>
  </si>
  <si>
    <t>POPULUS</t>
  </si>
  <si>
    <t>6921</t>
  </si>
  <si>
    <t>TO_OL;TO_AL;WHIRL_DOMINATION;HOUSE_OF_PALE;GARDEN_OF_EDEN;GOSE_TO_HOLLYWOOD;SNUBLEJUICE;TROPICAL_RUMBLE;STEREO_MONO;DANGEROUSLY_CLOSE_TO_STUPID;CITY_SESSION_IPA;BLACK_MALTS_&amp;_BODY_SALTS;45_DAYS_ORGANIC_PILSNER;GOLIAT;IMPLOSION;REPARATIONSBAJER;FIRST_FRONTIER_IPA;JULE_MALT;ORBITAL_MOVEMENT;SUR_AMARILLO;SNOWBALL_SAISON;SANTA_GOSE;BERLINER_VICE;SESSION_RAID;BLACK_BALL;MOCHACCINO_MESSIAH;01_DIPA;RAID_BEER;SIPA;QUAFFZILLA;RODGROD_MED_FLODE;45_DAYS_IPL;BY_UDDER_MEANS;LIQUID_CONFIDENCE_/_CONFIDENTIAL;SUR_SIMCOE;HUMLE_SOVS;BLIZZARD_(IN_A_BEER_MUG);SUR_MOSAIC;THIRSTY_FRONTIER;FUCK_ART</t>
  </si>
  <si>
    <t xml:space="preserve">UILTJE | BIRD_OF_PREY | </t>
  </si>
  <si>
    <t xml:space="preserve">UILTJE | TRACKDOWN | </t>
  </si>
  <si>
    <t xml:space="preserve">UILTJE | DR._RAPTOR | </t>
  </si>
  <si>
    <t xml:space="preserve">UILTJE | FF_LEKKER_MET_JE_BEK_IN_HET_ZONNETJE | </t>
  </si>
  <si>
    <t xml:space="preserve">UILTJE | DIKKE_LUL_3_BIER! | </t>
  </si>
  <si>
    <t xml:space="preserve">UILTJE | PIEWEE_THE_PINEAPPLE_WEIZEN | </t>
  </si>
  <si>
    <t xml:space="preserve">UILTJE | ME_MYSELF_&amp;_IPA | </t>
  </si>
  <si>
    <t xml:space="preserve">UILTJE | APFELSTRUDEL_DOPPELBOCK | </t>
  </si>
  <si>
    <t xml:space="preserve">UILTJE | JUICY_LUCY | </t>
  </si>
  <si>
    <t xml:space="preserve">UILTJE | COSMIC_BLOND | </t>
  </si>
  <si>
    <t xml:space="preserve">UILTJE | EL_PATRON | </t>
  </si>
  <si>
    <t xml:space="preserve">UILTJE | F*CK_THE_CHRISTMAS_TREE_IS_ON_FIRE!!!_/_F*CK_DE_KERSTBOOM_STAAT_IN_DE_FIK!!! | </t>
  </si>
  <si>
    <t xml:space="preserve">UILTJE | WIZARD_WIT | </t>
  </si>
  <si>
    <t xml:space="preserve">UILTJE | FANCY_PANTS | </t>
  </si>
  <si>
    <t xml:space="preserve">UILTJE | PRIMA_DONNA | </t>
  </si>
  <si>
    <t xml:space="preserve">UILTJE | HAVE_YOU_EVER_BEEN_YELLOW | </t>
  </si>
  <si>
    <t xml:space="preserve">UILTJE | MET_JE_CASCADE_GROENE_TRUI_/_CASCADE_GREEN_SWEATER | </t>
  </si>
  <si>
    <t xml:space="preserve">UILTJE | HATS,_HOPS_&amp;_WARM_SOCKS | </t>
  </si>
  <si>
    <t xml:space="preserve">UILTJE | WHOOOO_LET_THE_DOG_OUT | </t>
  </si>
  <si>
    <t xml:space="preserve">UILTJE | SUPERB_OWL | </t>
  </si>
  <si>
    <t xml:space="preserve">UILTJE | GELE_RAKKER | </t>
  </si>
  <si>
    <t xml:space="preserve">UILTJE | PRINCE_OWLBERT | </t>
  </si>
  <si>
    <t xml:space="preserve">UILTJE | F*CK_THE_CARAVAN_IS_ON_FIRE!_/_F*CK_DE_CARAVAN_STAAT_IN_DE_FIK! | </t>
  </si>
  <si>
    <t xml:space="preserve">UILTJE | JOOST_MAG_HET_WETEN | </t>
  </si>
  <si>
    <t xml:space="preserve">UILTJE | MOSAIC_MAMMOTH | </t>
  </si>
  <si>
    <t>HEFEWEIZZEN;HEFEWEISS;HEFE_WEISS;HEFE</t>
  </si>
  <si>
    <t>WEIHENSTEPHANER;KORBINIAN;WEIHENSTEPHAN</t>
  </si>
  <si>
    <t>BAVARIA | PILSNER | ZERO</t>
  </si>
  <si>
    <t>CABRON;CABRAN</t>
  </si>
  <si>
    <t>BRAND | WEIZEN | ZERO</t>
  </si>
  <si>
    <t>BRAND | IPA | ZERO</t>
  </si>
  <si>
    <t>WEIHENSTEPHANER | HELLES_ORIGINAL | ZERO</t>
  </si>
  <si>
    <t>WEIHENSTEPHANER | HEFEWEIZEN | ZERO</t>
  </si>
  <si>
    <t>BOEGBEELD | SKEITERT | ZERO</t>
  </si>
  <si>
    <t>ERDINGER | WEIZEN | ZERO</t>
  </si>
  <si>
    <t>ERDINGER | RADLER | ZERO</t>
  </si>
  <si>
    <t>ERDINGER | GRAPERFRUIT | ZERO</t>
  </si>
  <si>
    <t>ERDINGER | HELLES | ZERO</t>
  </si>
  <si>
    <t>HEIDEBROUWERIJ | VOSBLOND_SCHIFFMACHER | ZERO</t>
  </si>
  <si>
    <t>HEIDEBROUWERIJ | VOSBLOND | ZERO</t>
  </si>
  <si>
    <t>KOMPAAN | THRILL_SEEKER | ZERO</t>
  </si>
  <si>
    <t>GOUDALE | BLOND | BIO</t>
  </si>
  <si>
    <t>GOUDALE | BLOND | ZERO</t>
  </si>
  <si>
    <t>LERVIG | NO_WORRIES_ORIGINAL | ZERO</t>
  </si>
  <si>
    <t>LERVIG | NO_WORRIES_GRAPEFRUIT | ZERO</t>
  </si>
  <si>
    <t xml:space="preserve">LERVIG | RHUBARB | </t>
  </si>
  <si>
    <t>LERVIG | NO_WORRIES_MANGO | ZERO</t>
  </si>
  <si>
    <t>LERVIG | XMAS | ZERO</t>
  </si>
  <si>
    <t>LINDEBOOM | CHERRY | ZERO</t>
  </si>
  <si>
    <t>LINDEBOOM | LEMON | ZERO</t>
  </si>
  <si>
    <t>LINDEBOOM | PILSNER | ZERO</t>
  </si>
  <si>
    <t>LIPTON | MANGO | ZERO</t>
  </si>
  <si>
    <t>SCHNEIDER_WEISSE | WEIZEN | ZERO</t>
  </si>
  <si>
    <t>BEACH</t>
  </si>
  <si>
    <t>JACOBUS</t>
  </si>
  <si>
    <t>ZIJ</t>
  </si>
  <si>
    <t>ADRIAAN;WHITE</t>
  </si>
  <si>
    <t>NON</t>
  </si>
  <si>
    <t>ADRIAAN</t>
  </si>
  <si>
    <t>NAECKTE;NAECKTE_NON;FEEKS;NIMF;ZONNEGLOED;ELEGAST;ELSER;NAECKTE_BOCK;NOORDERLICHT;DIRNDL</t>
  </si>
  <si>
    <t>SCHULTENBRAU;</t>
  </si>
  <si>
    <t>MUIFEL;ZUSTER_AGATHA;OSSEKOP_BLOND;BROEDER_EVERARDUS;OSSEBOCK;BEERSKEY;NONDEJU_GRAND_CRUMESSENTREKKER;MUIFEL_BOCKSKI;1357_DUBBEL;UNNE_ZIEVERZAK;NINA_S_BLACK_METAL_BDIPA;DICBIER;I_SPY_DOUBLE_RYE;MAASHORST_BLOND;SEBIUS;BERGHS_BIER_AMBER</t>
  </si>
  <si>
    <t>POESIAT_KATER;KAINTZ;SMULING_IPA;LITTLE_SMULING_SESSION_IPA;MEYER;MIKKIE_IS_CATTIVELLA;DOS_BURROS;WISSE_WEIZEN;DUTCH_EAGLE;THE_BIG_FAT_5_DOUBLE_IPA;DÅBLE_DÆTE;MARLE;NAMAZU;BEYOND_THE_HORIZON;VRIJE_KATER_NEW_ENGLAND_IPA;BALD_EAGLE;HILLY;POKA;WILDT_WIT;LEGENDARY_PALE_ALE;THE_POETRY_OF_HANGOVERS_VERSE_2:_SCHAPENTIET;OSO_LOCO;KERKEN;IMMACULATE;MOSAIC_SMASH;BIERBITCH_PROJECT</t>
  </si>
  <si>
    <t>DUTCH_BARGAIN;SEAWISE;PACIFIC_HAZE;ZUIDWESTER;ZEEUWS_BLOND;GLITTER_EXTRAVAGANZA_IPA;DESIGNATED_DRYVER;VIVA_LA_VIDA;CHAMPAGNE_SHOWERS_GLITTER_EXTRAVAGANZA;ZEEUWSE_BABBELAAR_STOUT;MOELLEUX_AU_CHOCOLAT;ZE_SMELTEN_DE_PAASHAAS_X_HEIDEROOSJES;SOFT_TROPICAL_WAVES;CAN_I_KICK_IT?</t>
  </si>
  <si>
    <t>TOOL</t>
  </si>
  <si>
    <t>DOMINATION;CORE</t>
  </si>
  <si>
    <t>PLAY;PLAYGROUND</t>
  </si>
  <si>
    <t>FUN;HOUSE;NEIPA</t>
  </si>
  <si>
    <t>CURUBA;CORE</t>
  </si>
  <si>
    <t>DUCHESSE | DUBBEL |</t>
  </si>
  <si>
    <t>DUCHESSE | CHERRY |</t>
  </si>
  <si>
    <t>DUCHESSE | APPLE |</t>
  </si>
  <si>
    <t>DUCHESSE | RED |</t>
  </si>
  <si>
    <t>CORE;BOURGOGNE</t>
  </si>
  <si>
    <t>DUCHESSE | DE_BOURGOGNE |</t>
  </si>
  <si>
    <t>BOURGOGNE</t>
  </si>
  <si>
    <t>SOCKS;HATS</t>
  </si>
  <si>
    <t>IPA;HOP</t>
  </si>
  <si>
    <t xml:space="preserve">GULPENER | HERFSTBOCK | </t>
  </si>
  <si>
    <t>SCHUTTERSBIER</t>
  </si>
  <si>
    <t>IMPERIAL_BLOND;IMPERIAL</t>
  </si>
  <si>
    <t xml:space="preserve">BAVARIA | STRONG_BLOND | </t>
  </si>
  <si>
    <t xml:space="preserve">UILTJE | BUURMAN | </t>
  </si>
  <si>
    <t>BUURMAN</t>
  </si>
  <si>
    <t xml:space="preserve">UILTJE | AMERICAN_BEAUTY | </t>
  </si>
  <si>
    <t>AMERICAN_BEAUTY</t>
  </si>
  <si>
    <t xml:space="preserve">WARSTEINER | PILSNER | </t>
  </si>
  <si>
    <t xml:space="preserve">WARSTEINER | DUNKEL | </t>
  </si>
  <si>
    <t xml:space="preserve">WARSTEINER | OKTOBERFEST | </t>
  </si>
  <si>
    <t>MARZEN;OKTOBER</t>
  </si>
  <si>
    <t xml:space="preserve">WARSTEINER | WINTER | </t>
  </si>
  <si>
    <t>WEIHNACHT;WINTER</t>
  </si>
  <si>
    <t xml:space="preserve">WARSTEINER | BREWERS_GOLD | </t>
  </si>
  <si>
    <t>BREWERS_GOLD</t>
  </si>
  <si>
    <t xml:space="preserve">WARSTEINER | HERB | </t>
  </si>
  <si>
    <t>HERB</t>
  </si>
  <si>
    <t xml:space="preserve">WARSTEINER | RADLER | </t>
  </si>
  <si>
    <t>WARSTEINER | RADLER | ZERO</t>
  </si>
  <si>
    <t xml:space="preserve">WARSTEINER | GRAPEFRUIT | </t>
  </si>
  <si>
    <t xml:space="preserve">WARSTEINER | EXTRA | </t>
  </si>
  <si>
    <t>WARSTEINER | FRESH | ZERO</t>
  </si>
  <si>
    <t>WARSTEINER | GRAPEFRUIT | ZERO</t>
  </si>
  <si>
    <t>WARSTEINER | ISOTONE | ZERO</t>
  </si>
  <si>
    <t>ISOTONE</t>
  </si>
  <si>
    <t xml:space="preserve">BAXBIER | ABEL_S_ALE | </t>
  </si>
  <si>
    <t>ABEL</t>
  </si>
  <si>
    <t>ABEL_S_ALE</t>
  </si>
  <si>
    <t xml:space="preserve">BAXBIER | TROPICAL_PALE_ALE | </t>
  </si>
  <si>
    <t>TROPICAL_PALE_ALE</t>
  </si>
  <si>
    <t xml:space="preserve">BAXBIER | KON_MINDER | </t>
  </si>
  <si>
    <t>MINDER</t>
  </si>
  <si>
    <t>KON_MINDER</t>
  </si>
  <si>
    <t xml:space="preserve">BAXBIER | ABBEY_RAVE | </t>
  </si>
  <si>
    <t>RAVE</t>
  </si>
  <si>
    <t>ABBEY_RAVE</t>
  </si>
  <si>
    <t xml:space="preserve">BAXBIER | GATEWAY | </t>
  </si>
  <si>
    <t>GATEWAY</t>
  </si>
  <si>
    <t xml:space="preserve">BAXBIER | CROWD_PLEASER | </t>
  </si>
  <si>
    <t>CROWD</t>
  </si>
  <si>
    <t>CROWD_PLEASER</t>
  </si>
  <si>
    <t xml:space="preserve">BAXBIER | PRIMAVERA | </t>
  </si>
  <si>
    <t>PRIMAVERA</t>
  </si>
  <si>
    <t xml:space="preserve">BAXBIER | BANDWAGON_420 | </t>
  </si>
  <si>
    <t>BANDWAGON_420</t>
  </si>
  <si>
    <t xml:space="preserve">BAXBIER | HOPSTER_10 | </t>
  </si>
  <si>
    <t>HOPSTER_10</t>
  </si>
  <si>
    <t xml:space="preserve">BAXBIER | IT_S_A_SMALL_WORLD_AFTER_ALL | </t>
  </si>
  <si>
    <t>WORLD</t>
  </si>
  <si>
    <t>IT_S_A_SMALL_WORLD_AFTER_ALL</t>
  </si>
  <si>
    <t xml:space="preserve">BAXBIER | FOREVER_CRUISIN | </t>
  </si>
  <si>
    <t>FOREVER</t>
  </si>
  <si>
    <t>FOREVER_CRUISIN</t>
  </si>
  <si>
    <t xml:space="preserve">BAXBIER | BANDWAGON_423 | </t>
  </si>
  <si>
    <t>BANDWAGON_423</t>
  </si>
  <si>
    <t xml:space="preserve">BAXBIER | FADE_TO_BLACK | </t>
  </si>
  <si>
    <t>FADE</t>
  </si>
  <si>
    <t>FADE_TO_BLACK</t>
  </si>
  <si>
    <t xml:space="preserve">BAXBIER | RAY_OF_SUNSHINE | </t>
  </si>
  <si>
    <t>SUNSHINE</t>
  </si>
  <si>
    <t>RAY_OF_SUNSHINE</t>
  </si>
  <si>
    <t xml:space="preserve">BAXBIER | BANDWAGON_429 | </t>
  </si>
  <si>
    <t>BANDWAGON_429</t>
  </si>
  <si>
    <t xml:space="preserve">BAXBIER | BANDWAGON_422 | </t>
  </si>
  <si>
    <t>BANDWAGON_422</t>
  </si>
  <si>
    <t xml:space="preserve">BAXBIER | BANDWAGON_428 | </t>
  </si>
  <si>
    <t>BANDWAGON_428</t>
  </si>
  <si>
    <t xml:space="preserve">BAXBIER | BANDWAGON_419 | </t>
  </si>
  <si>
    <t>BANDWAGON_419</t>
  </si>
  <si>
    <t xml:space="preserve">BAXBIER | BANDWAGON_433 | </t>
  </si>
  <si>
    <t>BANDWAGON_433</t>
  </si>
  <si>
    <t xml:space="preserve">BAXBIER | OLDSKOOL_LEMONADE_IPA | </t>
  </si>
  <si>
    <t>OLDSKOOL_LEMONADE_IPA</t>
  </si>
  <si>
    <t xml:space="preserve">BAXBIER | BIRDS_N_BEES | </t>
  </si>
  <si>
    <t>BIRD</t>
  </si>
  <si>
    <t>BIRDS_N_BEES</t>
  </si>
  <si>
    <t xml:space="preserve">BAXBIER | BANDWAGON_426 | </t>
  </si>
  <si>
    <t>BANDWAGON_426</t>
  </si>
  <si>
    <t xml:space="preserve">BAXBIER | ACCEPTANCE | </t>
  </si>
  <si>
    <t>ACCEPTANCE</t>
  </si>
  <si>
    <t xml:space="preserve">BAXBIER | BANDWAGON_434 | </t>
  </si>
  <si>
    <t>BANDWAGON_434</t>
  </si>
  <si>
    <t xml:space="preserve">GROLSCH | LAGER | </t>
  </si>
  <si>
    <t xml:space="preserve">GROLSCH | WEIZENBOCK | </t>
  </si>
  <si>
    <t>GROLSCH | 0.0%_RADLER_CITROEN | ZERO</t>
  </si>
  <si>
    <t>0.0%_RADLER_CITROEN</t>
  </si>
  <si>
    <t xml:space="preserve">GROLSCH | VOLLE_DUBBEL | </t>
  </si>
  <si>
    <t>VOLLE_DUBBEL</t>
  </si>
  <si>
    <t xml:space="preserve">GROLSCH | ZOMERZON | </t>
  </si>
  <si>
    <t>ZOMERZON</t>
  </si>
  <si>
    <t>GROLSCH | GROLSCH_0.0% | ZERO</t>
  </si>
  <si>
    <t>GROLSCH_0.0%</t>
  </si>
  <si>
    <t>GROLSCH | ZOMERTIJD | ZERO</t>
  </si>
  <si>
    <t>ZOMERTIJD</t>
  </si>
  <si>
    <t xml:space="preserve">KEES | CARAMEL_FUDGE_STOUT | </t>
  </si>
  <si>
    <t>CARAMEL</t>
  </si>
  <si>
    <t>CARAMEL_FUDGE_STOUT</t>
  </si>
  <si>
    <t xml:space="preserve">KEES | MOSAIC_HOP | </t>
  </si>
  <si>
    <t>MOSAIC_HOP</t>
  </si>
  <si>
    <t xml:space="preserve">KEES | HAZY_SUNRISE | </t>
  </si>
  <si>
    <t>HAZY_SUNRISE</t>
  </si>
  <si>
    <t xml:space="preserve">KEES | EXPORT_PORTER_1750 | </t>
  </si>
  <si>
    <t>EXPORT_PORTER_1750</t>
  </si>
  <si>
    <t xml:space="preserve">KEES | IT_S_A_BLOND | </t>
  </si>
  <si>
    <t>IT’S_A_BLOND;BLOND</t>
  </si>
  <si>
    <t>IT_S_A_BLOND</t>
  </si>
  <si>
    <t xml:space="preserve">KEES | BARLEY_WINE | </t>
  </si>
  <si>
    <t>BARLEY_WINE</t>
  </si>
  <si>
    <t xml:space="preserve">KEES | SESSION_IPA | </t>
  </si>
  <si>
    <t xml:space="preserve">KEES | PALE_ALE_CITRA | </t>
  </si>
  <si>
    <t>PALE_ALE_CITRA</t>
  </si>
  <si>
    <t xml:space="preserve">KEES | INDIAN_SUMMER | </t>
  </si>
  <si>
    <t>INDIAN_SUMMER</t>
  </si>
  <si>
    <t xml:space="preserve">KEES | SPRING_BLOSSOM | </t>
  </si>
  <si>
    <t>SPRING;BLOSSOM</t>
  </si>
  <si>
    <t>SPRING_BLOSSOM</t>
  </si>
  <si>
    <t xml:space="preserve">KEES | PINK_GRAPEFRUIT_IPA | </t>
  </si>
  <si>
    <t>PINK_GRAPEFRUIT_IPA</t>
  </si>
  <si>
    <t xml:space="preserve">KEES | ENJOY_THE_SILENCE | </t>
  </si>
  <si>
    <t>ENJOY_THE_SILENCE</t>
  </si>
  <si>
    <t xml:space="preserve">KEES | ZEEUWSE_LUST | </t>
  </si>
  <si>
    <t>ZEEUWS</t>
  </si>
  <si>
    <t>ZEEUWSE_LUST</t>
  </si>
  <si>
    <t xml:space="preserve">KEES | QUAD_HOPPER | </t>
  </si>
  <si>
    <t>QUAD_HOPPER</t>
  </si>
  <si>
    <t xml:space="preserve">KEES | FRESH_SPIKY | </t>
  </si>
  <si>
    <t>SPIKY</t>
  </si>
  <si>
    <t>FRESH_SPIKY</t>
  </si>
  <si>
    <t xml:space="preserve">KEES | TOP_OF_THE_MORNING | </t>
  </si>
  <si>
    <t>MORNING</t>
  </si>
  <si>
    <t>TOP_OF_THE_MORNING</t>
  </si>
  <si>
    <t xml:space="preserve">KEES | PINDAKEES | </t>
  </si>
  <si>
    <t>PINDA</t>
  </si>
  <si>
    <t>PINDAKEES</t>
  </si>
  <si>
    <t xml:space="preserve">KEES | ENOUGH_IS_NEVER_ENOUGH_2021_EDITION_-_CHINOOK_AMARILLO | </t>
  </si>
  <si>
    <t>ENOUGH</t>
  </si>
  <si>
    <t>ENOUGH_IS_NEVER_ENOUGH_2021_EDITION_-_CHINOOK_AMARILLO</t>
  </si>
  <si>
    <t xml:space="preserve">KEES | WEE_HEAVY_SCOTCH_ALE | </t>
  </si>
  <si>
    <t>WEE_HEAVY</t>
  </si>
  <si>
    <t>WEE_HEAVY_SCOTCH_ALE</t>
  </si>
  <si>
    <t xml:space="preserve">KEES | DARK_STORMY | </t>
  </si>
  <si>
    <t>DARK_STORMY</t>
  </si>
  <si>
    <t xml:space="preserve">KEES | CHOCOLATE_ALMOND_PASTRY_STOUT | </t>
  </si>
  <si>
    <t>CHOCOLATE_ALMOND_PASTRY_STOUT</t>
  </si>
  <si>
    <t xml:space="preserve">KEES | POP_ART | </t>
  </si>
  <si>
    <t>POP_ART</t>
  </si>
  <si>
    <t xml:space="preserve">KEES | IT’S_A_SIN | </t>
  </si>
  <si>
    <t>A_SIN</t>
  </si>
  <si>
    <t>IT’S_A_SIN</t>
  </si>
  <si>
    <t xml:space="preserve">KEES | ZEEUWSE_BOLUS_STOUT | </t>
  </si>
  <si>
    <t>BOLUS</t>
  </si>
  <si>
    <t>ZEEUWSE_BOLUS_STOUT</t>
  </si>
  <si>
    <t xml:space="preserve">KEES | SWEDISH_VACUUM_CLEANER | </t>
  </si>
  <si>
    <t>SWEDISH</t>
  </si>
  <si>
    <t>SWEDISH_VACUUM_CLEANER</t>
  </si>
  <si>
    <t xml:space="preserve">KEES | WEST_COAST_IPA | </t>
  </si>
  <si>
    <t>WEST_COAST</t>
  </si>
  <si>
    <t xml:space="preserve">KEES | HALFWAY_ACROSS_THE_GALAXY | </t>
  </si>
  <si>
    <t>HALFWAY</t>
  </si>
  <si>
    <t>HALFWAY_ACROSS_THE_GALAXY</t>
  </si>
  <si>
    <t xml:space="preserve">KEES | ANNIVERSARY_07 | </t>
  </si>
  <si>
    <t>ANNIVERSARY</t>
  </si>
  <si>
    <t>ANNIVERSARY_07</t>
  </si>
  <si>
    <t xml:space="preserve">KEES | CATCH_ME_BY_THE_COCONUTS | </t>
  </si>
  <si>
    <t>CATCH_ME_BY_THE_COCONUTS</t>
  </si>
  <si>
    <t xml:space="preserve">KEES | SMEERKEES | </t>
  </si>
  <si>
    <t>SMEER</t>
  </si>
  <si>
    <t>SMEERKEES</t>
  </si>
  <si>
    <t xml:space="preserve">KEES | TRIPLE_IPA | </t>
  </si>
  <si>
    <t xml:space="preserve">KEES | THIS_IS_AN_EGGCELLENT_IPA | </t>
  </si>
  <si>
    <t>EGG</t>
  </si>
  <si>
    <t>THIS_IS_AN_EGGCELLENT_IPA</t>
  </si>
  <si>
    <t xml:space="preserve">KEES | MAIBOCK | </t>
  </si>
  <si>
    <t xml:space="preserve">KEES | VANILLA_SKY | </t>
  </si>
  <si>
    <t>VANILLA_SKY</t>
  </si>
  <si>
    <t xml:space="preserve">KEES | THE_GOAT | </t>
  </si>
  <si>
    <t>GOAT</t>
  </si>
  <si>
    <t>THE_GOAT</t>
  </si>
  <si>
    <t xml:space="preserve">KEES | IT_S_CHRISTMAS_TIME | </t>
  </si>
  <si>
    <t>IT_S_CHRISTMAS_TIME</t>
  </si>
  <si>
    <t xml:space="preserve">KEES | AMBURANA_CHOCOLATE_STOUT | </t>
  </si>
  <si>
    <t>AMBURANA</t>
  </si>
  <si>
    <t>AMBURANA_CHOCOLATE_STOUT</t>
  </si>
  <si>
    <t xml:space="preserve">KEES | QUADRUPLE_IPA | </t>
  </si>
  <si>
    <t>QUADRUPLE_IPA</t>
  </si>
  <si>
    <t xml:space="preserve">KEES | SLOW_DANCING_IN_A_GREEN_ROOM | </t>
  </si>
  <si>
    <t>DANCING</t>
  </si>
  <si>
    <t>SLOW_DANCING_IN_A_GREEN_ROOM</t>
  </si>
  <si>
    <t>KEES | BE_WISE | ZERO</t>
  </si>
  <si>
    <t>WISE</t>
  </si>
  <si>
    <t>BE_WISE</t>
  </si>
  <si>
    <t xml:space="preserve">KEES | BARREL_PROJECT_PIANA_VYSHNIA_POHJALA_COLLAB | </t>
  </si>
  <si>
    <t>PIANA</t>
  </si>
  <si>
    <t>BARREL_PROJECT_PIANA_VYSHNIA_POHJALA_COLLAB</t>
  </si>
  <si>
    <t xml:space="preserve">KEES | PUMP_UP_THE_JAM | </t>
  </si>
  <si>
    <t>PUMP</t>
  </si>
  <si>
    <t>PUMP_UP_THE_JAM</t>
  </si>
  <si>
    <t>LOWLANDER | WINTER_WIT | ZERO</t>
  </si>
  <si>
    <t>WINTER_WIT</t>
  </si>
  <si>
    <t>LOWLANDER | WINTER_IPA | ZERO</t>
  </si>
  <si>
    <t>WINTER_IPA</t>
  </si>
  <si>
    <t xml:space="preserve">WARKA | CLASSIC | </t>
  </si>
  <si>
    <t xml:space="preserve">WARKA | STRONG | </t>
  </si>
  <si>
    <t>WARKA | RADLER | ZERO</t>
  </si>
  <si>
    <t xml:space="preserve">WARKA | BLACKCURRANT_LIME | </t>
  </si>
  <si>
    <t>BLACKCURRANT_LIME</t>
  </si>
  <si>
    <t>WARKA | GRAPEFRUIT | ZERO</t>
  </si>
  <si>
    <t>WARKA | RHUBARB | ZERO</t>
  </si>
  <si>
    <t xml:space="preserve">1664 | LAGER | </t>
  </si>
  <si>
    <t>1664 | WHITE | ZERO</t>
  </si>
  <si>
    <t xml:space="preserve">1664 | RED | </t>
  </si>
  <si>
    <t xml:space="preserve">1664 | GOLD | </t>
  </si>
  <si>
    <t xml:space="preserve">1664 | MILLESIME | </t>
  </si>
  <si>
    <t>MILLESIME</t>
  </si>
  <si>
    <t>1664 | BLONDE | ZERO</t>
  </si>
  <si>
    <t>BLONDE</t>
  </si>
  <si>
    <t xml:space="preserve">1664 | HOPPY | </t>
  </si>
  <si>
    <t xml:space="preserve">1664 | FRENCH_IPA | </t>
  </si>
  <si>
    <t>FRENCH_IPA</t>
  </si>
  <si>
    <t xml:space="preserve">1664 | MYRTILLE | </t>
  </si>
  <si>
    <t xml:space="preserve">1664 | PASSION | </t>
  </si>
  <si>
    <t xml:space="preserve">1664 | BRUT | </t>
  </si>
  <si>
    <t xml:space="preserve">1664 | PANACHE | </t>
  </si>
  <si>
    <t xml:space="preserve">1664 | CRU | </t>
  </si>
  <si>
    <t xml:space="preserve">1664 | PECHE | </t>
  </si>
  <si>
    <t xml:space="preserve">1664 | PRESTIGE | </t>
  </si>
  <si>
    <t xml:space="preserve">2_CAPS | BLONDE | </t>
  </si>
  <si>
    <t>2_CAPS</t>
  </si>
  <si>
    <t xml:space="preserve">D_DAY | BLONDE | </t>
  </si>
  <si>
    <t>D_DAY</t>
  </si>
  <si>
    <t xml:space="preserve">BLANCHE_DE_WISSANT | CORE | </t>
  </si>
  <si>
    <t>BLANCHE_DE_WISSANT</t>
  </si>
  <si>
    <t xml:space="preserve">NOIRE_DE_SLACK | CORE | </t>
  </si>
  <si>
    <t>NOIRE_DE_SLACK</t>
  </si>
  <si>
    <t xml:space="preserve">BELLE_DALLE | CORE | </t>
  </si>
  <si>
    <t>BELLE_DALLE</t>
  </si>
  <si>
    <t xml:space="preserve">D_DAY | BLACK | </t>
  </si>
  <si>
    <t xml:space="preserve">D_DAY | SESSION_IPA | </t>
  </si>
  <si>
    <t xml:space="preserve">D_DAY | TRIPEL | </t>
  </si>
  <si>
    <t xml:space="preserve">HOULE_DU_BLANC_NEZ | CORE | </t>
  </si>
  <si>
    <t>HOULE_DU_BLANC_NEZ</t>
  </si>
  <si>
    <t xml:space="preserve">RANDO_DU_GRIS_NEZ | CORE | </t>
  </si>
  <si>
    <t>RANDO_DU_GRIS_NEZ</t>
  </si>
  <si>
    <t xml:space="preserve">D_DAY | POMME | </t>
  </si>
  <si>
    <t>POMME</t>
  </si>
  <si>
    <t xml:space="preserve">GUENEL | CORE | </t>
  </si>
  <si>
    <t>GUENEL</t>
  </si>
  <si>
    <t xml:space="preserve">2_CAPS | LA_RANDO_DU_GRIS_NEZ | </t>
  </si>
  <si>
    <t>LA_RANDO_DU_GRIS_NEZ</t>
  </si>
  <si>
    <t xml:space="preserve">2_CAPS | LA_BELLE_DALLE_MILLESIME_2021 | </t>
  </si>
  <si>
    <t>LA_BELLE_DALLE_MILLESIME_2021</t>
  </si>
  <si>
    <t xml:space="preserve">3_MONTS | BLONDE | </t>
  </si>
  <si>
    <t xml:space="preserve">3_MONTS | TRIPEL | </t>
  </si>
  <si>
    <t xml:space="preserve">3_MONTS | CHAPELLE | </t>
  </si>
  <si>
    <t>CHAPELLE</t>
  </si>
  <si>
    <t xml:space="preserve">3_MONTS | AMBREE | </t>
  </si>
  <si>
    <t xml:space="preserve">ABBAYE_DU_LYS | TRIPEL | </t>
  </si>
  <si>
    <t>ABBAYE_DU_LYS</t>
  </si>
  <si>
    <t xml:space="preserve">ACHILLE | TRIPEL | </t>
  </si>
  <si>
    <t>ACHILLE</t>
  </si>
  <si>
    <t xml:space="preserve">ACHILLE | BLOND | </t>
  </si>
  <si>
    <t xml:space="preserve">ACHILLE | IPA | </t>
  </si>
  <si>
    <t xml:space="preserve">AMSTERDAM | AMSTERDAM_NAVIGATOR | </t>
  </si>
  <si>
    <t>AMSTERDAM_NAVIGATOR</t>
  </si>
  <si>
    <t xml:space="preserve">AMSTERDAM | AMSTERDAM_MAXIMATOR | </t>
  </si>
  <si>
    <t>MAXIMATOR</t>
  </si>
  <si>
    <t>AMSTERDAM_MAXIMATOR</t>
  </si>
  <si>
    <t xml:space="preserve">AMSTERDAM | AMSTERDAM_DETONATOR | </t>
  </si>
  <si>
    <t>DETONATOR</t>
  </si>
  <si>
    <t>AMSTERDAM_DETONATOR</t>
  </si>
  <si>
    <t xml:space="preserve">AMSTERDAM | AMSTERDAM_MARINER | </t>
  </si>
  <si>
    <t>MARINER</t>
  </si>
  <si>
    <t>AMSTERDAM_MARINER</t>
  </si>
  <si>
    <t xml:space="preserve">AMSTERDAM | AMSTERDAM_OLD_BOURBON | </t>
  </si>
  <si>
    <t>AMSTERDAM_OLD_BOURBON</t>
  </si>
  <si>
    <t xml:space="preserve">AMSTERDAM | AMSTERDAM_ADVENTUROR | </t>
  </si>
  <si>
    <t>ADVENTUROR</t>
  </si>
  <si>
    <t>AMSTERDAM_ADVENTUROR</t>
  </si>
  <si>
    <t xml:space="preserve">AMSTERDAM | AMSTERDAM_NIGHTS | </t>
  </si>
  <si>
    <t>NIGHTS</t>
  </si>
  <si>
    <t>AMSTERDAM_NIGHTS</t>
  </si>
  <si>
    <t xml:space="preserve">AMSTERDAM | AMSTERDAM_EXPLORATOR | </t>
  </si>
  <si>
    <t>EXPLORATOR</t>
  </si>
  <si>
    <t>AMSTERDAM_EXPLORATOR</t>
  </si>
  <si>
    <t xml:space="preserve">AMSTERDAM | AMSTERDAM_LIBERATOR | </t>
  </si>
  <si>
    <t>LIBERATOR</t>
  </si>
  <si>
    <t>AMSTERDAM_LIBERATOR</t>
  </si>
  <si>
    <t>AMSTERDAM | AMSTERDAM_LIBERATOR | ZERO</t>
  </si>
  <si>
    <t xml:space="preserve">ANOSTEKE | SAISON | </t>
  </si>
  <si>
    <t xml:space="preserve">ANOSTEKE | NEIPA | </t>
  </si>
  <si>
    <t xml:space="preserve">ANOSTEKE | BROWN | </t>
  </si>
  <si>
    <t xml:space="preserve">ANOSTEKE | CITRA | </t>
  </si>
  <si>
    <t xml:space="preserve">ANOSTEKE | FREESTYLE | </t>
  </si>
  <si>
    <t>FREESTYLE</t>
  </si>
  <si>
    <t xml:space="preserve">ARTEMUS | ISABEAU | </t>
  </si>
  <si>
    <t>ARTEMUS</t>
  </si>
  <si>
    <t>ISABEAU</t>
  </si>
  <si>
    <t xml:space="preserve">ARTEMUS | CAPE_COD | </t>
  </si>
  <si>
    <t>CAPE</t>
  </si>
  <si>
    <t>CAPE_COD</t>
  </si>
  <si>
    <t xml:space="preserve">ARTEMUS | LA_PETITE_MADEMOISELLE | </t>
  </si>
  <si>
    <t>MADEMOISELLE</t>
  </si>
  <si>
    <t>LA_PETITE_MADEMOISELLE</t>
  </si>
  <si>
    <t xml:space="preserve">ARTEMUS | BOREALE | </t>
  </si>
  <si>
    <t>BOREALE</t>
  </si>
  <si>
    <t xml:space="preserve">ARTEMUS | BIG_ROO | </t>
  </si>
  <si>
    <t>BIG_ROO</t>
  </si>
  <si>
    <t xml:space="preserve">ARTEMUS | BODEGA_BAY | </t>
  </si>
  <si>
    <t>BODEGA</t>
  </si>
  <si>
    <t>BODEGA_BAY</t>
  </si>
  <si>
    <t xml:space="preserve">ARTEMUS | ALOHA | </t>
  </si>
  <si>
    <t>ALOHA</t>
  </si>
  <si>
    <t xml:space="preserve">ARTEMUS | SMOOTHIE_IPA_CASSIS | </t>
  </si>
  <si>
    <t>SMOOTHIE_IPA_CASSIS</t>
  </si>
  <si>
    <t xml:space="preserve">ARTEMUS | AUSTRALE | </t>
  </si>
  <si>
    <t>AUSTRALE</t>
  </si>
  <si>
    <t xml:space="preserve">ARTEMUS | VENICE_BEACH | </t>
  </si>
  <si>
    <t>VENICE</t>
  </si>
  <si>
    <t>VENICE_BEACH</t>
  </si>
  <si>
    <t xml:space="preserve">ARTEMUS | ANTIDOTE_STOUT | </t>
  </si>
  <si>
    <t>ANTIDOTE</t>
  </si>
  <si>
    <t>ANTIDOTE_STOUT</t>
  </si>
  <si>
    <t xml:space="preserve">ARTEMUS | SUMMER_IPA | </t>
  </si>
  <si>
    <t>SUMMER_IPA</t>
  </si>
  <si>
    <t xml:space="preserve">ARTEMUS | MADAME_BUTTERRLY | </t>
  </si>
  <si>
    <t>BUTTERFLY</t>
  </si>
  <si>
    <t>MADAME_BUTTERRLY</t>
  </si>
  <si>
    <t xml:space="preserve">ARTEMUS | LA_BOHEME | </t>
  </si>
  <si>
    <t>BOHEME</t>
  </si>
  <si>
    <t>LA_BOHEME</t>
  </si>
  <si>
    <t xml:space="preserve">ARTEMUS | LOREM_IPSUM | </t>
  </si>
  <si>
    <t>LOREM</t>
  </si>
  <si>
    <t>LOREM_IPSUM</t>
  </si>
  <si>
    <t xml:space="preserve">ARTEMUS | ETOILE_NOIRE | </t>
  </si>
  <si>
    <t>ETOILE</t>
  </si>
  <si>
    <t>ETOILE_NOIRE</t>
  </si>
  <si>
    <t xml:space="preserve">ARTEMUS | RASPBERRY | </t>
  </si>
  <si>
    <t xml:space="preserve">ARTEMUS | FLAMINGO | </t>
  </si>
  <si>
    <t>FLAMINGO</t>
  </si>
  <si>
    <t xml:space="preserve">ARTEMUS | MANGO | </t>
  </si>
  <si>
    <t xml:space="preserve">BAM | TATOU_SUMMER_ALE | </t>
  </si>
  <si>
    <t>BAM</t>
  </si>
  <si>
    <t>TATOU</t>
  </si>
  <si>
    <t>TATOU_SUMMER_ALE</t>
  </si>
  <si>
    <t xml:space="preserve">BAM | FISH_MOI_L_IPA | </t>
  </si>
  <si>
    <t>FISH</t>
  </si>
  <si>
    <t>FISH_MOI_L_IPA</t>
  </si>
  <si>
    <t xml:space="preserve">BAM | HOMBRE_AMBER_BEER | </t>
  </si>
  <si>
    <t>HOMBRE</t>
  </si>
  <si>
    <t>HOMBRE_AMBER_BEER</t>
  </si>
  <si>
    <t xml:space="preserve">BAM | SAKURA_SPICED_BEER | </t>
  </si>
  <si>
    <t>SAKURA_SPICED_BEER</t>
  </si>
  <si>
    <t xml:space="preserve">BAM | NUIT_BLANCHE | </t>
  </si>
  <si>
    <t>NUIT</t>
  </si>
  <si>
    <t>NUIT_BLANCHE</t>
  </si>
  <si>
    <t xml:space="preserve">BAM | IGOR_PERRY | </t>
  </si>
  <si>
    <t>IGOR</t>
  </si>
  <si>
    <t>IGOR_PERRY</t>
  </si>
  <si>
    <t xml:space="preserve">BAM | PARADIS_DEFENDU | </t>
  </si>
  <si>
    <t>PARADIS</t>
  </si>
  <si>
    <t>PARADIS_DEFENDU</t>
  </si>
  <si>
    <t xml:space="preserve">BAM | CHAETOPHRACTUS_VILLOSUS | </t>
  </si>
  <si>
    <t>CHAET</t>
  </si>
  <si>
    <t>CHAETOPHRACTUS_VILLOSUS</t>
  </si>
  <si>
    <t xml:space="preserve">BAM | PRETIUM_DOLORIS | </t>
  </si>
  <si>
    <t>PRETIUM</t>
  </si>
  <si>
    <t>PRETIUM_DOLORIS</t>
  </si>
  <si>
    <t xml:space="preserve">BAM | PURPLE_FIESTA | </t>
  </si>
  <si>
    <t>PURPLE</t>
  </si>
  <si>
    <t>PURPLE_FIESTA</t>
  </si>
  <si>
    <t xml:space="preserve">BAPBAP | VERTIGO | </t>
  </si>
  <si>
    <t>BAPBAP</t>
  </si>
  <si>
    <t>VERTIGO</t>
  </si>
  <si>
    <t xml:space="preserve">BAPBAP | ORIGINALE | </t>
  </si>
  <si>
    <t>ORIGINALE</t>
  </si>
  <si>
    <t xml:space="preserve">BAPBAP | BLANC_BEC | </t>
  </si>
  <si>
    <t>BLANC_BEC</t>
  </si>
  <si>
    <t xml:space="preserve">BAPBAP | FAUBOURG | </t>
  </si>
  <si>
    <t>FAUBOURG</t>
  </si>
  <si>
    <t xml:space="preserve">BAPBAP | GUINGUETTE | </t>
  </si>
  <si>
    <t>GUINGUETTE</t>
  </si>
  <si>
    <t xml:space="preserve">BAPBAP | CANOPEE | </t>
  </si>
  <si>
    <t>CANOPEE</t>
  </si>
  <si>
    <t xml:space="preserve">BAPBAP | TOAST | </t>
  </si>
  <si>
    <t xml:space="preserve">BAPBAP | HERBE_FOLLE | </t>
  </si>
  <si>
    <t>HERBE_FOLLE</t>
  </si>
  <si>
    <t xml:space="preserve">BAPBAP | PORTERGEIST | </t>
  </si>
  <si>
    <t>PORTERGEIST</t>
  </si>
  <si>
    <t xml:space="preserve">BAPBAP | AGENT_TROUBLE | </t>
  </si>
  <si>
    <t>AGENT_TROUBLE</t>
  </si>
  <si>
    <t xml:space="preserve">BAPBAP | DEUX_RIVES | </t>
  </si>
  <si>
    <t>DEUX_RIVES</t>
  </si>
  <si>
    <t xml:space="preserve">BAPBAP | RICK_MYRTILLES | </t>
  </si>
  <si>
    <t>RICK_MYRTILLES</t>
  </si>
  <si>
    <t xml:space="preserve">BAPBAP | SHIFUMI_BIO | </t>
  </si>
  <si>
    <t>SHIFUMI_BIO</t>
  </si>
  <si>
    <t xml:space="preserve">BAPBAP | GANG_NAM | </t>
  </si>
  <si>
    <t>GANG_NAM</t>
  </si>
  <si>
    <t xml:space="preserve">BAPBAP | BULL_S_EYE | </t>
  </si>
  <si>
    <t>BULL_S_EYE</t>
  </si>
  <si>
    <t xml:space="preserve">BAPBAP | NO_COAST_IPA | </t>
  </si>
  <si>
    <t>NO_COAST_IPA</t>
  </si>
  <si>
    <t xml:space="preserve">BAPBAP | SEPTANTE_NEUF | </t>
  </si>
  <si>
    <t>SEPTANTE_NEUF</t>
  </si>
  <si>
    <t>BAPBAP | BANG_BANG | ZERO</t>
  </si>
  <si>
    <t>BANG_BANG</t>
  </si>
  <si>
    <t xml:space="preserve">BAPBAP | WOODSTOCK | </t>
  </si>
  <si>
    <t>WOODSTOCK</t>
  </si>
  <si>
    <t xml:space="preserve">BAPBAP | MAGMA | </t>
  </si>
  <si>
    <t xml:space="preserve">BAPBAP | ACID_EIFFEL | </t>
  </si>
  <si>
    <t>ACID_EIFFEL</t>
  </si>
  <si>
    <t xml:space="preserve">BAPBAP | VELVET_NOIR | </t>
  </si>
  <si>
    <t>VELVET_NOIR</t>
  </si>
  <si>
    <t xml:space="preserve">BIERE_BERRY | CORE | </t>
  </si>
  <si>
    <t>BIERE_BERRY</t>
  </si>
  <si>
    <t xml:space="preserve">BELLEROSE | BLOND | </t>
  </si>
  <si>
    <t xml:space="preserve">BELLEROSE | XMAS | </t>
  </si>
  <si>
    <t xml:space="preserve">BELLEROSE | NEIPA | </t>
  </si>
  <si>
    <t xml:space="preserve">BELLEROSE | BLACK_IPA | </t>
  </si>
  <si>
    <t xml:space="preserve">BELLEROSE | WINTER | </t>
  </si>
  <si>
    <t xml:space="preserve">BELLEROSE | AMBREE | </t>
  </si>
  <si>
    <t xml:space="preserve">BELZEBUTH | TRIPEL | </t>
  </si>
  <si>
    <t xml:space="preserve">BELZEBUTH | 11 | </t>
  </si>
  <si>
    <t xml:space="preserve">BELZEBUTH | GINGER | </t>
  </si>
  <si>
    <t xml:space="preserve">BELZEBUTH | RASPBERRY | </t>
  </si>
  <si>
    <t xml:space="preserve">CORSINA | BLOND | </t>
  </si>
  <si>
    <t>CORSINA</t>
  </si>
  <si>
    <t xml:space="preserve">CORSINA | IPA | </t>
  </si>
  <si>
    <t xml:space="preserve">CORSINA | BROWN | </t>
  </si>
  <si>
    <t xml:space="preserve">CORSINA | GOLD | </t>
  </si>
  <si>
    <t xml:space="preserve">CORSINA | HONEY | </t>
  </si>
  <si>
    <t xml:space="preserve">CORSINA | SAETTA | </t>
  </si>
  <si>
    <t>SAETTA</t>
  </si>
  <si>
    <t xml:space="preserve">CORSINA | WHITE | </t>
  </si>
  <si>
    <t xml:space="preserve">CORSINA | GINGER | </t>
  </si>
  <si>
    <t xml:space="preserve">CORSINA | LE_CHAT_BOTTE | </t>
  </si>
  <si>
    <t>CHAT</t>
  </si>
  <si>
    <t>LE_CHAT_BOTTE</t>
  </si>
  <si>
    <t xml:space="preserve">BIERE_DU_COMTE | BLOND | </t>
  </si>
  <si>
    <t>BIERE_DU_COMTE</t>
  </si>
  <si>
    <t xml:space="preserve">BIERE_DU_COMTE | BLANCHE | </t>
  </si>
  <si>
    <t xml:space="preserve">BIERE_DU_COMTE | AMBREE | </t>
  </si>
  <si>
    <t xml:space="preserve">BIERE_DU_COMTE | MOUNTA_CALA | </t>
  </si>
  <si>
    <t>MOUNT</t>
  </si>
  <si>
    <t>MOUNTA_CALA</t>
  </si>
  <si>
    <t xml:space="preserve">BIERE_DU_COMTE | IPA | </t>
  </si>
  <si>
    <t xml:space="preserve">BIERE_DU_COMTE | COTE_D_AZUR | </t>
  </si>
  <si>
    <t>AZUR</t>
  </si>
  <si>
    <t>COTE_D_AZUR</t>
  </si>
  <si>
    <t xml:space="preserve">BIERE_DU_COMTE | PALE_ALE | </t>
  </si>
  <si>
    <t xml:space="preserve">BIERE_DU_COMTE | PRINTEMPS | </t>
  </si>
  <si>
    <t>PRINTEMPS</t>
  </si>
  <si>
    <t xml:space="preserve">BIERE_DU_COMTE | BRUNE | </t>
  </si>
  <si>
    <t>BRUNE</t>
  </si>
  <si>
    <t xml:space="preserve">BIERE_DU_COMTE | TRIPEL | </t>
  </si>
  <si>
    <t xml:space="preserve">BIERE_DU_COMTE | NOEL | </t>
  </si>
  <si>
    <t>NOEL</t>
  </si>
  <si>
    <t xml:space="preserve">BIERE_DU_COMTE | PALE_LAGER | </t>
  </si>
  <si>
    <t>PALE_LAGER</t>
  </si>
  <si>
    <t xml:space="preserve">BIERE_DU_COMTE | L_ESTIVALE | </t>
  </si>
  <si>
    <t>L_ESTIVALE</t>
  </si>
  <si>
    <t xml:space="preserve">BIERE_DU_COMTE | HOUBLON | </t>
  </si>
  <si>
    <t xml:space="preserve">BIERE_DU_CORBEAU | BLOND | </t>
  </si>
  <si>
    <t>BIERE_DU_CORBEAU</t>
  </si>
  <si>
    <t xml:space="preserve">DU_BLAIREAU | IPA | </t>
  </si>
  <si>
    <t>DU_BLAIREAU</t>
  </si>
  <si>
    <t xml:space="preserve">DU_BLAIREAU | BLOND | </t>
  </si>
  <si>
    <t xml:space="preserve">DU_BLAIREAU | WHITE | </t>
  </si>
  <si>
    <t xml:space="preserve">DU_BLAIREAU | AMBREE | </t>
  </si>
  <si>
    <t xml:space="preserve">SEPT_COLLINES | IPA | </t>
  </si>
  <si>
    <t>SEPT_COLLINES</t>
  </si>
  <si>
    <t xml:space="preserve">SEPT_COLLINES | BLOND | </t>
  </si>
  <si>
    <t xml:space="preserve">SEPT_COLLINES | WHITE | </t>
  </si>
  <si>
    <t xml:space="preserve">SEPT_COLLINES | TRIPEL | </t>
  </si>
  <si>
    <t xml:space="preserve">SEPT_COLLINES | AMBREE | </t>
  </si>
  <si>
    <t xml:space="preserve">7_COLLINES | ORGASM_IQUE | </t>
  </si>
  <si>
    <t>7_COLLINES</t>
  </si>
  <si>
    <t>ORGASM</t>
  </si>
  <si>
    <t>ORGASM_IQUE</t>
  </si>
  <si>
    <t xml:space="preserve">7_COLLINES | SEVEN_P_HILLS | </t>
  </si>
  <si>
    <t>HILLS</t>
  </si>
  <si>
    <t>SEVEN_P_HILLS</t>
  </si>
  <si>
    <t xml:space="preserve">7_COLLINES | MALT_O_CRANE | </t>
  </si>
  <si>
    <t>CRANE</t>
  </si>
  <si>
    <t>MALT_O_CRANE</t>
  </si>
  <si>
    <t xml:space="preserve">7_COLLINES | ENFET_AMINE | </t>
  </si>
  <si>
    <t>AMINE</t>
  </si>
  <si>
    <t>ENFET_AMINE</t>
  </si>
  <si>
    <t xml:space="preserve">7_COLLINES | HEROINE | </t>
  </si>
  <si>
    <t>HEROINE</t>
  </si>
  <si>
    <t xml:space="preserve">CIMES | BIERE_D_HIVER_AMBREE | </t>
  </si>
  <si>
    <t>CIMES</t>
  </si>
  <si>
    <t>BIERE_D_HIVER_AMBREE</t>
  </si>
  <si>
    <t xml:space="preserve">CIMES | PISTE_NOIRE | </t>
  </si>
  <si>
    <t>NOIRE</t>
  </si>
  <si>
    <t>PISTE_NOIRE</t>
  </si>
  <si>
    <t xml:space="preserve">CIMES | YETI | </t>
  </si>
  <si>
    <t>YETI</t>
  </si>
  <si>
    <t xml:space="preserve">CIMES | AIGUILLE_BLANCHE | </t>
  </si>
  <si>
    <t>AIGUILLE</t>
  </si>
  <si>
    <t>AIGUILLE_BLANCHE</t>
  </si>
  <si>
    <t xml:space="preserve">CIMES | HORS_PISTE | </t>
  </si>
  <si>
    <t>HORS</t>
  </si>
  <si>
    <t>HORS_PISTE</t>
  </si>
  <si>
    <t xml:space="preserve">CIMES | CIME | </t>
  </si>
  <si>
    <t>CIME</t>
  </si>
  <si>
    <t xml:space="preserve">CIMES | L_ABOMINABLE | </t>
  </si>
  <si>
    <t>ABOMINABLE</t>
  </si>
  <si>
    <t>L_ABOMINABLE</t>
  </si>
  <si>
    <t xml:space="preserve">CIMES | IPA | </t>
  </si>
  <si>
    <t xml:space="preserve">CIMES | LA_MOUSSE_AU_GENEPI | </t>
  </si>
  <si>
    <t>GENEPI</t>
  </si>
  <si>
    <t>LA_MOUSSE_AU_GENEPI</t>
  </si>
  <si>
    <t xml:space="preserve">CIMES | IMPERIAL_STOUT | </t>
  </si>
  <si>
    <t xml:space="preserve">CIMES | LA_MOUSSE_A_LA_CHATAIGNE | </t>
  </si>
  <si>
    <t>CHATAIGNE</t>
  </si>
  <si>
    <t>LA_MOUSSE_A_LA_CHATAIGNE</t>
  </si>
  <si>
    <t xml:space="preserve">CIMES | RYE_IPA | </t>
  </si>
  <si>
    <t>RYE_IPA</t>
  </si>
  <si>
    <t xml:space="preserve">CIMES | LA_MOUSSE_A_LA_VIOLETTE | </t>
  </si>
  <si>
    <t>LA_MOUSSE_A_LA_VIOLETTE</t>
  </si>
  <si>
    <t xml:space="preserve">CIMES | NEIPA | </t>
  </si>
  <si>
    <t xml:space="preserve">CIMES | LA_MOUSSE_A_LA_FRAMBOISE | </t>
  </si>
  <si>
    <t>LA_MOUSSE_A_LA_FRAMBOISE</t>
  </si>
  <si>
    <t xml:space="preserve">CIMES | LA_MOUSSE_AU_MIEL | </t>
  </si>
  <si>
    <t>LA_MOUSSE_AU_MIEL</t>
  </si>
  <si>
    <t xml:space="preserve">CIMES | IPL | </t>
  </si>
  <si>
    <t xml:space="preserve">DE_LA_LOIRE | ​SAINT-CÔME | </t>
  </si>
  <si>
    <t>DE_LA_LOIRE</t>
  </si>
  <si>
    <t>SAINT</t>
  </si>
  <si>
    <t>​SAINT-CÔME</t>
  </si>
  <si>
    <t xml:space="preserve">DE_LA_LOIRE | LA_GUEULE_NOIRE | </t>
  </si>
  <si>
    <t>GUEULE</t>
  </si>
  <si>
    <t>LA_GUEULE_NOIRE</t>
  </si>
  <si>
    <t xml:space="preserve">DU_MONT_BLANC | LA_BLANCHE | </t>
  </si>
  <si>
    <t>DU_MONT_BLANC</t>
  </si>
  <si>
    <t>LA_BLANCHE</t>
  </si>
  <si>
    <t xml:space="preserve">DU_MONT_BLANC | LA_ROUSSE | </t>
  </si>
  <si>
    <t>LA_ROUSSE</t>
  </si>
  <si>
    <t xml:space="preserve">DU_MONT_BLANC | LA_CRISTAL_IPA | </t>
  </si>
  <si>
    <t>CRISTAL</t>
  </si>
  <si>
    <t>LA_CRISTAL_IPA</t>
  </si>
  <si>
    <t xml:space="preserve">DU_MONT_BLANC | LA_BLONDE | </t>
  </si>
  <si>
    <t>LA_BLONDE</t>
  </si>
  <si>
    <t xml:space="preserve">DU_MONT_BLANC | LA_VERTE | </t>
  </si>
  <si>
    <t>LA_VERTE</t>
  </si>
  <si>
    <t xml:space="preserve">DU_MONT_BLANC | LA_BLEUE | </t>
  </si>
  <si>
    <t>LA_BLEUE</t>
  </si>
  <si>
    <t xml:space="preserve">DU_MONT_BLANC | SYLVANUS_BLONDE | </t>
  </si>
  <si>
    <t>SYLVANUS</t>
  </si>
  <si>
    <t>SYLVANUS_BLONDE</t>
  </si>
  <si>
    <t xml:space="preserve">DU_MONT_BLANC | TRIPLE_EPICES | </t>
  </si>
  <si>
    <t>EPICES</t>
  </si>
  <si>
    <t>TRIPLE_EPICES</t>
  </si>
  <si>
    <t xml:space="preserve">DU_MONT_BLANC | LA_VIOLETTE | </t>
  </si>
  <si>
    <t>LA_VIOLETTE</t>
  </si>
  <si>
    <t xml:space="preserve">DU_MONT_BLANC | SYLVANUS_TRIPLE | </t>
  </si>
  <si>
    <t>SYLVANUS_TRIPLE</t>
  </si>
  <si>
    <t xml:space="preserve">DU_PEPERE | CUL_NOIR | </t>
  </si>
  <si>
    <t>DU_PEPERE</t>
  </si>
  <si>
    <t>CUL_NOIR</t>
  </si>
  <si>
    <t xml:space="preserve">DU_PEPERE | CUL_AMER_IPA | </t>
  </si>
  <si>
    <t>CUL_AMER_IPA</t>
  </si>
  <si>
    <t xml:space="preserve">VEZELAY | BLOND | </t>
  </si>
  <si>
    <t>VEZELAY</t>
  </si>
  <si>
    <t xml:space="preserve">VEZELAY | IPA | </t>
  </si>
  <si>
    <t xml:space="preserve">VEZELAY | AMBREE | </t>
  </si>
  <si>
    <t xml:space="preserve">VEZELAY | STOUT | </t>
  </si>
  <si>
    <t xml:space="preserve">VEZELAY | WHITE | </t>
  </si>
  <si>
    <t xml:space="preserve">VEZELAY | WHITE_IPA | </t>
  </si>
  <si>
    <t xml:space="preserve">VEZELAY | BROWN | </t>
  </si>
  <si>
    <t xml:space="preserve">VEZELAY | PALE_ALE | </t>
  </si>
  <si>
    <t xml:space="preserve">VEZELAY | AMBER_IPA | </t>
  </si>
  <si>
    <t>AMBER_IPA</t>
  </si>
  <si>
    <t xml:space="preserve">VEZELAY | ABBEY | </t>
  </si>
  <si>
    <t xml:space="preserve">VEZELAY | GINGER | </t>
  </si>
  <si>
    <t xml:space="preserve">VEZELAY | XMAS | </t>
  </si>
  <si>
    <t xml:space="preserve">BS_SAVOYARDS | BLOND | </t>
  </si>
  <si>
    <t>BS_SAVOYARDS</t>
  </si>
  <si>
    <t xml:space="preserve">BS_SAVOYARDS | AMBREE | </t>
  </si>
  <si>
    <t xml:space="preserve">BS_SAVOYARDS | GENEPI | </t>
  </si>
  <si>
    <t xml:space="preserve">BS_SAVOYARDS | WHITE | </t>
  </si>
  <si>
    <t xml:space="preserve">BS_SAVOYARDS | MYRTILLE | </t>
  </si>
  <si>
    <t xml:space="preserve">BS_SAVOYARDS | BROWN | </t>
  </si>
  <si>
    <t xml:space="preserve">BRIQUE_HOUSE | YANKEE_TROUBLE | </t>
  </si>
  <si>
    <t>BRIQUE_HOUSE</t>
  </si>
  <si>
    <t>YANKEE</t>
  </si>
  <si>
    <t>YANKEE_TROUBLE</t>
  </si>
  <si>
    <t xml:space="preserve">BRIQUE_HOUSE | LA_BAGARRE | </t>
  </si>
  <si>
    <t>BAGARRA</t>
  </si>
  <si>
    <t>LA_BAGARRE</t>
  </si>
  <si>
    <t xml:space="preserve">BRIQUE_HOUSE | HOLY_BRIQUE | </t>
  </si>
  <si>
    <t>HOLY_BRIQUE</t>
  </si>
  <si>
    <t xml:space="preserve">BRIQUE_HOUSE | NEW_QUEEN_IN_TOWN | </t>
  </si>
  <si>
    <t>NEW_QUEEN_IN_TOWN</t>
  </si>
  <si>
    <t xml:space="preserve">BRIQUE_HOUSE | UNDER_ACID | </t>
  </si>
  <si>
    <t>ACID</t>
  </si>
  <si>
    <t>UNDER_ACID</t>
  </si>
  <si>
    <t xml:space="preserve">BRIQUE_HOUSE | NINETIES_/_90_S | </t>
  </si>
  <si>
    <t>NINETIES;90</t>
  </si>
  <si>
    <t>NINETIES_/_90_S</t>
  </si>
  <si>
    <t xml:space="preserve">BRIQUE_HOUSE | CULTURE_TRIP | </t>
  </si>
  <si>
    <t>CULTURE</t>
  </si>
  <si>
    <t>CULTURE_TRIP</t>
  </si>
  <si>
    <t xml:space="preserve">BRIQUE_HOUSE | MICK_LAGER | </t>
  </si>
  <si>
    <t>MICK</t>
  </si>
  <si>
    <t>MICK_LAGER</t>
  </si>
  <si>
    <t xml:space="preserve">BRIQUE_HOUSE | L_AMERE_DU_NORD | </t>
  </si>
  <si>
    <t>AMERE</t>
  </si>
  <si>
    <t>L_AMERE_DU_NORD</t>
  </si>
  <si>
    <t xml:space="preserve">BRIQUE_HOUSE | SHINY_HOPPY | </t>
  </si>
  <si>
    <t>SHINY</t>
  </si>
  <si>
    <t>SHINY_HOPPY</t>
  </si>
  <si>
    <t xml:space="preserve">BRIQUE_HOUSE | TRIPLE_CHUC | </t>
  </si>
  <si>
    <t>CHUC</t>
  </si>
  <si>
    <t>TRIPLE_CHUC</t>
  </si>
  <si>
    <t xml:space="preserve">BRIQUE_HOUSE | DARK_YANKEE | </t>
  </si>
  <si>
    <t>DARK_YANKEE</t>
  </si>
  <si>
    <t xml:space="preserve">BRIQUE_HOUSE | POWER_SOUR | </t>
  </si>
  <si>
    <t>POWER</t>
  </si>
  <si>
    <t>POWER_SOUR</t>
  </si>
  <si>
    <t xml:space="preserve">BRIQUE_HOUSE | SUPER_CORON | </t>
  </si>
  <si>
    <t>SUPER_CORON</t>
  </si>
  <si>
    <t xml:space="preserve">BRIQUE_HOUSE | QUARTIER_ROUGE | </t>
  </si>
  <si>
    <t>QUARTIER</t>
  </si>
  <si>
    <t>QUARTIER_ROUGE</t>
  </si>
  <si>
    <t xml:space="preserve">BRIQUE_HOUSE | FOUDRE_TROPICALE | </t>
  </si>
  <si>
    <t>FOUDRE</t>
  </si>
  <si>
    <t>FOUDRE_TROPICALE</t>
  </si>
  <si>
    <t xml:space="preserve">BRIQUE_HOUSE | CHRISTOPHE_CORON | </t>
  </si>
  <si>
    <t>CHRISTOPHE</t>
  </si>
  <si>
    <t>CHRISTOPHE_CORON</t>
  </si>
  <si>
    <t xml:space="preserve">BRIQUE_HOUSE | TOPLESS_MONKEY | </t>
  </si>
  <si>
    <t>TOPLESS</t>
  </si>
  <si>
    <t>TOPLESS_MONKEY</t>
  </si>
  <si>
    <t xml:space="preserve">BRIQUE_HOUSE | TRYE_HARD | </t>
  </si>
  <si>
    <t>TRYE</t>
  </si>
  <si>
    <t>TRYE_HARD</t>
  </si>
  <si>
    <t xml:space="preserve">BRIQUE_HOUSE | COMME_UN_LUNDI | </t>
  </si>
  <si>
    <t>LUNDI</t>
  </si>
  <si>
    <t>COMME_UN_LUNDI</t>
  </si>
  <si>
    <t xml:space="preserve">BRIQUE_HOUSE | CLOUDY_FAUCAN | </t>
  </si>
  <si>
    <t>CLOUD</t>
  </si>
  <si>
    <t>CLOUDY_FAUCAN</t>
  </si>
  <si>
    <t xml:space="preserve">BRIQUE_HOUSE | METRO_BISTROT_DODO | </t>
  </si>
  <si>
    <t>METRO</t>
  </si>
  <si>
    <t>METRO_BISTROT_DODO</t>
  </si>
  <si>
    <t xml:space="preserve">BROOKLYN | LAGER | </t>
  </si>
  <si>
    <t xml:space="preserve">BROOKLYN | EAST_IPA | </t>
  </si>
  <si>
    <t xml:space="preserve">BROOKLYN | SUMMER_ALE | </t>
  </si>
  <si>
    <t>SUMMER_ALE</t>
  </si>
  <si>
    <t xml:space="preserve">BROOKLYN | DEFENDER_IPA | </t>
  </si>
  <si>
    <t>DEFENDER</t>
  </si>
  <si>
    <t>DEFENDER_IPA</t>
  </si>
  <si>
    <t xml:space="preserve">BROOKLYN | BLACK_CHOCOLATE_STOUT | </t>
  </si>
  <si>
    <t>BLACK_CHOCOLATE_STOUT</t>
  </si>
  <si>
    <t xml:space="preserve">BROOKLYN | SORACHI_ACE | </t>
  </si>
  <si>
    <t>SORACHI</t>
  </si>
  <si>
    <t>SORACHI_ACE</t>
  </si>
  <si>
    <t xml:space="preserve">BROOKLYN | THE_STONEWALL_INN_IPA | </t>
  </si>
  <si>
    <t>THE_STONEWALL_INN_IPA</t>
  </si>
  <si>
    <t xml:space="preserve">BROOKLYN | BROWN_ALE | </t>
  </si>
  <si>
    <t>BROWN_ALE</t>
  </si>
  <si>
    <t xml:space="preserve">BROOKLYN | BEL_AIR_SOUR | </t>
  </si>
  <si>
    <t>BEL_AIR</t>
  </si>
  <si>
    <t>BEL_AIR_SOUR</t>
  </si>
  <si>
    <t xml:space="preserve">BROOKLYN | POST_ROAD_PUMPKIN_ALE | </t>
  </si>
  <si>
    <t>ROAD</t>
  </si>
  <si>
    <t>POST_ROAD_PUMPKIN_ALE</t>
  </si>
  <si>
    <t xml:space="preserve">BROOKLYN | OKTOBERFEST | </t>
  </si>
  <si>
    <t xml:space="preserve">BROOKLYN | PULP_ART | </t>
  </si>
  <si>
    <t>PULP_ART</t>
  </si>
  <si>
    <t xml:space="preserve">BROOKLYN | BLAST | </t>
  </si>
  <si>
    <t xml:space="preserve">BROOKLYN | NARANJITO | </t>
  </si>
  <si>
    <t>NARANJITO</t>
  </si>
  <si>
    <t>BROOKLYN | SPECIAL_EFFECTS_HOPPY_LAGER | ZERO</t>
  </si>
  <si>
    <t>EFFECT</t>
  </si>
  <si>
    <t>SPECIAL_EFFECTS_HOPPY_LAGER</t>
  </si>
  <si>
    <t xml:space="preserve">BROOKLYN | SCORCHER_IPA | </t>
  </si>
  <si>
    <t>SCORCHER</t>
  </si>
  <si>
    <t>SCORCHER_IPA</t>
  </si>
  <si>
    <t xml:space="preserve">BROOKLYN | BLACK_OPS_FOUR_ROSES_SMALL_BATCH | </t>
  </si>
  <si>
    <t>BLACK_OPS</t>
  </si>
  <si>
    <t>BLACK_OPS_FOUR_ROSES_SMALL_BATCH</t>
  </si>
  <si>
    <t xml:space="preserve">BROOKLYN | PILSNER | </t>
  </si>
  <si>
    <t xml:space="preserve">BROOKLYN | AMERICAN_ALE | </t>
  </si>
  <si>
    <t>AMERICAN</t>
  </si>
  <si>
    <t>AMERICAN_ALE</t>
  </si>
  <si>
    <t xml:space="preserve">BROOKLYN | LOCAL_1 | </t>
  </si>
  <si>
    <t>LOCAL_1</t>
  </si>
  <si>
    <t xml:space="preserve">BROOKLYN | WINTER_ALE | </t>
  </si>
  <si>
    <t xml:space="preserve">BROOKLYN | SHACKMEISTER_ALE | </t>
  </si>
  <si>
    <t>SHACKMEISTER</t>
  </si>
  <si>
    <t>SHACKMEISTER_ALE</t>
  </si>
  <si>
    <t xml:space="preserve">BUD | LAGER | </t>
  </si>
  <si>
    <t xml:space="preserve">CAPORAL | BLONDE_DE_SOIF | </t>
  </si>
  <si>
    <t>CAPORAL</t>
  </si>
  <si>
    <t>BLOND;SOIF</t>
  </si>
  <si>
    <t>BLONDE_DE_SOIF</t>
  </si>
  <si>
    <t xml:space="preserve">CAPORAL | CASQUE_D_OR | </t>
  </si>
  <si>
    <t>GOLD;CASQUE</t>
  </si>
  <si>
    <t>CASQUE_D_OR</t>
  </si>
  <si>
    <t xml:space="preserve">CAPORAL | TATA_IPA | </t>
  </si>
  <si>
    <t>TATA;IPA</t>
  </si>
  <si>
    <t>TATA_IPA</t>
  </si>
  <si>
    <t xml:space="preserve">CAPORAL | BLANCHE_DE_FRANCE | </t>
  </si>
  <si>
    <t>BLANCHE_DE_FRANCE</t>
  </si>
  <si>
    <t xml:space="preserve">CAPORAL | ROUSSE_DE_PLAISIR | </t>
  </si>
  <si>
    <t>ROUSSE_DE_PLAISIR</t>
  </si>
  <si>
    <t xml:space="preserve">CAPORAL | MEME_LA_CASTAGNE | </t>
  </si>
  <si>
    <t>CASTAGNE</t>
  </si>
  <si>
    <t>MEME_LA_CASTAGNE</t>
  </si>
  <si>
    <t xml:space="preserve">CAPORAL | CAPORAL_IPA | </t>
  </si>
  <si>
    <t>CAPORAL_IPA</t>
  </si>
  <si>
    <t xml:space="preserve">CAPORAL | BIERE_TRIPLE_CACHOU | </t>
  </si>
  <si>
    <t>CACHOU</t>
  </si>
  <si>
    <t>BIERE_TRIPLE_CACHOU</t>
  </si>
  <si>
    <t xml:space="preserve">CAPORAL | CHEZ_TONTON | </t>
  </si>
  <si>
    <t>TONTON</t>
  </si>
  <si>
    <t>CHEZ_TONTON</t>
  </si>
  <si>
    <t xml:space="preserve">CAPORAL | LA_BIERE_ROSE | </t>
  </si>
  <si>
    <t>LA_BIERE_ROSE</t>
  </si>
  <si>
    <t xml:space="preserve">CAPORAL | BIERE_DU_PARA | </t>
  </si>
  <si>
    <t>PARA</t>
  </si>
  <si>
    <t>BIERE_DU_PARA</t>
  </si>
  <si>
    <t xml:space="preserve">CAPTAIN_FRACASSE | TRIPEL | </t>
  </si>
  <si>
    <t>CAPTAIN_FRACASSE</t>
  </si>
  <si>
    <t xml:space="preserve">CAPTAIN_FRACASSE | IPA | </t>
  </si>
  <si>
    <t xml:space="preserve">CAPTAIN_FRACASSE | BOULES | </t>
  </si>
  <si>
    <t>BOULES</t>
  </si>
  <si>
    <t xml:space="preserve">CAPTAIN_FRACASSE | RED | </t>
  </si>
  <si>
    <t xml:space="preserve">CASTELAIN | FLEUR_DE_HOUBLON | </t>
  </si>
  <si>
    <t>CASTELAIN</t>
  </si>
  <si>
    <t>FLEUR_DE_HOUBLON</t>
  </si>
  <si>
    <t xml:space="preserve">CASTELAIN | NEIPA | </t>
  </si>
  <si>
    <t xml:space="preserve">CASTELAIN | SESSION_PALE_ALE | </t>
  </si>
  <si>
    <t>SESSION_PALE_ALE</t>
  </si>
  <si>
    <t xml:space="preserve">CASTELAIN | CASTELAIN_IMPERIAL_DOUBLE_IPA | </t>
  </si>
  <si>
    <t>CASTELAIN_IMPERIAL_DOUBLE_IPA</t>
  </si>
  <si>
    <t xml:space="preserve">CASTELAIN | GRAND_CRU | </t>
  </si>
  <si>
    <t>GRAND;CRU</t>
  </si>
  <si>
    <t xml:space="preserve">CH_TI | BLOND | </t>
  </si>
  <si>
    <t xml:space="preserve">CH_TI | AMBREE | </t>
  </si>
  <si>
    <t xml:space="preserve">CH_TI | TRIPEL | </t>
  </si>
  <si>
    <t xml:space="preserve">CH_TI | IPA | </t>
  </si>
  <si>
    <t xml:space="preserve">CH_TI | WINTER | </t>
  </si>
  <si>
    <t xml:space="preserve">CH_TI | SAISON | </t>
  </si>
  <si>
    <t xml:space="preserve">CH_TI | XMAS | </t>
  </si>
  <si>
    <t xml:space="preserve">CH_TI | HOP | </t>
  </si>
  <si>
    <t xml:space="preserve">CH_TI | RED_FRUITS | </t>
  </si>
  <si>
    <t xml:space="preserve">CH_TI | WHITE | </t>
  </si>
  <si>
    <t xml:space="preserve">CH_TI | SPRING | </t>
  </si>
  <si>
    <t xml:space="preserve">CH_TI | BROWN | </t>
  </si>
  <si>
    <t xml:space="preserve">CH_TI | MARS | </t>
  </si>
  <si>
    <t>MARS</t>
  </si>
  <si>
    <t xml:space="preserve">CORE | CORE | </t>
  </si>
  <si>
    <t xml:space="preserve">ROSE | ROSE | </t>
  </si>
  <si>
    <t>CORE | CORE | ZERO</t>
  </si>
  <si>
    <t xml:space="preserve">ATLANTIC | ATLANTIC_BLONDE | </t>
  </si>
  <si>
    <t>ATLANTIC</t>
  </si>
  <si>
    <t>ATLANTIC_BLONDE</t>
  </si>
  <si>
    <t xml:space="preserve">ATLANTIC | ATLANTIC_RUBIS_DES_GABARIERS | </t>
  </si>
  <si>
    <t>ATLANTIC_RUBIS_DES_GABARIERS</t>
  </si>
  <si>
    <t xml:space="preserve">ATLANTIC | ATLANTIC_BLANCHE_DES_GABARIERS | </t>
  </si>
  <si>
    <t>ATLANTIC_BLANCHE_DES_GABARIERS</t>
  </si>
  <si>
    <t xml:space="preserve">ATLANTIC | ATLANTIC_DOREE_DES_GABARIERS | </t>
  </si>
  <si>
    <t>ATLANTIC_DOREE_DES_GABARIERS</t>
  </si>
  <si>
    <t xml:space="preserve">ATLANTIC | ATLANTIC_GRAND_CRU_DES_GABARIERS | </t>
  </si>
  <si>
    <t>ATLANTIC_GRAND_CRU_DES_GABARIERS</t>
  </si>
  <si>
    <t xml:space="preserve">STERLING | BLOND | </t>
  </si>
  <si>
    <t>STERLING</t>
  </si>
  <si>
    <t xml:space="preserve">DE_VELDEN | IPA | </t>
  </si>
  <si>
    <t>DE_VELDEN</t>
  </si>
  <si>
    <t xml:space="preserve">DE_VELDEN | ABBEY | </t>
  </si>
  <si>
    <t xml:space="preserve">STERLING | STRONG | </t>
  </si>
  <si>
    <t xml:space="preserve">JALISQO | TEQUILA | </t>
  </si>
  <si>
    <t>JALISQO</t>
  </si>
  <si>
    <t>TEQUILA;CORE</t>
  </si>
  <si>
    <t xml:space="preserve">DE_VELDEN | TRIPEL | </t>
  </si>
  <si>
    <t>STERLING | PANACHE | ZERO</t>
  </si>
  <si>
    <t xml:space="preserve">STERLING | EXTRA_STRONG | </t>
  </si>
  <si>
    <t xml:space="preserve">DE_VELDEN | AMBREE | </t>
  </si>
  <si>
    <t xml:space="preserve">DE_VELDEN | BLOND | </t>
  </si>
  <si>
    <t xml:space="preserve">STERLING | WHITE | </t>
  </si>
  <si>
    <t xml:space="preserve">STERLING | ABBEY | </t>
  </si>
  <si>
    <t xml:space="preserve">DREMMWEL | ROUSSE | </t>
  </si>
  <si>
    <t>DREMMWEL</t>
  </si>
  <si>
    <t xml:space="preserve">DREMMWEL | BLOND | </t>
  </si>
  <si>
    <t xml:space="preserve">DREMMWEL | NOIR | </t>
  </si>
  <si>
    <t>NOIR</t>
  </si>
  <si>
    <t xml:space="preserve">DREMMWEL | GOLD | </t>
  </si>
  <si>
    <t xml:space="preserve">DREMMWEL | IPA | </t>
  </si>
  <si>
    <t xml:space="preserve">DREMMWEL | WHITE | </t>
  </si>
  <si>
    <t>DREMMWEL | CORE | ZERO</t>
  </si>
  <si>
    <t xml:space="preserve">DUCHESSE | ANNE_TRIPEL | </t>
  </si>
  <si>
    <t>ANNE_TRIPEL</t>
  </si>
  <si>
    <t xml:space="preserve">DUCHESSE | ANNE_TRIPLE_HOPS | </t>
  </si>
  <si>
    <t>ANNE_TRIPLE_HOPS</t>
  </si>
  <si>
    <t xml:space="preserve">DUCHESSE | ANNE_D_HIVER | </t>
  </si>
  <si>
    <t>ANNE_D_HIVER</t>
  </si>
  <si>
    <t xml:space="preserve">DUCHESSE | ANNE_D_AUTOMNE | </t>
  </si>
  <si>
    <t>ANNE_D_AUTOMNE</t>
  </si>
  <si>
    <t xml:space="preserve">DUCHESSE | ANNE_PRINTEMPS | </t>
  </si>
  <si>
    <t>ANNE_PRINTEMPS</t>
  </si>
  <si>
    <t xml:space="preserve">DUCHESSE | SAINTE_ANNE | </t>
  </si>
  <si>
    <t>SAINTE_ANNE</t>
  </si>
  <si>
    <t xml:space="preserve">EGUZKI | BLOND | </t>
  </si>
  <si>
    <t>EGUZKI</t>
  </si>
  <si>
    <t xml:space="preserve">EGUZKI | IPA | </t>
  </si>
  <si>
    <t xml:space="preserve">EGUZKI | AMBREE | </t>
  </si>
  <si>
    <t xml:space="preserve">EGUZKI | XURIA | </t>
  </si>
  <si>
    <t>XURIA</t>
  </si>
  <si>
    <t xml:space="preserve">EGUZKI | ROSE | </t>
  </si>
  <si>
    <t xml:space="preserve">EGUZKI | SESSION | </t>
  </si>
  <si>
    <t xml:space="preserve">EGUZKI | GUREA | </t>
  </si>
  <si>
    <t>GUREA</t>
  </si>
  <si>
    <t xml:space="preserve">EGUZKI | STOUT | </t>
  </si>
  <si>
    <t xml:space="preserve">EKU_28 | CORE | </t>
  </si>
  <si>
    <t>EKU_28</t>
  </si>
  <si>
    <t xml:space="preserve">FACE_NORD | IPA | </t>
  </si>
  <si>
    <t>FACE_NORD</t>
  </si>
  <si>
    <t xml:space="preserve">FACE_NORD | BLOND | </t>
  </si>
  <si>
    <t xml:space="preserve">FACE_NORD | GREEN | </t>
  </si>
  <si>
    <t xml:space="preserve">FACE_NORD | WHITE | </t>
  </si>
  <si>
    <t xml:space="preserve">FACE_NORD | ROUSSE | </t>
  </si>
  <si>
    <t xml:space="preserve">FACE_NORD | NEIPA | </t>
  </si>
  <si>
    <t xml:space="preserve">FACE_NORD | WINTER | </t>
  </si>
  <si>
    <t xml:space="preserve">FADA | BLOND | </t>
  </si>
  <si>
    <t>FADA</t>
  </si>
  <si>
    <t xml:space="preserve">FADA | SUNNY | </t>
  </si>
  <si>
    <t xml:space="preserve">FADA | WHITE | </t>
  </si>
  <si>
    <t xml:space="preserve">FADA | TRIPEL | </t>
  </si>
  <si>
    <t xml:space="preserve">FADA | BRINQUE | </t>
  </si>
  <si>
    <t>BRINQUE</t>
  </si>
  <si>
    <t xml:space="preserve">FADA | IPA | </t>
  </si>
  <si>
    <t xml:space="preserve">FADA | ABRICOT | </t>
  </si>
  <si>
    <t>ABRICOT</t>
  </si>
  <si>
    <t xml:space="preserve">FADA | CUVEE | </t>
  </si>
  <si>
    <t xml:space="preserve">FADA | AMBREE | </t>
  </si>
  <si>
    <t xml:space="preserve">FADA | SUMMER | </t>
  </si>
  <si>
    <t xml:space="preserve">FADA | DIPA | </t>
  </si>
  <si>
    <t xml:space="preserve">FADA | WINTER | </t>
  </si>
  <si>
    <t xml:space="preserve">FEE_DE_L_EFFET | CORE | </t>
  </si>
  <si>
    <t>FEE_DE_L_EFFET</t>
  </si>
  <si>
    <t>FISCHER</t>
  </si>
  <si>
    <t xml:space="preserve">FISCHER | PILSNER | </t>
  </si>
  <si>
    <t xml:space="preserve">FISCHER | FISCHER_DORELEÏ_BIERE_AMBREE_D_ALSACE | </t>
  </si>
  <si>
    <t>FISCHER_DORELEÏ_BIERE_AMBREE_D_ALSACE</t>
  </si>
  <si>
    <t xml:space="preserve">FISCHER | FISCHER_TROIS_HOUBLONS_ALSACIENS | </t>
  </si>
  <si>
    <t>FISCHER_TROIS_HOUBLONS_ALSACIENS</t>
  </si>
  <si>
    <t xml:space="preserve">FISCHER | FISCHER_LA_BELLE_MIRA | </t>
  </si>
  <si>
    <t>FISCHER_LA_BELLE_MIRA</t>
  </si>
  <si>
    <t xml:space="preserve">GALLIA | GALLIA_NOUVEAU_WESTERN_IPA | </t>
  </si>
  <si>
    <t>GALLIA</t>
  </si>
  <si>
    <t>GALLIA_NOUVEAU_WESTERN_IPA</t>
  </si>
  <si>
    <t xml:space="preserve">GALLIA | GALLIA_SANS_CONCESSION_SESSION_IPA | </t>
  </si>
  <si>
    <t>GALLIA_SANS_CONCESSION_SESSION_IPA</t>
  </si>
  <si>
    <t xml:space="preserve">GALLIA | CHAMP_LIBRE | </t>
  </si>
  <si>
    <t>CHAMP_LIBRE</t>
  </si>
  <si>
    <t xml:space="preserve">GALLIA | WEISS_VERSA | </t>
  </si>
  <si>
    <t>WEISS_VERSA</t>
  </si>
  <si>
    <t xml:space="preserve">GALLIA | GALLIA_EAST_IPA | </t>
  </si>
  <si>
    <t>GALLIA_EAST_IPA</t>
  </si>
  <si>
    <t>GALLIA | IPA | ZERO</t>
  </si>
  <si>
    <t xml:space="preserve">GOLDENBERG | PILSNER | </t>
  </si>
  <si>
    <t>GOLDENBERG</t>
  </si>
  <si>
    <t xml:space="preserve">GOLDENBERG | FORTE | </t>
  </si>
  <si>
    <t>FORTE</t>
  </si>
  <si>
    <t xml:space="preserve">LA_CHOULETTE | AMBREE | </t>
  </si>
  <si>
    <t>LA_CHOULETTE</t>
  </si>
  <si>
    <t xml:space="preserve">LA_CHOULETTE | BLOND | </t>
  </si>
  <si>
    <t xml:space="preserve">BLANCHE_DE_CAMBRAI | CORE | </t>
  </si>
  <si>
    <t>BLANCHE_DE_CAMBRAI</t>
  </si>
  <si>
    <t xml:space="preserve">LA_CHOULETTE | CORE | </t>
  </si>
  <si>
    <t xml:space="preserve">LA_CHOULETTE | FRAMBOISE | </t>
  </si>
  <si>
    <t>FRAMBOISE</t>
  </si>
  <si>
    <t xml:space="preserve">LA_CHOULETTE | XMAS | </t>
  </si>
  <si>
    <t xml:space="preserve">SANS_CULOTTES | CORE | </t>
  </si>
  <si>
    <t>SANS_CULOTTES</t>
  </si>
  <si>
    <t xml:space="preserve">LA_CHOULETTE | TRIPEL | </t>
  </si>
  <si>
    <t xml:space="preserve">LA_CHOULETTE | SPRING | </t>
  </si>
  <si>
    <t xml:space="preserve">LA_CHOULETTE | CHERRY | </t>
  </si>
  <si>
    <t xml:space="preserve">LA_CHOULETTE | BRUNE | </t>
  </si>
  <si>
    <t xml:space="preserve">PIETRA | AMBREE | </t>
  </si>
  <si>
    <t>PIETRA</t>
  </si>
  <si>
    <t xml:space="preserve">PIETRA | IPA | </t>
  </si>
  <si>
    <t xml:space="preserve">PIETRA | BIONDA | </t>
  </si>
  <si>
    <t>BIONDA</t>
  </si>
  <si>
    <t xml:space="preserve">PIETRA | SUMMER | </t>
  </si>
  <si>
    <t xml:space="preserve">PIETRA | WHITE | </t>
  </si>
  <si>
    <t xml:space="preserve">PIETRA | ROSSA | </t>
  </si>
  <si>
    <t>ROSSA</t>
  </si>
  <si>
    <t xml:space="preserve">PIETRA | BLOND | </t>
  </si>
  <si>
    <t xml:space="preserve">PIETRA | LEMON | </t>
  </si>
  <si>
    <t xml:space="preserve">PIETRA | XMAS | </t>
  </si>
  <si>
    <t xml:space="preserve">JENLAIN | AMBREE | </t>
  </si>
  <si>
    <t>JENLAIN</t>
  </si>
  <si>
    <t xml:space="preserve">JENLAIN | BLOND | </t>
  </si>
  <si>
    <t xml:space="preserve">JENLAIN | IPA | </t>
  </si>
  <si>
    <t xml:space="preserve">JENLAIN | TRIPEL | </t>
  </si>
  <si>
    <t xml:space="preserve">JENLAIN | WHITE | </t>
  </si>
  <si>
    <t xml:space="preserve">JENLAIN | RED | </t>
  </si>
  <si>
    <t>TOURTEL_TWIST | LEMON | ZERO</t>
  </si>
  <si>
    <t>TOURTEL_TWIST</t>
  </si>
  <si>
    <t>TOURTEL_TWIST | RASPBERRY | ZERO</t>
  </si>
  <si>
    <t>TOURTEL_TWIST | AGRUMES | ZERO</t>
  </si>
  <si>
    <t>TOURTEL_TWIST | LEMON_MINT | ZERO</t>
  </si>
  <si>
    <t>TOURTEL_TWIST | PEACH | ZERO</t>
  </si>
  <si>
    <t>TOURTEL_TWIST | PINEAPPLE_CITRON | ZERO</t>
  </si>
  <si>
    <t>PINEAPPLE_CITRON</t>
  </si>
  <si>
    <t>TOURTEL_TWIST | CHERRY | ZERO</t>
  </si>
  <si>
    <t>TOURTEL_TWIST | ORANGE | ZERO</t>
  </si>
  <si>
    <t>TOURTEL_TWIST | MYRTILLE | ZERO</t>
  </si>
  <si>
    <t>TOURTEL_TWIST | MANGO | ZERO</t>
  </si>
  <si>
    <t>TOURTEL_TWIST | STRAWBERRY | ZERO</t>
  </si>
  <si>
    <t>TOURTEL_TWIST | PEACH_GREEN_TEA | ZERO</t>
  </si>
  <si>
    <t>PEACH_GREEN_TEA</t>
  </si>
  <si>
    <t>TOURTEL_TWIST | NECTARINE | ZERO</t>
  </si>
  <si>
    <t>NECTARINE</t>
  </si>
  <si>
    <t>TOURTEL_TWIST | WATERMELON | ZERO</t>
  </si>
  <si>
    <t>TOURTEL_TWIST | DUO_LEMON | ZERO</t>
  </si>
  <si>
    <t>DUO_LEMON</t>
  </si>
  <si>
    <t>TOURTEL_TWIST | DUO_AGRUMES | ZERO</t>
  </si>
  <si>
    <t>DUO_AGRUMES</t>
  </si>
  <si>
    <t>TOURTEL_TWIST | RASPBERRY_HIBISCUS | ZERO</t>
  </si>
  <si>
    <t>RASPBERRY_HIBISCUS</t>
  </si>
  <si>
    <t>TOURTEL_TWIST | MOJITO | ZERO</t>
  </si>
  <si>
    <t>TOURTEL_TWIST | DUO_ROUGES | ZERO</t>
  </si>
  <si>
    <t>DUO_ROUGES</t>
  </si>
  <si>
    <t>TOURTEL_TWIST | ABRICOTS | ZERO</t>
  </si>
  <si>
    <t>ABRICOTS</t>
  </si>
  <si>
    <t>TOURTEL_TWIST | STRAWBERRY_MOJITO | ZERO</t>
  </si>
  <si>
    <t>STRAWBERRY_MOJITO</t>
  </si>
  <si>
    <t xml:space="preserve">BRIGANTINE | IPA | </t>
  </si>
  <si>
    <t>BRIGANTINE</t>
  </si>
  <si>
    <t xml:space="preserve">BLANCHE_DE_BRUXELLES | CORE | </t>
  </si>
  <si>
    <t>BLANCHE_DE_BRUXELLES</t>
  </si>
  <si>
    <t>BLANCHE_DE_BRUXELLES_ROSEE</t>
  </si>
  <si>
    <t xml:space="preserve">WALBERGEM | BLOND | </t>
  </si>
  <si>
    <t>WALBERGEM</t>
  </si>
  <si>
    <t xml:space="preserve">WALBERG | LAGER | </t>
  </si>
  <si>
    <t>WALBERG</t>
  </si>
  <si>
    <t xml:space="preserve">WALBERG | STRONG | </t>
  </si>
  <si>
    <t xml:space="preserve">WALBERGEM | RUBIS | </t>
  </si>
  <si>
    <t xml:space="preserve">WALBERGEM | XMAS | </t>
  </si>
  <si>
    <t xml:space="preserve">SAVEURS_HOELLINGEM | BLOND | </t>
  </si>
  <si>
    <t>SAVEURS_HOELLINGEM</t>
  </si>
  <si>
    <t xml:space="preserve">SAVEURS_HOELLINGEM | RUBIS | </t>
  </si>
  <si>
    <t xml:space="preserve">COREFF | DRAMM_HUD | </t>
  </si>
  <si>
    <t>COREFF</t>
  </si>
  <si>
    <t>DRAMM</t>
  </si>
  <si>
    <t>DRAMM_HUD</t>
  </si>
  <si>
    <t xml:space="preserve">COREFF | IPA | </t>
  </si>
  <si>
    <t xml:space="preserve">COREFF | BLOND | </t>
  </si>
  <si>
    <t xml:space="preserve">COREFF | AMBREE | </t>
  </si>
  <si>
    <t xml:space="preserve">COREFF | BLANCHE | </t>
  </si>
  <si>
    <t xml:space="preserve">COREFF | BRUNE | </t>
  </si>
  <si>
    <t xml:space="preserve">COREFF | BREIZR_ILE | </t>
  </si>
  <si>
    <t>BREIZR_ILE</t>
  </si>
  <si>
    <t xml:space="preserve">COREFF | EXCA | </t>
  </si>
  <si>
    <t>EXCA</t>
  </si>
  <si>
    <t>AMBREE_BIO</t>
  </si>
  <si>
    <t xml:space="preserve">COREFF | ROUSSE | </t>
  </si>
  <si>
    <t>IPA_BIO</t>
  </si>
  <si>
    <t xml:space="preserve">COREFF | STOUT | </t>
  </si>
  <si>
    <t xml:space="preserve">COREFF | XMAS | </t>
  </si>
  <si>
    <t xml:space="preserve">COREFF | GINGER | </t>
  </si>
  <si>
    <t xml:space="preserve">COREFF | KALON | </t>
  </si>
  <si>
    <t>KALON</t>
  </si>
  <si>
    <t xml:space="preserve">COREFF | KENTA | </t>
  </si>
  <si>
    <t>KENTA</t>
  </si>
  <si>
    <t xml:space="preserve">COREFF | YEC_HED_MAT_KLUB | </t>
  </si>
  <si>
    <t>YEC_HED_MAT_KLUB</t>
  </si>
  <si>
    <t xml:space="preserve">COREFF | LA_PLOUF_BLONDE | </t>
  </si>
  <si>
    <t>PLOUF</t>
  </si>
  <si>
    <t>LA_PLOUF_BLONDE</t>
  </si>
  <si>
    <t xml:space="preserve">COREFF | LA_PLOUF_BLONDE_BIO | </t>
  </si>
  <si>
    <t>LA_PLOUF_BLONDE_BIO</t>
  </si>
  <si>
    <t xml:space="preserve">COREFF | CARDEMON | </t>
  </si>
  <si>
    <t xml:space="preserve">COREFF | LA_PLOUF_BLANCHE | </t>
  </si>
  <si>
    <t>LA_PLOUF_BLANCHE</t>
  </si>
  <si>
    <t xml:space="preserve">COREFF | BREIZ_ILE | </t>
  </si>
  <si>
    <t>BREIZ_ILE</t>
  </si>
  <si>
    <t xml:space="preserve">COREFF | SESSION_IPA | </t>
  </si>
  <si>
    <t xml:space="preserve">COREFF | TRIPEL | </t>
  </si>
  <si>
    <t xml:space="preserve">AFFLIGEM | FLOREM | </t>
  </si>
  <si>
    <t>FLOREM</t>
  </si>
  <si>
    <t xml:space="preserve">AFFLIGEM | XMAS | </t>
  </si>
  <si>
    <t xml:space="preserve">AFFLIGEM | CARMIN | </t>
  </si>
  <si>
    <t>CARMIN</t>
  </si>
  <si>
    <t xml:space="preserve">AFFLIGEM | SPRING | </t>
  </si>
  <si>
    <t>AFFLIGEM | BLOND | LIGHT</t>
  </si>
  <si>
    <t xml:space="preserve">AFFLIGEM | AMBREE | </t>
  </si>
  <si>
    <t xml:space="preserve">PELICAN | BLOND | </t>
  </si>
  <si>
    <t>PELICAN</t>
  </si>
  <si>
    <t xml:space="preserve">SANT_ERWANN | BLOND | </t>
  </si>
  <si>
    <t>SANT_ERWANN</t>
  </si>
  <si>
    <t xml:space="preserve">SANT_ERWANN | IPA | </t>
  </si>
  <si>
    <t xml:space="preserve">SANT_ERWANN | DOUBLE_IPA | </t>
  </si>
  <si>
    <t xml:space="preserve">SANT_ERWANN | ROUGE | </t>
  </si>
  <si>
    <t xml:space="preserve">SANT_ERWANN | TRIPEL | </t>
  </si>
  <si>
    <t xml:space="preserve">SANT_ERWANN | ROUSSE_IPA | </t>
  </si>
  <si>
    <t>ROUSSE_IPA</t>
  </si>
  <si>
    <t xml:space="preserve">LANCELOT | IPA | </t>
  </si>
  <si>
    <t>LANCELOT</t>
  </si>
  <si>
    <t xml:space="preserve">LANCELOT | BLOND | </t>
  </si>
  <si>
    <t>FOUGUE</t>
  </si>
  <si>
    <t xml:space="preserve">FOUGUE | GROSSE | </t>
  </si>
  <si>
    <t>GROSSE</t>
  </si>
  <si>
    <t xml:space="preserve">LA_BETE | BLOND | </t>
  </si>
  <si>
    <t>LA_BETE</t>
  </si>
  <si>
    <t xml:space="preserve">LA_BETE | WHITE | </t>
  </si>
  <si>
    <t xml:space="preserve">LA_BETE | VOSGES | </t>
  </si>
  <si>
    <t>VOSGES</t>
  </si>
  <si>
    <t xml:space="preserve">LA_BETE | RED | </t>
  </si>
  <si>
    <t xml:space="preserve">LA_BETE | AMBREE | </t>
  </si>
  <si>
    <t xml:space="preserve">LA_BETE | IPA | </t>
  </si>
  <si>
    <t xml:space="preserve">LA_BETE | XMAS | </t>
  </si>
  <si>
    <t xml:space="preserve">DEBAUCHE | COGNAC_BARREL | </t>
  </si>
  <si>
    <t>DEBAUCHE</t>
  </si>
  <si>
    <t>COGNAC_BARREL</t>
  </si>
  <si>
    <t xml:space="preserve">DEBAUCHE | IPA | </t>
  </si>
  <si>
    <t xml:space="preserve">DEBAUCHE | MILKSHAKE_PASSION_IPA | </t>
  </si>
  <si>
    <t>MILKSHAKE_PASSION_IPA</t>
  </si>
  <si>
    <t xml:space="preserve">DEBAUCHE | HAZY_DIAMOND | </t>
  </si>
  <si>
    <t>DIAMOND</t>
  </si>
  <si>
    <t>HAZY_DIAMOND</t>
  </si>
  <si>
    <t xml:space="preserve">DEBAUCHE | COOL_JAZZ | </t>
  </si>
  <si>
    <t>COOL_JAZZ</t>
  </si>
  <si>
    <t xml:space="preserve">DEBAUCHE | GOOD_BOY_IPA | </t>
  </si>
  <si>
    <t>GOOD</t>
  </si>
  <si>
    <t>GOOD_BOY_IPA</t>
  </si>
  <si>
    <t xml:space="preserve">DEBAUCHE | NEVERMORE | </t>
  </si>
  <si>
    <t>NEVER</t>
  </si>
  <si>
    <t>NEVERMORE</t>
  </si>
  <si>
    <t xml:space="preserve">DEBAUCHE | FRENCH_IPA | </t>
  </si>
  <si>
    <t xml:space="preserve">DEBAUCHE | BIG_BOY | </t>
  </si>
  <si>
    <t>BIG_BOY</t>
  </si>
  <si>
    <t xml:space="preserve">DEBAUCHE | NINA_BLANCA | </t>
  </si>
  <si>
    <t>NINA_BLANCA</t>
  </si>
  <si>
    <t xml:space="preserve">DEBAUCHE | ALMA | </t>
  </si>
  <si>
    <t xml:space="preserve">DEBAUCHE | BLACK_ALE_INDIA_STOUT | </t>
  </si>
  <si>
    <t>BLACK_ALE_INDIA_STOUT</t>
  </si>
  <si>
    <t xml:space="preserve">DEBAUCHE | DEMI_MONDAINE | </t>
  </si>
  <si>
    <t>DEMI</t>
  </si>
  <si>
    <t>DEMI_MONDAINE</t>
  </si>
  <si>
    <t xml:space="preserve">DEBAUCHE | CREEPY_KID | </t>
  </si>
  <si>
    <t>CREEPY</t>
  </si>
  <si>
    <t>CREEPY_KID</t>
  </si>
  <si>
    <t xml:space="preserve">DEBAUCHE | WHATEVER_KINGDOM | </t>
  </si>
  <si>
    <t>KINGDOM</t>
  </si>
  <si>
    <t>WHATEVER_KINGDOM</t>
  </si>
  <si>
    <t xml:space="preserve">DEBAUCHE | SLAP_A_BANKER | </t>
  </si>
  <si>
    <t>BANKER</t>
  </si>
  <si>
    <t>SLAP_A_BANKER</t>
  </si>
  <si>
    <t xml:space="preserve">DEBAUCHE | AMORENA_FRAMBOISE | </t>
  </si>
  <si>
    <t>AMORENA</t>
  </si>
  <si>
    <t>AMORENA_FRAMBOISE</t>
  </si>
  <si>
    <t xml:space="preserve">DEBAUCHE | SAISON | </t>
  </si>
  <si>
    <t xml:space="preserve">DEBAUCHE | BLUEPRINTS:_TOASTER | </t>
  </si>
  <si>
    <t>TOASTER</t>
  </si>
  <si>
    <t>BLUEPRINTS:_TOASTER</t>
  </si>
  <si>
    <t xml:space="preserve">DEBAUCHE | VOLGA | </t>
  </si>
  <si>
    <t>VOLGA</t>
  </si>
  <si>
    <t xml:space="preserve">DEBAUCHE | LINDY_HOP | </t>
  </si>
  <si>
    <t>LINDY</t>
  </si>
  <si>
    <t>LINDY_HOP</t>
  </si>
  <si>
    <t xml:space="preserve">DEBAUCHE | FREAKABOO | </t>
  </si>
  <si>
    <t>FREAK</t>
  </si>
  <si>
    <t>FREAKABOO</t>
  </si>
  <si>
    <t xml:space="preserve">DEBAUCHE | CHERRYLEADER | </t>
  </si>
  <si>
    <t>CHERRYLEADER</t>
  </si>
  <si>
    <t xml:space="preserve">DEBAUCHE | SUMMER_ODDITY | </t>
  </si>
  <si>
    <t>SUMMER_ODDITY</t>
  </si>
  <si>
    <t xml:space="preserve">DEBAUCHE | MANGO_RISING | </t>
  </si>
  <si>
    <t>MANGO_RISING</t>
  </si>
  <si>
    <t xml:space="preserve">RAOUL | CORE | </t>
  </si>
  <si>
    <t>RAOUL</t>
  </si>
  <si>
    <t xml:space="preserve">BRITT | BLOND | </t>
  </si>
  <si>
    <t>BRITT</t>
  </si>
  <si>
    <t xml:space="preserve">BRITT | WHITE | </t>
  </si>
  <si>
    <t xml:space="preserve">BRITT | SUMMER | </t>
  </si>
  <si>
    <t xml:space="preserve">BRITT | AMBER | </t>
  </si>
  <si>
    <t xml:space="preserve">BRITT | SESSION | </t>
  </si>
  <si>
    <t xml:space="preserve">BRITT | GINGER | </t>
  </si>
  <si>
    <t xml:space="preserve">MELUSINE | HELLFEST | </t>
  </si>
  <si>
    <t>MELUSINE</t>
  </si>
  <si>
    <t>HELLFEST</t>
  </si>
  <si>
    <t xml:space="preserve">MELUSINE | MELUSINE | </t>
  </si>
  <si>
    <t xml:space="preserve">MELUSINE | PUY_D_ENFER | </t>
  </si>
  <si>
    <t>ENFER</t>
  </si>
  <si>
    <t>PUY_D_ENFER</t>
  </si>
  <si>
    <t xml:space="preserve">MELUSINE | LOVE_FLOWERS | </t>
  </si>
  <si>
    <t>FLOWERS</t>
  </si>
  <si>
    <t>LOVE_FLOWERS</t>
  </si>
  <si>
    <t xml:space="preserve">MELUSINE | VIA_CRUCIS_EX_KORLENE | </t>
  </si>
  <si>
    <t>CRUCIS</t>
  </si>
  <si>
    <t>VIA_CRUCIS_EX_KORLENE</t>
  </si>
  <si>
    <t xml:space="preserve">MELUSINE | BARBE_BLEUE | </t>
  </si>
  <si>
    <t>BARBE_BLEUE</t>
  </si>
  <si>
    <t xml:space="preserve">MELUSINE | MANDRAGORE | </t>
  </si>
  <si>
    <t>MANDRA</t>
  </si>
  <si>
    <t>MANDRAGORE</t>
  </si>
  <si>
    <t xml:space="preserve">MELUSINE | MEDUSA | </t>
  </si>
  <si>
    <t>MEDUSA</t>
  </si>
  <si>
    <t xml:space="preserve">MELUSINE | BLANCHE_ECUME | </t>
  </si>
  <si>
    <t>ECUME</t>
  </si>
  <si>
    <t>BLANCHE_ECUME</t>
  </si>
  <si>
    <t xml:space="preserve">MELUSINE | LA_CERVOISE | </t>
  </si>
  <si>
    <t>CERVOISE</t>
  </si>
  <si>
    <t>LA_CERVOISE</t>
  </si>
  <si>
    <t xml:space="preserve">MELUSINE | NONNETTE | </t>
  </si>
  <si>
    <t>NONNETTE</t>
  </si>
  <si>
    <t xml:space="preserve">MELUSINE | LA_DAME_BLANCHE | </t>
  </si>
  <si>
    <t>DAME</t>
  </si>
  <si>
    <t>LA_DAME_BLANCHE</t>
  </si>
  <si>
    <t xml:space="preserve">MELUSINE | XMAS | </t>
  </si>
  <si>
    <t xml:space="preserve">METEOR | PILSNER | </t>
  </si>
  <si>
    <t>METEOR</t>
  </si>
  <si>
    <t xml:space="preserve">METEOR | LAGER | </t>
  </si>
  <si>
    <t xml:space="preserve">METEOR | IPA | </t>
  </si>
  <si>
    <t xml:space="preserve">METEOR | WHITE | </t>
  </si>
  <si>
    <t xml:space="preserve">METEOR | XMAS | </t>
  </si>
  <si>
    <t xml:space="preserve">METEOR | WENDELINUS_BLONDE | </t>
  </si>
  <si>
    <t>WENDELINUS</t>
  </si>
  <si>
    <t>WENDELINUS_BLONDE</t>
  </si>
  <si>
    <t xml:space="preserve">METEOR | WHITE_IPA | </t>
  </si>
  <si>
    <t xml:space="preserve">METEOR | BLOND | </t>
  </si>
  <si>
    <t xml:space="preserve">METEOR | HEFEWEIZEN | </t>
  </si>
  <si>
    <t xml:space="preserve">METEOR | DE_GARDE | </t>
  </si>
  <si>
    <t>DE_GARDE</t>
  </si>
  <si>
    <t xml:space="preserve">METEOR | PALE_ALE | </t>
  </si>
  <si>
    <t xml:space="preserve">METEOR | SPRING | </t>
  </si>
  <si>
    <t xml:space="preserve">METEOR | TRIPEL | </t>
  </si>
  <si>
    <t xml:space="preserve">METEOR | CHERRY | </t>
  </si>
  <si>
    <t xml:space="preserve">METEOR | SESSION | </t>
  </si>
  <si>
    <t xml:space="preserve">SECRET_DES_MOINES | BLOND | </t>
  </si>
  <si>
    <t>SECRET_DES_MOINES</t>
  </si>
  <si>
    <t xml:space="preserve">SECRET_DES_MOINES | BROWN | </t>
  </si>
  <si>
    <t xml:space="preserve">SECRET_DES_MOINES | FROMENT | </t>
  </si>
  <si>
    <t>FROMENT</t>
  </si>
  <si>
    <t xml:space="preserve">SECRET_DES_MOINES | RED | </t>
  </si>
  <si>
    <t xml:space="preserve">GUESTY_SAVEURS | CORE | </t>
  </si>
  <si>
    <t>GUESTY_SAVEURS</t>
  </si>
  <si>
    <t>GUESTY_SAVEURS | AGRUMES | ZERO</t>
  </si>
  <si>
    <t>GUESTY_SAVEURS | RASPBERRY | ZERO</t>
  </si>
  <si>
    <t xml:space="preserve">GUESTY_SAVEURS | MOJITO | </t>
  </si>
  <si>
    <t>GUESTY_SAVEURS | LEMON | ZERO</t>
  </si>
  <si>
    <t xml:space="preserve">SLASH | IPA | </t>
  </si>
  <si>
    <t>SLASH</t>
  </si>
  <si>
    <t xml:space="preserve">SLASH | MANGO | </t>
  </si>
  <si>
    <t xml:space="preserve">SLASH | RED | </t>
  </si>
  <si>
    <t xml:space="preserve">SLASH | ORIGIN | </t>
  </si>
  <si>
    <t xml:space="preserve">SLASH | CITRUS | </t>
  </si>
  <si>
    <t xml:space="preserve">SLASH | BERRY | </t>
  </si>
  <si>
    <t>WEIHNACHT</t>
  </si>
  <si>
    <t>420</t>
  </si>
  <si>
    <t>423</t>
  </si>
  <si>
    <t>429</t>
  </si>
  <si>
    <t>422</t>
  </si>
  <si>
    <t>428</t>
  </si>
  <si>
    <t>419</t>
  </si>
  <si>
    <t>433</t>
  </si>
  <si>
    <t>426</t>
  </si>
  <si>
    <t>434</t>
  </si>
  <si>
    <t>IT’S_A_BLOND</t>
  </si>
  <si>
    <t>NINETIES</t>
  </si>
  <si>
    <t>TATA</t>
  </si>
  <si>
    <t>UILTJE;BUURMAN;AMERICAN_BEAUTY</t>
  </si>
  <si>
    <t>BAXBIER;KOUDVUUR;ABEL_S_ALE;TROPICAL_PALE_ALE;KON_MINDER;ABBEY_RAVE;CROWD_PLEASER;PRIMAVERA;BANDWAGON;HOPSTER_10;IT_S_A_SMALL_WORLD_AFTER_ALL;FOREVER_CRUISIN;FADE_TO_BLACK;RAY_OF_SUNSHINE;OLDSKOOL_LEMONADE_IPA;BIRDS_N_BEES</t>
  </si>
  <si>
    <t>KEES;HALFWAY_ACROSS_THE_GALAXY;ANNIVERSARY_07;CATCH_ME_BY_THE_COCONUTS;SMEERKEES;TRIPLE_IPA;THIS_IS_AN_EGGCELLENT_IPA;VANILLA_SKY;THE_GOAT;IT_S_CHRISTMAS_TIME;AMBURANA_CHOCOLATE_STOUT;SLOW_DANCING_IN_A_GREEN_ROOM;BE_WISE;BARREL_PROJECT_PIANA_VYSHNIA_POHJALA_COLLAB;PUMP_UP_THE_JAM</t>
  </si>
  <si>
    <t>2_CAPS;LA_RANDO_DU_GRIS_NEZ;LA_BELLE_DALLE_MILLESIME_2021</t>
  </si>
  <si>
    <t>AMSTERDAM;NAVIGATOR;MAXIMATOR;DETONATOR;OLD_BOURBON;ADVENTUROR;EXPLORATOR;LIBERATOR</t>
  </si>
  <si>
    <t>ARTEMUS;ISABEAU;CAPE_COD;LA_PETITE_MADEMOISELLE;BIG_ROO;BODEGA_BAY;VENICE_BEACH;ANTIDOTE_STOUT;MADAME_BUTTERRLY;LA_BOHEME;LOREM_IPSUM;ETOILE_NOIRE</t>
  </si>
  <si>
    <t>BAM;TATOU_SUMMER_ALE;FISH_MOI_L_IPA;HOMBRE_AMBER_BEER;SAKURA_SPICED_BEER;NUIT_BLANCHE;IGOR_PERRY;PARADIS_DEFENDU;CHAETOPHRACTUS_VILLOSUS;PRETIUM_DOLORIS;PURPLE_FIESTA</t>
  </si>
  <si>
    <t>BAPBAP;BLANC_BEC;FAUBOURG;GUINGUETTE;HERBE_FOLLE;PORTERGEIST;AGENT_TROUBLE;DEUX_RIVES;RICK_MYRTILLES;SHIFUMI_BIO;GANG_NAM;BULL_S_EYE;NO_COAST_IPA;SEPTANTE_NEUF;BANG_BANG;WOODSTOCK;ACID_EIFFEL;VELVET_NOIR</t>
  </si>
  <si>
    <t>BIERE_DU_COMTE;MOUNTA_CALA;COTE_D_AZUR;L_ESTIVALE</t>
  </si>
  <si>
    <t>7_COLLINES;ORGASM_IQUE;SEVEN_P_HILLS;MALT_O_CRANE;ENFET_AMINE</t>
  </si>
  <si>
    <t>CIMES;BIERE_D_HIVER_AMBREE;PISTE_NOIRE;AIGUILLE_BLANCHE;HORS_PISTE;L_ABOMINABLE;LA_MOUSSE_AU_GENEPI;LA_MOUSSE_A_LA_CHATAIGNE;LA_MOUSSE_A_LA_VIOLETTE;LA_MOUSSE_A_LA_FRAMBOISE;LA_MOUSSE_AU_MIEL</t>
  </si>
  <si>
    <t>DE_LA_LOIRE;​SAINT_COME;LA_GUEULE_NOIRE</t>
  </si>
  <si>
    <t>DU_PEPERE;CUL_NOIR;CUL_AMER_IPA</t>
  </si>
  <si>
    <t>BRIQUE_HOUSE;YANKEE_TROUBLE;LA_BAGARRE;HOLY_BRIQUE;NEW_QUEEN_IN_TOWN;UNDER_ACID;NINETIES_/_90_S;CULTURE_TRIP;MICK_LAGER;L_AMERE_DU_NORD;SHINY_HOPPY;TRIPLE_CHUC;DARK_YANKEE;POWER_SOUR;SUPER_CORON;QUARTIER_ROUGE;FOUDRE_TROPICALE;CHRISTOPHE_CORON;TOPLESS_MONKEY;TRYE_HARD;COMME_UN_LUNDI;CLOUDY_FAUCAN;METRO_BISTROT_DODO</t>
  </si>
  <si>
    <t>BROOKLYN;DEFENDER_IPA;SORACHI_ACE;THE_STONEWALL_INN_IPA;BEL_AIR_SOUR;POST_ROAD_PUMPKIN_ALE;OKTOBERFEST;PULP_ART;BLAST;NARANJITO;SPECIAL_EFFECTS_HOPPY_LAGER;SCORCHER_IPA;BLACK_OPS_FOUR_ROSES_SMALL_BATCH;SHACKMEISTER_ALE;LOCAL_1</t>
  </si>
  <si>
    <t>CAPORAL;BLONDE_DE_SOIF;CASQUE_D_OR;TATA_IPA;BLANCHE_DE_FRANCE;ROUSSE_DE_PLAISIR;MEME_LA_CASTAGNE;CAPORAL_IPA;BIERE_TRIPLE_CACHOU;CHEZ_TONTON;LA_BIERE_ROSE;BIERE_DU_PARA</t>
  </si>
  <si>
    <t>CASTELAIN;FLEUR_DE_HOUBLON;CASTELAIN_IMPERIAL_DOUBLE_IPA</t>
  </si>
  <si>
    <t>ATLANTIC;GABARIERS;GABARIER</t>
  </si>
  <si>
    <t>DUCHESSE;ANNE_TRIPEL;ANNE_TRIPLE_HOPS;ANNE_D_HIVER;ANNE_D_AUTOMNE;ANNE_PRINTEMPS;SAINTE_ANNE</t>
  </si>
  <si>
    <t>EGUZKI;XURIA;GUREA</t>
  </si>
  <si>
    <t>FADA;BRINQUE</t>
  </si>
  <si>
    <t>FISCHER;DORELEI_BIERE_AMBREE_D_ALSACE;TROIS_HOUBLONS_ALSACIENS;LA_BELLE_MIRA</t>
  </si>
  <si>
    <t>GALLIA;NOUVEAU_WESTERN_IPA;SANS_CONCESSION_SESSION_IPA;CHAMP_LIBRE;WEISS_VERSA</t>
  </si>
  <si>
    <t>COREFF;DRAMM_HUD;BREIZR_ILE;EXCA;XMAS;GINGER;KALON;KENTA;YEC_HED_MAT_KLUB;LA_PLOUF</t>
  </si>
  <si>
    <t>AFFLIGEM;FLOREM</t>
  </si>
  <si>
    <t>MELUSINE;HELLFEST;MELUSINE;PUY_D_ENFER;LOVE_FLOWERS;VIA_CRUCIS_EX_KORLENE;BARBE_BLEUE;MANDRAGORE;MELUSINE_BIO;MEDUSA;BLANCHE_ECUME;LA_CERVOISE;NONNETTE;LA_DAME_BLANCHE</t>
  </si>
  <si>
    <t>METEOR;WENDELINUS</t>
  </si>
  <si>
    <t>SECRET_DES_MOINES;FROMENT</t>
  </si>
  <si>
    <t>GREEN_TEA</t>
  </si>
  <si>
    <t>WATERMELON;PASTEQUE;WATERMELOEN</t>
  </si>
  <si>
    <t>3_MONTS;TROIS_MONTS</t>
  </si>
  <si>
    <t>SAVEURS_HOELLINGEM;HOELLINGEM</t>
  </si>
  <si>
    <t>CH_TI;CHTI</t>
  </si>
  <si>
    <t>SAINT_ERWANN;ERWANN</t>
  </si>
  <si>
    <t>LAGUNITAS;LAGUNTAS;LAGUINATAS</t>
  </si>
  <si>
    <t>DUVEL;DUVEL666;DUVELL</t>
  </si>
  <si>
    <t>DE_SUTTER</t>
  </si>
  <si>
    <t>SUTTER</t>
  </si>
  <si>
    <t>YANKEE;NEIPA</t>
  </si>
  <si>
    <t>LA_CHOULETTE;CHOULETTE</t>
  </si>
  <si>
    <t xml:space="preserve">FISCHER | BLOND | </t>
  </si>
  <si>
    <t>TOURTEL_TWIST;TOURTEL</t>
  </si>
  <si>
    <t>BLOND;CORE;</t>
  </si>
  <si>
    <t>ANOSTEKE;ANOSTEKA</t>
  </si>
  <si>
    <t>BOREALE;WHITE_IPA</t>
  </si>
  <si>
    <t>JENLAIN;JEALAIN</t>
  </si>
  <si>
    <t>LA_BETE;LA_BATE</t>
  </si>
  <si>
    <t>DABAUCHE;DEBAUCHE;HAZY_DIAMOND;COOL_JAZZ;GOOD_BOY_IPA;NEVERMORE;BIG_BOY;NINA_BLANCA;BLACK_ALE_INDIA_STOUT;DEMI_MONDAINE;CREEPY_KID;WHATEVER_KINGDOM;SLAP_A_BANKER;AMORENA_FRAMBOISE;BLUEPRINTS_TOASTER;VOLGA;LINDY_HOP;FREAKABOO;CHERRYLEADER;SUMMER_ODDITY;MANGO_RISING</t>
  </si>
  <si>
    <t>GUINGUETTE;GUIGUETTE</t>
  </si>
  <si>
    <t>ORIGINALE;PALE_ALE</t>
  </si>
  <si>
    <t>VOLCELEST</t>
  </si>
  <si>
    <t>VOLCELEST;BIERE_KNIGHT;BIERE_QUEEN;BIERE_BISHOP;BIERE_PAWN;QUEEN_BIERE;KNIGHT_BIERE;</t>
  </si>
  <si>
    <t xml:space="preserve">LEFFE | AMBREE | </t>
  </si>
  <si>
    <t xml:space="preserve">GRIMBERGEN | AMBREE | </t>
  </si>
  <si>
    <t>BROOKLYN | HOPPY_LAGER | ZERO</t>
  </si>
  <si>
    <t>HOPPY_LAGER</t>
  </si>
  <si>
    <t>BROOKLYN | IPA | ZERO</t>
  </si>
  <si>
    <t xml:space="preserve">BROOKLYN | HOPPY_AMBER | </t>
  </si>
  <si>
    <t>HOPPY_AMBER</t>
  </si>
  <si>
    <t>BROOKLYN | PILSNER | ZERO</t>
  </si>
  <si>
    <t>BROOKLYN | HAZY_IPA | ZERO</t>
  </si>
  <si>
    <t xml:space="preserve">BROOKLYN | GRAPEFRUIT_IPA | </t>
  </si>
  <si>
    <t>GRAPEFRUIT_IPA</t>
  </si>
  <si>
    <t xml:space="preserve">BROOKLYN | CLASSIC | </t>
  </si>
  <si>
    <t xml:space="preserve">CRESPIN | BLOND | </t>
  </si>
  <si>
    <t>CRESPIN</t>
  </si>
  <si>
    <t xml:space="preserve">KUSTERBIER | LAGER | </t>
  </si>
  <si>
    <t>KUSTERBIER</t>
  </si>
  <si>
    <t>LAGER;CORE</t>
  </si>
  <si>
    <t xml:space="preserve">KUSTERBIER | PANACHE | </t>
  </si>
  <si>
    <t xml:space="preserve">KUSTERBIER | LUXE | </t>
  </si>
  <si>
    <t>LUXE</t>
  </si>
  <si>
    <t xml:space="preserve">KUSTERBIER | MALT | </t>
  </si>
  <si>
    <t xml:space="preserve">CRESPIN | XMAS | </t>
  </si>
  <si>
    <t xml:space="preserve">CRESPIN | TRIPEL | </t>
  </si>
  <si>
    <t xml:space="preserve">CRESPIN | IPA | </t>
  </si>
  <si>
    <t xml:space="preserve">CRESPIN | WHITE | </t>
  </si>
  <si>
    <t xml:space="preserve">CRESPIN | BROWN | </t>
  </si>
  <si>
    <t xml:space="preserve">CRESPIN | SPRING | </t>
  </si>
  <si>
    <t xml:space="preserve">KARLSQUELL | BLOND | </t>
  </si>
  <si>
    <t>KARLSQUELL</t>
  </si>
  <si>
    <t xml:space="preserve">KARLSQUELL | 7_8 | </t>
  </si>
  <si>
    <t>7_8</t>
  </si>
  <si>
    <t xml:space="preserve">KARLSQUELL | PREMIUM | </t>
  </si>
  <si>
    <t xml:space="preserve">KARLSQUELL | 8_6 | </t>
  </si>
  <si>
    <t xml:space="preserve">KARLSQUELL | 10 | </t>
  </si>
  <si>
    <t xml:space="preserve">PELFORTH | BLOND | </t>
  </si>
  <si>
    <t>PELFORTH</t>
  </si>
  <si>
    <t xml:space="preserve">PELFORTH | BROWN | </t>
  </si>
  <si>
    <t xml:space="preserve">PELFORTH | IPA | </t>
  </si>
  <si>
    <t xml:space="preserve">PELFORTH | RADLER | </t>
  </si>
  <si>
    <t xml:space="preserve">PELFORTH | SPRING | </t>
  </si>
  <si>
    <t xml:space="preserve">PELFORTH | AMBREE | </t>
  </si>
  <si>
    <t xml:space="preserve">PELFORTH | GRAPEFRUIT | </t>
  </si>
  <si>
    <t xml:space="preserve">KUSTBIER | WHITE | </t>
  </si>
  <si>
    <t>KUSTBIER</t>
  </si>
  <si>
    <t xml:space="preserve">KUSTBIER | PEACH | </t>
  </si>
  <si>
    <t xml:space="preserve">KUSTBIER | GRENADINE | </t>
  </si>
  <si>
    <t xml:space="preserve">SUPER_BOCK | LAGER | </t>
  </si>
  <si>
    <t xml:space="preserve">SUPER_BOCK | PRETA | </t>
  </si>
  <si>
    <t>PRETA</t>
  </si>
  <si>
    <t xml:space="preserve">SUPER_BOCK | CLASSIC | </t>
  </si>
  <si>
    <t xml:space="preserve">DEL_RIO | CORE | </t>
  </si>
  <si>
    <t xml:space="preserve">SAINT_OMER | BLOND | </t>
  </si>
  <si>
    <t>SAINT_OMER</t>
  </si>
  <si>
    <t xml:space="preserve">SAINT_OMER | 8 | </t>
  </si>
  <si>
    <t xml:space="preserve">SAINT_OMER | 10 | </t>
  </si>
  <si>
    <t xml:space="preserve">SAINT_OMER | 12 | </t>
  </si>
  <si>
    <t xml:space="preserve">SAINT_OMER | 14 | </t>
  </si>
  <si>
    <t>14</t>
  </si>
  <si>
    <t xml:space="preserve">SAINT_OMER | 16 | </t>
  </si>
  <si>
    <t xml:space="preserve">SAINT_OMER | 18 | </t>
  </si>
  <si>
    <t>18</t>
  </si>
  <si>
    <t xml:space="preserve">SAINT_OMER | PANACHE | </t>
  </si>
  <si>
    <t xml:space="preserve">SAINT_OMER | PEACH | </t>
  </si>
  <si>
    <t xml:space="preserve">8_6 | GOLD | </t>
  </si>
  <si>
    <t xml:space="preserve">TRIPLE_PAS_CAP | CORE | </t>
  </si>
  <si>
    <t>TRIPLE_PAS_CAP</t>
  </si>
  <si>
    <t xml:space="preserve">BONNE_PIOCHE | CORE | </t>
  </si>
  <si>
    <t>BONNE_PIOCHE</t>
  </si>
  <si>
    <t xml:space="preserve">BRAUPERLE | PILSNER | </t>
  </si>
  <si>
    <t>BRAUPERLE</t>
  </si>
  <si>
    <t xml:space="preserve">BRAUPERLE | CORE | </t>
  </si>
  <si>
    <t xml:space="preserve">BRAUPERLE | HEFEWEIZEN | </t>
  </si>
  <si>
    <t xml:space="preserve">BRAUPERLE | SCHWARZ | </t>
  </si>
  <si>
    <t>SCHWARZ</t>
  </si>
  <si>
    <t>CELTA | BLOND | ZERO</t>
  </si>
  <si>
    <t>CELTA</t>
  </si>
  <si>
    <t>DESPERADOS | FRESH_BERRY | ZERO</t>
  </si>
  <si>
    <t>FRESH_BERRY</t>
  </si>
  <si>
    <t xml:space="preserve">GRIMBERGEN | PALE_ALE | </t>
  </si>
  <si>
    <t xml:space="preserve">GRIMBERGEN | KRIEK | </t>
  </si>
  <si>
    <t xml:space="preserve">BLONDE_AU_PIMENT_D_ESPELETTE | CORE | </t>
  </si>
  <si>
    <t>BLONDE_AU_PIMENT_D_ESPELETTE</t>
  </si>
  <si>
    <t xml:space="preserve">3_MONTS | HERITAGE_BLONDE | </t>
  </si>
  <si>
    <t>HERITAGE_BLONDE</t>
  </si>
  <si>
    <t xml:space="preserve">3_MONTS | HERITAGE_TRIPLE | </t>
  </si>
  <si>
    <t>HERITAGE_TRIPLE</t>
  </si>
  <si>
    <t xml:space="preserve">PHILTRE_D_AMOUR | MIRA | </t>
  </si>
  <si>
    <t>PHILTRE_D_AMOUR</t>
  </si>
  <si>
    <t xml:space="preserve">MOULINS_D_ASCQ | BLOND | </t>
  </si>
  <si>
    <t>MOULINS_D_ASCQ</t>
  </si>
  <si>
    <t xml:space="preserve">MOULINS_D_ASCQ | TRIPEL | </t>
  </si>
  <si>
    <t xml:space="preserve">MOULINS_D_ASCQ | IPA | </t>
  </si>
  <si>
    <t xml:space="preserve">MOULINS_D_ASCQ | AMBREE | </t>
  </si>
  <si>
    <t xml:space="preserve">MOULINS_D_ASCQ | WHITE | </t>
  </si>
  <si>
    <t xml:space="preserve">MOULINS_D_ASCQ | XMAS | </t>
  </si>
  <si>
    <t xml:space="preserve">MOULINS_D_ASCQ | SUMMER | </t>
  </si>
  <si>
    <t xml:space="preserve">HOUTHAKKER | PALE_ALE | </t>
  </si>
  <si>
    <t>HOUTHAKKER</t>
  </si>
  <si>
    <t xml:space="preserve">HOUTHAKKER | WHITE | </t>
  </si>
  <si>
    <t xml:space="preserve">HOUTHAKKER | SESSION | </t>
  </si>
  <si>
    <t xml:space="preserve">HOUTHAKKER | RED | </t>
  </si>
  <si>
    <t xml:space="preserve">JADE | LAGER | </t>
  </si>
  <si>
    <t>JADE</t>
  </si>
  <si>
    <t xml:space="preserve">JADE | WHITE | </t>
  </si>
  <si>
    <t xml:space="preserve">JADE | HOP | </t>
  </si>
  <si>
    <t xml:space="preserve">JADE | AMBREE | </t>
  </si>
  <si>
    <t xml:space="preserve">KINGS_BRAU | LAGER | </t>
  </si>
  <si>
    <t>KINGS_BRAU</t>
  </si>
  <si>
    <t xml:space="preserve">KINGWOOD | CORE | </t>
  </si>
  <si>
    <t>KINGWOOD</t>
  </si>
  <si>
    <t xml:space="preserve">LBF | SESSION_IPA | </t>
  </si>
  <si>
    <t>LBF</t>
  </si>
  <si>
    <t xml:space="preserve">LBF | BLOND | </t>
  </si>
  <si>
    <t xml:space="preserve">LBF | NEIPA | </t>
  </si>
  <si>
    <t xml:space="preserve">LBF | PALE_ALE | </t>
  </si>
  <si>
    <t xml:space="preserve">LBF | BLANCHE | </t>
  </si>
  <si>
    <t xml:space="preserve">LBF | TRIPEL | </t>
  </si>
  <si>
    <t xml:space="preserve">LBF | IPA | </t>
  </si>
  <si>
    <t xml:space="preserve">LBF | DUBBEL | </t>
  </si>
  <si>
    <t xml:space="preserve">LBF | HOP | </t>
  </si>
  <si>
    <t xml:space="preserve">LBF | IPA_BIO | </t>
  </si>
  <si>
    <t xml:space="preserve">LBF | WINK_CASSIS | </t>
  </si>
  <si>
    <t>WINK_CASSIS</t>
  </si>
  <si>
    <t xml:space="preserve">LA_BIERE_DE_LA_LOSE | CORE | </t>
  </si>
  <si>
    <t>LA_BIERE_DE_LA_LOSE</t>
  </si>
  <si>
    <t xml:space="preserve">LICORNE | BLACK | </t>
  </si>
  <si>
    <t>LICORNE</t>
  </si>
  <si>
    <t xml:space="preserve">L_ANGELUS | TRIPEL_HOP | </t>
  </si>
  <si>
    <t xml:space="preserve">L_ANGELUS | TRIPEL | </t>
  </si>
  <si>
    <t xml:space="preserve">FLYING_FISH | LEMON | </t>
  </si>
  <si>
    <t>FLYING_FISH</t>
  </si>
  <si>
    <t xml:space="preserve">PAGE_24 | BLOND | </t>
  </si>
  <si>
    <t>PAGE_24</t>
  </si>
  <si>
    <t xml:space="preserve">PELICAN | ROUGE | </t>
  </si>
  <si>
    <t xml:space="preserve">RINCE_COCHON | CORE | </t>
  </si>
  <si>
    <t xml:space="preserve">RINCE_COCHON | ROUGE | </t>
  </si>
  <si>
    <t xml:space="preserve">RINCE_COCHON | CUVEE | </t>
  </si>
  <si>
    <t xml:space="preserve">RINCE_COCHON | WHISKY | </t>
  </si>
  <si>
    <t>WHISKY</t>
  </si>
  <si>
    <t xml:space="preserve">RINCE_COCHON | TRIPEL | </t>
  </si>
  <si>
    <t xml:space="preserve">SEPTANTE_5 | BLOND | </t>
  </si>
  <si>
    <t>SEPTANTE_5</t>
  </si>
  <si>
    <t xml:space="preserve">SEPTANTE_5 | AMBREE | </t>
  </si>
  <si>
    <t xml:space="preserve">SEPTANTE_5 | WHITE | </t>
  </si>
  <si>
    <t xml:space="preserve">SKOLL | AGRUM | </t>
  </si>
  <si>
    <t>SKOLL</t>
  </si>
  <si>
    <t>AGRUM</t>
  </si>
  <si>
    <t xml:space="preserve">SKOLL | APPLE | </t>
  </si>
  <si>
    <t xml:space="preserve">SKOLL | GINGER | </t>
  </si>
  <si>
    <t xml:space="preserve">SKOLL | BERRY | </t>
  </si>
  <si>
    <t xml:space="preserve">RASTE_TROLLS | CORE | </t>
  </si>
  <si>
    <t>RASTE_TROLLS</t>
  </si>
  <si>
    <t xml:space="preserve">VIEUX_LILLE | TRIPEL | </t>
  </si>
  <si>
    <t>VIEUX_LILLE</t>
  </si>
  <si>
    <t xml:space="preserve">VIEUX_LILLE | ROUGE | </t>
  </si>
  <si>
    <t>CHERRY;ROUGE</t>
  </si>
  <si>
    <t xml:space="preserve">VIEUX_LILLE | TRIPEL_ROUSSE | </t>
  </si>
  <si>
    <t>TRIPEL_ROUSSE</t>
  </si>
  <si>
    <t xml:space="preserve">VIEUX_LILLE | TRIPEL_BROWN | </t>
  </si>
  <si>
    <t xml:space="preserve">VIEUX_LILLE | Winter Ale | </t>
  </si>
  <si>
    <t xml:space="preserve">WAMBRECHI | CORE | </t>
  </si>
  <si>
    <t>WAMBRECHI</t>
  </si>
  <si>
    <t>ASAHI | CORE | ZERO</t>
  </si>
  <si>
    <t xml:space="preserve">VOLCELEST | BLOND | </t>
  </si>
  <si>
    <t xml:space="preserve">VOLCELEST | AMBREE | </t>
  </si>
  <si>
    <t xml:space="preserve">VOLCELEST | TRIPEL | </t>
  </si>
  <si>
    <t xml:space="preserve">VOLCELEST | IPA | </t>
  </si>
  <si>
    <t xml:space="preserve">VOLCELEST | PALE_ALE | </t>
  </si>
  <si>
    <t xml:space="preserve">VOLCELEST | XMAS | </t>
  </si>
  <si>
    <t xml:space="preserve">VOLCELEST | SPRING | </t>
  </si>
  <si>
    <t xml:space="preserve">VOLCELEST | SESSION_IPA | </t>
  </si>
  <si>
    <t xml:space="preserve">VOLCELEST | IMPERIAL | </t>
  </si>
  <si>
    <t xml:space="preserve">VOLCELEST | WHITE | </t>
  </si>
  <si>
    <t xml:space="preserve">BICLOU | IPA | </t>
  </si>
  <si>
    <t>BICLOU</t>
  </si>
  <si>
    <t xml:space="preserve">BICLOU | BLOND | </t>
  </si>
  <si>
    <t xml:space="preserve">BICLOU | TRIPEL | </t>
  </si>
  <si>
    <t xml:space="preserve">BICLOU | AMBREE | </t>
  </si>
  <si>
    <t xml:space="preserve">BICLOU | WHITE | </t>
  </si>
  <si>
    <t xml:space="preserve">BICLOU | XMAS | </t>
  </si>
  <si>
    <t xml:space="preserve">BICLOU | SUMMER | </t>
  </si>
  <si>
    <t>BICLOU | CORE | ZERO</t>
  </si>
  <si>
    <t xml:space="preserve">BICLOU | SPRING | </t>
  </si>
  <si>
    <t xml:space="preserve">MOULINS_D_ASCQ | BROWN | </t>
  </si>
  <si>
    <t xml:space="preserve">LA_BALEINE | LA_LUCITE | </t>
  </si>
  <si>
    <t>LA_BALEINE</t>
  </si>
  <si>
    <t>LUCITE</t>
  </si>
  <si>
    <t>LA_LUCITE</t>
  </si>
  <si>
    <t xml:space="preserve">LA_BALEINE | L_ARRACHE_CŒUR | </t>
  </si>
  <si>
    <t>ARRACHE</t>
  </si>
  <si>
    <t>L_ARRACHE_CŒUR</t>
  </si>
  <si>
    <t xml:space="preserve">LA_BALEINE | LA_PHARE | </t>
  </si>
  <si>
    <t>PHARE</t>
  </si>
  <si>
    <t>LA_PHARE</t>
  </si>
  <si>
    <t xml:space="preserve">LA_BALEINE | LA_PICARO | </t>
  </si>
  <si>
    <t>PICARO</t>
  </si>
  <si>
    <t>LA_PICARO</t>
  </si>
  <si>
    <t xml:space="preserve">LA_BALEINE | LA_GITANE | </t>
  </si>
  <si>
    <t>GITANE</t>
  </si>
  <si>
    <t>LA_GITANE</t>
  </si>
  <si>
    <t xml:space="preserve">OX | IPA | </t>
  </si>
  <si>
    <t>OX</t>
  </si>
  <si>
    <t xml:space="preserve">OX | DOUBLE_IPA | </t>
  </si>
  <si>
    <t xml:space="preserve">OX | BLOND | </t>
  </si>
  <si>
    <t xml:space="preserve">OX | NEIPA | </t>
  </si>
  <si>
    <t xml:space="preserve">OX | WHITE | </t>
  </si>
  <si>
    <t xml:space="preserve">OX | AMBREE | </t>
  </si>
  <si>
    <t xml:space="preserve">OX | TRIPEL | </t>
  </si>
  <si>
    <t xml:space="preserve">OX | SABRO | </t>
  </si>
  <si>
    <t xml:space="preserve">OX | LAGER | </t>
  </si>
  <si>
    <t xml:space="preserve">SIMCOE_SMASH | CORE | </t>
  </si>
  <si>
    <t>SIMCOE_SMASH</t>
  </si>
  <si>
    <t xml:space="preserve">OX | SPRING | </t>
  </si>
  <si>
    <t xml:space="preserve">OX | BROWN | </t>
  </si>
  <si>
    <t xml:space="preserve">BRIARDE | BLOND | </t>
  </si>
  <si>
    <t>BRIARDE</t>
  </si>
  <si>
    <t xml:space="preserve">BRIARDE | AMBREE | </t>
  </si>
  <si>
    <t xml:space="preserve">BRIARDE | IPA | </t>
  </si>
  <si>
    <t xml:space="preserve">BRIARDE | WHITE | </t>
  </si>
  <si>
    <t xml:space="preserve">BRIARDE | SAISON | </t>
  </si>
  <si>
    <t xml:space="preserve">BRIARDE | SESSION_PALE_ALE | </t>
  </si>
  <si>
    <t xml:space="preserve">BRIARDE | STOUT | </t>
  </si>
  <si>
    <t xml:space="preserve">BRIARDE | COQUELICOT | </t>
  </si>
  <si>
    <t>COQUELICOT</t>
  </si>
  <si>
    <t xml:space="preserve">BRIARDE | TRIPEL_HONEY | </t>
  </si>
  <si>
    <t>TRIPEL_HONEY</t>
  </si>
  <si>
    <t xml:space="preserve">BRIARDE | MANGUE | </t>
  </si>
  <si>
    <t>MANGUE</t>
  </si>
  <si>
    <t xml:space="preserve">BRIARDE | XMAS | </t>
  </si>
  <si>
    <t xml:space="preserve">COCOMIETTE | IPA | </t>
  </si>
  <si>
    <t>COCOMIETTE</t>
  </si>
  <si>
    <t xml:space="preserve">COCOMIETTE | BLOND | </t>
  </si>
  <si>
    <t xml:space="preserve">COCOMIETTE | ROUSSE | </t>
  </si>
  <si>
    <t xml:space="preserve">COCOMIETTE | BLANCHE | </t>
  </si>
  <si>
    <t xml:space="preserve">COCOMIETTE | MICROCLIMAT | </t>
  </si>
  <si>
    <t>MICROCLIMAT</t>
  </si>
  <si>
    <t xml:space="preserve">COCOMIETTE | EMPREINTE | </t>
  </si>
  <si>
    <t>EMPREINTE</t>
  </si>
  <si>
    <t xml:space="preserve">DECK_DONOHUE | INDIGO_IPA | </t>
  </si>
  <si>
    <t>DECK_DONOHUE</t>
  </si>
  <si>
    <t>INDIGO;CORE</t>
  </si>
  <si>
    <t>INDIGO_IPA</t>
  </si>
  <si>
    <t xml:space="preserve">DECK_DONOHUE | MISSION_PALE_ALE | </t>
  </si>
  <si>
    <t>MISSION</t>
  </si>
  <si>
    <t>MISSION_PALE_ALE</t>
  </si>
  <si>
    <t xml:space="preserve">DECK_DONOHUE | TROUBLE_6 | </t>
  </si>
  <si>
    <t>TROUBLE_6</t>
  </si>
  <si>
    <t xml:space="preserve">DECK_DONOHUE | D_PILSNER | </t>
  </si>
  <si>
    <t>D_PILSNER</t>
  </si>
  <si>
    <t xml:space="preserve">DECK_DONOHUE | MONK | </t>
  </si>
  <si>
    <t xml:space="preserve">DECK_DONOHUE | CLEM_S_SUMMER_WHEAT | </t>
  </si>
  <si>
    <t>CLEM</t>
  </si>
  <si>
    <t>CLEM_S_SUMMER_WHEAT</t>
  </si>
  <si>
    <t xml:space="preserve">DECK_DONOHUE | RICOCHET | </t>
  </si>
  <si>
    <t>RICOCHET</t>
  </si>
  <si>
    <t xml:space="preserve">DECK_DONOHUE | MAKKURO_EXTRA_PORTER | </t>
  </si>
  <si>
    <t>MAKKURO</t>
  </si>
  <si>
    <t>MAKKURO_EXTRA_PORTER</t>
  </si>
  <si>
    <t xml:space="preserve">DECK_DONOHUE | BRUMAIRE_ET_FRIMAIRE | </t>
  </si>
  <si>
    <t>BRUMAIRE</t>
  </si>
  <si>
    <t>BRUMAIRE_ET_FRIMAIRE</t>
  </si>
  <si>
    <t xml:space="preserve">DECK_DONOHUE | BEAUPRE_SPRING_PALE | </t>
  </si>
  <si>
    <t>BEAUPRE</t>
  </si>
  <si>
    <t>BEAUPRE_SPRING_PALE</t>
  </si>
  <si>
    <t xml:space="preserve">DECK_DONOHUE | L_AUBE | </t>
  </si>
  <si>
    <t>AUBE</t>
  </si>
  <si>
    <t>L_AUBE</t>
  </si>
  <si>
    <t xml:space="preserve">DECK_DONOHUE | HOPPY_SOUR_SAISON | </t>
  </si>
  <si>
    <t>HOPPY_SOUR_SAISON</t>
  </si>
  <si>
    <t xml:space="preserve">DECK_DONOHUE | SUMMER_OF_HOPS_GOLDEN_IPA | </t>
  </si>
  <si>
    <t>SUMMER_OF_HOPS_GOLDEN_IPA</t>
  </si>
  <si>
    <t xml:space="preserve">DECK_DONOHUE | LE_CHANT_DES_VAGUES | </t>
  </si>
  <si>
    <t>CHANT</t>
  </si>
  <si>
    <t>LE_CHANT_DES_VAGUES</t>
  </si>
  <si>
    <t xml:space="preserve">DECK_DONOHUE | BAO_B | </t>
  </si>
  <si>
    <t>BAO_B</t>
  </si>
  <si>
    <t xml:space="preserve">DECK_DONOHUE | ANNIVERSARY_STRONG_IPA | </t>
  </si>
  <si>
    <t>ANNIVERSARY_STRONG_IPA</t>
  </si>
  <si>
    <t xml:space="preserve">DECK_DONOHUE | HUGS_HOPS | </t>
  </si>
  <si>
    <t>HUGS_HOPS</t>
  </si>
  <si>
    <t xml:space="preserve">DECK_DONOHUE | EL_PLACER_DE_LA_PLAYA | </t>
  </si>
  <si>
    <t>EL_PLACER_DE_LA_PLAYA</t>
  </si>
  <si>
    <t xml:space="preserve">DECK_DONOHUE | 5_ANS_-_BELLEVILLE | </t>
  </si>
  <si>
    <t>5_ANS_-_BELLEVILLE</t>
  </si>
  <si>
    <t xml:space="preserve">DECK_DONOHUE | DECK,_PERLE,_DONOHUE_MAIBOCK | </t>
  </si>
  <si>
    <t>DECK,_PERLE,_DONOHUE_MAIBOCK</t>
  </si>
  <si>
    <t xml:space="preserve">DECK_DONOHUE | QUIXOTIC | </t>
  </si>
  <si>
    <t>QUIXOTIC</t>
  </si>
  <si>
    <t xml:space="preserve">DECK_DONOHUE | SUMMER_OF_HOPS_INDIA_DARK_ALE | </t>
  </si>
  <si>
    <t>SUMMER_OF_HOPS_INDIA_DARK_ALE</t>
  </si>
  <si>
    <t xml:space="preserve">DECK_DONOHUE | MAKKURO_EXTRA_EXTRA_PORTER | </t>
  </si>
  <si>
    <t>MAKKURO_EXTRA_EXTRA_PORTER</t>
  </si>
  <si>
    <t xml:space="preserve">PANAME | EAST_PARIS_ALE | </t>
  </si>
  <si>
    <t>PANAME</t>
  </si>
  <si>
    <t>EAST_PARIS_ALE</t>
  </si>
  <si>
    <t xml:space="preserve">PANAME | EAST_PARIS_-_LAGER | </t>
  </si>
  <si>
    <t>EAST_PARIS_-_LAGER</t>
  </si>
  <si>
    <t xml:space="preserve">ERNESTINE | ERNESTINE | </t>
  </si>
  <si>
    <t>ERNESTINE</t>
  </si>
  <si>
    <t xml:space="preserve">LA_BIERE_DE_LA_LOSE | LA_BIERE_DE_LA_LOSE | </t>
  </si>
  <si>
    <t xml:space="preserve">HUBSTER | HOP_SIDE | </t>
  </si>
  <si>
    <t>HUBSTER</t>
  </si>
  <si>
    <t>HOP_SIDE</t>
  </si>
  <si>
    <t xml:space="preserve">HUBSTER | JUICY_RIDE | </t>
  </si>
  <si>
    <t>JUICY_RIDE</t>
  </si>
  <si>
    <t xml:space="preserve">HUBSTER | UP_TOWN | </t>
  </si>
  <si>
    <t>UP_TOWN</t>
  </si>
  <si>
    <t xml:space="preserve">HUBSTER | VICE_HOOD | </t>
  </si>
  <si>
    <t>VICE_HOOD</t>
  </si>
  <si>
    <t xml:space="preserve">HUBSTER | HEAVY_DUTY | </t>
  </si>
  <si>
    <t>HEAVY_DUTY</t>
  </si>
  <si>
    <t xml:space="preserve">HUBSTER | CANDY_KICK | </t>
  </si>
  <si>
    <t>CANDY_KICK</t>
  </si>
  <si>
    <t xml:space="preserve">HUBSTER | BERRY_BLISS | </t>
  </si>
  <si>
    <t>BERRY_BLISS</t>
  </si>
  <si>
    <t xml:space="preserve">HUBSTER | HUBSTER_NEIPA | </t>
  </si>
  <si>
    <t>HUBSTER_NEIPA</t>
  </si>
  <si>
    <t xml:space="preserve">HUBSTER | BLONDE | </t>
  </si>
  <si>
    <t xml:space="preserve">HUBSTER | HOBSIDE_HUBSTER | </t>
  </si>
  <si>
    <t>HOBSIDE_HUBSTER</t>
  </si>
  <si>
    <t>JADE_BIERE_BIOLOGIQUE</t>
  </si>
  <si>
    <t>JADE_SANS_GLUTEN</t>
  </si>
  <si>
    <t>JADE_BLANCHE_BIERE_BIOLOGIQUE</t>
  </si>
  <si>
    <t>JADE_GRENADE</t>
  </si>
  <si>
    <t>JADE_HOPPY_BLONDE</t>
  </si>
  <si>
    <t>JADE_AMBREE</t>
  </si>
  <si>
    <t>JADE_BLONDE_SANS_ALCOOL</t>
  </si>
  <si>
    <t>JADE_HOPE</t>
  </si>
  <si>
    <t>JADE_FRENCH_FARMHOUSE_ALE</t>
  </si>
  <si>
    <t>JADE_CITRON_GINGEMBRE_SANS_ALCOOL</t>
  </si>
  <si>
    <t>KELLEGEN</t>
  </si>
  <si>
    <t>KELLEGEN_BIERE_BLONDE_PUR_MALT</t>
  </si>
  <si>
    <t>KELLEGEN_EXTRA_FORTE</t>
  </si>
  <si>
    <t>KELLEGEN_PRESTIGE</t>
  </si>
  <si>
    <t>KELLEGEN_BIERE_BLONDE_PUR_MALT_BIO_SANS_GLUTEN</t>
  </si>
  <si>
    <t>KELLEGEN_SANS_ALCOOL</t>
  </si>
  <si>
    <t>KELLEGEN_BLANCHE</t>
  </si>
  <si>
    <t xml:space="preserve">CADETTE | LA_CADETTE | </t>
  </si>
  <si>
    <t>CADETTE</t>
  </si>
  <si>
    <t>LA_CADETTE</t>
  </si>
  <si>
    <t>LA_CADETTE_IPA</t>
  </si>
  <si>
    <t>LA_CADETTE_SUPER_NOVA_NEIPA</t>
  </si>
  <si>
    <t>LA_CADETTE_BIO_BIERE_PUR_MALT_BLONDE</t>
  </si>
  <si>
    <t>LA_CADETTE_TROPICAL_BLAST</t>
  </si>
  <si>
    <t>LA_CADETTE_BIO_BIERE_BLONDE_SANS_ALCOOL</t>
  </si>
  <si>
    <t xml:space="preserve">CHAPELLE | LA_CHAPELLE | </t>
  </si>
  <si>
    <t>LA_CHAPELLE</t>
  </si>
  <si>
    <t xml:space="preserve">PARISIENNE | BLONDE | </t>
  </si>
  <si>
    <t>PARISIENNE</t>
  </si>
  <si>
    <t xml:space="preserve">PARISIENNE | LE_TITI_PARISIEN | </t>
  </si>
  <si>
    <t>LE_TITI_PARISIEN</t>
  </si>
  <si>
    <t xml:space="preserve">PARISIENNE | IPA | </t>
  </si>
  <si>
    <t xml:space="preserve">PARISIENNE | BLANCHE | </t>
  </si>
  <si>
    <t xml:space="preserve">PARISIENNE | ROUSSE | </t>
  </si>
  <si>
    <t xml:space="preserve">PARISIENNE | BRUNE | </t>
  </si>
  <si>
    <t xml:space="preserve">PARISIENNE | LIBEREE | </t>
  </si>
  <si>
    <t>LIBEREE</t>
  </si>
  <si>
    <t xml:space="preserve">PARISIENNE | IMPERATRICE_JOSEPHINE | </t>
  </si>
  <si>
    <t>IMPERATRICE_JOSEPHINE</t>
  </si>
  <si>
    <t xml:space="preserve">PARISIENNE | PARIS–BOSTON_-_NEIPA | </t>
  </si>
  <si>
    <t>PARIS–BOSTON_-_NEIPA</t>
  </si>
  <si>
    <t xml:space="preserve">PARISIENNE | NORFOLK–PARIS–KYIV | </t>
  </si>
  <si>
    <t>NORFOLK</t>
  </si>
  <si>
    <t>NORFOLK–PARIS–KYIV</t>
  </si>
  <si>
    <t xml:space="preserve">PARISIENNE | L_APACHE_4.0 | </t>
  </si>
  <si>
    <t>APACHE</t>
  </si>
  <si>
    <t>L_APACHE_4.0</t>
  </si>
  <si>
    <t xml:space="preserve">PARISIENNE | PILS | </t>
  </si>
  <si>
    <t>PILS</t>
  </si>
  <si>
    <t xml:space="preserve">PARISIENNE | AMBER | </t>
  </si>
  <si>
    <t xml:space="preserve">PARISIENNE | LE_LASCAR | </t>
  </si>
  <si>
    <t>LASCAR</t>
  </si>
  <si>
    <t>LE_LASCAR</t>
  </si>
  <si>
    <t xml:space="preserve">PARISIENNE | LA_BOURG | </t>
  </si>
  <si>
    <t>BOURG</t>
  </si>
  <si>
    <t>LA_BOURG</t>
  </si>
  <si>
    <t xml:space="preserve">PARISIENNE | WHITE | </t>
  </si>
  <si>
    <t>PARISIENNE | IPA | ZERO</t>
  </si>
  <si>
    <t>INDIA_PALE_ALE_SANS_ALCOOL</t>
  </si>
  <si>
    <t xml:space="preserve">PARISIENNE | TRIPEL | </t>
  </si>
  <si>
    <t>TRIPLE</t>
  </si>
  <si>
    <t>PARISIENNE | PALE_ALE | ZERO</t>
  </si>
  <si>
    <t>BLONDE_PALE_ALE_SANS_ALCOOL</t>
  </si>
  <si>
    <t xml:space="preserve">PARISIENNE | SESSION | </t>
  </si>
  <si>
    <t>SESSION_START</t>
  </si>
  <si>
    <t xml:space="preserve">DE_LA_PLAINE | HOP | </t>
  </si>
  <si>
    <t>DE_LA_PLAINE</t>
  </si>
  <si>
    <t xml:space="preserve">DE_LA_PLAINE | IPA | </t>
  </si>
  <si>
    <t xml:space="preserve">DE_LA_PLAINE | BLOND | </t>
  </si>
  <si>
    <t xml:space="preserve">DE_LA_PLAINE | AMBREE | </t>
  </si>
  <si>
    <t xml:space="preserve">DE_LA_PLAINE | WHITE | </t>
  </si>
  <si>
    <t xml:space="preserve">DE_LA_PLAINE | VIOLET | </t>
  </si>
  <si>
    <t xml:space="preserve">L_OFFICIELLE | BLOND | </t>
  </si>
  <si>
    <t>L_OFFICIELLE</t>
  </si>
  <si>
    <t xml:space="preserve">L_OFFICIELLE | IPA | </t>
  </si>
  <si>
    <t xml:space="preserve">L_OFFICIELLE | WHITE | </t>
  </si>
  <si>
    <t xml:space="preserve">L_OFFICIELLE | PALE_ALE | </t>
  </si>
  <si>
    <t xml:space="preserve">MADEMOISELLE_VERSAILLES | CORE | </t>
  </si>
  <si>
    <t>MADEMOISELLE_VERSAILLES</t>
  </si>
  <si>
    <t xml:space="preserve">FISCHER | MERIDA | </t>
  </si>
  <si>
    <t>MERIDA</t>
  </si>
  <si>
    <t xml:space="preserve">MONOPRIX_X_BRIARDE | IPA | </t>
  </si>
  <si>
    <t>MONOPRIX_X_BRIARDE</t>
  </si>
  <si>
    <t xml:space="preserve">MONOPRIX_X_BRIARDE | BLOND | </t>
  </si>
  <si>
    <t xml:space="preserve">MONOPRIX_X_BRIARDE | WHITE | </t>
  </si>
  <si>
    <t xml:space="preserve">MONOPRIX_X_BRIARDE | PALE_ALE | </t>
  </si>
  <si>
    <t xml:space="preserve">MYRHA | MYRHA | </t>
  </si>
  <si>
    <t>MYRHA</t>
  </si>
  <si>
    <t xml:space="preserve">TOTAL_DOMINATION | TOTAL_DOMINATION | </t>
  </si>
  <si>
    <t>TOTAL_DOMINATION</t>
  </si>
  <si>
    <t xml:space="preserve">NINKASI | TRICERAHOPS | </t>
  </si>
  <si>
    <t>NINKASI</t>
  </si>
  <si>
    <t>TRICERA</t>
  </si>
  <si>
    <t>TRICERAHOPS</t>
  </si>
  <si>
    <t xml:space="preserve">NINKASI | DAWN_OF_THE_RED | </t>
  </si>
  <si>
    <t>DAWN</t>
  </si>
  <si>
    <t>DAWN_OF_THE_RED</t>
  </si>
  <si>
    <t xml:space="preserve">NINKASI | SLEIGH_R | </t>
  </si>
  <si>
    <t>SLEIGH</t>
  </si>
  <si>
    <t>SLEIGH_R</t>
  </si>
  <si>
    <t xml:space="preserve">NINKASI | MAIDEN_THE_SHADE | </t>
  </si>
  <si>
    <t>MAIDEN</t>
  </si>
  <si>
    <t>MAIDEN_THE_SHADE</t>
  </si>
  <si>
    <t xml:space="preserve">NINKASI | PRISMATIC | </t>
  </si>
  <si>
    <t>PRISMATIC</t>
  </si>
  <si>
    <t xml:space="preserve">NINKASI | OATIS | </t>
  </si>
  <si>
    <t>OATIS</t>
  </si>
  <si>
    <t xml:space="preserve">NINKASI | HOP_COOLER | </t>
  </si>
  <si>
    <t>COOLER</t>
  </si>
  <si>
    <t>HOP_COOLER</t>
  </si>
  <si>
    <t xml:space="preserve">NINKASI | BELIEVER | </t>
  </si>
  <si>
    <t>BELIEVER</t>
  </si>
  <si>
    <t xml:space="preserve">NINKASI | NINKASI_FRENCH_IPA | </t>
  </si>
  <si>
    <t>NINKASI_FRENCH_IPA</t>
  </si>
  <si>
    <t xml:space="preserve">NINKASI | PACIFIC_RAIN | </t>
  </si>
  <si>
    <t>RAIN</t>
  </si>
  <si>
    <t>PACIFIC_RAIN</t>
  </si>
  <si>
    <t xml:space="preserve">NINKASI | GROUND_CONTROL | </t>
  </si>
  <si>
    <t>GROUND_CONTROL</t>
  </si>
  <si>
    <t xml:space="preserve">NINKASI | HELLES_BELLES | </t>
  </si>
  <si>
    <t>HELLES_BELLES</t>
  </si>
  <si>
    <t xml:space="preserve">NINKASI | BEER_RUN | </t>
  </si>
  <si>
    <t>RUN</t>
  </si>
  <si>
    <t>BEER_RUN</t>
  </si>
  <si>
    <t xml:space="preserve">NINKASI | VELOCIHOPTOR | </t>
  </si>
  <si>
    <t>VELOCIHOPTOR</t>
  </si>
  <si>
    <t xml:space="preserve">NINKASI | MEGALODOM | </t>
  </si>
  <si>
    <t>MEGALODOM</t>
  </si>
  <si>
    <t xml:space="preserve">NINKASI | BARREL | </t>
  </si>
  <si>
    <t xml:space="preserve">NINKASI | WHITE | </t>
  </si>
  <si>
    <t xml:space="preserve">NINKASI | TRIPEL | </t>
  </si>
  <si>
    <t xml:space="preserve">NINKASI | BLOND | </t>
  </si>
  <si>
    <t xml:space="preserve">NINKASI | FIRST_RULE | </t>
  </si>
  <si>
    <t>FIRST</t>
  </si>
  <si>
    <t>FIRST_RULE</t>
  </si>
  <si>
    <t xml:space="preserve">NINKASI | FLOWER | </t>
  </si>
  <si>
    <t>FLOWER</t>
  </si>
  <si>
    <t xml:space="preserve">ORBITAL | NEIPA | </t>
  </si>
  <si>
    <t xml:space="preserve">ORBITAL | HAZY_RED | </t>
  </si>
  <si>
    <t>HAZY_RED</t>
  </si>
  <si>
    <t xml:space="preserve">ORBITAL | NOVA | </t>
  </si>
  <si>
    <t xml:space="preserve">ORBITAL | TITAN | </t>
  </si>
  <si>
    <t>TITAN</t>
  </si>
  <si>
    <t xml:space="preserve">PANAME | BARGE_DU_CANAL | </t>
  </si>
  <si>
    <t>CANAL</t>
  </si>
  <si>
    <t>BARGE_DU_CANAL</t>
  </si>
  <si>
    <t xml:space="preserve">PANAME | ŒIL_DE_BICHE | </t>
  </si>
  <si>
    <t>BICHE</t>
  </si>
  <si>
    <t>ŒIL_DE_BICHE</t>
  </si>
  <si>
    <t xml:space="preserve">PANAME | CASQUE_D_OR | </t>
  </si>
  <si>
    <t>CASQUE</t>
  </si>
  <si>
    <t>PARIS</t>
  </si>
  <si>
    <t xml:space="preserve">PANAME | DOUBLEMENT_BARGE | </t>
  </si>
  <si>
    <t>DOUBLEMENT</t>
  </si>
  <si>
    <t>DOUBLEMENT_BARGE</t>
  </si>
  <si>
    <t xml:space="preserve">PANAME | DANSE_APACHE | </t>
  </si>
  <si>
    <t>DANSE_APACHE</t>
  </si>
  <si>
    <t xml:space="preserve">PANAME | LA_GOULUE | </t>
  </si>
  <si>
    <t>GOULUE</t>
  </si>
  <si>
    <t>LA_GOULUE</t>
  </si>
  <si>
    <t xml:space="preserve">PANAME | L_ARME_BLANCHE | </t>
  </si>
  <si>
    <t>L_ARME_BLANCHE</t>
  </si>
  <si>
    <t xml:space="preserve">PANAME | PHENIX_DE_PANTIN | </t>
  </si>
  <si>
    <t>PHENIX</t>
  </si>
  <si>
    <t>PHENIX_DE_PANTIN</t>
  </si>
  <si>
    <t xml:space="preserve">PANAME | LOUISE_LA_REBELLE | </t>
  </si>
  <si>
    <t>REBELLE</t>
  </si>
  <si>
    <t>LOUISE_LA_REBELLE</t>
  </si>
  <si>
    <t xml:space="preserve">PANAME | LE_SURIN | </t>
  </si>
  <si>
    <t>SURIN</t>
  </si>
  <si>
    <t>LE_SURIN</t>
  </si>
  <si>
    <t xml:space="preserve">PANAME | DJANGO | </t>
  </si>
  <si>
    <t>DJANGO</t>
  </si>
  <si>
    <t xml:space="preserve">PANAME | PESCA_POINT | </t>
  </si>
  <si>
    <t>PESCA</t>
  </si>
  <si>
    <t>PESCA_POINT</t>
  </si>
  <si>
    <t xml:space="preserve">PANAME | PEATED_LAGER | </t>
  </si>
  <si>
    <t>PEATED</t>
  </si>
  <si>
    <t>PEATED_LAGER</t>
  </si>
  <si>
    <t xml:space="preserve">PANAME | DANGEROUS_LIAISONS | </t>
  </si>
  <si>
    <t>DANGEROUS</t>
  </si>
  <si>
    <t>DANGEROUS_LIAISONS</t>
  </si>
  <si>
    <t xml:space="preserve">PANAME | MIDNIGHT_ESPRESSO_-_PASTRY_BROWN_ALE_:_COFFEE_AND_HAZELNUT | </t>
  </si>
  <si>
    <t>MIDNIGHT</t>
  </si>
  <si>
    <t>MIDNIGHT_ESPRESSO_-_PASTRY_BROWN_ALE_:_COFFEE_AND_HAZELNUT</t>
  </si>
  <si>
    <t xml:space="preserve">PANAME | SMASH | </t>
  </si>
  <si>
    <t xml:space="preserve">PANAME | VERITE | </t>
  </si>
  <si>
    <t>VERITE</t>
  </si>
  <si>
    <t xml:space="preserve">PANAME | CASTAFIORE | </t>
  </si>
  <si>
    <t>CASTAFIORE</t>
  </si>
  <si>
    <t xml:space="preserve">PANAME | ILLUSION | </t>
  </si>
  <si>
    <t>ILLUSION</t>
  </si>
  <si>
    <t xml:space="preserve">PANAME | ODIN | </t>
  </si>
  <si>
    <t>ODIN</t>
  </si>
  <si>
    <t xml:space="preserve">PANAME | TRUITE_VOLANTE | </t>
  </si>
  <si>
    <t>TRUITE</t>
  </si>
  <si>
    <t>TRUITE_VOLANTE</t>
  </si>
  <si>
    <t xml:space="preserve">PARISIS | BLONDE | </t>
  </si>
  <si>
    <t>PARISIS</t>
  </si>
  <si>
    <t xml:space="preserve">PARISIS | IPARISIS | </t>
  </si>
  <si>
    <t>IPARISIS</t>
  </si>
  <si>
    <t xml:space="preserve">PARISIS | AMBREE | </t>
  </si>
  <si>
    <t xml:space="preserve">PARISIS | PSYCHOTIC_PALE_ALE | </t>
  </si>
  <si>
    <t>PSYCHOTIC</t>
  </si>
  <si>
    <t>PSYCHOTIC_PALE_ALE</t>
  </si>
  <si>
    <t xml:space="preserve">PARISIS | BLANCHE | </t>
  </si>
  <si>
    <t xml:space="preserve">PARISIS | IPA_SOUS_SENART | </t>
  </si>
  <si>
    <t>IPA_SOUS_SENART</t>
  </si>
  <si>
    <t xml:space="preserve">PARISIS | HOP_SAVE_THE_QUEEN | </t>
  </si>
  <si>
    <t>HOP_SAVE_THE_QUEEN</t>
  </si>
  <si>
    <t xml:space="preserve">PARISIS | SMASH_1_CENTENNIAL | </t>
  </si>
  <si>
    <t>SMASH_1_CENTENNIAL</t>
  </si>
  <si>
    <t xml:space="preserve">PARISIS | MORTAL_KAWA | </t>
  </si>
  <si>
    <t>MORTAL</t>
  </si>
  <si>
    <t>MORTAL_KAWA</t>
  </si>
  <si>
    <t xml:space="preserve">PARISIS | XMAS | </t>
  </si>
  <si>
    <t xml:space="preserve">PARISIS | SPRING | </t>
  </si>
  <si>
    <t xml:space="preserve">PARISIS | SMASH_4_MOSAIC | </t>
  </si>
  <si>
    <t>SMASH_4_MOSAIC</t>
  </si>
  <si>
    <t xml:space="preserve">PARISIS | SMASH_2_AMARILLO | </t>
  </si>
  <si>
    <t>SMASH_2_AMARILLO</t>
  </si>
  <si>
    <t xml:space="preserve">PARISIS | BERRY_BAD_TRIPLE | </t>
  </si>
  <si>
    <t>BERRY_BAD_TRIPLE</t>
  </si>
  <si>
    <t xml:space="preserve">PARISIS | IPA_SOUS_SENART_BARRIQUE_SAUVIGNON_BLANC | </t>
  </si>
  <si>
    <t>IPA_SOUS_SENART_BARRIQUE_SAUVIGNON_BLANC</t>
  </si>
  <si>
    <t xml:space="preserve">PARISIS | SMASH_3_SIMCOE | </t>
  </si>
  <si>
    <t>SMASH_3_SIMCOE</t>
  </si>
  <si>
    <t xml:space="preserve">PARISIS | LA_NEIPA_LA_QUESTION | </t>
  </si>
  <si>
    <t>LA_NEIPA_LA_QUESTION</t>
  </si>
  <si>
    <t xml:space="preserve">PARISIS | TRIPEL | </t>
  </si>
  <si>
    <t xml:space="preserve">PARISIS | SUPERSAAZME | </t>
  </si>
  <si>
    <t>SUPERSAAZME</t>
  </si>
  <si>
    <t xml:space="preserve">PARISIS | SMASH_5_CASCADE | </t>
  </si>
  <si>
    <t>SMASH_5_CASCADE</t>
  </si>
  <si>
    <t xml:space="preserve">PARISIS | INDUSTRIE_ALE | </t>
  </si>
  <si>
    <t>INDUSTRIE</t>
  </si>
  <si>
    <t>INDUSTRIE_ALE</t>
  </si>
  <si>
    <t xml:space="preserve">PARISIS | PARISIS24 | </t>
  </si>
  <si>
    <t>PARISIS24</t>
  </si>
  <si>
    <t xml:space="preserve">PARISIS | LA_BIERE_DES_CHAMPS | </t>
  </si>
  <si>
    <t>CHAMPS</t>
  </si>
  <si>
    <t>LA_BIERE_DES_CHAMPS</t>
  </si>
  <si>
    <t xml:space="preserve">VENUS | CORE | </t>
  </si>
  <si>
    <t>VENUS</t>
  </si>
  <si>
    <t xml:space="preserve">LA_VELIOCASSE | CORE | </t>
  </si>
  <si>
    <t>LA_VELIOCASSE</t>
  </si>
  <si>
    <t xml:space="preserve">LA_VEXINOISE | BLOND | </t>
  </si>
  <si>
    <t>LA_VEXINOISE</t>
  </si>
  <si>
    <t xml:space="preserve">LA_VEXINOISE | AMBREE | </t>
  </si>
  <si>
    <t xml:space="preserve">LA_VEXINOISE | WHITE | </t>
  </si>
  <si>
    <t xml:space="preserve">WINK | MANGO | </t>
  </si>
  <si>
    <t>WINK</t>
  </si>
  <si>
    <t xml:space="preserve">WINK | CASSIS | </t>
  </si>
  <si>
    <t xml:space="preserve">WINK | RED | </t>
  </si>
  <si>
    <t xml:space="preserve">SPELTY | CORE | </t>
  </si>
  <si>
    <t>SPELTY</t>
  </si>
  <si>
    <t xml:space="preserve">STURM | BLOND | </t>
  </si>
  <si>
    <t>STURM</t>
  </si>
  <si>
    <t xml:space="preserve">STURM | AMBREE | </t>
  </si>
  <si>
    <t xml:space="preserve">STURM | IPA | </t>
  </si>
  <si>
    <t xml:space="preserve">STURM | WHITE | </t>
  </si>
  <si>
    <t xml:space="preserve">STURM | TRIPEL | </t>
  </si>
  <si>
    <t xml:space="preserve">8_6 | BLACK | </t>
  </si>
  <si>
    <t xml:space="preserve">8_6 | IPA | </t>
  </si>
  <si>
    <t xml:space="preserve">PAGE_24 | AMBREE | </t>
  </si>
  <si>
    <t xml:space="preserve">PAGE_24 | QUADRUPEL | </t>
  </si>
  <si>
    <t xml:space="preserve">PAGE_24 | TRIPEL | </t>
  </si>
  <si>
    <t xml:space="preserve">PAGE_24 | ROUGE | </t>
  </si>
  <si>
    <t xml:space="preserve">PAGE_24 | IPA | </t>
  </si>
  <si>
    <t xml:space="preserve">JADE | BIERE_BIOLOGIQUE | </t>
  </si>
  <si>
    <t>BIERE_BIOLOGIQUE</t>
  </si>
  <si>
    <t xml:space="preserve">JADE | SANS_GLUTEN | </t>
  </si>
  <si>
    <t>SANS_GLUTEN</t>
  </si>
  <si>
    <t xml:space="preserve">JADE | BLANCHE_BIERE_BIOLOGIQUE | </t>
  </si>
  <si>
    <t>BLANCHE_BIERE_BIOLOGIQUE</t>
  </si>
  <si>
    <t xml:space="preserve">JADE | GRENADE | </t>
  </si>
  <si>
    <t xml:space="preserve">JADE | HOPPY_BLONDE | </t>
  </si>
  <si>
    <t>HOPPY_BLONDE</t>
  </si>
  <si>
    <t>JADE | BLONDE_SANS_ALCOOL | ZERO</t>
  </si>
  <si>
    <t>BLONDE_SANS_ALCOOL</t>
  </si>
  <si>
    <t xml:space="preserve">JADE | HOPE | </t>
  </si>
  <si>
    <t>HOPE</t>
  </si>
  <si>
    <t xml:space="preserve">JADE | FRENCH_FARMHOUSE_ALE | </t>
  </si>
  <si>
    <t>FRENCH_FARMHOUSE_ALE</t>
  </si>
  <si>
    <t>JADE | CITRON_GINGEMBRE_SANS_ALCOOL | ZERO</t>
  </si>
  <si>
    <t>CITRON_GINGEMBRE_SANS_ALCOOL</t>
  </si>
  <si>
    <t xml:space="preserve">KELLEGEN | BIERE_BLONDE_PUR_MALT | </t>
  </si>
  <si>
    <t>BIERE_BLONDE_PUR_MALT</t>
  </si>
  <si>
    <t xml:space="preserve">KELLEGEN | EXTRA_FORTE | </t>
  </si>
  <si>
    <t>EXTRA_FORTE</t>
  </si>
  <si>
    <t xml:space="preserve">KELLEGEN | PRESTIGE | </t>
  </si>
  <si>
    <t xml:space="preserve">KELLEGEN | BIERE_BLONDE_PUR_MALT_BIO_SANS_GLUTEN | </t>
  </si>
  <si>
    <t>BIERE_BLONDE_PUR_MALT_BIO_SANS_GLUTEN</t>
  </si>
  <si>
    <t>KELLEGEN | SANS_ALCOOL | ZERO</t>
  </si>
  <si>
    <t>SANS_ALCOOL</t>
  </si>
  <si>
    <t xml:space="preserve">KELLEGEN | BLANCHE | </t>
  </si>
  <si>
    <t xml:space="preserve">CADETTE | IPA | </t>
  </si>
  <si>
    <t xml:space="preserve">CADETTE | SUPER_NOVA_NEIPA | </t>
  </si>
  <si>
    <t>SUPER_NOVA_NEIPA</t>
  </si>
  <si>
    <t xml:space="preserve">CADETTE | BIO_BIERE_PUR_MALT_BLONDE | </t>
  </si>
  <si>
    <t>BIO_BIERE_PUR_MALT_BLONDE</t>
  </si>
  <si>
    <t xml:space="preserve">CADETTE | TROPICAL_BLAST | </t>
  </si>
  <si>
    <t>TROPICAL_BLAST</t>
  </si>
  <si>
    <t>CADETTE | BIO_BIERE_BLONDE_SANS_ALCOOL | ZERO</t>
  </si>
  <si>
    <t>BIO_BIERE_BLONDE_SANS_ALCOOL</t>
  </si>
  <si>
    <t>3_MONTS;HERITAGE_BLONDE;HERITAGE_TRIPLE</t>
  </si>
  <si>
    <t>LA_BALEINE;LA_LUCITE;L_ARRACHE_CŒUR;LA_PHARE;LA_PICARO;LA_GITANE</t>
  </si>
  <si>
    <t>COCOMIETTE;MICROCLIMAT;EMPREINTE</t>
  </si>
  <si>
    <t>DECK_DONOHUE;INDIGO_IPA;TROUBLE_6;CLEM_S_SUMMER_WHEAT;RICOCHET;MAKKURO_EXTRA_PORTER;BRUMAIRE_ET_FRIMAIRE;BEAUPRE_SPRING_PALE;L_AUBE;SUMMER_OF_HOPS_GOLDEN_IPA;LE_CHANT_DES_VAGUES;BAO_B;HUGS_HOPS;EL_PLACER_DE_LA_PLAYA;QUIXOTIC;MAKKURO</t>
  </si>
  <si>
    <t>PANAME;BARGE_DU_CANAL;ŒIL_DE_BICHE;CASQUE_D_OR;EAST_PARIS_ALE;DOUBLEMENT_BARGE;DANSE_APACHE;LA_GOULUE;L_ARME_BLANCHE;PHENIX_DE_PANTIN;LOUISE_LA_REBELLE;LE_SURIN;DJANGO;PESCA_POINT;PEATED_LAGER;DANGEROUS_LIAISONS;CASTAFIORE;ODIN;TRUITE_VOLANTE</t>
  </si>
  <si>
    <t>HUBSTER;HOP_SIDE;JUICY_RIDE;VICE_HOOD;HEAVY_DUTY;CANDY_KICK;BERRY_BLISS;HUBSTER_NEIPA;HOBSIDE_HUBSTER</t>
  </si>
  <si>
    <t>PARISIENNE;LE_LASCAR;LA_BOURG;IMPERATRICE_JOSEPHINE;LE_TITI_PARISIEN</t>
  </si>
  <si>
    <t>NINKASI;TRICERAHOPS;DAWN_OF_THE_RED;SLEIGH_R;MAIDEN_THE_SHADE;PRISMATIC;OATIS;HOP_COOLER;NINKASI_FRENCH_IPA;PACIFIC_RAIN;GROUND_CONTROL;HELLES_BELLES;BEER_RUN;VELOCIHOPTOR;MEGALODOM</t>
  </si>
  <si>
    <t>PARISIS;IPARISIS;PSYCHOTIC_PALE_ALE;IPA_SOUS_SENART;HOP_SAVE_THE_QUEEN;SMASH_1_CENTENNIAL;MORTAL_KAWA;SMASH_4_MOSAIC;SMASH_2_AMARILLO;BERRY_BAD_TRIPLE;IPA_SOUS_SENART_BARRIQUE_SAUVIGNON_BLANC;SMASH_3_SIMCOE;LA_NEIPA_LA_QUESTION;SUPERSAAZME;SMASH_5_CASCADE;INDUSTRIE_ALE;PARISIS24;LA_BIERE_DES_CHAMPS</t>
  </si>
  <si>
    <t>KRIEK;CHERRY</t>
  </si>
  <si>
    <t xml:space="preserve">BLANCHE_DE_BRUXELLES | ROSE | </t>
  </si>
  <si>
    <t>DREMMWEL;DREMMMWELL</t>
  </si>
  <si>
    <t xml:space="preserve">FOUGUE | IPA | </t>
  </si>
  <si>
    <t>SANS_ALCOOL;SPECIAL_EFFECT;SANS.ALCOOL;VRIJWIT;NON_IPA;Alkoholfrei;NON_ALC;GEEN_SUIKER;0_SUIKER;ALCOHOL_ARM;0/0;NANO;NILLIS;EPOS;_0;0.2;0.3;0.4;0,1;0,2;0,3;0.4;0.4%;0.5;0,5;0,4;0,4%;0.0;0.00;0.0%;0,0;0,0%;N.A.;N/A;00;ZERO;ALCOHOLVRIJ;ALCOHOLFREE;NON_ALCOHOLIC;ZONDER_ALCOHOL;ALCOHOLFREE;CERO;VIRGIN;Alcool Free;JUPILER_0;STELLA_0;CARLSBERG_0;LIEFMANS_0;LEFFE_BLOND_0;LEFFE_BROWN_0;ALCOHOL_FREE;zero;zèro;z…ro;cero;suikervrij;sugarfree;no sugar;zonder zuiker;SUGAR_FREE;(NA);PEPSI_MAX;ZERO;CERO;zero;cero</t>
  </si>
  <si>
    <t>BLONDE;CORE</t>
  </si>
  <si>
    <t>1906</t>
  </si>
  <si>
    <t>1907</t>
  </si>
  <si>
    <t>1908</t>
  </si>
  <si>
    <t>1909</t>
  </si>
  <si>
    <t>1910</t>
  </si>
  <si>
    <t>1911</t>
  </si>
  <si>
    <t>RED;ROOD;ROUGE;ROJO;ROT;RED;ROUGE;ROOD;ROUGE,;ROUGES;ROOD,;</t>
  </si>
  <si>
    <t>GUESTY_SAVEURS;GUESTY_SAVEUR</t>
  </si>
  <si>
    <t>RED;AMBER</t>
  </si>
  <si>
    <t xml:space="preserve">8_6 | RED | </t>
  </si>
  <si>
    <t>MONT_BLANC;DU_MONT_BLANC;SYLVANUS_BLONDE;TRIPLE_EPICES;SYLVANUS_TRIPLE</t>
  </si>
  <si>
    <t>HOP;HOPS;HOPPY</t>
  </si>
  <si>
    <t>WAMBRECHIES;WAMBRECHI</t>
  </si>
  <si>
    <t>WAMBRECHIES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</si>
</sst>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  <family val="2"/>
    </font>
    <font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F3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2401F"/>
        <bgColor indexed="64"/>
      </patternFill>
    </fill>
    <fill>
      <patternFill patternType="solid">
        <fgColor rgb="FF47140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574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12" fillId="21" borderId="0" applyNumberFormat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0" fontId="7" fillId="3" borderId="0" xfId="1"/>
    <xf numFmtId="0" fontId="8" fillId="4" borderId="0" xfId="2"/>
    <xf numFmtId="0" fontId="0" fillId="5" borderId="0" xfId="0" applyFill="1"/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9" fillId="6" borderId="0" xfId="3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0" fillId="15" borderId="0" xfId="4" applyFill="1"/>
    <xf numFmtId="0" fontId="10" fillId="16" borderId="0" xfId="5" applyFill="1"/>
    <xf numFmtId="0" fontId="7" fillId="5" borderId="0" xfId="1" applyFill="1"/>
    <xf numFmtId="0" fontId="7" fillId="14" borderId="0" xfId="1" applyFill="1"/>
    <xf numFmtId="0" fontId="0" fillId="17" borderId="0" xfId="0" applyFill="1"/>
    <xf numFmtId="0" fontId="0" fillId="18" borderId="0" xfId="0" applyFill="1"/>
    <xf numFmtId="0" fontId="0" fillId="19" borderId="0" xfId="3" applyFont="1" applyFill="1"/>
    <xf numFmtId="0" fontId="11" fillId="0" borderId="1" xfId="0" applyFont="1" applyBorder="1" applyAlignment="1">
      <alignment horizontal="center" vertical="top"/>
    </xf>
    <xf numFmtId="0" fontId="1" fillId="11" borderId="0" xfId="3" applyFont="1" applyFill="1"/>
    <xf numFmtId="0" fontId="1" fillId="9" borderId="0" xfId="6" applyFont="1"/>
    <xf numFmtId="0" fontId="1" fillId="14" borderId="0" xfId="3" applyFont="1" applyFill="1"/>
    <xf numFmtId="0" fontId="1" fillId="10" borderId="0" xfId="7" applyFont="1"/>
    <xf numFmtId="0" fontId="0" fillId="0" borderId="0" xfId="0" applyAlignment="1">
      <alignment wrapText="1"/>
    </xf>
    <xf numFmtId="0" fontId="0" fillId="0" borderId="0" xfId="0" quotePrefix="1"/>
    <xf numFmtId="0" fontId="11" fillId="0" borderId="0" xfId="0" applyFont="1" applyAlignment="1">
      <alignment horizontal="center" vertical="top"/>
    </xf>
    <xf numFmtId="0" fontId="0" fillId="0" borderId="1" xfId="0" applyBorder="1"/>
    <xf numFmtId="0" fontId="0" fillId="20" borderId="0" xfId="0" applyFill="1"/>
    <xf numFmtId="0" fontId="3" fillId="0" borderId="0" xfId="0" applyFont="1" applyAlignment="1">
      <alignment horizontal="center" vertical="center"/>
    </xf>
    <xf numFmtId="0" fontId="12" fillId="21" borderId="0" xfId="8"/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0" borderId="0" xfId="0" applyFill="1" applyAlignment="1">
      <alignment vertical="center"/>
    </xf>
    <xf numFmtId="0" fontId="7" fillId="3" borderId="0" xfId="1" applyAlignment="1">
      <alignment vertical="center"/>
    </xf>
    <xf numFmtId="0" fontId="12" fillId="21" borderId="0" xfId="8" applyAlignment="1">
      <alignment vertical="center"/>
    </xf>
    <xf numFmtId="0" fontId="0" fillId="5" borderId="0" xfId="0" applyFill="1" applyAlignment="1">
      <alignment vertical="center"/>
    </xf>
  </cellXfs>
  <cellStyles count="9">
    <cellStyle name="20% - Accent2 2" xfId="8" xr:uid="{53B7AAE3-4927-423C-9A19-5D44D55F337F}"/>
    <cellStyle name="60% - Accent5" xfId="6" builtinId="48"/>
    <cellStyle name="60% - Accent6" xfId="7" builtinId="52"/>
    <cellStyle name="Accent2" xfId="4" builtinId="33"/>
    <cellStyle name="Accent3" xfId="5" builtinId="37"/>
    <cellStyle name="Bad" xfId="2" builtinId="27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5</v>
    <v>8</v>
    <v>0</v>
    <v>0</v>
  </rv>
  <rv s="0">
    <v>3</v>
    <v>8</v>
    <v>0</v>
    <v>0</v>
  </rv>
  <rv s="0">
    <v>4</v>
    <v>8</v>
    <v>0</v>
    <v>0</v>
  </rv>
  <rv s="0">
    <v>5</v>
    <v>8</v>
    <v>0</v>
    <v>1</v>
  </rv>
  <rv s="0">
    <v>6</v>
    <v>8</v>
    <v>0</v>
    <v>1</v>
  </rv>
  <rv s="0">
    <v>9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60E1-D2E2-4AEF-879E-DA0CED1288FA}">
  <dimension ref="A1:O2537"/>
  <sheetViews>
    <sheetView topLeftCell="A1225" zoomScaleNormal="100" workbookViewId="0">
      <selection activeCell="B1243" sqref="B1243"/>
    </sheetView>
  </sheetViews>
  <sheetFormatPr defaultRowHeight="16"/>
  <cols>
    <col min="1" max="1" width="15.5" customWidth="1"/>
    <col min="2" max="2" width="37" customWidth="1"/>
    <col min="3" max="3" width="58.33203125" customWidth="1"/>
    <col min="4" max="4" width="27.83203125" customWidth="1"/>
    <col min="13" max="13" width="30.58203125" customWidth="1"/>
  </cols>
  <sheetData>
    <row r="1" spans="1:7">
      <c r="A1" s="7" t="s">
        <v>806</v>
      </c>
      <c r="B1" s="20" t="s">
        <v>236</v>
      </c>
      <c r="C1" s="20" t="s">
        <v>691</v>
      </c>
      <c r="D1" s="7" t="s">
        <v>10248</v>
      </c>
      <c r="E1" t="s">
        <v>1433</v>
      </c>
      <c r="F1" t="s">
        <v>830</v>
      </c>
      <c r="G1" t="s">
        <v>10385</v>
      </c>
    </row>
    <row r="2" spans="1:7" ht="15" customHeight="1">
      <c r="A2" s="8">
        <v>1</v>
      </c>
      <c r="B2" s="27" t="s">
        <v>6967</v>
      </c>
      <c r="C2" s="27"/>
      <c r="D2" s="8">
        <v>1</v>
      </c>
    </row>
    <row r="3" spans="1:7">
      <c r="A3">
        <v>2</v>
      </c>
      <c r="B3" t="s">
        <v>3</v>
      </c>
      <c r="C3" t="s">
        <v>3</v>
      </c>
      <c r="D3">
        <v>9</v>
      </c>
      <c r="E3">
        <f t="shared" ref="E3:E66" si="0">LEN(B3)</f>
        <v>15</v>
      </c>
      <c r="F3" t="s">
        <v>821</v>
      </c>
      <c r="G3">
        <v>1</v>
      </c>
    </row>
    <row r="4" spans="1:7" ht="15" customHeight="1">
      <c r="A4">
        <v>2</v>
      </c>
      <c r="B4" t="s">
        <v>345</v>
      </c>
      <c r="C4" t="s">
        <v>11994</v>
      </c>
      <c r="D4">
        <v>2</v>
      </c>
      <c r="E4">
        <f t="shared" si="0"/>
        <v>12</v>
      </c>
      <c r="G4">
        <v>1</v>
      </c>
    </row>
    <row r="5" spans="1:7" ht="15" customHeight="1">
      <c r="A5">
        <v>2</v>
      </c>
      <c r="B5" t="s">
        <v>266</v>
      </c>
      <c r="C5" t="s">
        <v>5113</v>
      </c>
      <c r="D5">
        <v>2</v>
      </c>
      <c r="E5">
        <f t="shared" si="0"/>
        <v>10</v>
      </c>
      <c r="F5" t="s">
        <v>821</v>
      </c>
      <c r="G5">
        <v>1</v>
      </c>
    </row>
    <row r="6" spans="1:7" ht="15" customHeight="1">
      <c r="A6">
        <v>2</v>
      </c>
      <c r="B6" t="s">
        <v>10919</v>
      </c>
      <c r="C6" t="s">
        <v>10919</v>
      </c>
      <c r="D6">
        <v>5</v>
      </c>
      <c r="E6">
        <f t="shared" si="0"/>
        <v>9</v>
      </c>
      <c r="F6" t="s">
        <v>821</v>
      </c>
      <c r="G6">
        <v>0</v>
      </c>
    </row>
    <row r="7" spans="1:7" ht="15" customHeight="1">
      <c r="A7">
        <v>3</v>
      </c>
      <c r="B7" t="s">
        <v>1313</v>
      </c>
      <c r="C7" t="s">
        <v>1313</v>
      </c>
      <c r="D7">
        <v>3</v>
      </c>
      <c r="E7">
        <f t="shared" si="0"/>
        <v>32</v>
      </c>
      <c r="F7" t="s">
        <v>821</v>
      </c>
      <c r="G7">
        <v>1</v>
      </c>
    </row>
    <row r="8" spans="1:7" ht="15" customHeight="1">
      <c r="A8">
        <v>3</v>
      </c>
      <c r="B8" t="s">
        <v>1246</v>
      </c>
      <c r="C8" t="s">
        <v>1246</v>
      </c>
      <c r="D8">
        <v>3</v>
      </c>
      <c r="E8">
        <f t="shared" si="0"/>
        <v>29</v>
      </c>
      <c r="F8" t="s">
        <v>821</v>
      </c>
      <c r="G8">
        <v>1</v>
      </c>
    </row>
    <row r="9" spans="1:7" ht="15" customHeight="1">
      <c r="A9">
        <v>3</v>
      </c>
      <c r="B9" t="s">
        <v>1233</v>
      </c>
      <c r="C9" t="s">
        <v>1233</v>
      </c>
      <c r="D9">
        <v>3</v>
      </c>
      <c r="E9">
        <f t="shared" si="0"/>
        <v>28</v>
      </c>
      <c r="F9" t="s">
        <v>821</v>
      </c>
      <c r="G9">
        <v>1</v>
      </c>
    </row>
    <row r="10" spans="1:7" ht="15" customHeight="1">
      <c r="A10">
        <v>3</v>
      </c>
      <c r="B10" t="s">
        <v>559</v>
      </c>
      <c r="C10" t="s">
        <v>559</v>
      </c>
      <c r="D10">
        <v>3</v>
      </c>
      <c r="E10">
        <f t="shared" si="0"/>
        <v>27</v>
      </c>
      <c r="F10" t="s">
        <v>821</v>
      </c>
      <c r="G10">
        <v>1</v>
      </c>
    </row>
    <row r="11" spans="1:7" ht="15" customHeight="1">
      <c r="A11">
        <v>3</v>
      </c>
      <c r="B11" t="s">
        <v>1280</v>
      </c>
      <c r="C11" t="s">
        <v>5529</v>
      </c>
      <c r="D11">
        <v>3</v>
      </c>
      <c r="E11">
        <f t="shared" si="0"/>
        <v>24</v>
      </c>
      <c r="F11" t="s">
        <v>821</v>
      </c>
      <c r="G11">
        <v>1</v>
      </c>
    </row>
    <row r="12" spans="1:7" ht="15" customHeight="1">
      <c r="A12">
        <v>3</v>
      </c>
      <c r="B12" t="s">
        <v>1300</v>
      </c>
      <c r="C12" t="s">
        <v>1300</v>
      </c>
      <c r="D12">
        <v>3</v>
      </c>
      <c r="E12">
        <f t="shared" si="0"/>
        <v>24</v>
      </c>
      <c r="F12" t="s">
        <v>821</v>
      </c>
      <c r="G12">
        <v>1</v>
      </c>
    </row>
    <row r="13" spans="1:7" ht="15" customHeight="1">
      <c r="A13">
        <v>3</v>
      </c>
      <c r="B13" t="s">
        <v>1020</v>
      </c>
      <c r="C13" t="s">
        <v>1020</v>
      </c>
      <c r="D13">
        <v>3</v>
      </c>
      <c r="E13">
        <f t="shared" si="0"/>
        <v>23</v>
      </c>
      <c r="F13" t="s">
        <v>821</v>
      </c>
      <c r="G13">
        <v>1</v>
      </c>
    </row>
    <row r="14" spans="1:7" ht="15" customHeight="1">
      <c r="A14">
        <v>3</v>
      </c>
      <c r="B14" t="s">
        <v>1751</v>
      </c>
      <c r="C14" t="s">
        <v>1752</v>
      </c>
      <c r="D14">
        <v>3</v>
      </c>
      <c r="E14">
        <f t="shared" si="0"/>
        <v>23</v>
      </c>
      <c r="F14" t="s">
        <v>821</v>
      </c>
      <c r="G14">
        <v>1</v>
      </c>
    </row>
    <row r="15" spans="1:7" ht="15" customHeight="1">
      <c r="A15">
        <v>3</v>
      </c>
      <c r="B15" t="s">
        <v>661</v>
      </c>
      <c r="C15" t="s">
        <v>661</v>
      </c>
      <c r="D15">
        <v>3</v>
      </c>
      <c r="E15">
        <f t="shared" si="0"/>
        <v>23</v>
      </c>
      <c r="F15" t="s">
        <v>821</v>
      </c>
      <c r="G15">
        <v>1</v>
      </c>
    </row>
    <row r="16" spans="1:7" ht="15" customHeight="1">
      <c r="A16">
        <v>3</v>
      </c>
      <c r="B16" t="s">
        <v>1124</v>
      </c>
      <c r="C16" t="s">
        <v>1124</v>
      </c>
      <c r="D16">
        <v>3</v>
      </c>
      <c r="E16">
        <f t="shared" si="0"/>
        <v>23</v>
      </c>
      <c r="F16" t="s">
        <v>821</v>
      </c>
      <c r="G16">
        <v>1</v>
      </c>
    </row>
    <row r="17" spans="1:7" ht="15" customHeight="1">
      <c r="A17">
        <v>3</v>
      </c>
      <c r="B17" t="s">
        <v>204</v>
      </c>
      <c r="C17" t="s">
        <v>735</v>
      </c>
      <c r="D17">
        <v>3</v>
      </c>
      <c r="E17">
        <f t="shared" si="0"/>
        <v>23</v>
      </c>
      <c r="F17" t="s">
        <v>821</v>
      </c>
      <c r="G17">
        <v>1</v>
      </c>
    </row>
    <row r="18" spans="1:7" ht="15" customHeight="1">
      <c r="A18">
        <v>3</v>
      </c>
      <c r="B18" t="s">
        <v>1025</v>
      </c>
      <c r="C18" t="s">
        <v>5093</v>
      </c>
      <c r="D18">
        <v>3</v>
      </c>
      <c r="E18">
        <f t="shared" si="0"/>
        <v>22</v>
      </c>
      <c r="F18" t="s">
        <v>821</v>
      </c>
      <c r="G18">
        <v>1</v>
      </c>
    </row>
    <row r="19" spans="1:7" ht="15" customHeight="1">
      <c r="A19">
        <v>3</v>
      </c>
      <c r="B19" t="s">
        <v>1249</v>
      </c>
      <c r="C19" t="s">
        <v>1249</v>
      </c>
      <c r="D19">
        <v>3</v>
      </c>
      <c r="E19">
        <f t="shared" si="0"/>
        <v>22</v>
      </c>
      <c r="F19" t="s">
        <v>821</v>
      </c>
      <c r="G19">
        <v>1</v>
      </c>
    </row>
    <row r="20" spans="1:7" ht="15" customHeight="1">
      <c r="A20">
        <v>3</v>
      </c>
      <c r="B20" t="s">
        <v>5170</v>
      </c>
      <c r="C20" t="s">
        <v>3830</v>
      </c>
      <c r="D20">
        <v>3</v>
      </c>
      <c r="E20">
        <f t="shared" si="0"/>
        <v>20</v>
      </c>
      <c r="F20" t="s">
        <v>821</v>
      </c>
      <c r="G20">
        <v>1</v>
      </c>
    </row>
    <row r="21" spans="1:7" ht="15" customHeight="1">
      <c r="A21">
        <v>3</v>
      </c>
      <c r="B21" t="s">
        <v>5191</v>
      </c>
      <c r="C21" t="s">
        <v>5191</v>
      </c>
      <c r="D21">
        <v>3</v>
      </c>
      <c r="E21">
        <f t="shared" si="0"/>
        <v>20</v>
      </c>
      <c r="F21" t="s">
        <v>821</v>
      </c>
      <c r="G21">
        <v>1</v>
      </c>
    </row>
    <row r="22" spans="1:7" ht="15" customHeight="1">
      <c r="A22">
        <v>3</v>
      </c>
      <c r="B22" t="s">
        <v>48</v>
      </c>
      <c r="C22" t="s">
        <v>48</v>
      </c>
      <c r="D22">
        <v>3</v>
      </c>
      <c r="E22">
        <f t="shared" si="0"/>
        <v>20</v>
      </c>
      <c r="F22" t="s">
        <v>821</v>
      </c>
      <c r="G22">
        <v>1</v>
      </c>
    </row>
    <row r="23" spans="1:7" ht="15" customHeight="1">
      <c r="A23">
        <v>3</v>
      </c>
      <c r="B23" t="s">
        <v>1134</v>
      </c>
      <c r="C23" t="s">
        <v>5528</v>
      </c>
      <c r="D23">
        <v>3</v>
      </c>
      <c r="E23">
        <f t="shared" si="0"/>
        <v>20</v>
      </c>
      <c r="F23" t="s">
        <v>821</v>
      </c>
      <c r="G23">
        <v>1</v>
      </c>
    </row>
    <row r="24" spans="1:7" ht="15" customHeight="1">
      <c r="A24">
        <v>3</v>
      </c>
      <c r="B24" t="s">
        <v>1295</v>
      </c>
      <c r="C24" t="s">
        <v>1295</v>
      </c>
      <c r="D24">
        <v>3</v>
      </c>
      <c r="E24">
        <f t="shared" si="0"/>
        <v>20</v>
      </c>
      <c r="F24" t="s">
        <v>821</v>
      </c>
      <c r="G24">
        <v>1</v>
      </c>
    </row>
    <row r="25" spans="1:7" ht="15" customHeight="1">
      <c r="A25">
        <v>3</v>
      </c>
      <c r="B25" t="s">
        <v>689</v>
      </c>
      <c r="C25" t="s">
        <v>689</v>
      </c>
      <c r="D25">
        <v>3</v>
      </c>
      <c r="E25">
        <f t="shared" si="0"/>
        <v>20</v>
      </c>
      <c r="F25" t="s">
        <v>821</v>
      </c>
      <c r="G25">
        <v>1</v>
      </c>
    </row>
    <row r="26" spans="1:7" ht="15" customHeight="1">
      <c r="A26">
        <v>3</v>
      </c>
      <c r="B26" t="s">
        <v>1753</v>
      </c>
      <c r="C26" t="s">
        <v>1753</v>
      </c>
      <c r="D26">
        <v>3</v>
      </c>
      <c r="E26">
        <f t="shared" si="0"/>
        <v>20</v>
      </c>
      <c r="F26" t="s">
        <v>821</v>
      </c>
      <c r="G26">
        <v>1</v>
      </c>
    </row>
    <row r="27" spans="1:7" ht="15" customHeight="1">
      <c r="A27">
        <v>3</v>
      </c>
      <c r="B27" t="s">
        <v>1754</v>
      </c>
      <c r="C27" t="s">
        <v>1754</v>
      </c>
      <c r="D27">
        <v>3</v>
      </c>
      <c r="E27">
        <f t="shared" si="0"/>
        <v>19</v>
      </c>
      <c r="F27" t="s">
        <v>821</v>
      </c>
      <c r="G27">
        <v>1</v>
      </c>
    </row>
    <row r="28" spans="1:7" ht="15" customHeight="1">
      <c r="A28">
        <v>3</v>
      </c>
      <c r="B28" t="s">
        <v>1266</v>
      </c>
      <c r="C28" t="s">
        <v>1266</v>
      </c>
      <c r="D28">
        <v>3</v>
      </c>
      <c r="E28">
        <f t="shared" si="0"/>
        <v>19</v>
      </c>
      <c r="F28" t="s">
        <v>821</v>
      </c>
      <c r="G28">
        <v>1</v>
      </c>
    </row>
    <row r="29" spans="1:7" ht="15" customHeight="1">
      <c r="A29">
        <v>3</v>
      </c>
      <c r="B29" t="s">
        <v>1320</v>
      </c>
      <c r="C29" t="s">
        <v>1320</v>
      </c>
      <c r="D29">
        <v>3</v>
      </c>
      <c r="E29">
        <f t="shared" si="0"/>
        <v>19</v>
      </c>
      <c r="F29" t="s">
        <v>821</v>
      </c>
      <c r="G29">
        <v>1</v>
      </c>
    </row>
    <row r="30" spans="1:7" ht="15" customHeight="1">
      <c r="A30">
        <v>3</v>
      </c>
      <c r="B30" t="s">
        <v>1122</v>
      </c>
      <c r="C30" t="s">
        <v>1122</v>
      </c>
      <c r="D30">
        <v>3</v>
      </c>
      <c r="E30">
        <f t="shared" si="0"/>
        <v>19</v>
      </c>
      <c r="F30" t="s">
        <v>821</v>
      </c>
      <c r="G30">
        <v>1</v>
      </c>
    </row>
    <row r="31" spans="1:7" ht="15" customHeight="1">
      <c r="A31">
        <v>3</v>
      </c>
      <c r="B31" t="s">
        <v>1380</v>
      </c>
      <c r="C31" t="s">
        <v>1380</v>
      </c>
      <c r="D31">
        <v>3</v>
      </c>
      <c r="E31">
        <f t="shared" si="0"/>
        <v>19</v>
      </c>
      <c r="F31" t="s">
        <v>821</v>
      </c>
      <c r="G31">
        <v>1</v>
      </c>
    </row>
    <row r="32" spans="1:7" ht="15" customHeight="1">
      <c r="A32">
        <v>3</v>
      </c>
      <c r="B32" t="s">
        <v>215</v>
      </c>
      <c r="C32" t="s">
        <v>215</v>
      </c>
      <c r="D32">
        <v>3</v>
      </c>
      <c r="E32">
        <f t="shared" si="0"/>
        <v>19</v>
      </c>
      <c r="F32" t="s">
        <v>821</v>
      </c>
      <c r="G32">
        <v>1</v>
      </c>
    </row>
    <row r="33" spans="1:7" ht="15" customHeight="1">
      <c r="A33">
        <v>3</v>
      </c>
      <c r="B33" t="s">
        <v>6587</v>
      </c>
      <c r="C33" t="s">
        <v>6587</v>
      </c>
      <c r="D33">
        <v>3</v>
      </c>
      <c r="E33">
        <f t="shared" si="0"/>
        <v>18</v>
      </c>
      <c r="F33" t="s">
        <v>821</v>
      </c>
      <c r="G33">
        <v>1</v>
      </c>
    </row>
    <row r="34" spans="1:7" ht="15" customHeight="1">
      <c r="A34">
        <v>3</v>
      </c>
      <c r="B34" t="s">
        <v>5184</v>
      </c>
      <c r="C34" t="s">
        <v>5523</v>
      </c>
      <c r="D34">
        <v>3</v>
      </c>
      <c r="E34">
        <f t="shared" si="0"/>
        <v>18</v>
      </c>
      <c r="F34" t="s">
        <v>821</v>
      </c>
      <c r="G34">
        <v>1</v>
      </c>
    </row>
    <row r="35" spans="1:7" ht="15" customHeight="1">
      <c r="A35">
        <v>3</v>
      </c>
      <c r="B35" t="s">
        <v>642</v>
      </c>
      <c r="C35" t="s">
        <v>642</v>
      </c>
      <c r="D35">
        <v>3</v>
      </c>
      <c r="E35">
        <f t="shared" si="0"/>
        <v>18</v>
      </c>
      <c r="F35" t="s">
        <v>821</v>
      </c>
      <c r="G35">
        <v>1</v>
      </c>
    </row>
    <row r="36" spans="1:7" ht="15" customHeight="1">
      <c r="A36">
        <v>3</v>
      </c>
      <c r="B36" t="s">
        <v>1156</v>
      </c>
      <c r="C36" t="s">
        <v>1156</v>
      </c>
      <c r="D36">
        <v>3</v>
      </c>
      <c r="E36">
        <f t="shared" si="0"/>
        <v>18</v>
      </c>
      <c r="F36" t="s">
        <v>821</v>
      </c>
      <c r="G36">
        <v>1</v>
      </c>
    </row>
    <row r="37" spans="1:7" ht="15" customHeight="1">
      <c r="A37">
        <v>3</v>
      </c>
      <c r="B37" t="s">
        <v>402</v>
      </c>
      <c r="C37" t="s">
        <v>402</v>
      </c>
      <c r="D37">
        <v>3</v>
      </c>
      <c r="E37">
        <f t="shared" si="0"/>
        <v>18</v>
      </c>
      <c r="F37" t="s">
        <v>821</v>
      </c>
      <c r="G37">
        <v>1</v>
      </c>
    </row>
    <row r="38" spans="1:7" ht="15" customHeight="1">
      <c r="A38">
        <v>3</v>
      </c>
      <c r="B38" t="s">
        <v>1252</v>
      </c>
      <c r="C38" t="s">
        <v>1252</v>
      </c>
      <c r="D38">
        <v>3</v>
      </c>
      <c r="E38">
        <f t="shared" si="0"/>
        <v>18</v>
      </c>
      <c r="F38" t="s">
        <v>821</v>
      </c>
      <c r="G38">
        <v>1</v>
      </c>
    </row>
    <row r="39" spans="1:7" ht="15" customHeight="1">
      <c r="A39">
        <v>3</v>
      </c>
      <c r="B39" t="s">
        <v>1272</v>
      </c>
      <c r="C39" t="s">
        <v>1272</v>
      </c>
      <c r="D39">
        <v>3</v>
      </c>
      <c r="E39">
        <f t="shared" si="0"/>
        <v>18</v>
      </c>
      <c r="F39" t="s">
        <v>821</v>
      </c>
      <c r="G39">
        <v>1</v>
      </c>
    </row>
    <row r="40" spans="1:7" ht="15" customHeight="1">
      <c r="A40">
        <v>3</v>
      </c>
      <c r="B40" t="s">
        <v>1276</v>
      </c>
      <c r="C40" t="s">
        <v>1276</v>
      </c>
      <c r="D40">
        <v>3</v>
      </c>
      <c r="E40">
        <f t="shared" si="0"/>
        <v>18</v>
      </c>
      <c r="F40" t="s">
        <v>821</v>
      </c>
      <c r="G40">
        <v>1</v>
      </c>
    </row>
    <row r="41" spans="1:7" ht="15" customHeight="1">
      <c r="A41">
        <v>3</v>
      </c>
      <c r="B41" t="s">
        <v>1756</v>
      </c>
      <c r="C41" t="s">
        <v>1756</v>
      </c>
      <c r="D41">
        <v>3</v>
      </c>
      <c r="E41">
        <f t="shared" si="0"/>
        <v>18</v>
      </c>
      <c r="F41" t="s">
        <v>821</v>
      </c>
      <c r="G41">
        <v>1</v>
      </c>
    </row>
    <row r="42" spans="1:7" ht="15" customHeight="1">
      <c r="A42">
        <v>3</v>
      </c>
      <c r="B42" t="s">
        <v>666</v>
      </c>
      <c r="C42" t="s">
        <v>666</v>
      </c>
      <c r="D42">
        <v>3</v>
      </c>
      <c r="E42">
        <f t="shared" si="0"/>
        <v>18</v>
      </c>
      <c r="F42" t="s">
        <v>821</v>
      </c>
      <c r="G42">
        <v>1</v>
      </c>
    </row>
    <row r="43" spans="1:7" ht="15" customHeight="1">
      <c r="A43">
        <v>3</v>
      </c>
      <c r="B43" t="s">
        <v>1348</v>
      </c>
      <c r="C43" t="s">
        <v>1348</v>
      </c>
      <c r="D43">
        <v>3</v>
      </c>
      <c r="E43">
        <f t="shared" si="0"/>
        <v>18</v>
      </c>
      <c r="F43" t="s">
        <v>821</v>
      </c>
      <c r="G43">
        <v>1</v>
      </c>
    </row>
    <row r="44" spans="1:7" ht="15" customHeight="1">
      <c r="A44">
        <v>3</v>
      </c>
      <c r="B44" t="s">
        <v>537</v>
      </c>
      <c r="C44" t="s">
        <v>537</v>
      </c>
      <c r="D44">
        <v>3</v>
      </c>
      <c r="E44">
        <f t="shared" si="0"/>
        <v>18</v>
      </c>
      <c r="F44" t="s">
        <v>821</v>
      </c>
      <c r="G44">
        <v>1</v>
      </c>
    </row>
    <row r="45" spans="1:7" ht="15" customHeight="1">
      <c r="A45">
        <v>3</v>
      </c>
      <c r="B45" t="s">
        <v>1197</v>
      </c>
      <c r="C45" t="s">
        <v>1197</v>
      </c>
      <c r="D45">
        <v>3</v>
      </c>
      <c r="E45">
        <f t="shared" si="0"/>
        <v>18</v>
      </c>
      <c r="F45" t="s">
        <v>821</v>
      </c>
      <c r="G45">
        <v>1</v>
      </c>
    </row>
    <row r="46" spans="1:7" ht="15" customHeight="1">
      <c r="A46">
        <v>3</v>
      </c>
      <c r="B46" t="s">
        <v>1160</v>
      </c>
      <c r="C46" t="s">
        <v>1160</v>
      </c>
      <c r="D46">
        <v>3</v>
      </c>
      <c r="E46">
        <f t="shared" si="0"/>
        <v>17</v>
      </c>
      <c r="F46" t="s">
        <v>821</v>
      </c>
      <c r="G46">
        <v>1</v>
      </c>
    </row>
    <row r="47" spans="1:7" ht="15" customHeight="1">
      <c r="A47">
        <v>3</v>
      </c>
      <c r="B47" t="s">
        <v>1279</v>
      </c>
      <c r="C47" t="s">
        <v>1279</v>
      </c>
      <c r="D47">
        <v>3</v>
      </c>
      <c r="E47">
        <f t="shared" si="0"/>
        <v>17</v>
      </c>
      <c r="F47" t="s">
        <v>821</v>
      </c>
      <c r="G47">
        <v>1</v>
      </c>
    </row>
    <row r="48" spans="1:7" ht="15" customHeight="1">
      <c r="A48">
        <v>3</v>
      </c>
      <c r="B48" t="s">
        <v>1051</v>
      </c>
      <c r="C48" t="s">
        <v>1051</v>
      </c>
      <c r="D48">
        <v>3</v>
      </c>
      <c r="E48">
        <f t="shared" si="0"/>
        <v>17</v>
      </c>
      <c r="F48" t="s">
        <v>821</v>
      </c>
      <c r="G48">
        <v>1</v>
      </c>
    </row>
    <row r="49" spans="1:7" ht="15" customHeight="1">
      <c r="A49">
        <v>3</v>
      </c>
      <c r="B49" t="s">
        <v>1057</v>
      </c>
      <c r="C49" t="s">
        <v>1057</v>
      </c>
      <c r="D49">
        <v>3</v>
      </c>
      <c r="E49">
        <f t="shared" si="0"/>
        <v>17</v>
      </c>
      <c r="F49" t="s">
        <v>821</v>
      </c>
      <c r="G49">
        <v>1</v>
      </c>
    </row>
    <row r="50" spans="1:7" ht="15" customHeight="1">
      <c r="A50">
        <v>3</v>
      </c>
      <c r="B50" t="s">
        <v>1370</v>
      </c>
      <c r="C50" t="s">
        <v>1370</v>
      </c>
      <c r="D50">
        <v>3</v>
      </c>
      <c r="E50">
        <f t="shared" si="0"/>
        <v>17</v>
      </c>
      <c r="F50" t="s">
        <v>821</v>
      </c>
      <c r="G50">
        <v>1</v>
      </c>
    </row>
    <row r="51" spans="1:7" ht="15" customHeight="1">
      <c r="A51">
        <v>3</v>
      </c>
      <c r="B51" t="s">
        <v>1371</v>
      </c>
      <c r="C51" t="s">
        <v>1371</v>
      </c>
      <c r="D51">
        <v>3</v>
      </c>
      <c r="E51">
        <f t="shared" si="0"/>
        <v>17</v>
      </c>
      <c r="F51" t="s">
        <v>821</v>
      </c>
      <c r="G51">
        <v>1</v>
      </c>
    </row>
    <row r="52" spans="1:7" ht="15" customHeight="1">
      <c r="A52">
        <v>3</v>
      </c>
      <c r="B52" t="s">
        <v>1378</v>
      </c>
      <c r="C52" t="s">
        <v>1378</v>
      </c>
      <c r="D52">
        <v>3</v>
      </c>
      <c r="E52">
        <f t="shared" si="0"/>
        <v>17</v>
      </c>
      <c r="F52" t="s">
        <v>821</v>
      </c>
      <c r="G52">
        <v>1</v>
      </c>
    </row>
    <row r="53" spans="1:7" ht="15" customHeight="1">
      <c r="A53">
        <v>3</v>
      </c>
      <c r="B53" t="s">
        <v>1382</v>
      </c>
      <c r="C53" t="s">
        <v>1382</v>
      </c>
      <c r="D53">
        <v>3</v>
      </c>
      <c r="E53">
        <f t="shared" si="0"/>
        <v>17</v>
      </c>
      <c r="F53" t="s">
        <v>821</v>
      </c>
      <c r="G53">
        <v>1</v>
      </c>
    </row>
    <row r="54" spans="1:7" ht="15" customHeight="1">
      <c r="A54">
        <v>3</v>
      </c>
      <c r="B54" t="s">
        <v>10799</v>
      </c>
      <c r="C54" t="s">
        <v>658</v>
      </c>
      <c r="D54">
        <v>3</v>
      </c>
      <c r="E54">
        <f t="shared" si="0"/>
        <v>17</v>
      </c>
      <c r="F54" t="s">
        <v>821</v>
      </c>
      <c r="G54">
        <v>1</v>
      </c>
    </row>
    <row r="55" spans="1:7" ht="15" customHeight="1">
      <c r="A55">
        <v>3</v>
      </c>
      <c r="B55" t="s">
        <v>10799</v>
      </c>
      <c r="C55" t="s">
        <v>670</v>
      </c>
      <c r="D55">
        <v>3</v>
      </c>
      <c r="E55">
        <f t="shared" si="0"/>
        <v>17</v>
      </c>
      <c r="F55" t="s">
        <v>821</v>
      </c>
      <c r="G55">
        <v>1</v>
      </c>
    </row>
    <row r="56" spans="1:7" ht="15" customHeight="1">
      <c r="A56">
        <v>3</v>
      </c>
      <c r="B56" t="s">
        <v>6507</v>
      </c>
      <c r="C56" t="s">
        <v>6508</v>
      </c>
      <c r="D56">
        <v>3</v>
      </c>
      <c r="E56">
        <f t="shared" si="0"/>
        <v>16</v>
      </c>
      <c r="F56" t="s">
        <v>821</v>
      </c>
      <c r="G56">
        <v>1</v>
      </c>
    </row>
    <row r="57" spans="1:7" ht="15" customHeight="1">
      <c r="A57">
        <v>3</v>
      </c>
      <c r="B57" t="s">
        <v>1236</v>
      </c>
      <c r="C57" t="s">
        <v>1236</v>
      </c>
      <c r="D57">
        <v>3</v>
      </c>
      <c r="E57">
        <f t="shared" si="0"/>
        <v>16</v>
      </c>
      <c r="F57" t="s">
        <v>821</v>
      </c>
      <c r="G57">
        <v>1</v>
      </c>
    </row>
    <row r="58" spans="1:7" ht="15" customHeight="1">
      <c r="A58">
        <v>3</v>
      </c>
      <c r="B58" t="s">
        <v>6583</v>
      </c>
      <c r="C58" t="s">
        <v>6949</v>
      </c>
      <c r="D58">
        <v>3</v>
      </c>
      <c r="E58">
        <f t="shared" si="0"/>
        <v>16</v>
      </c>
      <c r="F58" t="s">
        <v>821</v>
      </c>
      <c r="G58">
        <v>1</v>
      </c>
    </row>
    <row r="59" spans="1:7" ht="15" customHeight="1">
      <c r="A59">
        <v>3</v>
      </c>
      <c r="B59" t="s">
        <v>1238</v>
      </c>
      <c r="C59" t="s">
        <v>1238</v>
      </c>
      <c r="D59">
        <v>3</v>
      </c>
      <c r="E59">
        <f t="shared" si="0"/>
        <v>16</v>
      </c>
      <c r="F59" t="s">
        <v>821</v>
      </c>
      <c r="G59">
        <v>1</v>
      </c>
    </row>
    <row r="60" spans="1:7" ht="15" customHeight="1">
      <c r="A60">
        <v>3</v>
      </c>
      <c r="B60" t="s">
        <v>1026</v>
      </c>
      <c r="C60" t="s">
        <v>1026</v>
      </c>
      <c r="D60">
        <v>3</v>
      </c>
      <c r="E60">
        <f t="shared" si="0"/>
        <v>16</v>
      </c>
      <c r="F60" t="s">
        <v>821</v>
      </c>
      <c r="G60">
        <v>1</v>
      </c>
    </row>
    <row r="61" spans="1:7" ht="15" customHeight="1">
      <c r="A61">
        <v>3</v>
      </c>
      <c r="B61" t="s">
        <v>1028</v>
      </c>
      <c r="C61" t="s">
        <v>1028</v>
      </c>
      <c r="D61">
        <v>3</v>
      </c>
      <c r="E61">
        <f t="shared" si="0"/>
        <v>16</v>
      </c>
      <c r="F61" t="s">
        <v>821</v>
      </c>
      <c r="G61">
        <v>1</v>
      </c>
    </row>
    <row r="62" spans="1:7" ht="15" customHeight="1">
      <c r="A62">
        <v>4</v>
      </c>
      <c r="B62" t="s">
        <v>235</v>
      </c>
      <c r="C62" t="s">
        <v>1396</v>
      </c>
      <c r="D62">
        <v>3</v>
      </c>
      <c r="E62">
        <f t="shared" si="0"/>
        <v>16</v>
      </c>
      <c r="F62" t="s">
        <v>821</v>
      </c>
      <c r="G62">
        <v>1</v>
      </c>
    </row>
    <row r="63" spans="1:7" ht="15" customHeight="1">
      <c r="A63">
        <v>3</v>
      </c>
      <c r="B63" t="s">
        <v>965</v>
      </c>
      <c r="C63" t="s">
        <v>965</v>
      </c>
      <c r="D63">
        <v>3</v>
      </c>
      <c r="E63">
        <f t="shared" si="0"/>
        <v>16</v>
      </c>
      <c r="F63" t="s">
        <v>821</v>
      </c>
      <c r="G63">
        <v>1</v>
      </c>
    </row>
    <row r="64" spans="1:7" ht="15" customHeight="1">
      <c r="A64">
        <v>3</v>
      </c>
      <c r="B64" t="s">
        <v>484</v>
      </c>
      <c r="C64" t="s">
        <v>6443</v>
      </c>
      <c r="D64">
        <v>3</v>
      </c>
      <c r="E64">
        <f t="shared" si="0"/>
        <v>16</v>
      </c>
      <c r="F64" t="s">
        <v>821</v>
      </c>
      <c r="G64">
        <v>1</v>
      </c>
    </row>
    <row r="65" spans="1:7" ht="15" customHeight="1">
      <c r="A65">
        <v>3</v>
      </c>
      <c r="B65" t="s">
        <v>5524</v>
      </c>
      <c r="C65" t="s">
        <v>5524</v>
      </c>
      <c r="D65">
        <v>3</v>
      </c>
      <c r="E65">
        <f t="shared" si="0"/>
        <v>16</v>
      </c>
      <c r="F65" t="s">
        <v>821</v>
      </c>
      <c r="G65">
        <v>1</v>
      </c>
    </row>
    <row r="66" spans="1:7" ht="15" customHeight="1">
      <c r="A66">
        <v>3</v>
      </c>
      <c r="B66" t="s">
        <v>1067</v>
      </c>
      <c r="C66" t="s">
        <v>1067</v>
      </c>
      <c r="D66">
        <v>3</v>
      </c>
      <c r="E66">
        <f t="shared" si="0"/>
        <v>16</v>
      </c>
      <c r="F66" t="s">
        <v>821</v>
      </c>
      <c r="G66">
        <v>1</v>
      </c>
    </row>
    <row r="67" spans="1:7" ht="15" customHeight="1">
      <c r="A67">
        <v>3</v>
      </c>
      <c r="B67" t="s">
        <v>1056</v>
      </c>
      <c r="C67" t="s">
        <v>1056</v>
      </c>
      <c r="D67">
        <v>3</v>
      </c>
      <c r="E67">
        <f t="shared" ref="E67:E130" si="1">LEN(B67)</f>
        <v>16</v>
      </c>
      <c r="F67" t="s">
        <v>821</v>
      </c>
      <c r="G67">
        <v>1</v>
      </c>
    </row>
    <row r="68" spans="1:7" ht="15" customHeight="1">
      <c r="A68">
        <v>3</v>
      </c>
      <c r="B68" t="s">
        <v>1757</v>
      </c>
      <c r="C68" t="s">
        <v>1757</v>
      </c>
      <c r="D68">
        <v>3</v>
      </c>
      <c r="E68">
        <f t="shared" si="1"/>
        <v>16</v>
      </c>
      <c r="F68" t="s">
        <v>821</v>
      </c>
      <c r="G68">
        <v>1</v>
      </c>
    </row>
    <row r="69" spans="1:7" ht="15" customHeight="1">
      <c r="A69">
        <v>3</v>
      </c>
      <c r="B69" t="s">
        <v>577</v>
      </c>
      <c r="C69" t="s">
        <v>5133</v>
      </c>
      <c r="D69">
        <v>3</v>
      </c>
      <c r="E69">
        <f t="shared" si="1"/>
        <v>16</v>
      </c>
      <c r="F69" t="s">
        <v>821</v>
      </c>
      <c r="G69">
        <v>1</v>
      </c>
    </row>
    <row r="70" spans="1:7" ht="15" customHeight="1">
      <c r="A70">
        <v>3</v>
      </c>
      <c r="B70" t="s">
        <v>1345</v>
      </c>
      <c r="C70" t="s">
        <v>1345</v>
      </c>
      <c r="D70">
        <v>3</v>
      </c>
      <c r="E70">
        <f t="shared" si="1"/>
        <v>16</v>
      </c>
      <c r="F70" t="s">
        <v>821</v>
      </c>
      <c r="G70">
        <v>1</v>
      </c>
    </row>
    <row r="71" spans="1:7" ht="15" customHeight="1">
      <c r="A71">
        <v>3</v>
      </c>
      <c r="B71" t="s">
        <v>590</v>
      </c>
      <c r="C71" t="s">
        <v>590</v>
      </c>
      <c r="D71">
        <v>3</v>
      </c>
      <c r="E71">
        <f t="shared" si="1"/>
        <v>16</v>
      </c>
      <c r="F71" t="s">
        <v>821</v>
      </c>
      <c r="G71">
        <v>1</v>
      </c>
    </row>
    <row r="72" spans="1:7" ht="15" customHeight="1">
      <c r="A72">
        <v>3</v>
      </c>
      <c r="B72" t="s">
        <v>200</v>
      </c>
      <c r="C72" t="s">
        <v>5150</v>
      </c>
      <c r="D72">
        <v>3</v>
      </c>
      <c r="E72">
        <f t="shared" si="1"/>
        <v>16</v>
      </c>
      <c r="F72" t="s">
        <v>821</v>
      </c>
      <c r="G72">
        <v>1</v>
      </c>
    </row>
    <row r="73" spans="1:7" ht="15" customHeight="1">
      <c r="A73">
        <v>3</v>
      </c>
      <c r="B73" t="s">
        <v>302</v>
      </c>
      <c r="C73" t="s">
        <v>302</v>
      </c>
      <c r="D73">
        <v>3</v>
      </c>
      <c r="E73">
        <f t="shared" si="1"/>
        <v>15</v>
      </c>
      <c r="F73" t="s">
        <v>821</v>
      </c>
      <c r="G73">
        <v>1</v>
      </c>
    </row>
    <row r="74" spans="1:7" ht="15" customHeight="1">
      <c r="A74">
        <v>3</v>
      </c>
      <c r="B74" t="s">
        <v>640</v>
      </c>
      <c r="C74" t="s">
        <v>640</v>
      </c>
      <c r="D74">
        <v>3</v>
      </c>
      <c r="E74">
        <f t="shared" si="1"/>
        <v>15</v>
      </c>
      <c r="F74" t="s">
        <v>822</v>
      </c>
      <c r="G74">
        <v>1</v>
      </c>
    </row>
    <row r="75" spans="1:7" ht="15" customHeight="1">
      <c r="A75">
        <v>3</v>
      </c>
      <c r="B75" t="s">
        <v>465</v>
      </c>
      <c r="C75" t="s">
        <v>5333</v>
      </c>
      <c r="D75">
        <v>3</v>
      </c>
      <c r="E75">
        <f t="shared" si="1"/>
        <v>15</v>
      </c>
      <c r="F75" t="s">
        <v>821</v>
      </c>
      <c r="G75">
        <v>1</v>
      </c>
    </row>
    <row r="76" spans="1:7" ht="15" customHeight="1">
      <c r="A76">
        <v>3</v>
      </c>
      <c r="B76" t="s">
        <v>667</v>
      </c>
      <c r="C76" t="s">
        <v>667</v>
      </c>
      <c r="D76">
        <v>3</v>
      </c>
      <c r="E76">
        <f t="shared" si="1"/>
        <v>15</v>
      </c>
      <c r="F76" t="s">
        <v>821</v>
      </c>
      <c r="G76">
        <v>1</v>
      </c>
    </row>
    <row r="77" spans="1:7" ht="15" customHeight="1">
      <c r="A77">
        <v>3</v>
      </c>
      <c r="B77" t="s">
        <v>585</v>
      </c>
      <c r="C77" t="s">
        <v>585</v>
      </c>
      <c r="D77">
        <v>3</v>
      </c>
      <c r="E77">
        <f t="shared" si="1"/>
        <v>15</v>
      </c>
      <c r="F77" t="s">
        <v>821</v>
      </c>
      <c r="G77">
        <v>1</v>
      </c>
    </row>
    <row r="78" spans="1:7" ht="15" customHeight="1">
      <c r="A78">
        <v>3</v>
      </c>
      <c r="B78" t="s">
        <v>1254</v>
      </c>
      <c r="C78" t="s">
        <v>1254</v>
      </c>
      <c r="D78">
        <v>3</v>
      </c>
      <c r="E78">
        <f t="shared" si="1"/>
        <v>15</v>
      </c>
      <c r="F78" t="s">
        <v>821</v>
      </c>
      <c r="G78">
        <v>1</v>
      </c>
    </row>
    <row r="79" spans="1:7" ht="15" customHeight="1">
      <c r="A79">
        <v>3</v>
      </c>
      <c r="B79" t="s">
        <v>1035</v>
      </c>
      <c r="C79" t="s">
        <v>1035</v>
      </c>
      <c r="D79">
        <v>3</v>
      </c>
      <c r="E79">
        <f t="shared" si="1"/>
        <v>15</v>
      </c>
      <c r="F79" t="s">
        <v>821</v>
      </c>
      <c r="G79">
        <v>1</v>
      </c>
    </row>
    <row r="80" spans="1:7" ht="15" customHeight="1">
      <c r="A80">
        <v>3</v>
      </c>
      <c r="B80" t="s">
        <v>682</v>
      </c>
      <c r="C80" t="s">
        <v>1401</v>
      </c>
      <c r="D80">
        <v>3</v>
      </c>
      <c r="E80">
        <f t="shared" si="1"/>
        <v>15</v>
      </c>
      <c r="F80" t="s">
        <v>821</v>
      </c>
      <c r="G80">
        <v>1</v>
      </c>
    </row>
    <row r="81" spans="1:7" ht="15" customHeight="1">
      <c r="A81">
        <v>3</v>
      </c>
      <c r="B81" t="s">
        <v>962</v>
      </c>
      <c r="C81" t="s">
        <v>962</v>
      </c>
      <c r="D81">
        <v>3</v>
      </c>
      <c r="E81">
        <f t="shared" si="1"/>
        <v>15</v>
      </c>
      <c r="F81" t="s">
        <v>821</v>
      </c>
      <c r="G81">
        <v>1</v>
      </c>
    </row>
    <row r="82" spans="1:7" ht="15" customHeight="1">
      <c r="A82">
        <v>3</v>
      </c>
      <c r="B82" t="s">
        <v>83</v>
      </c>
      <c r="C82" t="s">
        <v>83</v>
      </c>
      <c r="D82">
        <v>3</v>
      </c>
      <c r="E82">
        <f t="shared" si="1"/>
        <v>15</v>
      </c>
      <c r="F82" t="s">
        <v>821</v>
      </c>
      <c r="G82">
        <v>1</v>
      </c>
    </row>
    <row r="83" spans="1:7" ht="15" customHeight="1">
      <c r="A83">
        <v>3</v>
      </c>
      <c r="B83" t="s">
        <v>1049</v>
      </c>
      <c r="C83" t="s">
        <v>1049</v>
      </c>
      <c r="D83">
        <v>3</v>
      </c>
      <c r="E83">
        <f t="shared" si="1"/>
        <v>15</v>
      </c>
      <c r="F83" t="s">
        <v>821</v>
      </c>
      <c r="G83">
        <v>1</v>
      </c>
    </row>
    <row r="84" spans="1:7" ht="15" customHeight="1">
      <c r="A84">
        <v>3</v>
      </c>
      <c r="B84" t="s">
        <v>1761</v>
      </c>
      <c r="C84" t="s">
        <v>1762</v>
      </c>
      <c r="D84">
        <v>3</v>
      </c>
      <c r="E84">
        <f t="shared" si="1"/>
        <v>15</v>
      </c>
      <c r="F84" t="s">
        <v>821</v>
      </c>
      <c r="G84">
        <v>1</v>
      </c>
    </row>
    <row r="85" spans="1:7" ht="15" customHeight="1">
      <c r="A85">
        <v>3</v>
      </c>
      <c r="B85" t="s">
        <v>1090</v>
      </c>
      <c r="C85" t="s">
        <v>1090</v>
      </c>
      <c r="D85">
        <v>3</v>
      </c>
      <c r="E85">
        <f t="shared" si="1"/>
        <v>15</v>
      </c>
      <c r="F85" t="s">
        <v>821</v>
      </c>
      <c r="G85">
        <v>1</v>
      </c>
    </row>
    <row r="86" spans="1:7" ht="15" customHeight="1">
      <c r="A86">
        <v>3</v>
      </c>
      <c r="B86" t="s">
        <v>1177</v>
      </c>
      <c r="C86" t="s">
        <v>1177</v>
      </c>
      <c r="D86">
        <v>3</v>
      </c>
      <c r="E86">
        <f t="shared" si="1"/>
        <v>15</v>
      </c>
      <c r="F86" t="s">
        <v>821</v>
      </c>
      <c r="G86">
        <v>1</v>
      </c>
    </row>
    <row r="87" spans="1:7" ht="15" customHeight="1">
      <c r="A87">
        <v>3</v>
      </c>
      <c r="B87" t="s">
        <v>1336</v>
      </c>
      <c r="C87" t="s">
        <v>1336</v>
      </c>
      <c r="D87">
        <v>3</v>
      </c>
      <c r="E87">
        <f t="shared" si="1"/>
        <v>15</v>
      </c>
      <c r="F87" t="s">
        <v>821</v>
      </c>
      <c r="G87">
        <v>1</v>
      </c>
    </row>
    <row r="88" spans="1:7" ht="15" customHeight="1">
      <c r="A88">
        <v>3</v>
      </c>
      <c r="B88" t="s">
        <v>664</v>
      </c>
      <c r="C88" t="s">
        <v>664</v>
      </c>
      <c r="D88">
        <v>3</v>
      </c>
      <c r="E88">
        <f t="shared" si="1"/>
        <v>15</v>
      </c>
      <c r="F88" t="s">
        <v>821</v>
      </c>
      <c r="G88">
        <v>1</v>
      </c>
    </row>
    <row r="89" spans="1:7" ht="15" customHeight="1">
      <c r="A89">
        <v>3</v>
      </c>
      <c r="B89" t="s">
        <v>1346</v>
      </c>
      <c r="C89" t="s">
        <v>1346</v>
      </c>
      <c r="D89">
        <v>3</v>
      </c>
      <c r="E89">
        <f t="shared" si="1"/>
        <v>15</v>
      </c>
      <c r="F89" t="s">
        <v>821</v>
      </c>
      <c r="G89">
        <v>1</v>
      </c>
    </row>
    <row r="90" spans="1:7" ht="15" customHeight="1">
      <c r="A90">
        <v>3</v>
      </c>
      <c r="B90" t="s">
        <v>583</v>
      </c>
      <c r="C90" t="s">
        <v>583</v>
      </c>
      <c r="D90">
        <v>3</v>
      </c>
      <c r="E90">
        <f t="shared" si="1"/>
        <v>15</v>
      </c>
      <c r="F90" t="s">
        <v>821</v>
      </c>
      <c r="G90">
        <v>1</v>
      </c>
    </row>
    <row r="91" spans="1:7" ht="15" customHeight="1">
      <c r="A91">
        <v>3</v>
      </c>
      <c r="B91" t="s">
        <v>1760</v>
      </c>
      <c r="C91" t="s">
        <v>1760</v>
      </c>
      <c r="D91">
        <v>3</v>
      </c>
      <c r="E91">
        <f t="shared" si="1"/>
        <v>15</v>
      </c>
      <c r="F91" t="s">
        <v>821</v>
      </c>
      <c r="G91">
        <v>1</v>
      </c>
    </row>
    <row r="92" spans="1:7" ht="15" customHeight="1">
      <c r="A92">
        <v>3</v>
      </c>
      <c r="B92" t="s">
        <v>1205</v>
      </c>
      <c r="C92" t="s">
        <v>1205</v>
      </c>
      <c r="D92">
        <v>3</v>
      </c>
      <c r="E92">
        <f t="shared" si="1"/>
        <v>15</v>
      </c>
      <c r="F92" t="s">
        <v>821</v>
      </c>
      <c r="G92">
        <v>1</v>
      </c>
    </row>
    <row r="93" spans="1:7" ht="15" customHeight="1">
      <c r="A93">
        <v>3</v>
      </c>
      <c r="B93" t="s">
        <v>588</v>
      </c>
      <c r="C93" t="s">
        <v>5143</v>
      </c>
      <c r="D93">
        <v>3</v>
      </c>
      <c r="E93">
        <f t="shared" si="1"/>
        <v>15</v>
      </c>
      <c r="F93" t="s">
        <v>821</v>
      </c>
      <c r="G93">
        <v>1</v>
      </c>
    </row>
    <row r="94" spans="1:7" ht="15" customHeight="1">
      <c r="A94">
        <v>3</v>
      </c>
      <c r="B94" t="s">
        <v>199</v>
      </c>
      <c r="C94" t="s">
        <v>716</v>
      </c>
      <c r="D94">
        <v>3</v>
      </c>
      <c r="E94">
        <f t="shared" si="1"/>
        <v>15</v>
      </c>
      <c r="F94" t="s">
        <v>821</v>
      </c>
      <c r="G94">
        <v>1</v>
      </c>
    </row>
    <row r="95" spans="1:7" ht="15" customHeight="1">
      <c r="A95">
        <v>3</v>
      </c>
      <c r="B95" t="s">
        <v>5266</v>
      </c>
      <c r="C95" t="s">
        <v>5266</v>
      </c>
      <c r="D95">
        <v>3</v>
      </c>
      <c r="E95">
        <f t="shared" si="1"/>
        <v>15</v>
      </c>
      <c r="F95" t="s">
        <v>821</v>
      </c>
      <c r="G95">
        <v>1</v>
      </c>
    </row>
    <row r="96" spans="1:7" ht="15" customHeight="1">
      <c r="A96">
        <v>3</v>
      </c>
      <c r="B96" t="s">
        <v>1211</v>
      </c>
      <c r="C96" t="s">
        <v>1211</v>
      </c>
      <c r="D96">
        <v>3</v>
      </c>
      <c r="E96">
        <f t="shared" si="1"/>
        <v>15</v>
      </c>
      <c r="F96" t="s">
        <v>821</v>
      </c>
      <c r="G96">
        <v>1</v>
      </c>
    </row>
    <row r="97" spans="1:7" ht="15" customHeight="1">
      <c r="A97">
        <v>3</v>
      </c>
      <c r="B97" t="s">
        <v>595</v>
      </c>
      <c r="C97" t="s">
        <v>5157</v>
      </c>
      <c r="D97">
        <v>3</v>
      </c>
      <c r="E97">
        <f t="shared" si="1"/>
        <v>15</v>
      </c>
      <c r="F97" t="s">
        <v>821</v>
      </c>
      <c r="G97">
        <v>1</v>
      </c>
    </row>
    <row r="98" spans="1:7" ht="15" customHeight="1">
      <c r="A98">
        <v>3</v>
      </c>
      <c r="B98" t="s">
        <v>596</v>
      </c>
      <c r="C98" t="s">
        <v>596</v>
      </c>
      <c r="D98">
        <v>3</v>
      </c>
      <c r="E98">
        <f t="shared" si="1"/>
        <v>15</v>
      </c>
      <c r="F98" t="s">
        <v>821</v>
      </c>
      <c r="G98">
        <v>1</v>
      </c>
    </row>
    <row r="99" spans="1:7" ht="15" customHeight="1">
      <c r="A99">
        <v>3</v>
      </c>
      <c r="B99" t="s">
        <v>1379</v>
      </c>
      <c r="C99" t="s">
        <v>1379</v>
      </c>
      <c r="D99">
        <v>3</v>
      </c>
      <c r="E99">
        <f t="shared" si="1"/>
        <v>15</v>
      </c>
      <c r="F99" t="s">
        <v>821</v>
      </c>
      <c r="G99">
        <v>1</v>
      </c>
    </row>
    <row r="100" spans="1:7" ht="15" customHeight="1">
      <c r="A100">
        <v>3</v>
      </c>
      <c r="B100" t="s">
        <v>454</v>
      </c>
      <c r="C100" t="s">
        <v>454</v>
      </c>
      <c r="D100">
        <v>3</v>
      </c>
      <c r="E100">
        <f t="shared" si="1"/>
        <v>15</v>
      </c>
      <c r="F100" t="s">
        <v>821</v>
      </c>
      <c r="G100">
        <v>1</v>
      </c>
    </row>
    <row r="101" spans="1:7" ht="15" customHeight="1">
      <c r="A101">
        <v>3</v>
      </c>
      <c r="B101" t="s">
        <v>603</v>
      </c>
      <c r="C101" t="s">
        <v>89</v>
      </c>
      <c r="D101">
        <v>3</v>
      </c>
      <c r="E101">
        <f t="shared" si="1"/>
        <v>14</v>
      </c>
      <c r="F101" t="s">
        <v>821</v>
      </c>
      <c r="G101">
        <v>1</v>
      </c>
    </row>
    <row r="102" spans="1:7" ht="15" customHeight="1">
      <c r="A102">
        <v>3</v>
      </c>
      <c r="B102" t="s">
        <v>1763</v>
      </c>
      <c r="C102" t="s">
        <v>1763</v>
      </c>
      <c r="D102">
        <v>3</v>
      </c>
      <c r="E102">
        <f t="shared" si="1"/>
        <v>14</v>
      </c>
      <c r="F102" t="s">
        <v>821</v>
      </c>
      <c r="G102">
        <v>1</v>
      </c>
    </row>
    <row r="103" spans="1:7" ht="15" customHeight="1">
      <c r="A103">
        <v>3</v>
      </c>
      <c r="B103" t="s">
        <v>526</v>
      </c>
      <c r="C103" t="s">
        <v>5094</v>
      </c>
      <c r="D103">
        <v>3</v>
      </c>
      <c r="E103">
        <f t="shared" si="1"/>
        <v>14</v>
      </c>
      <c r="F103" t="s">
        <v>821</v>
      </c>
      <c r="G103">
        <v>1</v>
      </c>
    </row>
    <row r="104" spans="1:7" ht="15" customHeight="1">
      <c r="A104">
        <v>3</v>
      </c>
      <c r="B104" t="s">
        <v>674</v>
      </c>
      <c r="C104" t="s">
        <v>674</v>
      </c>
      <c r="D104">
        <v>3</v>
      </c>
      <c r="E104">
        <f t="shared" si="1"/>
        <v>14</v>
      </c>
      <c r="F104" t="s">
        <v>821</v>
      </c>
      <c r="G104">
        <v>1</v>
      </c>
    </row>
    <row r="105" spans="1:7" ht="15" customHeight="1">
      <c r="A105">
        <v>3</v>
      </c>
      <c r="B105" t="s">
        <v>1235</v>
      </c>
      <c r="C105" t="s">
        <v>1235</v>
      </c>
      <c r="D105">
        <v>3</v>
      </c>
      <c r="E105">
        <f t="shared" si="1"/>
        <v>14</v>
      </c>
      <c r="F105" t="s">
        <v>821</v>
      </c>
      <c r="G105">
        <v>1</v>
      </c>
    </row>
    <row r="106" spans="1:7" ht="15" customHeight="1">
      <c r="A106">
        <v>3</v>
      </c>
      <c r="B106" t="s">
        <v>932</v>
      </c>
      <c r="C106" t="s">
        <v>932</v>
      </c>
      <c r="D106">
        <v>3</v>
      </c>
      <c r="E106">
        <f t="shared" si="1"/>
        <v>14</v>
      </c>
      <c r="F106" t="s">
        <v>821</v>
      </c>
      <c r="G106">
        <v>1</v>
      </c>
    </row>
    <row r="107" spans="1:7" ht="15" customHeight="1">
      <c r="A107">
        <v>3</v>
      </c>
      <c r="B107" t="s">
        <v>625</v>
      </c>
      <c r="C107" t="s">
        <v>1399</v>
      </c>
      <c r="D107">
        <v>3</v>
      </c>
      <c r="E107">
        <f t="shared" si="1"/>
        <v>14</v>
      </c>
      <c r="F107" t="s">
        <v>821</v>
      </c>
      <c r="G107">
        <v>1</v>
      </c>
    </row>
    <row r="108" spans="1:7" ht="15" customHeight="1">
      <c r="A108">
        <v>3</v>
      </c>
      <c r="B108" t="s">
        <v>619</v>
      </c>
      <c r="C108" t="s">
        <v>619</v>
      </c>
      <c r="D108">
        <v>3</v>
      </c>
      <c r="E108">
        <f t="shared" si="1"/>
        <v>14</v>
      </c>
      <c r="F108" t="s">
        <v>821</v>
      </c>
      <c r="G108">
        <v>1</v>
      </c>
    </row>
    <row r="109" spans="1:7" ht="15" customHeight="1">
      <c r="A109">
        <v>3</v>
      </c>
      <c r="B109" t="s">
        <v>1253</v>
      </c>
      <c r="C109" t="s">
        <v>1253</v>
      </c>
      <c r="D109">
        <v>3</v>
      </c>
      <c r="E109">
        <f t="shared" si="1"/>
        <v>14</v>
      </c>
      <c r="F109" t="s">
        <v>821</v>
      </c>
      <c r="G109">
        <v>1</v>
      </c>
    </row>
    <row r="110" spans="1:7" ht="15" customHeight="1">
      <c r="A110">
        <v>3</v>
      </c>
      <c r="B110" t="s">
        <v>1158</v>
      </c>
      <c r="C110" t="s">
        <v>1158</v>
      </c>
      <c r="D110">
        <v>3</v>
      </c>
      <c r="E110">
        <f t="shared" si="1"/>
        <v>14</v>
      </c>
      <c r="F110" t="s">
        <v>821</v>
      </c>
      <c r="G110">
        <v>1</v>
      </c>
    </row>
    <row r="111" spans="1:7" ht="15" customHeight="1">
      <c r="A111">
        <v>3</v>
      </c>
      <c r="B111" t="s">
        <v>1037</v>
      </c>
      <c r="C111" t="s">
        <v>1037</v>
      </c>
      <c r="D111">
        <v>3</v>
      </c>
      <c r="E111">
        <f t="shared" si="1"/>
        <v>14</v>
      </c>
      <c r="F111" t="s">
        <v>821</v>
      </c>
      <c r="G111">
        <v>1</v>
      </c>
    </row>
    <row r="112" spans="1:7" ht="15" customHeight="1">
      <c r="A112">
        <v>3</v>
      </c>
      <c r="B112" t="s">
        <v>1164</v>
      </c>
      <c r="C112" t="s">
        <v>1164</v>
      </c>
      <c r="D112">
        <v>3</v>
      </c>
      <c r="E112">
        <f t="shared" si="1"/>
        <v>14</v>
      </c>
      <c r="G112">
        <v>1</v>
      </c>
    </row>
    <row r="113" spans="1:7" ht="15" customHeight="1">
      <c r="A113">
        <v>3</v>
      </c>
      <c r="B113" t="s">
        <v>1285</v>
      </c>
      <c r="C113" t="s">
        <v>1285</v>
      </c>
      <c r="D113">
        <v>3</v>
      </c>
      <c r="E113">
        <f t="shared" si="1"/>
        <v>14</v>
      </c>
      <c r="F113" t="s">
        <v>821</v>
      </c>
      <c r="G113">
        <v>1</v>
      </c>
    </row>
    <row r="114" spans="1:7" ht="15" customHeight="1">
      <c r="A114">
        <v>3</v>
      </c>
      <c r="B114" t="s">
        <v>1054</v>
      </c>
      <c r="C114" t="s">
        <v>1054</v>
      </c>
      <c r="D114">
        <v>3</v>
      </c>
      <c r="E114">
        <f t="shared" si="1"/>
        <v>14</v>
      </c>
      <c r="F114" t="s">
        <v>821</v>
      </c>
      <c r="G114">
        <v>1</v>
      </c>
    </row>
    <row r="115" spans="1:7" ht="15" customHeight="1">
      <c r="A115">
        <v>3</v>
      </c>
      <c r="B115" t="s">
        <v>650</v>
      </c>
      <c r="C115" t="s">
        <v>650</v>
      </c>
      <c r="D115">
        <v>3</v>
      </c>
      <c r="E115">
        <f t="shared" si="1"/>
        <v>14</v>
      </c>
      <c r="F115" t="s">
        <v>821</v>
      </c>
      <c r="G115">
        <v>1</v>
      </c>
    </row>
    <row r="116" spans="1:7" ht="15" customHeight="1">
      <c r="A116">
        <v>3</v>
      </c>
      <c r="B116" t="s">
        <v>1311</v>
      </c>
      <c r="C116" t="s">
        <v>1311</v>
      </c>
      <c r="D116">
        <v>3</v>
      </c>
      <c r="E116">
        <f t="shared" si="1"/>
        <v>14</v>
      </c>
      <c r="F116" t="s">
        <v>821</v>
      </c>
      <c r="G116">
        <v>1</v>
      </c>
    </row>
    <row r="117" spans="1:7" ht="15" customHeight="1">
      <c r="A117">
        <v>3</v>
      </c>
      <c r="B117" t="s">
        <v>127</v>
      </c>
      <c r="C117" t="s">
        <v>707</v>
      </c>
      <c r="D117">
        <v>3</v>
      </c>
      <c r="E117">
        <f t="shared" si="1"/>
        <v>14</v>
      </c>
      <c r="F117" t="s">
        <v>821</v>
      </c>
      <c r="G117">
        <v>1</v>
      </c>
    </row>
    <row r="118" spans="1:7" ht="15" customHeight="1">
      <c r="A118">
        <v>3</v>
      </c>
      <c r="B118" t="s">
        <v>130</v>
      </c>
      <c r="C118" t="s">
        <v>706</v>
      </c>
      <c r="D118">
        <v>3</v>
      </c>
      <c r="E118">
        <f t="shared" si="1"/>
        <v>14</v>
      </c>
      <c r="F118" t="s">
        <v>821</v>
      </c>
      <c r="G118">
        <v>1</v>
      </c>
    </row>
    <row r="119" spans="1:7" ht="15" customHeight="1">
      <c r="A119">
        <v>3</v>
      </c>
      <c r="B119" t="s">
        <v>1764</v>
      </c>
      <c r="C119" t="s">
        <v>1765</v>
      </c>
      <c r="D119">
        <v>3</v>
      </c>
      <c r="E119">
        <f t="shared" si="1"/>
        <v>14</v>
      </c>
      <c r="F119" t="s">
        <v>821</v>
      </c>
      <c r="G119">
        <v>1</v>
      </c>
    </row>
    <row r="120" spans="1:7" ht="15" customHeight="1">
      <c r="A120">
        <v>3</v>
      </c>
      <c r="B120" t="s">
        <v>1190</v>
      </c>
      <c r="C120" t="s">
        <v>5131</v>
      </c>
      <c r="D120">
        <v>3</v>
      </c>
      <c r="E120">
        <f t="shared" si="1"/>
        <v>14</v>
      </c>
      <c r="F120" t="s">
        <v>821</v>
      </c>
      <c r="G120">
        <v>1</v>
      </c>
    </row>
    <row r="121" spans="1:7" ht="15" customHeight="1">
      <c r="A121">
        <v>3</v>
      </c>
      <c r="B121" t="s">
        <v>1341</v>
      </c>
      <c r="C121" t="s">
        <v>1341</v>
      </c>
      <c r="D121">
        <v>3</v>
      </c>
      <c r="E121">
        <f t="shared" si="1"/>
        <v>14</v>
      </c>
      <c r="F121" t="s">
        <v>822</v>
      </c>
      <c r="G121">
        <v>1</v>
      </c>
    </row>
    <row r="122" spans="1:7" ht="15" customHeight="1">
      <c r="A122">
        <v>3</v>
      </c>
      <c r="B122" t="s">
        <v>63</v>
      </c>
      <c r="C122" t="s">
        <v>6487</v>
      </c>
      <c r="D122">
        <v>3</v>
      </c>
      <c r="E122">
        <f t="shared" si="1"/>
        <v>14</v>
      </c>
      <c r="F122" t="s">
        <v>821</v>
      </c>
      <c r="G122">
        <v>1</v>
      </c>
    </row>
    <row r="123" spans="1:7" ht="15" customHeight="1">
      <c r="A123">
        <v>3</v>
      </c>
      <c r="B123" t="s">
        <v>738</v>
      </c>
      <c r="C123" t="s">
        <v>719</v>
      </c>
      <c r="D123">
        <v>3</v>
      </c>
      <c r="E123">
        <f t="shared" si="1"/>
        <v>14</v>
      </c>
      <c r="F123" t="s">
        <v>821</v>
      </c>
      <c r="G123">
        <v>1</v>
      </c>
    </row>
    <row r="124" spans="1:7">
      <c r="A124">
        <v>3</v>
      </c>
      <c r="B124" t="s">
        <v>1385</v>
      </c>
      <c r="C124" t="s">
        <v>5160</v>
      </c>
      <c r="D124">
        <v>3</v>
      </c>
      <c r="E124">
        <f t="shared" si="1"/>
        <v>14</v>
      </c>
      <c r="F124" t="s">
        <v>821</v>
      </c>
      <c r="G124">
        <v>1</v>
      </c>
    </row>
    <row r="125" spans="1:7">
      <c r="A125">
        <v>3</v>
      </c>
      <c r="B125" t="s">
        <v>19</v>
      </c>
      <c r="C125" t="s">
        <v>376</v>
      </c>
      <c r="D125">
        <v>3</v>
      </c>
      <c r="E125">
        <f t="shared" si="1"/>
        <v>13</v>
      </c>
      <c r="F125" t="s">
        <v>821</v>
      </c>
      <c r="G125">
        <v>1</v>
      </c>
    </row>
    <row r="126" spans="1:7">
      <c r="A126">
        <v>3</v>
      </c>
      <c r="B126" t="s">
        <v>529</v>
      </c>
      <c r="C126" t="s">
        <v>529</v>
      </c>
      <c r="D126">
        <v>3</v>
      </c>
      <c r="E126">
        <f t="shared" si="1"/>
        <v>13</v>
      </c>
      <c r="F126" t="s">
        <v>821</v>
      </c>
      <c r="G126">
        <v>1</v>
      </c>
    </row>
    <row r="127" spans="1:7">
      <c r="A127">
        <v>3</v>
      </c>
      <c r="B127" t="s">
        <v>29</v>
      </c>
      <c r="C127" t="s">
        <v>5498</v>
      </c>
      <c r="D127">
        <v>3</v>
      </c>
      <c r="E127">
        <f t="shared" si="1"/>
        <v>13</v>
      </c>
      <c r="F127" t="s">
        <v>821</v>
      </c>
      <c r="G127">
        <v>1</v>
      </c>
    </row>
    <row r="128" spans="1:7">
      <c r="A128">
        <v>3</v>
      </c>
      <c r="B128" t="s">
        <v>1237</v>
      </c>
      <c r="C128" t="s">
        <v>1237</v>
      </c>
      <c r="D128">
        <v>3</v>
      </c>
      <c r="E128">
        <f t="shared" si="1"/>
        <v>13</v>
      </c>
      <c r="F128" t="s">
        <v>821</v>
      </c>
      <c r="G128">
        <v>1</v>
      </c>
    </row>
    <row r="129" spans="1:7">
      <c r="A129">
        <v>3</v>
      </c>
      <c r="B129" t="s">
        <v>533</v>
      </c>
      <c r="C129" t="s">
        <v>10892</v>
      </c>
      <c r="D129">
        <v>3</v>
      </c>
      <c r="E129">
        <f t="shared" si="1"/>
        <v>13</v>
      </c>
      <c r="F129" t="s">
        <v>821</v>
      </c>
      <c r="G129">
        <v>1</v>
      </c>
    </row>
    <row r="130" spans="1:7">
      <c r="A130">
        <v>3</v>
      </c>
      <c r="B130" t="s">
        <v>1439</v>
      </c>
      <c r="C130" t="s">
        <v>5100</v>
      </c>
      <c r="D130">
        <v>3</v>
      </c>
      <c r="E130">
        <f t="shared" si="1"/>
        <v>13</v>
      </c>
      <c r="F130" t="s">
        <v>821</v>
      </c>
      <c r="G130">
        <v>1</v>
      </c>
    </row>
    <row r="131" spans="1:7">
      <c r="A131">
        <v>3</v>
      </c>
      <c r="B131" t="s">
        <v>1243</v>
      </c>
      <c r="C131" t="s">
        <v>1243</v>
      </c>
      <c r="D131">
        <v>3</v>
      </c>
      <c r="E131">
        <f t="shared" ref="E131:E194" si="2">LEN(B131)</f>
        <v>13</v>
      </c>
      <c r="F131" t="s">
        <v>821</v>
      </c>
      <c r="G131">
        <v>1</v>
      </c>
    </row>
    <row r="132" spans="1:7">
      <c r="A132">
        <v>3</v>
      </c>
      <c r="B132" t="s">
        <v>966</v>
      </c>
      <c r="C132" t="s">
        <v>966</v>
      </c>
      <c r="D132">
        <v>3</v>
      </c>
      <c r="E132">
        <f t="shared" si="2"/>
        <v>13</v>
      </c>
      <c r="F132" t="s">
        <v>822</v>
      </c>
      <c r="G132">
        <v>1</v>
      </c>
    </row>
    <row r="133" spans="1:7">
      <c r="A133">
        <v>3</v>
      </c>
      <c r="B133" t="s">
        <v>814</v>
      </c>
      <c r="C133" t="s">
        <v>814</v>
      </c>
      <c r="D133">
        <v>3</v>
      </c>
      <c r="E133">
        <f t="shared" si="2"/>
        <v>13</v>
      </c>
      <c r="F133" t="s">
        <v>821</v>
      </c>
      <c r="G133">
        <v>1</v>
      </c>
    </row>
    <row r="134" spans="1:7">
      <c r="A134">
        <v>3</v>
      </c>
      <c r="B134" t="s">
        <v>1766</v>
      </c>
      <c r="C134" t="s">
        <v>1766</v>
      </c>
      <c r="D134">
        <v>3</v>
      </c>
      <c r="E134">
        <f t="shared" si="2"/>
        <v>13</v>
      </c>
      <c r="F134" t="s">
        <v>821</v>
      </c>
      <c r="G134">
        <v>1</v>
      </c>
    </row>
    <row r="135" spans="1:7">
      <c r="A135">
        <v>3</v>
      </c>
      <c r="B135" t="s">
        <v>644</v>
      </c>
      <c r="C135" t="s">
        <v>644</v>
      </c>
      <c r="D135">
        <v>3</v>
      </c>
      <c r="E135">
        <f t="shared" si="2"/>
        <v>13</v>
      </c>
      <c r="F135" t="s">
        <v>821</v>
      </c>
      <c r="G135">
        <v>1</v>
      </c>
    </row>
    <row r="136" spans="1:7">
      <c r="A136">
        <v>3</v>
      </c>
      <c r="B136" t="s">
        <v>538</v>
      </c>
      <c r="C136" t="s">
        <v>538</v>
      </c>
      <c r="D136">
        <v>3</v>
      </c>
      <c r="E136">
        <f t="shared" si="2"/>
        <v>13</v>
      </c>
      <c r="F136" t="s">
        <v>821</v>
      </c>
      <c r="G136">
        <v>1</v>
      </c>
    </row>
    <row r="137" spans="1:7">
      <c r="A137">
        <v>3</v>
      </c>
      <c r="B137" t="s">
        <v>647</v>
      </c>
      <c r="C137" t="s">
        <v>647</v>
      </c>
      <c r="D137">
        <v>3</v>
      </c>
      <c r="E137">
        <f t="shared" si="2"/>
        <v>13</v>
      </c>
      <c r="F137" t="s">
        <v>821</v>
      </c>
      <c r="G137">
        <v>1</v>
      </c>
    </row>
    <row r="138" spans="1:7">
      <c r="A138">
        <v>3</v>
      </c>
      <c r="B138" t="s">
        <v>1768</v>
      </c>
      <c r="C138" t="s">
        <v>1768</v>
      </c>
      <c r="D138">
        <v>3</v>
      </c>
      <c r="E138">
        <f t="shared" si="2"/>
        <v>13</v>
      </c>
      <c r="F138" t="s">
        <v>821</v>
      </c>
      <c r="G138">
        <v>1</v>
      </c>
    </row>
    <row r="139" spans="1:7">
      <c r="A139">
        <v>3</v>
      </c>
      <c r="B139" t="s">
        <v>68</v>
      </c>
      <c r="C139" t="s">
        <v>5525</v>
      </c>
      <c r="D139">
        <v>3</v>
      </c>
      <c r="E139">
        <f t="shared" si="2"/>
        <v>13</v>
      </c>
      <c r="F139" t="s">
        <v>821</v>
      </c>
      <c r="G139">
        <v>1</v>
      </c>
    </row>
    <row r="140" spans="1:7">
      <c r="A140">
        <v>3</v>
      </c>
      <c r="B140" t="s">
        <v>1264</v>
      </c>
      <c r="C140" t="s">
        <v>1264</v>
      </c>
      <c r="D140">
        <v>3</v>
      </c>
      <c r="E140">
        <f t="shared" si="2"/>
        <v>13</v>
      </c>
      <c r="F140" t="s">
        <v>821</v>
      </c>
      <c r="G140">
        <v>1</v>
      </c>
    </row>
    <row r="141" spans="1:7">
      <c r="A141">
        <v>3</v>
      </c>
      <c r="B141" t="s">
        <v>74</v>
      </c>
      <c r="C141" t="s">
        <v>727</v>
      </c>
      <c r="D141">
        <v>3</v>
      </c>
      <c r="E141">
        <f t="shared" si="2"/>
        <v>13</v>
      </c>
      <c r="F141" t="s">
        <v>821</v>
      </c>
      <c r="G141">
        <v>1</v>
      </c>
    </row>
    <row r="142" spans="1:7">
      <c r="A142">
        <v>3</v>
      </c>
      <c r="B142" t="s">
        <v>82</v>
      </c>
      <c r="C142" t="s">
        <v>82</v>
      </c>
      <c r="D142">
        <v>3</v>
      </c>
      <c r="E142">
        <f t="shared" si="2"/>
        <v>13</v>
      </c>
      <c r="F142" t="s">
        <v>821</v>
      </c>
      <c r="G142">
        <v>1</v>
      </c>
    </row>
    <row r="143" spans="1:7">
      <c r="A143">
        <v>3</v>
      </c>
      <c r="B143" t="s">
        <v>610</v>
      </c>
      <c r="C143" t="s">
        <v>610</v>
      </c>
      <c r="D143">
        <v>3</v>
      </c>
      <c r="E143">
        <f t="shared" si="2"/>
        <v>13</v>
      </c>
      <c r="F143" t="s">
        <v>821</v>
      </c>
      <c r="G143">
        <v>1</v>
      </c>
    </row>
    <row r="144" spans="1:7">
      <c r="A144">
        <v>3</v>
      </c>
      <c r="B144" t="s">
        <v>94</v>
      </c>
      <c r="C144" t="s">
        <v>5115</v>
      </c>
      <c r="D144">
        <v>3</v>
      </c>
      <c r="E144">
        <f t="shared" si="2"/>
        <v>13</v>
      </c>
      <c r="F144" t="s">
        <v>822</v>
      </c>
      <c r="G144">
        <v>1</v>
      </c>
    </row>
    <row r="145" spans="1:7">
      <c r="A145">
        <v>3</v>
      </c>
      <c r="B145" t="s">
        <v>668</v>
      </c>
      <c r="C145" t="s">
        <v>668</v>
      </c>
      <c r="D145">
        <v>3</v>
      </c>
      <c r="E145">
        <f t="shared" si="2"/>
        <v>13</v>
      </c>
      <c r="F145" t="s">
        <v>821</v>
      </c>
      <c r="G145">
        <v>1</v>
      </c>
    </row>
    <row r="146" spans="1:7">
      <c r="A146">
        <v>3</v>
      </c>
      <c r="B146" t="s">
        <v>95</v>
      </c>
      <c r="C146" t="s">
        <v>1450</v>
      </c>
      <c r="D146">
        <v>3</v>
      </c>
      <c r="E146">
        <f t="shared" si="2"/>
        <v>13</v>
      </c>
      <c r="F146" t="s">
        <v>821</v>
      </c>
      <c r="G146">
        <v>1</v>
      </c>
    </row>
    <row r="147" spans="1:7">
      <c r="A147">
        <v>3</v>
      </c>
      <c r="B147" t="s">
        <v>550</v>
      </c>
      <c r="C147" t="s">
        <v>550</v>
      </c>
      <c r="D147">
        <v>3</v>
      </c>
      <c r="E147">
        <f t="shared" si="2"/>
        <v>13</v>
      </c>
      <c r="F147" t="s">
        <v>821</v>
      </c>
      <c r="G147">
        <v>1</v>
      </c>
    </row>
    <row r="148" spans="1:7">
      <c r="A148">
        <v>3</v>
      </c>
      <c r="B148" t="s">
        <v>551</v>
      </c>
      <c r="C148" t="s">
        <v>1863</v>
      </c>
      <c r="D148">
        <v>3</v>
      </c>
      <c r="E148">
        <f t="shared" si="2"/>
        <v>13</v>
      </c>
      <c r="F148" t="s">
        <v>821</v>
      </c>
      <c r="G148">
        <v>1</v>
      </c>
    </row>
    <row r="149" spans="1:7">
      <c r="A149">
        <v>3</v>
      </c>
      <c r="B149" t="s">
        <v>1169</v>
      </c>
      <c r="C149" t="s">
        <v>1169</v>
      </c>
      <c r="D149">
        <v>3</v>
      </c>
      <c r="E149">
        <f t="shared" si="2"/>
        <v>13</v>
      </c>
      <c r="F149" t="s">
        <v>822</v>
      </c>
      <c r="G149">
        <v>1</v>
      </c>
    </row>
    <row r="150" spans="1:7">
      <c r="A150">
        <v>3</v>
      </c>
      <c r="B150" t="s">
        <v>557</v>
      </c>
      <c r="C150" t="s">
        <v>557</v>
      </c>
      <c r="D150">
        <v>3</v>
      </c>
      <c r="E150">
        <f t="shared" si="2"/>
        <v>13</v>
      </c>
      <c r="F150" t="s">
        <v>821</v>
      </c>
      <c r="G150">
        <v>1</v>
      </c>
    </row>
    <row r="151" spans="1:7">
      <c r="A151">
        <v>3</v>
      </c>
      <c r="B151" t="s">
        <v>649</v>
      </c>
      <c r="C151" t="s">
        <v>649</v>
      </c>
      <c r="D151">
        <v>3</v>
      </c>
      <c r="E151">
        <f t="shared" si="2"/>
        <v>13</v>
      </c>
      <c r="F151" t="s">
        <v>821</v>
      </c>
      <c r="G151">
        <v>1</v>
      </c>
    </row>
    <row r="152" spans="1:7">
      <c r="A152">
        <v>3</v>
      </c>
      <c r="B152" t="s">
        <v>1292</v>
      </c>
      <c r="C152" t="s">
        <v>1292</v>
      </c>
      <c r="D152">
        <v>3</v>
      </c>
      <c r="E152">
        <f t="shared" si="2"/>
        <v>13</v>
      </c>
      <c r="F152" t="s">
        <v>821</v>
      </c>
      <c r="G152">
        <v>1</v>
      </c>
    </row>
    <row r="153" spans="1:7">
      <c r="A153">
        <v>3</v>
      </c>
      <c r="B153" t="s">
        <v>669</v>
      </c>
      <c r="C153" t="s">
        <v>669</v>
      </c>
      <c r="D153">
        <v>3</v>
      </c>
      <c r="E153">
        <f t="shared" si="2"/>
        <v>13</v>
      </c>
      <c r="F153" t="s">
        <v>821</v>
      </c>
      <c r="G153">
        <v>1</v>
      </c>
    </row>
    <row r="154" spans="1:7">
      <c r="A154">
        <v>3</v>
      </c>
      <c r="B154" t="s">
        <v>112</v>
      </c>
      <c r="C154" t="s">
        <v>704</v>
      </c>
      <c r="D154">
        <v>3</v>
      </c>
      <c r="E154">
        <f t="shared" si="2"/>
        <v>13</v>
      </c>
      <c r="F154" t="s">
        <v>821</v>
      </c>
      <c r="G154">
        <v>1</v>
      </c>
    </row>
    <row r="155" spans="1:7">
      <c r="A155">
        <v>3</v>
      </c>
      <c r="B155" t="s">
        <v>634</v>
      </c>
      <c r="C155" t="s">
        <v>634</v>
      </c>
      <c r="D155">
        <v>3</v>
      </c>
      <c r="E155">
        <f t="shared" si="2"/>
        <v>13</v>
      </c>
      <c r="F155" t="s">
        <v>821</v>
      </c>
      <c r="G155">
        <v>1</v>
      </c>
    </row>
    <row r="156" spans="1:7">
      <c r="A156">
        <v>3</v>
      </c>
      <c r="B156" t="s">
        <v>1298</v>
      </c>
      <c r="C156" t="s">
        <v>1298</v>
      </c>
      <c r="D156">
        <v>3</v>
      </c>
      <c r="E156">
        <f t="shared" si="2"/>
        <v>13</v>
      </c>
      <c r="F156" t="s">
        <v>821</v>
      </c>
      <c r="G156">
        <v>1</v>
      </c>
    </row>
    <row r="157" spans="1:7">
      <c r="A157">
        <v>3</v>
      </c>
      <c r="B157" t="s">
        <v>685</v>
      </c>
      <c r="C157" t="s">
        <v>685</v>
      </c>
      <c r="D157">
        <v>3</v>
      </c>
      <c r="E157">
        <f t="shared" si="2"/>
        <v>13</v>
      </c>
      <c r="F157" t="s">
        <v>821</v>
      </c>
      <c r="G157">
        <v>1</v>
      </c>
    </row>
    <row r="158" spans="1:7">
      <c r="A158">
        <v>3</v>
      </c>
      <c r="B158" t="s">
        <v>121</v>
      </c>
      <c r="C158" t="s">
        <v>5124</v>
      </c>
      <c r="D158">
        <v>3</v>
      </c>
      <c r="E158">
        <f t="shared" si="2"/>
        <v>13</v>
      </c>
      <c r="F158" t="s">
        <v>821</v>
      </c>
      <c r="G158">
        <v>1</v>
      </c>
    </row>
    <row r="159" spans="1:7">
      <c r="A159">
        <v>3</v>
      </c>
      <c r="B159" t="s">
        <v>620</v>
      </c>
      <c r="C159" t="s">
        <v>620</v>
      </c>
      <c r="D159">
        <v>3</v>
      </c>
      <c r="E159">
        <f t="shared" si="2"/>
        <v>13</v>
      </c>
      <c r="F159" t="s">
        <v>821</v>
      </c>
      <c r="G159">
        <v>1</v>
      </c>
    </row>
    <row r="160" spans="1:7">
      <c r="A160">
        <v>3</v>
      </c>
      <c r="B160" t="s">
        <v>1115</v>
      </c>
      <c r="C160" t="s">
        <v>1115</v>
      </c>
      <c r="D160">
        <v>3</v>
      </c>
      <c r="E160">
        <f t="shared" si="2"/>
        <v>13</v>
      </c>
      <c r="F160" t="s">
        <v>821</v>
      </c>
      <c r="G160">
        <v>1</v>
      </c>
    </row>
    <row r="161" spans="1:7">
      <c r="A161">
        <v>3</v>
      </c>
      <c r="B161" t="s">
        <v>1324</v>
      </c>
      <c r="C161" t="s">
        <v>1324</v>
      </c>
      <c r="D161">
        <v>3</v>
      </c>
      <c r="E161">
        <f t="shared" si="2"/>
        <v>13</v>
      </c>
      <c r="F161" t="s">
        <v>821</v>
      </c>
      <c r="G161">
        <v>1</v>
      </c>
    </row>
    <row r="162" spans="1:7">
      <c r="A162">
        <v>3</v>
      </c>
      <c r="B162" t="s">
        <v>1767</v>
      </c>
      <c r="C162" t="s">
        <v>1767</v>
      </c>
      <c r="D162">
        <v>3</v>
      </c>
      <c r="E162">
        <f t="shared" si="2"/>
        <v>13</v>
      </c>
      <c r="F162" t="s">
        <v>821</v>
      </c>
      <c r="G162">
        <v>1</v>
      </c>
    </row>
    <row r="163" spans="1:7">
      <c r="A163">
        <v>3</v>
      </c>
      <c r="B163" t="s">
        <v>377</v>
      </c>
      <c r="C163" t="s">
        <v>377</v>
      </c>
      <c r="D163">
        <v>3</v>
      </c>
      <c r="E163">
        <f t="shared" si="2"/>
        <v>13</v>
      </c>
      <c r="F163" t="s">
        <v>821</v>
      </c>
      <c r="G163">
        <v>1</v>
      </c>
    </row>
    <row r="164" spans="1:7">
      <c r="A164">
        <v>3</v>
      </c>
      <c r="B164" t="s">
        <v>578</v>
      </c>
      <c r="C164" t="s">
        <v>6946</v>
      </c>
      <c r="D164">
        <v>3</v>
      </c>
      <c r="E164">
        <f t="shared" si="2"/>
        <v>13</v>
      </c>
      <c r="F164" t="s">
        <v>821</v>
      </c>
      <c r="G164">
        <v>1</v>
      </c>
    </row>
    <row r="165" spans="1:7">
      <c r="A165">
        <v>3</v>
      </c>
      <c r="B165" t="s">
        <v>579</v>
      </c>
      <c r="C165" t="s">
        <v>579</v>
      </c>
      <c r="D165">
        <v>3</v>
      </c>
      <c r="E165">
        <f t="shared" si="2"/>
        <v>13</v>
      </c>
      <c r="F165" t="s">
        <v>821</v>
      </c>
      <c r="G165">
        <v>1</v>
      </c>
    </row>
    <row r="166" spans="1:7">
      <c r="A166">
        <v>3</v>
      </c>
      <c r="B166" t="s">
        <v>162</v>
      </c>
      <c r="C166" t="s">
        <v>162</v>
      </c>
      <c r="D166">
        <v>3</v>
      </c>
      <c r="E166">
        <f t="shared" si="2"/>
        <v>13</v>
      </c>
      <c r="F166" t="s">
        <v>821</v>
      </c>
      <c r="G166">
        <v>1</v>
      </c>
    </row>
    <row r="167" spans="1:7">
      <c r="A167">
        <v>3</v>
      </c>
      <c r="B167" t="s">
        <v>665</v>
      </c>
      <c r="C167" t="s">
        <v>5537</v>
      </c>
      <c r="D167">
        <v>3</v>
      </c>
      <c r="E167">
        <f t="shared" si="2"/>
        <v>13</v>
      </c>
      <c r="F167" t="s">
        <v>821</v>
      </c>
      <c r="G167">
        <v>1</v>
      </c>
    </row>
    <row r="168" spans="1:7">
      <c r="A168">
        <v>3</v>
      </c>
      <c r="B168" t="s">
        <v>442</v>
      </c>
      <c r="C168" t="s">
        <v>442</v>
      </c>
      <c r="D168">
        <v>3</v>
      </c>
      <c r="E168">
        <f t="shared" si="2"/>
        <v>13</v>
      </c>
      <c r="F168" t="s">
        <v>821</v>
      </c>
      <c r="G168">
        <v>1</v>
      </c>
    </row>
    <row r="169" spans="1:7">
      <c r="A169">
        <v>3</v>
      </c>
      <c r="B169" t="s">
        <v>1126</v>
      </c>
      <c r="C169" t="s">
        <v>5139</v>
      </c>
      <c r="D169">
        <v>3</v>
      </c>
      <c r="E169">
        <f t="shared" si="2"/>
        <v>13</v>
      </c>
      <c r="F169" t="s">
        <v>821</v>
      </c>
      <c r="G169">
        <v>1</v>
      </c>
    </row>
    <row r="170" spans="1:7">
      <c r="A170">
        <v>3</v>
      </c>
      <c r="B170" t="s">
        <v>615</v>
      </c>
      <c r="C170" t="s">
        <v>712</v>
      </c>
      <c r="D170">
        <v>3</v>
      </c>
      <c r="E170">
        <f t="shared" si="2"/>
        <v>13</v>
      </c>
      <c r="F170" t="s">
        <v>821</v>
      </c>
      <c r="G170">
        <v>1</v>
      </c>
    </row>
    <row r="171" spans="1:7">
      <c r="A171">
        <v>3</v>
      </c>
      <c r="B171" t="s">
        <v>1361</v>
      </c>
      <c r="C171" t="s">
        <v>1361</v>
      </c>
      <c r="D171">
        <v>3</v>
      </c>
      <c r="E171">
        <f t="shared" si="2"/>
        <v>13</v>
      </c>
      <c r="F171" t="s">
        <v>821</v>
      </c>
      <c r="G171">
        <v>1</v>
      </c>
    </row>
    <row r="172" spans="1:7">
      <c r="A172">
        <v>3</v>
      </c>
      <c r="B172" t="s">
        <v>182</v>
      </c>
      <c r="C172" t="s">
        <v>5541</v>
      </c>
      <c r="D172">
        <v>3</v>
      </c>
      <c r="E172">
        <f t="shared" si="2"/>
        <v>13</v>
      </c>
      <c r="F172" t="s">
        <v>821</v>
      </c>
      <c r="G172">
        <v>1</v>
      </c>
    </row>
    <row r="173" spans="1:7">
      <c r="A173">
        <v>3</v>
      </c>
      <c r="B173" t="s">
        <v>198</v>
      </c>
      <c r="C173" t="s">
        <v>198</v>
      </c>
      <c r="D173">
        <v>3</v>
      </c>
      <c r="E173">
        <f t="shared" si="2"/>
        <v>13</v>
      </c>
      <c r="F173" t="s">
        <v>821</v>
      </c>
      <c r="G173">
        <v>1</v>
      </c>
    </row>
    <row r="174" spans="1:7">
      <c r="A174">
        <v>3</v>
      </c>
      <c r="B174" t="s">
        <v>214</v>
      </c>
      <c r="C174" t="s">
        <v>736</v>
      </c>
      <c r="D174">
        <v>3</v>
      </c>
      <c r="E174">
        <f t="shared" si="2"/>
        <v>13</v>
      </c>
      <c r="F174" t="s">
        <v>821</v>
      </c>
      <c r="G174">
        <v>1</v>
      </c>
    </row>
    <row r="175" spans="1:7">
      <c r="A175">
        <v>3</v>
      </c>
      <c r="B175" t="s">
        <v>1381</v>
      </c>
      <c r="C175" t="s">
        <v>1381</v>
      </c>
      <c r="D175">
        <v>3</v>
      </c>
      <c r="E175">
        <f t="shared" si="2"/>
        <v>13</v>
      </c>
      <c r="F175" t="s">
        <v>821</v>
      </c>
      <c r="G175">
        <v>1</v>
      </c>
    </row>
    <row r="176" spans="1:7">
      <c r="A176">
        <v>3</v>
      </c>
      <c r="B176" t="s">
        <v>1212</v>
      </c>
      <c r="C176" t="s">
        <v>1212</v>
      </c>
      <c r="D176">
        <v>3</v>
      </c>
      <c r="E176">
        <f t="shared" si="2"/>
        <v>13</v>
      </c>
      <c r="F176" t="s">
        <v>821</v>
      </c>
      <c r="G176">
        <v>1</v>
      </c>
    </row>
    <row r="177" spans="1:7">
      <c r="A177">
        <v>3</v>
      </c>
      <c r="B177" t="s">
        <v>361</v>
      </c>
      <c r="C177" t="s">
        <v>1392</v>
      </c>
      <c r="D177">
        <v>3</v>
      </c>
      <c r="E177">
        <f t="shared" si="2"/>
        <v>12</v>
      </c>
      <c r="F177" t="s">
        <v>821</v>
      </c>
      <c r="G177">
        <v>1</v>
      </c>
    </row>
    <row r="178" spans="1:7">
      <c r="A178">
        <v>3</v>
      </c>
      <c r="B178" t="s">
        <v>25</v>
      </c>
      <c r="C178" t="s">
        <v>693</v>
      </c>
      <c r="D178">
        <v>3</v>
      </c>
      <c r="E178">
        <f t="shared" si="2"/>
        <v>12</v>
      </c>
      <c r="F178" t="s">
        <v>821</v>
      </c>
      <c r="G178">
        <v>1</v>
      </c>
    </row>
    <row r="179" spans="1:7">
      <c r="A179">
        <v>3</v>
      </c>
      <c r="B179" t="s">
        <v>630</v>
      </c>
      <c r="C179" t="s">
        <v>630</v>
      </c>
      <c r="D179">
        <v>3</v>
      </c>
      <c r="E179">
        <f t="shared" si="2"/>
        <v>12</v>
      </c>
      <c r="F179" t="s">
        <v>821</v>
      </c>
      <c r="G179">
        <v>1</v>
      </c>
    </row>
    <row r="180" spans="1:7">
      <c r="A180">
        <v>3</v>
      </c>
      <c r="B180" t="s">
        <v>1024</v>
      </c>
      <c r="C180" t="s">
        <v>1024</v>
      </c>
      <c r="D180">
        <v>3</v>
      </c>
      <c r="E180">
        <f t="shared" si="2"/>
        <v>12</v>
      </c>
      <c r="F180" t="s">
        <v>821</v>
      </c>
      <c r="G180">
        <v>1</v>
      </c>
    </row>
    <row r="181" spans="1:7">
      <c r="A181">
        <v>3</v>
      </c>
      <c r="B181" t="s">
        <v>32</v>
      </c>
      <c r="C181" t="s">
        <v>32</v>
      </c>
      <c r="D181">
        <v>3</v>
      </c>
      <c r="E181">
        <f t="shared" si="2"/>
        <v>12</v>
      </c>
      <c r="F181" t="s">
        <v>821</v>
      </c>
      <c r="G181">
        <v>1</v>
      </c>
    </row>
    <row r="182" spans="1:7">
      <c r="A182">
        <v>3</v>
      </c>
      <c r="B182" t="s">
        <v>641</v>
      </c>
      <c r="C182" t="s">
        <v>641</v>
      </c>
      <c r="D182">
        <v>3</v>
      </c>
      <c r="E182">
        <f t="shared" si="2"/>
        <v>12</v>
      </c>
      <c r="F182" t="s">
        <v>821</v>
      </c>
      <c r="G182">
        <v>1</v>
      </c>
    </row>
    <row r="183" spans="1:7">
      <c r="A183">
        <v>3</v>
      </c>
      <c r="B183" t="s">
        <v>1159</v>
      </c>
      <c r="C183" t="s">
        <v>1159</v>
      </c>
      <c r="D183">
        <v>3</v>
      </c>
      <c r="E183">
        <f t="shared" si="2"/>
        <v>12</v>
      </c>
      <c r="F183" t="s">
        <v>821</v>
      </c>
      <c r="G183">
        <v>1</v>
      </c>
    </row>
    <row r="184" spans="1:7">
      <c r="A184">
        <v>3</v>
      </c>
      <c r="B184" t="s">
        <v>403</v>
      </c>
      <c r="C184" t="s">
        <v>5105</v>
      </c>
      <c r="D184">
        <v>3</v>
      </c>
      <c r="E184">
        <f t="shared" si="2"/>
        <v>12</v>
      </c>
      <c r="F184" t="s">
        <v>821</v>
      </c>
      <c r="G184">
        <v>1</v>
      </c>
    </row>
    <row r="185" spans="1:7">
      <c r="A185">
        <v>3</v>
      </c>
      <c r="B185" t="s">
        <v>626</v>
      </c>
      <c r="C185" t="s">
        <v>626</v>
      </c>
      <c r="D185">
        <v>3</v>
      </c>
      <c r="E185">
        <f t="shared" si="2"/>
        <v>12</v>
      </c>
      <c r="F185" t="s">
        <v>821</v>
      </c>
      <c r="G185">
        <v>1</v>
      </c>
    </row>
    <row r="186" spans="1:7">
      <c r="A186">
        <v>3</v>
      </c>
      <c r="B186" t="s">
        <v>1065</v>
      </c>
      <c r="C186" t="s">
        <v>1065</v>
      </c>
      <c r="D186">
        <v>3</v>
      </c>
      <c r="E186">
        <f t="shared" si="2"/>
        <v>12</v>
      </c>
      <c r="F186" t="s">
        <v>821</v>
      </c>
      <c r="G186">
        <v>1</v>
      </c>
    </row>
    <row r="187" spans="1:7">
      <c r="A187">
        <v>3</v>
      </c>
      <c r="B187" t="s">
        <v>505</v>
      </c>
      <c r="C187" t="s">
        <v>505</v>
      </c>
      <c r="D187">
        <v>3</v>
      </c>
      <c r="E187">
        <f t="shared" si="2"/>
        <v>12</v>
      </c>
      <c r="F187" t="s">
        <v>821</v>
      </c>
      <c r="G187">
        <v>1</v>
      </c>
    </row>
    <row r="188" spans="1:7">
      <c r="A188">
        <v>3</v>
      </c>
      <c r="B188" t="s">
        <v>1268</v>
      </c>
      <c r="C188" t="s">
        <v>1268</v>
      </c>
      <c r="D188">
        <v>3</v>
      </c>
      <c r="E188">
        <f t="shared" si="2"/>
        <v>12</v>
      </c>
      <c r="F188" t="s">
        <v>821</v>
      </c>
      <c r="G188">
        <v>1</v>
      </c>
    </row>
    <row r="189" spans="1:7">
      <c r="A189">
        <v>3</v>
      </c>
      <c r="B189" t="s">
        <v>607</v>
      </c>
      <c r="C189" t="s">
        <v>698</v>
      </c>
      <c r="D189">
        <v>3</v>
      </c>
      <c r="E189">
        <f t="shared" si="2"/>
        <v>12</v>
      </c>
      <c r="F189" t="s">
        <v>821</v>
      </c>
      <c r="G189">
        <v>1</v>
      </c>
    </row>
    <row r="190" spans="1:7">
      <c r="A190">
        <v>3</v>
      </c>
      <c r="B190" t="s">
        <v>73</v>
      </c>
      <c r="C190" t="s">
        <v>73</v>
      </c>
      <c r="D190">
        <v>3</v>
      </c>
      <c r="E190">
        <f t="shared" si="2"/>
        <v>12</v>
      </c>
      <c r="F190" t="s">
        <v>821</v>
      </c>
      <c r="G190">
        <v>1</v>
      </c>
    </row>
    <row r="191" spans="1:7">
      <c r="A191">
        <v>3</v>
      </c>
      <c r="B191" t="s">
        <v>76</v>
      </c>
      <c r="C191" t="s">
        <v>76</v>
      </c>
      <c r="D191">
        <v>3</v>
      </c>
      <c r="E191">
        <f t="shared" si="2"/>
        <v>12</v>
      </c>
      <c r="F191" t="s">
        <v>821</v>
      </c>
      <c r="G191">
        <v>1</v>
      </c>
    </row>
    <row r="192" spans="1:7">
      <c r="A192">
        <v>3</v>
      </c>
      <c r="B192" t="s">
        <v>1066</v>
      </c>
      <c r="C192" t="s">
        <v>1066</v>
      </c>
      <c r="D192">
        <v>3</v>
      </c>
      <c r="E192">
        <f t="shared" si="2"/>
        <v>12</v>
      </c>
      <c r="F192" t="s">
        <v>821</v>
      </c>
      <c r="G192">
        <v>1</v>
      </c>
    </row>
    <row r="193" spans="1:7">
      <c r="A193">
        <v>3</v>
      </c>
      <c r="B193" t="s">
        <v>1044</v>
      </c>
      <c r="C193" t="s">
        <v>1044</v>
      </c>
      <c r="D193">
        <v>3</v>
      </c>
      <c r="E193">
        <f t="shared" si="2"/>
        <v>12</v>
      </c>
      <c r="F193" t="s">
        <v>821</v>
      </c>
      <c r="G193">
        <v>1</v>
      </c>
    </row>
    <row r="194" spans="1:7">
      <c r="A194">
        <v>3</v>
      </c>
      <c r="B194" t="s">
        <v>544</v>
      </c>
      <c r="C194" t="s">
        <v>544</v>
      </c>
      <c r="D194">
        <v>3</v>
      </c>
      <c r="E194">
        <f t="shared" si="2"/>
        <v>12</v>
      </c>
      <c r="F194" t="s">
        <v>821</v>
      </c>
      <c r="G194">
        <v>1</v>
      </c>
    </row>
    <row r="195" spans="1:7">
      <c r="A195">
        <v>3</v>
      </c>
      <c r="B195" t="s">
        <v>97</v>
      </c>
      <c r="C195" t="s">
        <v>5530</v>
      </c>
      <c r="D195">
        <v>3</v>
      </c>
      <c r="E195">
        <f t="shared" ref="E195:E258" si="3">LEN(B195)</f>
        <v>12</v>
      </c>
      <c r="F195" t="s">
        <v>821</v>
      </c>
      <c r="G195">
        <v>1</v>
      </c>
    </row>
    <row r="196" spans="1:7">
      <c r="A196">
        <v>3</v>
      </c>
      <c r="B196" t="s">
        <v>633</v>
      </c>
      <c r="C196" t="s">
        <v>633</v>
      </c>
      <c r="D196">
        <v>3</v>
      </c>
      <c r="E196">
        <f t="shared" si="3"/>
        <v>12</v>
      </c>
      <c r="F196" t="s">
        <v>821</v>
      </c>
      <c r="G196">
        <v>1</v>
      </c>
    </row>
    <row r="197" spans="1:7">
      <c r="A197">
        <v>3</v>
      </c>
      <c r="B197" t="s">
        <v>1288</v>
      </c>
      <c r="C197" t="s">
        <v>1288</v>
      </c>
      <c r="D197">
        <v>3</v>
      </c>
      <c r="E197">
        <f t="shared" si="3"/>
        <v>12</v>
      </c>
      <c r="F197" t="s">
        <v>821</v>
      </c>
      <c r="G197">
        <v>1</v>
      </c>
    </row>
    <row r="198" spans="1:7">
      <c r="A198">
        <v>3</v>
      </c>
      <c r="B198" t="s">
        <v>1173</v>
      </c>
      <c r="C198" t="s">
        <v>1173</v>
      </c>
      <c r="D198">
        <v>3</v>
      </c>
      <c r="E198">
        <f t="shared" si="3"/>
        <v>12</v>
      </c>
      <c r="F198" t="s">
        <v>821</v>
      </c>
      <c r="G198">
        <v>1</v>
      </c>
    </row>
    <row r="199" spans="1:7">
      <c r="A199">
        <v>3</v>
      </c>
      <c r="B199" t="s">
        <v>1769</v>
      </c>
      <c r="C199" t="s">
        <v>1769</v>
      </c>
      <c r="D199">
        <v>3</v>
      </c>
      <c r="E199">
        <f t="shared" si="3"/>
        <v>12</v>
      </c>
      <c r="F199" t="s">
        <v>821</v>
      </c>
      <c r="G199">
        <v>1</v>
      </c>
    </row>
    <row r="200" spans="1:7">
      <c r="A200">
        <v>3</v>
      </c>
      <c r="B200" t="s">
        <v>1293</v>
      </c>
      <c r="C200" t="s">
        <v>1293</v>
      </c>
      <c r="D200">
        <v>3</v>
      </c>
      <c r="E200">
        <f t="shared" si="3"/>
        <v>12</v>
      </c>
      <c r="F200" t="s">
        <v>821</v>
      </c>
      <c r="G200">
        <v>1</v>
      </c>
    </row>
    <row r="201" spans="1:7">
      <c r="A201">
        <v>3</v>
      </c>
      <c r="B201" t="s">
        <v>116</v>
      </c>
      <c r="C201" t="s">
        <v>730</v>
      </c>
      <c r="D201">
        <v>3</v>
      </c>
      <c r="E201">
        <f t="shared" si="3"/>
        <v>12</v>
      </c>
      <c r="F201" t="s">
        <v>821</v>
      </c>
      <c r="G201">
        <v>1</v>
      </c>
    </row>
    <row r="202" spans="1:7">
      <c r="A202">
        <v>3</v>
      </c>
      <c r="B202" t="s">
        <v>124</v>
      </c>
      <c r="C202" t="s">
        <v>124</v>
      </c>
      <c r="D202">
        <v>3</v>
      </c>
      <c r="E202">
        <f t="shared" si="3"/>
        <v>12</v>
      </c>
      <c r="F202" t="s">
        <v>821</v>
      </c>
      <c r="G202">
        <v>1</v>
      </c>
    </row>
    <row r="203" spans="1:7">
      <c r="A203">
        <v>3</v>
      </c>
      <c r="B203" t="s">
        <v>808</v>
      </c>
      <c r="C203" t="s">
        <v>808</v>
      </c>
      <c r="D203">
        <v>3</v>
      </c>
      <c r="E203">
        <f t="shared" si="3"/>
        <v>12</v>
      </c>
      <c r="F203" t="s">
        <v>821</v>
      </c>
      <c r="G203">
        <v>1</v>
      </c>
    </row>
    <row r="204" spans="1:7">
      <c r="A204">
        <v>3</v>
      </c>
      <c r="B204" t="s">
        <v>654</v>
      </c>
      <c r="C204" t="s">
        <v>654</v>
      </c>
      <c r="D204">
        <v>3</v>
      </c>
      <c r="E204">
        <f t="shared" si="3"/>
        <v>12</v>
      </c>
      <c r="F204" t="s">
        <v>821</v>
      </c>
      <c r="G204">
        <v>1</v>
      </c>
    </row>
    <row r="205" spans="1:7">
      <c r="A205">
        <v>3</v>
      </c>
      <c r="B205" t="s">
        <v>1185</v>
      </c>
      <c r="C205" t="s">
        <v>1185</v>
      </c>
      <c r="D205">
        <v>3</v>
      </c>
      <c r="E205">
        <f t="shared" si="3"/>
        <v>12</v>
      </c>
      <c r="F205" t="s">
        <v>821</v>
      </c>
      <c r="G205">
        <v>1</v>
      </c>
    </row>
    <row r="206" spans="1:7">
      <c r="A206">
        <v>3</v>
      </c>
      <c r="B206" t="s">
        <v>133</v>
      </c>
      <c r="C206" t="s">
        <v>133</v>
      </c>
      <c r="D206">
        <v>3</v>
      </c>
      <c r="E206">
        <f t="shared" si="3"/>
        <v>12</v>
      </c>
      <c r="F206" t="s">
        <v>821</v>
      </c>
      <c r="G206">
        <v>1</v>
      </c>
    </row>
    <row r="207" spans="1:7">
      <c r="A207">
        <v>3</v>
      </c>
      <c r="B207" t="s">
        <v>140</v>
      </c>
      <c r="C207" t="s">
        <v>5128</v>
      </c>
      <c r="D207">
        <v>3</v>
      </c>
      <c r="E207">
        <f t="shared" si="3"/>
        <v>12</v>
      </c>
      <c r="F207" t="s">
        <v>821</v>
      </c>
      <c r="G207">
        <v>1</v>
      </c>
    </row>
    <row r="208" spans="1:7">
      <c r="A208">
        <v>3</v>
      </c>
      <c r="B208" t="s">
        <v>614</v>
      </c>
      <c r="C208" t="s">
        <v>709</v>
      </c>
      <c r="D208">
        <v>3</v>
      </c>
      <c r="E208">
        <f t="shared" si="3"/>
        <v>12</v>
      </c>
      <c r="F208" t="s">
        <v>821</v>
      </c>
      <c r="G208">
        <v>1</v>
      </c>
    </row>
    <row r="209" spans="1:7">
      <c r="A209">
        <v>3</v>
      </c>
      <c r="B209" t="s">
        <v>1331</v>
      </c>
      <c r="C209" t="s">
        <v>1331</v>
      </c>
      <c r="D209">
        <v>3</v>
      </c>
      <c r="E209">
        <f t="shared" si="3"/>
        <v>12</v>
      </c>
      <c r="F209" t="s">
        <v>821</v>
      </c>
      <c r="G209">
        <v>1</v>
      </c>
    </row>
    <row r="210" spans="1:7">
      <c r="A210">
        <v>3</v>
      </c>
      <c r="B210" t="s">
        <v>1334</v>
      </c>
      <c r="C210" t="s">
        <v>1334</v>
      </c>
      <c r="D210">
        <v>3</v>
      </c>
      <c r="E210">
        <f t="shared" si="3"/>
        <v>12</v>
      </c>
      <c r="F210" t="s">
        <v>821</v>
      </c>
      <c r="G210">
        <v>1</v>
      </c>
    </row>
    <row r="211" spans="1:7">
      <c r="A211">
        <v>3</v>
      </c>
      <c r="B211" t="s">
        <v>1335</v>
      </c>
      <c r="C211" t="s">
        <v>1335</v>
      </c>
      <c r="D211">
        <v>3</v>
      </c>
      <c r="E211">
        <f t="shared" si="3"/>
        <v>12</v>
      </c>
      <c r="F211" t="s">
        <v>821</v>
      </c>
      <c r="G211">
        <v>1</v>
      </c>
    </row>
    <row r="212" spans="1:7">
      <c r="A212">
        <v>3</v>
      </c>
      <c r="B212" t="s">
        <v>656</v>
      </c>
      <c r="C212" t="s">
        <v>656</v>
      </c>
      <c r="D212">
        <v>3</v>
      </c>
      <c r="E212">
        <f t="shared" si="3"/>
        <v>12</v>
      </c>
      <c r="F212" t="s">
        <v>821</v>
      </c>
      <c r="G212">
        <v>1</v>
      </c>
    </row>
    <row r="213" spans="1:7">
      <c r="A213">
        <v>3</v>
      </c>
      <c r="B213" t="s">
        <v>1120</v>
      </c>
      <c r="C213" t="s">
        <v>1120</v>
      </c>
      <c r="D213">
        <v>3</v>
      </c>
      <c r="E213">
        <f t="shared" si="3"/>
        <v>12</v>
      </c>
      <c r="F213" t="s">
        <v>821</v>
      </c>
      <c r="G213">
        <v>1</v>
      </c>
    </row>
    <row r="214" spans="1:7">
      <c r="A214">
        <v>3</v>
      </c>
      <c r="B214" t="s">
        <v>1338</v>
      </c>
      <c r="C214" t="s">
        <v>1338</v>
      </c>
      <c r="D214">
        <v>3</v>
      </c>
      <c r="E214">
        <f t="shared" si="3"/>
        <v>12</v>
      </c>
      <c r="F214" t="s">
        <v>821</v>
      </c>
      <c r="G214">
        <v>1</v>
      </c>
    </row>
    <row r="215" spans="1:7">
      <c r="A215">
        <v>3</v>
      </c>
      <c r="B215" t="s">
        <v>586</v>
      </c>
      <c r="C215" t="s">
        <v>586</v>
      </c>
      <c r="D215">
        <v>3</v>
      </c>
      <c r="E215">
        <f t="shared" si="3"/>
        <v>12</v>
      </c>
      <c r="F215" t="s">
        <v>821</v>
      </c>
      <c r="G215">
        <v>1</v>
      </c>
    </row>
    <row r="216" spans="1:7">
      <c r="A216">
        <v>3</v>
      </c>
      <c r="B216" t="s">
        <v>1125</v>
      </c>
      <c r="C216" t="s">
        <v>1408</v>
      </c>
      <c r="D216">
        <v>3</v>
      </c>
      <c r="E216">
        <f t="shared" si="3"/>
        <v>12</v>
      </c>
      <c r="F216" t="s">
        <v>821</v>
      </c>
      <c r="G216">
        <v>1</v>
      </c>
    </row>
    <row r="217" spans="1:7">
      <c r="A217">
        <v>3</v>
      </c>
      <c r="B217" t="s">
        <v>1357</v>
      </c>
      <c r="C217" t="s">
        <v>1357</v>
      </c>
      <c r="D217">
        <v>3</v>
      </c>
      <c r="E217">
        <f t="shared" si="3"/>
        <v>12</v>
      </c>
      <c r="F217" t="s">
        <v>821</v>
      </c>
      <c r="G217">
        <v>1</v>
      </c>
    </row>
    <row r="218" spans="1:7">
      <c r="A218">
        <v>3</v>
      </c>
      <c r="B218" t="s">
        <v>1202</v>
      </c>
      <c r="C218" t="s">
        <v>1202</v>
      </c>
      <c r="D218">
        <v>3</v>
      </c>
      <c r="E218">
        <f t="shared" si="3"/>
        <v>12</v>
      </c>
      <c r="F218" t="s">
        <v>821</v>
      </c>
      <c r="G218">
        <v>1</v>
      </c>
    </row>
    <row r="219" spans="1:7">
      <c r="A219">
        <v>3</v>
      </c>
      <c r="B219" t="s">
        <v>600</v>
      </c>
      <c r="C219" t="s">
        <v>5141</v>
      </c>
      <c r="D219">
        <v>3</v>
      </c>
      <c r="E219">
        <f t="shared" si="3"/>
        <v>12</v>
      </c>
      <c r="F219" t="s">
        <v>821</v>
      </c>
      <c r="G219">
        <v>1</v>
      </c>
    </row>
    <row r="220" spans="1:7">
      <c r="A220">
        <v>3</v>
      </c>
      <c r="B220" t="s">
        <v>1007</v>
      </c>
      <c r="C220" t="s">
        <v>5142</v>
      </c>
      <c r="D220">
        <v>3</v>
      </c>
      <c r="E220">
        <f t="shared" si="3"/>
        <v>12</v>
      </c>
      <c r="F220" t="s">
        <v>1420</v>
      </c>
      <c r="G220">
        <v>1</v>
      </c>
    </row>
    <row r="221" spans="1:7">
      <c r="A221">
        <v>3</v>
      </c>
      <c r="B221" t="s">
        <v>912</v>
      </c>
      <c r="C221" t="s">
        <v>912</v>
      </c>
      <c r="D221">
        <v>3</v>
      </c>
      <c r="E221">
        <f t="shared" si="3"/>
        <v>12</v>
      </c>
      <c r="F221" t="s">
        <v>821</v>
      </c>
      <c r="G221">
        <v>1</v>
      </c>
    </row>
    <row r="222" spans="1:7">
      <c r="A222">
        <v>3</v>
      </c>
      <c r="B222" t="s">
        <v>589</v>
      </c>
      <c r="C222" t="s">
        <v>589</v>
      </c>
      <c r="D222">
        <v>3</v>
      </c>
      <c r="E222">
        <f t="shared" si="3"/>
        <v>12</v>
      </c>
      <c r="F222" t="s">
        <v>821</v>
      </c>
      <c r="G222">
        <v>1</v>
      </c>
    </row>
    <row r="223" spans="1:7">
      <c r="A223">
        <v>3</v>
      </c>
      <c r="B223" t="s">
        <v>190</v>
      </c>
      <c r="C223" t="s">
        <v>5144</v>
      </c>
      <c r="D223">
        <v>3</v>
      </c>
      <c r="E223">
        <f t="shared" si="3"/>
        <v>12</v>
      </c>
      <c r="F223" t="s">
        <v>821</v>
      </c>
      <c r="G223">
        <v>1</v>
      </c>
    </row>
    <row r="224" spans="1:7">
      <c r="A224">
        <v>3</v>
      </c>
      <c r="B224" t="s">
        <v>734</v>
      </c>
      <c r="C224" t="s">
        <v>5148</v>
      </c>
      <c r="D224">
        <v>3</v>
      </c>
      <c r="E224">
        <f t="shared" si="3"/>
        <v>12</v>
      </c>
      <c r="F224" t="s">
        <v>821</v>
      </c>
      <c r="G224">
        <v>1</v>
      </c>
    </row>
    <row r="225" spans="1:7">
      <c r="A225">
        <v>3</v>
      </c>
      <c r="B225" t="s">
        <v>1089</v>
      </c>
      <c r="C225" t="s">
        <v>1089</v>
      </c>
      <c r="D225">
        <v>3</v>
      </c>
      <c r="E225">
        <f t="shared" si="3"/>
        <v>12</v>
      </c>
      <c r="F225" t="s">
        <v>821</v>
      </c>
      <c r="G225">
        <v>1</v>
      </c>
    </row>
    <row r="226" spans="1:7">
      <c r="A226">
        <v>3</v>
      </c>
      <c r="B226" t="s">
        <v>1129</v>
      </c>
      <c r="C226" t="s">
        <v>1129</v>
      </c>
      <c r="D226">
        <v>3</v>
      </c>
      <c r="E226">
        <f t="shared" si="3"/>
        <v>12</v>
      </c>
      <c r="F226" t="s">
        <v>821</v>
      </c>
      <c r="G226">
        <v>1</v>
      </c>
    </row>
    <row r="227" spans="1:7">
      <c r="A227">
        <v>3</v>
      </c>
      <c r="B227" t="s">
        <v>300</v>
      </c>
      <c r="C227" t="s">
        <v>737</v>
      </c>
      <c r="D227">
        <v>3</v>
      </c>
      <c r="E227">
        <f t="shared" si="3"/>
        <v>12</v>
      </c>
      <c r="F227" t="s">
        <v>821</v>
      </c>
      <c r="G227">
        <v>1</v>
      </c>
    </row>
    <row r="228" spans="1:7">
      <c r="A228">
        <v>3</v>
      </c>
      <c r="B228" t="s">
        <v>809</v>
      </c>
      <c r="C228" t="s">
        <v>809</v>
      </c>
      <c r="D228">
        <v>3</v>
      </c>
      <c r="E228">
        <f t="shared" si="3"/>
        <v>12</v>
      </c>
      <c r="F228" t="s">
        <v>821</v>
      </c>
      <c r="G228">
        <v>1</v>
      </c>
    </row>
    <row r="229" spans="1:7">
      <c r="A229">
        <v>3</v>
      </c>
      <c r="B229" t="s">
        <v>459</v>
      </c>
      <c r="C229" t="s">
        <v>459</v>
      </c>
      <c r="D229">
        <v>3</v>
      </c>
      <c r="E229">
        <f t="shared" si="3"/>
        <v>12</v>
      </c>
      <c r="F229" t="s">
        <v>821</v>
      </c>
      <c r="G229">
        <v>1</v>
      </c>
    </row>
    <row r="230" spans="1:7">
      <c r="A230">
        <v>3</v>
      </c>
      <c r="B230" t="s">
        <v>6493</v>
      </c>
      <c r="C230" t="s">
        <v>5108</v>
      </c>
      <c r="D230">
        <v>3</v>
      </c>
      <c r="E230">
        <f t="shared" si="3"/>
        <v>12</v>
      </c>
      <c r="F230" t="s">
        <v>821</v>
      </c>
      <c r="G230">
        <v>1</v>
      </c>
    </row>
    <row r="231" spans="1:7">
      <c r="A231">
        <v>3</v>
      </c>
      <c r="B231" t="s">
        <v>6647</v>
      </c>
      <c r="C231" t="s">
        <v>10684</v>
      </c>
      <c r="D231">
        <v>3</v>
      </c>
      <c r="E231">
        <f t="shared" si="3"/>
        <v>12</v>
      </c>
      <c r="F231" t="s">
        <v>821</v>
      </c>
      <c r="G231">
        <v>1</v>
      </c>
    </row>
    <row r="232" spans="1:7">
      <c r="A232">
        <v>3</v>
      </c>
      <c r="B232" t="s">
        <v>1225</v>
      </c>
      <c r="C232" t="s">
        <v>1225</v>
      </c>
      <c r="D232">
        <v>3</v>
      </c>
      <c r="E232">
        <f t="shared" si="3"/>
        <v>11</v>
      </c>
      <c r="F232" t="s">
        <v>821</v>
      </c>
      <c r="G232">
        <v>1</v>
      </c>
    </row>
    <row r="233" spans="1:7">
      <c r="A233">
        <v>3</v>
      </c>
      <c r="B233" t="s">
        <v>1013</v>
      </c>
      <c r="C233" t="s">
        <v>6434</v>
      </c>
      <c r="D233">
        <v>3</v>
      </c>
      <c r="E233">
        <f t="shared" si="3"/>
        <v>11</v>
      </c>
      <c r="F233" t="s">
        <v>821</v>
      </c>
      <c r="G233">
        <v>1</v>
      </c>
    </row>
    <row r="234" spans="1:7">
      <c r="A234">
        <v>3</v>
      </c>
      <c r="B234" t="s">
        <v>464</v>
      </c>
      <c r="C234" t="s">
        <v>5264</v>
      </c>
      <c r="D234">
        <v>3</v>
      </c>
      <c r="E234">
        <f t="shared" si="3"/>
        <v>11</v>
      </c>
      <c r="F234" t="s">
        <v>821</v>
      </c>
      <c r="G234">
        <v>1</v>
      </c>
    </row>
    <row r="235" spans="1:7">
      <c r="A235">
        <v>3</v>
      </c>
      <c r="B235" t="s">
        <v>1228</v>
      </c>
      <c r="C235" t="s">
        <v>1228</v>
      </c>
      <c r="D235">
        <v>3</v>
      </c>
      <c r="E235">
        <f t="shared" si="3"/>
        <v>11</v>
      </c>
      <c r="F235" t="s">
        <v>821</v>
      </c>
      <c r="G235">
        <v>1</v>
      </c>
    </row>
    <row r="236" spans="1:7">
      <c r="A236">
        <v>3</v>
      </c>
      <c r="B236" t="s">
        <v>1775</v>
      </c>
      <c r="C236" t="s">
        <v>1775</v>
      </c>
      <c r="D236">
        <v>3</v>
      </c>
      <c r="E236">
        <f t="shared" si="3"/>
        <v>11</v>
      </c>
      <c r="F236" t="s">
        <v>821</v>
      </c>
      <c r="G236">
        <v>1</v>
      </c>
    </row>
    <row r="237" spans="1:7">
      <c r="A237">
        <v>3</v>
      </c>
      <c r="B237" t="s">
        <v>5177</v>
      </c>
      <c r="C237" t="s">
        <v>5177</v>
      </c>
      <c r="D237">
        <v>3</v>
      </c>
      <c r="E237">
        <f t="shared" si="3"/>
        <v>11</v>
      </c>
      <c r="F237" t="s">
        <v>821</v>
      </c>
      <c r="G237">
        <v>1</v>
      </c>
    </row>
    <row r="238" spans="1:7">
      <c r="A238">
        <v>3</v>
      </c>
      <c r="B238" t="s">
        <v>509</v>
      </c>
      <c r="C238" t="s">
        <v>509</v>
      </c>
      <c r="D238">
        <v>3</v>
      </c>
      <c r="E238">
        <f t="shared" si="3"/>
        <v>11</v>
      </c>
      <c r="F238" t="s">
        <v>821</v>
      </c>
      <c r="G238">
        <v>1</v>
      </c>
    </row>
    <row r="239" spans="1:7">
      <c r="A239">
        <v>3</v>
      </c>
      <c r="B239" t="s">
        <v>643</v>
      </c>
      <c r="C239" t="s">
        <v>643</v>
      </c>
      <c r="D239">
        <v>3</v>
      </c>
      <c r="E239">
        <f t="shared" si="3"/>
        <v>11</v>
      </c>
      <c r="F239" t="s">
        <v>821</v>
      </c>
      <c r="G239">
        <v>1</v>
      </c>
    </row>
    <row r="240" spans="1:7">
      <c r="A240">
        <v>3</v>
      </c>
      <c r="B240" t="s">
        <v>1029</v>
      </c>
      <c r="C240" t="s">
        <v>1029</v>
      </c>
      <c r="D240">
        <v>3</v>
      </c>
      <c r="E240">
        <f t="shared" si="3"/>
        <v>11</v>
      </c>
      <c r="F240" t="s">
        <v>821</v>
      </c>
      <c r="G240">
        <v>1</v>
      </c>
    </row>
    <row r="241" spans="1:7">
      <c r="A241">
        <v>3</v>
      </c>
      <c r="B241" t="s">
        <v>631</v>
      </c>
      <c r="C241" t="s">
        <v>631</v>
      </c>
      <c r="D241">
        <v>3</v>
      </c>
      <c r="E241">
        <f t="shared" si="3"/>
        <v>11</v>
      </c>
      <c r="F241" t="s">
        <v>821</v>
      </c>
      <c r="G241">
        <v>1</v>
      </c>
    </row>
    <row r="242" spans="1:7">
      <c r="A242">
        <v>3</v>
      </c>
      <c r="B242" t="s">
        <v>679</v>
      </c>
      <c r="C242" t="s">
        <v>679</v>
      </c>
      <c r="D242">
        <v>3</v>
      </c>
      <c r="E242">
        <f t="shared" si="3"/>
        <v>11</v>
      </c>
      <c r="F242" t="s">
        <v>821</v>
      </c>
      <c r="G242">
        <v>1</v>
      </c>
    </row>
    <row r="243" spans="1:7">
      <c r="A243">
        <v>3</v>
      </c>
      <c r="B243" t="s">
        <v>539</v>
      </c>
      <c r="C243" t="s">
        <v>539</v>
      </c>
      <c r="D243">
        <v>3</v>
      </c>
      <c r="E243">
        <f t="shared" si="3"/>
        <v>11</v>
      </c>
      <c r="F243" t="s">
        <v>821</v>
      </c>
      <c r="G243">
        <v>1</v>
      </c>
    </row>
    <row r="244" spans="1:7">
      <c r="A244">
        <v>3</v>
      </c>
      <c r="B244" t="s">
        <v>55</v>
      </c>
      <c r="C244" t="s">
        <v>55</v>
      </c>
      <c r="D244">
        <v>3</v>
      </c>
      <c r="E244">
        <f t="shared" si="3"/>
        <v>11</v>
      </c>
      <c r="F244" t="s">
        <v>821</v>
      </c>
      <c r="G244">
        <v>1</v>
      </c>
    </row>
    <row r="245" spans="1:7">
      <c r="A245">
        <v>3</v>
      </c>
      <c r="B245" t="s">
        <v>59</v>
      </c>
      <c r="C245" t="s">
        <v>696</v>
      </c>
      <c r="D245">
        <v>3</v>
      </c>
      <c r="E245">
        <f t="shared" si="3"/>
        <v>11</v>
      </c>
      <c r="F245" t="s">
        <v>821</v>
      </c>
      <c r="G245">
        <v>1</v>
      </c>
    </row>
    <row r="246" spans="1:7">
      <c r="A246">
        <v>3</v>
      </c>
      <c r="B246" t="s">
        <v>726</v>
      </c>
      <c r="C246" t="s">
        <v>695</v>
      </c>
      <c r="D246">
        <v>3</v>
      </c>
      <c r="E246">
        <f t="shared" si="3"/>
        <v>11</v>
      </c>
      <c r="F246" t="s">
        <v>821</v>
      </c>
      <c r="G246">
        <v>1</v>
      </c>
    </row>
    <row r="247" spans="1:7">
      <c r="A247">
        <v>3</v>
      </c>
      <c r="B247" t="s">
        <v>1040</v>
      </c>
      <c r="C247" t="s">
        <v>1040</v>
      </c>
      <c r="D247">
        <v>3</v>
      </c>
      <c r="E247">
        <f t="shared" si="3"/>
        <v>11</v>
      </c>
      <c r="F247" t="s">
        <v>821</v>
      </c>
      <c r="G247">
        <v>1</v>
      </c>
    </row>
    <row r="248" spans="1:7">
      <c r="A248">
        <v>3</v>
      </c>
      <c r="B248" t="s">
        <v>1772</v>
      </c>
      <c r="C248" t="s">
        <v>1772</v>
      </c>
      <c r="D248">
        <v>3</v>
      </c>
      <c r="E248">
        <f t="shared" si="3"/>
        <v>11</v>
      </c>
      <c r="F248" t="s">
        <v>821</v>
      </c>
      <c r="G248">
        <v>1</v>
      </c>
    </row>
    <row r="249" spans="1:7">
      <c r="A249">
        <v>3</v>
      </c>
      <c r="B249" t="s">
        <v>1773</v>
      </c>
      <c r="C249" t="s">
        <v>1773</v>
      </c>
      <c r="D249">
        <v>3</v>
      </c>
      <c r="E249">
        <f t="shared" si="3"/>
        <v>11</v>
      </c>
      <c r="F249" t="s">
        <v>821</v>
      </c>
      <c r="G249">
        <v>1</v>
      </c>
    </row>
    <row r="250" spans="1:7">
      <c r="A250">
        <v>3</v>
      </c>
      <c r="B250" t="s">
        <v>1106</v>
      </c>
      <c r="C250" t="s">
        <v>1106</v>
      </c>
      <c r="D250">
        <v>3</v>
      </c>
      <c r="E250">
        <f t="shared" si="3"/>
        <v>11</v>
      </c>
      <c r="F250" t="s">
        <v>821</v>
      </c>
      <c r="G250">
        <v>1</v>
      </c>
    </row>
    <row r="251" spans="1:7">
      <c r="A251">
        <v>3</v>
      </c>
      <c r="B251" t="s">
        <v>92</v>
      </c>
      <c r="C251" t="s">
        <v>92</v>
      </c>
      <c r="D251">
        <v>3</v>
      </c>
      <c r="E251">
        <f t="shared" si="3"/>
        <v>11</v>
      </c>
      <c r="F251" t="s">
        <v>821</v>
      </c>
      <c r="G251">
        <v>1</v>
      </c>
    </row>
    <row r="252" spans="1:7">
      <c r="A252">
        <v>3</v>
      </c>
      <c r="B252" t="s">
        <v>1284</v>
      </c>
      <c r="C252" t="s">
        <v>1284</v>
      </c>
      <c r="D252">
        <v>3</v>
      </c>
      <c r="E252">
        <f t="shared" si="3"/>
        <v>11</v>
      </c>
      <c r="F252" t="s">
        <v>821</v>
      </c>
      <c r="G252">
        <v>1</v>
      </c>
    </row>
    <row r="253" spans="1:7">
      <c r="A253">
        <v>3</v>
      </c>
      <c r="B253" t="s">
        <v>419</v>
      </c>
      <c r="C253" t="s">
        <v>419</v>
      </c>
      <c r="D253">
        <v>3</v>
      </c>
      <c r="E253">
        <f t="shared" si="3"/>
        <v>11</v>
      </c>
      <c r="F253" t="s">
        <v>821</v>
      </c>
      <c r="G253">
        <v>1</v>
      </c>
    </row>
    <row r="254" spans="1:7">
      <c r="A254">
        <v>3</v>
      </c>
      <c r="B254" t="s">
        <v>420</v>
      </c>
      <c r="C254" t="s">
        <v>420</v>
      </c>
      <c r="D254">
        <v>3</v>
      </c>
      <c r="E254">
        <f t="shared" si="3"/>
        <v>11</v>
      </c>
      <c r="F254" t="s">
        <v>821</v>
      </c>
      <c r="G254">
        <v>1</v>
      </c>
    </row>
    <row r="255" spans="1:7">
      <c r="A255">
        <v>3</v>
      </c>
      <c r="B255" t="s">
        <v>672</v>
      </c>
      <c r="C255" t="s">
        <v>5531</v>
      </c>
      <c r="D255">
        <v>3</v>
      </c>
      <c r="E255">
        <f t="shared" si="3"/>
        <v>11</v>
      </c>
      <c r="F255" t="s">
        <v>821</v>
      </c>
      <c r="G255">
        <v>1</v>
      </c>
    </row>
    <row r="256" spans="1:7">
      <c r="A256">
        <v>3</v>
      </c>
      <c r="B256" t="s">
        <v>1289</v>
      </c>
      <c r="C256" t="s">
        <v>1289</v>
      </c>
      <c r="D256">
        <v>3</v>
      </c>
      <c r="E256">
        <f t="shared" si="3"/>
        <v>11</v>
      </c>
      <c r="F256" t="s">
        <v>821</v>
      </c>
      <c r="G256">
        <v>1</v>
      </c>
    </row>
    <row r="257" spans="1:7">
      <c r="A257">
        <v>3</v>
      </c>
      <c r="B257" t="s">
        <v>1109</v>
      </c>
      <c r="C257" t="s">
        <v>1109</v>
      </c>
      <c r="D257">
        <v>3</v>
      </c>
      <c r="E257">
        <f t="shared" si="3"/>
        <v>11</v>
      </c>
      <c r="F257" t="s">
        <v>821</v>
      </c>
      <c r="G257">
        <v>1</v>
      </c>
    </row>
    <row r="258" spans="1:7">
      <c r="A258">
        <v>3</v>
      </c>
      <c r="B258" t="s">
        <v>553</v>
      </c>
      <c r="C258" t="s">
        <v>5117</v>
      </c>
      <c r="D258">
        <v>3</v>
      </c>
      <c r="E258">
        <f t="shared" si="3"/>
        <v>11</v>
      </c>
      <c r="F258" t="s">
        <v>821</v>
      </c>
      <c r="G258">
        <v>1</v>
      </c>
    </row>
    <row r="259" spans="1:7">
      <c r="A259">
        <v>3</v>
      </c>
      <c r="B259" t="s">
        <v>109</v>
      </c>
      <c r="C259" t="s">
        <v>109</v>
      </c>
      <c r="D259">
        <v>3</v>
      </c>
      <c r="E259">
        <f t="shared" ref="E259:E322" si="4">LEN(B259)</f>
        <v>11</v>
      </c>
      <c r="F259" t="s">
        <v>821</v>
      </c>
      <c r="G259">
        <v>1</v>
      </c>
    </row>
    <row r="260" spans="1:7">
      <c r="A260">
        <v>3</v>
      </c>
      <c r="B260" t="s">
        <v>331</v>
      </c>
      <c r="C260" t="s">
        <v>331</v>
      </c>
      <c r="D260">
        <v>3</v>
      </c>
      <c r="E260">
        <f t="shared" si="4"/>
        <v>11</v>
      </c>
      <c r="F260" t="s">
        <v>821</v>
      </c>
      <c r="G260">
        <v>1</v>
      </c>
    </row>
    <row r="261" spans="1:7">
      <c r="A261">
        <v>3</v>
      </c>
      <c r="B261" t="s">
        <v>635</v>
      </c>
      <c r="C261" t="s">
        <v>635</v>
      </c>
      <c r="D261">
        <v>3</v>
      </c>
      <c r="E261">
        <f t="shared" si="4"/>
        <v>11</v>
      </c>
      <c r="F261" t="s">
        <v>821</v>
      </c>
      <c r="G261">
        <v>1</v>
      </c>
    </row>
    <row r="262" spans="1:7">
      <c r="A262">
        <v>3</v>
      </c>
      <c r="B262" t="s">
        <v>1055</v>
      </c>
      <c r="C262" t="s">
        <v>1055</v>
      </c>
      <c r="D262">
        <v>3</v>
      </c>
      <c r="E262">
        <f t="shared" si="4"/>
        <v>11</v>
      </c>
      <c r="F262" t="s">
        <v>821</v>
      </c>
      <c r="G262">
        <v>1</v>
      </c>
    </row>
    <row r="263" spans="1:7">
      <c r="A263">
        <v>3</v>
      </c>
      <c r="B263" t="s">
        <v>1077</v>
      </c>
      <c r="C263" t="s">
        <v>1077</v>
      </c>
      <c r="D263">
        <v>3</v>
      </c>
      <c r="E263">
        <f t="shared" si="4"/>
        <v>11</v>
      </c>
      <c r="F263" t="s">
        <v>821</v>
      </c>
      <c r="G263">
        <v>1</v>
      </c>
    </row>
    <row r="264" spans="1:7">
      <c r="A264">
        <v>3</v>
      </c>
      <c r="B264" t="s">
        <v>562</v>
      </c>
      <c r="C264" t="s">
        <v>562</v>
      </c>
      <c r="D264">
        <v>3</v>
      </c>
      <c r="E264">
        <f t="shared" si="4"/>
        <v>11</v>
      </c>
      <c r="F264" t="s">
        <v>821</v>
      </c>
      <c r="G264">
        <v>1</v>
      </c>
    </row>
    <row r="265" spans="1:7">
      <c r="A265">
        <v>3</v>
      </c>
      <c r="B265" t="s">
        <v>122</v>
      </c>
      <c r="C265" t="s">
        <v>122</v>
      </c>
      <c r="D265">
        <v>3</v>
      </c>
      <c r="E265">
        <f t="shared" si="4"/>
        <v>11</v>
      </c>
      <c r="F265" t="s">
        <v>821</v>
      </c>
      <c r="G265">
        <v>1</v>
      </c>
    </row>
    <row r="266" spans="1:7">
      <c r="A266">
        <v>3</v>
      </c>
      <c r="B266" t="s">
        <v>1306</v>
      </c>
      <c r="C266" t="s">
        <v>1306</v>
      </c>
      <c r="D266">
        <v>3</v>
      </c>
      <c r="E266">
        <f t="shared" si="4"/>
        <v>11</v>
      </c>
      <c r="F266" t="s">
        <v>821</v>
      </c>
      <c r="G266">
        <v>1</v>
      </c>
    </row>
    <row r="267" spans="1:7">
      <c r="A267">
        <v>3</v>
      </c>
      <c r="B267" t="s">
        <v>430</v>
      </c>
      <c r="C267" t="s">
        <v>430</v>
      </c>
      <c r="D267">
        <v>3</v>
      </c>
      <c r="E267">
        <f t="shared" si="4"/>
        <v>11</v>
      </c>
      <c r="F267" t="s">
        <v>821</v>
      </c>
      <c r="G267">
        <v>1</v>
      </c>
    </row>
    <row r="268" spans="1:7">
      <c r="A268">
        <v>3</v>
      </c>
      <c r="B268" t="s">
        <v>612</v>
      </c>
      <c r="C268" t="s">
        <v>5126</v>
      </c>
      <c r="D268">
        <v>3</v>
      </c>
      <c r="E268">
        <f t="shared" si="4"/>
        <v>11</v>
      </c>
      <c r="F268" t="s">
        <v>821</v>
      </c>
      <c r="G268">
        <v>1</v>
      </c>
    </row>
    <row r="269" spans="1:7">
      <c r="A269">
        <v>3</v>
      </c>
      <c r="B269" t="s">
        <v>1315</v>
      </c>
      <c r="C269" t="s">
        <v>1315</v>
      </c>
      <c r="D269">
        <v>3</v>
      </c>
      <c r="E269">
        <f t="shared" si="4"/>
        <v>11</v>
      </c>
      <c r="F269" t="s">
        <v>821</v>
      </c>
      <c r="G269">
        <v>1</v>
      </c>
    </row>
    <row r="270" spans="1:7">
      <c r="A270">
        <v>3</v>
      </c>
      <c r="B270" t="s">
        <v>434</v>
      </c>
      <c r="C270" t="s">
        <v>434</v>
      </c>
      <c r="D270">
        <v>3</v>
      </c>
      <c r="E270">
        <f t="shared" si="4"/>
        <v>11</v>
      </c>
      <c r="F270" t="s">
        <v>821</v>
      </c>
      <c r="G270">
        <v>1</v>
      </c>
    </row>
    <row r="271" spans="1:7">
      <c r="A271">
        <v>3</v>
      </c>
      <c r="B271" t="s">
        <v>499</v>
      </c>
      <c r="C271" t="s">
        <v>499</v>
      </c>
      <c r="D271">
        <v>3</v>
      </c>
      <c r="E271">
        <f t="shared" si="4"/>
        <v>11</v>
      </c>
      <c r="F271" t="s">
        <v>821</v>
      </c>
      <c r="G271">
        <v>1</v>
      </c>
    </row>
    <row r="272" spans="1:7">
      <c r="A272">
        <v>3</v>
      </c>
      <c r="B272" t="s">
        <v>613</v>
      </c>
      <c r="C272" t="s">
        <v>613</v>
      </c>
      <c r="D272">
        <v>3</v>
      </c>
      <c r="E272">
        <f t="shared" si="4"/>
        <v>11</v>
      </c>
      <c r="F272" t="s">
        <v>821</v>
      </c>
      <c r="G272">
        <v>1</v>
      </c>
    </row>
    <row r="273" spans="1:7">
      <c r="A273">
        <v>3</v>
      </c>
      <c r="B273" t="s">
        <v>146</v>
      </c>
      <c r="C273" t="s">
        <v>146</v>
      </c>
      <c r="D273">
        <v>3</v>
      </c>
      <c r="E273">
        <f t="shared" si="4"/>
        <v>11</v>
      </c>
      <c r="F273" t="s">
        <v>821</v>
      </c>
      <c r="G273">
        <v>1</v>
      </c>
    </row>
    <row r="274" spans="1:7">
      <c r="A274">
        <v>3</v>
      </c>
      <c r="B274" t="s">
        <v>1330</v>
      </c>
      <c r="C274" t="s">
        <v>1776</v>
      </c>
      <c r="D274">
        <v>3</v>
      </c>
      <c r="E274">
        <f t="shared" si="4"/>
        <v>11</v>
      </c>
      <c r="F274" t="s">
        <v>821</v>
      </c>
      <c r="G274">
        <v>1</v>
      </c>
    </row>
    <row r="275" spans="1:7">
      <c r="A275">
        <v>3</v>
      </c>
      <c r="B275" t="s">
        <v>574</v>
      </c>
      <c r="C275" t="s">
        <v>574</v>
      </c>
      <c r="D275">
        <v>3</v>
      </c>
      <c r="E275">
        <f t="shared" si="4"/>
        <v>11</v>
      </c>
      <c r="F275" t="s">
        <v>821</v>
      </c>
      <c r="G275">
        <v>1</v>
      </c>
    </row>
    <row r="276" spans="1:7">
      <c r="A276">
        <v>3</v>
      </c>
      <c r="B276" t="s">
        <v>1119</v>
      </c>
      <c r="C276" t="s">
        <v>1119</v>
      </c>
      <c r="D276">
        <v>3</v>
      </c>
      <c r="E276">
        <f t="shared" si="4"/>
        <v>11</v>
      </c>
      <c r="F276" t="s">
        <v>821</v>
      </c>
      <c r="G276">
        <v>1</v>
      </c>
    </row>
    <row r="277" spans="1:7">
      <c r="A277">
        <v>3</v>
      </c>
      <c r="B277" t="s">
        <v>636</v>
      </c>
      <c r="C277" t="s">
        <v>636</v>
      </c>
      <c r="D277">
        <v>3</v>
      </c>
      <c r="E277">
        <f t="shared" si="4"/>
        <v>11</v>
      </c>
      <c r="F277" t="s">
        <v>821</v>
      </c>
      <c r="G277">
        <v>1</v>
      </c>
    </row>
    <row r="278" spans="1:7">
      <c r="A278">
        <v>3</v>
      </c>
      <c r="B278" t="s">
        <v>987</v>
      </c>
      <c r="C278" t="s">
        <v>987</v>
      </c>
      <c r="D278">
        <v>3</v>
      </c>
      <c r="E278">
        <f t="shared" si="4"/>
        <v>11</v>
      </c>
      <c r="F278" t="s">
        <v>821</v>
      </c>
      <c r="G278">
        <v>1</v>
      </c>
    </row>
    <row r="279" spans="1:7">
      <c r="A279">
        <v>3</v>
      </c>
      <c r="B279" t="s">
        <v>1079</v>
      </c>
      <c r="C279" t="s">
        <v>1079</v>
      </c>
      <c r="D279">
        <v>3</v>
      </c>
      <c r="E279">
        <f t="shared" si="4"/>
        <v>11</v>
      </c>
      <c r="F279" t="s">
        <v>821</v>
      </c>
      <c r="G279">
        <v>1</v>
      </c>
    </row>
    <row r="280" spans="1:7">
      <c r="A280">
        <v>3</v>
      </c>
      <c r="B280" t="s">
        <v>1195</v>
      </c>
      <c r="C280" t="s">
        <v>1195</v>
      </c>
      <c r="D280">
        <v>3</v>
      </c>
      <c r="E280">
        <f t="shared" si="4"/>
        <v>11</v>
      </c>
      <c r="F280" t="s">
        <v>821</v>
      </c>
      <c r="G280">
        <v>1</v>
      </c>
    </row>
    <row r="281" spans="1:7">
      <c r="A281">
        <v>3</v>
      </c>
      <c r="B281" t="s">
        <v>158</v>
      </c>
      <c r="C281" t="s">
        <v>158</v>
      </c>
      <c r="D281">
        <v>3</v>
      </c>
      <c r="E281">
        <f t="shared" si="4"/>
        <v>11</v>
      </c>
      <c r="F281" t="s">
        <v>821</v>
      </c>
      <c r="G281">
        <v>1</v>
      </c>
    </row>
    <row r="282" spans="1:7">
      <c r="A282">
        <v>3</v>
      </c>
      <c r="B282" t="s">
        <v>628</v>
      </c>
      <c r="C282" t="s">
        <v>628</v>
      </c>
      <c r="D282">
        <v>3</v>
      </c>
      <c r="E282">
        <f t="shared" si="4"/>
        <v>11</v>
      </c>
      <c r="F282" t="s">
        <v>821</v>
      </c>
      <c r="G282">
        <v>1</v>
      </c>
    </row>
    <row r="283" spans="1:7">
      <c r="A283">
        <v>3</v>
      </c>
      <c r="B283" t="s">
        <v>1351</v>
      </c>
      <c r="C283" t="s">
        <v>1351</v>
      </c>
      <c r="D283">
        <v>3</v>
      </c>
      <c r="E283">
        <f t="shared" si="4"/>
        <v>11</v>
      </c>
      <c r="F283" t="s">
        <v>821</v>
      </c>
      <c r="G283">
        <v>1</v>
      </c>
    </row>
    <row r="284" spans="1:7">
      <c r="A284">
        <v>3</v>
      </c>
      <c r="B284" t="s">
        <v>1774</v>
      </c>
      <c r="C284" t="s">
        <v>5136</v>
      </c>
      <c r="D284">
        <v>3</v>
      </c>
      <c r="E284">
        <f t="shared" si="4"/>
        <v>11</v>
      </c>
      <c r="F284" t="s">
        <v>821</v>
      </c>
      <c r="G284">
        <v>1</v>
      </c>
    </row>
    <row r="285" spans="1:7">
      <c r="A285">
        <v>3</v>
      </c>
      <c r="B285" t="s">
        <v>5065</v>
      </c>
      <c r="C285" t="s">
        <v>1354</v>
      </c>
      <c r="D285">
        <v>3</v>
      </c>
      <c r="E285">
        <f t="shared" si="4"/>
        <v>11</v>
      </c>
      <c r="F285" t="s">
        <v>821</v>
      </c>
      <c r="G285">
        <v>1</v>
      </c>
    </row>
    <row r="286" spans="1:7">
      <c r="A286">
        <v>3</v>
      </c>
      <c r="B286" t="s">
        <v>1084</v>
      </c>
      <c r="C286" t="s">
        <v>1084</v>
      </c>
      <c r="D286">
        <v>3</v>
      </c>
      <c r="E286">
        <f t="shared" si="4"/>
        <v>11</v>
      </c>
      <c r="F286" t="s">
        <v>821</v>
      </c>
      <c r="G286">
        <v>1</v>
      </c>
    </row>
    <row r="287" spans="1:7">
      <c r="A287">
        <v>3</v>
      </c>
      <c r="B287" t="s">
        <v>1198</v>
      </c>
      <c r="C287" t="s">
        <v>1198</v>
      </c>
      <c r="D287">
        <v>3</v>
      </c>
      <c r="E287">
        <f t="shared" si="4"/>
        <v>11</v>
      </c>
      <c r="F287" t="s">
        <v>821</v>
      </c>
      <c r="G287">
        <v>1</v>
      </c>
    </row>
    <row r="288" spans="1:7">
      <c r="A288">
        <v>3</v>
      </c>
      <c r="B288" t="s">
        <v>1199</v>
      </c>
      <c r="C288" t="s">
        <v>1199</v>
      </c>
      <c r="D288">
        <v>3</v>
      </c>
      <c r="E288">
        <f t="shared" si="4"/>
        <v>11</v>
      </c>
      <c r="F288" t="s">
        <v>821</v>
      </c>
      <c r="G288">
        <v>1</v>
      </c>
    </row>
    <row r="289" spans="1:7">
      <c r="A289">
        <v>3</v>
      </c>
      <c r="B289" t="s">
        <v>968</v>
      </c>
      <c r="C289" t="s">
        <v>968</v>
      </c>
      <c r="D289">
        <v>3</v>
      </c>
      <c r="E289">
        <f t="shared" si="4"/>
        <v>11</v>
      </c>
      <c r="F289" t="s">
        <v>821</v>
      </c>
      <c r="G289">
        <v>1</v>
      </c>
    </row>
    <row r="290" spans="1:7">
      <c r="A290">
        <v>3</v>
      </c>
      <c r="B290" t="s">
        <v>287</v>
      </c>
      <c r="C290" t="s">
        <v>287</v>
      </c>
      <c r="D290">
        <v>3</v>
      </c>
      <c r="E290">
        <f t="shared" si="4"/>
        <v>11</v>
      </c>
      <c r="F290" t="s">
        <v>821</v>
      </c>
      <c r="G290">
        <v>1</v>
      </c>
    </row>
    <row r="291" spans="1:7">
      <c r="A291">
        <v>3</v>
      </c>
      <c r="B291" t="s">
        <v>1127</v>
      </c>
      <c r="C291" t="s">
        <v>1127</v>
      </c>
      <c r="D291">
        <v>3</v>
      </c>
      <c r="E291">
        <f t="shared" si="4"/>
        <v>11</v>
      </c>
      <c r="F291" t="s">
        <v>821</v>
      </c>
      <c r="G291">
        <v>1</v>
      </c>
    </row>
    <row r="292" spans="1:7">
      <c r="A292">
        <v>3</v>
      </c>
      <c r="B292" t="s">
        <v>177</v>
      </c>
      <c r="C292" t="s">
        <v>177</v>
      </c>
      <c r="D292">
        <v>3</v>
      </c>
      <c r="E292">
        <f t="shared" si="4"/>
        <v>11</v>
      </c>
      <c r="F292" t="s">
        <v>821</v>
      </c>
      <c r="G292">
        <v>1</v>
      </c>
    </row>
    <row r="293" spans="1:7">
      <c r="A293">
        <v>3</v>
      </c>
      <c r="B293" t="s">
        <v>621</v>
      </c>
      <c r="C293" t="s">
        <v>5539</v>
      </c>
      <c r="D293">
        <v>3</v>
      </c>
      <c r="E293">
        <f t="shared" si="4"/>
        <v>11</v>
      </c>
      <c r="F293" t="s">
        <v>821</v>
      </c>
      <c r="G293">
        <v>1</v>
      </c>
    </row>
    <row r="294" spans="1:7">
      <c r="A294">
        <v>3</v>
      </c>
      <c r="B294" t="s">
        <v>1008</v>
      </c>
      <c r="C294" t="s">
        <v>1411</v>
      </c>
      <c r="D294">
        <v>3</v>
      </c>
      <c r="E294">
        <f t="shared" si="4"/>
        <v>11</v>
      </c>
      <c r="F294" t="s">
        <v>821</v>
      </c>
      <c r="G294">
        <v>1</v>
      </c>
    </row>
    <row r="295" spans="1:7">
      <c r="A295">
        <v>3</v>
      </c>
      <c r="B295" t="s">
        <v>289</v>
      </c>
      <c r="C295" t="s">
        <v>289</v>
      </c>
      <c r="D295">
        <v>3</v>
      </c>
      <c r="E295">
        <f t="shared" si="4"/>
        <v>11</v>
      </c>
      <c r="F295" t="s">
        <v>821</v>
      </c>
      <c r="G295">
        <v>1</v>
      </c>
    </row>
    <row r="296" spans="1:7">
      <c r="A296">
        <v>3</v>
      </c>
      <c r="B296" t="s">
        <v>663</v>
      </c>
      <c r="C296" t="s">
        <v>663</v>
      </c>
      <c r="D296">
        <v>3</v>
      </c>
      <c r="E296">
        <f t="shared" si="4"/>
        <v>11</v>
      </c>
      <c r="F296" t="s">
        <v>821</v>
      </c>
      <c r="G296">
        <v>1</v>
      </c>
    </row>
    <row r="297" spans="1:7">
      <c r="A297">
        <v>3</v>
      </c>
      <c r="B297" t="s">
        <v>1771</v>
      </c>
      <c r="C297" t="s">
        <v>1771</v>
      </c>
      <c r="D297">
        <v>3</v>
      </c>
      <c r="E297">
        <f t="shared" si="4"/>
        <v>11</v>
      </c>
      <c r="F297" t="s">
        <v>821</v>
      </c>
      <c r="G297">
        <v>1</v>
      </c>
    </row>
    <row r="298" spans="1:7">
      <c r="A298">
        <v>3</v>
      </c>
      <c r="B298" t="s">
        <v>622</v>
      </c>
      <c r="C298" t="s">
        <v>622</v>
      </c>
      <c r="D298">
        <v>3</v>
      </c>
      <c r="E298">
        <f t="shared" si="4"/>
        <v>11</v>
      </c>
      <c r="F298" t="s">
        <v>821</v>
      </c>
      <c r="G298">
        <v>1</v>
      </c>
    </row>
    <row r="299" spans="1:7">
      <c r="A299">
        <v>3</v>
      </c>
      <c r="B299" t="s">
        <v>1374</v>
      </c>
      <c r="C299" t="s">
        <v>1374</v>
      </c>
      <c r="D299">
        <v>3</v>
      </c>
      <c r="E299">
        <f t="shared" si="4"/>
        <v>11</v>
      </c>
      <c r="F299" t="s">
        <v>821</v>
      </c>
      <c r="G299">
        <v>1</v>
      </c>
    </row>
    <row r="300" spans="1:7">
      <c r="A300">
        <v>3</v>
      </c>
      <c r="B300" t="s">
        <v>514</v>
      </c>
      <c r="C300" t="s">
        <v>5152</v>
      </c>
      <c r="D300">
        <v>3</v>
      </c>
      <c r="E300">
        <f t="shared" si="4"/>
        <v>11</v>
      </c>
      <c r="F300" t="s">
        <v>821</v>
      </c>
      <c r="G300">
        <v>1</v>
      </c>
    </row>
    <row r="301" spans="1:7">
      <c r="A301">
        <v>3</v>
      </c>
      <c r="B301" t="s">
        <v>494</v>
      </c>
      <c r="C301" t="s">
        <v>494</v>
      </c>
      <c r="D301">
        <v>3</v>
      </c>
      <c r="E301">
        <f t="shared" si="4"/>
        <v>11</v>
      </c>
      <c r="F301" t="s">
        <v>821</v>
      </c>
      <c r="G301">
        <v>1</v>
      </c>
    </row>
    <row r="302" spans="1:7">
      <c r="A302">
        <v>3</v>
      </c>
      <c r="B302" t="s">
        <v>623</v>
      </c>
      <c r="C302" t="s">
        <v>623</v>
      </c>
      <c r="D302">
        <v>3</v>
      </c>
      <c r="E302">
        <f t="shared" si="4"/>
        <v>11</v>
      </c>
      <c r="F302" t="s">
        <v>821</v>
      </c>
      <c r="G302">
        <v>1</v>
      </c>
    </row>
    <row r="303" spans="1:7">
      <c r="A303">
        <v>3</v>
      </c>
      <c r="B303" t="s">
        <v>515</v>
      </c>
      <c r="C303" t="s">
        <v>515</v>
      </c>
      <c r="D303">
        <v>3</v>
      </c>
      <c r="E303">
        <f t="shared" si="4"/>
        <v>11</v>
      </c>
      <c r="F303" t="s">
        <v>821</v>
      </c>
      <c r="G303">
        <v>1</v>
      </c>
    </row>
    <row r="304" spans="1:7">
      <c r="A304">
        <v>3</v>
      </c>
      <c r="B304" t="s">
        <v>208</v>
      </c>
      <c r="C304" t="s">
        <v>208</v>
      </c>
      <c r="D304">
        <v>3</v>
      </c>
      <c r="E304">
        <f t="shared" si="4"/>
        <v>11</v>
      </c>
      <c r="F304" t="s">
        <v>821</v>
      </c>
      <c r="G304">
        <v>1</v>
      </c>
    </row>
    <row r="305" spans="1:7">
      <c r="A305">
        <v>3</v>
      </c>
      <c r="B305" t="s">
        <v>213</v>
      </c>
      <c r="C305" t="s">
        <v>213</v>
      </c>
      <c r="D305">
        <v>3</v>
      </c>
      <c r="E305">
        <f t="shared" si="4"/>
        <v>11</v>
      </c>
      <c r="F305" t="s">
        <v>821</v>
      </c>
      <c r="G305">
        <v>1</v>
      </c>
    </row>
    <row r="306" spans="1:7">
      <c r="A306">
        <v>3</v>
      </c>
      <c r="B306" t="s">
        <v>227</v>
      </c>
      <c r="C306" t="s">
        <v>227</v>
      </c>
      <c r="D306">
        <v>3</v>
      </c>
      <c r="E306">
        <f t="shared" si="4"/>
        <v>11</v>
      </c>
      <c r="F306" t="s">
        <v>821</v>
      </c>
      <c r="G306">
        <v>1</v>
      </c>
    </row>
    <row r="307" spans="1:7">
      <c r="A307">
        <v>3</v>
      </c>
      <c r="B307" t="s">
        <v>1386</v>
      </c>
      <c r="C307" t="s">
        <v>1386</v>
      </c>
      <c r="D307">
        <v>3</v>
      </c>
      <c r="E307">
        <f t="shared" si="4"/>
        <v>11</v>
      </c>
      <c r="F307" t="s">
        <v>821</v>
      </c>
      <c r="G307">
        <v>1</v>
      </c>
    </row>
    <row r="308" spans="1:7">
      <c r="A308">
        <v>3</v>
      </c>
      <c r="B308" t="s">
        <v>10795</v>
      </c>
      <c r="C308" t="s">
        <v>1179</v>
      </c>
      <c r="D308">
        <v>3</v>
      </c>
      <c r="E308">
        <f t="shared" si="4"/>
        <v>11</v>
      </c>
      <c r="F308" t="s">
        <v>821</v>
      </c>
      <c r="G308">
        <v>1</v>
      </c>
    </row>
    <row r="309" spans="1:7">
      <c r="A309">
        <v>3</v>
      </c>
      <c r="B309" t="s">
        <v>6464</v>
      </c>
      <c r="C309" t="s">
        <v>6465</v>
      </c>
      <c r="D309">
        <v>3</v>
      </c>
      <c r="E309">
        <f t="shared" si="4"/>
        <v>10</v>
      </c>
      <c r="F309" t="s">
        <v>821</v>
      </c>
      <c r="G309">
        <v>1</v>
      </c>
    </row>
    <row r="310" spans="1:7">
      <c r="A310">
        <v>3</v>
      </c>
      <c r="B310" t="s">
        <v>1131</v>
      </c>
      <c r="C310" t="s">
        <v>1131</v>
      </c>
      <c r="D310">
        <v>3</v>
      </c>
      <c r="E310">
        <f t="shared" si="4"/>
        <v>10</v>
      </c>
      <c r="F310" t="s">
        <v>821</v>
      </c>
      <c r="G310">
        <v>1</v>
      </c>
    </row>
    <row r="311" spans="1:7">
      <c r="A311">
        <v>3</v>
      </c>
      <c r="B311" t="s">
        <v>523</v>
      </c>
      <c r="C311" t="s">
        <v>523</v>
      </c>
      <c r="D311">
        <v>3</v>
      </c>
      <c r="E311">
        <f t="shared" si="4"/>
        <v>10</v>
      </c>
      <c r="F311" t="s">
        <v>821</v>
      </c>
      <c r="G311">
        <v>1</v>
      </c>
    </row>
    <row r="312" spans="1:7">
      <c r="A312">
        <v>3</v>
      </c>
      <c r="B312" t="s">
        <v>26</v>
      </c>
      <c r="C312" t="s">
        <v>26</v>
      </c>
      <c r="D312">
        <v>3</v>
      </c>
      <c r="E312">
        <f t="shared" si="4"/>
        <v>10</v>
      </c>
      <c r="F312" t="s">
        <v>821</v>
      </c>
      <c r="G312">
        <v>1</v>
      </c>
    </row>
    <row r="313" spans="1:7">
      <c r="A313">
        <v>3</v>
      </c>
      <c r="B313" t="s">
        <v>393</v>
      </c>
      <c r="C313" t="s">
        <v>393</v>
      </c>
      <c r="D313">
        <v>3</v>
      </c>
      <c r="E313">
        <f t="shared" si="4"/>
        <v>10</v>
      </c>
      <c r="F313" t="s">
        <v>821</v>
      </c>
      <c r="G313">
        <v>1</v>
      </c>
    </row>
    <row r="314" spans="1:7">
      <c r="A314">
        <v>3</v>
      </c>
      <c r="B314" t="s">
        <v>673</v>
      </c>
      <c r="C314" t="s">
        <v>5521</v>
      </c>
      <c r="D314">
        <v>3</v>
      </c>
      <c r="E314">
        <f t="shared" si="4"/>
        <v>10</v>
      </c>
      <c r="F314" t="s">
        <v>821</v>
      </c>
      <c r="G314">
        <v>1</v>
      </c>
    </row>
    <row r="315" spans="1:7">
      <c r="A315">
        <v>3</v>
      </c>
      <c r="B315" t="s">
        <v>250</v>
      </c>
      <c r="C315" t="s">
        <v>250</v>
      </c>
      <c r="D315">
        <v>3</v>
      </c>
      <c r="E315">
        <f t="shared" si="4"/>
        <v>10</v>
      </c>
      <c r="F315" t="s">
        <v>821</v>
      </c>
      <c r="G315">
        <v>1</v>
      </c>
    </row>
    <row r="316" spans="1:7">
      <c r="A316">
        <v>3</v>
      </c>
      <c r="B316" t="s">
        <v>671</v>
      </c>
      <c r="C316" t="s">
        <v>1394</v>
      </c>
      <c r="D316">
        <v>3</v>
      </c>
      <c r="E316">
        <f t="shared" si="4"/>
        <v>10</v>
      </c>
      <c r="F316" t="s">
        <v>821</v>
      </c>
      <c r="G316">
        <v>1</v>
      </c>
    </row>
    <row r="317" spans="1:7">
      <c r="A317">
        <v>3</v>
      </c>
      <c r="B317" t="s">
        <v>1229</v>
      </c>
      <c r="C317" t="s">
        <v>1229</v>
      </c>
      <c r="D317">
        <v>3</v>
      </c>
      <c r="E317">
        <f t="shared" si="4"/>
        <v>10</v>
      </c>
      <c r="F317" t="s">
        <v>821</v>
      </c>
      <c r="G317">
        <v>1</v>
      </c>
    </row>
    <row r="318" spans="1:7">
      <c r="A318">
        <v>3</v>
      </c>
      <c r="B318" t="s">
        <v>530</v>
      </c>
      <c r="C318" t="s">
        <v>724</v>
      </c>
      <c r="D318">
        <v>3</v>
      </c>
      <c r="E318">
        <f t="shared" si="4"/>
        <v>10</v>
      </c>
      <c r="F318" t="s">
        <v>821</v>
      </c>
      <c r="G318">
        <v>1</v>
      </c>
    </row>
    <row r="319" spans="1:7">
      <c r="A319">
        <v>3</v>
      </c>
      <c r="B319" t="s">
        <v>1781</v>
      </c>
      <c r="C319" t="s">
        <v>5095</v>
      </c>
      <c r="D319">
        <v>3</v>
      </c>
      <c r="E319">
        <f t="shared" si="4"/>
        <v>10</v>
      </c>
      <c r="F319" t="s">
        <v>821</v>
      </c>
      <c r="G319">
        <v>1</v>
      </c>
    </row>
    <row r="320" spans="1:7">
      <c r="A320">
        <v>3</v>
      </c>
      <c r="B320" t="s">
        <v>1099</v>
      </c>
      <c r="C320" t="s">
        <v>1099</v>
      </c>
      <c r="D320">
        <v>3</v>
      </c>
      <c r="E320">
        <f t="shared" si="4"/>
        <v>10</v>
      </c>
      <c r="F320" t="s">
        <v>821</v>
      </c>
      <c r="G320">
        <v>1</v>
      </c>
    </row>
    <row r="321" spans="1:7">
      <c r="A321">
        <v>3</v>
      </c>
      <c r="B321" t="s">
        <v>34</v>
      </c>
      <c r="C321" t="s">
        <v>5096</v>
      </c>
      <c r="D321">
        <v>3</v>
      </c>
      <c r="E321">
        <f t="shared" si="4"/>
        <v>10</v>
      </c>
      <c r="F321" t="s">
        <v>821</v>
      </c>
      <c r="G321">
        <v>1</v>
      </c>
    </row>
    <row r="322" spans="1:7">
      <c r="A322">
        <v>3</v>
      </c>
      <c r="B322" t="s">
        <v>1063</v>
      </c>
      <c r="C322" t="s">
        <v>1063</v>
      </c>
      <c r="D322">
        <v>3</v>
      </c>
      <c r="E322">
        <f t="shared" si="4"/>
        <v>10</v>
      </c>
      <c r="F322" t="s">
        <v>822</v>
      </c>
      <c r="G322">
        <v>1</v>
      </c>
    </row>
    <row r="323" spans="1:7">
      <c r="A323">
        <v>3</v>
      </c>
      <c r="B323" t="s">
        <v>1153</v>
      </c>
      <c r="C323" t="s">
        <v>1153</v>
      </c>
      <c r="D323">
        <v>3</v>
      </c>
      <c r="E323">
        <f t="shared" ref="E323:E386" si="5">LEN(B323)</f>
        <v>10</v>
      </c>
      <c r="F323" t="s">
        <v>821</v>
      </c>
      <c r="G323">
        <v>1</v>
      </c>
    </row>
    <row r="324" spans="1:7">
      <c r="A324">
        <v>3</v>
      </c>
      <c r="B324" t="s">
        <v>1027</v>
      </c>
      <c r="C324" t="s">
        <v>1027</v>
      </c>
      <c r="D324">
        <v>3</v>
      </c>
      <c r="E324">
        <f t="shared" si="5"/>
        <v>10</v>
      </c>
      <c r="F324" t="s">
        <v>821</v>
      </c>
      <c r="G324">
        <v>1</v>
      </c>
    </row>
    <row r="325" spans="1:7">
      <c r="A325">
        <v>3</v>
      </c>
      <c r="B325" t="s">
        <v>256</v>
      </c>
      <c r="C325" t="s">
        <v>5463</v>
      </c>
      <c r="D325">
        <v>3</v>
      </c>
      <c r="E325">
        <f t="shared" si="5"/>
        <v>10</v>
      </c>
      <c r="F325" t="s">
        <v>821</v>
      </c>
      <c r="G325">
        <v>1</v>
      </c>
    </row>
    <row r="326" spans="1:7">
      <c r="A326">
        <v>3</v>
      </c>
      <c r="B326" t="s">
        <v>44</v>
      </c>
      <c r="C326" t="s">
        <v>44</v>
      </c>
      <c r="D326">
        <v>3</v>
      </c>
      <c r="E326">
        <f t="shared" si="5"/>
        <v>10</v>
      </c>
      <c r="F326" t="s">
        <v>821</v>
      </c>
      <c r="G326">
        <v>1</v>
      </c>
    </row>
    <row r="327" spans="1:7">
      <c r="A327">
        <v>3</v>
      </c>
      <c r="B327" t="s">
        <v>624</v>
      </c>
      <c r="C327" t="s">
        <v>6581</v>
      </c>
      <c r="D327">
        <v>3</v>
      </c>
      <c r="E327">
        <f t="shared" si="5"/>
        <v>10</v>
      </c>
      <c r="F327" t="s">
        <v>821</v>
      </c>
      <c r="G327">
        <v>1</v>
      </c>
    </row>
    <row r="328" spans="1:7">
      <c r="A328">
        <v>3</v>
      </c>
      <c r="B328" t="s">
        <v>51</v>
      </c>
      <c r="C328" t="s">
        <v>1398</v>
      </c>
      <c r="D328">
        <v>3</v>
      </c>
      <c r="E328">
        <f t="shared" si="5"/>
        <v>10</v>
      </c>
      <c r="F328" t="s">
        <v>821</v>
      </c>
      <c r="G328">
        <v>1</v>
      </c>
    </row>
    <row r="329" spans="1:7">
      <c r="A329">
        <v>3</v>
      </c>
      <c r="B329" t="s">
        <v>1034</v>
      </c>
      <c r="C329" t="s">
        <v>1034</v>
      </c>
      <c r="D329">
        <v>3</v>
      </c>
      <c r="E329">
        <f t="shared" si="5"/>
        <v>10</v>
      </c>
      <c r="F329" t="s">
        <v>821</v>
      </c>
      <c r="G329">
        <v>1</v>
      </c>
    </row>
    <row r="330" spans="1:7">
      <c r="A330">
        <v>3</v>
      </c>
      <c r="B330" t="s">
        <v>540</v>
      </c>
      <c r="C330" t="s">
        <v>540</v>
      </c>
      <c r="D330">
        <v>3</v>
      </c>
      <c r="E330">
        <f t="shared" si="5"/>
        <v>10</v>
      </c>
      <c r="F330" t="s">
        <v>821</v>
      </c>
      <c r="G330">
        <v>1</v>
      </c>
    </row>
    <row r="331" spans="1:7">
      <c r="A331">
        <v>3</v>
      </c>
      <c r="B331" t="s">
        <v>1256</v>
      </c>
      <c r="C331" t="s">
        <v>1256</v>
      </c>
      <c r="D331">
        <v>3</v>
      </c>
      <c r="E331">
        <f t="shared" si="5"/>
        <v>10</v>
      </c>
      <c r="F331" t="s">
        <v>821</v>
      </c>
      <c r="G331">
        <v>1</v>
      </c>
    </row>
    <row r="332" spans="1:7">
      <c r="A332">
        <v>3</v>
      </c>
      <c r="B332" t="s">
        <v>1777</v>
      </c>
      <c r="C332" t="s">
        <v>1777</v>
      </c>
      <c r="D332">
        <v>3</v>
      </c>
      <c r="E332">
        <f t="shared" si="5"/>
        <v>10</v>
      </c>
      <c r="F332" t="s">
        <v>821</v>
      </c>
      <c r="G332">
        <v>1</v>
      </c>
    </row>
    <row r="333" spans="1:7">
      <c r="A333">
        <v>3</v>
      </c>
      <c r="B333" t="s">
        <v>646</v>
      </c>
      <c r="C333" t="s">
        <v>646</v>
      </c>
      <c r="D333">
        <v>3</v>
      </c>
      <c r="E333">
        <f t="shared" si="5"/>
        <v>10</v>
      </c>
      <c r="F333" t="s">
        <v>821</v>
      </c>
      <c r="G333">
        <v>1</v>
      </c>
    </row>
    <row r="334" spans="1:7">
      <c r="A334">
        <v>3</v>
      </c>
      <c r="B334" t="s">
        <v>366</v>
      </c>
      <c r="C334" t="s">
        <v>366</v>
      </c>
      <c r="D334">
        <v>3</v>
      </c>
      <c r="E334">
        <f t="shared" si="5"/>
        <v>10</v>
      </c>
      <c r="F334" t="s">
        <v>821</v>
      </c>
      <c r="G334">
        <v>1</v>
      </c>
    </row>
    <row r="335" spans="1:7">
      <c r="A335">
        <v>3</v>
      </c>
      <c r="B335" t="s">
        <v>65</v>
      </c>
      <c r="C335" t="s">
        <v>5106</v>
      </c>
      <c r="D335">
        <v>3</v>
      </c>
      <c r="E335">
        <f t="shared" si="5"/>
        <v>10</v>
      </c>
      <c r="F335" t="s">
        <v>821</v>
      </c>
      <c r="G335">
        <v>1</v>
      </c>
    </row>
    <row r="336" spans="1:7">
      <c r="A336">
        <v>3</v>
      </c>
      <c r="B336" t="s">
        <v>606</v>
      </c>
      <c r="C336" t="s">
        <v>606</v>
      </c>
      <c r="D336">
        <v>3</v>
      </c>
      <c r="E336">
        <f t="shared" si="5"/>
        <v>10</v>
      </c>
      <c r="F336" t="s">
        <v>822</v>
      </c>
      <c r="G336">
        <v>1</v>
      </c>
    </row>
    <row r="337" spans="1:7">
      <c r="A337">
        <v>3</v>
      </c>
      <c r="B337" t="s">
        <v>1132</v>
      </c>
      <c r="C337" t="s">
        <v>1133</v>
      </c>
      <c r="D337">
        <v>3</v>
      </c>
      <c r="E337">
        <f t="shared" si="5"/>
        <v>10</v>
      </c>
      <c r="F337" t="s">
        <v>821</v>
      </c>
      <c r="G337">
        <v>1</v>
      </c>
    </row>
    <row r="338" spans="1:7">
      <c r="A338">
        <v>3</v>
      </c>
      <c r="B338" t="s">
        <v>69</v>
      </c>
      <c r="C338" t="s">
        <v>5107</v>
      </c>
      <c r="D338">
        <v>3</v>
      </c>
      <c r="E338">
        <f t="shared" si="5"/>
        <v>10</v>
      </c>
      <c r="F338" t="s">
        <v>821</v>
      </c>
      <c r="G338">
        <v>1</v>
      </c>
    </row>
    <row r="339" spans="1:7">
      <c r="A339">
        <v>3</v>
      </c>
      <c r="B339" t="s">
        <v>659</v>
      </c>
      <c r="C339" t="s">
        <v>659</v>
      </c>
      <c r="D339">
        <v>3</v>
      </c>
      <c r="E339">
        <f t="shared" si="5"/>
        <v>10</v>
      </c>
      <c r="F339" t="s">
        <v>821</v>
      </c>
      <c r="G339">
        <v>1</v>
      </c>
    </row>
    <row r="340" spans="1:7">
      <c r="A340">
        <v>3</v>
      </c>
      <c r="B340" t="s">
        <v>542</v>
      </c>
      <c r="C340" t="s">
        <v>542</v>
      </c>
      <c r="D340">
        <v>3</v>
      </c>
      <c r="E340">
        <f t="shared" si="5"/>
        <v>10</v>
      </c>
      <c r="F340" t="s">
        <v>821</v>
      </c>
      <c r="G340">
        <v>1</v>
      </c>
    </row>
    <row r="341" spans="1:7">
      <c r="A341">
        <v>3</v>
      </c>
      <c r="B341" t="s">
        <v>77</v>
      </c>
      <c r="C341" t="s">
        <v>77</v>
      </c>
      <c r="D341">
        <v>3</v>
      </c>
      <c r="E341">
        <f t="shared" si="5"/>
        <v>10</v>
      </c>
      <c r="F341" t="s">
        <v>821</v>
      </c>
      <c r="G341">
        <v>1</v>
      </c>
    </row>
    <row r="342" spans="1:7">
      <c r="A342">
        <v>3</v>
      </c>
      <c r="B342" t="s">
        <v>1782</v>
      </c>
      <c r="C342" t="s">
        <v>1782</v>
      </c>
      <c r="D342">
        <v>3</v>
      </c>
      <c r="E342">
        <f t="shared" si="5"/>
        <v>10</v>
      </c>
      <c r="F342" t="s">
        <v>821</v>
      </c>
      <c r="G342">
        <v>1</v>
      </c>
    </row>
    <row r="343" spans="1:7">
      <c r="A343">
        <v>3</v>
      </c>
      <c r="B343" t="s">
        <v>1163</v>
      </c>
      <c r="C343" t="s">
        <v>1163</v>
      </c>
      <c r="D343">
        <v>3</v>
      </c>
      <c r="E343">
        <f t="shared" si="5"/>
        <v>10</v>
      </c>
      <c r="F343" t="s">
        <v>821</v>
      </c>
      <c r="G343">
        <v>1</v>
      </c>
    </row>
    <row r="344" spans="1:7">
      <c r="A344">
        <v>3</v>
      </c>
      <c r="B344" t="s">
        <v>844</v>
      </c>
      <c r="C344" t="s">
        <v>844</v>
      </c>
      <c r="D344">
        <v>3</v>
      </c>
      <c r="E344">
        <f t="shared" si="5"/>
        <v>10</v>
      </c>
      <c r="F344" t="s">
        <v>821</v>
      </c>
      <c r="G344">
        <v>1</v>
      </c>
    </row>
    <row r="345" spans="1:7">
      <c r="A345">
        <v>3</v>
      </c>
      <c r="B345" t="s">
        <v>1165</v>
      </c>
      <c r="C345" t="s">
        <v>5110</v>
      </c>
      <c r="D345">
        <v>3</v>
      </c>
      <c r="E345">
        <f t="shared" si="5"/>
        <v>10</v>
      </c>
      <c r="F345" t="s">
        <v>821</v>
      </c>
      <c r="G345">
        <v>1</v>
      </c>
    </row>
    <row r="346" spans="1:7">
      <c r="A346">
        <v>3</v>
      </c>
      <c r="B346" t="s">
        <v>1022</v>
      </c>
      <c r="C346" t="s">
        <v>1022</v>
      </c>
      <c r="D346">
        <v>3</v>
      </c>
      <c r="E346">
        <f t="shared" si="5"/>
        <v>10</v>
      </c>
      <c r="F346" t="s">
        <v>821</v>
      </c>
      <c r="G346">
        <v>1</v>
      </c>
    </row>
    <row r="347" spans="1:7">
      <c r="A347">
        <v>3</v>
      </c>
      <c r="B347" t="s">
        <v>329</v>
      </c>
      <c r="C347" t="s">
        <v>329</v>
      </c>
      <c r="D347">
        <v>3</v>
      </c>
      <c r="E347">
        <f t="shared" si="5"/>
        <v>10</v>
      </c>
      <c r="F347" t="s">
        <v>822</v>
      </c>
      <c r="G347">
        <v>1</v>
      </c>
    </row>
    <row r="348" spans="1:7">
      <c r="A348">
        <v>3</v>
      </c>
      <c r="B348" t="s">
        <v>262</v>
      </c>
      <c r="C348" t="s">
        <v>6431</v>
      </c>
      <c r="D348">
        <v>3</v>
      </c>
      <c r="E348">
        <f t="shared" si="5"/>
        <v>10</v>
      </c>
      <c r="F348" t="s">
        <v>821</v>
      </c>
      <c r="G348">
        <v>1</v>
      </c>
    </row>
    <row r="349" spans="1:7">
      <c r="A349">
        <v>3</v>
      </c>
      <c r="B349" t="s">
        <v>1082</v>
      </c>
      <c r="C349" t="s">
        <v>1082</v>
      </c>
      <c r="D349">
        <v>3</v>
      </c>
      <c r="E349">
        <f t="shared" si="5"/>
        <v>10</v>
      </c>
      <c r="F349" t="s">
        <v>821</v>
      </c>
      <c r="G349">
        <v>1</v>
      </c>
    </row>
    <row r="350" spans="1:7">
      <c r="A350">
        <v>3</v>
      </c>
      <c r="B350" t="s">
        <v>86</v>
      </c>
      <c r="C350" t="s">
        <v>86</v>
      </c>
      <c r="D350">
        <v>3</v>
      </c>
      <c r="E350">
        <f t="shared" si="5"/>
        <v>10</v>
      </c>
      <c r="F350" t="s">
        <v>821</v>
      </c>
      <c r="G350">
        <v>1</v>
      </c>
    </row>
    <row r="351" spans="1:7">
      <c r="A351">
        <v>3</v>
      </c>
      <c r="B351" t="s">
        <v>1275</v>
      </c>
      <c r="C351" t="s">
        <v>1275</v>
      </c>
      <c r="D351">
        <v>3</v>
      </c>
      <c r="E351">
        <f t="shared" si="5"/>
        <v>10</v>
      </c>
      <c r="F351" t="s">
        <v>821</v>
      </c>
      <c r="G351">
        <v>1</v>
      </c>
    </row>
    <row r="352" spans="1:7">
      <c r="A352">
        <v>3</v>
      </c>
      <c r="B352" t="s">
        <v>837</v>
      </c>
      <c r="C352" t="s">
        <v>837</v>
      </c>
      <c r="D352">
        <v>3</v>
      </c>
      <c r="E352">
        <f t="shared" si="5"/>
        <v>10</v>
      </c>
      <c r="F352" t="s">
        <v>821</v>
      </c>
      <c r="G352">
        <v>1</v>
      </c>
    </row>
    <row r="353" spans="1:7">
      <c r="A353">
        <v>3</v>
      </c>
      <c r="B353" t="s">
        <v>547</v>
      </c>
      <c r="C353" t="s">
        <v>547</v>
      </c>
      <c r="D353">
        <v>3</v>
      </c>
      <c r="E353">
        <f t="shared" si="5"/>
        <v>10</v>
      </c>
      <c r="F353" t="s">
        <v>821</v>
      </c>
      <c r="G353">
        <v>1</v>
      </c>
    </row>
    <row r="354" spans="1:7">
      <c r="A354">
        <v>3</v>
      </c>
      <c r="B354" t="s">
        <v>1278</v>
      </c>
      <c r="C354" t="s">
        <v>1278</v>
      </c>
      <c r="D354">
        <v>3</v>
      </c>
      <c r="E354">
        <f t="shared" si="5"/>
        <v>10</v>
      </c>
      <c r="F354" t="s">
        <v>821</v>
      </c>
      <c r="G354">
        <v>1</v>
      </c>
    </row>
    <row r="355" spans="1:7">
      <c r="A355">
        <v>3</v>
      </c>
      <c r="B355" t="s">
        <v>648</v>
      </c>
      <c r="C355" t="s">
        <v>648</v>
      </c>
      <c r="D355">
        <v>3</v>
      </c>
      <c r="E355">
        <f t="shared" si="5"/>
        <v>10</v>
      </c>
      <c r="F355" t="s">
        <v>821</v>
      </c>
      <c r="G355">
        <v>1</v>
      </c>
    </row>
    <row r="356" spans="1:7">
      <c r="A356">
        <v>3</v>
      </c>
      <c r="B356" t="s">
        <v>90</v>
      </c>
      <c r="C356" t="s">
        <v>5547</v>
      </c>
      <c r="D356">
        <v>3</v>
      </c>
      <c r="E356">
        <f t="shared" si="5"/>
        <v>10</v>
      </c>
      <c r="F356" t="s">
        <v>821</v>
      </c>
      <c r="G356">
        <v>1</v>
      </c>
    </row>
    <row r="357" spans="1:7">
      <c r="A357">
        <v>3</v>
      </c>
      <c r="B357" t="s">
        <v>1047</v>
      </c>
      <c r="C357" t="s">
        <v>1047</v>
      </c>
      <c r="D357">
        <v>3</v>
      </c>
      <c r="E357">
        <f t="shared" si="5"/>
        <v>10</v>
      </c>
      <c r="F357" t="s">
        <v>821</v>
      </c>
      <c r="G357">
        <v>1</v>
      </c>
    </row>
    <row r="358" spans="1:7">
      <c r="A358">
        <v>3</v>
      </c>
      <c r="B358" t="s">
        <v>969</v>
      </c>
      <c r="C358" t="s">
        <v>969</v>
      </c>
      <c r="D358">
        <v>3</v>
      </c>
      <c r="E358">
        <f t="shared" si="5"/>
        <v>10</v>
      </c>
      <c r="F358" t="s">
        <v>821</v>
      </c>
      <c r="G358">
        <v>1</v>
      </c>
    </row>
    <row r="359" spans="1:7">
      <c r="A359">
        <v>3</v>
      </c>
      <c r="B359" t="s">
        <v>1048</v>
      </c>
      <c r="C359" t="s">
        <v>1048</v>
      </c>
      <c r="D359">
        <v>3</v>
      </c>
      <c r="E359">
        <f t="shared" si="5"/>
        <v>10</v>
      </c>
      <c r="F359" t="s">
        <v>821</v>
      </c>
      <c r="G359">
        <v>1</v>
      </c>
    </row>
    <row r="360" spans="1:7" ht="15" customHeight="1">
      <c r="A360">
        <v>3</v>
      </c>
      <c r="B360" t="s">
        <v>1282</v>
      </c>
      <c r="C360" t="s">
        <v>1282</v>
      </c>
      <c r="D360">
        <v>3</v>
      </c>
      <c r="E360">
        <f t="shared" si="5"/>
        <v>10</v>
      </c>
      <c r="F360" t="s">
        <v>821</v>
      </c>
      <c r="G360">
        <v>1</v>
      </c>
    </row>
    <row r="361" spans="1:7">
      <c r="A361">
        <v>3</v>
      </c>
      <c r="B361" t="s">
        <v>417</v>
      </c>
      <c r="C361" t="s">
        <v>417</v>
      </c>
      <c r="D361">
        <v>3</v>
      </c>
      <c r="E361">
        <f t="shared" si="5"/>
        <v>10</v>
      </c>
      <c r="F361" t="s">
        <v>821</v>
      </c>
      <c r="G361">
        <v>1</v>
      </c>
    </row>
    <row r="362" spans="1:7">
      <c r="A362">
        <v>3</v>
      </c>
      <c r="B362" t="s">
        <v>99</v>
      </c>
      <c r="C362" t="s">
        <v>99</v>
      </c>
      <c r="D362">
        <v>3</v>
      </c>
      <c r="E362">
        <f t="shared" si="5"/>
        <v>10</v>
      </c>
      <c r="F362" t="s">
        <v>821</v>
      </c>
      <c r="G362">
        <v>1</v>
      </c>
    </row>
    <row r="363" spans="1:7">
      <c r="A363">
        <v>3</v>
      </c>
      <c r="B363" t="s">
        <v>100</v>
      </c>
      <c r="C363" t="s">
        <v>1404</v>
      </c>
      <c r="D363">
        <v>3</v>
      </c>
      <c r="E363">
        <f t="shared" si="5"/>
        <v>10</v>
      </c>
      <c r="F363" t="s">
        <v>821</v>
      </c>
      <c r="G363">
        <v>1</v>
      </c>
    </row>
    <row r="364" spans="1:7">
      <c r="A364">
        <v>3</v>
      </c>
      <c r="B364" t="s">
        <v>1783</v>
      </c>
      <c r="C364" t="s">
        <v>1783</v>
      </c>
      <c r="D364">
        <v>3</v>
      </c>
      <c r="E364">
        <f t="shared" si="5"/>
        <v>10</v>
      </c>
      <c r="F364" t="s">
        <v>821</v>
      </c>
      <c r="G364">
        <v>1</v>
      </c>
    </row>
    <row r="365" spans="1:7">
      <c r="A365">
        <v>3</v>
      </c>
      <c r="B365" t="s">
        <v>422</v>
      </c>
      <c r="C365" t="s">
        <v>422</v>
      </c>
      <c r="D365">
        <v>3</v>
      </c>
      <c r="E365">
        <f t="shared" si="5"/>
        <v>10</v>
      </c>
      <c r="F365" t="s">
        <v>821</v>
      </c>
      <c r="G365">
        <v>1</v>
      </c>
    </row>
    <row r="366" spans="1:7">
      <c r="A366">
        <v>3</v>
      </c>
      <c r="B366" t="s">
        <v>1779</v>
      </c>
      <c r="C366" t="s">
        <v>1779</v>
      </c>
      <c r="D366">
        <v>3</v>
      </c>
      <c r="E366">
        <f t="shared" si="5"/>
        <v>10</v>
      </c>
      <c r="F366" t="s">
        <v>821</v>
      </c>
      <c r="G366">
        <v>1</v>
      </c>
    </row>
    <row r="367" spans="1:7">
      <c r="A367">
        <v>3</v>
      </c>
      <c r="B367" t="s">
        <v>1168</v>
      </c>
      <c r="C367" t="s">
        <v>1168</v>
      </c>
      <c r="D367">
        <v>3</v>
      </c>
      <c r="E367">
        <f t="shared" si="5"/>
        <v>10</v>
      </c>
      <c r="F367" t="s">
        <v>821</v>
      </c>
      <c r="G367">
        <v>1</v>
      </c>
    </row>
    <row r="368" spans="1:7">
      <c r="A368">
        <v>3</v>
      </c>
      <c r="B368" t="s">
        <v>105</v>
      </c>
      <c r="C368" t="s">
        <v>729</v>
      </c>
      <c r="D368">
        <v>3</v>
      </c>
      <c r="E368">
        <f t="shared" si="5"/>
        <v>10</v>
      </c>
      <c r="F368" t="s">
        <v>821</v>
      </c>
      <c r="G368">
        <v>1</v>
      </c>
    </row>
    <row r="369" spans="1:7">
      <c r="A369">
        <v>3</v>
      </c>
      <c r="B369" t="s">
        <v>106</v>
      </c>
      <c r="C369" t="s">
        <v>106</v>
      </c>
      <c r="D369">
        <v>3</v>
      </c>
      <c r="E369">
        <f t="shared" si="5"/>
        <v>10</v>
      </c>
      <c r="F369" t="s">
        <v>821</v>
      </c>
      <c r="G369">
        <v>1</v>
      </c>
    </row>
    <row r="370" spans="1:7">
      <c r="A370">
        <v>3</v>
      </c>
      <c r="B370" t="s">
        <v>1073</v>
      </c>
      <c r="C370" t="s">
        <v>1073</v>
      </c>
      <c r="D370">
        <v>3</v>
      </c>
      <c r="E370">
        <f t="shared" si="5"/>
        <v>10</v>
      </c>
      <c r="F370" t="s">
        <v>821</v>
      </c>
      <c r="G370">
        <v>1</v>
      </c>
    </row>
    <row r="371" spans="1:7">
      <c r="A371">
        <v>3</v>
      </c>
      <c r="B371" t="s">
        <v>555</v>
      </c>
      <c r="C371" t="s">
        <v>555</v>
      </c>
      <c r="D371">
        <v>3</v>
      </c>
      <c r="E371">
        <f t="shared" si="5"/>
        <v>10</v>
      </c>
      <c r="F371" t="s">
        <v>821</v>
      </c>
      <c r="G371">
        <v>1</v>
      </c>
    </row>
    <row r="372" spans="1:7">
      <c r="A372">
        <v>3</v>
      </c>
      <c r="B372" t="s">
        <v>110</v>
      </c>
      <c r="C372" t="s">
        <v>110</v>
      </c>
      <c r="D372">
        <v>3</v>
      </c>
      <c r="E372">
        <f t="shared" si="5"/>
        <v>10</v>
      </c>
      <c r="F372" t="s">
        <v>821</v>
      </c>
      <c r="G372">
        <v>1</v>
      </c>
    </row>
    <row r="373" spans="1:7">
      <c r="A373">
        <v>3</v>
      </c>
      <c r="B373" t="s">
        <v>270</v>
      </c>
      <c r="C373" t="s">
        <v>1778</v>
      </c>
      <c r="D373">
        <v>3</v>
      </c>
      <c r="E373">
        <f t="shared" si="5"/>
        <v>10</v>
      </c>
      <c r="F373" t="s">
        <v>821</v>
      </c>
      <c r="G373">
        <v>1</v>
      </c>
    </row>
    <row r="374" spans="1:7">
      <c r="A374">
        <v>3</v>
      </c>
      <c r="B374" t="s">
        <v>1299</v>
      </c>
      <c r="C374" t="s">
        <v>1299</v>
      </c>
      <c r="D374">
        <v>3</v>
      </c>
      <c r="E374">
        <f t="shared" si="5"/>
        <v>10</v>
      </c>
      <c r="F374" t="s">
        <v>821</v>
      </c>
      <c r="G374">
        <v>1</v>
      </c>
    </row>
    <row r="375" spans="1:7">
      <c r="A375">
        <v>3</v>
      </c>
      <c r="B375" t="s">
        <v>651</v>
      </c>
      <c r="C375" t="s">
        <v>651</v>
      </c>
      <c r="D375">
        <v>3</v>
      </c>
      <c r="E375">
        <f t="shared" si="5"/>
        <v>10</v>
      </c>
      <c r="F375" t="s">
        <v>821</v>
      </c>
      <c r="G375">
        <v>1</v>
      </c>
    </row>
    <row r="376" spans="1:7">
      <c r="A376">
        <v>3</v>
      </c>
      <c r="B376" t="s">
        <v>1174</v>
      </c>
      <c r="C376" t="s">
        <v>1174</v>
      </c>
      <c r="D376">
        <v>3</v>
      </c>
      <c r="E376">
        <f t="shared" si="5"/>
        <v>10</v>
      </c>
      <c r="F376" t="s">
        <v>821</v>
      </c>
      <c r="G376">
        <v>1</v>
      </c>
    </row>
    <row r="377" spans="1:7">
      <c r="A377">
        <v>3</v>
      </c>
      <c r="B377" t="s">
        <v>1304</v>
      </c>
      <c r="C377" t="s">
        <v>1304</v>
      </c>
      <c r="D377">
        <v>3</v>
      </c>
      <c r="E377">
        <f t="shared" si="5"/>
        <v>10</v>
      </c>
      <c r="F377" t="s">
        <v>821</v>
      </c>
      <c r="G377">
        <v>1</v>
      </c>
    </row>
    <row r="378" spans="1:7">
      <c r="A378">
        <v>3</v>
      </c>
      <c r="B378" t="s">
        <v>1314</v>
      </c>
      <c r="C378" t="s">
        <v>1314</v>
      </c>
      <c r="D378">
        <v>3</v>
      </c>
      <c r="E378">
        <f t="shared" si="5"/>
        <v>10</v>
      </c>
      <c r="F378" t="s">
        <v>821</v>
      </c>
      <c r="G378">
        <v>1</v>
      </c>
    </row>
    <row r="379" spans="1:7">
      <c r="A379">
        <v>3</v>
      </c>
      <c r="B379" t="s">
        <v>563</v>
      </c>
      <c r="C379" t="s">
        <v>563</v>
      </c>
      <c r="D379">
        <v>3</v>
      </c>
      <c r="E379">
        <f t="shared" si="5"/>
        <v>10</v>
      </c>
      <c r="F379" t="s">
        <v>821</v>
      </c>
      <c r="G379">
        <v>1</v>
      </c>
    </row>
    <row r="380" spans="1:7">
      <c r="A380">
        <v>3</v>
      </c>
      <c r="B380" t="s">
        <v>1113</v>
      </c>
      <c r="C380" t="s">
        <v>1113</v>
      </c>
      <c r="D380">
        <v>3</v>
      </c>
      <c r="E380">
        <f t="shared" si="5"/>
        <v>10</v>
      </c>
      <c r="F380" t="s">
        <v>821</v>
      </c>
      <c r="G380">
        <v>1</v>
      </c>
    </row>
    <row r="381" spans="1:7">
      <c r="A381">
        <v>3</v>
      </c>
      <c r="B381" t="s">
        <v>566</v>
      </c>
      <c r="C381" t="s">
        <v>566</v>
      </c>
      <c r="D381">
        <v>3</v>
      </c>
      <c r="E381">
        <f t="shared" si="5"/>
        <v>10</v>
      </c>
      <c r="F381" t="s">
        <v>821</v>
      </c>
      <c r="G381">
        <v>1</v>
      </c>
    </row>
    <row r="382" spans="1:7">
      <c r="A382">
        <v>3</v>
      </c>
      <c r="B382" t="s">
        <v>568</v>
      </c>
      <c r="C382" t="s">
        <v>568</v>
      </c>
      <c r="D382">
        <v>3</v>
      </c>
      <c r="E382">
        <f t="shared" si="5"/>
        <v>10</v>
      </c>
      <c r="F382" t="s">
        <v>821</v>
      </c>
      <c r="G382">
        <v>1</v>
      </c>
    </row>
    <row r="383" spans="1:7">
      <c r="A383">
        <v>3</v>
      </c>
      <c r="B383" t="s">
        <v>1114</v>
      </c>
      <c r="C383" t="s">
        <v>1114</v>
      </c>
      <c r="D383">
        <v>3</v>
      </c>
      <c r="E383">
        <f t="shared" si="5"/>
        <v>10</v>
      </c>
      <c r="F383" t="s">
        <v>821</v>
      </c>
      <c r="G383">
        <v>1</v>
      </c>
    </row>
    <row r="384" spans="1:7">
      <c r="A384">
        <v>3</v>
      </c>
      <c r="B384" t="s">
        <v>1321</v>
      </c>
      <c r="C384" t="s">
        <v>1321</v>
      </c>
      <c r="D384">
        <v>3</v>
      </c>
      <c r="E384">
        <f t="shared" si="5"/>
        <v>10</v>
      </c>
      <c r="F384" t="s">
        <v>821</v>
      </c>
      <c r="G384">
        <v>1</v>
      </c>
    </row>
    <row r="385" spans="1:7">
      <c r="A385">
        <v>3</v>
      </c>
      <c r="B385" t="s">
        <v>1784</v>
      </c>
      <c r="C385" t="s">
        <v>1785</v>
      </c>
      <c r="D385">
        <v>3</v>
      </c>
      <c r="E385">
        <f t="shared" si="5"/>
        <v>10</v>
      </c>
      <c r="F385" t="s">
        <v>821</v>
      </c>
      <c r="G385">
        <v>1</v>
      </c>
    </row>
    <row r="386" spans="1:7">
      <c r="A386">
        <v>3</v>
      </c>
      <c r="B386" t="s">
        <v>152</v>
      </c>
      <c r="C386" t="s">
        <v>152</v>
      </c>
      <c r="D386">
        <v>3</v>
      </c>
      <c r="E386">
        <f t="shared" si="5"/>
        <v>10</v>
      </c>
      <c r="F386" t="s">
        <v>821</v>
      </c>
      <c r="G386">
        <v>1</v>
      </c>
    </row>
    <row r="387" spans="1:7">
      <c r="A387">
        <v>3</v>
      </c>
      <c r="B387" t="s">
        <v>812</v>
      </c>
      <c r="C387" t="s">
        <v>5132</v>
      </c>
      <c r="D387">
        <v>3</v>
      </c>
      <c r="E387">
        <f t="shared" ref="E387:E450" si="6">LEN(B387)</f>
        <v>10</v>
      </c>
      <c r="F387" t="s">
        <v>821</v>
      </c>
      <c r="G387">
        <v>1</v>
      </c>
    </row>
    <row r="388" spans="1:7" ht="16" customHeight="1">
      <c r="A388">
        <v>3</v>
      </c>
      <c r="B388" t="s">
        <v>576</v>
      </c>
      <c r="C388" t="s">
        <v>576</v>
      </c>
      <c r="D388">
        <v>3</v>
      </c>
      <c r="E388">
        <f t="shared" si="6"/>
        <v>10</v>
      </c>
      <c r="F388" t="s">
        <v>821</v>
      </c>
      <c r="G388">
        <v>1</v>
      </c>
    </row>
    <row r="389" spans="1:7">
      <c r="A389">
        <v>3</v>
      </c>
      <c r="B389" t="s">
        <v>1340</v>
      </c>
      <c r="C389" t="s">
        <v>1340</v>
      </c>
      <c r="D389">
        <v>3</v>
      </c>
      <c r="E389">
        <f t="shared" si="6"/>
        <v>10</v>
      </c>
      <c r="F389" t="s">
        <v>821</v>
      </c>
      <c r="G389">
        <v>1</v>
      </c>
    </row>
    <row r="390" spans="1:7">
      <c r="A390">
        <v>3</v>
      </c>
      <c r="B390" t="s">
        <v>582</v>
      </c>
      <c r="C390" t="s">
        <v>582</v>
      </c>
      <c r="D390">
        <v>3</v>
      </c>
      <c r="E390">
        <f t="shared" si="6"/>
        <v>10</v>
      </c>
      <c r="F390" t="s">
        <v>821</v>
      </c>
      <c r="G390">
        <v>1</v>
      </c>
    </row>
    <row r="391" spans="1:7">
      <c r="A391">
        <v>3</v>
      </c>
      <c r="B391" t="s">
        <v>584</v>
      </c>
      <c r="C391" t="s">
        <v>584</v>
      </c>
      <c r="D391">
        <v>3</v>
      </c>
      <c r="E391">
        <f t="shared" si="6"/>
        <v>10</v>
      </c>
      <c r="F391" t="s">
        <v>821</v>
      </c>
      <c r="G391">
        <v>1</v>
      </c>
    </row>
    <row r="392" spans="1:7">
      <c r="A392">
        <v>3</v>
      </c>
      <c r="B392" t="s">
        <v>166</v>
      </c>
      <c r="C392" t="s">
        <v>731</v>
      </c>
      <c r="D392">
        <v>3</v>
      </c>
      <c r="E392">
        <f t="shared" si="6"/>
        <v>10</v>
      </c>
      <c r="F392" t="s">
        <v>821</v>
      </c>
      <c r="G392">
        <v>1</v>
      </c>
    </row>
    <row r="393" spans="1:7">
      <c r="A393">
        <v>3</v>
      </c>
      <c r="B393" t="s">
        <v>1201</v>
      </c>
      <c r="C393" t="s">
        <v>1201</v>
      </c>
      <c r="D393">
        <v>3</v>
      </c>
      <c r="E393">
        <f t="shared" si="6"/>
        <v>10</v>
      </c>
      <c r="F393" t="s">
        <v>821</v>
      </c>
      <c r="G393">
        <v>1</v>
      </c>
    </row>
    <row r="394" spans="1:7">
      <c r="A394">
        <v>3</v>
      </c>
      <c r="B394" t="s">
        <v>1203</v>
      </c>
      <c r="C394" t="s">
        <v>1203</v>
      </c>
      <c r="D394">
        <v>3</v>
      </c>
      <c r="E394">
        <f t="shared" si="6"/>
        <v>10</v>
      </c>
      <c r="F394" t="s">
        <v>821</v>
      </c>
      <c r="G394">
        <v>1</v>
      </c>
    </row>
    <row r="395" spans="1:7">
      <c r="A395">
        <v>3</v>
      </c>
      <c r="B395" t="s">
        <v>1358</v>
      </c>
      <c r="C395" t="s">
        <v>1358</v>
      </c>
      <c r="D395">
        <v>3</v>
      </c>
      <c r="E395">
        <f t="shared" si="6"/>
        <v>10</v>
      </c>
      <c r="F395" t="s">
        <v>821</v>
      </c>
      <c r="G395">
        <v>1</v>
      </c>
    </row>
    <row r="396" spans="1:7">
      <c r="A396">
        <v>3</v>
      </c>
      <c r="B396" t="s">
        <v>180</v>
      </c>
      <c r="C396" t="s">
        <v>732</v>
      </c>
      <c r="D396">
        <v>3</v>
      </c>
      <c r="E396">
        <f t="shared" si="6"/>
        <v>10</v>
      </c>
      <c r="F396" t="s">
        <v>821</v>
      </c>
      <c r="G396">
        <v>1</v>
      </c>
    </row>
    <row r="397" spans="1:7">
      <c r="A397">
        <v>3</v>
      </c>
      <c r="B397" t="s">
        <v>181</v>
      </c>
      <c r="C397" t="s">
        <v>713</v>
      </c>
      <c r="D397">
        <v>3</v>
      </c>
      <c r="E397">
        <f t="shared" si="6"/>
        <v>10</v>
      </c>
      <c r="F397" t="s">
        <v>821</v>
      </c>
      <c r="G397">
        <v>1</v>
      </c>
    </row>
    <row r="398" spans="1:7">
      <c r="A398">
        <v>3</v>
      </c>
      <c r="B398" t="s">
        <v>1365</v>
      </c>
      <c r="C398" t="s">
        <v>1365</v>
      </c>
      <c r="D398">
        <v>3</v>
      </c>
      <c r="E398">
        <f t="shared" si="6"/>
        <v>10</v>
      </c>
      <c r="F398" t="s">
        <v>821</v>
      </c>
      <c r="G398">
        <v>1</v>
      </c>
    </row>
    <row r="399" spans="1:7">
      <c r="A399">
        <v>3</v>
      </c>
      <c r="B399" t="s">
        <v>955</v>
      </c>
      <c r="C399" t="s">
        <v>955</v>
      </c>
      <c r="D399">
        <v>3</v>
      </c>
      <c r="E399">
        <f t="shared" si="6"/>
        <v>10</v>
      </c>
      <c r="F399" t="s">
        <v>821</v>
      </c>
      <c r="G399">
        <v>1</v>
      </c>
    </row>
    <row r="400" spans="1:7">
      <c r="A400">
        <v>3</v>
      </c>
      <c r="B400" t="s">
        <v>185</v>
      </c>
      <c r="C400" t="s">
        <v>185</v>
      </c>
      <c r="D400">
        <v>3</v>
      </c>
      <c r="E400">
        <f t="shared" si="6"/>
        <v>10</v>
      </c>
      <c r="F400" t="s">
        <v>821</v>
      </c>
      <c r="G400">
        <v>1</v>
      </c>
    </row>
    <row r="401" spans="1:7">
      <c r="A401">
        <v>3</v>
      </c>
      <c r="B401" t="s">
        <v>187</v>
      </c>
      <c r="C401" t="s">
        <v>714</v>
      </c>
      <c r="D401">
        <v>3</v>
      </c>
      <c r="E401">
        <f t="shared" si="6"/>
        <v>10</v>
      </c>
      <c r="F401" t="s">
        <v>821</v>
      </c>
      <c r="G401">
        <v>1</v>
      </c>
    </row>
    <row r="402" spans="1:7">
      <c r="A402">
        <v>3</v>
      </c>
      <c r="B402" t="s">
        <v>1780</v>
      </c>
      <c r="C402" t="s">
        <v>1780</v>
      </c>
      <c r="D402">
        <v>3</v>
      </c>
      <c r="E402">
        <f t="shared" si="6"/>
        <v>10</v>
      </c>
      <c r="F402" t="s">
        <v>821</v>
      </c>
      <c r="G402">
        <v>1</v>
      </c>
    </row>
    <row r="403" spans="1:7">
      <c r="A403">
        <v>3</v>
      </c>
      <c r="B403" t="s">
        <v>1368</v>
      </c>
      <c r="C403" t="s">
        <v>1368</v>
      </c>
      <c r="D403">
        <v>3</v>
      </c>
      <c r="E403">
        <f t="shared" si="6"/>
        <v>10</v>
      </c>
      <c r="F403" t="s">
        <v>821</v>
      </c>
      <c r="G403">
        <v>1</v>
      </c>
    </row>
    <row r="404" spans="1:7">
      <c r="A404">
        <v>3</v>
      </c>
      <c r="B404" t="s">
        <v>380</v>
      </c>
      <c r="C404" t="s">
        <v>380</v>
      </c>
      <c r="D404">
        <v>3</v>
      </c>
      <c r="E404">
        <f t="shared" si="6"/>
        <v>10</v>
      </c>
      <c r="F404" t="s">
        <v>821</v>
      </c>
      <c r="G404">
        <v>1</v>
      </c>
    </row>
    <row r="405" spans="1:7">
      <c r="A405">
        <v>3</v>
      </c>
      <c r="B405" t="s">
        <v>592</v>
      </c>
      <c r="C405" t="s">
        <v>592</v>
      </c>
      <c r="D405">
        <v>3</v>
      </c>
      <c r="E405">
        <f t="shared" si="6"/>
        <v>10</v>
      </c>
      <c r="F405" t="s">
        <v>821</v>
      </c>
      <c r="G405">
        <v>1</v>
      </c>
    </row>
    <row r="406" spans="1:7">
      <c r="A406">
        <v>3</v>
      </c>
      <c r="B406" t="s">
        <v>977</v>
      </c>
      <c r="C406" t="s">
        <v>977</v>
      </c>
      <c r="D406">
        <v>3</v>
      </c>
      <c r="E406">
        <f t="shared" si="6"/>
        <v>10</v>
      </c>
      <c r="F406" t="s">
        <v>821</v>
      </c>
      <c r="G406">
        <v>1</v>
      </c>
    </row>
    <row r="407" spans="1:7">
      <c r="A407">
        <v>3</v>
      </c>
      <c r="B407" t="s">
        <v>293</v>
      </c>
      <c r="C407" t="s">
        <v>5151</v>
      </c>
      <c r="D407">
        <v>3</v>
      </c>
      <c r="E407">
        <f t="shared" si="6"/>
        <v>10</v>
      </c>
      <c r="F407" t="s">
        <v>821</v>
      </c>
      <c r="G407">
        <v>1</v>
      </c>
    </row>
    <row r="408" spans="1:7">
      <c r="A408">
        <v>3</v>
      </c>
      <c r="B408" t="s">
        <v>294</v>
      </c>
      <c r="C408" t="s">
        <v>6433</v>
      </c>
      <c r="D408">
        <v>3</v>
      </c>
      <c r="E408">
        <f t="shared" si="6"/>
        <v>10</v>
      </c>
      <c r="F408" t="s">
        <v>821</v>
      </c>
      <c r="G408">
        <v>1</v>
      </c>
    </row>
    <row r="409" spans="1:7">
      <c r="A409">
        <v>3</v>
      </c>
      <c r="B409" t="s">
        <v>449</v>
      </c>
      <c r="C409" t="s">
        <v>449</v>
      </c>
      <c r="D409">
        <v>3</v>
      </c>
      <c r="E409">
        <f t="shared" si="6"/>
        <v>10</v>
      </c>
      <c r="F409" t="s">
        <v>821</v>
      </c>
      <c r="G409">
        <v>1</v>
      </c>
    </row>
    <row r="410" spans="1:7">
      <c r="A410">
        <v>3</v>
      </c>
      <c r="B410" t="s">
        <v>453</v>
      </c>
      <c r="C410" t="s">
        <v>453</v>
      </c>
      <c r="D410">
        <v>3</v>
      </c>
      <c r="E410">
        <f t="shared" si="6"/>
        <v>10</v>
      </c>
      <c r="F410" t="s">
        <v>821</v>
      </c>
      <c r="G410">
        <v>1</v>
      </c>
    </row>
    <row r="411" spans="1:7">
      <c r="A411">
        <v>3</v>
      </c>
      <c r="B411" t="s">
        <v>381</v>
      </c>
      <c r="C411" t="s">
        <v>381</v>
      </c>
      <c r="D411">
        <v>3</v>
      </c>
      <c r="E411">
        <f t="shared" si="6"/>
        <v>10</v>
      </c>
      <c r="F411" t="s">
        <v>821</v>
      </c>
      <c r="G411">
        <v>1</v>
      </c>
    </row>
    <row r="412" spans="1:7">
      <c r="A412">
        <v>3</v>
      </c>
      <c r="B412" t="s">
        <v>220</v>
      </c>
      <c r="C412" t="s">
        <v>220</v>
      </c>
      <c r="D412">
        <v>3</v>
      </c>
      <c r="E412">
        <f t="shared" si="6"/>
        <v>10</v>
      </c>
      <c r="F412" t="s">
        <v>821</v>
      </c>
      <c r="G412">
        <v>1</v>
      </c>
    </row>
    <row r="413" spans="1:7">
      <c r="A413">
        <v>3</v>
      </c>
      <c r="B413" t="s">
        <v>221</v>
      </c>
      <c r="C413" t="s">
        <v>221</v>
      </c>
      <c r="D413">
        <v>3</v>
      </c>
      <c r="E413">
        <f t="shared" si="6"/>
        <v>10</v>
      </c>
      <c r="F413" t="s">
        <v>821</v>
      </c>
      <c r="G413">
        <v>1</v>
      </c>
    </row>
    <row r="414" spans="1:7">
      <c r="A414">
        <v>3</v>
      </c>
      <c r="B414" t="s">
        <v>224</v>
      </c>
      <c r="C414" t="s">
        <v>1416</v>
      </c>
      <c r="D414">
        <v>3</v>
      </c>
      <c r="E414">
        <f t="shared" si="6"/>
        <v>10</v>
      </c>
      <c r="F414" t="s">
        <v>821</v>
      </c>
      <c r="G414">
        <v>1</v>
      </c>
    </row>
    <row r="415" spans="1:7">
      <c r="A415">
        <v>3</v>
      </c>
      <c r="B415" t="s">
        <v>456</v>
      </c>
      <c r="C415" t="s">
        <v>725</v>
      </c>
      <c r="D415">
        <v>3</v>
      </c>
      <c r="E415">
        <f t="shared" si="6"/>
        <v>9</v>
      </c>
      <c r="F415" t="s">
        <v>821</v>
      </c>
      <c r="G415">
        <v>1</v>
      </c>
    </row>
    <row r="416" spans="1:7">
      <c r="A416">
        <v>3</v>
      </c>
      <c r="B416" t="s">
        <v>1147</v>
      </c>
      <c r="C416" t="s">
        <v>1147</v>
      </c>
      <c r="D416">
        <v>3</v>
      </c>
      <c r="E416">
        <f t="shared" si="6"/>
        <v>9</v>
      </c>
      <c r="F416" t="s">
        <v>821</v>
      </c>
      <c r="G416">
        <v>1</v>
      </c>
    </row>
    <row r="417" spans="1:7">
      <c r="A417">
        <v>3</v>
      </c>
      <c r="B417" t="s">
        <v>1097</v>
      </c>
      <c r="C417" t="s">
        <v>1097</v>
      </c>
      <c r="D417">
        <v>3</v>
      </c>
      <c r="E417">
        <f t="shared" si="6"/>
        <v>9</v>
      </c>
      <c r="F417" t="s">
        <v>821</v>
      </c>
      <c r="G417">
        <v>1</v>
      </c>
    </row>
    <row r="418" spans="1:7">
      <c r="A418">
        <v>3</v>
      </c>
      <c r="B418" t="s">
        <v>1226</v>
      </c>
      <c r="C418" t="s">
        <v>1226</v>
      </c>
      <c r="D418">
        <v>3</v>
      </c>
      <c r="E418">
        <f t="shared" si="6"/>
        <v>9</v>
      </c>
      <c r="F418" t="s">
        <v>821</v>
      </c>
      <c r="G418">
        <v>1</v>
      </c>
    </row>
    <row r="419" spans="1:7">
      <c r="A419">
        <v>3</v>
      </c>
      <c r="B419" t="s">
        <v>30</v>
      </c>
      <c r="C419" t="s">
        <v>6575</v>
      </c>
      <c r="D419">
        <v>3</v>
      </c>
      <c r="E419">
        <f t="shared" si="6"/>
        <v>9</v>
      </c>
      <c r="F419" t="s">
        <v>821</v>
      </c>
      <c r="G419">
        <v>1</v>
      </c>
    </row>
    <row r="420" spans="1:7">
      <c r="A420">
        <v>3</v>
      </c>
      <c r="B420" t="s">
        <v>31</v>
      </c>
      <c r="C420" t="s">
        <v>4890</v>
      </c>
      <c r="D420">
        <v>3</v>
      </c>
      <c r="E420">
        <f t="shared" si="6"/>
        <v>9</v>
      </c>
      <c r="F420" t="s">
        <v>821</v>
      </c>
      <c r="G420">
        <v>1</v>
      </c>
    </row>
    <row r="421" spans="1:7">
      <c r="A421">
        <v>3</v>
      </c>
      <c r="B421" t="s">
        <v>1231</v>
      </c>
      <c r="C421" t="s">
        <v>1231</v>
      </c>
      <c r="D421">
        <v>3</v>
      </c>
      <c r="E421">
        <f t="shared" si="6"/>
        <v>9</v>
      </c>
      <c r="F421" t="s">
        <v>821</v>
      </c>
      <c r="G421">
        <v>1</v>
      </c>
    </row>
    <row r="422" spans="1:7">
      <c r="A422">
        <v>3</v>
      </c>
      <c r="B422" t="s">
        <v>252</v>
      </c>
      <c r="C422" t="s">
        <v>5097</v>
      </c>
      <c r="D422">
        <v>3</v>
      </c>
      <c r="E422">
        <f t="shared" si="6"/>
        <v>9</v>
      </c>
      <c r="F422" t="s">
        <v>821</v>
      </c>
      <c r="G422">
        <v>1</v>
      </c>
    </row>
    <row r="423" spans="1:7">
      <c r="A423">
        <v>3</v>
      </c>
      <c r="B423" t="s">
        <v>36</v>
      </c>
      <c r="C423" t="s">
        <v>5260</v>
      </c>
      <c r="D423">
        <v>3</v>
      </c>
      <c r="E423">
        <f t="shared" si="6"/>
        <v>9</v>
      </c>
      <c r="F423" t="s">
        <v>822</v>
      </c>
      <c r="G423">
        <v>1</v>
      </c>
    </row>
    <row r="424" spans="1:7">
      <c r="A424">
        <v>3</v>
      </c>
      <c r="B424" t="s">
        <v>37</v>
      </c>
      <c r="C424" t="s">
        <v>5098</v>
      </c>
      <c r="D424">
        <v>3</v>
      </c>
      <c r="E424">
        <f t="shared" si="6"/>
        <v>9</v>
      </c>
      <c r="F424" t="s">
        <v>821</v>
      </c>
      <c r="G424">
        <v>1</v>
      </c>
    </row>
    <row r="425" spans="1:7">
      <c r="A425">
        <v>3</v>
      </c>
      <c r="B425" t="s">
        <v>1101</v>
      </c>
      <c r="C425" t="s">
        <v>1395</v>
      </c>
      <c r="D425">
        <v>3</v>
      </c>
      <c r="E425">
        <f t="shared" si="6"/>
        <v>9</v>
      </c>
      <c r="F425" t="s">
        <v>1420</v>
      </c>
      <c r="G425">
        <v>1</v>
      </c>
    </row>
    <row r="426" spans="1:7">
      <c r="A426">
        <v>3</v>
      </c>
      <c r="B426" t="s">
        <v>40</v>
      </c>
      <c r="C426" t="s">
        <v>40</v>
      </c>
      <c r="D426">
        <v>3</v>
      </c>
      <c r="E426">
        <f t="shared" si="6"/>
        <v>9</v>
      </c>
      <c r="F426" t="s">
        <v>822</v>
      </c>
      <c r="G426">
        <v>1</v>
      </c>
    </row>
    <row r="427" spans="1:7">
      <c r="A427">
        <v>3</v>
      </c>
      <c r="B427" t="s">
        <v>42</v>
      </c>
      <c r="C427" t="s">
        <v>5102</v>
      </c>
      <c r="D427">
        <v>3</v>
      </c>
      <c r="E427">
        <f t="shared" si="6"/>
        <v>9</v>
      </c>
      <c r="F427" t="s">
        <v>822</v>
      </c>
      <c r="G427">
        <v>1</v>
      </c>
    </row>
    <row r="428" spans="1:7">
      <c r="A428">
        <v>3</v>
      </c>
      <c r="B428" t="s">
        <v>45</v>
      </c>
      <c r="C428" t="s">
        <v>5103</v>
      </c>
      <c r="D428">
        <v>3</v>
      </c>
      <c r="E428">
        <f t="shared" si="6"/>
        <v>9</v>
      </c>
      <c r="F428" t="s">
        <v>821</v>
      </c>
      <c r="G428">
        <v>1</v>
      </c>
    </row>
    <row r="429" spans="1:7">
      <c r="A429">
        <v>3</v>
      </c>
      <c r="B429" t="s">
        <v>1031</v>
      </c>
      <c r="C429" t="s">
        <v>1031</v>
      </c>
      <c r="D429">
        <v>3</v>
      </c>
      <c r="E429">
        <f t="shared" si="6"/>
        <v>9</v>
      </c>
      <c r="F429" t="s">
        <v>821</v>
      </c>
      <c r="G429">
        <v>1</v>
      </c>
    </row>
    <row r="430" spans="1:7">
      <c r="A430">
        <v>3</v>
      </c>
      <c r="B430" t="s">
        <v>1033</v>
      </c>
      <c r="C430" t="s">
        <v>1033</v>
      </c>
      <c r="D430">
        <v>3</v>
      </c>
      <c r="E430">
        <f t="shared" si="6"/>
        <v>9</v>
      </c>
      <c r="F430" t="s">
        <v>821</v>
      </c>
      <c r="G430">
        <v>1</v>
      </c>
    </row>
    <row r="431" spans="1:7">
      <c r="A431">
        <v>3</v>
      </c>
      <c r="B431" t="s">
        <v>365</v>
      </c>
      <c r="C431" t="s">
        <v>365</v>
      </c>
      <c r="D431">
        <v>3</v>
      </c>
      <c r="E431">
        <f t="shared" si="6"/>
        <v>9</v>
      </c>
      <c r="F431" t="s">
        <v>821</v>
      </c>
      <c r="G431">
        <v>1</v>
      </c>
    </row>
    <row r="432" spans="1:7">
      <c r="A432">
        <v>3</v>
      </c>
      <c r="B432" t="s">
        <v>61</v>
      </c>
      <c r="C432" t="s">
        <v>61</v>
      </c>
      <c r="D432">
        <v>3</v>
      </c>
      <c r="E432">
        <f t="shared" si="6"/>
        <v>9</v>
      </c>
      <c r="F432" t="s">
        <v>821</v>
      </c>
      <c r="G432">
        <v>1</v>
      </c>
    </row>
    <row r="433" spans="1:7">
      <c r="A433">
        <v>3</v>
      </c>
      <c r="B433" t="s">
        <v>1081</v>
      </c>
      <c r="C433" t="s">
        <v>1081</v>
      </c>
      <c r="D433">
        <v>3</v>
      </c>
      <c r="E433">
        <f t="shared" si="6"/>
        <v>9</v>
      </c>
      <c r="F433" t="s">
        <v>821</v>
      </c>
      <c r="G433">
        <v>1</v>
      </c>
    </row>
    <row r="434" spans="1:7">
      <c r="A434">
        <v>3</v>
      </c>
      <c r="B434" t="s">
        <v>1442</v>
      </c>
      <c r="C434" t="s">
        <v>1442</v>
      </c>
      <c r="D434">
        <v>3</v>
      </c>
      <c r="E434">
        <f t="shared" si="6"/>
        <v>9</v>
      </c>
      <c r="F434" t="s">
        <v>821</v>
      </c>
      <c r="G434">
        <v>1</v>
      </c>
    </row>
    <row r="435" spans="1:7">
      <c r="A435">
        <v>3</v>
      </c>
      <c r="B435" t="s">
        <v>1038</v>
      </c>
      <c r="C435" t="s">
        <v>1038</v>
      </c>
      <c r="D435">
        <v>3</v>
      </c>
      <c r="E435">
        <f t="shared" si="6"/>
        <v>9</v>
      </c>
      <c r="F435" t="s">
        <v>821</v>
      </c>
      <c r="G435">
        <v>1</v>
      </c>
    </row>
    <row r="436" spans="1:7">
      <c r="A436">
        <v>3</v>
      </c>
      <c r="B436" t="s">
        <v>1261</v>
      </c>
      <c r="C436" t="s">
        <v>5526</v>
      </c>
      <c r="D436">
        <v>3</v>
      </c>
      <c r="E436">
        <f t="shared" si="6"/>
        <v>9</v>
      </c>
      <c r="F436" t="s">
        <v>821</v>
      </c>
      <c r="G436">
        <v>1</v>
      </c>
    </row>
    <row r="437" spans="1:7">
      <c r="A437">
        <v>3</v>
      </c>
      <c r="B437" t="s">
        <v>472</v>
      </c>
      <c r="C437" t="s">
        <v>472</v>
      </c>
      <c r="D437">
        <v>3</v>
      </c>
      <c r="E437">
        <f t="shared" si="6"/>
        <v>9</v>
      </c>
      <c r="F437" t="s">
        <v>821</v>
      </c>
      <c r="G437">
        <v>1</v>
      </c>
    </row>
    <row r="438" spans="1:7">
      <c r="A438">
        <v>3</v>
      </c>
      <c r="B438" t="s">
        <v>81</v>
      </c>
      <c r="C438" t="s">
        <v>81</v>
      </c>
      <c r="D438">
        <v>3</v>
      </c>
      <c r="E438">
        <f t="shared" si="6"/>
        <v>9</v>
      </c>
      <c r="F438" t="s">
        <v>821</v>
      </c>
      <c r="G438">
        <v>1</v>
      </c>
    </row>
    <row r="439" spans="1:7">
      <c r="A439">
        <v>3</v>
      </c>
      <c r="B439" t="s">
        <v>84</v>
      </c>
      <c r="C439" t="s">
        <v>728</v>
      </c>
      <c r="D439">
        <v>3</v>
      </c>
      <c r="E439">
        <f t="shared" si="6"/>
        <v>9</v>
      </c>
      <c r="F439" t="s">
        <v>821</v>
      </c>
      <c r="G439">
        <v>1</v>
      </c>
    </row>
    <row r="440" spans="1:7">
      <c r="A440">
        <v>3</v>
      </c>
      <c r="B440" t="s">
        <v>85</v>
      </c>
      <c r="C440" t="s">
        <v>85</v>
      </c>
      <c r="D440">
        <v>3</v>
      </c>
      <c r="E440">
        <f t="shared" si="6"/>
        <v>9</v>
      </c>
      <c r="F440" t="s">
        <v>821</v>
      </c>
      <c r="G440">
        <v>1</v>
      </c>
    </row>
    <row r="441" spans="1:7">
      <c r="A441">
        <v>3</v>
      </c>
      <c r="B441" t="s">
        <v>411</v>
      </c>
      <c r="C441" t="s">
        <v>411</v>
      </c>
      <c r="D441">
        <v>3</v>
      </c>
      <c r="E441">
        <f t="shared" si="6"/>
        <v>9</v>
      </c>
      <c r="F441" t="s">
        <v>821</v>
      </c>
      <c r="G441">
        <v>1</v>
      </c>
    </row>
    <row r="442" spans="1:7">
      <c r="A442">
        <v>3</v>
      </c>
      <c r="B442" t="s">
        <v>1793</v>
      </c>
      <c r="C442" t="s">
        <v>5111</v>
      </c>
      <c r="D442">
        <v>3</v>
      </c>
      <c r="E442">
        <f t="shared" si="6"/>
        <v>9</v>
      </c>
      <c r="F442" t="s">
        <v>821</v>
      </c>
      <c r="G442">
        <v>1</v>
      </c>
    </row>
    <row r="443" spans="1:7">
      <c r="A443">
        <v>3</v>
      </c>
      <c r="B443" t="s">
        <v>1277</v>
      </c>
      <c r="C443" t="s">
        <v>1277</v>
      </c>
      <c r="D443">
        <v>3</v>
      </c>
      <c r="E443">
        <f t="shared" si="6"/>
        <v>9</v>
      </c>
      <c r="F443" t="s">
        <v>821</v>
      </c>
      <c r="G443">
        <v>1</v>
      </c>
    </row>
    <row r="444" spans="1:7">
      <c r="A444">
        <v>3</v>
      </c>
      <c r="B444" t="s">
        <v>1790</v>
      </c>
      <c r="C444" t="s">
        <v>1790</v>
      </c>
      <c r="D444">
        <v>3</v>
      </c>
      <c r="E444">
        <f t="shared" si="6"/>
        <v>9</v>
      </c>
      <c r="F444" t="s">
        <v>821</v>
      </c>
      <c r="G444">
        <v>1</v>
      </c>
    </row>
    <row r="445" spans="1:7">
      <c r="A445">
        <v>3</v>
      </c>
      <c r="B445" t="s">
        <v>1069</v>
      </c>
      <c r="C445" t="s">
        <v>1403</v>
      </c>
      <c r="D445">
        <v>3</v>
      </c>
      <c r="E445">
        <f t="shared" si="6"/>
        <v>9</v>
      </c>
      <c r="F445" t="s">
        <v>821</v>
      </c>
      <c r="G445">
        <v>1</v>
      </c>
    </row>
    <row r="446" spans="1:7">
      <c r="A446">
        <v>3</v>
      </c>
      <c r="B446" t="s">
        <v>1281</v>
      </c>
      <c r="C446" t="s">
        <v>1281</v>
      </c>
      <c r="D446">
        <v>3</v>
      </c>
      <c r="E446">
        <f t="shared" si="6"/>
        <v>9</v>
      </c>
      <c r="F446" t="s">
        <v>821</v>
      </c>
      <c r="G446">
        <v>1</v>
      </c>
    </row>
    <row r="447" spans="1:7">
      <c r="A447">
        <v>3</v>
      </c>
      <c r="B447" t="s">
        <v>415</v>
      </c>
      <c r="C447" t="s">
        <v>5114</v>
      </c>
      <c r="D447">
        <v>3</v>
      </c>
      <c r="E447">
        <f t="shared" si="6"/>
        <v>9</v>
      </c>
      <c r="F447" t="s">
        <v>821</v>
      </c>
      <c r="G447">
        <v>1</v>
      </c>
    </row>
    <row r="448" spans="1:7">
      <c r="A448">
        <v>3</v>
      </c>
      <c r="B448" t="s">
        <v>372</v>
      </c>
      <c r="C448" t="s">
        <v>5116</v>
      </c>
      <c r="D448">
        <v>3</v>
      </c>
      <c r="E448">
        <f t="shared" si="6"/>
        <v>9</v>
      </c>
      <c r="F448" t="s">
        <v>821</v>
      </c>
      <c r="G448">
        <v>1</v>
      </c>
    </row>
    <row r="449" spans="1:7">
      <c r="A449">
        <v>3</v>
      </c>
      <c r="B449" t="s">
        <v>424</v>
      </c>
      <c r="C449" t="s">
        <v>424</v>
      </c>
      <c r="D449">
        <v>3</v>
      </c>
      <c r="E449">
        <f t="shared" si="6"/>
        <v>9</v>
      </c>
      <c r="F449" t="s">
        <v>821</v>
      </c>
      <c r="G449">
        <v>1</v>
      </c>
    </row>
    <row r="450" spans="1:7">
      <c r="A450">
        <v>3</v>
      </c>
      <c r="B450" t="s">
        <v>104</v>
      </c>
      <c r="C450" t="s">
        <v>104</v>
      </c>
      <c r="D450">
        <v>3</v>
      </c>
      <c r="E450">
        <f t="shared" si="6"/>
        <v>9</v>
      </c>
      <c r="F450" t="s">
        <v>821</v>
      </c>
      <c r="G450">
        <v>1</v>
      </c>
    </row>
    <row r="451" spans="1:7">
      <c r="A451">
        <v>3</v>
      </c>
      <c r="B451" t="s">
        <v>111</v>
      </c>
      <c r="C451" t="s">
        <v>1414</v>
      </c>
      <c r="D451">
        <v>3</v>
      </c>
      <c r="E451">
        <f t="shared" ref="E451:E514" si="7">LEN(B451)</f>
        <v>9</v>
      </c>
      <c r="F451" t="s">
        <v>821</v>
      </c>
      <c r="G451">
        <v>1</v>
      </c>
    </row>
    <row r="452" spans="1:7">
      <c r="A452">
        <v>3</v>
      </c>
      <c r="B452" t="s">
        <v>307</v>
      </c>
      <c r="C452" t="s">
        <v>307</v>
      </c>
      <c r="D452">
        <v>3</v>
      </c>
      <c r="E452">
        <f t="shared" si="7"/>
        <v>9</v>
      </c>
      <c r="F452" t="s">
        <v>821</v>
      </c>
      <c r="G452">
        <v>1</v>
      </c>
    </row>
    <row r="453" spans="1:7">
      <c r="A453">
        <v>3</v>
      </c>
      <c r="B453" t="s">
        <v>558</v>
      </c>
      <c r="C453" t="s">
        <v>558</v>
      </c>
      <c r="D453">
        <v>3</v>
      </c>
      <c r="E453">
        <f t="shared" si="7"/>
        <v>9</v>
      </c>
      <c r="F453" t="s">
        <v>821</v>
      </c>
      <c r="G453">
        <v>1</v>
      </c>
    </row>
    <row r="454" spans="1:7">
      <c r="A454">
        <v>3</v>
      </c>
      <c r="B454" t="s">
        <v>653</v>
      </c>
      <c r="C454" t="s">
        <v>653</v>
      </c>
      <c r="D454">
        <v>3</v>
      </c>
      <c r="E454">
        <f t="shared" si="7"/>
        <v>9</v>
      </c>
      <c r="F454" t="s">
        <v>821</v>
      </c>
      <c r="G454">
        <v>1</v>
      </c>
    </row>
    <row r="455" spans="1:7">
      <c r="A455">
        <v>3</v>
      </c>
      <c r="B455" t="s">
        <v>332</v>
      </c>
      <c r="C455" t="s">
        <v>332</v>
      </c>
      <c r="D455">
        <v>3</v>
      </c>
      <c r="E455">
        <f t="shared" si="7"/>
        <v>9</v>
      </c>
      <c r="F455" t="s">
        <v>821</v>
      </c>
      <c r="G455">
        <v>1</v>
      </c>
    </row>
    <row r="456" spans="1:7">
      <c r="A456">
        <v>3</v>
      </c>
      <c r="B456" t="s">
        <v>960</v>
      </c>
      <c r="C456" t="s">
        <v>960</v>
      </c>
      <c r="D456">
        <v>3</v>
      </c>
      <c r="E456">
        <f t="shared" si="7"/>
        <v>9</v>
      </c>
      <c r="F456" t="s">
        <v>821</v>
      </c>
      <c r="G456">
        <v>1</v>
      </c>
    </row>
    <row r="457" spans="1:7">
      <c r="A457">
        <v>3</v>
      </c>
      <c r="B457" t="s">
        <v>113</v>
      </c>
      <c r="C457" t="s">
        <v>14877</v>
      </c>
      <c r="D457">
        <v>3</v>
      </c>
      <c r="E457">
        <f t="shared" si="7"/>
        <v>9</v>
      </c>
      <c r="F457" t="s">
        <v>821</v>
      </c>
      <c r="G457">
        <v>1</v>
      </c>
    </row>
    <row r="458" spans="1:7">
      <c r="A458">
        <v>3</v>
      </c>
      <c r="B458" t="s">
        <v>1074</v>
      </c>
      <c r="C458" t="s">
        <v>1074</v>
      </c>
      <c r="D458">
        <v>3</v>
      </c>
      <c r="E458">
        <f t="shared" si="7"/>
        <v>9</v>
      </c>
      <c r="F458" t="s">
        <v>821</v>
      </c>
      <c r="G458">
        <v>1</v>
      </c>
    </row>
    <row r="459" spans="1:7">
      <c r="A459">
        <v>3</v>
      </c>
      <c r="B459" t="s">
        <v>687</v>
      </c>
      <c r="C459" t="s">
        <v>687</v>
      </c>
      <c r="D459">
        <v>3</v>
      </c>
      <c r="E459">
        <f t="shared" si="7"/>
        <v>9</v>
      </c>
      <c r="F459" t="s">
        <v>821</v>
      </c>
      <c r="G459">
        <v>1</v>
      </c>
    </row>
    <row r="460" spans="1:7">
      <c r="A460">
        <v>3</v>
      </c>
      <c r="B460" t="s">
        <v>273</v>
      </c>
      <c r="C460" t="s">
        <v>5120</v>
      </c>
      <c r="D460">
        <v>3</v>
      </c>
      <c r="E460">
        <f t="shared" si="7"/>
        <v>9</v>
      </c>
      <c r="F460" t="s">
        <v>821</v>
      </c>
      <c r="G460">
        <v>1</v>
      </c>
    </row>
    <row r="461" spans="1:7">
      <c r="A461">
        <v>3</v>
      </c>
      <c r="B461" t="s">
        <v>1302</v>
      </c>
      <c r="C461" t="s">
        <v>1302</v>
      </c>
      <c r="D461">
        <v>3</v>
      </c>
      <c r="E461">
        <f t="shared" si="7"/>
        <v>9</v>
      </c>
      <c r="F461" t="s">
        <v>821</v>
      </c>
      <c r="G461">
        <v>1</v>
      </c>
    </row>
    <row r="462" spans="1:7">
      <c r="A462">
        <v>3</v>
      </c>
      <c r="B462" t="s">
        <v>1789</v>
      </c>
      <c r="C462" t="s">
        <v>5122</v>
      </c>
      <c r="D462">
        <v>3</v>
      </c>
      <c r="E462">
        <f t="shared" si="7"/>
        <v>9</v>
      </c>
      <c r="F462" t="s">
        <v>821</v>
      </c>
      <c r="G462">
        <v>1</v>
      </c>
    </row>
    <row r="463" spans="1:7">
      <c r="A463">
        <v>3</v>
      </c>
      <c r="B463" t="s">
        <v>511</v>
      </c>
      <c r="C463" t="s">
        <v>511</v>
      </c>
      <c r="D463">
        <v>3</v>
      </c>
      <c r="E463">
        <f t="shared" si="7"/>
        <v>9</v>
      </c>
      <c r="F463" t="s">
        <v>821</v>
      </c>
      <c r="G463">
        <v>1</v>
      </c>
    </row>
    <row r="464" spans="1:7">
      <c r="A464">
        <v>3</v>
      </c>
      <c r="B464" t="s">
        <v>277</v>
      </c>
      <c r="C464" t="s">
        <v>5125</v>
      </c>
      <c r="D464">
        <v>3</v>
      </c>
      <c r="E464">
        <f t="shared" si="7"/>
        <v>9</v>
      </c>
      <c r="F464" t="s">
        <v>821</v>
      </c>
      <c r="G464">
        <v>1</v>
      </c>
    </row>
    <row r="465" spans="1:7">
      <c r="A465">
        <v>3</v>
      </c>
      <c r="B465" t="s">
        <v>838</v>
      </c>
      <c r="C465" t="s">
        <v>838</v>
      </c>
      <c r="D465">
        <v>3</v>
      </c>
      <c r="E465">
        <f t="shared" si="7"/>
        <v>9</v>
      </c>
      <c r="F465" t="s">
        <v>821</v>
      </c>
      <c r="G465">
        <v>1</v>
      </c>
    </row>
    <row r="466" spans="1:7">
      <c r="A466">
        <v>3</v>
      </c>
      <c r="B466" t="s">
        <v>1791</v>
      </c>
      <c r="C466" t="s">
        <v>1791</v>
      </c>
      <c r="D466">
        <v>3</v>
      </c>
      <c r="E466">
        <f t="shared" si="7"/>
        <v>9</v>
      </c>
      <c r="F466" t="s">
        <v>821</v>
      </c>
      <c r="G466">
        <v>1</v>
      </c>
    </row>
    <row r="467" spans="1:7">
      <c r="A467">
        <v>3</v>
      </c>
      <c r="B467" t="s">
        <v>1182</v>
      </c>
      <c r="C467" t="s">
        <v>1182</v>
      </c>
      <c r="D467">
        <v>3</v>
      </c>
      <c r="E467">
        <f t="shared" si="7"/>
        <v>9</v>
      </c>
      <c r="F467" t="s">
        <v>821</v>
      </c>
      <c r="G467">
        <v>1</v>
      </c>
    </row>
    <row r="468" spans="1:7">
      <c r="A468">
        <v>3</v>
      </c>
      <c r="B468" t="s">
        <v>435</v>
      </c>
      <c r="C468" t="s">
        <v>435</v>
      </c>
      <c r="D468">
        <v>3</v>
      </c>
      <c r="E468">
        <f t="shared" si="7"/>
        <v>9</v>
      </c>
      <c r="F468" t="s">
        <v>821</v>
      </c>
      <c r="G468">
        <v>1</v>
      </c>
    </row>
    <row r="469" spans="1:7">
      <c r="A469">
        <v>3</v>
      </c>
      <c r="B469" t="s">
        <v>1117</v>
      </c>
      <c r="C469" t="s">
        <v>1117</v>
      </c>
      <c r="D469">
        <v>3</v>
      </c>
      <c r="E469">
        <f t="shared" si="7"/>
        <v>9</v>
      </c>
      <c r="F469" t="s">
        <v>821</v>
      </c>
      <c r="G469">
        <v>1</v>
      </c>
    </row>
    <row r="470" spans="1:7">
      <c r="A470">
        <v>3</v>
      </c>
      <c r="B470" t="s">
        <v>573</v>
      </c>
      <c r="C470" t="s">
        <v>573</v>
      </c>
      <c r="D470">
        <v>3</v>
      </c>
      <c r="E470">
        <f t="shared" si="7"/>
        <v>9</v>
      </c>
      <c r="F470" t="s">
        <v>821</v>
      </c>
      <c r="G470">
        <v>1</v>
      </c>
    </row>
    <row r="471" spans="1:7">
      <c r="A471">
        <v>3</v>
      </c>
      <c r="B471" t="s">
        <v>142</v>
      </c>
      <c r="C471" t="s">
        <v>5129</v>
      </c>
      <c r="D471">
        <v>3</v>
      </c>
      <c r="E471">
        <f t="shared" si="7"/>
        <v>9</v>
      </c>
      <c r="F471" t="s">
        <v>821</v>
      </c>
      <c r="G471">
        <v>1</v>
      </c>
    </row>
    <row r="472" spans="1:7">
      <c r="A472">
        <v>3</v>
      </c>
      <c r="B472" t="s">
        <v>1329</v>
      </c>
      <c r="C472" t="s">
        <v>1329</v>
      </c>
      <c r="D472">
        <v>3</v>
      </c>
      <c r="E472">
        <f t="shared" si="7"/>
        <v>9</v>
      </c>
      <c r="F472" t="s">
        <v>821</v>
      </c>
      <c r="G472">
        <v>1</v>
      </c>
    </row>
    <row r="473" spans="1:7">
      <c r="A473">
        <v>3</v>
      </c>
      <c r="B473" t="s">
        <v>438</v>
      </c>
      <c r="C473" t="s">
        <v>438</v>
      </c>
      <c r="D473">
        <v>3</v>
      </c>
      <c r="E473">
        <f t="shared" si="7"/>
        <v>9</v>
      </c>
      <c r="F473" t="s">
        <v>821</v>
      </c>
      <c r="G473">
        <v>1</v>
      </c>
    </row>
    <row r="474" spans="1:7">
      <c r="A474">
        <v>3</v>
      </c>
      <c r="B474" t="s">
        <v>1191</v>
      </c>
      <c r="C474" t="s">
        <v>1191</v>
      </c>
      <c r="D474">
        <v>3</v>
      </c>
      <c r="E474">
        <f t="shared" si="7"/>
        <v>9</v>
      </c>
      <c r="F474" t="s">
        <v>821</v>
      </c>
      <c r="G474">
        <v>1</v>
      </c>
    </row>
    <row r="475" spans="1:7">
      <c r="A475">
        <v>3</v>
      </c>
      <c r="B475" t="s">
        <v>337</v>
      </c>
      <c r="C475" t="s">
        <v>337</v>
      </c>
      <c r="D475">
        <v>3</v>
      </c>
      <c r="E475">
        <f t="shared" si="7"/>
        <v>9</v>
      </c>
      <c r="F475" t="s">
        <v>821</v>
      </c>
      <c r="G475">
        <v>1</v>
      </c>
    </row>
    <row r="476" spans="1:7">
      <c r="A476">
        <v>3</v>
      </c>
      <c r="B476" t="s">
        <v>156</v>
      </c>
      <c r="C476" t="s">
        <v>156</v>
      </c>
      <c r="D476">
        <v>3</v>
      </c>
      <c r="E476">
        <f t="shared" si="7"/>
        <v>9</v>
      </c>
      <c r="F476" t="s">
        <v>821</v>
      </c>
      <c r="G476">
        <v>1</v>
      </c>
    </row>
    <row r="477" spans="1:7">
      <c r="A477">
        <v>3</v>
      </c>
      <c r="B477" t="s">
        <v>285</v>
      </c>
      <c r="C477" t="s">
        <v>5135</v>
      </c>
      <c r="D477">
        <v>3</v>
      </c>
      <c r="E477">
        <f t="shared" si="7"/>
        <v>9</v>
      </c>
      <c r="F477" t="s">
        <v>821</v>
      </c>
      <c r="G477">
        <v>1</v>
      </c>
    </row>
    <row r="478" spans="1:7">
      <c r="A478">
        <v>3</v>
      </c>
      <c r="B478" t="s">
        <v>340</v>
      </c>
      <c r="C478" t="s">
        <v>340</v>
      </c>
      <c r="D478">
        <v>3</v>
      </c>
      <c r="E478">
        <f t="shared" si="7"/>
        <v>9</v>
      </c>
      <c r="F478" t="s">
        <v>821</v>
      </c>
      <c r="G478">
        <v>1</v>
      </c>
    </row>
    <row r="479" spans="1:7">
      <c r="A479">
        <v>3</v>
      </c>
      <c r="B479" t="s">
        <v>1349</v>
      </c>
      <c r="C479" t="s">
        <v>1349</v>
      </c>
      <c r="D479">
        <v>3</v>
      </c>
      <c r="E479">
        <f t="shared" si="7"/>
        <v>9</v>
      </c>
      <c r="F479" t="s">
        <v>821</v>
      </c>
      <c r="G479">
        <v>1</v>
      </c>
    </row>
    <row r="480" spans="1:7">
      <c r="A480">
        <v>3</v>
      </c>
      <c r="B480" t="s">
        <v>169</v>
      </c>
      <c r="C480" t="s">
        <v>5138</v>
      </c>
      <c r="D480">
        <v>3</v>
      </c>
      <c r="E480">
        <f t="shared" si="7"/>
        <v>9</v>
      </c>
      <c r="F480" t="s">
        <v>1420</v>
      </c>
      <c r="G480">
        <v>1</v>
      </c>
    </row>
    <row r="481" spans="1:7">
      <c r="A481">
        <v>3</v>
      </c>
      <c r="B481" t="s">
        <v>171</v>
      </c>
      <c r="C481" t="s">
        <v>6463</v>
      </c>
      <c r="D481">
        <v>3</v>
      </c>
      <c r="E481">
        <f t="shared" si="7"/>
        <v>9</v>
      </c>
      <c r="F481" t="s">
        <v>821</v>
      </c>
      <c r="G481">
        <v>1</v>
      </c>
    </row>
    <row r="482" spans="1:7">
      <c r="A482">
        <v>3</v>
      </c>
      <c r="B482" t="s">
        <v>183</v>
      </c>
      <c r="C482" t="s">
        <v>183</v>
      </c>
      <c r="D482">
        <v>3</v>
      </c>
      <c r="E482">
        <f t="shared" si="7"/>
        <v>9</v>
      </c>
      <c r="F482" t="s">
        <v>821</v>
      </c>
      <c r="G482">
        <v>1</v>
      </c>
    </row>
    <row r="483" spans="1:7">
      <c r="A483">
        <v>3</v>
      </c>
      <c r="B483" t="s">
        <v>290</v>
      </c>
      <c r="C483" t="s">
        <v>290</v>
      </c>
      <c r="D483">
        <v>3</v>
      </c>
      <c r="E483">
        <f t="shared" si="7"/>
        <v>9</v>
      </c>
      <c r="F483" t="s">
        <v>821</v>
      </c>
      <c r="G483">
        <v>1</v>
      </c>
    </row>
    <row r="484" spans="1:7">
      <c r="A484">
        <v>3</v>
      </c>
      <c r="B484" t="s">
        <v>513</v>
      </c>
      <c r="C484" t="s">
        <v>513</v>
      </c>
      <c r="D484">
        <v>3</v>
      </c>
      <c r="E484">
        <f t="shared" si="7"/>
        <v>9</v>
      </c>
      <c r="F484" t="s">
        <v>821</v>
      </c>
      <c r="G484">
        <v>1</v>
      </c>
    </row>
    <row r="485" spans="1:7">
      <c r="A485">
        <v>3</v>
      </c>
      <c r="B485" t="s">
        <v>1367</v>
      </c>
      <c r="C485" t="s">
        <v>1367</v>
      </c>
      <c r="D485">
        <v>3</v>
      </c>
      <c r="E485">
        <f t="shared" si="7"/>
        <v>9</v>
      </c>
      <c r="F485" t="s">
        <v>821</v>
      </c>
      <c r="G485">
        <v>1</v>
      </c>
    </row>
    <row r="486" spans="1:7">
      <c r="A486">
        <v>3</v>
      </c>
      <c r="B486" t="s">
        <v>291</v>
      </c>
      <c r="C486" t="s">
        <v>291</v>
      </c>
      <c r="D486">
        <v>3</v>
      </c>
      <c r="E486">
        <f t="shared" si="7"/>
        <v>9</v>
      </c>
      <c r="F486" t="s">
        <v>821</v>
      </c>
      <c r="G486">
        <v>1</v>
      </c>
    </row>
    <row r="487" spans="1:7">
      <c r="A487">
        <v>3</v>
      </c>
      <c r="B487" t="s">
        <v>313</v>
      </c>
      <c r="C487" t="s">
        <v>313</v>
      </c>
      <c r="D487">
        <v>3</v>
      </c>
      <c r="E487">
        <f t="shared" si="7"/>
        <v>9</v>
      </c>
      <c r="F487" t="s">
        <v>821</v>
      </c>
      <c r="G487">
        <v>1</v>
      </c>
    </row>
    <row r="488" spans="1:7">
      <c r="A488">
        <v>3</v>
      </c>
      <c r="B488" t="s">
        <v>1792</v>
      </c>
      <c r="C488" t="s">
        <v>1792</v>
      </c>
      <c r="D488">
        <v>3</v>
      </c>
      <c r="E488">
        <f t="shared" si="7"/>
        <v>9</v>
      </c>
      <c r="F488" t="s">
        <v>821</v>
      </c>
      <c r="G488">
        <v>1</v>
      </c>
    </row>
    <row r="489" spans="1:7">
      <c r="A489">
        <v>3</v>
      </c>
      <c r="B489" t="s">
        <v>344</v>
      </c>
      <c r="C489" t="s">
        <v>5145</v>
      </c>
      <c r="D489">
        <v>3</v>
      </c>
      <c r="E489">
        <f t="shared" si="7"/>
        <v>9</v>
      </c>
      <c r="F489" t="s">
        <v>821</v>
      </c>
      <c r="G489">
        <v>1</v>
      </c>
    </row>
    <row r="490" spans="1:7">
      <c r="A490">
        <v>3</v>
      </c>
      <c r="B490" t="s">
        <v>1786</v>
      </c>
      <c r="C490" t="s">
        <v>1786</v>
      </c>
      <c r="D490">
        <v>3</v>
      </c>
      <c r="E490">
        <f t="shared" si="7"/>
        <v>9</v>
      </c>
      <c r="F490" t="s">
        <v>821</v>
      </c>
      <c r="G490">
        <v>1</v>
      </c>
    </row>
    <row r="491" spans="1:7">
      <c r="A491">
        <v>3</v>
      </c>
      <c r="B491" t="s">
        <v>1208</v>
      </c>
      <c r="C491" t="s">
        <v>1208</v>
      </c>
      <c r="D491">
        <v>3</v>
      </c>
      <c r="E491">
        <f t="shared" si="7"/>
        <v>9</v>
      </c>
      <c r="F491" t="s">
        <v>821</v>
      </c>
      <c r="G491">
        <v>1</v>
      </c>
    </row>
    <row r="492" spans="1:7">
      <c r="A492">
        <v>3</v>
      </c>
      <c r="B492" t="s">
        <v>197</v>
      </c>
      <c r="C492" t="s">
        <v>5545</v>
      </c>
      <c r="D492">
        <v>3</v>
      </c>
      <c r="E492">
        <f t="shared" si="7"/>
        <v>9</v>
      </c>
      <c r="F492" t="s">
        <v>821</v>
      </c>
      <c r="G492">
        <v>1</v>
      </c>
    </row>
    <row r="493" spans="1:7">
      <c r="A493">
        <v>3</v>
      </c>
      <c r="B493" t="s">
        <v>479</v>
      </c>
      <c r="C493" t="s">
        <v>479</v>
      </c>
      <c r="D493">
        <v>3</v>
      </c>
      <c r="E493">
        <f t="shared" si="7"/>
        <v>9</v>
      </c>
      <c r="F493" t="s">
        <v>821</v>
      </c>
      <c r="G493">
        <v>1</v>
      </c>
    </row>
    <row r="494" spans="1:7">
      <c r="A494">
        <v>3</v>
      </c>
      <c r="B494" t="s">
        <v>594</v>
      </c>
      <c r="C494" t="s">
        <v>594</v>
      </c>
      <c r="D494">
        <v>3</v>
      </c>
      <c r="E494">
        <f t="shared" si="7"/>
        <v>9</v>
      </c>
      <c r="F494" t="s">
        <v>821</v>
      </c>
      <c r="G494">
        <v>1</v>
      </c>
    </row>
    <row r="495" spans="1:7">
      <c r="A495">
        <v>3</v>
      </c>
      <c r="B495" t="s">
        <v>299</v>
      </c>
      <c r="C495" t="s">
        <v>6442</v>
      </c>
      <c r="D495">
        <v>3</v>
      </c>
      <c r="E495">
        <f t="shared" si="7"/>
        <v>9</v>
      </c>
      <c r="F495" t="s">
        <v>821</v>
      </c>
      <c r="G495">
        <v>1</v>
      </c>
    </row>
    <row r="496" spans="1:7">
      <c r="A496">
        <v>3</v>
      </c>
      <c r="B496" t="s">
        <v>1383</v>
      </c>
      <c r="C496" t="s">
        <v>1383</v>
      </c>
      <c r="D496">
        <v>3</v>
      </c>
      <c r="E496">
        <f t="shared" si="7"/>
        <v>9</v>
      </c>
      <c r="F496" t="s">
        <v>821</v>
      </c>
      <c r="G496">
        <v>1</v>
      </c>
    </row>
    <row r="497" spans="1:7">
      <c r="A497">
        <v>3</v>
      </c>
      <c r="B497" t="s">
        <v>457</v>
      </c>
      <c r="C497" t="s">
        <v>457</v>
      </c>
      <c r="D497">
        <v>3</v>
      </c>
      <c r="E497">
        <f t="shared" si="7"/>
        <v>9</v>
      </c>
      <c r="F497" t="s">
        <v>821</v>
      </c>
      <c r="G497">
        <v>1</v>
      </c>
    </row>
    <row r="498" spans="1:7">
      <c r="A498">
        <v>3</v>
      </c>
      <c r="B498" t="s">
        <v>458</v>
      </c>
      <c r="C498" t="s">
        <v>458</v>
      </c>
      <c r="D498">
        <v>3</v>
      </c>
      <c r="E498">
        <f t="shared" si="7"/>
        <v>9</v>
      </c>
      <c r="F498" t="s">
        <v>821</v>
      </c>
      <c r="G498">
        <v>1</v>
      </c>
    </row>
    <row r="499" spans="1:7">
      <c r="A499">
        <v>3</v>
      </c>
      <c r="B499" t="s">
        <v>1788</v>
      </c>
      <c r="C499" t="s">
        <v>1788</v>
      </c>
      <c r="D499">
        <v>3</v>
      </c>
      <c r="E499">
        <f t="shared" si="7"/>
        <v>9</v>
      </c>
      <c r="F499" t="s">
        <v>821</v>
      </c>
      <c r="G499">
        <v>1</v>
      </c>
    </row>
    <row r="500" spans="1:7">
      <c r="A500">
        <v>3</v>
      </c>
      <c r="B500" t="s">
        <v>176</v>
      </c>
      <c r="C500" t="s">
        <v>10245</v>
      </c>
      <c r="D500">
        <v>3</v>
      </c>
      <c r="E500">
        <f t="shared" si="7"/>
        <v>9</v>
      </c>
      <c r="F500" t="s">
        <v>822</v>
      </c>
      <c r="G500">
        <v>1</v>
      </c>
    </row>
    <row r="501" spans="1:7">
      <c r="A501">
        <v>3</v>
      </c>
      <c r="B501" t="s">
        <v>694</v>
      </c>
      <c r="C501" t="s">
        <v>694</v>
      </c>
      <c r="D501">
        <v>3</v>
      </c>
      <c r="E501">
        <f t="shared" si="7"/>
        <v>8</v>
      </c>
      <c r="F501" t="s">
        <v>821</v>
      </c>
      <c r="G501">
        <v>1</v>
      </c>
    </row>
    <row r="502" spans="1:7">
      <c r="A502">
        <v>3</v>
      </c>
      <c r="B502" t="s">
        <v>159</v>
      </c>
      <c r="C502" t="s">
        <v>5536</v>
      </c>
      <c r="D502">
        <v>3</v>
      </c>
      <c r="E502">
        <f t="shared" si="7"/>
        <v>8</v>
      </c>
      <c r="F502" t="s">
        <v>821</v>
      </c>
      <c r="G502">
        <v>1</v>
      </c>
    </row>
    <row r="503" spans="1:7">
      <c r="A503">
        <v>3</v>
      </c>
      <c r="B503" t="s">
        <v>1096</v>
      </c>
      <c r="C503" t="s">
        <v>1096</v>
      </c>
      <c r="D503">
        <v>3</v>
      </c>
      <c r="E503">
        <f t="shared" si="7"/>
        <v>8</v>
      </c>
      <c r="F503" t="s">
        <v>821</v>
      </c>
      <c r="G503">
        <v>1</v>
      </c>
    </row>
    <row r="504" spans="1:7">
      <c r="A504">
        <v>3</v>
      </c>
      <c r="B504" t="s">
        <v>1098</v>
      </c>
      <c r="C504" t="s">
        <v>1098</v>
      </c>
      <c r="D504">
        <v>3</v>
      </c>
      <c r="E504">
        <f t="shared" si="7"/>
        <v>8</v>
      </c>
      <c r="F504" t="s">
        <v>821</v>
      </c>
      <c r="G504">
        <v>1</v>
      </c>
    </row>
    <row r="505" spans="1:7">
      <c r="A505">
        <v>3</v>
      </c>
      <c r="B505" t="s">
        <v>504</v>
      </c>
      <c r="C505" t="s">
        <v>504</v>
      </c>
      <c r="D505">
        <v>3</v>
      </c>
      <c r="E505">
        <f t="shared" si="7"/>
        <v>8</v>
      </c>
      <c r="F505" t="s">
        <v>821</v>
      </c>
      <c r="G505">
        <v>1</v>
      </c>
    </row>
    <row r="506" spans="1:7">
      <c r="A506">
        <v>3</v>
      </c>
      <c r="B506" t="s">
        <v>319</v>
      </c>
      <c r="C506" t="s">
        <v>319</v>
      </c>
      <c r="D506">
        <v>3</v>
      </c>
      <c r="E506">
        <f t="shared" si="7"/>
        <v>8</v>
      </c>
      <c r="F506" t="s">
        <v>821</v>
      </c>
      <c r="G506">
        <v>1</v>
      </c>
    </row>
    <row r="507" spans="1:7">
      <c r="A507">
        <v>3</v>
      </c>
      <c r="B507" t="s">
        <v>7152</v>
      </c>
      <c r="C507" t="s">
        <v>7330</v>
      </c>
      <c r="D507">
        <v>3</v>
      </c>
      <c r="E507">
        <f t="shared" si="7"/>
        <v>8</v>
      </c>
      <c r="F507" t="s">
        <v>821</v>
      </c>
      <c r="G507">
        <v>1</v>
      </c>
    </row>
    <row r="508" spans="1:7">
      <c r="A508">
        <v>3</v>
      </c>
      <c r="B508" t="s">
        <v>1443</v>
      </c>
      <c r="C508" t="s">
        <v>1443</v>
      </c>
      <c r="D508">
        <v>3</v>
      </c>
      <c r="E508">
        <f t="shared" si="7"/>
        <v>8</v>
      </c>
      <c r="F508" t="s">
        <v>821</v>
      </c>
      <c r="G508">
        <v>1</v>
      </c>
    </row>
    <row r="509" spans="1:7">
      <c r="A509">
        <v>3</v>
      </c>
      <c r="B509" t="s">
        <v>645</v>
      </c>
      <c r="C509" t="s">
        <v>645</v>
      </c>
      <c r="D509">
        <v>3</v>
      </c>
      <c r="E509">
        <f t="shared" si="7"/>
        <v>8</v>
      </c>
      <c r="F509" t="s">
        <v>821</v>
      </c>
      <c r="G509">
        <v>1</v>
      </c>
    </row>
    <row r="510" spans="1:7">
      <c r="A510">
        <v>3</v>
      </c>
      <c r="B510" t="s">
        <v>1062</v>
      </c>
      <c r="C510" t="s">
        <v>1062</v>
      </c>
      <c r="D510">
        <v>3</v>
      </c>
      <c r="E510">
        <f t="shared" si="7"/>
        <v>8</v>
      </c>
      <c r="F510" t="s">
        <v>821</v>
      </c>
      <c r="G510">
        <v>1</v>
      </c>
    </row>
    <row r="511" spans="1:7">
      <c r="A511">
        <v>3</v>
      </c>
      <c r="B511" t="s">
        <v>632</v>
      </c>
      <c r="C511" t="s">
        <v>632</v>
      </c>
      <c r="D511">
        <v>3</v>
      </c>
      <c r="E511">
        <f t="shared" si="7"/>
        <v>8</v>
      </c>
      <c r="F511" t="s">
        <v>821</v>
      </c>
      <c r="G511">
        <v>1</v>
      </c>
    </row>
    <row r="512" spans="1:7" ht="17.149999999999999" customHeight="1">
      <c r="A512">
        <v>3</v>
      </c>
      <c r="B512" t="s">
        <v>257</v>
      </c>
      <c r="C512" t="s">
        <v>5104</v>
      </c>
      <c r="D512">
        <v>3</v>
      </c>
      <c r="E512">
        <f t="shared" si="7"/>
        <v>8</v>
      </c>
      <c r="F512" t="s">
        <v>821</v>
      </c>
      <c r="G512">
        <v>1</v>
      </c>
    </row>
    <row r="513" spans="1:7">
      <c r="A513">
        <v>3</v>
      </c>
      <c r="B513" t="s">
        <v>1030</v>
      </c>
      <c r="C513" t="s">
        <v>1030</v>
      </c>
      <c r="D513">
        <v>3</v>
      </c>
      <c r="E513">
        <f t="shared" si="7"/>
        <v>8</v>
      </c>
      <c r="F513" t="s">
        <v>821</v>
      </c>
      <c r="G513">
        <v>1</v>
      </c>
    </row>
    <row r="514" spans="1:7">
      <c r="A514">
        <v>3</v>
      </c>
      <c r="B514" t="s">
        <v>401</v>
      </c>
      <c r="C514" t="s">
        <v>401</v>
      </c>
      <c r="D514">
        <v>3</v>
      </c>
      <c r="E514">
        <f t="shared" si="7"/>
        <v>8</v>
      </c>
      <c r="F514" t="s">
        <v>821</v>
      </c>
      <c r="G514">
        <v>1</v>
      </c>
    </row>
    <row r="515" spans="1:7">
      <c r="A515">
        <v>3</v>
      </c>
      <c r="B515" t="s">
        <v>52</v>
      </c>
      <c r="C515" t="s">
        <v>6577</v>
      </c>
      <c r="D515">
        <v>3</v>
      </c>
      <c r="E515">
        <f t="shared" ref="E515:E578" si="8">LEN(B515)</f>
        <v>8</v>
      </c>
      <c r="F515" t="s">
        <v>821</v>
      </c>
      <c r="G515">
        <v>1</v>
      </c>
    </row>
    <row r="516" spans="1:7">
      <c r="A516">
        <v>3</v>
      </c>
      <c r="B516" t="s">
        <v>321</v>
      </c>
      <c r="C516" t="s">
        <v>321</v>
      </c>
      <c r="D516">
        <v>3</v>
      </c>
      <c r="E516">
        <f t="shared" si="8"/>
        <v>8</v>
      </c>
      <c r="F516" t="s">
        <v>821</v>
      </c>
      <c r="G516">
        <v>1</v>
      </c>
    </row>
    <row r="517" spans="1:7">
      <c r="A517">
        <v>3</v>
      </c>
      <c r="B517" t="s">
        <v>53</v>
      </c>
      <c r="C517" t="s">
        <v>1400</v>
      </c>
      <c r="D517">
        <v>3</v>
      </c>
      <c r="E517">
        <f t="shared" si="8"/>
        <v>8</v>
      </c>
      <c r="F517" t="s">
        <v>821</v>
      </c>
      <c r="G517">
        <v>1</v>
      </c>
    </row>
    <row r="518" spans="1:7">
      <c r="A518">
        <v>3</v>
      </c>
      <c r="B518" t="s">
        <v>860</v>
      </c>
      <c r="C518" t="s">
        <v>860</v>
      </c>
      <c r="D518">
        <v>3</v>
      </c>
      <c r="E518">
        <f t="shared" si="8"/>
        <v>8</v>
      </c>
      <c r="F518" t="s">
        <v>821</v>
      </c>
      <c r="G518">
        <v>1</v>
      </c>
    </row>
    <row r="519" spans="1:7">
      <c r="A519">
        <v>3</v>
      </c>
      <c r="B519" t="s">
        <v>680</v>
      </c>
      <c r="C519" t="s">
        <v>680</v>
      </c>
      <c r="D519">
        <v>3</v>
      </c>
      <c r="E519">
        <f t="shared" si="8"/>
        <v>8</v>
      </c>
      <c r="F519" t="s">
        <v>821</v>
      </c>
      <c r="G519">
        <v>1</v>
      </c>
    </row>
    <row r="520" spans="1:7">
      <c r="A520">
        <v>3</v>
      </c>
      <c r="B520" t="s">
        <v>404</v>
      </c>
      <c r="C520" t="s">
        <v>404</v>
      </c>
      <c r="D520">
        <v>3</v>
      </c>
      <c r="E520">
        <f t="shared" si="8"/>
        <v>8</v>
      </c>
      <c r="F520" t="s">
        <v>821</v>
      </c>
      <c r="G520">
        <v>1</v>
      </c>
    </row>
    <row r="521" spans="1:7">
      <c r="A521">
        <v>3</v>
      </c>
      <c r="B521" t="s">
        <v>470</v>
      </c>
      <c r="C521" t="s">
        <v>470</v>
      </c>
      <c r="D521">
        <v>3</v>
      </c>
      <c r="E521">
        <f t="shared" si="8"/>
        <v>8</v>
      </c>
      <c r="F521" t="s">
        <v>821</v>
      </c>
      <c r="G521">
        <v>1</v>
      </c>
    </row>
    <row r="522" spans="1:7" ht="17.149999999999999" customHeight="1">
      <c r="A522">
        <v>3</v>
      </c>
      <c r="B522" t="s">
        <v>57</v>
      </c>
      <c r="C522" t="s">
        <v>57</v>
      </c>
      <c r="D522">
        <v>3</v>
      </c>
      <c r="E522">
        <f t="shared" si="8"/>
        <v>8</v>
      </c>
      <c r="F522" t="s">
        <v>821</v>
      </c>
      <c r="G522">
        <v>1</v>
      </c>
    </row>
    <row r="523" spans="1:7">
      <c r="A523">
        <v>3</v>
      </c>
      <c r="B523" t="s">
        <v>978</v>
      </c>
      <c r="C523" t="s">
        <v>978</v>
      </c>
      <c r="D523">
        <v>3</v>
      </c>
      <c r="E523">
        <f t="shared" si="8"/>
        <v>8</v>
      </c>
      <c r="F523" t="s">
        <v>821</v>
      </c>
      <c r="G523">
        <v>1</v>
      </c>
    </row>
    <row r="524" spans="1:7">
      <c r="A524">
        <v>3</v>
      </c>
      <c r="B524" t="s">
        <v>541</v>
      </c>
      <c r="C524" t="s">
        <v>541</v>
      </c>
      <c r="D524">
        <v>3</v>
      </c>
      <c r="E524">
        <f t="shared" si="8"/>
        <v>8</v>
      </c>
      <c r="F524" t="s">
        <v>821</v>
      </c>
      <c r="G524">
        <v>1</v>
      </c>
    </row>
    <row r="525" spans="1:7">
      <c r="A525">
        <v>3</v>
      </c>
      <c r="B525" t="s">
        <v>1257</v>
      </c>
      <c r="C525" t="s">
        <v>1257</v>
      </c>
      <c r="D525">
        <v>3</v>
      </c>
      <c r="E525">
        <f t="shared" si="8"/>
        <v>8</v>
      </c>
      <c r="F525" t="s">
        <v>821</v>
      </c>
      <c r="G525">
        <v>1</v>
      </c>
    </row>
    <row r="526" spans="1:7">
      <c r="A526">
        <v>3</v>
      </c>
      <c r="B526" t="s">
        <v>259</v>
      </c>
      <c r="C526" t="s">
        <v>259</v>
      </c>
      <c r="D526">
        <v>3</v>
      </c>
      <c r="E526">
        <f t="shared" si="8"/>
        <v>8</v>
      </c>
      <c r="F526" t="s">
        <v>821</v>
      </c>
      <c r="G526">
        <v>1</v>
      </c>
    </row>
    <row r="527" spans="1:7">
      <c r="A527">
        <v>3</v>
      </c>
      <c r="B527" t="s">
        <v>1259</v>
      </c>
      <c r="C527" t="s">
        <v>1259</v>
      </c>
      <c r="D527">
        <v>3</v>
      </c>
      <c r="E527">
        <f t="shared" si="8"/>
        <v>8</v>
      </c>
      <c r="F527" t="s">
        <v>821</v>
      </c>
      <c r="G527">
        <v>1</v>
      </c>
    </row>
    <row r="528" spans="1:7">
      <c r="A528">
        <v>3</v>
      </c>
      <c r="B528" t="s">
        <v>951</v>
      </c>
      <c r="C528" t="s">
        <v>951</v>
      </c>
      <c r="D528">
        <v>3</v>
      </c>
      <c r="E528">
        <f t="shared" si="8"/>
        <v>8</v>
      </c>
      <c r="F528" t="s">
        <v>821</v>
      </c>
      <c r="G528">
        <v>1</v>
      </c>
    </row>
    <row r="529" spans="1:7">
      <c r="A529">
        <v>3</v>
      </c>
      <c r="B529" t="s">
        <v>1262</v>
      </c>
      <c r="C529" t="s">
        <v>1262</v>
      </c>
      <c r="D529">
        <v>3</v>
      </c>
      <c r="E529">
        <f t="shared" si="8"/>
        <v>8</v>
      </c>
      <c r="F529" t="s">
        <v>821</v>
      </c>
      <c r="G529">
        <v>1</v>
      </c>
    </row>
    <row r="530" spans="1:7">
      <c r="A530">
        <v>3</v>
      </c>
      <c r="B530" t="s">
        <v>408</v>
      </c>
      <c r="C530" t="s">
        <v>408</v>
      </c>
      <c r="D530">
        <v>3</v>
      </c>
      <c r="E530">
        <f t="shared" si="8"/>
        <v>8</v>
      </c>
      <c r="F530" t="s">
        <v>821</v>
      </c>
      <c r="G530">
        <v>1</v>
      </c>
    </row>
    <row r="531" spans="1:7">
      <c r="A531">
        <v>3</v>
      </c>
      <c r="B531" t="s">
        <v>71</v>
      </c>
      <c r="C531" t="s">
        <v>71</v>
      </c>
      <c r="D531">
        <v>3</v>
      </c>
      <c r="E531">
        <f t="shared" si="8"/>
        <v>8</v>
      </c>
      <c r="F531" t="s">
        <v>821</v>
      </c>
      <c r="G531">
        <v>1</v>
      </c>
    </row>
    <row r="532" spans="1:7">
      <c r="A532">
        <v>3</v>
      </c>
      <c r="B532" t="s">
        <v>1267</v>
      </c>
      <c r="C532" t="s">
        <v>1267</v>
      </c>
      <c r="D532">
        <v>3</v>
      </c>
      <c r="E532">
        <f t="shared" si="8"/>
        <v>8</v>
      </c>
      <c r="F532" t="s">
        <v>821</v>
      </c>
      <c r="G532">
        <v>1</v>
      </c>
    </row>
    <row r="533" spans="1:7">
      <c r="A533">
        <v>3</v>
      </c>
      <c r="B533" t="s">
        <v>835</v>
      </c>
      <c r="C533" t="s">
        <v>835</v>
      </c>
      <c r="D533">
        <v>3</v>
      </c>
      <c r="E533">
        <f t="shared" si="8"/>
        <v>8</v>
      </c>
      <c r="F533" t="s">
        <v>821</v>
      </c>
      <c r="G533">
        <v>1</v>
      </c>
    </row>
    <row r="534" spans="1:7">
      <c r="A534">
        <v>3</v>
      </c>
      <c r="B534" t="s">
        <v>72</v>
      </c>
      <c r="C534" t="s">
        <v>72</v>
      </c>
      <c r="D534">
        <v>3</v>
      </c>
      <c r="E534">
        <f t="shared" si="8"/>
        <v>8</v>
      </c>
      <c r="F534" t="s">
        <v>821</v>
      </c>
      <c r="G534">
        <v>1</v>
      </c>
    </row>
    <row r="535" spans="1:7">
      <c r="A535">
        <v>3</v>
      </c>
      <c r="B535" t="s">
        <v>1794</v>
      </c>
      <c r="C535" t="s">
        <v>1794</v>
      </c>
      <c r="D535">
        <v>3</v>
      </c>
      <c r="E535">
        <f t="shared" si="8"/>
        <v>8</v>
      </c>
      <c r="F535" t="s">
        <v>821</v>
      </c>
      <c r="G535">
        <v>1</v>
      </c>
    </row>
    <row r="536" spans="1:7">
      <c r="A536">
        <v>3</v>
      </c>
      <c r="B536" t="s">
        <v>367</v>
      </c>
      <c r="C536" t="s">
        <v>367</v>
      </c>
      <c r="D536">
        <v>3</v>
      </c>
      <c r="E536">
        <f t="shared" si="8"/>
        <v>8</v>
      </c>
      <c r="F536" t="s">
        <v>821</v>
      </c>
      <c r="G536">
        <v>1</v>
      </c>
    </row>
    <row r="537" spans="1:7">
      <c r="A537">
        <v>3</v>
      </c>
      <c r="B537" t="s">
        <v>1041</v>
      </c>
      <c r="C537" t="s">
        <v>1041</v>
      </c>
      <c r="D537">
        <v>3</v>
      </c>
      <c r="E537">
        <f t="shared" si="8"/>
        <v>8</v>
      </c>
      <c r="F537" t="s">
        <v>1420</v>
      </c>
      <c r="G537">
        <v>1</v>
      </c>
    </row>
    <row r="538" spans="1:7">
      <c r="A538">
        <v>3</v>
      </c>
      <c r="B538" t="s">
        <v>1042</v>
      </c>
      <c r="C538" t="s">
        <v>1042</v>
      </c>
      <c r="D538">
        <v>3</v>
      </c>
      <c r="E538">
        <f t="shared" si="8"/>
        <v>8</v>
      </c>
      <c r="F538" t="s">
        <v>821</v>
      </c>
      <c r="G538">
        <v>1</v>
      </c>
    </row>
    <row r="539" spans="1:7">
      <c r="A539">
        <v>3</v>
      </c>
      <c r="B539" t="s">
        <v>1162</v>
      </c>
      <c r="C539" t="s">
        <v>1162</v>
      </c>
      <c r="D539">
        <v>3</v>
      </c>
      <c r="E539">
        <f t="shared" si="8"/>
        <v>8</v>
      </c>
      <c r="F539" t="s">
        <v>821</v>
      </c>
      <c r="G539">
        <v>1</v>
      </c>
    </row>
    <row r="540" spans="1:7">
      <c r="A540">
        <v>3</v>
      </c>
      <c r="B540" t="s">
        <v>1273</v>
      </c>
      <c r="C540" t="s">
        <v>1273</v>
      </c>
      <c r="D540">
        <v>3</v>
      </c>
      <c r="E540">
        <f t="shared" si="8"/>
        <v>8</v>
      </c>
      <c r="F540" t="s">
        <v>821</v>
      </c>
      <c r="G540">
        <v>1</v>
      </c>
    </row>
    <row r="541" spans="1:7">
      <c r="A541">
        <v>3</v>
      </c>
      <c r="B541" t="s">
        <v>543</v>
      </c>
      <c r="C541" t="s">
        <v>543</v>
      </c>
      <c r="D541">
        <v>3</v>
      </c>
      <c r="E541">
        <f t="shared" si="8"/>
        <v>8</v>
      </c>
      <c r="F541" t="s">
        <v>821</v>
      </c>
      <c r="G541">
        <v>1</v>
      </c>
    </row>
    <row r="542" spans="1:7">
      <c r="A542">
        <v>3</v>
      </c>
      <c r="B542" t="s">
        <v>263</v>
      </c>
      <c r="C542" t="s">
        <v>263</v>
      </c>
      <c r="D542">
        <v>3</v>
      </c>
      <c r="E542">
        <f t="shared" si="8"/>
        <v>8</v>
      </c>
      <c r="F542" t="s">
        <v>821</v>
      </c>
      <c r="G542">
        <v>1</v>
      </c>
    </row>
    <row r="543" spans="1:7">
      <c r="A543">
        <v>3</v>
      </c>
      <c r="B543" t="s">
        <v>264</v>
      </c>
      <c r="C543" t="s">
        <v>6571</v>
      </c>
      <c r="D543">
        <v>3</v>
      </c>
      <c r="E543">
        <f t="shared" si="8"/>
        <v>8</v>
      </c>
      <c r="F543" t="s">
        <v>821</v>
      </c>
      <c r="G543">
        <v>1</v>
      </c>
    </row>
    <row r="544" spans="1:7">
      <c r="A544">
        <v>3</v>
      </c>
      <c r="B544" t="s">
        <v>265</v>
      </c>
      <c r="C544" t="s">
        <v>265</v>
      </c>
      <c r="D544">
        <v>3</v>
      </c>
      <c r="E544">
        <f t="shared" si="8"/>
        <v>8</v>
      </c>
      <c r="F544" t="s">
        <v>821</v>
      </c>
      <c r="G544">
        <v>1</v>
      </c>
    </row>
    <row r="545" spans="1:7">
      <c r="A545">
        <v>3</v>
      </c>
      <c r="B545" t="s">
        <v>369</v>
      </c>
      <c r="C545" t="s">
        <v>369</v>
      </c>
      <c r="D545">
        <v>3</v>
      </c>
      <c r="E545">
        <f t="shared" si="8"/>
        <v>8</v>
      </c>
      <c r="F545" t="s">
        <v>821</v>
      </c>
      <c r="G545">
        <v>1</v>
      </c>
    </row>
    <row r="546" spans="1:7" ht="15" customHeight="1">
      <c r="A546">
        <v>3</v>
      </c>
      <c r="B546" t="s">
        <v>88</v>
      </c>
      <c r="C546" t="s">
        <v>6578</v>
      </c>
      <c r="D546">
        <v>3</v>
      </c>
      <c r="E546">
        <f t="shared" si="8"/>
        <v>8</v>
      </c>
      <c r="F546" t="s">
        <v>821</v>
      </c>
      <c r="G546">
        <v>1</v>
      </c>
    </row>
    <row r="547" spans="1:7">
      <c r="A547">
        <v>3</v>
      </c>
      <c r="B547" t="s">
        <v>1419</v>
      </c>
      <c r="C547" t="s">
        <v>1419</v>
      </c>
      <c r="D547">
        <v>3</v>
      </c>
      <c r="E547">
        <f t="shared" si="8"/>
        <v>8</v>
      </c>
      <c r="F547" t="s">
        <v>821</v>
      </c>
      <c r="G547">
        <v>1</v>
      </c>
    </row>
    <row r="548" spans="1:7">
      <c r="A548">
        <v>3</v>
      </c>
      <c r="B548" t="s">
        <v>1046</v>
      </c>
      <c r="C548" t="s">
        <v>1046</v>
      </c>
      <c r="D548">
        <v>3</v>
      </c>
      <c r="E548">
        <f t="shared" si="8"/>
        <v>8</v>
      </c>
      <c r="F548" t="s">
        <v>821</v>
      </c>
      <c r="G548">
        <v>1</v>
      </c>
    </row>
    <row r="549" spans="1:7">
      <c r="A549">
        <v>3</v>
      </c>
      <c r="B549" t="s">
        <v>1283</v>
      </c>
      <c r="C549" t="s">
        <v>1283</v>
      </c>
      <c r="D549">
        <v>3</v>
      </c>
      <c r="E549">
        <f t="shared" si="8"/>
        <v>8</v>
      </c>
      <c r="F549" t="s">
        <v>821</v>
      </c>
      <c r="G549">
        <v>1</v>
      </c>
    </row>
    <row r="550" spans="1:7">
      <c r="A550">
        <v>3</v>
      </c>
      <c r="B550" t="s">
        <v>416</v>
      </c>
      <c r="C550" t="s">
        <v>416</v>
      </c>
      <c r="D550">
        <v>3</v>
      </c>
      <c r="E550">
        <f t="shared" si="8"/>
        <v>8</v>
      </c>
      <c r="F550" t="s">
        <v>821</v>
      </c>
      <c r="G550">
        <v>1</v>
      </c>
    </row>
    <row r="551" spans="1:7">
      <c r="A551">
        <v>3</v>
      </c>
      <c r="B551" t="s">
        <v>1796</v>
      </c>
      <c r="C551" t="s">
        <v>1796</v>
      </c>
      <c r="D551">
        <v>3</v>
      </c>
      <c r="E551">
        <f t="shared" si="8"/>
        <v>8</v>
      </c>
      <c r="F551" t="s">
        <v>821</v>
      </c>
      <c r="G551">
        <v>1</v>
      </c>
    </row>
    <row r="552" spans="1:7">
      <c r="A552">
        <v>3</v>
      </c>
      <c r="B552" t="s">
        <v>1287</v>
      </c>
      <c r="C552" t="s">
        <v>1287</v>
      </c>
      <c r="D552">
        <v>3</v>
      </c>
      <c r="E552">
        <f t="shared" si="8"/>
        <v>8</v>
      </c>
      <c r="F552" t="s">
        <v>821</v>
      </c>
      <c r="G552">
        <v>1</v>
      </c>
    </row>
    <row r="553" spans="1:7">
      <c r="A553">
        <v>3</v>
      </c>
      <c r="B553" t="s">
        <v>101</v>
      </c>
      <c r="C553" t="s">
        <v>101</v>
      </c>
      <c r="D553">
        <v>3</v>
      </c>
      <c r="E553">
        <f t="shared" si="8"/>
        <v>8</v>
      </c>
      <c r="F553" t="s">
        <v>821</v>
      </c>
      <c r="G553">
        <v>1</v>
      </c>
    </row>
    <row r="554" spans="1:7">
      <c r="A554">
        <v>3</v>
      </c>
      <c r="B554" t="s">
        <v>1170</v>
      </c>
      <c r="C554" t="s">
        <v>1171</v>
      </c>
      <c r="D554">
        <v>3</v>
      </c>
      <c r="E554">
        <f t="shared" si="8"/>
        <v>8</v>
      </c>
      <c r="F554" t="s">
        <v>821</v>
      </c>
      <c r="G554">
        <v>1</v>
      </c>
    </row>
    <row r="555" spans="1:7">
      <c r="A555">
        <v>3</v>
      </c>
      <c r="B555" t="s">
        <v>1053</v>
      </c>
      <c r="C555" t="s">
        <v>1053</v>
      </c>
      <c r="D555">
        <v>3</v>
      </c>
      <c r="E555">
        <f t="shared" si="8"/>
        <v>8</v>
      </c>
      <c r="F555" t="s">
        <v>821</v>
      </c>
      <c r="G555">
        <v>1</v>
      </c>
    </row>
    <row r="556" spans="1:7">
      <c r="A556">
        <v>3</v>
      </c>
      <c r="B556" t="s">
        <v>1015</v>
      </c>
      <c r="C556" t="s">
        <v>1015</v>
      </c>
      <c r="D556">
        <v>3</v>
      </c>
      <c r="E556">
        <f t="shared" si="8"/>
        <v>8</v>
      </c>
      <c r="F556" t="s">
        <v>821</v>
      </c>
      <c r="G556">
        <v>1</v>
      </c>
    </row>
    <row r="557" spans="1:7">
      <c r="A557">
        <v>3</v>
      </c>
      <c r="B557" t="s">
        <v>1016</v>
      </c>
      <c r="C557" t="s">
        <v>1016</v>
      </c>
      <c r="D557">
        <v>3</v>
      </c>
      <c r="E557">
        <f t="shared" si="8"/>
        <v>8</v>
      </c>
      <c r="F557" t="s">
        <v>821</v>
      </c>
      <c r="G557">
        <v>1</v>
      </c>
    </row>
    <row r="558" spans="1:7">
      <c r="A558">
        <v>3</v>
      </c>
      <c r="B558" t="s">
        <v>1291</v>
      </c>
      <c r="C558" t="s">
        <v>1291</v>
      </c>
      <c r="D558">
        <v>3</v>
      </c>
      <c r="E558">
        <f t="shared" si="8"/>
        <v>8</v>
      </c>
      <c r="F558" t="s">
        <v>821</v>
      </c>
      <c r="G558">
        <v>1</v>
      </c>
    </row>
    <row r="559" spans="1:7">
      <c r="A559">
        <v>3</v>
      </c>
      <c r="B559" t="s">
        <v>1296</v>
      </c>
      <c r="C559" t="s">
        <v>1296</v>
      </c>
      <c r="D559">
        <v>3</v>
      </c>
      <c r="E559">
        <f t="shared" si="8"/>
        <v>8</v>
      </c>
      <c r="F559" t="s">
        <v>821</v>
      </c>
      <c r="G559">
        <v>1</v>
      </c>
    </row>
    <row r="560" spans="1:7">
      <c r="A560">
        <v>3</v>
      </c>
      <c r="B560" t="s">
        <v>308</v>
      </c>
      <c r="C560" t="s">
        <v>308</v>
      </c>
      <c r="D560">
        <v>3</v>
      </c>
      <c r="E560">
        <f t="shared" si="8"/>
        <v>8</v>
      </c>
      <c r="F560" t="s">
        <v>821</v>
      </c>
      <c r="G560">
        <v>1</v>
      </c>
    </row>
    <row r="561" spans="1:7">
      <c r="A561">
        <v>3</v>
      </c>
      <c r="B561" t="s">
        <v>1301</v>
      </c>
      <c r="C561" t="s">
        <v>1301</v>
      </c>
      <c r="D561">
        <v>3</v>
      </c>
      <c r="E561">
        <f t="shared" si="8"/>
        <v>8</v>
      </c>
      <c r="F561" t="s">
        <v>821</v>
      </c>
      <c r="G561">
        <v>1</v>
      </c>
    </row>
    <row r="562" spans="1:7">
      <c r="A562">
        <v>3</v>
      </c>
      <c r="B562" t="s">
        <v>117</v>
      </c>
      <c r="C562" t="s">
        <v>117</v>
      </c>
      <c r="D562">
        <v>3</v>
      </c>
      <c r="E562">
        <f t="shared" si="8"/>
        <v>8</v>
      </c>
      <c r="F562" t="s">
        <v>821</v>
      </c>
      <c r="G562">
        <v>1</v>
      </c>
    </row>
    <row r="563" spans="1:7">
      <c r="A563">
        <v>3</v>
      </c>
      <c r="B563" t="s">
        <v>1391</v>
      </c>
      <c r="C563" t="s">
        <v>1175</v>
      </c>
      <c r="D563">
        <v>3</v>
      </c>
      <c r="E563">
        <f t="shared" si="8"/>
        <v>8</v>
      </c>
      <c r="F563" t="s">
        <v>821</v>
      </c>
      <c r="G563">
        <v>1</v>
      </c>
    </row>
    <row r="564" spans="1:7">
      <c r="A564">
        <v>3</v>
      </c>
      <c r="B564" t="s">
        <v>272</v>
      </c>
      <c r="C564" t="s">
        <v>6566</v>
      </c>
      <c r="D564">
        <v>3</v>
      </c>
      <c r="E564">
        <f t="shared" si="8"/>
        <v>8</v>
      </c>
      <c r="F564" t="s">
        <v>821</v>
      </c>
      <c r="G564">
        <v>1</v>
      </c>
    </row>
    <row r="565" spans="1:7">
      <c r="A565">
        <v>3</v>
      </c>
      <c r="B565" t="s">
        <v>688</v>
      </c>
      <c r="C565" t="s">
        <v>688</v>
      </c>
      <c r="D565">
        <v>3</v>
      </c>
      <c r="E565">
        <f t="shared" si="8"/>
        <v>8</v>
      </c>
      <c r="F565" t="s">
        <v>821</v>
      </c>
      <c r="G565">
        <v>1</v>
      </c>
    </row>
    <row r="566" spans="1:7">
      <c r="A566">
        <v>3</v>
      </c>
      <c r="B566" t="s">
        <v>1303</v>
      </c>
      <c r="C566" t="s">
        <v>1303</v>
      </c>
      <c r="D566">
        <v>3</v>
      </c>
      <c r="E566">
        <f t="shared" si="8"/>
        <v>8</v>
      </c>
      <c r="F566" t="s">
        <v>821</v>
      </c>
      <c r="G566">
        <v>1</v>
      </c>
    </row>
    <row r="567" spans="1:7">
      <c r="A567">
        <v>3</v>
      </c>
      <c r="B567" t="s">
        <v>310</v>
      </c>
      <c r="C567" t="s">
        <v>310</v>
      </c>
      <c r="D567">
        <v>3</v>
      </c>
      <c r="E567">
        <f t="shared" si="8"/>
        <v>8</v>
      </c>
      <c r="F567" t="s">
        <v>821</v>
      </c>
      <c r="G567">
        <v>1</v>
      </c>
    </row>
    <row r="568" spans="1:7">
      <c r="A568">
        <v>3</v>
      </c>
      <c r="B568" t="s">
        <v>275</v>
      </c>
      <c r="C568" t="s">
        <v>275</v>
      </c>
      <c r="D568">
        <v>3</v>
      </c>
      <c r="E568">
        <f t="shared" si="8"/>
        <v>8</v>
      </c>
      <c r="F568" t="s">
        <v>821</v>
      </c>
      <c r="G568">
        <v>1</v>
      </c>
    </row>
    <row r="569" spans="1:7">
      <c r="A569">
        <v>3</v>
      </c>
      <c r="B569" t="s">
        <v>1176</v>
      </c>
      <c r="C569" t="s">
        <v>1176</v>
      </c>
      <c r="D569">
        <v>3</v>
      </c>
      <c r="E569">
        <f t="shared" si="8"/>
        <v>8</v>
      </c>
      <c r="F569" t="s">
        <v>821</v>
      </c>
      <c r="G569">
        <v>1</v>
      </c>
    </row>
    <row r="570" spans="1:7">
      <c r="A570">
        <v>3</v>
      </c>
      <c r="B570" t="s">
        <v>489</v>
      </c>
      <c r="C570" t="s">
        <v>489</v>
      </c>
      <c r="D570">
        <v>3</v>
      </c>
      <c r="E570">
        <f t="shared" si="8"/>
        <v>8</v>
      </c>
      <c r="F570" t="s">
        <v>821</v>
      </c>
      <c r="G570">
        <v>1</v>
      </c>
    </row>
    <row r="571" spans="1:7">
      <c r="A571">
        <v>3</v>
      </c>
      <c r="B571" t="s">
        <v>311</v>
      </c>
      <c r="C571" t="s">
        <v>311</v>
      </c>
      <c r="D571">
        <v>3</v>
      </c>
      <c r="E571">
        <f t="shared" si="8"/>
        <v>8</v>
      </c>
      <c r="F571" t="s">
        <v>821</v>
      </c>
      <c r="G571">
        <v>1</v>
      </c>
    </row>
    <row r="572" spans="1:7">
      <c r="A572">
        <v>3</v>
      </c>
      <c r="B572" t="s">
        <v>476</v>
      </c>
      <c r="C572" t="s">
        <v>6452</v>
      </c>
      <c r="D572">
        <v>3</v>
      </c>
      <c r="E572">
        <f t="shared" si="8"/>
        <v>8</v>
      </c>
      <c r="F572" t="s">
        <v>821</v>
      </c>
      <c r="G572">
        <v>1</v>
      </c>
    </row>
    <row r="573" spans="1:7">
      <c r="A573">
        <v>3</v>
      </c>
      <c r="B573" t="s">
        <v>128</v>
      </c>
      <c r="C573" t="s">
        <v>6574</v>
      </c>
      <c r="D573">
        <v>3</v>
      </c>
      <c r="E573">
        <f t="shared" si="8"/>
        <v>8</v>
      </c>
      <c r="F573" t="s">
        <v>821</v>
      </c>
      <c r="G573">
        <v>1</v>
      </c>
    </row>
    <row r="574" spans="1:7">
      <c r="A574">
        <v>3</v>
      </c>
      <c r="B574" t="s">
        <v>1116</v>
      </c>
      <c r="C574" t="s">
        <v>5127</v>
      </c>
      <c r="D574">
        <v>3</v>
      </c>
      <c r="E574">
        <f t="shared" si="8"/>
        <v>8</v>
      </c>
      <c r="F574" t="s">
        <v>821</v>
      </c>
      <c r="G574">
        <v>1</v>
      </c>
    </row>
    <row r="575" spans="1:7">
      <c r="A575">
        <v>3</v>
      </c>
      <c r="B575" t="s">
        <v>512</v>
      </c>
      <c r="C575" t="s">
        <v>512</v>
      </c>
      <c r="D575">
        <v>3</v>
      </c>
      <c r="E575">
        <f t="shared" si="8"/>
        <v>8</v>
      </c>
      <c r="F575" t="s">
        <v>821</v>
      </c>
      <c r="G575">
        <v>1</v>
      </c>
    </row>
    <row r="576" spans="1:7">
      <c r="A576">
        <v>3</v>
      </c>
      <c r="B576" t="s">
        <v>1180</v>
      </c>
      <c r="C576" t="s">
        <v>1180</v>
      </c>
      <c r="D576">
        <v>3</v>
      </c>
      <c r="E576">
        <f t="shared" si="8"/>
        <v>8</v>
      </c>
      <c r="F576" t="s">
        <v>821</v>
      </c>
      <c r="G576">
        <v>1</v>
      </c>
    </row>
    <row r="577" spans="1:7">
      <c r="A577">
        <v>3</v>
      </c>
      <c r="B577" t="s">
        <v>1317</v>
      </c>
      <c r="C577" t="s">
        <v>1317</v>
      </c>
      <c r="D577">
        <v>3</v>
      </c>
      <c r="E577">
        <f t="shared" si="8"/>
        <v>8</v>
      </c>
      <c r="F577" t="s">
        <v>821</v>
      </c>
      <c r="G577">
        <v>1</v>
      </c>
    </row>
    <row r="578" spans="1:7">
      <c r="A578">
        <v>3</v>
      </c>
      <c r="B578" t="s">
        <v>136</v>
      </c>
      <c r="C578" t="s">
        <v>708</v>
      </c>
      <c r="D578">
        <v>3</v>
      </c>
      <c r="E578">
        <f t="shared" si="8"/>
        <v>8</v>
      </c>
      <c r="F578" t="s">
        <v>821</v>
      </c>
      <c r="G578">
        <v>1</v>
      </c>
    </row>
    <row r="579" spans="1:7">
      <c r="A579">
        <v>3</v>
      </c>
      <c r="B579" t="s">
        <v>1322</v>
      </c>
      <c r="C579" t="s">
        <v>1322</v>
      </c>
      <c r="D579">
        <v>3</v>
      </c>
      <c r="E579">
        <f t="shared" ref="E579:E642" si="9">LEN(B579)</f>
        <v>8</v>
      </c>
      <c r="F579" t="s">
        <v>821</v>
      </c>
      <c r="G579">
        <v>1</v>
      </c>
    </row>
    <row r="580" spans="1:7">
      <c r="A580">
        <v>3</v>
      </c>
      <c r="B580" t="s">
        <v>570</v>
      </c>
      <c r="C580" t="s">
        <v>1406</v>
      </c>
      <c r="D580">
        <v>3</v>
      </c>
      <c r="E580">
        <f t="shared" si="9"/>
        <v>8</v>
      </c>
      <c r="F580" t="s">
        <v>821</v>
      </c>
      <c r="G580">
        <v>1</v>
      </c>
    </row>
    <row r="581" spans="1:7">
      <c r="A581">
        <v>3</v>
      </c>
      <c r="B581" t="s">
        <v>1136</v>
      </c>
      <c r="C581" t="s">
        <v>1136</v>
      </c>
      <c r="D581">
        <v>3</v>
      </c>
      <c r="E581">
        <f t="shared" si="9"/>
        <v>8</v>
      </c>
      <c r="F581" t="s">
        <v>821</v>
      </c>
      <c r="G581">
        <v>1</v>
      </c>
    </row>
    <row r="582" spans="1:7">
      <c r="A582">
        <v>3</v>
      </c>
      <c r="B582" t="s">
        <v>138</v>
      </c>
      <c r="C582" t="s">
        <v>138</v>
      </c>
      <c r="D582">
        <v>3</v>
      </c>
      <c r="E582">
        <f t="shared" si="9"/>
        <v>8</v>
      </c>
      <c r="F582" t="s">
        <v>821</v>
      </c>
      <c r="G582">
        <v>1</v>
      </c>
    </row>
    <row r="583" spans="1:7">
      <c r="A583">
        <v>3</v>
      </c>
      <c r="B583" t="s">
        <v>1118</v>
      </c>
      <c r="C583" t="s">
        <v>1118</v>
      </c>
      <c r="D583">
        <v>3</v>
      </c>
      <c r="E583">
        <f t="shared" si="9"/>
        <v>8</v>
      </c>
      <c r="F583" t="s">
        <v>821</v>
      </c>
      <c r="G583">
        <v>1</v>
      </c>
    </row>
    <row r="584" spans="1:7">
      <c r="A584">
        <v>3</v>
      </c>
      <c r="B584" t="s">
        <v>144</v>
      </c>
      <c r="C584" t="s">
        <v>5130</v>
      </c>
      <c r="D584">
        <v>3</v>
      </c>
      <c r="E584">
        <f t="shared" si="9"/>
        <v>8</v>
      </c>
      <c r="F584" t="s">
        <v>821</v>
      </c>
      <c r="G584">
        <v>1</v>
      </c>
    </row>
    <row r="585" spans="1:7">
      <c r="A585">
        <v>3</v>
      </c>
      <c r="B585" t="s">
        <v>145</v>
      </c>
      <c r="C585" t="s">
        <v>145</v>
      </c>
      <c r="D585">
        <v>3</v>
      </c>
      <c r="E585">
        <f t="shared" si="9"/>
        <v>8</v>
      </c>
      <c r="F585" t="s">
        <v>821</v>
      </c>
      <c r="G585">
        <v>1</v>
      </c>
    </row>
    <row r="586" spans="1:7">
      <c r="A586">
        <v>3</v>
      </c>
      <c r="B586" t="s">
        <v>1328</v>
      </c>
      <c r="C586" t="s">
        <v>1328</v>
      </c>
      <c r="D586">
        <v>3</v>
      </c>
      <c r="E586">
        <f t="shared" si="9"/>
        <v>8</v>
      </c>
      <c r="F586" t="s">
        <v>821</v>
      </c>
      <c r="G586">
        <v>1</v>
      </c>
    </row>
    <row r="587" spans="1:7">
      <c r="A587">
        <v>3</v>
      </c>
      <c r="B587" t="s">
        <v>147</v>
      </c>
      <c r="C587" t="s">
        <v>147</v>
      </c>
      <c r="D587">
        <v>3</v>
      </c>
      <c r="E587">
        <f t="shared" si="9"/>
        <v>8</v>
      </c>
      <c r="F587" t="s">
        <v>821</v>
      </c>
      <c r="G587">
        <v>1</v>
      </c>
    </row>
    <row r="588" spans="1:7">
      <c r="A588">
        <v>3</v>
      </c>
      <c r="B588" t="s">
        <v>507</v>
      </c>
      <c r="C588" t="s">
        <v>507</v>
      </c>
      <c r="D588">
        <v>3</v>
      </c>
      <c r="E588">
        <f t="shared" si="9"/>
        <v>8</v>
      </c>
      <c r="F588" t="s">
        <v>821</v>
      </c>
      <c r="G588">
        <v>1</v>
      </c>
    </row>
    <row r="589" spans="1:7">
      <c r="A589">
        <v>3</v>
      </c>
      <c r="B589" t="s">
        <v>148</v>
      </c>
      <c r="C589" t="s">
        <v>148</v>
      </c>
      <c r="D589">
        <v>3</v>
      </c>
      <c r="E589">
        <f t="shared" si="9"/>
        <v>8</v>
      </c>
      <c r="F589" t="s">
        <v>821</v>
      </c>
      <c r="G589">
        <v>1</v>
      </c>
    </row>
    <row r="590" spans="1:7">
      <c r="A590">
        <v>3</v>
      </c>
      <c r="B590" t="s">
        <v>1332</v>
      </c>
      <c r="C590" t="s">
        <v>1332</v>
      </c>
      <c r="D590">
        <v>3</v>
      </c>
      <c r="E590">
        <f t="shared" si="9"/>
        <v>8</v>
      </c>
      <c r="F590" t="s">
        <v>821</v>
      </c>
      <c r="G590">
        <v>1</v>
      </c>
    </row>
    <row r="591" spans="1:7">
      <c r="A591">
        <v>3</v>
      </c>
      <c r="B591" t="s">
        <v>1192</v>
      </c>
      <c r="C591" t="s">
        <v>1192</v>
      </c>
      <c r="D591">
        <v>3</v>
      </c>
      <c r="E591">
        <f t="shared" si="9"/>
        <v>8</v>
      </c>
      <c r="F591" t="s">
        <v>821</v>
      </c>
      <c r="G591">
        <v>1</v>
      </c>
    </row>
    <row r="592" spans="1:7">
      <c r="A592">
        <v>3</v>
      </c>
      <c r="B592" t="s">
        <v>1193</v>
      </c>
      <c r="C592" t="s">
        <v>1193</v>
      </c>
      <c r="D592">
        <v>3</v>
      </c>
      <c r="E592">
        <f t="shared" si="9"/>
        <v>8</v>
      </c>
      <c r="F592" t="s">
        <v>821</v>
      </c>
      <c r="G592">
        <v>1</v>
      </c>
    </row>
    <row r="593" spans="1:7">
      <c r="A593">
        <v>3</v>
      </c>
      <c r="B593" t="s">
        <v>1337</v>
      </c>
      <c r="C593" t="s">
        <v>1337</v>
      </c>
      <c r="D593">
        <v>3</v>
      </c>
      <c r="E593">
        <f t="shared" si="9"/>
        <v>8</v>
      </c>
      <c r="F593" t="s">
        <v>821</v>
      </c>
      <c r="G593">
        <v>1</v>
      </c>
    </row>
    <row r="594" spans="1:7">
      <c r="A594">
        <v>3</v>
      </c>
      <c r="B594" t="s">
        <v>5312</v>
      </c>
      <c r="C594" t="s">
        <v>5312</v>
      </c>
      <c r="D594">
        <v>3</v>
      </c>
      <c r="E594">
        <f t="shared" si="9"/>
        <v>8</v>
      </c>
      <c r="F594" t="s">
        <v>821</v>
      </c>
      <c r="G594">
        <v>1</v>
      </c>
    </row>
    <row r="595" spans="1:7">
      <c r="A595">
        <v>3</v>
      </c>
      <c r="B595" t="s">
        <v>1196</v>
      </c>
      <c r="C595" t="s">
        <v>1196</v>
      </c>
      <c r="D595">
        <v>3</v>
      </c>
      <c r="E595">
        <f t="shared" si="9"/>
        <v>8</v>
      </c>
      <c r="F595" t="s">
        <v>821</v>
      </c>
      <c r="G595">
        <v>1</v>
      </c>
    </row>
    <row r="596" spans="1:7">
      <c r="A596">
        <v>3</v>
      </c>
      <c r="B596" t="s">
        <v>341</v>
      </c>
      <c r="C596" t="s">
        <v>341</v>
      </c>
      <c r="D596">
        <v>3</v>
      </c>
      <c r="E596">
        <f t="shared" si="9"/>
        <v>8</v>
      </c>
      <c r="F596" t="s">
        <v>821</v>
      </c>
      <c r="G596">
        <v>1</v>
      </c>
    </row>
    <row r="597" spans="1:7">
      <c r="A597">
        <v>3</v>
      </c>
      <c r="B597" t="s">
        <v>1353</v>
      </c>
      <c r="C597" t="s">
        <v>1353</v>
      </c>
      <c r="D597">
        <v>3</v>
      </c>
      <c r="E597">
        <f t="shared" si="9"/>
        <v>8</v>
      </c>
      <c r="F597" t="s">
        <v>821</v>
      </c>
      <c r="G597">
        <v>1</v>
      </c>
    </row>
    <row r="598" spans="1:7">
      <c r="A598">
        <v>3</v>
      </c>
      <c r="B598" t="s">
        <v>1795</v>
      </c>
      <c r="C598" t="s">
        <v>1795</v>
      </c>
      <c r="D598">
        <v>3</v>
      </c>
      <c r="E598">
        <f t="shared" si="9"/>
        <v>8</v>
      </c>
      <c r="F598" t="s">
        <v>821</v>
      </c>
      <c r="G598">
        <v>1</v>
      </c>
    </row>
    <row r="599" spans="1:7">
      <c r="A599">
        <v>3</v>
      </c>
      <c r="B599" t="s">
        <v>172</v>
      </c>
      <c r="C599" t="s">
        <v>172</v>
      </c>
      <c r="D599">
        <v>3</v>
      </c>
      <c r="E599">
        <f t="shared" si="9"/>
        <v>8</v>
      </c>
      <c r="F599" t="s">
        <v>821</v>
      </c>
      <c r="G599">
        <v>1</v>
      </c>
    </row>
    <row r="600" spans="1:7">
      <c r="A600">
        <v>3</v>
      </c>
      <c r="B600" t="s">
        <v>288</v>
      </c>
      <c r="C600" t="s">
        <v>5140</v>
      </c>
      <c r="D600">
        <v>3</v>
      </c>
      <c r="E600">
        <f t="shared" si="9"/>
        <v>8</v>
      </c>
      <c r="F600" t="s">
        <v>821</v>
      </c>
      <c r="G600">
        <v>1</v>
      </c>
    </row>
    <row r="601" spans="1:7">
      <c r="A601">
        <v>3</v>
      </c>
      <c r="B601" t="s">
        <v>1362</v>
      </c>
      <c r="C601" t="s">
        <v>1362</v>
      </c>
      <c r="D601">
        <v>3</v>
      </c>
      <c r="E601">
        <f t="shared" si="9"/>
        <v>8</v>
      </c>
      <c r="F601" t="s">
        <v>821</v>
      </c>
      <c r="G601">
        <v>1</v>
      </c>
    </row>
    <row r="602" spans="1:7">
      <c r="A602">
        <v>3</v>
      </c>
      <c r="B602" t="s">
        <v>178</v>
      </c>
      <c r="C602" t="s">
        <v>1410</v>
      </c>
      <c r="D602">
        <v>3</v>
      </c>
      <c r="E602">
        <f t="shared" si="9"/>
        <v>8</v>
      </c>
      <c r="F602" t="s">
        <v>821</v>
      </c>
      <c r="G602">
        <v>1</v>
      </c>
    </row>
    <row r="603" spans="1:7">
      <c r="A603">
        <v>3</v>
      </c>
      <c r="B603" t="s">
        <v>601</v>
      </c>
      <c r="C603" t="s">
        <v>5540</v>
      </c>
      <c r="D603">
        <v>3</v>
      </c>
      <c r="E603">
        <f t="shared" si="9"/>
        <v>8</v>
      </c>
      <c r="F603" t="s">
        <v>821</v>
      </c>
      <c r="G603">
        <v>1</v>
      </c>
    </row>
    <row r="604" spans="1:7">
      <c r="A604">
        <v>3</v>
      </c>
      <c r="B604" t="s">
        <v>1364</v>
      </c>
      <c r="C604" t="s">
        <v>1364</v>
      </c>
      <c r="D604">
        <v>3</v>
      </c>
      <c r="E604">
        <f t="shared" si="9"/>
        <v>8</v>
      </c>
      <c r="F604" t="s">
        <v>821</v>
      </c>
      <c r="G604">
        <v>1</v>
      </c>
    </row>
    <row r="605" spans="1:7">
      <c r="A605">
        <v>3</v>
      </c>
      <c r="B605" t="s">
        <v>1366</v>
      </c>
      <c r="C605" t="s">
        <v>1366</v>
      </c>
      <c r="D605">
        <v>3</v>
      </c>
      <c r="E605">
        <f t="shared" si="9"/>
        <v>8</v>
      </c>
      <c r="F605" t="s">
        <v>821</v>
      </c>
      <c r="G605">
        <v>1</v>
      </c>
    </row>
    <row r="606" spans="1:7">
      <c r="A606">
        <v>3</v>
      </c>
      <c r="B606" t="s">
        <v>1139</v>
      </c>
      <c r="C606" t="s">
        <v>1139</v>
      </c>
      <c r="D606">
        <v>3</v>
      </c>
      <c r="E606">
        <f t="shared" si="9"/>
        <v>8</v>
      </c>
      <c r="F606" t="s">
        <v>821</v>
      </c>
      <c r="G606">
        <v>1</v>
      </c>
    </row>
    <row r="607" spans="1:7">
      <c r="A607">
        <v>3</v>
      </c>
      <c r="B607" t="s">
        <v>1209</v>
      </c>
      <c r="C607" t="s">
        <v>1209</v>
      </c>
      <c r="D607">
        <v>3</v>
      </c>
      <c r="E607">
        <f t="shared" si="9"/>
        <v>8</v>
      </c>
      <c r="F607" t="s">
        <v>821</v>
      </c>
      <c r="G607">
        <v>1</v>
      </c>
    </row>
    <row r="608" spans="1:7">
      <c r="A608">
        <v>3</v>
      </c>
      <c r="B608" t="s">
        <v>1799</v>
      </c>
      <c r="C608" t="s">
        <v>1799</v>
      </c>
      <c r="D608">
        <v>3</v>
      </c>
      <c r="E608">
        <f t="shared" si="9"/>
        <v>8</v>
      </c>
      <c r="F608" t="s">
        <v>821</v>
      </c>
      <c r="G608">
        <v>1</v>
      </c>
    </row>
    <row r="609" spans="1:7">
      <c r="A609">
        <v>3</v>
      </c>
      <c r="B609" t="s">
        <v>292</v>
      </c>
      <c r="C609" t="s">
        <v>5147</v>
      </c>
      <c r="D609">
        <v>3</v>
      </c>
      <c r="E609">
        <f t="shared" si="9"/>
        <v>8</v>
      </c>
      <c r="F609" t="s">
        <v>821</v>
      </c>
      <c r="G609">
        <v>1</v>
      </c>
    </row>
    <row r="610" spans="1:7">
      <c r="A610">
        <v>3</v>
      </c>
      <c r="B610" t="s">
        <v>1373</v>
      </c>
      <c r="C610" t="s">
        <v>1373</v>
      </c>
      <c r="D610">
        <v>3</v>
      </c>
      <c r="E610">
        <f t="shared" si="9"/>
        <v>8</v>
      </c>
      <c r="F610" t="s">
        <v>821</v>
      </c>
      <c r="G610">
        <v>1</v>
      </c>
    </row>
    <row r="611" spans="1:7">
      <c r="A611">
        <v>3</v>
      </c>
      <c r="B611" t="s">
        <v>1375</v>
      </c>
      <c r="C611" t="s">
        <v>1412</v>
      </c>
      <c r="D611">
        <v>3</v>
      </c>
      <c r="E611">
        <f t="shared" si="9"/>
        <v>8</v>
      </c>
      <c r="F611" t="s">
        <v>821</v>
      </c>
      <c r="G611">
        <v>1</v>
      </c>
    </row>
    <row r="612" spans="1:7">
      <c r="A612">
        <v>3</v>
      </c>
      <c r="B612" t="s">
        <v>1376</v>
      </c>
      <c r="C612" t="s">
        <v>1376</v>
      </c>
      <c r="D612">
        <v>3</v>
      </c>
      <c r="E612">
        <f t="shared" si="9"/>
        <v>8</v>
      </c>
      <c r="F612" t="s">
        <v>821</v>
      </c>
      <c r="G612">
        <v>1</v>
      </c>
    </row>
    <row r="613" spans="1:7">
      <c r="A613">
        <v>3</v>
      </c>
      <c r="B613" t="s">
        <v>203</v>
      </c>
      <c r="C613" t="s">
        <v>203</v>
      </c>
      <c r="D613">
        <v>3</v>
      </c>
      <c r="E613">
        <f t="shared" si="9"/>
        <v>8</v>
      </c>
      <c r="F613" t="s">
        <v>821</v>
      </c>
      <c r="G613">
        <v>1</v>
      </c>
    </row>
    <row r="614" spans="1:7">
      <c r="A614">
        <v>3</v>
      </c>
      <c r="B614" t="s">
        <v>207</v>
      </c>
      <c r="C614" t="s">
        <v>207</v>
      </c>
      <c r="D614">
        <v>3</v>
      </c>
      <c r="E614">
        <f t="shared" si="9"/>
        <v>8</v>
      </c>
      <c r="F614" t="s">
        <v>821</v>
      </c>
      <c r="G614">
        <v>1</v>
      </c>
    </row>
    <row r="615" spans="1:7">
      <c r="A615">
        <v>3</v>
      </c>
      <c r="B615" t="s">
        <v>452</v>
      </c>
      <c r="C615" t="s">
        <v>452</v>
      </c>
      <c r="D615">
        <v>3</v>
      </c>
      <c r="E615">
        <f t="shared" si="9"/>
        <v>8</v>
      </c>
      <c r="F615" t="s">
        <v>821</v>
      </c>
      <c r="G615">
        <v>1</v>
      </c>
    </row>
    <row r="616" spans="1:7">
      <c r="A616">
        <v>3</v>
      </c>
      <c r="B616" t="s">
        <v>967</v>
      </c>
      <c r="C616" t="s">
        <v>967</v>
      </c>
      <c r="D616">
        <v>3</v>
      </c>
      <c r="E616">
        <f t="shared" si="9"/>
        <v>8</v>
      </c>
      <c r="F616" t="s">
        <v>821</v>
      </c>
      <c r="G616">
        <v>1</v>
      </c>
    </row>
    <row r="617" spans="1:7">
      <c r="A617">
        <v>3</v>
      </c>
      <c r="B617" t="s">
        <v>316</v>
      </c>
      <c r="C617" t="s">
        <v>316</v>
      </c>
      <c r="D617">
        <v>3</v>
      </c>
      <c r="E617">
        <f t="shared" si="9"/>
        <v>8</v>
      </c>
      <c r="F617" t="s">
        <v>821</v>
      </c>
      <c r="G617">
        <v>1</v>
      </c>
    </row>
    <row r="618" spans="1:7">
      <c r="A618">
        <v>3</v>
      </c>
      <c r="B618" t="s">
        <v>382</v>
      </c>
      <c r="C618" t="s">
        <v>382</v>
      </c>
      <c r="D618">
        <v>3</v>
      </c>
      <c r="E618">
        <f t="shared" si="9"/>
        <v>8</v>
      </c>
      <c r="F618" t="s">
        <v>821</v>
      </c>
      <c r="G618">
        <v>1</v>
      </c>
    </row>
    <row r="619" spans="1:7">
      <c r="A619">
        <v>3</v>
      </c>
      <c r="B619" t="s">
        <v>351</v>
      </c>
      <c r="C619" t="s">
        <v>5158</v>
      </c>
      <c r="D619">
        <v>3</v>
      </c>
      <c r="E619">
        <f t="shared" si="9"/>
        <v>8</v>
      </c>
      <c r="F619" t="s">
        <v>821</v>
      </c>
      <c r="G619">
        <v>1</v>
      </c>
    </row>
    <row r="620" spans="1:7">
      <c r="A620">
        <v>3</v>
      </c>
      <c r="B620" t="s">
        <v>1384</v>
      </c>
      <c r="C620" t="s">
        <v>1384</v>
      </c>
      <c r="D620">
        <v>3</v>
      </c>
      <c r="E620">
        <f t="shared" si="9"/>
        <v>8</v>
      </c>
      <c r="F620" t="s">
        <v>821</v>
      </c>
      <c r="G620">
        <v>1</v>
      </c>
    </row>
    <row r="621" spans="1:7">
      <c r="A621">
        <v>3</v>
      </c>
      <c r="B621" t="s">
        <v>228</v>
      </c>
      <c r="C621" t="s">
        <v>739</v>
      </c>
      <c r="D621">
        <v>3</v>
      </c>
      <c r="E621">
        <f t="shared" si="9"/>
        <v>8</v>
      </c>
      <c r="F621" t="s">
        <v>821</v>
      </c>
      <c r="G621">
        <v>1</v>
      </c>
    </row>
    <row r="622" spans="1:7">
      <c r="A622">
        <v>3</v>
      </c>
      <c r="B622" t="s">
        <v>5534</v>
      </c>
      <c r="C622" t="s">
        <v>6719</v>
      </c>
      <c r="D622">
        <v>3</v>
      </c>
      <c r="E622">
        <f t="shared" si="9"/>
        <v>8</v>
      </c>
      <c r="F622" t="s">
        <v>821</v>
      </c>
      <c r="G622">
        <v>1</v>
      </c>
    </row>
    <row r="623" spans="1:7">
      <c r="A623">
        <v>3</v>
      </c>
      <c r="B623" t="s">
        <v>503</v>
      </c>
      <c r="C623" t="s">
        <v>503</v>
      </c>
      <c r="D623">
        <v>3</v>
      </c>
      <c r="E623">
        <f t="shared" si="9"/>
        <v>7</v>
      </c>
      <c r="F623" t="s">
        <v>821</v>
      </c>
      <c r="G623">
        <v>1</v>
      </c>
    </row>
    <row r="624" spans="1:7">
      <c r="A624">
        <v>3</v>
      </c>
      <c r="B624" t="s">
        <v>27</v>
      </c>
      <c r="C624" t="s">
        <v>1393</v>
      </c>
      <c r="D624">
        <v>3</v>
      </c>
      <c r="E624">
        <f t="shared" si="9"/>
        <v>7</v>
      </c>
      <c r="F624" t="s">
        <v>821</v>
      </c>
      <c r="G624">
        <v>1</v>
      </c>
    </row>
    <row r="625" spans="1:7">
      <c r="A625">
        <v>3</v>
      </c>
      <c r="B625" t="s">
        <v>1227</v>
      </c>
      <c r="C625" t="s">
        <v>1227</v>
      </c>
      <c r="D625">
        <v>3</v>
      </c>
      <c r="E625">
        <f t="shared" si="9"/>
        <v>7</v>
      </c>
      <c r="F625" t="s">
        <v>821</v>
      </c>
      <c r="G625">
        <v>1</v>
      </c>
    </row>
    <row r="626" spans="1:7">
      <c r="A626">
        <v>3</v>
      </c>
      <c r="B626" t="s">
        <v>864</v>
      </c>
      <c r="C626" t="s">
        <v>864</v>
      </c>
      <c r="D626">
        <v>3</v>
      </c>
      <c r="E626">
        <f t="shared" si="9"/>
        <v>7</v>
      </c>
      <c r="F626" t="s">
        <v>821</v>
      </c>
      <c r="G626">
        <v>1</v>
      </c>
    </row>
    <row r="627" spans="1:7">
      <c r="A627">
        <v>3</v>
      </c>
      <c r="B627" t="s">
        <v>1023</v>
      </c>
      <c r="C627" t="s">
        <v>1023</v>
      </c>
      <c r="D627">
        <v>3</v>
      </c>
      <c r="E627">
        <f t="shared" si="9"/>
        <v>7</v>
      </c>
      <c r="F627" t="s">
        <v>821</v>
      </c>
      <c r="G627">
        <v>1</v>
      </c>
    </row>
    <row r="628" spans="1:7">
      <c r="A628">
        <v>3</v>
      </c>
      <c r="B628" t="s">
        <v>303</v>
      </c>
      <c r="C628" t="s">
        <v>303</v>
      </c>
      <c r="D628">
        <v>3</v>
      </c>
      <c r="E628">
        <f t="shared" si="9"/>
        <v>7</v>
      </c>
      <c r="F628" t="s">
        <v>821</v>
      </c>
      <c r="G628">
        <v>1</v>
      </c>
    </row>
    <row r="629" spans="1:7">
      <c r="A629">
        <v>3</v>
      </c>
      <c r="B629" t="s">
        <v>997</v>
      </c>
      <c r="C629" t="s">
        <v>997</v>
      </c>
      <c r="D629">
        <v>3</v>
      </c>
      <c r="E629">
        <f t="shared" si="9"/>
        <v>7</v>
      </c>
      <c r="F629" t="s">
        <v>821</v>
      </c>
      <c r="G629">
        <v>1</v>
      </c>
    </row>
    <row r="630" spans="1:7">
      <c r="A630">
        <v>3</v>
      </c>
      <c r="B630" t="s">
        <v>524</v>
      </c>
      <c r="C630" t="s">
        <v>524</v>
      </c>
      <c r="D630">
        <v>3</v>
      </c>
      <c r="E630">
        <f t="shared" si="9"/>
        <v>7</v>
      </c>
      <c r="F630" t="s">
        <v>821</v>
      </c>
      <c r="G630">
        <v>1</v>
      </c>
    </row>
    <row r="631" spans="1:7">
      <c r="A631">
        <v>3</v>
      </c>
      <c r="B631" t="s">
        <v>395</v>
      </c>
      <c r="C631" t="s">
        <v>395</v>
      </c>
      <c r="D631">
        <v>3</v>
      </c>
      <c r="E631">
        <f t="shared" si="9"/>
        <v>7</v>
      </c>
      <c r="F631" t="s">
        <v>821</v>
      </c>
      <c r="G631">
        <v>1</v>
      </c>
    </row>
    <row r="632" spans="1:7">
      <c r="A632">
        <v>3</v>
      </c>
      <c r="B632" t="s">
        <v>528</v>
      </c>
      <c r="C632" t="s">
        <v>528</v>
      </c>
      <c r="D632">
        <v>3</v>
      </c>
      <c r="E632">
        <f t="shared" si="9"/>
        <v>7</v>
      </c>
      <c r="F632" t="s">
        <v>821</v>
      </c>
      <c r="G632">
        <v>1</v>
      </c>
    </row>
    <row r="633" spans="1:7">
      <c r="A633">
        <v>3</v>
      </c>
      <c r="B633" t="s">
        <v>1808</v>
      </c>
      <c r="C633" t="s">
        <v>1808</v>
      </c>
      <c r="D633">
        <v>3</v>
      </c>
      <c r="E633">
        <f t="shared" si="9"/>
        <v>7</v>
      </c>
      <c r="F633" t="s">
        <v>821</v>
      </c>
      <c r="G633">
        <v>1</v>
      </c>
    </row>
    <row r="634" spans="1:7">
      <c r="A634">
        <v>3</v>
      </c>
      <c r="B634" t="s">
        <v>397</v>
      </c>
      <c r="C634" t="s">
        <v>397</v>
      </c>
      <c r="D634">
        <v>3</v>
      </c>
      <c r="E634">
        <f t="shared" si="9"/>
        <v>7</v>
      </c>
      <c r="F634" t="s">
        <v>821</v>
      </c>
      <c r="G634">
        <v>1</v>
      </c>
    </row>
    <row r="635" spans="1:7">
      <c r="A635">
        <v>3</v>
      </c>
      <c r="B635" t="s">
        <v>1800</v>
      </c>
      <c r="C635" t="s">
        <v>1801</v>
      </c>
      <c r="D635">
        <v>3</v>
      </c>
      <c r="E635">
        <f t="shared" si="9"/>
        <v>7</v>
      </c>
      <c r="F635" t="s">
        <v>821</v>
      </c>
      <c r="G635">
        <v>1</v>
      </c>
    </row>
    <row r="636" spans="1:7">
      <c r="A636">
        <v>3</v>
      </c>
      <c r="B636" t="s">
        <v>1234</v>
      </c>
      <c r="C636" t="s">
        <v>1234</v>
      </c>
      <c r="D636">
        <v>3</v>
      </c>
      <c r="E636">
        <f t="shared" si="9"/>
        <v>7</v>
      </c>
      <c r="F636" t="s">
        <v>821</v>
      </c>
      <c r="G636">
        <v>1</v>
      </c>
    </row>
    <row r="637" spans="1:7">
      <c r="A637">
        <v>3</v>
      </c>
      <c r="B637" t="s">
        <v>466</v>
      </c>
      <c r="C637" t="s">
        <v>466</v>
      </c>
      <c r="D637">
        <v>3</v>
      </c>
      <c r="E637">
        <f t="shared" si="9"/>
        <v>7</v>
      </c>
      <c r="F637" t="s">
        <v>821</v>
      </c>
      <c r="G637">
        <v>1</v>
      </c>
    </row>
    <row r="638" spans="1:7">
      <c r="A638">
        <v>3</v>
      </c>
      <c r="B638" t="s">
        <v>234</v>
      </c>
      <c r="C638" t="s">
        <v>5099</v>
      </c>
      <c r="D638">
        <v>3</v>
      </c>
      <c r="E638">
        <f t="shared" si="9"/>
        <v>7</v>
      </c>
      <c r="F638" t="s">
        <v>821</v>
      </c>
      <c r="G638">
        <v>1</v>
      </c>
    </row>
    <row r="639" spans="1:7">
      <c r="A639">
        <v>3</v>
      </c>
      <c r="B639" t="s">
        <v>1240</v>
      </c>
      <c r="C639" t="s">
        <v>1240</v>
      </c>
      <c r="D639">
        <v>3</v>
      </c>
      <c r="E639">
        <f t="shared" si="9"/>
        <v>7</v>
      </c>
      <c r="F639" t="s">
        <v>821</v>
      </c>
      <c r="G639">
        <v>1</v>
      </c>
    </row>
    <row r="640" spans="1:7">
      <c r="A640">
        <v>3</v>
      </c>
      <c r="B640" t="s">
        <v>253</v>
      </c>
      <c r="C640" t="s">
        <v>7136</v>
      </c>
      <c r="D640">
        <v>3</v>
      </c>
      <c r="E640">
        <f t="shared" si="9"/>
        <v>7</v>
      </c>
      <c r="F640" t="s">
        <v>821</v>
      </c>
      <c r="G640">
        <v>1</v>
      </c>
    </row>
    <row r="641" spans="1:7">
      <c r="A641">
        <v>3</v>
      </c>
      <c r="B641" t="s">
        <v>1103</v>
      </c>
      <c r="C641" t="s">
        <v>1103</v>
      </c>
      <c r="D641">
        <v>3</v>
      </c>
      <c r="E641">
        <f t="shared" si="9"/>
        <v>7</v>
      </c>
      <c r="F641" t="s">
        <v>821</v>
      </c>
      <c r="G641">
        <v>1</v>
      </c>
    </row>
    <row r="642" spans="1:7">
      <c r="A642">
        <v>3</v>
      </c>
      <c r="B642" t="s">
        <v>1061</v>
      </c>
      <c r="C642" t="s">
        <v>1061</v>
      </c>
      <c r="D642">
        <v>3</v>
      </c>
      <c r="E642">
        <f t="shared" si="9"/>
        <v>7</v>
      </c>
      <c r="F642" t="s">
        <v>821</v>
      </c>
      <c r="G642">
        <v>1</v>
      </c>
    </row>
    <row r="643" spans="1:7">
      <c r="A643">
        <v>3</v>
      </c>
      <c r="B643" t="s">
        <v>46</v>
      </c>
      <c r="C643" t="s">
        <v>46</v>
      </c>
      <c r="D643">
        <v>3</v>
      </c>
      <c r="E643">
        <f t="shared" ref="E643:E706" si="10">LEN(B643)</f>
        <v>7</v>
      </c>
      <c r="F643" t="s">
        <v>821</v>
      </c>
      <c r="G643">
        <v>1</v>
      </c>
    </row>
    <row r="644" spans="1:7">
      <c r="A644">
        <v>3</v>
      </c>
      <c r="B644" t="s">
        <v>1247</v>
      </c>
      <c r="C644" t="s">
        <v>1247</v>
      </c>
      <c r="D644">
        <v>3</v>
      </c>
      <c r="E644">
        <f t="shared" si="10"/>
        <v>7</v>
      </c>
      <c r="F644" t="s">
        <v>821</v>
      </c>
      <c r="G644">
        <v>1</v>
      </c>
    </row>
    <row r="645" spans="1:7">
      <c r="A645">
        <v>3</v>
      </c>
      <c r="B645" t="s">
        <v>47</v>
      </c>
      <c r="C645" t="s">
        <v>47</v>
      </c>
      <c r="D645">
        <v>3</v>
      </c>
      <c r="E645">
        <f t="shared" si="10"/>
        <v>7</v>
      </c>
      <c r="F645" t="s">
        <v>821</v>
      </c>
      <c r="G645">
        <v>1</v>
      </c>
    </row>
    <row r="646" spans="1:7">
      <c r="A646">
        <v>3</v>
      </c>
      <c r="B646" t="s">
        <v>963</v>
      </c>
      <c r="C646" t="s">
        <v>963</v>
      </c>
      <c r="D646">
        <v>3</v>
      </c>
      <c r="E646">
        <f t="shared" si="10"/>
        <v>7</v>
      </c>
      <c r="F646" t="s">
        <v>821</v>
      </c>
      <c r="G646">
        <v>1</v>
      </c>
    </row>
    <row r="647" spans="1:7">
      <c r="A647">
        <v>3</v>
      </c>
      <c r="B647" t="s">
        <v>510</v>
      </c>
      <c r="C647" t="s">
        <v>1397</v>
      </c>
      <c r="D647">
        <v>3</v>
      </c>
      <c r="E647">
        <f t="shared" si="10"/>
        <v>7</v>
      </c>
      <c r="F647" t="s">
        <v>821</v>
      </c>
      <c r="G647">
        <v>1</v>
      </c>
    </row>
    <row r="648" spans="1:7">
      <c r="A648">
        <v>3</v>
      </c>
      <c r="B648" t="s">
        <v>50</v>
      </c>
      <c r="C648" t="s">
        <v>50</v>
      </c>
      <c r="D648">
        <v>3</v>
      </c>
      <c r="E648">
        <f t="shared" si="10"/>
        <v>7</v>
      </c>
      <c r="F648" t="s">
        <v>821</v>
      </c>
      <c r="G648">
        <v>1</v>
      </c>
    </row>
    <row r="649" spans="1:7">
      <c r="A649">
        <v>3</v>
      </c>
      <c r="B649" t="s">
        <v>1157</v>
      </c>
      <c r="C649" t="s">
        <v>1157</v>
      </c>
      <c r="D649">
        <v>3</v>
      </c>
      <c r="E649">
        <f t="shared" si="10"/>
        <v>7</v>
      </c>
      <c r="F649" t="s">
        <v>821</v>
      </c>
      <c r="G649">
        <v>1</v>
      </c>
    </row>
    <row r="650" spans="1:7">
      <c r="A650">
        <v>3</v>
      </c>
      <c r="B650" t="s">
        <v>469</v>
      </c>
      <c r="C650" t="s">
        <v>469</v>
      </c>
      <c r="D650">
        <v>3</v>
      </c>
      <c r="E650">
        <f t="shared" si="10"/>
        <v>7</v>
      </c>
      <c r="F650" t="s">
        <v>821</v>
      </c>
      <c r="G650">
        <v>1</v>
      </c>
    </row>
    <row r="651" spans="1:7">
      <c r="A651">
        <v>3</v>
      </c>
      <c r="B651" t="s">
        <v>1804</v>
      </c>
      <c r="C651" t="s">
        <v>1804</v>
      </c>
      <c r="D651">
        <v>3</v>
      </c>
      <c r="E651">
        <f t="shared" si="10"/>
        <v>7</v>
      </c>
      <c r="F651" t="s">
        <v>821</v>
      </c>
      <c r="G651">
        <v>1</v>
      </c>
    </row>
    <row r="652" spans="1:7">
      <c r="A652">
        <v>3</v>
      </c>
      <c r="B652" t="s">
        <v>1104</v>
      </c>
      <c r="C652" t="s">
        <v>1104</v>
      </c>
      <c r="D652">
        <v>3</v>
      </c>
      <c r="E652">
        <f t="shared" si="10"/>
        <v>7</v>
      </c>
      <c r="F652" t="s">
        <v>821</v>
      </c>
      <c r="G652">
        <v>1</v>
      </c>
    </row>
    <row r="653" spans="1:7">
      <c r="A653">
        <v>3</v>
      </c>
      <c r="B653" t="s">
        <v>1811</v>
      </c>
      <c r="C653" t="s">
        <v>1811</v>
      </c>
      <c r="D653">
        <v>3</v>
      </c>
      <c r="E653">
        <f t="shared" si="10"/>
        <v>7</v>
      </c>
      <c r="F653" t="s">
        <v>821</v>
      </c>
      <c r="G653">
        <v>1</v>
      </c>
    </row>
    <row r="654" spans="1:7">
      <c r="A654">
        <v>3</v>
      </c>
      <c r="B654" t="s">
        <v>1255</v>
      </c>
      <c r="C654" t="s">
        <v>1255</v>
      </c>
      <c r="D654">
        <v>3</v>
      </c>
      <c r="E654">
        <f t="shared" si="10"/>
        <v>7</v>
      </c>
      <c r="F654" t="s">
        <v>821</v>
      </c>
      <c r="G654">
        <v>1</v>
      </c>
    </row>
    <row r="655" spans="1:7">
      <c r="A655">
        <v>3</v>
      </c>
      <c r="B655" t="s">
        <v>58</v>
      </c>
      <c r="C655" t="s">
        <v>58</v>
      </c>
      <c r="D655">
        <v>3</v>
      </c>
      <c r="E655">
        <f t="shared" si="10"/>
        <v>7</v>
      </c>
      <c r="F655" t="s">
        <v>821</v>
      </c>
      <c r="G655">
        <v>1</v>
      </c>
    </row>
    <row r="656" spans="1:7">
      <c r="A656">
        <v>3</v>
      </c>
      <c r="B656" t="s">
        <v>324</v>
      </c>
      <c r="C656" t="s">
        <v>324</v>
      </c>
      <c r="D656">
        <v>3</v>
      </c>
      <c r="E656">
        <f t="shared" si="10"/>
        <v>7</v>
      </c>
      <c r="F656" t="s">
        <v>821</v>
      </c>
      <c r="G656">
        <v>1</v>
      </c>
    </row>
    <row r="657" spans="1:7">
      <c r="A657">
        <v>3</v>
      </c>
      <c r="B657" t="s">
        <v>683</v>
      </c>
      <c r="C657" t="s">
        <v>683</v>
      </c>
      <c r="D657">
        <v>3</v>
      </c>
      <c r="E657">
        <f t="shared" si="10"/>
        <v>7</v>
      </c>
      <c r="F657" t="s">
        <v>821</v>
      </c>
      <c r="G657">
        <v>1</v>
      </c>
    </row>
    <row r="658" spans="1:7">
      <c r="A658">
        <v>3</v>
      </c>
      <c r="B658" t="s">
        <v>1036</v>
      </c>
      <c r="C658" t="s">
        <v>1036</v>
      </c>
      <c r="D658">
        <v>3</v>
      </c>
      <c r="E658">
        <f t="shared" si="10"/>
        <v>7</v>
      </c>
      <c r="F658" t="s">
        <v>821</v>
      </c>
      <c r="G658">
        <v>1</v>
      </c>
    </row>
    <row r="659" spans="1:7">
      <c r="A659">
        <v>3</v>
      </c>
      <c r="B659" t="s">
        <v>407</v>
      </c>
      <c r="C659" t="s">
        <v>407</v>
      </c>
      <c r="D659">
        <v>3</v>
      </c>
      <c r="E659">
        <f t="shared" si="10"/>
        <v>7</v>
      </c>
      <c r="F659" t="s">
        <v>821</v>
      </c>
      <c r="G659">
        <v>1</v>
      </c>
    </row>
    <row r="660" spans="1:7">
      <c r="A660">
        <v>3</v>
      </c>
      <c r="B660" t="s">
        <v>699</v>
      </c>
      <c r="C660" t="s">
        <v>6488</v>
      </c>
      <c r="D660">
        <v>3</v>
      </c>
      <c r="E660">
        <f t="shared" si="10"/>
        <v>7</v>
      </c>
      <c r="F660" t="s">
        <v>821</v>
      </c>
      <c r="G660">
        <v>1</v>
      </c>
    </row>
    <row r="661" spans="1:7">
      <c r="A661">
        <v>3</v>
      </c>
      <c r="B661" t="s">
        <v>1161</v>
      </c>
      <c r="C661" t="s">
        <v>1161</v>
      </c>
      <c r="D661">
        <v>3</v>
      </c>
      <c r="E661">
        <f t="shared" si="10"/>
        <v>7</v>
      </c>
      <c r="F661" t="s">
        <v>821</v>
      </c>
      <c r="G661">
        <v>1</v>
      </c>
    </row>
    <row r="662" spans="1:7">
      <c r="A662">
        <v>3</v>
      </c>
      <c r="B662" t="s">
        <v>78</v>
      </c>
      <c r="C662" t="s">
        <v>700</v>
      </c>
      <c r="D662">
        <v>3</v>
      </c>
      <c r="E662">
        <f t="shared" si="10"/>
        <v>7</v>
      </c>
      <c r="F662" t="s">
        <v>821</v>
      </c>
      <c r="G662">
        <v>1</v>
      </c>
    </row>
    <row r="663" spans="1:7">
      <c r="A663">
        <v>3</v>
      </c>
      <c r="B663" t="s">
        <v>327</v>
      </c>
      <c r="C663" t="s">
        <v>327</v>
      </c>
      <c r="D663">
        <v>3</v>
      </c>
      <c r="E663">
        <f t="shared" si="10"/>
        <v>7</v>
      </c>
      <c r="F663" t="s">
        <v>821</v>
      </c>
      <c r="G663">
        <v>1</v>
      </c>
    </row>
    <row r="664" spans="1:7">
      <c r="A664">
        <v>3</v>
      </c>
      <c r="B664" t="s">
        <v>368</v>
      </c>
      <c r="C664" t="s">
        <v>368</v>
      </c>
      <c r="D664">
        <v>3</v>
      </c>
      <c r="E664">
        <f t="shared" si="10"/>
        <v>7</v>
      </c>
      <c r="F664" t="s">
        <v>821</v>
      </c>
      <c r="G664">
        <v>1</v>
      </c>
    </row>
    <row r="665" spans="1:7">
      <c r="A665">
        <v>3</v>
      </c>
      <c r="B665" t="s">
        <v>545</v>
      </c>
      <c r="C665" t="s">
        <v>545</v>
      </c>
      <c r="D665">
        <v>3</v>
      </c>
      <c r="E665">
        <f t="shared" si="10"/>
        <v>7</v>
      </c>
      <c r="F665" t="s">
        <v>821</v>
      </c>
      <c r="G665">
        <v>1</v>
      </c>
    </row>
    <row r="666" spans="1:7">
      <c r="A666">
        <v>3</v>
      </c>
      <c r="B666" t="s">
        <v>370</v>
      </c>
      <c r="C666" t="s">
        <v>370</v>
      </c>
      <c r="D666">
        <v>3</v>
      </c>
      <c r="E666">
        <f t="shared" si="10"/>
        <v>7</v>
      </c>
      <c r="F666" t="s">
        <v>821</v>
      </c>
      <c r="G666">
        <v>1</v>
      </c>
    </row>
    <row r="667" spans="1:7">
      <c r="A667">
        <v>3</v>
      </c>
      <c r="B667" t="s">
        <v>497</v>
      </c>
      <c r="C667" t="s">
        <v>497</v>
      </c>
      <c r="D667">
        <v>3</v>
      </c>
      <c r="E667">
        <f t="shared" si="10"/>
        <v>7</v>
      </c>
      <c r="F667" t="s">
        <v>821</v>
      </c>
      <c r="G667">
        <v>1</v>
      </c>
    </row>
    <row r="668" spans="1:7">
      <c r="A668">
        <v>3</v>
      </c>
      <c r="B668" t="s">
        <v>412</v>
      </c>
      <c r="C668" t="s">
        <v>412</v>
      </c>
      <c r="D668">
        <v>3</v>
      </c>
      <c r="E668">
        <f t="shared" si="10"/>
        <v>7</v>
      </c>
      <c r="F668" t="s">
        <v>821</v>
      </c>
      <c r="G668">
        <v>1</v>
      </c>
    </row>
    <row r="669" spans="1:7">
      <c r="A669">
        <v>3</v>
      </c>
      <c r="B669" t="s">
        <v>486</v>
      </c>
      <c r="C669" t="s">
        <v>486</v>
      </c>
      <c r="D669">
        <v>3</v>
      </c>
      <c r="E669">
        <f t="shared" si="10"/>
        <v>7</v>
      </c>
      <c r="F669" t="s">
        <v>821</v>
      </c>
      <c r="G669">
        <v>1</v>
      </c>
    </row>
    <row r="670" spans="1:7">
      <c r="A670">
        <v>3</v>
      </c>
      <c r="B670" t="s">
        <v>1807</v>
      </c>
      <c r="C670" t="s">
        <v>1807</v>
      </c>
      <c r="D670">
        <v>3</v>
      </c>
      <c r="E670">
        <f t="shared" si="10"/>
        <v>7</v>
      </c>
      <c r="F670" t="s">
        <v>821</v>
      </c>
      <c r="G670">
        <v>1</v>
      </c>
    </row>
    <row r="671" spans="1:7">
      <c r="A671">
        <v>3</v>
      </c>
      <c r="B671" t="s">
        <v>1167</v>
      </c>
      <c r="C671" t="s">
        <v>1167</v>
      </c>
      <c r="D671">
        <v>3</v>
      </c>
      <c r="E671">
        <f t="shared" si="10"/>
        <v>7</v>
      </c>
      <c r="F671" t="s">
        <v>821</v>
      </c>
      <c r="G671">
        <v>1</v>
      </c>
    </row>
    <row r="672" spans="1:7">
      <c r="A672">
        <v>3</v>
      </c>
      <c r="B672" t="s">
        <v>267</v>
      </c>
      <c r="C672" t="s">
        <v>6579</v>
      </c>
      <c r="D672">
        <v>3</v>
      </c>
      <c r="E672">
        <f t="shared" si="10"/>
        <v>7</v>
      </c>
      <c r="F672" t="s">
        <v>821</v>
      </c>
      <c r="G672">
        <v>1</v>
      </c>
    </row>
    <row r="673" spans="1:7">
      <c r="A673">
        <v>3</v>
      </c>
      <c r="B673" t="s">
        <v>1135</v>
      </c>
      <c r="C673" t="s">
        <v>1135</v>
      </c>
      <c r="D673">
        <v>3</v>
      </c>
      <c r="E673">
        <f t="shared" si="10"/>
        <v>7</v>
      </c>
      <c r="F673" t="s">
        <v>821</v>
      </c>
      <c r="G673">
        <v>1</v>
      </c>
    </row>
    <row r="674" spans="1:7">
      <c r="A674">
        <v>3</v>
      </c>
      <c r="B674" t="s">
        <v>549</v>
      </c>
      <c r="C674" t="s">
        <v>549</v>
      </c>
      <c r="D674">
        <v>3</v>
      </c>
      <c r="E674">
        <f t="shared" si="10"/>
        <v>7</v>
      </c>
      <c r="F674" t="s">
        <v>821</v>
      </c>
      <c r="G674">
        <v>1</v>
      </c>
    </row>
    <row r="675" spans="1:7">
      <c r="A675">
        <v>3</v>
      </c>
      <c r="B675" t="s">
        <v>1172</v>
      </c>
      <c r="C675" t="s">
        <v>1172</v>
      </c>
      <c r="D675">
        <v>3</v>
      </c>
      <c r="E675">
        <f t="shared" si="10"/>
        <v>7</v>
      </c>
      <c r="F675" t="s">
        <v>821</v>
      </c>
      <c r="G675">
        <v>1</v>
      </c>
    </row>
    <row r="676" spans="1:7">
      <c r="A676">
        <v>3</v>
      </c>
      <c r="B676" t="s">
        <v>330</v>
      </c>
      <c r="C676" t="s">
        <v>330</v>
      </c>
      <c r="D676">
        <v>3</v>
      </c>
      <c r="E676">
        <f t="shared" si="10"/>
        <v>7</v>
      </c>
      <c r="F676" t="s">
        <v>821</v>
      </c>
      <c r="G676">
        <v>1</v>
      </c>
    </row>
    <row r="677" spans="1:7">
      <c r="A677">
        <v>3</v>
      </c>
      <c r="B677" t="s">
        <v>426</v>
      </c>
      <c r="C677" t="s">
        <v>426</v>
      </c>
      <c r="D677">
        <v>3</v>
      </c>
      <c r="E677">
        <f t="shared" si="10"/>
        <v>7</v>
      </c>
      <c r="F677" t="s">
        <v>821</v>
      </c>
      <c r="G677">
        <v>1</v>
      </c>
    </row>
    <row r="678" spans="1:7">
      <c r="A678">
        <v>3</v>
      </c>
      <c r="B678" t="s">
        <v>1297</v>
      </c>
      <c r="C678" t="s">
        <v>1297</v>
      </c>
      <c r="D678">
        <v>3</v>
      </c>
      <c r="E678">
        <f t="shared" si="10"/>
        <v>7</v>
      </c>
      <c r="F678" t="s">
        <v>821</v>
      </c>
      <c r="G678">
        <v>1</v>
      </c>
    </row>
    <row r="679" spans="1:7">
      <c r="A679">
        <v>3</v>
      </c>
      <c r="B679" t="s">
        <v>686</v>
      </c>
      <c r="C679" t="s">
        <v>686</v>
      </c>
      <c r="D679">
        <v>3</v>
      </c>
      <c r="E679">
        <f t="shared" si="10"/>
        <v>7</v>
      </c>
      <c r="F679" t="s">
        <v>821</v>
      </c>
      <c r="G679">
        <v>1</v>
      </c>
    </row>
    <row r="680" spans="1:7">
      <c r="A680">
        <v>3</v>
      </c>
      <c r="B680" t="s">
        <v>333</v>
      </c>
      <c r="C680" t="s">
        <v>333</v>
      </c>
      <c r="D680">
        <v>3</v>
      </c>
      <c r="E680">
        <f t="shared" si="10"/>
        <v>7</v>
      </c>
      <c r="F680" t="s">
        <v>821</v>
      </c>
      <c r="G680">
        <v>1</v>
      </c>
    </row>
    <row r="681" spans="1:7">
      <c r="A681">
        <v>3</v>
      </c>
      <c r="B681" t="s">
        <v>627</v>
      </c>
      <c r="C681" t="s">
        <v>5119</v>
      </c>
      <c r="D681">
        <v>3</v>
      </c>
      <c r="E681">
        <f t="shared" si="10"/>
        <v>7</v>
      </c>
      <c r="F681" t="s">
        <v>821</v>
      </c>
      <c r="G681">
        <v>1</v>
      </c>
    </row>
    <row r="682" spans="1:7">
      <c r="A682">
        <v>3</v>
      </c>
      <c r="B682" t="s">
        <v>5168</v>
      </c>
      <c r="C682" t="s">
        <v>5533</v>
      </c>
      <c r="D682">
        <v>3</v>
      </c>
      <c r="E682">
        <f t="shared" si="10"/>
        <v>7</v>
      </c>
      <c r="F682" t="s">
        <v>821</v>
      </c>
      <c r="G682">
        <v>1</v>
      </c>
    </row>
    <row r="683" spans="1:7">
      <c r="A683">
        <v>3</v>
      </c>
      <c r="B683" t="s">
        <v>335</v>
      </c>
      <c r="C683" t="s">
        <v>335</v>
      </c>
      <c r="D683">
        <v>3</v>
      </c>
      <c r="E683">
        <f t="shared" si="10"/>
        <v>7</v>
      </c>
      <c r="F683" t="s">
        <v>821</v>
      </c>
      <c r="G683">
        <v>1</v>
      </c>
    </row>
    <row r="684" spans="1:7">
      <c r="A684">
        <v>3</v>
      </c>
      <c r="B684" t="s">
        <v>1076</v>
      </c>
      <c r="C684" t="s">
        <v>1076</v>
      </c>
      <c r="D684">
        <v>3</v>
      </c>
      <c r="E684">
        <f t="shared" si="10"/>
        <v>7</v>
      </c>
      <c r="F684" t="s">
        <v>821</v>
      </c>
      <c r="G684">
        <v>1</v>
      </c>
    </row>
    <row r="685" spans="1:7">
      <c r="A685">
        <v>3</v>
      </c>
      <c r="B685" t="s">
        <v>118</v>
      </c>
      <c r="C685" t="s">
        <v>118</v>
      </c>
      <c r="D685">
        <v>3</v>
      </c>
      <c r="E685">
        <f t="shared" si="10"/>
        <v>7</v>
      </c>
      <c r="F685" t="s">
        <v>821</v>
      </c>
      <c r="G685">
        <v>1</v>
      </c>
    </row>
    <row r="686" spans="1:7">
      <c r="A686">
        <v>3</v>
      </c>
      <c r="B686" t="s">
        <v>274</v>
      </c>
      <c r="C686" t="s">
        <v>5123</v>
      </c>
      <c r="D686">
        <v>3</v>
      </c>
      <c r="E686">
        <f t="shared" si="10"/>
        <v>7</v>
      </c>
      <c r="F686" t="s">
        <v>821</v>
      </c>
      <c r="G686">
        <v>1</v>
      </c>
    </row>
    <row r="687" spans="1:7">
      <c r="A687">
        <v>3</v>
      </c>
      <c r="B687" t="s">
        <v>276</v>
      </c>
      <c r="C687" t="s">
        <v>276</v>
      </c>
      <c r="D687">
        <v>3</v>
      </c>
      <c r="E687">
        <f t="shared" si="10"/>
        <v>7</v>
      </c>
      <c r="F687" t="s">
        <v>821</v>
      </c>
      <c r="G687">
        <v>1</v>
      </c>
    </row>
    <row r="688" spans="1:7">
      <c r="A688">
        <v>3</v>
      </c>
      <c r="B688" t="s">
        <v>490</v>
      </c>
      <c r="C688" t="s">
        <v>490</v>
      </c>
      <c r="D688">
        <v>3</v>
      </c>
      <c r="E688">
        <f t="shared" si="10"/>
        <v>7</v>
      </c>
      <c r="F688" t="s">
        <v>821</v>
      </c>
      <c r="G688">
        <v>1</v>
      </c>
    </row>
    <row r="689" spans="1:7">
      <c r="A689">
        <v>3</v>
      </c>
      <c r="B689" t="s">
        <v>1078</v>
      </c>
      <c r="C689" t="s">
        <v>1078</v>
      </c>
      <c r="D689">
        <v>3</v>
      </c>
      <c r="E689">
        <f t="shared" si="10"/>
        <v>7</v>
      </c>
      <c r="F689" t="s">
        <v>821</v>
      </c>
      <c r="G689">
        <v>1</v>
      </c>
    </row>
    <row r="690" spans="1:7">
      <c r="A690">
        <v>3</v>
      </c>
      <c r="B690" t="s">
        <v>429</v>
      </c>
      <c r="C690" t="s">
        <v>429</v>
      </c>
      <c r="D690">
        <v>3</v>
      </c>
      <c r="E690">
        <f t="shared" si="10"/>
        <v>7</v>
      </c>
      <c r="F690" t="s">
        <v>821</v>
      </c>
      <c r="G690">
        <v>1</v>
      </c>
    </row>
    <row r="691" spans="1:7">
      <c r="A691">
        <v>3</v>
      </c>
      <c r="B691" t="s">
        <v>126</v>
      </c>
      <c r="C691" t="s">
        <v>126</v>
      </c>
      <c r="D691">
        <v>3</v>
      </c>
      <c r="E691">
        <f t="shared" si="10"/>
        <v>7</v>
      </c>
      <c r="F691" t="s">
        <v>821</v>
      </c>
      <c r="G691">
        <v>1</v>
      </c>
    </row>
    <row r="692" spans="1:7">
      <c r="A692">
        <v>3</v>
      </c>
      <c r="B692" t="s">
        <v>279</v>
      </c>
      <c r="C692" t="s">
        <v>279</v>
      </c>
      <c r="D692">
        <v>3</v>
      </c>
      <c r="E692">
        <f t="shared" si="10"/>
        <v>7</v>
      </c>
      <c r="F692" t="s">
        <v>821</v>
      </c>
      <c r="G692">
        <v>1</v>
      </c>
    </row>
    <row r="693" spans="1:7">
      <c r="A693">
        <v>3</v>
      </c>
      <c r="B693" t="s">
        <v>1316</v>
      </c>
      <c r="C693" t="s">
        <v>1316</v>
      </c>
      <c r="D693">
        <v>3</v>
      </c>
      <c r="E693">
        <f t="shared" si="10"/>
        <v>7</v>
      </c>
      <c r="F693" t="s">
        <v>821</v>
      </c>
      <c r="G693">
        <v>1</v>
      </c>
    </row>
    <row r="694" spans="1:7">
      <c r="A694">
        <v>3</v>
      </c>
      <c r="B694" t="s">
        <v>564</v>
      </c>
      <c r="C694" t="s">
        <v>564</v>
      </c>
      <c r="D694">
        <v>3</v>
      </c>
      <c r="E694">
        <f t="shared" si="10"/>
        <v>7</v>
      </c>
      <c r="F694" t="s">
        <v>821</v>
      </c>
      <c r="G694">
        <v>1</v>
      </c>
    </row>
    <row r="695" spans="1:7">
      <c r="A695">
        <v>3</v>
      </c>
      <c r="B695" t="s">
        <v>1183</v>
      </c>
      <c r="C695" t="s">
        <v>1183</v>
      </c>
      <c r="D695">
        <v>3</v>
      </c>
      <c r="E695">
        <f t="shared" si="10"/>
        <v>7</v>
      </c>
      <c r="F695" t="s">
        <v>821</v>
      </c>
      <c r="G695">
        <v>1</v>
      </c>
    </row>
    <row r="696" spans="1:7">
      <c r="A696">
        <v>3</v>
      </c>
      <c r="B696" t="s">
        <v>567</v>
      </c>
      <c r="C696" t="s">
        <v>567</v>
      </c>
      <c r="D696">
        <v>3</v>
      </c>
      <c r="E696">
        <f t="shared" si="10"/>
        <v>7</v>
      </c>
      <c r="F696" t="s">
        <v>821</v>
      </c>
      <c r="G696">
        <v>1</v>
      </c>
    </row>
    <row r="697" spans="1:7">
      <c r="A697">
        <v>3</v>
      </c>
      <c r="B697" t="s">
        <v>433</v>
      </c>
      <c r="C697" t="s">
        <v>433</v>
      </c>
      <c r="D697">
        <v>3</v>
      </c>
      <c r="E697">
        <f t="shared" si="10"/>
        <v>7</v>
      </c>
      <c r="F697" t="s">
        <v>821</v>
      </c>
      <c r="G697">
        <v>1</v>
      </c>
    </row>
    <row r="698" spans="1:7">
      <c r="A698">
        <v>3</v>
      </c>
      <c r="B698" t="s">
        <v>1319</v>
      </c>
      <c r="C698" t="s">
        <v>1319</v>
      </c>
      <c r="D698">
        <v>3</v>
      </c>
      <c r="E698">
        <f t="shared" si="10"/>
        <v>7</v>
      </c>
      <c r="F698" t="s">
        <v>821</v>
      </c>
      <c r="G698">
        <v>1</v>
      </c>
    </row>
    <row r="699" spans="1:7">
      <c r="A699">
        <v>3</v>
      </c>
      <c r="B699" t="s">
        <v>569</v>
      </c>
      <c r="C699" t="s">
        <v>569</v>
      </c>
      <c r="D699">
        <v>3</v>
      </c>
      <c r="E699">
        <f t="shared" si="10"/>
        <v>7</v>
      </c>
      <c r="F699" t="s">
        <v>821</v>
      </c>
      <c r="G699">
        <v>1</v>
      </c>
    </row>
    <row r="700" spans="1:7">
      <c r="A700">
        <v>3</v>
      </c>
      <c r="B700" t="s">
        <v>137</v>
      </c>
      <c r="C700" t="s">
        <v>1407</v>
      </c>
      <c r="D700">
        <v>3</v>
      </c>
      <c r="E700">
        <f t="shared" si="10"/>
        <v>7</v>
      </c>
      <c r="F700" t="s">
        <v>821</v>
      </c>
      <c r="G700">
        <v>1</v>
      </c>
    </row>
    <row r="701" spans="1:7">
      <c r="A701">
        <v>3</v>
      </c>
      <c r="B701" t="s">
        <v>1803</v>
      </c>
      <c r="C701" t="s">
        <v>5535</v>
      </c>
      <c r="D701">
        <v>3</v>
      </c>
      <c r="E701">
        <f t="shared" si="10"/>
        <v>7</v>
      </c>
      <c r="F701" t="s">
        <v>821</v>
      </c>
      <c r="G701">
        <v>1</v>
      </c>
    </row>
    <row r="702" spans="1:7">
      <c r="A702">
        <v>3</v>
      </c>
      <c r="B702" t="s">
        <v>952</v>
      </c>
      <c r="C702" t="s">
        <v>952</v>
      </c>
      <c r="D702">
        <v>3</v>
      </c>
      <c r="E702">
        <f t="shared" si="10"/>
        <v>7</v>
      </c>
      <c r="F702" t="s">
        <v>821</v>
      </c>
      <c r="G702">
        <v>1</v>
      </c>
    </row>
    <row r="703" spans="1:7">
      <c r="A703">
        <v>3</v>
      </c>
      <c r="B703" t="s">
        <v>437</v>
      </c>
      <c r="C703" t="s">
        <v>437</v>
      </c>
      <c r="D703">
        <v>3</v>
      </c>
      <c r="E703">
        <f t="shared" si="10"/>
        <v>7</v>
      </c>
      <c r="F703" t="s">
        <v>821</v>
      </c>
      <c r="G703">
        <v>1</v>
      </c>
    </row>
    <row r="704" spans="1:7">
      <c r="A704">
        <v>3</v>
      </c>
      <c r="B704" t="s">
        <v>151</v>
      </c>
      <c r="C704" t="s">
        <v>151</v>
      </c>
      <c r="D704">
        <v>3</v>
      </c>
      <c r="E704">
        <f t="shared" si="10"/>
        <v>7</v>
      </c>
      <c r="F704" t="s">
        <v>821</v>
      </c>
      <c r="G704">
        <v>1</v>
      </c>
    </row>
    <row r="705" spans="1:7">
      <c r="A705">
        <v>3</v>
      </c>
      <c r="B705" t="s">
        <v>439</v>
      </c>
      <c r="C705" t="s">
        <v>439</v>
      </c>
      <c r="D705">
        <v>3</v>
      </c>
      <c r="E705">
        <f t="shared" si="10"/>
        <v>7</v>
      </c>
      <c r="F705" t="s">
        <v>821</v>
      </c>
      <c r="G705">
        <v>1</v>
      </c>
    </row>
    <row r="706" spans="1:7">
      <c r="A706">
        <v>3</v>
      </c>
      <c r="B706" t="s">
        <v>283</v>
      </c>
      <c r="C706" t="s">
        <v>283</v>
      </c>
      <c r="D706">
        <v>3</v>
      </c>
      <c r="E706">
        <f t="shared" si="10"/>
        <v>7</v>
      </c>
      <c r="F706" t="s">
        <v>821</v>
      </c>
      <c r="G706">
        <v>1</v>
      </c>
    </row>
    <row r="707" spans="1:7">
      <c r="A707">
        <v>3</v>
      </c>
      <c r="B707" t="s">
        <v>338</v>
      </c>
      <c r="C707" t="s">
        <v>338</v>
      </c>
      <c r="D707">
        <v>3</v>
      </c>
      <c r="E707">
        <f t="shared" ref="E707:E771" si="11">LEN(B707)</f>
        <v>7</v>
      </c>
      <c r="F707" t="s">
        <v>821</v>
      </c>
      <c r="G707">
        <v>1</v>
      </c>
    </row>
    <row r="708" spans="1:7">
      <c r="A708">
        <v>3</v>
      </c>
      <c r="B708" t="s">
        <v>339</v>
      </c>
      <c r="C708" t="s">
        <v>339</v>
      </c>
      <c r="D708">
        <v>3</v>
      </c>
      <c r="E708">
        <f t="shared" si="11"/>
        <v>7</v>
      </c>
      <c r="F708" t="s">
        <v>821</v>
      </c>
      <c r="G708">
        <v>1</v>
      </c>
    </row>
    <row r="709" spans="1:7">
      <c r="A709">
        <v>3</v>
      </c>
      <c r="B709" t="s">
        <v>1339</v>
      </c>
      <c r="C709" t="s">
        <v>1339</v>
      </c>
      <c r="D709">
        <v>3</v>
      </c>
      <c r="E709">
        <f t="shared" si="11"/>
        <v>7</v>
      </c>
      <c r="F709" t="s">
        <v>821</v>
      </c>
      <c r="G709">
        <v>1</v>
      </c>
    </row>
    <row r="710" spans="1:7">
      <c r="A710">
        <v>3</v>
      </c>
      <c r="B710" t="s">
        <v>1194</v>
      </c>
      <c r="C710" t="s">
        <v>1194</v>
      </c>
      <c r="D710">
        <v>3</v>
      </c>
      <c r="E710">
        <f t="shared" si="11"/>
        <v>7</v>
      </c>
      <c r="F710" t="s">
        <v>821</v>
      </c>
      <c r="G710">
        <v>1</v>
      </c>
    </row>
    <row r="711" spans="1:7">
      <c r="A711">
        <v>3</v>
      </c>
      <c r="B711" t="s">
        <v>1342</v>
      </c>
      <c r="C711" t="s">
        <v>1342</v>
      </c>
      <c r="D711">
        <v>3</v>
      </c>
      <c r="E711">
        <f t="shared" si="11"/>
        <v>7</v>
      </c>
      <c r="F711" t="s">
        <v>821</v>
      </c>
      <c r="G711">
        <v>1</v>
      </c>
    </row>
    <row r="712" spans="1:7">
      <c r="A712">
        <v>3</v>
      </c>
      <c r="B712" t="s">
        <v>1343</v>
      </c>
      <c r="C712" t="s">
        <v>1343</v>
      </c>
      <c r="D712">
        <v>3</v>
      </c>
      <c r="E712">
        <f t="shared" si="11"/>
        <v>7</v>
      </c>
      <c r="F712" t="s">
        <v>821</v>
      </c>
      <c r="G712">
        <v>1</v>
      </c>
    </row>
    <row r="713" spans="1:7">
      <c r="A713">
        <v>3</v>
      </c>
      <c r="B713" t="s">
        <v>1444</v>
      </c>
      <c r="C713" t="s">
        <v>1444</v>
      </c>
      <c r="D713">
        <v>3</v>
      </c>
      <c r="E713">
        <f t="shared" si="11"/>
        <v>7</v>
      </c>
      <c r="F713" t="s">
        <v>821</v>
      </c>
      <c r="G713">
        <v>1</v>
      </c>
    </row>
    <row r="714" spans="1:7">
      <c r="A714">
        <v>3</v>
      </c>
      <c r="B714" t="s">
        <v>711</v>
      </c>
      <c r="C714" t="s">
        <v>5134</v>
      </c>
      <c r="D714">
        <v>3</v>
      </c>
      <c r="E714">
        <f t="shared" si="11"/>
        <v>7</v>
      </c>
      <c r="F714" t="s">
        <v>1420</v>
      </c>
      <c r="G714">
        <v>1</v>
      </c>
    </row>
    <row r="715" spans="1:7">
      <c r="A715">
        <v>3</v>
      </c>
      <c r="B715" t="s">
        <v>1347</v>
      </c>
      <c r="C715" t="s">
        <v>1347</v>
      </c>
      <c r="D715">
        <v>3</v>
      </c>
      <c r="E715">
        <f t="shared" si="11"/>
        <v>7</v>
      </c>
      <c r="F715" t="s">
        <v>1420</v>
      </c>
      <c r="G715">
        <v>1</v>
      </c>
    </row>
    <row r="716" spans="1:7">
      <c r="A716">
        <v>3</v>
      </c>
      <c r="B716" t="s">
        <v>440</v>
      </c>
      <c r="C716" t="s">
        <v>440</v>
      </c>
      <c r="D716">
        <v>3</v>
      </c>
      <c r="E716">
        <f t="shared" si="11"/>
        <v>7</v>
      </c>
      <c r="F716" t="s">
        <v>821</v>
      </c>
      <c r="G716">
        <v>1</v>
      </c>
    </row>
    <row r="717" spans="1:7">
      <c r="A717">
        <v>3</v>
      </c>
      <c r="B717" t="s">
        <v>164</v>
      </c>
      <c r="C717" t="s">
        <v>164</v>
      </c>
      <c r="D717">
        <v>3</v>
      </c>
      <c r="E717">
        <f t="shared" si="11"/>
        <v>7</v>
      </c>
      <c r="F717" t="s">
        <v>821</v>
      </c>
      <c r="G717">
        <v>1</v>
      </c>
    </row>
    <row r="718" spans="1:7">
      <c r="A718">
        <v>3</v>
      </c>
      <c r="B718" t="s">
        <v>165</v>
      </c>
      <c r="C718" t="s">
        <v>5137</v>
      </c>
      <c r="D718">
        <v>3</v>
      </c>
      <c r="E718">
        <f t="shared" si="11"/>
        <v>7</v>
      </c>
      <c r="F718" t="s">
        <v>1420</v>
      </c>
      <c r="G718">
        <v>1</v>
      </c>
    </row>
    <row r="719" spans="1:7">
      <c r="A719">
        <v>3</v>
      </c>
      <c r="B719" t="s">
        <v>1137</v>
      </c>
      <c r="C719" t="s">
        <v>1123</v>
      </c>
      <c r="D719">
        <v>3</v>
      </c>
      <c r="E719">
        <f t="shared" si="11"/>
        <v>7</v>
      </c>
      <c r="F719" t="s">
        <v>821</v>
      </c>
      <c r="G719">
        <v>1</v>
      </c>
    </row>
    <row r="720" spans="1:7">
      <c r="A720">
        <v>3</v>
      </c>
      <c r="B720" t="s">
        <v>167</v>
      </c>
      <c r="C720" t="s">
        <v>167</v>
      </c>
      <c r="D720">
        <v>3</v>
      </c>
      <c r="E720">
        <f t="shared" si="11"/>
        <v>7</v>
      </c>
      <c r="F720" t="s">
        <v>821</v>
      </c>
      <c r="G720">
        <v>1</v>
      </c>
    </row>
    <row r="721" spans="1:7">
      <c r="A721">
        <v>3</v>
      </c>
      <c r="B721" t="s">
        <v>1809</v>
      </c>
      <c r="C721" t="s">
        <v>1809</v>
      </c>
      <c r="D721">
        <v>3</v>
      </c>
      <c r="E721">
        <f t="shared" si="11"/>
        <v>7</v>
      </c>
      <c r="F721" t="s">
        <v>821</v>
      </c>
      <c r="G721">
        <v>1</v>
      </c>
    </row>
    <row r="722" spans="1:7">
      <c r="A722">
        <v>3</v>
      </c>
      <c r="B722" t="s">
        <v>587</v>
      </c>
      <c r="C722" t="s">
        <v>587</v>
      </c>
      <c r="D722">
        <v>3</v>
      </c>
      <c r="E722">
        <f t="shared" si="11"/>
        <v>7</v>
      </c>
      <c r="F722" t="s">
        <v>821</v>
      </c>
      <c r="G722">
        <v>1</v>
      </c>
    </row>
    <row r="723" spans="1:7">
      <c r="A723">
        <v>3</v>
      </c>
      <c r="B723" t="s">
        <v>1802</v>
      </c>
      <c r="C723" t="s">
        <v>1802</v>
      </c>
      <c r="D723">
        <v>3</v>
      </c>
      <c r="E723">
        <f t="shared" si="11"/>
        <v>7</v>
      </c>
      <c r="F723" t="s">
        <v>821</v>
      </c>
      <c r="G723">
        <v>1</v>
      </c>
    </row>
    <row r="724" spans="1:7">
      <c r="A724">
        <v>3</v>
      </c>
      <c r="B724" t="s">
        <v>443</v>
      </c>
      <c r="C724" t="s">
        <v>443</v>
      </c>
      <c r="D724">
        <v>3</v>
      </c>
      <c r="E724">
        <f t="shared" si="11"/>
        <v>7</v>
      </c>
      <c r="F724" t="s">
        <v>821</v>
      </c>
      <c r="G724">
        <v>1</v>
      </c>
    </row>
    <row r="725" spans="1:7">
      <c r="A725">
        <v>3</v>
      </c>
      <c r="B725" t="s">
        <v>173</v>
      </c>
      <c r="C725" t="s">
        <v>173</v>
      </c>
      <c r="D725">
        <v>3</v>
      </c>
      <c r="E725">
        <f t="shared" si="11"/>
        <v>7</v>
      </c>
      <c r="F725" t="s">
        <v>821</v>
      </c>
      <c r="G725">
        <v>1</v>
      </c>
    </row>
    <row r="726" spans="1:7">
      <c r="A726">
        <v>3</v>
      </c>
      <c r="B726" t="s">
        <v>174</v>
      </c>
      <c r="C726" t="s">
        <v>174</v>
      </c>
      <c r="D726">
        <v>3</v>
      </c>
      <c r="E726">
        <f t="shared" si="11"/>
        <v>7</v>
      </c>
      <c r="F726" t="s">
        <v>821</v>
      </c>
      <c r="G726">
        <v>1</v>
      </c>
    </row>
    <row r="727" spans="1:7">
      <c r="A727">
        <v>3</v>
      </c>
      <c r="B727" t="s">
        <v>1204</v>
      </c>
      <c r="C727" t="s">
        <v>1204</v>
      </c>
      <c r="D727">
        <v>3</v>
      </c>
      <c r="E727">
        <f t="shared" si="11"/>
        <v>7</v>
      </c>
      <c r="F727" t="s">
        <v>821</v>
      </c>
      <c r="G727">
        <v>1</v>
      </c>
    </row>
    <row r="728" spans="1:7">
      <c r="A728">
        <v>3</v>
      </c>
      <c r="B728" t="s">
        <v>5309</v>
      </c>
      <c r="C728" t="s">
        <v>5309</v>
      </c>
      <c r="D728">
        <v>3</v>
      </c>
      <c r="E728">
        <f t="shared" si="11"/>
        <v>7</v>
      </c>
      <c r="F728" t="s">
        <v>821</v>
      </c>
      <c r="G728">
        <v>1</v>
      </c>
    </row>
    <row r="729" spans="1:7">
      <c r="A729">
        <v>3</v>
      </c>
      <c r="B729" t="s">
        <v>616</v>
      </c>
      <c r="C729" t="s">
        <v>5542</v>
      </c>
      <c r="D729">
        <v>3</v>
      </c>
      <c r="E729">
        <f t="shared" si="11"/>
        <v>7</v>
      </c>
      <c r="F729" t="s">
        <v>821</v>
      </c>
      <c r="G729">
        <v>1</v>
      </c>
    </row>
    <row r="730" spans="1:7">
      <c r="A730">
        <v>3</v>
      </c>
      <c r="B730" t="s">
        <v>1805</v>
      </c>
      <c r="C730" t="s">
        <v>1805</v>
      </c>
      <c r="D730">
        <v>3</v>
      </c>
      <c r="E730">
        <f t="shared" si="11"/>
        <v>7</v>
      </c>
      <c r="F730" t="s">
        <v>821</v>
      </c>
      <c r="G730">
        <v>1</v>
      </c>
    </row>
    <row r="731" spans="1:7">
      <c r="A731">
        <v>3</v>
      </c>
      <c r="B731" t="s">
        <v>690</v>
      </c>
      <c r="C731" t="s">
        <v>690</v>
      </c>
      <c r="D731">
        <v>3</v>
      </c>
      <c r="E731">
        <f t="shared" si="11"/>
        <v>7</v>
      </c>
      <c r="F731" t="s">
        <v>821</v>
      </c>
      <c r="G731">
        <v>1</v>
      </c>
    </row>
    <row r="732" spans="1:7">
      <c r="A732">
        <v>3</v>
      </c>
      <c r="B732" t="s">
        <v>188</v>
      </c>
      <c r="C732" t="s">
        <v>188</v>
      </c>
      <c r="D732">
        <v>3</v>
      </c>
      <c r="E732">
        <f t="shared" si="11"/>
        <v>7</v>
      </c>
      <c r="F732" t="s">
        <v>821</v>
      </c>
      <c r="G732">
        <v>1</v>
      </c>
    </row>
    <row r="733" spans="1:7">
      <c r="A733">
        <v>3</v>
      </c>
      <c r="B733" t="s">
        <v>1206</v>
      </c>
      <c r="C733" t="s">
        <v>1206</v>
      </c>
      <c r="D733">
        <v>3</v>
      </c>
      <c r="E733">
        <f t="shared" si="11"/>
        <v>7</v>
      </c>
      <c r="F733" t="s">
        <v>821</v>
      </c>
      <c r="G733">
        <v>1</v>
      </c>
    </row>
    <row r="734" spans="1:7">
      <c r="A734">
        <v>3</v>
      </c>
      <c r="B734" t="s">
        <v>1009</v>
      </c>
      <c r="C734" t="s">
        <v>5146</v>
      </c>
      <c r="D734">
        <v>3</v>
      </c>
      <c r="E734">
        <f t="shared" si="11"/>
        <v>7</v>
      </c>
      <c r="F734" t="s">
        <v>821</v>
      </c>
      <c r="G734">
        <v>1</v>
      </c>
    </row>
    <row r="735" spans="1:7">
      <c r="A735">
        <v>3</v>
      </c>
      <c r="B735" t="s">
        <v>637</v>
      </c>
      <c r="C735" t="s">
        <v>637</v>
      </c>
      <c r="D735">
        <v>3</v>
      </c>
      <c r="E735">
        <f t="shared" si="11"/>
        <v>7</v>
      </c>
      <c r="F735" t="s">
        <v>821</v>
      </c>
      <c r="G735">
        <v>1</v>
      </c>
    </row>
    <row r="736" spans="1:7">
      <c r="A736">
        <v>3</v>
      </c>
      <c r="B736" t="s">
        <v>379</v>
      </c>
      <c r="C736" t="s">
        <v>379</v>
      </c>
      <c r="D736">
        <v>3</v>
      </c>
      <c r="E736">
        <f t="shared" si="11"/>
        <v>7</v>
      </c>
      <c r="F736" t="s">
        <v>821</v>
      </c>
      <c r="G736">
        <v>1</v>
      </c>
    </row>
    <row r="737" spans="1:7">
      <c r="A737">
        <v>3</v>
      </c>
      <c r="B737" t="s">
        <v>193</v>
      </c>
      <c r="C737" t="s">
        <v>193</v>
      </c>
      <c r="D737">
        <v>3</v>
      </c>
      <c r="E737">
        <f t="shared" si="11"/>
        <v>7</v>
      </c>
      <c r="F737" t="s">
        <v>821</v>
      </c>
      <c r="G737">
        <v>1</v>
      </c>
    </row>
    <row r="738" spans="1:7">
      <c r="A738">
        <v>3</v>
      </c>
      <c r="B738" t="s">
        <v>1210</v>
      </c>
      <c r="C738" t="s">
        <v>1210</v>
      </c>
      <c r="D738">
        <v>3</v>
      </c>
      <c r="E738">
        <f t="shared" si="11"/>
        <v>7</v>
      </c>
      <c r="F738" t="s">
        <v>821</v>
      </c>
      <c r="G738">
        <v>1</v>
      </c>
    </row>
    <row r="739" spans="1:7">
      <c r="A739">
        <v>3</v>
      </c>
      <c r="B739" t="s">
        <v>448</v>
      </c>
      <c r="C739" t="s">
        <v>448</v>
      </c>
      <c r="D739">
        <v>3</v>
      </c>
      <c r="E739">
        <f t="shared" si="11"/>
        <v>7</v>
      </c>
      <c r="F739" t="s">
        <v>821</v>
      </c>
      <c r="G739">
        <v>1</v>
      </c>
    </row>
    <row r="740" spans="1:7">
      <c r="A740">
        <v>3</v>
      </c>
      <c r="B740" t="s">
        <v>347</v>
      </c>
      <c r="C740" t="s">
        <v>347</v>
      </c>
      <c r="D740">
        <v>3</v>
      </c>
      <c r="E740">
        <f t="shared" si="11"/>
        <v>7</v>
      </c>
      <c r="F740" t="s">
        <v>821</v>
      </c>
      <c r="G740">
        <v>1</v>
      </c>
    </row>
    <row r="741" spans="1:7">
      <c r="A741">
        <v>3</v>
      </c>
      <c r="B741" t="s">
        <v>450</v>
      </c>
      <c r="C741" t="s">
        <v>5153</v>
      </c>
      <c r="D741">
        <v>3</v>
      </c>
      <c r="E741">
        <f t="shared" si="11"/>
        <v>7</v>
      </c>
      <c r="F741" t="s">
        <v>821</v>
      </c>
      <c r="G741">
        <v>1</v>
      </c>
    </row>
    <row r="742" spans="1:7">
      <c r="A742">
        <v>3</v>
      </c>
      <c r="B742" t="s">
        <v>1377</v>
      </c>
      <c r="C742" t="s">
        <v>1377</v>
      </c>
      <c r="D742">
        <v>3</v>
      </c>
      <c r="E742">
        <f t="shared" si="11"/>
        <v>7</v>
      </c>
      <c r="F742" t="s">
        <v>821</v>
      </c>
      <c r="G742">
        <v>1</v>
      </c>
    </row>
    <row r="743" spans="1:7">
      <c r="A743">
        <v>3</v>
      </c>
      <c r="B743" t="s">
        <v>206</v>
      </c>
      <c r="C743" t="s">
        <v>5155</v>
      </c>
      <c r="D743">
        <v>3</v>
      </c>
      <c r="E743">
        <f t="shared" si="11"/>
        <v>7</v>
      </c>
      <c r="F743" t="s">
        <v>821</v>
      </c>
      <c r="G743">
        <v>1</v>
      </c>
    </row>
    <row r="744" spans="1:7">
      <c r="A744">
        <v>3</v>
      </c>
      <c r="B744" t="s">
        <v>297</v>
      </c>
      <c r="C744" t="s">
        <v>297</v>
      </c>
      <c r="D744">
        <v>3</v>
      </c>
      <c r="E744">
        <f t="shared" si="11"/>
        <v>7</v>
      </c>
      <c r="F744" t="s">
        <v>821</v>
      </c>
      <c r="G744">
        <v>1</v>
      </c>
    </row>
    <row r="745" spans="1:7" ht="20.5" customHeight="1">
      <c r="A745">
        <v>3</v>
      </c>
      <c r="B745" t="s">
        <v>209</v>
      </c>
      <c r="C745" t="s">
        <v>209</v>
      </c>
      <c r="D745">
        <v>3</v>
      </c>
      <c r="E745">
        <f t="shared" si="11"/>
        <v>7</v>
      </c>
      <c r="F745" t="s">
        <v>821</v>
      </c>
      <c r="G745">
        <v>1</v>
      </c>
    </row>
    <row r="746" spans="1:7">
      <c r="A746">
        <v>3</v>
      </c>
      <c r="B746" t="s">
        <v>211</v>
      </c>
      <c r="C746" t="s">
        <v>211</v>
      </c>
      <c r="D746">
        <v>3</v>
      </c>
      <c r="E746">
        <f t="shared" si="11"/>
        <v>7</v>
      </c>
      <c r="F746" t="s">
        <v>821</v>
      </c>
      <c r="G746">
        <v>1</v>
      </c>
    </row>
    <row r="747" spans="1:7">
      <c r="A747">
        <v>3</v>
      </c>
      <c r="B747" t="s">
        <v>212</v>
      </c>
      <c r="C747" t="s">
        <v>212</v>
      </c>
      <c r="D747">
        <v>3</v>
      </c>
      <c r="E747">
        <f t="shared" si="11"/>
        <v>7</v>
      </c>
      <c r="F747" t="s">
        <v>821</v>
      </c>
      <c r="G747">
        <v>1</v>
      </c>
    </row>
    <row r="748" spans="1:7">
      <c r="A748">
        <v>3</v>
      </c>
      <c r="B748" t="s">
        <v>231</v>
      </c>
      <c r="C748" t="s">
        <v>231</v>
      </c>
      <c r="D748">
        <v>3</v>
      </c>
      <c r="E748">
        <f t="shared" si="11"/>
        <v>7</v>
      </c>
      <c r="F748" t="s">
        <v>821</v>
      </c>
      <c r="G748">
        <v>1</v>
      </c>
    </row>
    <row r="749" spans="1:7">
      <c r="A749">
        <v>3</v>
      </c>
      <c r="B749" t="s">
        <v>219</v>
      </c>
      <c r="C749" t="s">
        <v>219</v>
      </c>
      <c r="D749">
        <v>3</v>
      </c>
      <c r="E749">
        <f t="shared" si="11"/>
        <v>7</v>
      </c>
      <c r="F749" t="s">
        <v>821</v>
      </c>
      <c r="G749">
        <v>1</v>
      </c>
    </row>
    <row r="750" spans="1:7">
      <c r="A750">
        <v>3</v>
      </c>
      <c r="B750" t="s">
        <v>833</v>
      </c>
      <c r="C750" t="s">
        <v>833</v>
      </c>
      <c r="D750">
        <v>3</v>
      </c>
      <c r="E750">
        <f t="shared" si="11"/>
        <v>7</v>
      </c>
      <c r="F750" t="s">
        <v>821</v>
      </c>
      <c r="G750">
        <v>1</v>
      </c>
    </row>
    <row r="751" spans="1:7">
      <c r="A751">
        <v>3</v>
      </c>
      <c r="B751" t="s">
        <v>1806</v>
      </c>
      <c r="C751" t="s">
        <v>1806</v>
      </c>
      <c r="D751">
        <v>3</v>
      </c>
      <c r="E751">
        <f t="shared" si="11"/>
        <v>7</v>
      </c>
      <c r="F751" t="s">
        <v>821</v>
      </c>
      <c r="G751">
        <v>1</v>
      </c>
    </row>
    <row r="752" spans="1:7">
      <c r="A752">
        <v>3</v>
      </c>
      <c r="B752" t="s">
        <v>599</v>
      </c>
      <c r="C752" t="s">
        <v>1413</v>
      </c>
      <c r="D752">
        <v>3</v>
      </c>
      <c r="E752">
        <f t="shared" si="11"/>
        <v>7</v>
      </c>
      <c r="F752" t="s">
        <v>821</v>
      </c>
      <c r="G752">
        <v>1</v>
      </c>
    </row>
    <row r="753" spans="1:7">
      <c r="A753">
        <v>3</v>
      </c>
      <c r="B753" t="s">
        <v>229</v>
      </c>
      <c r="C753" t="s">
        <v>229</v>
      </c>
      <c r="D753">
        <v>3</v>
      </c>
      <c r="E753">
        <f t="shared" si="11"/>
        <v>7</v>
      </c>
      <c r="F753" t="s">
        <v>821</v>
      </c>
      <c r="G753">
        <v>1</v>
      </c>
    </row>
    <row r="754" spans="1:7">
      <c r="A754">
        <v>3</v>
      </c>
      <c r="B754" t="s">
        <v>5066</v>
      </c>
      <c r="C754" t="s">
        <v>5161</v>
      </c>
      <c r="D754">
        <v>3</v>
      </c>
      <c r="E754">
        <f t="shared" si="11"/>
        <v>7</v>
      </c>
      <c r="F754" t="s">
        <v>821</v>
      </c>
      <c r="G754">
        <v>1</v>
      </c>
    </row>
    <row r="755" spans="1:7">
      <c r="A755">
        <v>3</v>
      </c>
      <c r="B755" t="s">
        <v>222</v>
      </c>
      <c r="C755" t="s">
        <v>5159</v>
      </c>
      <c r="D755">
        <v>3</v>
      </c>
      <c r="E755">
        <f t="shared" si="11"/>
        <v>6</v>
      </c>
      <c r="F755" t="s">
        <v>821</v>
      </c>
      <c r="G755">
        <v>1</v>
      </c>
    </row>
    <row r="756" spans="1:7">
      <c r="A756">
        <v>3</v>
      </c>
      <c r="B756" t="s">
        <v>6448</v>
      </c>
      <c r="C756" t="s">
        <v>6449</v>
      </c>
      <c r="D756">
        <v>3</v>
      </c>
      <c r="E756">
        <f t="shared" si="11"/>
        <v>6</v>
      </c>
      <c r="F756" t="s">
        <v>821</v>
      </c>
      <c r="G756">
        <v>1</v>
      </c>
    </row>
    <row r="757" spans="1:7">
      <c r="A757">
        <v>3</v>
      </c>
      <c r="B757" t="s">
        <v>243</v>
      </c>
      <c r="C757" t="s">
        <v>243</v>
      </c>
      <c r="D757">
        <v>3</v>
      </c>
      <c r="E757">
        <f t="shared" si="11"/>
        <v>6</v>
      </c>
      <c r="F757" t="s">
        <v>821</v>
      </c>
      <c r="G757">
        <v>1</v>
      </c>
    </row>
    <row r="758" spans="1:7">
      <c r="A758">
        <v>3</v>
      </c>
      <c r="B758" t="s">
        <v>247</v>
      </c>
      <c r="C758" t="s">
        <v>692</v>
      </c>
      <c r="D758">
        <v>3</v>
      </c>
      <c r="E758">
        <f t="shared" si="11"/>
        <v>6</v>
      </c>
      <c r="F758" t="s">
        <v>821</v>
      </c>
      <c r="G758">
        <v>1</v>
      </c>
    </row>
    <row r="759" spans="1:7">
      <c r="A759">
        <v>3</v>
      </c>
      <c r="B759" t="s">
        <v>1148</v>
      </c>
      <c r="C759" t="s">
        <v>1148</v>
      </c>
      <c r="D759">
        <v>3</v>
      </c>
      <c r="E759">
        <f t="shared" si="11"/>
        <v>6</v>
      </c>
      <c r="F759" t="s">
        <v>821</v>
      </c>
      <c r="G759">
        <v>1</v>
      </c>
    </row>
    <row r="760" spans="1:7">
      <c r="A760">
        <v>3</v>
      </c>
      <c r="B760" t="s">
        <v>394</v>
      </c>
      <c r="C760" t="s">
        <v>394</v>
      </c>
      <c r="D760">
        <v>3</v>
      </c>
      <c r="E760">
        <f t="shared" si="11"/>
        <v>6</v>
      </c>
      <c r="F760" t="s">
        <v>821</v>
      </c>
      <c r="G760">
        <v>1</v>
      </c>
    </row>
    <row r="761" spans="1:7">
      <c r="A761">
        <v>3</v>
      </c>
      <c r="B761" t="s">
        <v>15046</v>
      </c>
      <c r="C761" t="s">
        <v>15046</v>
      </c>
      <c r="D761">
        <v>5</v>
      </c>
      <c r="E761">
        <f>LEN(B761)</f>
        <v>12</v>
      </c>
      <c r="F761" t="s">
        <v>821</v>
      </c>
      <c r="G761">
        <v>0</v>
      </c>
    </row>
    <row r="762" spans="1:7">
      <c r="A762">
        <v>3</v>
      </c>
      <c r="B762" t="s">
        <v>249</v>
      </c>
      <c r="C762" t="s">
        <v>249</v>
      </c>
      <c r="D762">
        <v>3</v>
      </c>
      <c r="E762">
        <f t="shared" si="11"/>
        <v>6</v>
      </c>
      <c r="F762" t="s">
        <v>821</v>
      </c>
      <c r="G762">
        <v>1</v>
      </c>
    </row>
    <row r="763" spans="1:7">
      <c r="A763">
        <v>3</v>
      </c>
      <c r="B763" t="s">
        <v>304</v>
      </c>
      <c r="C763" t="s">
        <v>304</v>
      </c>
      <c r="D763">
        <v>3</v>
      </c>
      <c r="E763">
        <f t="shared" si="11"/>
        <v>6</v>
      </c>
      <c r="F763" t="s">
        <v>821</v>
      </c>
      <c r="G763">
        <v>1</v>
      </c>
    </row>
    <row r="764" spans="1:7">
      <c r="A764">
        <v>3</v>
      </c>
      <c r="B764" t="s">
        <v>396</v>
      </c>
      <c r="C764" t="s">
        <v>396</v>
      </c>
      <c r="D764">
        <v>3</v>
      </c>
      <c r="E764">
        <f t="shared" si="11"/>
        <v>6</v>
      </c>
      <c r="F764" t="s">
        <v>821</v>
      </c>
      <c r="G764">
        <v>1</v>
      </c>
    </row>
    <row r="765" spans="1:7">
      <c r="A765">
        <v>3</v>
      </c>
      <c r="B765" t="s">
        <v>1232</v>
      </c>
      <c r="C765" t="s">
        <v>1232</v>
      </c>
      <c r="D765">
        <v>3</v>
      </c>
      <c r="E765">
        <f t="shared" si="11"/>
        <v>6</v>
      </c>
      <c r="F765" t="s">
        <v>821</v>
      </c>
      <c r="G765">
        <v>1</v>
      </c>
    </row>
    <row r="766" spans="1:7">
      <c r="A766">
        <v>3</v>
      </c>
      <c r="B766" t="s">
        <v>1150</v>
      </c>
      <c r="C766" t="s">
        <v>1150</v>
      </c>
      <c r="D766">
        <v>3</v>
      </c>
      <c r="E766">
        <f t="shared" si="11"/>
        <v>6</v>
      </c>
      <c r="F766" t="s">
        <v>821</v>
      </c>
      <c r="G766">
        <v>1</v>
      </c>
    </row>
    <row r="767" spans="1:7">
      <c r="A767">
        <v>3</v>
      </c>
      <c r="B767" t="s">
        <v>399</v>
      </c>
      <c r="C767" t="s">
        <v>399</v>
      </c>
      <c r="D767">
        <v>3</v>
      </c>
      <c r="E767">
        <f t="shared" si="11"/>
        <v>6</v>
      </c>
      <c r="F767" t="s">
        <v>821</v>
      </c>
      <c r="G767">
        <v>1</v>
      </c>
    </row>
    <row r="768" spans="1:7">
      <c r="A768">
        <v>3</v>
      </c>
      <c r="B768" t="s">
        <v>254</v>
      </c>
      <c r="C768" t="s">
        <v>5101</v>
      </c>
      <c r="D768">
        <v>3</v>
      </c>
      <c r="E768">
        <f t="shared" si="11"/>
        <v>6</v>
      </c>
      <c r="F768" t="s">
        <v>821</v>
      </c>
      <c r="G768">
        <v>1</v>
      </c>
    </row>
    <row r="769" spans="1:7">
      <c r="A769">
        <v>3</v>
      </c>
      <c r="B769" t="s">
        <v>1242</v>
      </c>
      <c r="C769" t="s">
        <v>1242</v>
      </c>
      <c r="D769">
        <v>3</v>
      </c>
      <c r="E769">
        <f t="shared" si="11"/>
        <v>6</v>
      </c>
      <c r="F769" t="s">
        <v>821</v>
      </c>
      <c r="G769">
        <v>1</v>
      </c>
    </row>
    <row r="770" spans="1:7">
      <c r="A770">
        <v>3</v>
      </c>
      <c r="B770" t="s">
        <v>678</v>
      </c>
      <c r="C770" t="s">
        <v>678</v>
      </c>
      <c r="D770">
        <v>3</v>
      </c>
      <c r="E770">
        <f t="shared" si="11"/>
        <v>6</v>
      </c>
      <c r="F770" t="s">
        <v>821</v>
      </c>
      <c r="G770">
        <v>1</v>
      </c>
    </row>
    <row r="771" spans="1:7">
      <c r="A771">
        <v>3</v>
      </c>
      <c r="B771" t="s">
        <v>1102</v>
      </c>
      <c r="C771" t="s">
        <v>1102</v>
      </c>
      <c r="D771">
        <v>3</v>
      </c>
      <c r="E771">
        <f t="shared" si="11"/>
        <v>6</v>
      </c>
      <c r="F771" t="s">
        <v>821</v>
      </c>
      <c r="G771">
        <v>1</v>
      </c>
    </row>
    <row r="772" spans="1:7">
      <c r="A772">
        <v>3</v>
      </c>
      <c r="B772" t="s">
        <v>482</v>
      </c>
      <c r="C772" t="s">
        <v>482</v>
      </c>
      <c r="D772">
        <v>3</v>
      </c>
      <c r="E772">
        <f t="shared" ref="E772:E834" si="12">LEN(B772)</f>
        <v>6</v>
      </c>
      <c r="F772" t="s">
        <v>821</v>
      </c>
      <c r="G772">
        <v>1</v>
      </c>
    </row>
    <row r="773" spans="1:7">
      <c r="A773">
        <v>3</v>
      </c>
      <c r="B773" t="s">
        <v>400</v>
      </c>
      <c r="C773" t="s">
        <v>400</v>
      </c>
      <c r="D773">
        <v>3</v>
      </c>
      <c r="E773">
        <f t="shared" si="12"/>
        <v>6</v>
      </c>
      <c r="F773" t="s">
        <v>821</v>
      </c>
      <c r="G773">
        <v>1</v>
      </c>
    </row>
    <row r="774" spans="1:7">
      <c r="A774">
        <v>3</v>
      </c>
      <c r="B774" t="s">
        <v>817</v>
      </c>
      <c r="C774" t="s">
        <v>817</v>
      </c>
      <c r="D774">
        <v>3</v>
      </c>
      <c r="E774">
        <f t="shared" si="12"/>
        <v>6</v>
      </c>
      <c r="F774" t="s">
        <v>821</v>
      </c>
      <c r="G774">
        <v>1</v>
      </c>
    </row>
    <row r="775" spans="1:7">
      <c r="A775">
        <v>3</v>
      </c>
      <c r="B775" t="s">
        <v>255</v>
      </c>
      <c r="C775" t="s">
        <v>6576</v>
      </c>
      <c r="D775">
        <v>3</v>
      </c>
      <c r="E775">
        <f t="shared" si="12"/>
        <v>6</v>
      </c>
      <c r="F775" t="s">
        <v>821</v>
      </c>
      <c r="G775">
        <v>1</v>
      </c>
    </row>
    <row r="776" spans="1:7">
      <c r="A776">
        <v>3</v>
      </c>
      <c r="B776" t="s">
        <v>43</v>
      </c>
      <c r="C776" t="s">
        <v>43</v>
      </c>
      <c r="D776">
        <v>3</v>
      </c>
      <c r="E776">
        <f t="shared" si="12"/>
        <v>6</v>
      </c>
      <c r="F776" t="s">
        <v>821</v>
      </c>
      <c r="G776">
        <v>1</v>
      </c>
    </row>
    <row r="777" spans="1:7">
      <c r="A777">
        <v>3</v>
      </c>
      <c r="B777" t="s">
        <v>810</v>
      </c>
      <c r="C777" t="s">
        <v>810</v>
      </c>
      <c r="D777">
        <v>3</v>
      </c>
      <c r="E777">
        <f t="shared" si="12"/>
        <v>6</v>
      </c>
      <c r="F777" t="s">
        <v>821</v>
      </c>
      <c r="G777">
        <v>1</v>
      </c>
    </row>
    <row r="778" spans="1:7">
      <c r="A778">
        <v>3</v>
      </c>
      <c r="B778" t="s">
        <v>1032</v>
      </c>
      <c r="C778" t="s">
        <v>1032</v>
      </c>
      <c r="D778">
        <v>3</v>
      </c>
      <c r="E778">
        <f t="shared" si="12"/>
        <v>6</v>
      </c>
      <c r="F778" t="s">
        <v>821</v>
      </c>
      <c r="G778">
        <v>1</v>
      </c>
    </row>
    <row r="779" spans="1:7">
      <c r="A779">
        <v>3</v>
      </c>
      <c r="B779" t="s">
        <v>384</v>
      </c>
      <c r="C779" t="s">
        <v>384</v>
      </c>
      <c r="D779">
        <v>3</v>
      </c>
      <c r="E779">
        <f t="shared" si="12"/>
        <v>6</v>
      </c>
      <c r="F779" t="s">
        <v>821</v>
      </c>
      <c r="G779">
        <v>1</v>
      </c>
    </row>
    <row r="780" spans="1:7">
      <c r="A780">
        <v>3</v>
      </c>
      <c r="B780" t="s">
        <v>323</v>
      </c>
      <c r="C780" t="s">
        <v>323</v>
      </c>
      <c r="D780">
        <v>3</v>
      </c>
      <c r="E780">
        <f t="shared" si="12"/>
        <v>6</v>
      </c>
      <c r="F780" t="s">
        <v>821</v>
      </c>
      <c r="G780">
        <v>1</v>
      </c>
    </row>
    <row r="781" spans="1:7">
      <c r="A781">
        <v>3</v>
      </c>
      <c r="B781" t="s">
        <v>1815</v>
      </c>
      <c r="C781" t="s">
        <v>1815</v>
      </c>
      <c r="D781">
        <v>3</v>
      </c>
      <c r="E781">
        <f t="shared" si="12"/>
        <v>6</v>
      </c>
      <c r="F781" t="s">
        <v>821</v>
      </c>
      <c r="G781">
        <v>1</v>
      </c>
    </row>
    <row r="782" spans="1:7">
      <c r="A782">
        <v>3</v>
      </c>
      <c r="B782" t="s">
        <v>471</v>
      </c>
      <c r="C782" t="s">
        <v>471</v>
      </c>
      <c r="D782">
        <v>3</v>
      </c>
      <c r="E782">
        <f t="shared" si="12"/>
        <v>6</v>
      </c>
      <c r="F782" t="s">
        <v>821</v>
      </c>
      <c r="G782">
        <v>1</v>
      </c>
    </row>
    <row r="783" spans="1:7">
      <c r="A783">
        <v>3</v>
      </c>
      <c r="B783" t="s">
        <v>325</v>
      </c>
      <c r="C783" t="s">
        <v>325</v>
      </c>
      <c r="D783">
        <v>3</v>
      </c>
      <c r="E783">
        <f t="shared" si="12"/>
        <v>6</v>
      </c>
      <c r="F783" t="s">
        <v>821</v>
      </c>
      <c r="G783">
        <v>1</v>
      </c>
    </row>
    <row r="784" spans="1:7">
      <c r="A784">
        <v>3</v>
      </c>
      <c r="B784" t="s">
        <v>1818</v>
      </c>
      <c r="C784" t="s">
        <v>1818</v>
      </c>
      <c r="D784">
        <v>3</v>
      </c>
      <c r="E784">
        <f t="shared" si="12"/>
        <v>6</v>
      </c>
      <c r="F784" t="s">
        <v>821</v>
      </c>
      <c r="G784">
        <v>1</v>
      </c>
    </row>
    <row r="785" spans="1:7">
      <c r="A785">
        <v>3</v>
      </c>
      <c r="B785" t="s">
        <v>260</v>
      </c>
      <c r="C785" t="s">
        <v>260</v>
      </c>
      <c r="D785">
        <v>3</v>
      </c>
      <c r="E785">
        <f t="shared" si="12"/>
        <v>6</v>
      </c>
      <c r="F785" t="s">
        <v>821</v>
      </c>
      <c r="G785">
        <v>1</v>
      </c>
    </row>
    <row r="786" spans="1:7">
      <c r="A786">
        <v>3</v>
      </c>
      <c r="B786" t="s">
        <v>1388</v>
      </c>
      <c r="C786" t="s">
        <v>5166</v>
      </c>
      <c r="D786">
        <v>3</v>
      </c>
      <c r="E786">
        <f t="shared" si="12"/>
        <v>6</v>
      </c>
      <c r="F786" t="s">
        <v>821</v>
      </c>
      <c r="G786">
        <v>1</v>
      </c>
    </row>
    <row r="787" spans="1:7">
      <c r="A787">
        <v>3</v>
      </c>
      <c r="B787" t="s">
        <v>820</v>
      </c>
      <c r="C787" t="s">
        <v>820</v>
      </c>
      <c r="D787">
        <v>3</v>
      </c>
      <c r="E787">
        <f t="shared" si="12"/>
        <v>6</v>
      </c>
      <c r="F787" t="s">
        <v>821</v>
      </c>
      <c r="G787">
        <v>1</v>
      </c>
    </row>
    <row r="788" spans="1:7">
      <c r="A788">
        <v>3</v>
      </c>
      <c r="B788" t="s">
        <v>261</v>
      </c>
      <c r="C788" t="s">
        <v>1813</v>
      </c>
      <c r="D788">
        <v>3</v>
      </c>
      <c r="E788">
        <f t="shared" si="12"/>
        <v>6</v>
      </c>
      <c r="F788" t="s">
        <v>821</v>
      </c>
      <c r="G788">
        <v>1</v>
      </c>
    </row>
    <row r="789" spans="1:7">
      <c r="A789">
        <v>3</v>
      </c>
      <c r="B789" t="s">
        <v>70</v>
      </c>
      <c r="C789" t="s">
        <v>70</v>
      </c>
      <c r="D789">
        <v>3</v>
      </c>
      <c r="E789">
        <f t="shared" si="12"/>
        <v>6</v>
      </c>
      <c r="F789" t="s">
        <v>821</v>
      </c>
      <c r="G789">
        <v>1</v>
      </c>
    </row>
    <row r="790" spans="1:7">
      <c r="A790">
        <v>3</v>
      </c>
      <c r="B790" t="s">
        <v>1039</v>
      </c>
      <c r="C790" t="s">
        <v>6582</v>
      </c>
      <c r="D790">
        <v>3</v>
      </c>
      <c r="E790">
        <f t="shared" si="12"/>
        <v>6</v>
      </c>
      <c r="F790" t="s">
        <v>821</v>
      </c>
      <c r="G790">
        <v>1</v>
      </c>
    </row>
    <row r="791" spans="1:7">
      <c r="A791">
        <v>3</v>
      </c>
      <c r="B791" t="s">
        <v>409</v>
      </c>
      <c r="C791" t="s">
        <v>409</v>
      </c>
      <c r="D791">
        <v>3</v>
      </c>
      <c r="E791">
        <f t="shared" si="12"/>
        <v>6</v>
      </c>
      <c r="F791" t="s">
        <v>821</v>
      </c>
      <c r="G791">
        <v>1</v>
      </c>
    </row>
    <row r="792" spans="1:7">
      <c r="A792">
        <v>3</v>
      </c>
      <c r="B792" t="s">
        <v>410</v>
      </c>
      <c r="C792" t="s">
        <v>410</v>
      </c>
      <c r="D792">
        <v>3</v>
      </c>
      <c r="E792">
        <f t="shared" si="12"/>
        <v>6</v>
      </c>
      <c r="F792" t="s">
        <v>821</v>
      </c>
      <c r="G792">
        <v>1</v>
      </c>
    </row>
    <row r="793" spans="1:7">
      <c r="A793">
        <v>3</v>
      </c>
      <c r="B793" t="s">
        <v>328</v>
      </c>
      <c r="C793" t="s">
        <v>1402</v>
      </c>
      <c r="D793">
        <v>3</v>
      </c>
      <c r="E793">
        <f t="shared" si="12"/>
        <v>6</v>
      </c>
      <c r="F793" t="s">
        <v>821</v>
      </c>
      <c r="G793">
        <v>1</v>
      </c>
    </row>
    <row r="794" spans="1:7">
      <c r="A794">
        <v>3</v>
      </c>
      <c r="B794" t="s">
        <v>87</v>
      </c>
      <c r="C794" t="s">
        <v>701</v>
      </c>
      <c r="D794">
        <v>3</v>
      </c>
      <c r="E794">
        <f t="shared" si="12"/>
        <v>6</v>
      </c>
      <c r="F794" t="s">
        <v>821</v>
      </c>
      <c r="G794">
        <v>1</v>
      </c>
    </row>
    <row r="795" spans="1:7">
      <c r="A795">
        <v>3</v>
      </c>
      <c r="B795" t="s">
        <v>546</v>
      </c>
      <c r="C795" t="s">
        <v>546</v>
      </c>
      <c r="D795">
        <v>3</v>
      </c>
      <c r="E795">
        <f t="shared" si="12"/>
        <v>6</v>
      </c>
      <c r="F795" t="s">
        <v>821</v>
      </c>
      <c r="G795">
        <v>1</v>
      </c>
    </row>
    <row r="796" spans="1:7">
      <c r="A796">
        <v>3</v>
      </c>
      <c r="B796" t="s">
        <v>819</v>
      </c>
      <c r="C796" t="s">
        <v>819</v>
      </c>
      <c r="D796">
        <v>3</v>
      </c>
      <c r="E796">
        <f t="shared" si="12"/>
        <v>6</v>
      </c>
      <c r="F796" t="s">
        <v>821</v>
      </c>
      <c r="G796">
        <v>1</v>
      </c>
    </row>
    <row r="797" spans="1:7">
      <c r="A797">
        <v>3</v>
      </c>
      <c r="B797" t="s">
        <v>414</v>
      </c>
      <c r="C797" t="s">
        <v>414</v>
      </c>
      <c r="D797">
        <v>3</v>
      </c>
      <c r="E797">
        <f t="shared" si="12"/>
        <v>6</v>
      </c>
      <c r="F797" t="s">
        <v>821</v>
      </c>
      <c r="G797">
        <v>1</v>
      </c>
    </row>
    <row r="798" spans="1:7">
      <c r="A798">
        <v>3</v>
      </c>
      <c r="B798" t="s">
        <v>418</v>
      </c>
      <c r="C798" t="s">
        <v>418</v>
      </c>
      <c r="D798">
        <v>3</v>
      </c>
      <c r="E798">
        <f t="shared" si="12"/>
        <v>6</v>
      </c>
      <c r="F798" t="s">
        <v>821</v>
      </c>
      <c r="G798">
        <v>1</v>
      </c>
    </row>
    <row r="799" spans="1:7">
      <c r="A799">
        <v>3</v>
      </c>
      <c r="B799" t="s">
        <v>548</v>
      </c>
      <c r="C799" t="s">
        <v>548</v>
      </c>
      <c r="D799">
        <v>3</v>
      </c>
      <c r="E799">
        <f t="shared" si="12"/>
        <v>6</v>
      </c>
      <c r="F799" t="s">
        <v>821</v>
      </c>
      <c r="G799">
        <v>1</v>
      </c>
    </row>
    <row r="800" spans="1:7">
      <c r="A800">
        <v>3</v>
      </c>
      <c r="B800" t="s">
        <v>684</v>
      </c>
      <c r="C800" t="s">
        <v>684</v>
      </c>
      <c r="D800">
        <v>3</v>
      </c>
      <c r="E800">
        <f t="shared" si="12"/>
        <v>6</v>
      </c>
      <c r="F800" t="s">
        <v>821</v>
      </c>
      <c r="G800">
        <v>1</v>
      </c>
    </row>
    <row r="801" spans="1:15">
      <c r="A801">
        <v>3</v>
      </c>
      <c r="B801" t="s">
        <v>1071</v>
      </c>
      <c r="C801" t="s">
        <v>1071</v>
      </c>
      <c r="D801">
        <v>3</v>
      </c>
      <c r="E801">
        <f t="shared" si="12"/>
        <v>6</v>
      </c>
      <c r="F801" t="s">
        <v>821</v>
      </c>
      <c r="G801">
        <v>1</v>
      </c>
    </row>
    <row r="802" spans="1:15">
      <c r="A802">
        <v>3</v>
      </c>
      <c r="B802" t="s">
        <v>1050</v>
      </c>
      <c r="C802" t="s">
        <v>1050</v>
      </c>
      <c r="D802">
        <v>3</v>
      </c>
      <c r="E802">
        <f t="shared" si="12"/>
        <v>6</v>
      </c>
      <c r="F802" t="s">
        <v>821</v>
      </c>
      <c r="G802">
        <v>1</v>
      </c>
    </row>
    <row r="803" spans="1:15">
      <c r="A803">
        <v>3</v>
      </c>
      <c r="B803" t="s">
        <v>1107</v>
      </c>
      <c r="C803" t="s">
        <v>1107</v>
      </c>
      <c r="D803">
        <v>3</v>
      </c>
      <c r="E803">
        <f t="shared" si="12"/>
        <v>6</v>
      </c>
      <c r="F803" t="s">
        <v>821</v>
      </c>
      <c r="G803">
        <v>1</v>
      </c>
    </row>
    <row r="804" spans="1:15">
      <c r="A804">
        <v>3</v>
      </c>
      <c r="B804" t="s">
        <v>1072</v>
      </c>
      <c r="C804" t="s">
        <v>1072</v>
      </c>
      <c r="D804">
        <v>3</v>
      </c>
      <c r="E804">
        <f t="shared" si="12"/>
        <v>6</v>
      </c>
      <c r="F804" t="s">
        <v>821</v>
      </c>
      <c r="G804">
        <v>1</v>
      </c>
    </row>
    <row r="805" spans="1:15">
      <c r="A805">
        <v>3</v>
      </c>
      <c r="B805" t="s">
        <v>1010</v>
      </c>
      <c r="C805" t="s">
        <v>5532</v>
      </c>
      <c r="D805">
        <v>3</v>
      </c>
      <c r="E805">
        <f t="shared" si="12"/>
        <v>6</v>
      </c>
      <c r="F805" t="s">
        <v>821</v>
      </c>
      <c r="G805">
        <v>1</v>
      </c>
      <c r="O805" s="2"/>
    </row>
    <row r="806" spans="1:15">
      <c r="A806">
        <v>3</v>
      </c>
      <c r="B806" t="s">
        <v>1000</v>
      </c>
      <c r="C806" t="s">
        <v>1000</v>
      </c>
      <c r="D806">
        <v>3</v>
      </c>
      <c r="E806">
        <f t="shared" si="12"/>
        <v>6</v>
      </c>
      <c r="F806" t="s">
        <v>821</v>
      </c>
      <c r="G806">
        <v>1</v>
      </c>
    </row>
    <row r="807" spans="1:15">
      <c r="A807">
        <v>3</v>
      </c>
      <c r="B807" t="s">
        <v>374</v>
      </c>
      <c r="C807" t="s">
        <v>5118</v>
      </c>
      <c r="D807">
        <v>3</v>
      </c>
      <c r="E807">
        <f t="shared" si="12"/>
        <v>6</v>
      </c>
      <c r="F807" t="s">
        <v>821</v>
      </c>
      <c r="G807">
        <v>1</v>
      </c>
    </row>
    <row r="808" spans="1:15">
      <c r="A808">
        <v>3</v>
      </c>
      <c r="B808" t="s">
        <v>488</v>
      </c>
      <c r="C808" t="s">
        <v>488</v>
      </c>
      <c r="D808">
        <v>3</v>
      </c>
      <c r="E808">
        <f t="shared" si="12"/>
        <v>6</v>
      </c>
      <c r="F808" t="s">
        <v>821</v>
      </c>
      <c r="G808">
        <v>1</v>
      </c>
    </row>
    <row r="809" spans="1:15">
      <c r="A809">
        <v>3</v>
      </c>
      <c r="B809" t="s">
        <v>556</v>
      </c>
      <c r="C809" t="s">
        <v>556</v>
      </c>
      <c r="D809">
        <v>3</v>
      </c>
      <c r="E809">
        <f t="shared" si="12"/>
        <v>6</v>
      </c>
      <c r="F809" t="s">
        <v>821</v>
      </c>
      <c r="G809">
        <v>1</v>
      </c>
    </row>
    <row r="810" spans="1:15">
      <c r="A810">
        <v>3</v>
      </c>
      <c r="B810" t="s">
        <v>428</v>
      </c>
      <c r="C810" t="s">
        <v>428</v>
      </c>
      <c r="D810">
        <v>3</v>
      </c>
      <c r="E810">
        <f t="shared" si="12"/>
        <v>6</v>
      </c>
      <c r="F810" t="s">
        <v>821</v>
      </c>
      <c r="G810">
        <v>1</v>
      </c>
    </row>
    <row r="811" spans="1:15">
      <c r="A811">
        <v>3</v>
      </c>
      <c r="B811" t="s">
        <v>723</v>
      </c>
      <c r="C811" t="s">
        <v>723</v>
      </c>
      <c r="D811">
        <v>3</v>
      </c>
      <c r="E811">
        <f t="shared" si="12"/>
        <v>6</v>
      </c>
      <c r="F811" t="s">
        <v>821</v>
      </c>
      <c r="G811">
        <v>1</v>
      </c>
    </row>
    <row r="812" spans="1:15">
      <c r="A812">
        <v>3</v>
      </c>
      <c r="B812" t="s">
        <v>813</v>
      </c>
      <c r="C812" t="s">
        <v>813</v>
      </c>
      <c r="D812">
        <v>3</v>
      </c>
      <c r="E812">
        <f t="shared" si="12"/>
        <v>6</v>
      </c>
      <c r="F812" t="s">
        <v>821</v>
      </c>
      <c r="G812">
        <v>1</v>
      </c>
    </row>
    <row r="813" spans="1:15">
      <c r="A813">
        <v>3</v>
      </c>
      <c r="B813" t="s">
        <v>1001</v>
      </c>
      <c r="C813" t="s">
        <v>1001</v>
      </c>
      <c r="D813">
        <v>3</v>
      </c>
      <c r="E813">
        <f t="shared" si="12"/>
        <v>6</v>
      </c>
      <c r="F813" t="s">
        <v>821</v>
      </c>
      <c r="G813">
        <v>1</v>
      </c>
    </row>
    <row r="814" spans="1:15">
      <c r="A814">
        <v>3</v>
      </c>
      <c r="B814" t="s">
        <v>1058</v>
      </c>
      <c r="C814" t="s">
        <v>1058</v>
      </c>
      <c r="D814">
        <v>3</v>
      </c>
      <c r="E814">
        <f t="shared" si="12"/>
        <v>6</v>
      </c>
      <c r="F814" t="s">
        <v>821</v>
      </c>
      <c r="G814">
        <v>1</v>
      </c>
    </row>
    <row r="815" spans="1:15">
      <c r="A815">
        <v>3</v>
      </c>
      <c r="B815" t="s">
        <v>475</v>
      </c>
      <c r="C815" t="s">
        <v>475</v>
      </c>
      <c r="D815">
        <v>3</v>
      </c>
      <c r="E815">
        <f t="shared" si="12"/>
        <v>6</v>
      </c>
      <c r="F815" t="s">
        <v>821</v>
      </c>
      <c r="G815">
        <v>1</v>
      </c>
    </row>
    <row r="816" spans="1:15">
      <c r="A816">
        <v>3</v>
      </c>
      <c r="B816" t="s">
        <v>278</v>
      </c>
      <c r="C816" t="s">
        <v>1405</v>
      </c>
      <c r="D816">
        <v>3</v>
      </c>
      <c r="E816">
        <f t="shared" si="12"/>
        <v>6</v>
      </c>
      <c r="F816" t="s">
        <v>821</v>
      </c>
      <c r="G816">
        <v>1</v>
      </c>
    </row>
    <row r="817" spans="1:7">
      <c r="A817">
        <v>3</v>
      </c>
      <c r="B817" t="s">
        <v>1817</v>
      </c>
      <c r="C817" t="s">
        <v>1817</v>
      </c>
      <c r="D817">
        <v>3</v>
      </c>
      <c r="E817">
        <f t="shared" si="12"/>
        <v>6</v>
      </c>
      <c r="F817" t="s">
        <v>821</v>
      </c>
      <c r="G817">
        <v>1</v>
      </c>
    </row>
    <row r="818" spans="1:7">
      <c r="A818">
        <v>3</v>
      </c>
      <c r="B818" t="s">
        <v>1308</v>
      </c>
      <c r="C818" t="s">
        <v>1308</v>
      </c>
      <c r="D818">
        <v>3</v>
      </c>
      <c r="E818">
        <f t="shared" si="12"/>
        <v>6</v>
      </c>
      <c r="F818" t="s">
        <v>821</v>
      </c>
      <c r="G818">
        <v>1</v>
      </c>
    </row>
    <row r="819" spans="1:7">
      <c r="A819">
        <v>3</v>
      </c>
      <c r="B819" t="s">
        <v>431</v>
      </c>
      <c r="C819" t="s">
        <v>431</v>
      </c>
      <c r="D819">
        <v>3</v>
      </c>
      <c r="E819">
        <f t="shared" si="12"/>
        <v>6</v>
      </c>
      <c r="F819" t="s">
        <v>821</v>
      </c>
      <c r="G819">
        <v>1</v>
      </c>
    </row>
    <row r="820" spans="1:7">
      <c r="A820">
        <v>3</v>
      </c>
      <c r="B820" t="s">
        <v>1110</v>
      </c>
      <c r="C820" t="s">
        <v>1110</v>
      </c>
      <c r="D820">
        <v>3</v>
      </c>
      <c r="E820">
        <f t="shared" si="12"/>
        <v>6</v>
      </c>
      <c r="F820" t="s">
        <v>821</v>
      </c>
      <c r="G820">
        <v>1</v>
      </c>
    </row>
    <row r="821" spans="1:7">
      <c r="A821">
        <v>3</v>
      </c>
      <c r="B821" t="s">
        <v>1312</v>
      </c>
      <c r="C821" t="s">
        <v>1312</v>
      </c>
      <c r="D821">
        <v>3</v>
      </c>
      <c r="E821">
        <f t="shared" si="12"/>
        <v>6</v>
      </c>
      <c r="F821" t="s">
        <v>821</v>
      </c>
      <c r="G821">
        <v>1</v>
      </c>
    </row>
    <row r="822" spans="1:7">
      <c r="A822">
        <v>3</v>
      </c>
      <c r="B822" t="s">
        <v>1111</v>
      </c>
      <c r="C822" t="s">
        <v>1111</v>
      </c>
      <c r="D822">
        <v>3</v>
      </c>
      <c r="E822">
        <f t="shared" si="12"/>
        <v>6</v>
      </c>
      <c r="F822" t="s">
        <v>821</v>
      </c>
      <c r="G822">
        <v>1</v>
      </c>
    </row>
    <row r="823" spans="1:7">
      <c r="A823">
        <v>3</v>
      </c>
      <c r="B823" t="s">
        <v>432</v>
      </c>
      <c r="C823" t="s">
        <v>432</v>
      </c>
      <c r="D823">
        <v>3</v>
      </c>
      <c r="E823">
        <f t="shared" si="12"/>
        <v>6</v>
      </c>
      <c r="F823" t="s">
        <v>821</v>
      </c>
      <c r="G823">
        <v>1</v>
      </c>
    </row>
    <row r="824" spans="1:7">
      <c r="A824">
        <v>3</v>
      </c>
      <c r="B824" t="s">
        <v>565</v>
      </c>
      <c r="C824" t="s">
        <v>565</v>
      </c>
      <c r="D824">
        <v>3</v>
      </c>
      <c r="E824">
        <f t="shared" si="12"/>
        <v>6</v>
      </c>
      <c r="F824" t="s">
        <v>821</v>
      </c>
      <c r="G824">
        <v>1</v>
      </c>
    </row>
    <row r="825" spans="1:7">
      <c r="A825">
        <v>3</v>
      </c>
      <c r="B825" t="s">
        <v>233</v>
      </c>
      <c r="C825" t="s">
        <v>233</v>
      </c>
      <c r="D825">
        <v>3</v>
      </c>
      <c r="E825">
        <f t="shared" si="12"/>
        <v>6</v>
      </c>
      <c r="F825" t="s">
        <v>821</v>
      </c>
      <c r="G825">
        <v>1</v>
      </c>
    </row>
    <row r="826" spans="1:7">
      <c r="A826">
        <v>3</v>
      </c>
      <c r="B826" t="s">
        <v>1184</v>
      </c>
      <c r="C826" t="s">
        <v>1184</v>
      </c>
      <c r="D826">
        <v>3</v>
      </c>
      <c r="E826">
        <f t="shared" si="12"/>
        <v>6</v>
      </c>
      <c r="F826" t="s">
        <v>821</v>
      </c>
      <c r="G826">
        <v>1</v>
      </c>
    </row>
    <row r="827" spans="1:7">
      <c r="A827">
        <v>3</v>
      </c>
      <c r="B827" t="s">
        <v>1318</v>
      </c>
      <c r="C827" t="s">
        <v>1318</v>
      </c>
      <c r="D827">
        <v>3</v>
      </c>
      <c r="E827">
        <f t="shared" si="12"/>
        <v>6</v>
      </c>
      <c r="F827" t="s">
        <v>821</v>
      </c>
      <c r="G827">
        <v>1</v>
      </c>
    </row>
    <row r="828" spans="1:7">
      <c r="A828">
        <v>3</v>
      </c>
      <c r="B828" t="s">
        <v>132</v>
      </c>
      <c r="C828" t="s">
        <v>132</v>
      </c>
      <c r="D828">
        <v>3</v>
      </c>
      <c r="E828">
        <f t="shared" si="12"/>
        <v>6</v>
      </c>
      <c r="F828" t="s">
        <v>821</v>
      </c>
      <c r="G828">
        <v>1</v>
      </c>
    </row>
    <row r="829" spans="1:7">
      <c r="A829">
        <v>3</v>
      </c>
      <c r="B829" t="s">
        <v>1187</v>
      </c>
      <c r="C829" t="s">
        <v>1187</v>
      </c>
      <c r="D829">
        <v>3</v>
      </c>
      <c r="E829">
        <f t="shared" si="12"/>
        <v>6</v>
      </c>
      <c r="F829" t="s">
        <v>821</v>
      </c>
      <c r="G829">
        <v>1</v>
      </c>
    </row>
    <row r="830" spans="1:7">
      <c r="A830">
        <v>3</v>
      </c>
      <c r="B830" t="s">
        <v>280</v>
      </c>
      <c r="C830" t="s">
        <v>280</v>
      </c>
      <c r="D830">
        <v>3</v>
      </c>
      <c r="E830">
        <f t="shared" si="12"/>
        <v>6</v>
      </c>
      <c r="F830" t="s">
        <v>821</v>
      </c>
      <c r="G830">
        <v>1</v>
      </c>
    </row>
    <row r="831" spans="1:7">
      <c r="A831">
        <v>3</v>
      </c>
      <c r="B831" t="s">
        <v>1326</v>
      </c>
      <c r="C831" t="s">
        <v>1326</v>
      </c>
      <c r="D831">
        <v>3</v>
      </c>
      <c r="E831">
        <f t="shared" si="12"/>
        <v>6</v>
      </c>
      <c r="F831" t="s">
        <v>821</v>
      </c>
      <c r="G831">
        <v>1</v>
      </c>
    </row>
    <row r="832" spans="1:7">
      <c r="A832">
        <v>3</v>
      </c>
      <c r="B832" t="s">
        <v>1327</v>
      </c>
      <c r="C832" t="s">
        <v>1327</v>
      </c>
      <c r="D832">
        <v>3</v>
      </c>
      <c r="E832">
        <f t="shared" si="12"/>
        <v>6</v>
      </c>
      <c r="F832" t="s">
        <v>821</v>
      </c>
      <c r="G832">
        <v>1</v>
      </c>
    </row>
    <row r="833" spans="1:7">
      <c r="A833">
        <v>3</v>
      </c>
      <c r="B833" t="s">
        <v>1188</v>
      </c>
      <c r="C833" t="s">
        <v>1188</v>
      </c>
      <c r="D833">
        <v>3</v>
      </c>
      <c r="E833">
        <f t="shared" si="12"/>
        <v>6</v>
      </c>
      <c r="F833" t="s">
        <v>821</v>
      </c>
      <c r="G833">
        <v>1</v>
      </c>
    </row>
    <row r="834" spans="1:7">
      <c r="A834">
        <v>3</v>
      </c>
      <c r="B834" t="s">
        <v>1814</v>
      </c>
      <c r="C834" t="s">
        <v>1814</v>
      </c>
      <c r="D834">
        <v>3</v>
      </c>
      <c r="E834">
        <f t="shared" si="12"/>
        <v>6</v>
      </c>
      <c r="F834" t="s">
        <v>821</v>
      </c>
      <c r="G834">
        <v>1</v>
      </c>
    </row>
    <row r="835" spans="1:7">
      <c r="A835">
        <v>3</v>
      </c>
      <c r="B835" t="s">
        <v>150</v>
      </c>
      <c r="C835" t="s">
        <v>150</v>
      </c>
      <c r="D835">
        <v>3</v>
      </c>
      <c r="E835">
        <f t="shared" ref="E835:E898" si="13">LEN(B835)</f>
        <v>6</v>
      </c>
      <c r="F835" t="s">
        <v>821</v>
      </c>
      <c r="G835">
        <v>1</v>
      </c>
    </row>
    <row r="836" spans="1:7">
      <c r="A836">
        <v>3</v>
      </c>
      <c r="B836" t="s">
        <v>1333</v>
      </c>
      <c r="C836" t="s">
        <v>1333</v>
      </c>
      <c r="D836">
        <v>3</v>
      </c>
      <c r="E836">
        <f t="shared" si="13"/>
        <v>6</v>
      </c>
      <c r="F836" t="s">
        <v>821</v>
      </c>
      <c r="G836">
        <v>1</v>
      </c>
    </row>
    <row r="837" spans="1:7">
      <c r="A837">
        <v>3</v>
      </c>
      <c r="B837" t="s">
        <v>281</v>
      </c>
      <c r="C837" t="s">
        <v>1415</v>
      </c>
      <c r="D837">
        <v>3</v>
      </c>
      <c r="E837">
        <f t="shared" si="13"/>
        <v>6</v>
      </c>
      <c r="F837" t="s">
        <v>821</v>
      </c>
      <c r="G837">
        <v>1</v>
      </c>
    </row>
    <row r="838" spans="1:7">
      <c r="A838">
        <v>3</v>
      </c>
      <c r="B838" t="s">
        <v>575</v>
      </c>
      <c r="C838" t="s">
        <v>575</v>
      </c>
      <c r="D838">
        <v>3</v>
      </c>
      <c r="E838">
        <f t="shared" si="13"/>
        <v>6</v>
      </c>
      <c r="F838" t="s">
        <v>821</v>
      </c>
      <c r="G838">
        <v>1</v>
      </c>
    </row>
    <row r="839" spans="1:7">
      <c r="A839">
        <v>3</v>
      </c>
      <c r="B839" t="s">
        <v>153</v>
      </c>
      <c r="C839" t="s">
        <v>153</v>
      </c>
      <c r="D839">
        <v>3</v>
      </c>
      <c r="E839">
        <f t="shared" si="13"/>
        <v>6</v>
      </c>
      <c r="F839" t="s">
        <v>821</v>
      </c>
      <c r="G839">
        <v>1</v>
      </c>
    </row>
    <row r="840" spans="1:7">
      <c r="A840">
        <v>3</v>
      </c>
      <c r="B840" t="s">
        <v>282</v>
      </c>
      <c r="C840" t="s">
        <v>1812</v>
      </c>
      <c r="D840">
        <v>3</v>
      </c>
      <c r="E840">
        <f t="shared" si="13"/>
        <v>6</v>
      </c>
      <c r="F840" t="s">
        <v>821</v>
      </c>
      <c r="G840">
        <v>1</v>
      </c>
    </row>
    <row r="841" spans="1:7">
      <c r="A841">
        <v>3</v>
      </c>
      <c r="B841" t="s">
        <v>284</v>
      </c>
      <c r="C841" t="s">
        <v>284</v>
      </c>
      <c r="D841">
        <v>3</v>
      </c>
      <c r="E841">
        <f t="shared" si="13"/>
        <v>6</v>
      </c>
      <c r="F841" t="s">
        <v>821</v>
      </c>
      <c r="G841">
        <v>1</v>
      </c>
    </row>
    <row r="842" spans="1:7">
      <c r="A842">
        <v>3</v>
      </c>
      <c r="B842" t="s">
        <v>155</v>
      </c>
      <c r="C842" t="s">
        <v>155</v>
      </c>
      <c r="D842">
        <v>3</v>
      </c>
      <c r="E842">
        <f t="shared" si="13"/>
        <v>6</v>
      </c>
      <c r="F842" t="s">
        <v>821</v>
      </c>
      <c r="G842">
        <v>1</v>
      </c>
    </row>
    <row r="843" spans="1:7">
      <c r="A843">
        <v>3</v>
      </c>
      <c r="B843" t="s">
        <v>160</v>
      </c>
      <c r="C843" t="s">
        <v>160</v>
      </c>
      <c r="D843">
        <v>3</v>
      </c>
      <c r="E843">
        <f t="shared" si="13"/>
        <v>6</v>
      </c>
      <c r="F843" t="s">
        <v>821</v>
      </c>
      <c r="G843">
        <v>1</v>
      </c>
    </row>
    <row r="844" spans="1:7">
      <c r="A844">
        <v>3</v>
      </c>
      <c r="B844" t="s">
        <v>1350</v>
      </c>
      <c r="C844" t="s">
        <v>1350</v>
      </c>
      <c r="D844">
        <v>3</v>
      </c>
      <c r="E844">
        <f t="shared" si="13"/>
        <v>6</v>
      </c>
      <c r="F844" t="s">
        <v>821</v>
      </c>
      <c r="G844">
        <v>1</v>
      </c>
    </row>
    <row r="845" spans="1:7">
      <c r="A845">
        <v>3</v>
      </c>
      <c r="B845" t="s">
        <v>385</v>
      </c>
      <c r="C845" t="s">
        <v>385</v>
      </c>
      <c r="D845">
        <v>3</v>
      </c>
      <c r="E845">
        <f t="shared" si="13"/>
        <v>6</v>
      </c>
      <c r="F845" t="s">
        <v>821</v>
      </c>
      <c r="G845">
        <v>1</v>
      </c>
    </row>
    <row r="846" spans="1:7">
      <c r="A846">
        <v>3</v>
      </c>
      <c r="B846" t="s">
        <v>1356</v>
      </c>
      <c r="C846" t="s">
        <v>1146</v>
      </c>
      <c r="D846">
        <v>3</v>
      </c>
      <c r="E846">
        <f t="shared" si="13"/>
        <v>6</v>
      </c>
      <c r="F846" t="s">
        <v>821</v>
      </c>
      <c r="G846">
        <v>1</v>
      </c>
    </row>
    <row r="847" spans="1:7">
      <c r="A847">
        <v>3</v>
      </c>
      <c r="B847" t="s">
        <v>1200</v>
      </c>
      <c r="C847" t="s">
        <v>1200</v>
      </c>
      <c r="D847">
        <v>3</v>
      </c>
      <c r="E847">
        <f t="shared" si="13"/>
        <v>6</v>
      </c>
      <c r="F847" t="s">
        <v>821</v>
      </c>
      <c r="G847">
        <v>1</v>
      </c>
    </row>
    <row r="848" spans="1:7">
      <c r="A848">
        <v>3</v>
      </c>
      <c r="B848" t="s">
        <v>1359</v>
      </c>
      <c r="C848" t="s">
        <v>1359</v>
      </c>
      <c r="D848">
        <v>3</v>
      </c>
      <c r="E848">
        <f t="shared" si="13"/>
        <v>6</v>
      </c>
      <c r="F848" t="s">
        <v>821</v>
      </c>
      <c r="G848">
        <v>1</v>
      </c>
    </row>
    <row r="849" spans="1:7" ht="26.5" customHeight="1">
      <c r="A849">
        <v>3</v>
      </c>
      <c r="B849" t="s">
        <v>1360</v>
      </c>
      <c r="C849" t="s">
        <v>1409</v>
      </c>
      <c r="D849">
        <v>3</v>
      </c>
      <c r="E849">
        <f t="shared" si="13"/>
        <v>6</v>
      </c>
      <c r="F849" t="s">
        <v>821</v>
      </c>
      <c r="G849">
        <v>1</v>
      </c>
    </row>
    <row r="850" spans="1:7">
      <c r="A850">
        <v>3</v>
      </c>
      <c r="B850" t="s">
        <v>179</v>
      </c>
      <c r="C850" t="s">
        <v>5538</v>
      </c>
      <c r="D850">
        <v>3</v>
      </c>
      <c r="E850">
        <f t="shared" si="13"/>
        <v>6</v>
      </c>
      <c r="F850" t="s">
        <v>822</v>
      </c>
      <c r="G850">
        <v>1</v>
      </c>
    </row>
    <row r="851" spans="1:7">
      <c r="A851">
        <v>3</v>
      </c>
      <c r="B851" t="s">
        <v>184</v>
      </c>
      <c r="C851" t="s">
        <v>184</v>
      </c>
      <c r="D851">
        <v>3</v>
      </c>
      <c r="E851">
        <f t="shared" si="13"/>
        <v>6</v>
      </c>
      <c r="F851" t="s">
        <v>821</v>
      </c>
      <c r="G851">
        <v>1</v>
      </c>
    </row>
    <row r="852" spans="1:7">
      <c r="A852">
        <v>3</v>
      </c>
      <c r="B852" t="s">
        <v>1369</v>
      </c>
      <c r="C852" t="s">
        <v>1369</v>
      </c>
      <c r="D852">
        <v>3</v>
      </c>
      <c r="E852">
        <f t="shared" si="13"/>
        <v>6</v>
      </c>
      <c r="F852" t="s">
        <v>821</v>
      </c>
      <c r="G852">
        <v>1</v>
      </c>
    </row>
    <row r="853" spans="1:7">
      <c r="A853">
        <v>6</v>
      </c>
      <c r="B853" t="s">
        <v>478</v>
      </c>
      <c r="C853" t="s">
        <v>478</v>
      </c>
      <c r="D853">
        <v>3</v>
      </c>
      <c r="E853">
        <f t="shared" si="13"/>
        <v>6</v>
      </c>
      <c r="F853" t="s">
        <v>821</v>
      </c>
      <c r="G853">
        <v>1</v>
      </c>
    </row>
    <row r="854" spans="1:7">
      <c r="A854">
        <v>3</v>
      </c>
      <c r="B854" t="s">
        <v>189</v>
      </c>
      <c r="C854" t="s">
        <v>733</v>
      </c>
      <c r="D854">
        <v>3</v>
      </c>
      <c r="E854">
        <f t="shared" si="13"/>
        <v>6</v>
      </c>
      <c r="F854" t="s">
        <v>821</v>
      </c>
      <c r="G854">
        <v>1</v>
      </c>
    </row>
    <row r="855" spans="1:7">
      <c r="A855">
        <v>3</v>
      </c>
      <c r="B855" t="s">
        <v>446</v>
      </c>
      <c r="C855" t="s">
        <v>446</v>
      </c>
      <c r="D855">
        <v>3</v>
      </c>
      <c r="E855">
        <f t="shared" si="13"/>
        <v>6</v>
      </c>
      <c r="F855" t="s">
        <v>821</v>
      </c>
      <c r="G855">
        <v>1</v>
      </c>
    </row>
    <row r="856" spans="1:7">
      <c r="A856">
        <v>3</v>
      </c>
      <c r="B856" t="s">
        <v>191</v>
      </c>
      <c r="C856" t="s">
        <v>5543</v>
      </c>
      <c r="D856">
        <v>3</v>
      </c>
      <c r="E856">
        <f t="shared" si="13"/>
        <v>6</v>
      </c>
      <c r="F856" t="s">
        <v>821</v>
      </c>
      <c r="G856">
        <v>1</v>
      </c>
    </row>
    <row r="857" spans="1:7">
      <c r="A857">
        <v>3</v>
      </c>
      <c r="B857" t="s">
        <v>192</v>
      </c>
      <c r="C857" t="s">
        <v>192</v>
      </c>
      <c r="D857">
        <v>3</v>
      </c>
      <c r="E857">
        <f t="shared" si="13"/>
        <v>6</v>
      </c>
      <c r="F857" t="s">
        <v>821</v>
      </c>
      <c r="G857">
        <v>1</v>
      </c>
    </row>
    <row r="858" spans="1:7">
      <c r="A858">
        <v>3</v>
      </c>
      <c r="B858" t="s">
        <v>194</v>
      </c>
      <c r="C858" t="s">
        <v>194</v>
      </c>
      <c r="D858">
        <v>3</v>
      </c>
      <c r="E858">
        <f t="shared" si="13"/>
        <v>6</v>
      </c>
      <c r="F858" t="s">
        <v>821</v>
      </c>
      <c r="G858">
        <v>1</v>
      </c>
    </row>
    <row r="859" spans="1:7">
      <c r="A859">
        <v>3</v>
      </c>
      <c r="B859" t="s">
        <v>447</v>
      </c>
      <c r="C859" t="s">
        <v>447</v>
      </c>
      <c r="D859">
        <v>3</v>
      </c>
      <c r="E859">
        <f t="shared" si="13"/>
        <v>6</v>
      </c>
      <c r="F859" t="s">
        <v>821</v>
      </c>
      <c r="G859">
        <v>1</v>
      </c>
    </row>
    <row r="860" spans="1:7">
      <c r="A860">
        <v>3</v>
      </c>
      <c r="B860" t="s">
        <v>1372</v>
      </c>
      <c r="C860" t="s">
        <v>1372</v>
      </c>
      <c r="D860">
        <v>3</v>
      </c>
      <c r="E860">
        <f t="shared" si="13"/>
        <v>6</v>
      </c>
      <c r="F860" t="s">
        <v>821</v>
      </c>
      <c r="G860">
        <v>1</v>
      </c>
    </row>
    <row r="861" spans="1:7">
      <c r="A861">
        <v>3</v>
      </c>
      <c r="B861" t="s">
        <v>346</v>
      </c>
      <c r="C861" t="s">
        <v>346</v>
      </c>
      <c r="D861">
        <v>3</v>
      </c>
      <c r="E861">
        <f t="shared" si="13"/>
        <v>6</v>
      </c>
      <c r="F861" t="s">
        <v>821</v>
      </c>
      <c r="G861">
        <v>1</v>
      </c>
    </row>
    <row r="862" spans="1:7">
      <c r="A862">
        <v>3</v>
      </c>
      <c r="B862" t="s">
        <v>232</v>
      </c>
      <c r="C862" t="s">
        <v>232</v>
      </c>
      <c r="D862">
        <v>3</v>
      </c>
      <c r="E862">
        <f t="shared" si="13"/>
        <v>6</v>
      </c>
      <c r="F862" t="s">
        <v>821</v>
      </c>
      <c r="G862">
        <v>1</v>
      </c>
    </row>
    <row r="863" spans="1:7">
      <c r="A863">
        <v>3</v>
      </c>
      <c r="B863" t="s">
        <v>1128</v>
      </c>
      <c r="C863" t="s">
        <v>1128</v>
      </c>
      <c r="D863">
        <v>3</v>
      </c>
      <c r="E863">
        <f t="shared" si="13"/>
        <v>6</v>
      </c>
      <c r="F863" t="s">
        <v>821</v>
      </c>
      <c r="G863">
        <v>1</v>
      </c>
    </row>
    <row r="864" spans="1:7">
      <c r="A864">
        <v>3</v>
      </c>
      <c r="B864" t="s">
        <v>495</v>
      </c>
      <c r="C864" t="s">
        <v>495</v>
      </c>
      <c r="D864">
        <v>3</v>
      </c>
      <c r="E864">
        <f t="shared" si="13"/>
        <v>6</v>
      </c>
      <c r="F864" t="s">
        <v>821</v>
      </c>
      <c r="G864">
        <v>1</v>
      </c>
    </row>
    <row r="865" spans="1:7">
      <c r="A865">
        <v>3</v>
      </c>
      <c r="B865" t="s">
        <v>348</v>
      </c>
      <c r="C865" t="s">
        <v>348</v>
      </c>
      <c r="D865">
        <v>3</v>
      </c>
      <c r="E865">
        <f t="shared" si="13"/>
        <v>6</v>
      </c>
      <c r="F865" t="s">
        <v>821</v>
      </c>
      <c r="G865">
        <v>1</v>
      </c>
    </row>
    <row r="866" spans="1:7">
      <c r="A866">
        <v>3</v>
      </c>
      <c r="B866" t="s">
        <v>295</v>
      </c>
      <c r="C866" t="s">
        <v>295</v>
      </c>
      <c r="D866">
        <v>3</v>
      </c>
      <c r="E866">
        <f t="shared" si="13"/>
        <v>6</v>
      </c>
      <c r="F866" t="s">
        <v>821</v>
      </c>
      <c r="G866">
        <v>1</v>
      </c>
    </row>
    <row r="867" spans="1:7">
      <c r="A867">
        <v>3</v>
      </c>
      <c r="B867" t="s">
        <v>1421</v>
      </c>
      <c r="C867" t="s">
        <v>1421</v>
      </c>
      <c r="D867">
        <v>3</v>
      </c>
      <c r="E867">
        <f t="shared" si="13"/>
        <v>6</v>
      </c>
      <c r="F867" t="s">
        <v>821</v>
      </c>
      <c r="G867">
        <v>1</v>
      </c>
    </row>
    <row r="868" spans="1:7">
      <c r="A868">
        <v>3</v>
      </c>
      <c r="B868" t="s">
        <v>1816</v>
      </c>
      <c r="C868" t="s">
        <v>1816</v>
      </c>
      <c r="D868">
        <v>3</v>
      </c>
      <c r="E868">
        <f t="shared" si="13"/>
        <v>6</v>
      </c>
      <c r="F868" t="s">
        <v>821</v>
      </c>
      <c r="G868">
        <v>1</v>
      </c>
    </row>
    <row r="869" spans="1:7">
      <c r="A869">
        <v>3</v>
      </c>
      <c r="B869" t="s">
        <v>205</v>
      </c>
      <c r="C869" t="s">
        <v>205</v>
      </c>
      <c r="D869">
        <v>3</v>
      </c>
      <c r="E869">
        <f t="shared" si="13"/>
        <v>6</v>
      </c>
      <c r="F869" t="s">
        <v>821</v>
      </c>
      <c r="G869">
        <v>1</v>
      </c>
    </row>
    <row r="870" spans="1:7">
      <c r="A870">
        <v>3</v>
      </c>
      <c r="B870" t="s">
        <v>754</v>
      </c>
      <c r="C870" t="s">
        <v>754</v>
      </c>
      <c r="D870">
        <v>3</v>
      </c>
      <c r="E870">
        <f t="shared" si="13"/>
        <v>6</v>
      </c>
      <c r="F870" t="s">
        <v>821</v>
      </c>
      <c r="G870">
        <v>1</v>
      </c>
    </row>
    <row r="871" spans="1:7">
      <c r="A871">
        <v>3</v>
      </c>
      <c r="B871" t="s">
        <v>210</v>
      </c>
      <c r="C871" t="s">
        <v>5156</v>
      </c>
      <c r="D871">
        <v>3</v>
      </c>
      <c r="E871">
        <f t="shared" si="13"/>
        <v>6</v>
      </c>
      <c r="F871" t="s">
        <v>821</v>
      </c>
      <c r="G871">
        <v>1</v>
      </c>
    </row>
    <row r="872" spans="1:7">
      <c r="A872">
        <v>3</v>
      </c>
      <c r="B872" t="s">
        <v>349</v>
      </c>
      <c r="C872" t="s">
        <v>349</v>
      </c>
      <c r="D872">
        <v>3</v>
      </c>
      <c r="E872">
        <f t="shared" si="13"/>
        <v>6</v>
      </c>
      <c r="F872" t="s">
        <v>821</v>
      </c>
      <c r="G872">
        <v>1</v>
      </c>
    </row>
    <row r="873" spans="1:7">
      <c r="A873">
        <v>3</v>
      </c>
      <c r="B873" t="s">
        <v>350</v>
      </c>
      <c r="C873" t="s">
        <v>350</v>
      </c>
      <c r="D873">
        <v>3</v>
      </c>
      <c r="E873">
        <f t="shared" si="13"/>
        <v>6</v>
      </c>
      <c r="F873" t="s">
        <v>821</v>
      </c>
      <c r="G873">
        <v>1</v>
      </c>
    </row>
    <row r="874" spans="1:7">
      <c r="A874">
        <v>3</v>
      </c>
      <c r="B874" t="s">
        <v>5051</v>
      </c>
      <c r="C874" t="s">
        <v>5051</v>
      </c>
      <c r="D874">
        <v>3</v>
      </c>
      <c r="E874">
        <f t="shared" si="13"/>
        <v>6</v>
      </c>
      <c r="F874" t="s">
        <v>821</v>
      </c>
      <c r="G874">
        <v>1</v>
      </c>
    </row>
    <row r="875" spans="1:7">
      <c r="A875">
        <v>3</v>
      </c>
      <c r="B875" t="s">
        <v>7128</v>
      </c>
      <c r="C875" t="s">
        <v>7128</v>
      </c>
      <c r="D875">
        <v>3</v>
      </c>
      <c r="E875">
        <f t="shared" si="13"/>
        <v>6</v>
      </c>
      <c r="G875">
        <v>1</v>
      </c>
    </row>
    <row r="876" spans="1:7">
      <c r="A876">
        <v>3</v>
      </c>
      <c r="B876" t="s">
        <v>815</v>
      </c>
      <c r="C876" t="s">
        <v>815</v>
      </c>
      <c r="D876">
        <v>3</v>
      </c>
      <c r="E876">
        <f t="shared" si="13"/>
        <v>6</v>
      </c>
      <c r="F876" t="s">
        <v>821</v>
      </c>
      <c r="G876">
        <v>1</v>
      </c>
    </row>
    <row r="877" spans="1:7">
      <c r="A877">
        <v>3</v>
      </c>
      <c r="B877" t="s">
        <v>496</v>
      </c>
      <c r="C877" t="s">
        <v>496</v>
      </c>
      <c r="D877">
        <v>3</v>
      </c>
      <c r="E877">
        <f t="shared" si="13"/>
        <v>6</v>
      </c>
      <c r="F877" t="s">
        <v>821</v>
      </c>
      <c r="G877">
        <v>1</v>
      </c>
    </row>
    <row r="878" spans="1:7">
      <c r="A878">
        <v>3</v>
      </c>
      <c r="B878" t="s">
        <v>357</v>
      </c>
      <c r="C878" t="s">
        <v>357</v>
      </c>
      <c r="D878">
        <v>3</v>
      </c>
      <c r="E878">
        <f t="shared" si="13"/>
        <v>5</v>
      </c>
      <c r="F878" t="s">
        <v>821</v>
      </c>
      <c r="G878">
        <v>1</v>
      </c>
    </row>
    <row r="879" spans="1:7">
      <c r="A879">
        <v>3</v>
      </c>
      <c r="B879" t="s">
        <v>481</v>
      </c>
      <c r="C879" t="s">
        <v>481</v>
      </c>
      <c r="D879">
        <v>3</v>
      </c>
      <c r="E879">
        <f t="shared" si="13"/>
        <v>5</v>
      </c>
      <c r="F879" t="s">
        <v>821</v>
      </c>
      <c r="G879">
        <v>1</v>
      </c>
    </row>
    <row r="880" spans="1:7">
      <c r="A880">
        <v>3</v>
      </c>
      <c r="B880" t="s">
        <v>999</v>
      </c>
      <c r="C880" t="s">
        <v>999</v>
      </c>
      <c r="D880">
        <v>3</v>
      </c>
      <c r="E880">
        <f t="shared" si="13"/>
        <v>5</v>
      </c>
      <c r="F880" t="s">
        <v>821</v>
      </c>
      <c r="G880">
        <v>1</v>
      </c>
    </row>
    <row r="881" spans="1:7">
      <c r="A881">
        <v>3</v>
      </c>
      <c r="B881" t="s">
        <v>527</v>
      </c>
      <c r="C881" t="s">
        <v>527</v>
      </c>
      <c r="D881">
        <v>3</v>
      </c>
      <c r="E881">
        <f t="shared" si="13"/>
        <v>5</v>
      </c>
      <c r="F881" t="s">
        <v>821</v>
      </c>
      <c r="G881">
        <v>1</v>
      </c>
    </row>
    <row r="882" spans="1:7">
      <c r="A882">
        <v>3</v>
      </c>
      <c r="B882" t="s">
        <v>532</v>
      </c>
      <c r="C882" t="s">
        <v>532</v>
      </c>
      <c r="D882">
        <v>3</v>
      </c>
      <c r="E882">
        <f t="shared" si="13"/>
        <v>5</v>
      </c>
      <c r="F882" t="s">
        <v>821</v>
      </c>
      <c r="G882">
        <v>1</v>
      </c>
    </row>
    <row r="883" spans="1:7">
      <c r="A883">
        <v>3</v>
      </c>
      <c r="B883" t="s">
        <v>320</v>
      </c>
      <c r="C883" t="s">
        <v>14875</v>
      </c>
      <c r="D883">
        <v>3</v>
      </c>
      <c r="E883">
        <f t="shared" si="13"/>
        <v>5</v>
      </c>
      <c r="F883" t="s">
        <v>821</v>
      </c>
      <c r="G883">
        <v>1</v>
      </c>
    </row>
    <row r="884" spans="1:7">
      <c r="A884">
        <v>3</v>
      </c>
      <c r="B884" t="s">
        <v>1152</v>
      </c>
      <c r="C884" t="s">
        <v>1152</v>
      </c>
      <c r="D884">
        <v>3</v>
      </c>
      <c r="E884">
        <f t="shared" si="13"/>
        <v>5</v>
      </c>
      <c r="F884" t="s">
        <v>821</v>
      </c>
      <c r="G884">
        <v>1</v>
      </c>
    </row>
    <row r="885" spans="1:7">
      <c r="A885">
        <v>3</v>
      </c>
      <c r="B885" t="s">
        <v>305</v>
      </c>
      <c r="C885" t="s">
        <v>305</v>
      </c>
      <c r="D885">
        <v>3</v>
      </c>
      <c r="E885">
        <f t="shared" si="13"/>
        <v>5</v>
      </c>
      <c r="F885" t="s">
        <v>821</v>
      </c>
      <c r="G885">
        <v>1</v>
      </c>
    </row>
    <row r="886" spans="1:7">
      <c r="A886">
        <v>3</v>
      </c>
      <c r="B886" t="s">
        <v>41</v>
      </c>
      <c r="C886" t="s">
        <v>41</v>
      </c>
      <c r="D886">
        <v>3</v>
      </c>
      <c r="E886">
        <f t="shared" si="13"/>
        <v>5</v>
      </c>
      <c r="F886" t="s">
        <v>821</v>
      </c>
      <c r="G886">
        <v>1</v>
      </c>
    </row>
    <row r="887" spans="1:7">
      <c r="A887">
        <v>3</v>
      </c>
      <c r="B887" t="s">
        <v>1060</v>
      </c>
      <c r="C887" t="s">
        <v>1060</v>
      </c>
      <c r="D887">
        <v>3</v>
      </c>
      <c r="E887">
        <f t="shared" si="13"/>
        <v>5</v>
      </c>
      <c r="F887" t="s">
        <v>821</v>
      </c>
      <c r="G887">
        <v>1</v>
      </c>
    </row>
    <row r="888" spans="1:7">
      <c r="A888">
        <v>3</v>
      </c>
      <c r="B888" t="s">
        <v>1154</v>
      </c>
      <c r="C888" t="s">
        <v>1154</v>
      </c>
      <c r="D888">
        <v>3</v>
      </c>
      <c r="E888">
        <f t="shared" si="13"/>
        <v>5</v>
      </c>
      <c r="F888" t="s">
        <v>821</v>
      </c>
      <c r="G888">
        <v>1</v>
      </c>
    </row>
    <row r="889" spans="1:7">
      <c r="A889">
        <v>3</v>
      </c>
      <c r="B889" t="s">
        <v>1250</v>
      </c>
      <c r="C889" t="s">
        <v>1250</v>
      </c>
      <c r="D889">
        <v>3</v>
      </c>
      <c r="E889">
        <f t="shared" si="13"/>
        <v>5</v>
      </c>
      <c r="F889" t="s">
        <v>821</v>
      </c>
      <c r="G889">
        <v>1</v>
      </c>
    </row>
    <row r="890" spans="1:7">
      <c r="A890">
        <v>3</v>
      </c>
      <c r="B890" t="s">
        <v>322</v>
      </c>
      <c r="C890" t="s">
        <v>322</v>
      </c>
      <c r="D890">
        <v>3</v>
      </c>
      <c r="E890">
        <f t="shared" si="13"/>
        <v>5</v>
      </c>
      <c r="F890" t="s">
        <v>821</v>
      </c>
      <c r="G890">
        <v>1</v>
      </c>
    </row>
    <row r="891" spans="1:7">
      <c r="A891">
        <v>3</v>
      </c>
      <c r="B891" t="s">
        <v>1251</v>
      </c>
      <c r="C891" t="s">
        <v>1251</v>
      </c>
      <c r="D891">
        <v>3</v>
      </c>
      <c r="E891">
        <f t="shared" si="13"/>
        <v>5</v>
      </c>
      <c r="F891" t="s">
        <v>821</v>
      </c>
      <c r="G891">
        <v>1</v>
      </c>
    </row>
    <row r="892" spans="1:7">
      <c r="A892">
        <v>3</v>
      </c>
      <c r="B892" t="s">
        <v>56</v>
      </c>
      <c r="C892" t="s">
        <v>14878</v>
      </c>
      <c r="D892">
        <v>3</v>
      </c>
      <c r="E892">
        <f t="shared" si="13"/>
        <v>5</v>
      </c>
      <c r="F892" t="s">
        <v>821</v>
      </c>
      <c r="G892">
        <v>1</v>
      </c>
    </row>
    <row r="893" spans="1:7">
      <c r="A893">
        <v>3</v>
      </c>
      <c r="B893" t="s">
        <v>1822</v>
      </c>
      <c r="C893" t="s">
        <v>1822</v>
      </c>
      <c r="D893">
        <v>3</v>
      </c>
      <c r="E893">
        <f t="shared" si="13"/>
        <v>5</v>
      </c>
      <c r="F893" t="s">
        <v>821</v>
      </c>
      <c r="G893">
        <v>1</v>
      </c>
    </row>
    <row r="894" spans="1:7">
      <c r="A894">
        <v>3</v>
      </c>
      <c r="B894" t="s">
        <v>258</v>
      </c>
      <c r="C894" t="s">
        <v>258</v>
      </c>
      <c r="D894">
        <v>3</v>
      </c>
      <c r="E894">
        <f t="shared" si="13"/>
        <v>5</v>
      </c>
      <c r="F894" t="s">
        <v>821</v>
      </c>
      <c r="G894">
        <v>1</v>
      </c>
    </row>
    <row r="895" spans="1:7">
      <c r="A895">
        <v>3</v>
      </c>
      <c r="B895" t="s">
        <v>64</v>
      </c>
      <c r="C895" t="s">
        <v>64</v>
      </c>
      <c r="D895">
        <v>3</v>
      </c>
      <c r="E895">
        <f t="shared" si="13"/>
        <v>5</v>
      </c>
      <c r="F895" t="s">
        <v>821</v>
      </c>
      <c r="G895">
        <v>1</v>
      </c>
    </row>
    <row r="896" spans="1:7">
      <c r="A896">
        <v>3</v>
      </c>
      <c r="B896" t="s">
        <v>1823</v>
      </c>
      <c r="C896" t="s">
        <v>1823</v>
      </c>
      <c r="D896">
        <v>3</v>
      </c>
      <c r="E896">
        <f t="shared" si="13"/>
        <v>5</v>
      </c>
      <c r="F896" t="s">
        <v>821</v>
      </c>
      <c r="G896">
        <v>1</v>
      </c>
    </row>
    <row r="897" spans="1:7">
      <c r="A897">
        <v>3</v>
      </c>
      <c r="B897" t="s">
        <v>697</v>
      </c>
      <c r="C897" t="s">
        <v>697</v>
      </c>
      <c r="D897">
        <v>3</v>
      </c>
      <c r="E897">
        <f t="shared" si="13"/>
        <v>5</v>
      </c>
      <c r="F897" t="s">
        <v>822</v>
      </c>
      <c r="G897">
        <v>1</v>
      </c>
    </row>
    <row r="898" spans="1:7">
      <c r="A898">
        <v>3</v>
      </c>
      <c r="B898" t="s">
        <v>485</v>
      </c>
      <c r="C898" t="s">
        <v>485</v>
      </c>
      <c r="D898">
        <v>3</v>
      </c>
      <c r="E898">
        <f t="shared" si="13"/>
        <v>5</v>
      </c>
      <c r="F898" t="s">
        <v>821</v>
      </c>
      <c r="G898">
        <v>1</v>
      </c>
    </row>
    <row r="899" spans="1:7">
      <c r="A899">
        <v>3</v>
      </c>
      <c r="B899" t="s">
        <v>66</v>
      </c>
      <c r="C899" t="s">
        <v>66</v>
      </c>
      <c r="D899">
        <v>3</v>
      </c>
      <c r="E899">
        <f t="shared" ref="E899:E962" si="14">LEN(B899)</f>
        <v>5</v>
      </c>
      <c r="F899" t="s">
        <v>821</v>
      </c>
      <c r="G899">
        <v>1</v>
      </c>
    </row>
    <row r="900" spans="1:7">
      <c r="A900">
        <v>3</v>
      </c>
      <c r="B900" t="s">
        <v>406</v>
      </c>
      <c r="C900" t="s">
        <v>406</v>
      </c>
      <c r="D900">
        <v>3</v>
      </c>
      <c r="E900">
        <f t="shared" si="14"/>
        <v>5</v>
      </c>
      <c r="F900" t="s">
        <v>821</v>
      </c>
      <c r="G900">
        <v>1</v>
      </c>
    </row>
    <row r="901" spans="1:7">
      <c r="A901">
        <v>3</v>
      </c>
      <c r="B901" t="s">
        <v>1260</v>
      </c>
      <c r="C901" t="s">
        <v>1260</v>
      </c>
      <c r="D901">
        <v>3</v>
      </c>
      <c r="E901">
        <f t="shared" si="14"/>
        <v>5</v>
      </c>
      <c r="F901" t="s">
        <v>821</v>
      </c>
      <c r="G901">
        <v>1</v>
      </c>
    </row>
    <row r="902" spans="1:7">
      <c r="A902">
        <v>3</v>
      </c>
      <c r="B902" t="s">
        <v>326</v>
      </c>
      <c r="C902" t="s">
        <v>326</v>
      </c>
      <c r="D902">
        <v>3</v>
      </c>
      <c r="E902">
        <f t="shared" si="14"/>
        <v>5</v>
      </c>
      <c r="F902" t="s">
        <v>821</v>
      </c>
      <c r="G902">
        <v>1</v>
      </c>
    </row>
    <row r="903" spans="1:7">
      <c r="A903">
        <v>3</v>
      </c>
      <c r="B903" t="s">
        <v>1447</v>
      </c>
      <c r="C903" t="s">
        <v>1447</v>
      </c>
      <c r="D903">
        <v>3</v>
      </c>
      <c r="E903">
        <f t="shared" si="14"/>
        <v>5</v>
      </c>
      <c r="F903" t="s">
        <v>821</v>
      </c>
      <c r="G903">
        <v>1</v>
      </c>
    </row>
    <row r="904" spans="1:7">
      <c r="A904">
        <v>3</v>
      </c>
      <c r="B904" t="s">
        <v>1265</v>
      </c>
      <c r="C904" t="s">
        <v>1265</v>
      </c>
      <c r="D904">
        <v>3</v>
      </c>
      <c r="E904">
        <f t="shared" si="14"/>
        <v>5</v>
      </c>
      <c r="F904" t="s">
        <v>821</v>
      </c>
      <c r="G904">
        <v>1</v>
      </c>
    </row>
    <row r="905" spans="1:7">
      <c r="A905">
        <v>3</v>
      </c>
      <c r="B905" t="s">
        <v>1271</v>
      </c>
      <c r="C905" t="s">
        <v>1271</v>
      </c>
      <c r="D905">
        <v>3</v>
      </c>
      <c r="E905">
        <f t="shared" si="14"/>
        <v>5</v>
      </c>
      <c r="F905" t="s">
        <v>821</v>
      </c>
      <c r="G905">
        <v>1</v>
      </c>
    </row>
    <row r="906" spans="1:7">
      <c r="A906">
        <v>3</v>
      </c>
      <c r="B906" t="s">
        <v>1045</v>
      </c>
      <c r="C906" t="s">
        <v>1045</v>
      </c>
      <c r="D906">
        <v>3</v>
      </c>
      <c r="E906">
        <f t="shared" si="14"/>
        <v>5</v>
      </c>
      <c r="F906" t="s">
        <v>821</v>
      </c>
      <c r="G906">
        <v>1</v>
      </c>
    </row>
    <row r="907" spans="1:7">
      <c r="A907">
        <v>3</v>
      </c>
      <c r="B907" t="s">
        <v>1068</v>
      </c>
      <c r="C907" t="s">
        <v>1068</v>
      </c>
      <c r="D907">
        <v>3</v>
      </c>
      <c r="E907">
        <f t="shared" si="14"/>
        <v>5</v>
      </c>
      <c r="F907" t="s">
        <v>821</v>
      </c>
      <c r="G907">
        <v>1</v>
      </c>
    </row>
    <row r="908" spans="1:7">
      <c r="A908">
        <v>3</v>
      </c>
      <c r="B908" t="s">
        <v>91</v>
      </c>
      <c r="C908" t="s">
        <v>91</v>
      </c>
      <c r="D908">
        <v>3</v>
      </c>
      <c r="E908">
        <f t="shared" si="14"/>
        <v>5</v>
      </c>
      <c r="F908" t="s">
        <v>821</v>
      </c>
      <c r="G908">
        <v>1</v>
      </c>
    </row>
    <row r="909" spans="1:7">
      <c r="A909">
        <v>3</v>
      </c>
      <c r="B909" t="s">
        <v>93</v>
      </c>
      <c r="C909" t="s">
        <v>6580</v>
      </c>
      <c r="D909">
        <v>3</v>
      </c>
      <c r="E909">
        <f t="shared" si="14"/>
        <v>5</v>
      </c>
      <c r="F909" t="s">
        <v>821</v>
      </c>
      <c r="G909">
        <v>1</v>
      </c>
    </row>
    <row r="910" spans="1:7">
      <c r="A910">
        <v>3</v>
      </c>
      <c r="B910" t="s">
        <v>421</v>
      </c>
      <c r="C910" t="s">
        <v>421</v>
      </c>
      <c r="D910">
        <v>3</v>
      </c>
      <c r="E910">
        <f t="shared" si="14"/>
        <v>5</v>
      </c>
      <c r="F910" t="s">
        <v>821</v>
      </c>
      <c r="G910">
        <v>1</v>
      </c>
    </row>
    <row r="911" spans="1:7">
      <c r="A911">
        <v>3</v>
      </c>
      <c r="B911" t="s">
        <v>473</v>
      </c>
      <c r="C911" t="s">
        <v>473</v>
      </c>
      <c r="D911">
        <v>3</v>
      </c>
      <c r="E911">
        <f t="shared" si="14"/>
        <v>5</v>
      </c>
      <c r="F911" t="s">
        <v>821</v>
      </c>
      <c r="G911">
        <v>1</v>
      </c>
    </row>
    <row r="912" spans="1:7">
      <c r="A912">
        <v>3</v>
      </c>
      <c r="B912" t="s">
        <v>816</v>
      </c>
      <c r="C912" t="s">
        <v>816</v>
      </c>
      <c r="D912">
        <v>3</v>
      </c>
      <c r="E912">
        <f t="shared" si="14"/>
        <v>5</v>
      </c>
      <c r="F912" t="s">
        <v>821</v>
      </c>
      <c r="G912">
        <v>1</v>
      </c>
    </row>
    <row r="913" spans="1:7">
      <c r="A913">
        <v>3</v>
      </c>
      <c r="B913" t="s">
        <v>96</v>
      </c>
      <c r="C913" t="s">
        <v>96</v>
      </c>
      <c r="D913">
        <v>3</v>
      </c>
      <c r="E913">
        <f t="shared" si="14"/>
        <v>5</v>
      </c>
      <c r="F913" t="s">
        <v>821</v>
      </c>
      <c r="G913">
        <v>1</v>
      </c>
    </row>
    <row r="914" spans="1:7">
      <c r="A914">
        <v>3</v>
      </c>
      <c r="B914" t="s">
        <v>98</v>
      </c>
      <c r="C914" t="s">
        <v>98</v>
      </c>
      <c r="D914">
        <v>3</v>
      </c>
      <c r="E914">
        <f t="shared" si="14"/>
        <v>5</v>
      </c>
      <c r="F914" t="s">
        <v>821</v>
      </c>
      <c r="G914">
        <v>1</v>
      </c>
    </row>
    <row r="915" spans="1:7">
      <c r="A915">
        <v>3</v>
      </c>
      <c r="B915" t="s">
        <v>1820</v>
      </c>
      <c r="C915" t="s">
        <v>1820</v>
      </c>
      <c r="D915">
        <v>3</v>
      </c>
      <c r="E915">
        <f t="shared" si="14"/>
        <v>5</v>
      </c>
      <c r="F915" t="s">
        <v>821</v>
      </c>
      <c r="G915">
        <v>1</v>
      </c>
    </row>
    <row r="916" spans="1:7">
      <c r="A916">
        <v>3</v>
      </c>
      <c r="B916" t="s">
        <v>423</v>
      </c>
      <c r="C916" t="s">
        <v>423</v>
      </c>
      <c r="D916">
        <v>3</v>
      </c>
      <c r="E916">
        <f t="shared" si="14"/>
        <v>5</v>
      </c>
      <c r="F916" t="s">
        <v>821</v>
      </c>
      <c r="G916">
        <v>1</v>
      </c>
    </row>
    <row r="917" spans="1:7">
      <c r="A917">
        <v>3</v>
      </c>
      <c r="B917" t="s">
        <v>268</v>
      </c>
      <c r="C917" t="s">
        <v>268</v>
      </c>
      <c r="D917">
        <v>3</v>
      </c>
      <c r="E917">
        <f t="shared" si="14"/>
        <v>5</v>
      </c>
      <c r="F917" t="s">
        <v>821</v>
      </c>
      <c r="G917">
        <v>1</v>
      </c>
    </row>
    <row r="918" spans="1:7">
      <c r="A918">
        <v>3</v>
      </c>
      <c r="B918" t="s">
        <v>103</v>
      </c>
      <c r="C918" t="s">
        <v>103</v>
      </c>
      <c r="D918">
        <v>3</v>
      </c>
      <c r="E918">
        <f t="shared" si="14"/>
        <v>5</v>
      </c>
      <c r="F918" t="s">
        <v>821</v>
      </c>
      <c r="G918">
        <v>1</v>
      </c>
    </row>
    <row r="919" spans="1:7">
      <c r="A919">
        <v>3</v>
      </c>
      <c r="B919" t="s">
        <v>487</v>
      </c>
      <c r="C919" t="s">
        <v>487</v>
      </c>
      <c r="D919">
        <v>3</v>
      </c>
      <c r="E919">
        <f t="shared" si="14"/>
        <v>5</v>
      </c>
      <c r="F919" t="s">
        <v>821</v>
      </c>
      <c r="G919">
        <v>1</v>
      </c>
    </row>
    <row r="920" spans="1:7">
      <c r="A920">
        <v>3</v>
      </c>
      <c r="B920" t="s">
        <v>1108</v>
      </c>
      <c r="C920" t="s">
        <v>1108</v>
      </c>
      <c r="D920">
        <v>3</v>
      </c>
      <c r="E920">
        <f t="shared" si="14"/>
        <v>5</v>
      </c>
      <c r="F920" t="s">
        <v>821</v>
      </c>
      <c r="G920">
        <v>1</v>
      </c>
    </row>
    <row r="921" spans="1:7">
      <c r="A921">
        <v>3</v>
      </c>
      <c r="B921" t="s">
        <v>552</v>
      </c>
      <c r="C921" t="s">
        <v>552</v>
      </c>
      <c r="D921">
        <v>3</v>
      </c>
      <c r="E921">
        <f t="shared" si="14"/>
        <v>5</v>
      </c>
      <c r="F921" t="s">
        <v>821</v>
      </c>
      <c r="G921">
        <v>1</v>
      </c>
    </row>
    <row r="922" spans="1:7">
      <c r="A922">
        <v>3</v>
      </c>
      <c r="B922" t="s">
        <v>818</v>
      </c>
      <c r="C922" t="s">
        <v>818</v>
      </c>
      <c r="D922">
        <v>3</v>
      </c>
      <c r="E922">
        <f t="shared" si="14"/>
        <v>5</v>
      </c>
      <c r="F922" t="s">
        <v>821</v>
      </c>
      <c r="G922">
        <v>1</v>
      </c>
    </row>
    <row r="923" spans="1:7">
      <c r="A923">
        <v>3</v>
      </c>
      <c r="B923" t="s">
        <v>373</v>
      </c>
      <c r="C923" t="s">
        <v>373</v>
      </c>
      <c r="D923">
        <v>3</v>
      </c>
      <c r="E923">
        <f t="shared" si="14"/>
        <v>5</v>
      </c>
      <c r="F923" t="s">
        <v>821</v>
      </c>
      <c r="G923">
        <v>1</v>
      </c>
    </row>
    <row r="924" spans="1:7">
      <c r="A924">
        <v>3</v>
      </c>
      <c r="B924" t="s">
        <v>554</v>
      </c>
      <c r="C924" t="s">
        <v>554</v>
      </c>
      <c r="D924">
        <v>3</v>
      </c>
      <c r="E924">
        <f t="shared" si="14"/>
        <v>5</v>
      </c>
      <c r="F924" t="s">
        <v>821</v>
      </c>
      <c r="G924">
        <v>1</v>
      </c>
    </row>
    <row r="925" spans="1:7">
      <c r="A925">
        <v>3</v>
      </c>
      <c r="B925" t="s">
        <v>271</v>
      </c>
      <c r="C925" t="s">
        <v>6432</v>
      </c>
      <c r="D925">
        <v>3</v>
      </c>
      <c r="E925">
        <f t="shared" si="14"/>
        <v>5</v>
      </c>
      <c r="F925" t="s">
        <v>821</v>
      </c>
      <c r="G925">
        <v>1</v>
      </c>
    </row>
    <row r="926" spans="1:7">
      <c r="A926">
        <v>3</v>
      </c>
      <c r="B926" t="s">
        <v>334</v>
      </c>
      <c r="C926" t="s">
        <v>334</v>
      </c>
      <c r="D926">
        <v>3</v>
      </c>
      <c r="E926">
        <f t="shared" si="14"/>
        <v>5</v>
      </c>
      <c r="F926" t="s">
        <v>821</v>
      </c>
      <c r="G926">
        <v>1</v>
      </c>
    </row>
    <row r="927" spans="1:7">
      <c r="A927">
        <v>3</v>
      </c>
      <c r="B927" t="s">
        <v>498</v>
      </c>
      <c r="C927" t="s">
        <v>498</v>
      </c>
      <c r="D927">
        <v>3</v>
      </c>
      <c r="E927">
        <f t="shared" si="14"/>
        <v>5</v>
      </c>
      <c r="F927" t="s">
        <v>821</v>
      </c>
      <c r="G927">
        <v>1</v>
      </c>
    </row>
    <row r="928" spans="1:7">
      <c r="A928">
        <v>3</v>
      </c>
      <c r="B928" t="s">
        <v>427</v>
      </c>
      <c r="C928" t="s">
        <v>427</v>
      </c>
      <c r="D928">
        <v>3</v>
      </c>
      <c r="E928">
        <f t="shared" si="14"/>
        <v>5</v>
      </c>
      <c r="F928" t="s">
        <v>821</v>
      </c>
      <c r="G928">
        <v>1</v>
      </c>
    </row>
    <row r="929" spans="1:7">
      <c r="A929">
        <v>3</v>
      </c>
      <c r="B929" t="s">
        <v>705</v>
      </c>
      <c r="C929" t="s">
        <v>705</v>
      </c>
      <c r="D929">
        <v>3</v>
      </c>
      <c r="E929">
        <f t="shared" si="14"/>
        <v>5</v>
      </c>
      <c r="F929" t="s">
        <v>821</v>
      </c>
      <c r="G929">
        <v>1</v>
      </c>
    </row>
    <row r="930" spans="1:7">
      <c r="A930">
        <v>3</v>
      </c>
      <c r="B930" t="s">
        <v>119</v>
      </c>
      <c r="C930" t="s">
        <v>119</v>
      </c>
      <c r="D930">
        <v>3</v>
      </c>
      <c r="E930">
        <f t="shared" si="14"/>
        <v>5</v>
      </c>
      <c r="F930" t="s">
        <v>821</v>
      </c>
      <c r="G930">
        <v>1</v>
      </c>
    </row>
    <row r="931" spans="1:7">
      <c r="A931">
        <v>3</v>
      </c>
      <c r="B931" t="s">
        <v>1305</v>
      </c>
      <c r="C931" t="s">
        <v>1305</v>
      </c>
      <c r="D931">
        <v>3</v>
      </c>
      <c r="E931">
        <f t="shared" si="14"/>
        <v>5</v>
      </c>
      <c r="F931" t="s">
        <v>821</v>
      </c>
      <c r="G931">
        <v>1</v>
      </c>
    </row>
    <row r="932" spans="1:7">
      <c r="A932">
        <v>3</v>
      </c>
      <c r="B932" t="s">
        <v>336</v>
      </c>
      <c r="C932" t="s">
        <v>336</v>
      </c>
      <c r="D932">
        <v>3</v>
      </c>
      <c r="E932">
        <f t="shared" si="14"/>
        <v>5</v>
      </c>
      <c r="F932" t="s">
        <v>821</v>
      </c>
      <c r="G932">
        <v>1</v>
      </c>
    </row>
    <row r="933" spans="1:7">
      <c r="A933">
        <v>3</v>
      </c>
      <c r="B933" t="s">
        <v>982</v>
      </c>
      <c r="C933" t="s">
        <v>982</v>
      </c>
      <c r="D933">
        <v>3</v>
      </c>
      <c r="E933">
        <f t="shared" si="14"/>
        <v>5</v>
      </c>
      <c r="F933" t="s">
        <v>821</v>
      </c>
      <c r="G933">
        <v>1</v>
      </c>
    </row>
    <row r="934" spans="1:7">
      <c r="A934">
        <v>3</v>
      </c>
      <c r="B934" t="s">
        <v>1178</v>
      </c>
      <c r="C934" t="s">
        <v>1178</v>
      </c>
      <c r="D934">
        <v>3</v>
      </c>
      <c r="E934">
        <f t="shared" si="14"/>
        <v>5</v>
      </c>
      <c r="F934" t="s">
        <v>821</v>
      </c>
      <c r="G934">
        <v>1</v>
      </c>
    </row>
    <row r="935" spans="1:7">
      <c r="A935">
        <v>3</v>
      </c>
      <c r="B935" t="s">
        <v>836</v>
      </c>
      <c r="C935" t="s">
        <v>836</v>
      </c>
      <c r="D935">
        <v>3</v>
      </c>
      <c r="E935">
        <f t="shared" si="14"/>
        <v>5</v>
      </c>
      <c r="F935" t="s">
        <v>821</v>
      </c>
      <c r="G935">
        <v>1</v>
      </c>
    </row>
    <row r="936" spans="1:7">
      <c r="A936">
        <v>3</v>
      </c>
      <c r="B936" t="s">
        <v>134</v>
      </c>
      <c r="C936" t="s">
        <v>134</v>
      </c>
      <c r="D936">
        <v>3</v>
      </c>
      <c r="E936">
        <f t="shared" si="14"/>
        <v>5</v>
      </c>
      <c r="F936" t="s">
        <v>821</v>
      </c>
      <c r="G936">
        <v>1</v>
      </c>
    </row>
    <row r="937" spans="1:7">
      <c r="A937">
        <v>3</v>
      </c>
      <c r="B937" t="s">
        <v>477</v>
      </c>
      <c r="C937" t="s">
        <v>477</v>
      </c>
      <c r="D937">
        <v>3</v>
      </c>
      <c r="E937">
        <f t="shared" si="14"/>
        <v>5</v>
      </c>
      <c r="F937" t="s">
        <v>821</v>
      </c>
      <c r="G937">
        <v>1</v>
      </c>
    </row>
    <row r="938" spans="1:7">
      <c r="A938">
        <v>3</v>
      </c>
      <c r="B938" t="s">
        <v>571</v>
      </c>
      <c r="C938" t="s">
        <v>571</v>
      </c>
      <c r="D938">
        <v>3</v>
      </c>
      <c r="E938">
        <f t="shared" si="14"/>
        <v>5</v>
      </c>
      <c r="F938" t="s">
        <v>821</v>
      </c>
      <c r="G938">
        <v>1</v>
      </c>
    </row>
    <row r="939" spans="1:7">
      <c r="A939">
        <v>3</v>
      </c>
      <c r="B939" t="s">
        <v>1448</v>
      </c>
      <c r="C939" t="s">
        <v>1448</v>
      </c>
      <c r="D939">
        <v>3</v>
      </c>
      <c r="E939">
        <f t="shared" si="14"/>
        <v>5</v>
      </c>
      <c r="F939" t="s">
        <v>822</v>
      </c>
      <c r="G939">
        <v>1</v>
      </c>
    </row>
    <row r="940" spans="1:7">
      <c r="A940">
        <v>3</v>
      </c>
      <c r="B940" t="s">
        <v>139</v>
      </c>
      <c r="C940" t="s">
        <v>139</v>
      </c>
      <c r="D940">
        <v>3</v>
      </c>
      <c r="E940">
        <f t="shared" si="14"/>
        <v>5</v>
      </c>
      <c r="F940" t="s">
        <v>821</v>
      </c>
      <c r="G940">
        <v>1</v>
      </c>
    </row>
    <row r="941" spans="1:7">
      <c r="A941">
        <v>3</v>
      </c>
      <c r="B941" t="s">
        <v>436</v>
      </c>
      <c r="C941" t="s">
        <v>436</v>
      </c>
      <c r="D941">
        <v>3</v>
      </c>
      <c r="E941">
        <f t="shared" si="14"/>
        <v>5</v>
      </c>
      <c r="F941" t="s">
        <v>821</v>
      </c>
      <c r="G941">
        <v>1</v>
      </c>
    </row>
    <row r="942" spans="1:7">
      <c r="A942">
        <v>3</v>
      </c>
      <c r="B942" t="s">
        <v>572</v>
      </c>
      <c r="C942" t="s">
        <v>572</v>
      </c>
      <c r="D942">
        <v>3</v>
      </c>
      <c r="E942">
        <f t="shared" si="14"/>
        <v>5</v>
      </c>
      <c r="F942" t="s">
        <v>821</v>
      </c>
      <c r="G942">
        <v>1</v>
      </c>
    </row>
    <row r="943" spans="1:7">
      <c r="A943">
        <v>3</v>
      </c>
      <c r="B943" t="s">
        <v>502</v>
      </c>
      <c r="C943" t="s">
        <v>502</v>
      </c>
      <c r="D943">
        <v>3</v>
      </c>
      <c r="E943">
        <f t="shared" si="14"/>
        <v>5</v>
      </c>
      <c r="F943" t="s">
        <v>821</v>
      </c>
      <c r="G943">
        <v>1</v>
      </c>
    </row>
    <row r="944" spans="1:7">
      <c r="A944">
        <v>3</v>
      </c>
      <c r="B944" t="s">
        <v>1449</v>
      </c>
      <c r="C944" t="s">
        <v>1449</v>
      </c>
      <c r="D944">
        <v>3</v>
      </c>
      <c r="E944">
        <f t="shared" si="14"/>
        <v>5</v>
      </c>
      <c r="F944" t="s">
        <v>821</v>
      </c>
      <c r="G944">
        <v>1</v>
      </c>
    </row>
    <row r="945" spans="1:7">
      <c r="A945">
        <v>3</v>
      </c>
      <c r="B945" t="s">
        <v>1189</v>
      </c>
      <c r="C945" t="s">
        <v>1189</v>
      </c>
      <c r="D945">
        <v>3</v>
      </c>
      <c r="E945">
        <f t="shared" si="14"/>
        <v>5</v>
      </c>
      <c r="F945" t="s">
        <v>821</v>
      </c>
      <c r="G945">
        <v>1</v>
      </c>
    </row>
    <row r="946" spans="1:7">
      <c r="A946">
        <v>3</v>
      </c>
      <c r="B946" t="s">
        <v>149</v>
      </c>
      <c r="C946" t="s">
        <v>149</v>
      </c>
      <c r="D946">
        <v>3</v>
      </c>
      <c r="E946">
        <f t="shared" si="14"/>
        <v>5</v>
      </c>
      <c r="F946" t="s">
        <v>821</v>
      </c>
      <c r="G946">
        <v>1</v>
      </c>
    </row>
    <row r="947" spans="1:7">
      <c r="A947">
        <v>3</v>
      </c>
      <c r="B947" t="s">
        <v>491</v>
      </c>
      <c r="C947" t="s">
        <v>491</v>
      </c>
      <c r="D947">
        <v>3</v>
      </c>
      <c r="E947">
        <f t="shared" si="14"/>
        <v>5</v>
      </c>
      <c r="F947" t="s">
        <v>821</v>
      </c>
      <c r="G947">
        <v>1</v>
      </c>
    </row>
    <row r="948" spans="1:7">
      <c r="A948">
        <v>3</v>
      </c>
      <c r="B948" t="s">
        <v>157</v>
      </c>
      <c r="C948" t="s">
        <v>710</v>
      </c>
      <c r="D948">
        <v>3</v>
      </c>
      <c r="E948">
        <f t="shared" si="14"/>
        <v>5</v>
      </c>
      <c r="F948" t="s">
        <v>821</v>
      </c>
      <c r="G948">
        <v>1</v>
      </c>
    </row>
    <row r="949" spans="1:7">
      <c r="A949">
        <v>3</v>
      </c>
      <c r="B949" t="s">
        <v>834</v>
      </c>
      <c r="C949" t="s">
        <v>834</v>
      </c>
      <c r="D949">
        <v>3</v>
      </c>
      <c r="E949">
        <f t="shared" si="14"/>
        <v>5</v>
      </c>
      <c r="F949" t="s">
        <v>821</v>
      </c>
      <c r="G949">
        <v>1</v>
      </c>
    </row>
    <row r="950" spans="1:7">
      <c r="A950">
        <v>3</v>
      </c>
      <c r="B950" t="s">
        <v>441</v>
      </c>
      <c r="C950" t="s">
        <v>441</v>
      </c>
      <c r="D950">
        <v>3</v>
      </c>
      <c r="E950">
        <f t="shared" si="14"/>
        <v>5</v>
      </c>
      <c r="F950" t="s">
        <v>821</v>
      </c>
      <c r="G950">
        <v>1</v>
      </c>
    </row>
    <row r="951" spans="1:7">
      <c r="A951">
        <v>3</v>
      </c>
      <c r="B951" t="s">
        <v>445</v>
      </c>
      <c r="C951" t="s">
        <v>445</v>
      </c>
      <c r="D951">
        <v>3</v>
      </c>
      <c r="E951">
        <f t="shared" si="14"/>
        <v>5</v>
      </c>
      <c r="F951" t="s">
        <v>821</v>
      </c>
      <c r="G951">
        <v>1</v>
      </c>
    </row>
    <row r="952" spans="1:7">
      <c r="A952">
        <v>3</v>
      </c>
      <c r="B952" t="s">
        <v>378</v>
      </c>
      <c r="C952" t="s">
        <v>378</v>
      </c>
      <c r="D952">
        <v>3</v>
      </c>
      <c r="E952">
        <f t="shared" si="14"/>
        <v>5</v>
      </c>
      <c r="F952" t="s">
        <v>821</v>
      </c>
      <c r="G952">
        <v>1</v>
      </c>
    </row>
    <row r="953" spans="1:7">
      <c r="A953">
        <v>3</v>
      </c>
      <c r="B953" t="s">
        <v>1207</v>
      </c>
      <c r="C953" t="s">
        <v>1207</v>
      </c>
      <c r="D953">
        <v>3</v>
      </c>
      <c r="E953">
        <f t="shared" si="14"/>
        <v>5</v>
      </c>
      <c r="F953" t="s">
        <v>821</v>
      </c>
      <c r="G953">
        <v>1</v>
      </c>
    </row>
    <row r="954" spans="1:7">
      <c r="A954">
        <v>3</v>
      </c>
      <c r="B954" t="s">
        <v>343</v>
      </c>
      <c r="C954" t="s">
        <v>343</v>
      </c>
      <c r="D954">
        <v>3</v>
      </c>
      <c r="E954">
        <f t="shared" si="14"/>
        <v>5</v>
      </c>
      <c r="F954" t="s">
        <v>821</v>
      </c>
      <c r="G954">
        <v>1</v>
      </c>
    </row>
    <row r="955" spans="1:7">
      <c r="A955">
        <v>3</v>
      </c>
      <c r="B955" t="s">
        <v>591</v>
      </c>
      <c r="C955" t="s">
        <v>591</v>
      </c>
      <c r="D955">
        <v>3</v>
      </c>
      <c r="E955">
        <f t="shared" si="14"/>
        <v>5</v>
      </c>
      <c r="F955" t="s">
        <v>821</v>
      </c>
      <c r="G955">
        <v>1</v>
      </c>
    </row>
    <row r="956" spans="1:7">
      <c r="A956">
        <v>3</v>
      </c>
      <c r="B956" t="s">
        <v>196</v>
      </c>
      <c r="C956" t="s">
        <v>196</v>
      </c>
      <c r="D956">
        <v>3</v>
      </c>
      <c r="E956">
        <f t="shared" si="14"/>
        <v>5</v>
      </c>
      <c r="F956" t="s">
        <v>821</v>
      </c>
      <c r="G956">
        <v>1</v>
      </c>
    </row>
    <row r="957" spans="1:7">
      <c r="A957">
        <v>3</v>
      </c>
      <c r="B957" t="s">
        <v>480</v>
      </c>
      <c r="C957" t="s">
        <v>480</v>
      </c>
      <c r="D957">
        <v>3</v>
      </c>
      <c r="E957">
        <f t="shared" si="14"/>
        <v>5</v>
      </c>
      <c r="F957" t="s">
        <v>821</v>
      </c>
      <c r="G957">
        <v>1</v>
      </c>
    </row>
    <row r="958" spans="1:7">
      <c r="A958">
        <v>3</v>
      </c>
      <c r="B958" t="s">
        <v>451</v>
      </c>
      <c r="C958" t="s">
        <v>451</v>
      </c>
      <c r="D958">
        <v>3</v>
      </c>
      <c r="E958">
        <f t="shared" si="14"/>
        <v>5</v>
      </c>
      <c r="F958" t="s">
        <v>821</v>
      </c>
      <c r="G958">
        <v>1</v>
      </c>
    </row>
    <row r="959" spans="1:7">
      <c r="A959">
        <v>3</v>
      </c>
      <c r="B959" t="s">
        <v>597</v>
      </c>
      <c r="C959" t="s">
        <v>597</v>
      </c>
      <c r="D959">
        <v>3</v>
      </c>
      <c r="E959">
        <f t="shared" si="14"/>
        <v>5</v>
      </c>
      <c r="F959" t="s">
        <v>821</v>
      </c>
      <c r="G959">
        <v>1</v>
      </c>
    </row>
    <row r="960" spans="1:7">
      <c r="A960">
        <v>3</v>
      </c>
      <c r="B960" t="s">
        <v>317</v>
      </c>
      <c r="C960" t="s">
        <v>317</v>
      </c>
      <c r="D960">
        <v>3</v>
      </c>
      <c r="E960">
        <f t="shared" si="14"/>
        <v>5</v>
      </c>
      <c r="F960" t="s">
        <v>821</v>
      </c>
      <c r="G960">
        <v>1</v>
      </c>
    </row>
    <row r="961" spans="1:7">
      <c r="A961">
        <v>3</v>
      </c>
      <c r="B961" t="s">
        <v>218</v>
      </c>
      <c r="C961" t="s">
        <v>218</v>
      </c>
      <c r="D961">
        <v>3</v>
      </c>
      <c r="E961">
        <f t="shared" si="14"/>
        <v>5</v>
      </c>
      <c r="F961" t="s">
        <v>821</v>
      </c>
      <c r="G961">
        <v>1</v>
      </c>
    </row>
    <row r="962" spans="1:7">
      <c r="A962">
        <v>3</v>
      </c>
      <c r="B962" t="s">
        <v>251</v>
      </c>
      <c r="C962" t="s">
        <v>5522</v>
      </c>
      <c r="D962">
        <v>3</v>
      </c>
      <c r="E962">
        <f t="shared" si="14"/>
        <v>4</v>
      </c>
      <c r="F962" t="s">
        <v>821</v>
      </c>
      <c r="G962">
        <v>1</v>
      </c>
    </row>
    <row r="963" spans="1:7">
      <c r="A963">
        <v>3</v>
      </c>
      <c r="B963" s="26" t="s">
        <v>5367</v>
      </c>
      <c r="C963" t="s">
        <v>5307</v>
      </c>
      <c r="D963">
        <v>3</v>
      </c>
      <c r="E963">
        <f t="shared" ref="E963:E1026" si="15">LEN(B963)</f>
        <v>4</v>
      </c>
      <c r="F963" t="s">
        <v>821</v>
      </c>
      <c r="G963">
        <v>1</v>
      </c>
    </row>
    <row r="964" spans="1:7">
      <c r="A964">
        <v>3</v>
      </c>
      <c r="B964" t="s">
        <v>1214</v>
      </c>
      <c r="C964" t="s">
        <v>1214</v>
      </c>
      <c r="D964">
        <v>3</v>
      </c>
      <c r="E964">
        <f t="shared" si="15"/>
        <v>4</v>
      </c>
      <c r="F964" t="s">
        <v>821</v>
      </c>
      <c r="G964">
        <v>1</v>
      </c>
    </row>
    <row r="965" spans="1:7">
      <c r="A965">
        <v>3</v>
      </c>
      <c r="B965" t="s">
        <v>1021</v>
      </c>
      <c r="C965" t="s">
        <v>1021</v>
      </c>
      <c r="D965">
        <v>3</v>
      </c>
      <c r="E965">
        <f t="shared" si="15"/>
        <v>4</v>
      </c>
      <c r="F965" t="s">
        <v>821</v>
      </c>
      <c r="G965">
        <v>1</v>
      </c>
    </row>
    <row r="966" spans="1:7">
      <c r="A966">
        <v>3</v>
      </c>
      <c r="B966" t="s">
        <v>251</v>
      </c>
      <c r="C966" t="s">
        <v>251</v>
      </c>
      <c r="D966">
        <v>3</v>
      </c>
      <c r="E966">
        <f t="shared" si="15"/>
        <v>4</v>
      </c>
      <c r="F966" t="s">
        <v>821</v>
      </c>
      <c r="G966">
        <v>1</v>
      </c>
    </row>
    <row r="967" spans="1:7">
      <c r="A967">
        <v>3</v>
      </c>
      <c r="B967" t="s">
        <v>38</v>
      </c>
      <c r="C967" t="s">
        <v>38</v>
      </c>
      <c r="D967">
        <v>3</v>
      </c>
      <c r="E967">
        <f t="shared" si="15"/>
        <v>4</v>
      </c>
      <c r="F967" t="s">
        <v>821</v>
      </c>
      <c r="G967">
        <v>1</v>
      </c>
    </row>
    <row r="968" spans="1:7">
      <c r="A968">
        <v>3</v>
      </c>
      <c r="B968" t="s">
        <v>80</v>
      </c>
      <c r="C968" t="s">
        <v>80</v>
      </c>
      <c r="D968">
        <v>3</v>
      </c>
      <c r="E968">
        <f t="shared" si="15"/>
        <v>4</v>
      </c>
      <c r="F968" t="s">
        <v>822</v>
      </c>
      <c r="G968">
        <v>1</v>
      </c>
    </row>
    <row r="969" spans="1:7">
      <c r="A969">
        <v>3</v>
      </c>
      <c r="B969" t="s">
        <v>269</v>
      </c>
      <c r="C969" t="s">
        <v>269</v>
      </c>
      <c r="D969">
        <v>3</v>
      </c>
      <c r="E969">
        <f t="shared" si="15"/>
        <v>4</v>
      </c>
      <c r="F969" t="s">
        <v>821</v>
      </c>
      <c r="G969">
        <v>1</v>
      </c>
    </row>
    <row r="970" spans="1:7">
      <c r="A970">
        <v>3</v>
      </c>
      <c r="B970" t="s">
        <v>1826</v>
      </c>
      <c r="C970" t="s">
        <v>1826</v>
      </c>
      <c r="D970">
        <v>3</v>
      </c>
      <c r="E970">
        <f t="shared" si="15"/>
        <v>4</v>
      </c>
      <c r="F970" t="s">
        <v>821</v>
      </c>
      <c r="G970">
        <v>1</v>
      </c>
    </row>
    <row r="971" spans="1:7">
      <c r="A971">
        <v>3</v>
      </c>
      <c r="B971" t="s">
        <v>120</v>
      </c>
      <c r="C971" t="s">
        <v>1417</v>
      </c>
      <c r="D971">
        <v>3</v>
      </c>
      <c r="E971">
        <f t="shared" si="15"/>
        <v>4</v>
      </c>
      <c r="F971" t="s">
        <v>821</v>
      </c>
      <c r="G971">
        <v>1</v>
      </c>
    </row>
    <row r="972" spans="1:7">
      <c r="A972">
        <v>3</v>
      </c>
      <c r="B972" t="s">
        <v>1827</v>
      </c>
      <c r="C972" t="s">
        <v>1827</v>
      </c>
      <c r="D972">
        <v>3</v>
      </c>
      <c r="E972">
        <f t="shared" si="15"/>
        <v>4</v>
      </c>
      <c r="F972" t="s">
        <v>821</v>
      </c>
      <c r="G972">
        <v>1</v>
      </c>
    </row>
    <row r="973" spans="1:7">
      <c r="A973">
        <v>3</v>
      </c>
      <c r="B973" t="s">
        <v>131</v>
      </c>
      <c r="C973" t="s">
        <v>131</v>
      </c>
      <c r="D973">
        <v>3</v>
      </c>
      <c r="E973">
        <f t="shared" si="15"/>
        <v>4</v>
      </c>
      <c r="F973" t="s">
        <v>822</v>
      </c>
      <c r="G973">
        <v>1</v>
      </c>
    </row>
    <row r="974" spans="1:7">
      <c r="A974">
        <v>3</v>
      </c>
      <c r="B974" t="s">
        <v>1181</v>
      </c>
      <c r="C974" t="s">
        <v>1181</v>
      </c>
      <c r="D974">
        <v>3</v>
      </c>
      <c r="E974">
        <f t="shared" si="15"/>
        <v>4</v>
      </c>
      <c r="F974" t="s">
        <v>821</v>
      </c>
      <c r="G974">
        <v>1</v>
      </c>
    </row>
    <row r="975" spans="1:7">
      <c r="A975">
        <v>3</v>
      </c>
      <c r="B975" t="s">
        <v>135</v>
      </c>
      <c r="C975" t="s">
        <v>6572</v>
      </c>
      <c r="D975">
        <v>3</v>
      </c>
      <c r="E975">
        <f t="shared" si="15"/>
        <v>4</v>
      </c>
      <c r="F975" t="s">
        <v>821</v>
      </c>
      <c r="G975">
        <v>1</v>
      </c>
    </row>
    <row r="976" spans="1:7">
      <c r="A976">
        <v>3</v>
      </c>
      <c r="B976" t="s">
        <v>143</v>
      </c>
      <c r="C976" t="s">
        <v>143</v>
      </c>
      <c r="D976">
        <v>3</v>
      </c>
      <c r="E976">
        <f t="shared" si="15"/>
        <v>4</v>
      </c>
      <c r="F976" t="s">
        <v>821</v>
      </c>
      <c r="G976">
        <v>1</v>
      </c>
    </row>
    <row r="977" spans="1:7">
      <c r="A977">
        <v>3</v>
      </c>
      <c r="B977" t="s">
        <v>312</v>
      </c>
      <c r="C977" t="s">
        <v>312</v>
      </c>
      <c r="D977">
        <v>3</v>
      </c>
      <c r="E977">
        <f t="shared" si="15"/>
        <v>4</v>
      </c>
      <c r="F977" t="s">
        <v>821</v>
      </c>
      <c r="G977">
        <v>1</v>
      </c>
    </row>
    <row r="978" spans="1:7">
      <c r="A978">
        <v>3</v>
      </c>
      <c r="B978" t="s">
        <v>580</v>
      </c>
      <c r="C978" t="s">
        <v>580</v>
      </c>
      <c r="D978">
        <v>3</v>
      </c>
      <c r="E978">
        <f t="shared" si="15"/>
        <v>4</v>
      </c>
      <c r="F978" t="s">
        <v>821</v>
      </c>
      <c r="G978">
        <v>1</v>
      </c>
    </row>
    <row r="979" spans="1:7">
      <c r="A979">
        <v>3</v>
      </c>
      <c r="B979" t="s">
        <v>581</v>
      </c>
      <c r="C979" t="s">
        <v>581</v>
      </c>
      <c r="D979">
        <v>3</v>
      </c>
      <c r="E979">
        <f t="shared" si="15"/>
        <v>4</v>
      </c>
      <c r="F979" t="s">
        <v>821</v>
      </c>
      <c r="G979">
        <v>1</v>
      </c>
    </row>
    <row r="980" spans="1:7">
      <c r="A980">
        <v>3</v>
      </c>
      <c r="B980" t="s">
        <v>1825</v>
      </c>
      <c r="C980" t="s">
        <v>1825</v>
      </c>
      <c r="D980">
        <v>3</v>
      </c>
      <c r="E980">
        <f t="shared" si="15"/>
        <v>4</v>
      </c>
      <c r="F980" t="s">
        <v>821</v>
      </c>
      <c r="G980">
        <v>1</v>
      </c>
    </row>
    <row r="981" spans="1:7">
      <c r="A981">
        <v>3</v>
      </c>
      <c r="B981" t="s">
        <v>225</v>
      </c>
      <c r="C981" t="s">
        <v>225</v>
      </c>
      <c r="D981">
        <v>3</v>
      </c>
      <c r="E981">
        <f t="shared" si="15"/>
        <v>4</v>
      </c>
      <c r="F981" t="s">
        <v>821</v>
      </c>
      <c r="G981">
        <v>1</v>
      </c>
    </row>
    <row r="982" spans="1:7">
      <c r="A982">
        <v>3</v>
      </c>
      <c r="B982" t="s">
        <v>405</v>
      </c>
      <c r="C982" t="s">
        <v>1213</v>
      </c>
      <c r="D982">
        <v>3</v>
      </c>
      <c r="E982">
        <f t="shared" si="15"/>
        <v>3</v>
      </c>
      <c r="F982" t="s">
        <v>821</v>
      </c>
      <c r="G982">
        <v>1</v>
      </c>
    </row>
    <row r="983" spans="1:7">
      <c r="A983">
        <v>4</v>
      </c>
      <c r="B983" t="s">
        <v>10775</v>
      </c>
      <c r="C983" t="s">
        <v>12000</v>
      </c>
      <c r="E983">
        <f t="shared" si="15"/>
        <v>22</v>
      </c>
      <c r="F983" t="s">
        <v>821</v>
      </c>
      <c r="G983">
        <v>10</v>
      </c>
    </row>
    <row r="984" spans="1:7">
      <c r="A984">
        <v>4</v>
      </c>
      <c r="B984" t="s">
        <v>5321</v>
      </c>
      <c r="C984" t="s">
        <v>5321</v>
      </c>
      <c r="D984">
        <v>4</v>
      </c>
      <c r="E984">
        <f t="shared" si="15"/>
        <v>13</v>
      </c>
      <c r="G984">
        <v>1</v>
      </c>
    </row>
    <row r="985" spans="1:7">
      <c r="A985">
        <v>4</v>
      </c>
      <c r="B985" t="s">
        <v>455</v>
      </c>
      <c r="C985" t="s">
        <v>6440</v>
      </c>
      <c r="D985">
        <v>4</v>
      </c>
      <c r="E985">
        <f t="shared" si="15"/>
        <v>10</v>
      </c>
      <c r="F985" t="s">
        <v>821</v>
      </c>
      <c r="G985">
        <v>1</v>
      </c>
    </row>
    <row r="986" spans="1:7">
      <c r="A986">
        <v>4</v>
      </c>
      <c r="B986" t="s">
        <v>375</v>
      </c>
      <c r="C986" t="s">
        <v>375</v>
      </c>
      <c r="D986">
        <v>4</v>
      </c>
      <c r="E986">
        <f t="shared" si="15"/>
        <v>9</v>
      </c>
      <c r="G986">
        <v>1</v>
      </c>
    </row>
    <row r="987" spans="1:7">
      <c r="A987">
        <v>4</v>
      </c>
      <c r="B987" t="s">
        <v>871</v>
      </c>
      <c r="C987" t="s">
        <v>4902</v>
      </c>
      <c r="D987">
        <v>4</v>
      </c>
      <c r="E987">
        <f t="shared" si="15"/>
        <v>9</v>
      </c>
      <c r="F987" t="s">
        <v>822</v>
      </c>
      <c r="G987">
        <v>1</v>
      </c>
    </row>
    <row r="988" spans="1:7">
      <c r="A988">
        <v>4</v>
      </c>
      <c r="B988" t="s">
        <v>1294</v>
      </c>
      <c r="C988" t="s">
        <v>1244</v>
      </c>
      <c r="D988">
        <v>4</v>
      </c>
      <c r="E988">
        <f t="shared" si="15"/>
        <v>8</v>
      </c>
      <c r="F988" t="s">
        <v>821</v>
      </c>
      <c r="G988">
        <v>1</v>
      </c>
    </row>
    <row r="989" spans="1:7">
      <c r="A989">
        <v>4</v>
      </c>
      <c r="B989" t="s">
        <v>7132</v>
      </c>
      <c r="C989" t="s">
        <v>7132</v>
      </c>
      <c r="D989">
        <v>4</v>
      </c>
      <c r="E989">
        <f t="shared" si="15"/>
        <v>8</v>
      </c>
      <c r="F989" t="s">
        <v>821</v>
      </c>
      <c r="G989">
        <v>1</v>
      </c>
    </row>
    <row r="990" spans="1:7">
      <c r="A990">
        <v>4</v>
      </c>
      <c r="B990" t="s">
        <v>1307</v>
      </c>
      <c r="C990" t="s">
        <v>1307</v>
      </c>
      <c r="D990">
        <v>4</v>
      </c>
      <c r="E990">
        <f t="shared" si="15"/>
        <v>7</v>
      </c>
      <c r="F990" t="s">
        <v>821</v>
      </c>
      <c r="G990">
        <v>1</v>
      </c>
    </row>
    <row r="991" spans="1:7">
      <c r="A991">
        <v>4</v>
      </c>
      <c r="B991">
        <v>1906</v>
      </c>
      <c r="C991">
        <v>1906</v>
      </c>
      <c r="D991">
        <v>4</v>
      </c>
      <c r="E991">
        <f t="shared" si="15"/>
        <v>4</v>
      </c>
      <c r="F991" t="s">
        <v>821</v>
      </c>
      <c r="G991">
        <v>1</v>
      </c>
    </row>
    <row r="992" spans="1:7">
      <c r="A992">
        <v>5</v>
      </c>
      <c r="B992" t="s">
        <v>14976</v>
      </c>
      <c r="C992" t="s">
        <v>14976</v>
      </c>
      <c r="D992">
        <v>5</v>
      </c>
      <c r="E992">
        <f t="shared" si="15"/>
        <v>28</v>
      </c>
      <c r="F992" t="s">
        <v>821</v>
      </c>
      <c r="G992">
        <v>0</v>
      </c>
    </row>
    <row r="993" spans="1:7">
      <c r="A993">
        <v>5</v>
      </c>
      <c r="B993" t="s">
        <v>14612</v>
      </c>
      <c r="C993" t="s">
        <v>14612</v>
      </c>
      <c r="E993">
        <f t="shared" si="15"/>
        <v>26</v>
      </c>
    </row>
    <row r="994" spans="1:7">
      <c r="A994">
        <v>5</v>
      </c>
      <c r="B994" t="s">
        <v>8711</v>
      </c>
      <c r="C994" t="s">
        <v>8711</v>
      </c>
      <c r="D994">
        <v>5</v>
      </c>
      <c r="E994">
        <f t="shared" si="15"/>
        <v>24</v>
      </c>
      <c r="F994" t="s">
        <v>821</v>
      </c>
      <c r="G994">
        <v>0</v>
      </c>
    </row>
    <row r="995" spans="1:7">
      <c r="A995">
        <v>5</v>
      </c>
      <c r="B995" t="s">
        <v>15293</v>
      </c>
      <c r="C995" t="s">
        <v>15293</v>
      </c>
      <c r="D995">
        <v>5</v>
      </c>
      <c r="E995">
        <f t="shared" si="15"/>
        <v>23</v>
      </c>
      <c r="F995" t="s">
        <v>821</v>
      </c>
      <c r="G995">
        <v>0</v>
      </c>
    </row>
    <row r="996" spans="1:7">
      <c r="A996">
        <v>5</v>
      </c>
      <c r="B996" t="s">
        <v>6624</v>
      </c>
      <c r="C996" t="s">
        <v>6624</v>
      </c>
      <c r="D996">
        <v>5</v>
      </c>
      <c r="E996">
        <f t="shared" si="15"/>
        <v>22</v>
      </c>
      <c r="G996">
        <v>1</v>
      </c>
    </row>
    <row r="997" spans="1:7">
      <c r="A997">
        <v>5</v>
      </c>
      <c r="B997" t="s">
        <v>6618</v>
      </c>
      <c r="C997" t="s">
        <v>6618</v>
      </c>
      <c r="D997">
        <v>5</v>
      </c>
      <c r="E997">
        <f t="shared" si="15"/>
        <v>20</v>
      </c>
      <c r="G997">
        <v>1</v>
      </c>
    </row>
    <row r="998" spans="1:7">
      <c r="A998">
        <v>5</v>
      </c>
      <c r="B998" t="s">
        <v>14611</v>
      </c>
      <c r="C998" t="s">
        <v>14611</v>
      </c>
      <c r="E998">
        <f t="shared" si="15"/>
        <v>20</v>
      </c>
    </row>
    <row r="999" spans="1:7">
      <c r="A999">
        <v>5</v>
      </c>
      <c r="B999" t="s">
        <v>6603</v>
      </c>
      <c r="C999" t="s">
        <v>6603</v>
      </c>
      <c r="D999">
        <v>5</v>
      </c>
      <c r="E999">
        <f t="shared" si="15"/>
        <v>19</v>
      </c>
      <c r="G999">
        <v>1</v>
      </c>
    </row>
    <row r="1000" spans="1:7">
      <c r="A1000">
        <v>5</v>
      </c>
      <c r="B1000" t="s">
        <v>15019</v>
      </c>
      <c r="C1000" t="s">
        <v>15019</v>
      </c>
      <c r="D1000">
        <v>5</v>
      </c>
      <c r="E1000">
        <f t="shared" si="15"/>
        <v>19</v>
      </c>
      <c r="F1000" t="s">
        <v>821</v>
      </c>
      <c r="G1000">
        <v>0</v>
      </c>
    </row>
    <row r="1001" spans="1:7">
      <c r="A1001">
        <v>5</v>
      </c>
      <c r="B1001" t="s">
        <v>6606</v>
      </c>
      <c r="C1001" t="s">
        <v>6606</v>
      </c>
      <c r="D1001">
        <v>5</v>
      </c>
      <c r="E1001">
        <f t="shared" si="15"/>
        <v>18</v>
      </c>
      <c r="G1001">
        <v>1</v>
      </c>
    </row>
    <row r="1002" spans="1:7">
      <c r="A1002">
        <v>5</v>
      </c>
      <c r="B1002" t="s">
        <v>13906</v>
      </c>
      <c r="C1002" t="s">
        <v>13906</v>
      </c>
      <c r="E1002">
        <f t="shared" si="15"/>
        <v>18</v>
      </c>
    </row>
    <row r="1003" spans="1:7">
      <c r="A1003">
        <v>5</v>
      </c>
      <c r="B1003" t="s">
        <v>13915</v>
      </c>
      <c r="C1003" t="s">
        <v>13915</v>
      </c>
      <c r="E1003">
        <f t="shared" si="15"/>
        <v>18</v>
      </c>
    </row>
    <row r="1004" spans="1:7">
      <c r="A1004">
        <v>5</v>
      </c>
      <c r="B1004" t="s">
        <v>14547</v>
      </c>
      <c r="C1004" t="s">
        <v>14547</v>
      </c>
      <c r="E1004">
        <f t="shared" si="15"/>
        <v>18</v>
      </c>
    </row>
    <row r="1005" spans="1:7">
      <c r="A1005">
        <v>5</v>
      </c>
      <c r="B1005" t="s">
        <v>14621</v>
      </c>
      <c r="C1005" t="s">
        <v>14874</v>
      </c>
      <c r="E1005">
        <f t="shared" si="15"/>
        <v>18</v>
      </c>
    </row>
    <row r="1006" spans="1:7">
      <c r="A1006">
        <v>5</v>
      </c>
      <c r="B1006" t="s">
        <v>15297</v>
      </c>
      <c r="C1006" t="s">
        <v>15297</v>
      </c>
      <c r="D1006">
        <v>5</v>
      </c>
      <c r="E1006">
        <f t="shared" si="15"/>
        <v>18</v>
      </c>
      <c r="F1006" t="s">
        <v>821</v>
      </c>
      <c r="G1006">
        <v>0</v>
      </c>
    </row>
    <row r="1007" spans="1:7">
      <c r="A1007">
        <v>5</v>
      </c>
      <c r="B1007" t="s">
        <v>6612</v>
      </c>
      <c r="C1007" t="s">
        <v>6612</v>
      </c>
      <c r="D1007">
        <v>5</v>
      </c>
      <c r="E1007">
        <f t="shared" si="15"/>
        <v>17</v>
      </c>
      <c r="G1007">
        <v>1</v>
      </c>
    </row>
    <row r="1008" spans="1:7">
      <c r="A1008">
        <v>5</v>
      </c>
      <c r="B1008" t="s">
        <v>10799</v>
      </c>
      <c r="C1008" t="s">
        <v>10916</v>
      </c>
      <c r="D1008">
        <v>5</v>
      </c>
      <c r="E1008">
        <f t="shared" si="15"/>
        <v>17</v>
      </c>
      <c r="F1008" t="s">
        <v>821</v>
      </c>
      <c r="G1008">
        <v>0</v>
      </c>
    </row>
    <row r="1009" spans="1:7">
      <c r="A1009">
        <v>5</v>
      </c>
      <c r="B1009" t="s">
        <v>8702</v>
      </c>
      <c r="C1009" t="s">
        <v>8702</v>
      </c>
      <c r="D1009">
        <v>43</v>
      </c>
      <c r="E1009">
        <f t="shared" si="15"/>
        <v>17</v>
      </c>
      <c r="F1009" t="s">
        <v>821</v>
      </c>
      <c r="G1009">
        <v>38</v>
      </c>
    </row>
    <row r="1010" spans="1:7">
      <c r="A1010">
        <v>5</v>
      </c>
      <c r="B1010" t="s">
        <v>10799</v>
      </c>
      <c r="C1010" t="s">
        <v>10799</v>
      </c>
      <c r="E1010">
        <f t="shared" si="15"/>
        <v>17</v>
      </c>
      <c r="F1010" t="s">
        <v>821</v>
      </c>
      <c r="G1010">
        <v>19</v>
      </c>
    </row>
    <row r="1011" spans="1:7">
      <c r="A1011">
        <v>5</v>
      </c>
      <c r="B1011" t="s">
        <v>13917</v>
      </c>
      <c r="C1011" t="s">
        <v>13917</v>
      </c>
      <c r="E1011">
        <f t="shared" si="15"/>
        <v>17</v>
      </c>
    </row>
    <row r="1012" spans="1:7">
      <c r="A1012">
        <v>5</v>
      </c>
      <c r="B1012" t="s">
        <v>14812</v>
      </c>
      <c r="C1012" t="s">
        <v>14870</v>
      </c>
      <c r="E1012">
        <f t="shared" si="15"/>
        <v>17</v>
      </c>
    </row>
    <row r="1013" spans="1:7">
      <c r="A1013">
        <v>5</v>
      </c>
      <c r="B1013" t="s">
        <v>12012</v>
      </c>
      <c r="C1013" t="s">
        <v>12013</v>
      </c>
      <c r="D1013">
        <v>19</v>
      </c>
      <c r="E1013">
        <f t="shared" si="15"/>
        <v>16</v>
      </c>
      <c r="F1013" t="s">
        <v>821</v>
      </c>
      <c r="G1013">
        <v>14</v>
      </c>
    </row>
    <row r="1014" spans="1:7">
      <c r="A1014">
        <v>5</v>
      </c>
      <c r="B1014" t="s">
        <v>12051</v>
      </c>
      <c r="C1014" t="s">
        <v>12052</v>
      </c>
      <c r="D1014">
        <v>52</v>
      </c>
      <c r="E1014">
        <f t="shared" si="15"/>
        <v>16</v>
      </c>
      <c r="F1014" t="s">
        <v>821</v>
      </c>
      <c r="G1014">
        <v>47</v>
      </c>
    </row>
    <row r="1015" spans="1:7">
      <c r="A1015">
        <v>5</v>
      </c>
      <c r="B1015" t="s">
        <v>14138</v>
      </c>
      <c r="C1015" t="s">
        <v>14138</v>
      </c>
      <c r="E1015">
        <f t="shared" si="15"/>
        <v>16</v>
      </c>
    </row>
    <row r="1016" spans="1:7">
      <c r="A1016">
        <v>5</v>
      </c>
      <c r="B1016" t="s">
        <v>14401</v>
      </c>
      <c r="C1016" t="s">
        <v>14401</v>
      </c>
      <c r="E1016">
        <f t="shared" si="15"/>
        <v>16</v>
      </c>
    </row>
    <row r="1017" spans="1:7">
      <c r="A1017">
        <v>5</v>
      </c>
      <c r="B1017" t="s">
        <v>15304</v>
      </c>
      <c r="C1017" t="s">
        <v>15304</v>
      </c>
      <c r="D1017">
        <v>5</v>
      </c>
      <c r="E1017">
        <f t="shared" si="15"/>
        <v>16</v>
      </c>
      <c r="F1017" t="s">
        <v>821</v>
      </c>
      <c r="G1017">
        <v>0</v>
      </c>
    </row>
    <row r="1018" spans="1:7">
      <c r="A1018">
        <v>5</v>
      </c>
      <c r="B1018" t="s">
        <v>608</v>
      </c>
      <c r="C1018" t="s">
        <v>1857</v>
      </c>
      <c r="D1018">
        <v>5</v>
      </c>
      <c r="E1018">
        <f t="shared" si="15"/>
        <v>15</v>
      </c>
      <c r="F1018" t="s">
        <v>821</v>
      </c>
      <c r="G1018">
        <v>1</v>
      </c>
    </row>
    <row r="1019" spans="1:7">
      <c r="A1019">
        <v>5</v>
      </c>
      <c r="B1019" t="s">
        <v>5488</v>
      </c>
      <c r="C1019" t="s">
        <v>5488</v>
      </c>
      <c r="D1019">
        <v>5</v>
      </c>
      <c r="E1019">
        <f t="shared" si="15"/>
        <v>15</v>
      </c>
      <c r="F1019" t="s">
        <v>821</v>
      </c>
      <c r="G1019">
        <v>1</v>
      </c>
    </row>
    <row r="1020" spans="1:7">
      <c r="A1020">
        <v>5</v>
      </c>
      <c r="B1020" t="s">
        <v>1856</v>
      </c>
      <c r="C1020" t="s">
        <v>5149</v>
      </c>
      <c r="D1020">
        <v>5</v>
      </c>
      <c r="E1020">
        <f t="shared" si="15"/>
        <v>15</v>
      </c>
      <c r="F1020" t="s">
        <v>821</v>
      </c>
      <c r="G1020">
        <v>1</v>
      </c>
    </row>
    <row r="1021" spans="1:7">
      <c r="A1021">
        <v>5</v>
      </c>
      <c r="B1021" t="s">
        <v>202</v>
      </c>
      <c r="C1021" t="s">
        <v>718</v>
      </c>
      <c r="D1021">
        <v>5</v>
      </c>
      <c r="E1021">
        <f t="shared" si="15"/>
        <v>15</v>
      </c>
      <c r="F1021" t="s">
        <v>821</v>
      </c>
      <c r="G1021">
        <v>1</v>
      </c>
    </row>
    <row r="1022" spans="1:7">
      <c r="A1022">
        <v>5</v>
      </c>
      <c r="B1022" t="s">
        <v>6610</v>
      </c>
      <c r="C1022" t="s">
        <v>6610</v>
      </c>
      <c r="D1022">
        <v>5</v>
      </c>
      <c r="E1022">
        <f t="shared" si="15"/>
        <v>15</v>
      </c>
      <c r="G1022">
        <v>1</v>
      </c>
    </row>
    <row r="1023" spans="1:7">
      <c r="A1023">
        <v>5</v>
      </c>
      <c r="B1023" t="s">
        <v>7073</v>
      </c>
      <c r="C1023" t="s">
        <v>7073</v>
      </c>
      <c r="D1023">
        <v>5</v>
      </c>
      <c r="E1023">
        <f t="shared" si="15"/>
        <v>15</v>
      </c>
      <c r="F1023" t="s">
        <v>821</v>
      </c>
      <c r="G1023">
        <v>1</v>
      </c>
    </row>
    <row r="1024" spans="1:7">
      <c r="A1024">
        <v>5</v>
      </c>
      <c r="B1024" t="s">
        <v>454</v>
      </c>
      <c r="C1024" t="s">
        <v>13622</v>
      </c>
      <c r="D1024">
        <v>13</v>
      </c>
      <c r="E1024">
        <f t="shared" si="15"/>
        <v>15</v>
      </c>
      <c r="F1024" t="s">
        <v>821</v>
      </c>
      <c r="G1024">
        <v>8</v>
      </c>
    </row>
    <row r="1025" spans="1:7">
      <c r="A1025">
        <v>5</v>
      </c>
      <c r="B1025" t="s">
        <v>14982</v>
      </c>
      <c r="C1025" t="s">
        <v>14982</v>
      </c>
      <c r="D1025">
        <v>5</v>
      </c>
      <c r="E1025">
        <f t="shared" si="15"/>
        <v>15</v>
      </c>
      <c r="F1025" t="s">
        <v>821</v>
      </c>
      <c r="G1025">
        <v>0</v>
      </c>
    </row>
    <row r="1026" spans="1:7">
      <c r="A1026">
        <v>5</v>
      </c>
      <c r="B1026" t="s">
        <v>5491</v>
      </c>
      <c r="C1026" t="s">
        <v>5491</v>
      </c>
      <c r="D1026">
        <v>5</v>
      </c>
      <c r="E1026">
        <f t="shared" si="15"/>
        <v>14</v>
      </c>
      <c r="F1026" t="s">
        <v>822</v>
      </c>
      <c r="G1026">
        <v>1</v>
      </c>
    </row>
    <row r="1027" spans="1:7">
      <c r="A1027">
        <v>5</v>
      </c>
      <c r="B1027" t="s">
        <v>609</v>
      </c>
      <c r="C1027" t="s">
        <v>5109</v>
      </c>
      <c r="D1027">
        <v>5</v>
      </c>
      <c r="E1027">
        <f t="shared" ref="E1027:E1090" si="16">LEN(B1027)</f>
        <v>14</v>
      </c>
      <c r="F1027" t="s">
        <v>821</v>
      </c>
      <c r="G1027">
        <v>1</v>
      </c>
    </row>
    <row r="1028" spans="1:7">
      <c r="A1028">
        <v>5</v>
      </c>
      <c r="B1028" t="s">
        <v>102</v>
      </c>
      <c r="C1028" t="s">
        <v>970</v>
      </c>
      <c r="D1028">
        <v>5</v>
      </c>
      <c r="E1028">
        <f t="shared" si="16"/>
        <v>14</v>
      </c>
      <c r="F1028" t="s">
        <v>821</v>
      </c>
      <c r="G1028">
        <v>1</v>
      </c>
    </row>
    <row r="1029" spans="1:7">
      <c r="A1029">
        <v>5</v>
      </c>
      <c r="B1029" t="s">
        <v>6627</v>
      </c>
      <c r="C1029" t="s">
        <v>6627</v>
      </c>
      <c r="D1029">
        <v>5</v>
      </c>
      <c r="E1029">
        <f t="shared" si="16"/>
        <v>14</v>
      </c>
      <c r="G1029">
        <v>1</v>
      </c>
    </row>
    <row r="1030" spans="1:7">
      <c r="A1030">
        <v>5</v>
      </c>
      <c r="B1030" t="s">
        <v>6825</v>
      </c>
      <c r="C1030" t="s">
        <v>6825</v>
      </c>
      <c r="D1030">
        <v>5</v>
      </c>
      <c r="E1030">
        <f t="shared" si="16"/>
        <v>14</v>
      </c>
      <c r="G1030">
        <v>1</v>
      </c>
    </row>
    <row r="1031" spans="1:7">
      <c r="A1031">
        <v>5</v>
      </c>
      <c r="B1031" t="s">
        <v>10330</v>
      </c>
      <c r="C1031" t="s">
        <v>10330</v>
      </c>
      <c r="D1031">
        <v>5</v>
      </c>
      <c r="E1031">
        <f t="shared" si="16"/>
        <v>14</v>
      </c>
      <c r="G1031">
        <v>1</v>
      </c>
    </row>
    <row r="1032" spans="1:7">
      <c r="A1032">
        <v>5</v>
      </c>
      <c r="B1032" t="s">
        <v>10905</v>
      </c>
      <c r="C1032" t="s">
        <v>10905</v>
      </c>
      <c r="D1032">
        <v>5</v>
      </c>
      <c r="E1032">
        <f t="shared" si="16"/>
        <v>14</v>
      </c>
      <c r="F1032" t="s">
        <v>821</v>
      </c>
      <c r="G1032">
        <v>0</v>
      </c>
    </row>
    <row r="1033" spans="1:7">
      <c r="A1033">
        <v>5</v>
      </c>
      <c r="B1033" t="s">
        <v>12037</v>
      </c>
      <c r="C1033" t="s">
        <v>12038</v>
      </c>
      <c r="D1033">
        <v>40</v>
      </c>
      <c r="E1033">
        <f t="shared" si="16"/>
        <v>14</v>
      </c>
      <c r="F1033" t="s">
        <v>821</v>
      </c>
      <c r="G1033">
        <v>35</v>
      </c>
    </row>
    <row r="1034" spans="1:7">
      <c r="A1034">
        <v>5</v>
      </c>
      <c r="B1034" t="s">
        <v>1387</v>
      </c>
      <c r="C1034" t="s">
        <v>1387</v>
      </c>
      <c r="E1034">
        <f t="shared" si="16"/>
        <v>14</v>
      </c>
      <c r="F1034" t="s">
        <v>821</v>
      </c>
      <c r="G1034">
        <v>5</v>
      </c>
    </row>
    <row r="1035" spans="1:7">
      <c r="A1035">
        <v>5</v>
      </c>
      <c r="B1035" t="s">
        <v>13908</v>
      </c>
      <c r="C1035" t="s">
        <v>13908</v>
      </c>
      <c r="E1035">
        <f t="shared" si="16"/>
        <v>14</v>
      </c>
    </row>
    <row r="1036" spans="1:7">
      <c r="A1036">
        <v>5</v>
      </c>
      <c r="B1036" t="s">
        <v>14114</v>
      </c>
      <c r="C1036" t="s">
        <v>14851</v>
      </c>
      <c r="E1036">
        <f t="shared" si="16"/>
        <v>14</v>
      </c>
    </row>
    <row r="1037" spans="1:7">
      <c r="A1037">
        <v>5</v>
      </c>
      <c r="B1037" t="s">
        <v>14518</v>
      </c>
      <c r="C1037" t="s">
        <v>14518</v>
      </c>
      <c r="E1037">
        <f t="shared" si="16"/>
        <v>14</v>
      </c>
    </row>
    <row r="1038" spans="1:7">
      <c r="A1038">
        <v>5</v>
      </c>
      <c r="B1038" t="s">
        <v>14818</v>
      </c>
      <c r="C1038" t="s">
        <v>15542</v>
      </c>
      <c r="E1038">
        <f t="shared" si="16"/>
        <v>14</v>
      </c>
    </row>
    <row r="1039" spans="1:7">
      <c r="A1039">
        <v>5</v>
      </c>
      <c r="B1039" t="s">
        <v>14960</v>
      </c>
      <c r="C1039" t="s">
        <v>14960</v>
      </c>
      <c r="D1039">
        <v>5</v>
      </c>
      <c r="E1039">
        <f t="shared" si="16"/>
        <v>14</v>
      </c>
      <c r="F1039" t="s">
        <v>821</v>
      </c>
      <c r="G1039">
        <v>0</v>
      </c>
    </row>
    <row r="1040" spans="1:7">
      <c r="A1040">
        <v>5</v>
      </c>
      <c r="B1040" t="s">
        <v>14984</v>
      </c>
      <c r="C1040" t="s">
        <v>14984</v>
      </c>
      <c r="D1040">
        <v>5</v>
      </c>
      <c r="E1040">
        <f t="shared" si="16"/>
        <v>14</v>
      </c>
      <c r="F1040" t="s">
        <v>821</v>
      </c>
      <c r="G1040">
        <v>0</v>
      </c>
    </row>
    <row r="1041" spans="1:7">
      <c r="A1041">
        <v>5</v>
      </c>
      <c r="B1041" t="s">
        <v>1901</v>
      </c>
      <c r="C1041" t="s">
        <v>1901</v>
      </c>
      <c r="D1041">
        <v>5</v>
      </c>
      <c r="E1041">
        <f t="shared" si="16"/>
        <v>13</v>
      </c>
      <c r="F1041" t="s">
        <v>821</v>
      </c>
      <c r="G1041">
        <v>1</v>
      </c>
    </row>
    <row r="1042" spans="1:7">
      <c r="A1042">
        <v>5</v>
      </c>
      <c r="B1042" t="s">
        <v>618</v>
      </c>
      <c r="C1042" t="s">
        <v>618</v>
      </c>
      <c r="D1042">
        <v>5</v>
      </c>
      <c r="E1042">
        <f t="shared" si="16"/>
        <v>13</v>
      </c>
      <c r="F1042" t="s">
        <v>821</v>
      </c>
      <c r="G1042">
        <v>1</v>
      </c>
    </row>
    <row r="1043" spans="1:7">
      <c r="A1043">
        <v>5</v>
      </c>
      <c r="B1043" t="s">
        <v>1878</v>
      </c>
      <c r="C1043" t="s">
        <v>1878</v>
      </c>
      <c r="D1043">
        <v>5</v>
      </c>
      <c r="E1043">
        <f t="shared" si="16"/>
        <v>13</v>
      </c>
      <c r="F1043" t="s">
        <v>821</v>
      </c>
      <c r="G1043">
        <v>1</v>
      </c>
    </row>
    <row r="1044" spans="1:7" ht="17.149999999999999" customHeight="1">
      <c r="A1044">
        <v>5</v>
      </c>
      <c r="B1044" t="s">
        <v>10900</v>
      </c>
      <c r="C1044" t="s">
        <v>10901</v>
      </c>
      <c r="D1044">
        <v>5</v>
      </c>
      <c r="E1044">
        <f t="shared" si="16"/>
        <v>13</v>
      </c>
      <c r="F1044" t="s">
        <v>821</v>
      </c>
      <c r="G1044">
        <v>0</v>
      </c>
    </row>
    <row r="1045" spans="1:7" ht="17.149999999999999" customHeight="1">
      <c r="A1045">
        <v>5</v>
      </c>
      <c r="B1045" t="s">
        <v>10907</v>
      </c>
      <c r="C1045" t="s">
        <v>10907</v>
      </c>
      <c r="D1045">
        <v>5</v>
      </c>
      <c r="E1045">
        <f t="shared" si="16"/>
        <v>13</v>
      </c>
      <c r="F1045" t="s">
        <v>821</v>
      </c>
      <c r="G1045">
        <v>0</v>
      </c>
    </row>
    <row r="1046" spans="1:7">
      <c r="A1046">
        <v>5</v>
      </c>
      <c r="B1046" t="s">
        <v>10771</v>
      </c>
      <c r="C1046" t="s">
        <v>10930</v>
      </c>
      <c r="D1046">
        <v>5</v>
      </c>
      <c r="E1046">
        <f t="shared" si="16"/>
        <v>13</v>
      </c>
      <c r="F1046" t="s">
        <v>821</v>
      </c>
      <c r="G1046">
        <v>0</v>
      </c>
    </row>
    <row r="1047" spans="1:7">
      <c r="A1047">
        <v>5</v>
      </c>
      <c r="B1047" t="s">
        <v>10935</v>
      </c>
      <c r="C1047" t="s">
        <v>13659</v>
      </c>
      <c r="D1047">
        <v>5</v>
      </c>
      <c r="E1047">
        <f t="shared" si="16"/>
        <v>13</v>
      </c>
      <c r="F1047" t="s">
        <v>821</v>
      </c>
      <c r="G1047">
        <v>0</v>
      </c>
    </row>
    <row r="1048" spans="1:7">
      <c r="A1048">
        <v>5</v>
      </c>
      <c r="B1048" t="s">
        <v>10942</v>
      </c>
      <c r="C1048" t="s">
        <v>10943</v>
      </c>
      <c r="D1048">
        <v>5</v>
      </c>
      <c r="E1048">
        <f t="shared" si="16"/>
        <v>13</v>
      </c>
      <c r="F1048" t="s">
        <v>821</v>
      </c>
      <c r="G1048">
        <v>0</v>
      </c>
    </row>
    <row r="1049" spans="1:7">
      <c r="A1049">
        <v>5</v>
      </c>
      <c r="B1049" t="s">
        <v>10948</v>
      </c>
      <c r="C1049" t="s">
        <v>10949</v>
      </c>
      <c r="D1049">
        <v>5</v>
      </c>
      <c r="E1049">
        <f t="shared" si="16"/>
        <v>13</v>
      </c>
      <c r="F1049" t="s">
        <v>821</v>
      </c>
      <c r="G1049">
        <v>0</v>
      </c>
    </row>
    <row r="1050" spans="1:7">
      <c r="A1050">
        <v>5</v>
      </c>
      <c r="B1050" t="s">
        <v>12048</v>
      </c>
      <c r="C1050" t="s">
        <v>13658</v>
      </c>
      <c r="D1050">
        <v>50</v>
      </c>
      <c r="E1050">
        <f t="shared" si="16"/>
        <v>13</v>
      </c>
      <c r="F1050" t="s">
        <v>821</v>
      </c>
      <c r="G1050">
        <v>45</v>
      </c>
    </row>
    <row r="1051" spans="1:7">
      <c r="A1051">
        <v>5</v>
      </c>
      <c r="B1051" t="s">
        <v>9324</v>
      </c>
      <c r="C1051" t="s">
        <v>12054</v>
      </c>
      <c r="D1051">
        <v>54</v>
      </c>
      <c r="E1051">
        <f t="shared" si="16"/>
        <v>13</v>
      </c>
      <c r="F1051" t="s">
        <v>821</v>
      </c>
      <c r="G1051">
        <v>49</v>
      </c>
    </row>
    <row r="1052" spans="1:7">
      <c r="A1052">
        <v>5</v>
      </c>
      <c r="B1052" t="s">
        <v>12062</v>
      </c>
      <c r="C1052" t="s">
        <v>12062</v>
      </c>
      <c r="D1052">
        <v>59</v>
      </c>
      <c r="E1052">
        <f t="shared" si="16"/>
        <v>13</v>
      </c>
      <c r="F1052" t="s">
        <v>821</v>
      </c>
      <c r="G1052">
        <v>54</v>
      </c>
    </row>
    <row r="1053" spans="1:7">
      <c r="A1053">
        <v>5</v>
      </c>
      <c r="B1053" t="s">
        <v>19</v>
      </c>
      <c r="C1053" t="s">
        <v>19</v>
      </c>
      <c r="E1053">
        <f t="shared" si="16"/>
        <v>13</v>
      </c>
      <c r="F1053" t="s">
        <v>821</v>
      </c>
      <c r="G1053">
        <v>3</v>
      </c>
    </row>
    <row r="1054" spans="1:7">
      <c r="A1054">
        <v>5</v>
      </c>
      <c r="B1054" t="s">
        <v>10771</v>
      </c>
      <c r="C1054" t="s">
        <v>10771</v>
      </c>
      <c r="E1054">
        <f t="shared" si="16"/>
        <v>13</v>
      </c>
      <c r="F1054" t="s">
        <v>821</v>
      </c>
      <c r="G1054">
        <v>7</v>
      </c>
    </row>
    <row r="1055" spans="1:7">
      <c r="A1055">
        <v>5</v>
      </c>
      <c r="B1055" t="s">
        <v>13932</v>
      </c>
      <c r="C1055" t="s">
        <v>13932</v>
      </c>
      <c r="E1055">
        <f t="shared" si="16"/>
        <v>13</v>
      </c>
    </row>
    <row r="1056" spans="1:7">
      <c r="A1056">
        <v>5</v>
      </c>
      <c r="B1056" t="s">
        <v>14145</v>
      </c>
      <c r="C1056" t="s">
        <v>14145</v>
      </c>
      <c r="E1056">
        <f t="shared" si="16"/>
        <v>13</v>
      </c>
    </row>
    <row r="1057" spans="1:7">
      <c r="A1057">
        <v>5</v>
      </c>
      <c r="B1057" t="s">
        <v>14210</v>
      </c>
      <c r="C1057" t="s">
        <v>15545</v>
      </c>
      <c r="E1057">
        <f t="shared" si="16"/>
        <v>13</v>
      </c>
    </row>
    <row r="1058" spans="1:7">
      <c r="A1058">
        <v>5</v>
      </c>
      <c r="B1058" t="s">
        <v>14553</v>
      </c>
      <c r="C1058" t="s">
        <v>14553</v>
      </c>
      <c r="E1058">
        <f t="shared" si="16"/>
        <v>13</v>
      </c>
    </row>
    <row r="1059" spans="1:7">
      <c r="A1059">
        <v>5</v>
      </c>
      <c r="B1059" t="s">
        <v>14578</v>
      </c>
      <c r="C1059" t="s">
        <v>14884</v>
      </c>
      <c r="E1059">
        <f t="shared" si="16"/>
        <v>13</v>
      </c>
    </row>
    <row r="1060" spans="1:7">
      <c r="A1060">
        <v>5</v>
      </c>
      <c r="B1060" t="s">
        <v>15460</v>
      </c>
      <c r="C1060" t="s">
        <v>15460</v>
      </c>
      <c r="D1060">
        <v>5</v>
      </c>
      <c r="E1060">
        <f t="shared" si="16"/>
        <v>13</v>
      </c>
      <c r="F1060" t="s">
        <v>821</v>
      </c>
      <c r="G1060">
        <v>0</v>
      </c>
    </row>
    <row r="1061" spans="1:7">
      <c r="A1061">
        <v>5</v>
      </c>
      <c r="B1061" t="s">
        <v>611</v>
      </c>
      <c r="C1061" t="s">
        <v>702</v>
      </c>
      <c r="D1061">
        <v>5</v>
      </c>
      <c r="E1061">
        <f t="shared" si="16"/>
        <v>12</v>
      </c>
      <c r="F1061" t="s">
        <v>821</v>
      </c>
      <c r="G1061">
        <v>1</v>
      </c>
    </row>
    <row r="1062" spans="1:7">
      <c r="A1062">
        <v>5</v>
      </c>
      <c r="B1062" t="s">
        <v>1891</v>
      </c>
      <c r="C1062" t="s">
        <v>1892</v>
      </c>
      <c r="D1062">
        <v>5</v>
      </c>
      <c r="E1062">
        <f t="shared" si="16"/>
        <v>12</v>
      </c>
      <c r="F1062" t="s">
        <v>821</v>
      </c>
      <c r="G1062">
        <v>1</v>
      </c>
    </row>
    <row r="1063" spans="1:7">
      <c r="A1063">
        <v>5</v>
      </c>
      <c r="B1063" t="s">
        <v>1186</v>
      </c>
      <c r="C1063" t="s">
        <v>1186</v>
      </c>
      <c r="D1063">
        <v>5</v>
      </c>
      <c r="E1063">
        <f t="shared" si="16"/>
        <v>12</v>
      </c>
      <c r="F1063" t="s">
        <v>821</v>
      </c>
      <c r="G1063">
        <v>1</v>
      </c>
    </row>
    <row r="1064" spans="1:7">
      <c r="A1064">
        <v>5</v>
      </c>
      <c r="B1064" t="s">
        <v>1894</v>
      </c>
      <c r="C1064" t="s">
        <v>1895</v>
      </c>
      <c r="D1064">
        <v>5</v>
      </c>
      <c r="E1064">
        <f t="shared" si="16"/>
        <v>12</v>
      </c>
      <c r="F1064" t="s">
        <v>821</v>
      </c>
      <c r="G1064">
        <v>1</v>
      </c>
    </row>
    <row r="1065" spans="1:7">
      <c r="A1065">
        <v>5</v>
      </c>
      <c r="B1065" t="s">
        <v>1862</v>
      </c>
      <c r="C1065" t="s">
        <v>1862</v>
      </c>
      <c r="D1065">
        <v>5</v>
      </c>
      <c r="E1065">
        <f t="shared" si="16"/>
        <v>12</v>
      </c>
      <c r="F1065" t="s">
        <v>821</v>
      </c>
      <c r="G1065">
        <v>1</v>
      </c>
    </row>
    <row r="1066" spans="1:7">
      <c r="A1066">
        <v>5</v>
      </c>
      <c r="B1066" t="s">
        <v>6611</v>
      </c>
      <c r="C1066" t="s">
        <v>6611</v>
      </c>
      <c r="D1066">
        <v>5</v>
      </c>
      <c r="E1066">
        <f t="shared" si="16"/>
        <v>12</v>
      </c>
      <c r="G1066">
        <v>1</v>
      </c>
    </row>
    <row r="1067" spans="1:7">
      <c r="A1067">
        <v>5</v>
      </c>
      <c r="B1067" t="s">
        <v>6625</v>
      </c>
      <c r="C1067" t="s">
        <v>6625</v>
      </c>
      <c r="D1067">
        <v>5</v>
      </c>
      <c r="E1067">
        <f t="shared" si="16"/>
        <v>12</v>
      </c>
      <c r="G1067">
        <v>1</v>
      </c>
    </row>
    <row r="1068" spans="1:7">
      <c r="A1068">
        <v>5</v>
      </c>
      <c r="B1068" t="s">
        <v>6637</v>
      </c>
      <c r="C1068" t="s">
        <v>6637</v>
      </c>
      <c r="D1068">
        <v>5</v>
      </c>
      <c r="E1068">
        <f t="shared" si="16"/>
        <v>12</v>
      </c>
      <c r="G1068">
        <v>1</v>
      </c>
    </row>
    <row r="1069" spans="1:7">
      <c r="A1069">
        <v>5</v>
      </c>
      <c r="B1069" t="s">
        <v>6638</v>
      </c>
      <c r="C1069" t="s">
        <v>6638</v>
      </c>
      <c r="D1069">
        <v>5</v>
      </c>
      <c r="E1069">
        <f t="shared" si="16"/>
        <v>12</v>
      </c>
      <c r="G1069">
        <v>1</v>
      </c>
    </row>
    <row r="1070" spans="1:7">
      <c r="A1070">
        <v>5</v>
      </c>
      <c r="B1070" t="s">
        <v>6647</v>
      </c>
      <c r="C1070" t="s">
        <v>6647</v>
      </c>
      <c r="D1070">
        <v>5</v>
      </c>
      <c r="E1070">
        <f t="shared" si="16"/>
        <v>12</v>
      </c>
      <c r="G1070">
        <v>1</v>
      </c>
    </row>
    <row r="1071" spans="1:7">
      <c r="A1071">
        <v>5</v>
      </c>
      <c r="B1071" t="s">
        <v>6779</v>
      </c>
      <c r="C1071" t="s">
        <v>6779</v>
      </c>
      <c r="D1071">
        <v>5</v>
      </c>
      <c r="E1071">
        <f t="shared" si="16"/>
        <v>12</v>
      </c>
      <c r="G1071">
        <v>1</v>
      </c>
    </row>
    <row r="1072" spans="1:7">
      <c r="A1072">
        <v>5</v>
      </c>
      <c r="B1072" t="s">
        <v>6854</v>
      </c>
      <c r="C1072" t="s">
        <v>6854</v>
      </c>
      <c r="D1072">
        <v>5</v>
      </c>
      <c r="E1072">
        <f t="shared" si="16"/>
        <v>12</v>
      </c>
      <c r="G1072">
        <v>1</v>
      </c>
    </row>
    <row r="1073" spans="1:7">
      <c r="A1073">
        <v>5</v>
      </c>
      <c r="B1073" t="s">
        <v>7071</v>
      </c>
      <c r="C1073" t="s">
        <v>7071</v>
      </c>
      <c r="D1073">
        <v>5</v>
      </c>
      <c r="E1073">
        <f t="shared" si="16"/>
        <v>12</v>
      </c>
      <c r="F1073" t="s">
        <v>822</v>
      </c>
      <c r="G1073">
        <v>1</v>
      </c>
    </row>
    <row r="1074" spans="1:7">
      <c r="A1074">
        <v>5</v>
      </c>
      <c r="B1074" t="s">
        <v>614</v>
      </c>
      <c r="C1074" t="s">
        <v>614</v>
      </c>
      <c r="D1074">
        <v>5</v>
      </c>
      <c r="E1074">
        <f t="shared" si="16"/>
        <v>12</v>
      </c>
      <c r="G1074">
        <v>1</v>
      </c>
    </row>
    <row r="1075" spans="1:7">
      <c r="A1075">
        <v>5</v>
      </c>
      <c r="B1075" t="s">
        <v>10322</v>
      </c>
      <c r="C1075" t="s">
        <v>10396</v>
      </c>
      <c r="D1075">
        <v>5</v>
      </c>
      <c r="E1075">
        <f t="shared" si="16"/>
        <v>12</v>
      </c>
      <c r="G1075">
        <v>1</v>
      </c>
    </row>
    <row r="1076" spans="1:7">
      <c r="A1076">
        <v>5</v>
      </c>
      <c r="B1076" t="s">
        <v>10327</v>
      </c>
      <c r="C1076" t="s">
        <v>10327</v>
      </c>
      <c r="D1076">
        <v>5</v>
      </c>
      <c r="E1076">
        <f t="shared" si="16"/>
        <v>12</v>
      </c>
      <c r="G1076">
        <v>1</v>
      </c>
    </row>
    <row r="1077" spans="1:7">
      <c r="A1077">
        <v>5</v>
      </c>
      <c r="B1077" t="s">
        <v>10893</v>
      </c>
      <c r="C1077" t="s">
        <v>10893</v>
      </c>
      <c r="D1077">
        <v>5</v>
      </c>
      <c r="E1077">
        <f t="shared" si="16"/>
        <v>12</v>
      </c>
      <c r="F1077" t="s">
        <v>821</v>
      </c>
      <c r="G1077">
        <v>0</v>
      </c>
    </row>
    <row r="1078" spans="1:7">
      <c r="A1078">
        <v>5</v>
      </c>
      <c r="B1078" t="s">
        <v>10894</v>
      </c>
      <c r="C1078" t="s">
        <v>10894</v>
      </c>
      <c r="D1078">
        <v>5</v>
      </c>
      <c r="E1078">
        <f t="shared" si="16"/>
        <v>12</v>
      </c>
      <c r="F1078" t="s">
        <v>821</v>
      </c>
      <c r="G1078">
        <v>0</v>
      </c>
    </row>
    <row r="1079" spans="1:7">
      <c r="A1079">
        <v>5</v>
      </c>
      <c r="B1079" t="s">
        <v>10897</v>
      </c>
      <c r="C1079" t="s">
        <v>10897</v>
      </c>
      <c r="D1079">
        <v>5</v>
      </c>
      <c r="E1079">
        <f t="shared" si="16"/>
        <v>12</v>
      </c>
      <c r="F1079" t="s">
        <v>821</v>
      </c>
      <c r="G1079">
        <v>0</v>
      </c>
    </row>
    <row r="1080" spans="1:7">
      <c r="A1080">
        <v>5</v>
      </c>
      <c r="B1080" t="s">
        <v>505</v>
      </c>
      <c r="C1080" t="s">
        <v>505</v>
      </c>
      <c r="D1080">
        <v>5</v>
      </c>
      <c r="E1080">
        <f t="shared" si="16"/>
        <v>12</v>
      </c>
      <c r="F1080" t="s">
        <v>821</v>
      </c>
      <c r="G1080">
        <v>0</v>
      </c>
    </row>
    <row r="1081" spans="1:7">
      <c r="A1081">
        <v>5</v>
      </c>
      <c r="B1081" t="s">
        <v>10921</v>
      </c>
      <c r="C1081" t="s">
        <v>10921</v>
      </c>
      <c r="D1081">
        <v>5</v>
      </c>
      <c r="E1081">
        <f t="shared" si="16"/>
        <v>12</v>
      </c>
      <c r="F1081" t="s">
        <v>821</v>
      </c>
      <c r="G1081">
        <v>0</v>
      </c>
    </row>
    <row r="1082" spans="1:7">
      <c r="A1082">
        <v>5</v>
      </c>
      <c r="B1082" t="s">
        <v>10932</v>
      </c>
      <c r="C1082" t="s">
        <v>10933</v>
      </c>
      <c r="D1082">
        <v>5</v>
      </c>
      <c r="E1082">
        <f t="shared" si="16"/>
        <v>12</v>
      </c>
      <c r="F1082" t="s">
        <v>821</v>
      </c>
      <c r="G1082">
        <v>0</v>
      </c>
    </row>
    <row r="1083" spans="1:7">
      <c r="A1083">
        <v>5</v>
      </c>
      <c r="B1083" t="s">
        <v>10893</v>
      </c>
      <c r="C1083" t="s">
        <v>13656</v>
      </c>
      <c r="D1083">
        <v>9</v>
      </c>
      <c r="E1083">
        <f t="shared" si="16"/>
        <v>12</v>
      </c>
      <c r="F1083" t="s">
        <v>821</v>
      </c>
      <c r="G1083">
        <v>4</v>
      </c>
    </row>
    <row r="1084" spans="1:7">
      <c r="A1084">
        <v>5</v>
      </c>
      <c r="B1084" t="s">
        <v>12020</v>
      </c>
      <c r="C1084" t="s">
        <v>12020</v>
      </c>
      <c r="D1084">
        <v>24</v>
      </c>
      <c r="E1084">
        <f t="shared" si="16"/>
        <v>12</v>
      </c>
      <c r="F1084" t="s">
        <v>821</v>
      </c>
      <c r="G1084">
        <v>19</v>
      </c>
    </row>
    <row r="1085" spans="1:7">
      <c r="A1085">
        <v>5</v>
      </c>
      <c r="B1085" t="s">
        <v>12025</v>
      </c>
      <c r="C1085" t="s">
        <v>12025</v>
      </c>
      <c r="D1085">
        <v>30</v>
      </c>
      <c r="E1085">
        <f t="shared" si="16"/>
        <v>12</v>
      </c>
      <c r="F1085" t="s">
        <v>821</v>
      </c>
      <c r="G1085">
        <v>25</v>
      </c>
    </row>
    <row r="1086" spans="1:7">
      <c r="A1086">
        <v>5</v>
      </c>
      <c r="B1086" t="s">
        <v>7618</v>
      </c>
      <c r="C1086" t="s">
        <v>7618</v>
      </c>
      <c r="E1086">
        <f t="shared" si="16"/>
        <v>12</v>
      </c>
      <c r="F1086" t="s">
        <v>821</v>
      </c>
      <c r="G1086">
        <v>2</v>
      </c>
    </row>
    <row r="1087" spans="1:7">
      <c r="A1087">
        <v>5</v>
      </c>
      <c r="B1087" t="s">
        <v>10797</v>
      </c>
      <c r="C1087" t="s">
        <v>10797</v>
      </c>
      <c r="E1087">
        <f t="shared" si="16"/>
        <v>12</v>
      </c>
      <c r="F1087" t="s">
        <v>821</v>
      </c>
      <c r="G1087">
        <v>17</v>
      </c>
    </row>
    <row r="1088" spans="1:7">
      <c r="A1088">
        <v>5</v>
      </c>
      <c r="B1088" t="s">
        <v>14253</v>
      </c>
      <c r="C1088" t="s">
        <v>14253</v>
      </c>
      <c r="E1088">
        <f t="shared" si="16"/>
        <v>12</v>
      </c>
    </row>
    <row r="1089" spans="1:7">
      <c r="A1089">
        <v>5</v>
      </c>
      <c r="B1089" t="s">
        <v>14260</v>
      </c>
      <c r="C1089" t="s">
        <v>14856</v>
      </c>
      <c r="E1089">
        <f t="shared" si="16"/>
        <v>12</v>
      </c>
    </row>
    <row r="1090" spans="1:7">
      <c r="A1090">
        <v>5</v>
      </c>
      <c r="B1090" t="s">
        <v>14544</v>
      </c>
      <c r="C1090" t="s">
        <v>14882</v>
      </c>
      <c r="E1090">
        <f t="shared" si="16"/>
        <v>12</v>
      </c>
    </row>
    <row r="1091" spans="1:7">
      <c r="A1091">
        <v>5</v>
      </c>
      <c r="B1091" t="s">
        <v>14962</v>
      </c>
      <c r="C1091" t="s">
        <v>14962</v>
      </c>
      <c r="D1091">
        <v>5</v>
      </c>
      <c r="E1091">
        <f t="shared" ref="E1091:E1153" si="17">LEN(B1091)</f>
        <v>12</v>
      </c>
      <c r="F1091" t="s">
        <v>821</v>
      </c>
      <c r="G1091">
        <v>0</v>
      </c>
    </row>
    <row r="1092" spans="1:7">
      <c r="A1092">
        <v>5</v>
      </c>
      <c r="B1092" t="s">
        <v>9220</v>
      </c>
      <c r="C1092" t="s">
        <v>9220</v>
      </c>
      <c r="D1092">
        <v>5</v>
      </c>
      <c r="E1092">
        <f t="shared" si="17"/>
        <v>12</v>
      </c>
      <c r="F1092" t="s">
        <v>821</v>
      </c>
      <c r="G1092">
        <v>0</v>
      </c>
    </row>
    <row r="1093" spans="1:7">
      <c r="A1093">
        <v>5</v>
      </c>
      <c r="B1093" t="s">
        <v>15106</v>
      </c>
      <c r="C1093" t="s">
        <v>15106</v>
      </c>
      <c r="D1093">
        <v>5</v>
      </c>
      <c r="E1093">
        <f t="shared" si="17"/>
        <v>12</v>
      </c>
      <c r="F1093" t="s">
        <v>821</v>
      </c>
      <c r="G1093">
        <v>0</v>
      </c>
    </row>
    <row r="1094" spans="1:7">
      <c r="A1094">
        <v>5</v>
      </c>
      <c r="B1094" t="s">
        <v>15134</v>
      </c>
      <c r="C1094" t="s">
        <v>15523</v>
      </c>
      <c r="D1094">
        <v>5</v>
      </c>
      <c r="E1094">
        <f t="shared" si="17"/>
        <v>12</v>
      </c>
      <c r="F1094" t="s">
        <v>821</v>
      </c>
      <c r="G1094">
        <v>0</v>
      </c>
    </row>
    <row r="1095" spans="1:7">
      <c r="A1095">
        <v>5</v>
      </c>
      <c r="B1095" t="s">
        <v>15281</v>
      </c>
      <c r="C1095" t="s">
        <v>15281</v>
      </c>
      <c r="D1095">
        <v>5</v>
      </c>
      <c r="E1095">
        <f t="shared" si="17"/>
        <v>12</v>
      </c>
      <c r="F1095" t="s">
        <v>821</v>
      </c>
      <c r="G1095">
        <v>0</v>
      </c>
    </row>
    <row r="1096" spans="1:7">
      <c r="A1096">
        <v>5</v>
      </c>
      <c r="B1096" t="s">
        <v>15288</v>
      </c>
      <c r="C1096" t="s">
        <v>15288</v>
      </c>
      <c r="D1096">
        <v>5</v>
      </c>
      <c r="E1096">
        <f t="shared" si="17"/>
        <v>12</v>
      </c>
      <c r="F1096" t="s">
        <v>821</v>
      </c>
      <c r="G1096">
        <v>0</v>
      </c>
    </row>
    <row r="1097" spans="1:7">
      <c r="A1097">
        <v>5</v>
      </c>
      <c r="B1097" t="s">
        <v>15462</v>
      </c>
      <c r="C1097" t="s">
        <v>15462</v>
      </c>
      <c r="D1097">
        <v>5</v>
      </c>
      <c r="E1097">
        <f t="shared" si="17"/>
        <v>12</v>
      </c>
      <c r="F1097" t="s">
        <v>821</v>
      </c>
      <c r="G1097">
        <v>0</v>
      </c>
    </row>
    <row r="1098" spans="1:7">
      <c r="A1098">
        <v>5</v>
      </c>
      <c r="B1098" t="s">
        <v>1903</v>
      </c>
      <c r="C1098" t="s">
        <v>5112</v>
      </c>
      <c r="D1098">
        <v>5</v>
      </c>
      <c r="E1098">
        <f t="shared" si="17"/>
        <v>11</v>
      </c>
      <c r="F1098" t="s">
        <v>821</v>
      </c>
      <c r="G1098">
        <v>1</v>
      </c>
    </row>
    <row r="1099" spans="1:7">
      <c r="A1099">
        <v>5</v>
      </c>
      <c r="B1099" t="s">
        <v>425</v>
      </c>
      <c r="C1099" t="s">
        <v>425</v>
      </c>
      <c r="D1099">
        <v>5</v>
      </c>
      <c r="E1099">
        <f t="shared" si="17"/>
        <v>11</v>
      </c>
      <c r="F1099" t="s">
        <v>821</v>
      </c>
      <c r="G1099">
        <v>1</v>
      </c>
    </row>
    <row r="1100" spans="1:7">
      <c r="A1100">
        <v>5</v>
      </c>
      <c r="B1100" t="s">
        <v>1290</v>
      </c>
      <c r="C1100" t="s">
        <v>1290</v>
      </c>
      <c r="D1100">
        <v>5</v>
      </c>
      <c r="E1100">
        <f t="shared" si="17"/>
        <v>11</v>
      </c>
      <c r="F1100" t="s">
        <v>821</v>
      </c>
      <c r="G1100">
        <v>1</v>
      </c>
    </row>
    <row r="1101" spans="1:7">
      <c r="A1101">
        <v>5</v>
      </c>
      <c r="B1101" t="s">
        <v>1883</v>
      </c>
      <c r="C1101" t="s">
        <v>1883</v>
      </c>
      <c r="D1101">
        <v>5</v>
      </c>
      <c r="E1101">
        <f t="shared" si="17"/>
        <v>11</v>
      </c>
      <c r="F1101" t="s">
        <v>821</v>
      </c>
      <c r="G1101">
        <v>1</v>
      </c>
    </row>
    <row r="1102" spans="1:7">
      <c r="A1102">
        <v>5</v>
      </c>
      <c r="B1102" t="s">
        <v>125</v>
      </c>
      <c r="C1102" t="s">
        <v>7133</v>
      </c>
      <c r="D1102">
        <v>5</v>
      </c>
      <c r="E1102">
        <f t="shared" si="17"/>
        <v>11</v>
      </c>
      <c r="F1102" t="s">
        <v>821</v>
      </c>
      <c r="G1102">
        <v>1</v>
      </c>
    </row>
    <row r="1103" spans="1:7">
      <c r="A1103">
        <v>5</v>
      </c>
      <c r="B1103" t="s">
        <v>1112</v>
      </c>
      <c r="C1103" t="s">
        <v>1112</v>
      </c>
      <c r="D1103">
        <v>5</v>
      </c>
      <c r="E1103">
        <f t="shared" si="17"/>
        <v>11</v>
      </c>
      <c r="F1103" t="s">
        <v>821</v>
      </c>
      <c r="G1103">
        <v>1</v>
      </c>
    </row>
    <row r="1104" spans="1:7">
      <c r="A1104">
        <v>5</v>
      </c>
      <c r="B1104" t="s">
        <v>1858</v>
      </c>
      <c r="C1104" t="s">
        <v>1858</v>
      </c>
      <c r="D1104">
        <v>5</v>
      </c>
      <c r="E1104">
        <f t="shared" si="17"/>
        <v>11</v>
      </c>
      <c r="F1104" t="s">
        <v>821</v>
      </c>
      <c r="G1104">
        <v>1</v>
      </c>
    </row>
    <row r="1105" spans="1:7">
      <c r="A1105">
        <v>5</v>
      </c>
      <c r="B1105" t="s">
        <v>1344</v>
      </c>
      <c r="C1105" t="s">
        <v>1873</v>
      </c>
      <c r="D1105">
        <v>5</v>
      </c>
      <c r="E1105">
        <f t="shared" si="17"/>
        <v>11</v>
      </c>
      <c r="F1105" t="s">
        <v>821</v>
      </c>
      <c r="G1105">
        <v>1</v>
      </c>
    </row>
    <row r="1106" spans="1:7">
      <c r="A1106">
        <v>5</v>
      </c>
      <c r="B1106" t="s">
        <v>1121</v>
      </c>
      <c r="C1106" t="s">
        <v>1881</v>
      </c>
      <c r="D1106">
        <v>5</v>
      </c>
      <c r="E1106">
        <f t="shared" si="17"/>
        <v>11</v>
      </c>
      <c r="F1106" t="s">
        <v>822</v>
      </c>
      <c r="G1106">
        <v>1</v>
      </c>
    </row>
    <row r="1107" spans="1:7">
      <c r="A1107">
        <v>5</v>
      </c>
      <c r="B1107" t="s">
        <v>161</v>
      </c>
      <c r="C1107" t="s">
        <v>6541</v>
      </c>
      <c r="D1107">
        <v>5</v>
      </c>
      <c r="E1107">
        <f t="shared" si="17"/>
        <v>11</v>
      </c>
      <c r="F1107" t="s">
        <v>821</v>
      </c>
      <c r="G1107">
        <v>1</v>
      </c>
    </row>
    <row r="1108" spans="1:7">
      <c r="A1108">
        <v>5</v>
      </c>
      <c r="B1108" t="s">
        <v>1882</v>
      </c>
      <c r="C1108" t="s">
        <v>1882</v>
      </c>
      <c r="D1108">
        <v>5</v>
      </c>
      <c r="E1108">
        <f t="shared" si="17"/>
        <v>11</v>
      </c>
      <c r="F1108" t="s">
        <v>822</v>
      </c>
      <c r="G1108">
        <v>1</v>
      </c>
    </row>
    <row r="1109" spans="1:7">
      <c r="A1109">
        <v>5</v>
      </c>
      <c r="B1109" t="s">
        <v>1904</v>
      </c>
      <c r="C1109" t="s">
        <v>1904</v>
      </c>
      <c r="D1109">
        <v>5</v>
      </c>
      <c r="E1109">
        <f t="shared" si="17"/>
        <v>11</v>
      </c>
      <c r="F1109" t="s">
        <v>821</v>
      </c>
      <c r="G1109">
        <v>1</v>
      </c>
    </row>
    <row r="1110" spans="1:7">
      <c r="A1110">
        <v>5</v>
      </c>
      <c r="B1110" t="s">
        <v>186</v>
      </c>
      <c r="C1110" t="s">
        <v>33</v>
      </c>
      <c r="D1110">
        <v>5</v>
      </c>
      <c r="E1110">
        <f t="shared" si="17"/>
        <v>11</v>
      </c>
      <c r="F1110" t="s">
        <v>821</v>
      </c>
      <c r="G1110">
        <v>1</v>
      </c>
    </row>
    <row r="1111" spans="1:7">
      <c r="A1111">
        <v>5</v>
      </c>
      <c r="B1111" t="s">
        <v>1902</v>
      </c>
      <c r="C1111" t="s">
        <v>1902</v>
      </c>
      <c r="D1111">
        <v>5</v>
      </c>
      <c r="E1111">
        <f t="shared" si="17"/>
        <v>11</v>
      </c>
      <c r="F1111" t="s">
        <v>821</v>
      </c>
      <c r="G1111">
        <v>1</v>
      </c>
    </row>
    <row r="1112" spans="1:7">
      <c r="A1112">
        <v>5</v>
      </c>
      <c r="B1112" t="s">
        <v>6623</v>
      </c>
      <c r="C1112" t="s">
        <v>6623</v>
      </c>
      <c r="D1112">
        <v>5</v>
      </c>
      <c r="E1112">
        <f t="shared" si="17"/>
        <v>11</v>
      </c>
      <c r="G1112">
        <v>1</v>
      </c>
    </row>
    <row r="1113" spans="1:7">
      <c r="A1113">
        <v>5</v>
      </c>
      <c r="B1113" t="s">
        <v>6724</v>
      </c>
      <c r="C1113" t="s">
        <v>6724</v>
      </c>
      <c r="D1113">
        <v>5</v>
      </c>
      <c r="E1113">
        <f t="shared" si="17"/>
        <v>11</v>
      </c>
      <c r="G1113">
        <v>1</v>
      </c>
    </row>
    <row r="1114" spans="1:7">
      <c r="A1114">
        <v>5</v>
      </c>
      <c r="B1114" t="s">
        <v>6804</v>
      </c>
      <c r="C1114" t="s">
        <v>6804</v>
      </c>
      <c r="D1114">
        <v>5</v>
      </c>
      <c r="E1114">
        <f t="shared" si="17"/>
        <v>11</v>
      </c>
      <c r="G1114">
        <v>1</v>
      </c>
    </row>
    <row r="1115" spans="1:7">
      <c r="A1115">
        <v>5</v>
      </c>
      <c r="B1115" t="s">
        <v>6820</v>
      </c>
      <c r="C1115" t="s">
        <v>6820</v>
      </c>
      <c r="D1115">
        <v>5</v>
      </c>
      <c r="E1115">
        <f t="shared" si="17"/>
        <v>11</v>
      </c>
      <c r="G1115">
        <v>1</v>
      </c>
    </row>
    <row r="1116" spans="1:7">
      <c r="A1116">
        <v>5</v>
      </c>
      <c r="B1116" t="s">
        <v>10326</v>
      </c>
      <c r="C1116" t="s">
        <v>10326</v>
      </c>
      <c r="D1116">
        <v>5</v>
      </c>
      <c r="E1116">
        <f t="shared" si="17"/>
        <v>11</v>
      </c>
      <c r="G1116">
        <v>1</v>
      </c>
    </row>
    <row r="1117" spans="1:7">
      <c r="A1117">
        <v>5</v>
      </c>
      <c r="B1117" t="s">
        <v>10337</v>
      </c>
      <c r="C1117" t="s">
        <v>10337</v>
      </c>
      <c r="D1117">
        <v>5</v>
      </c>
      <c r="E1117">
        <f t="shared" si="17"/>
        <v>11</v>
      </c>
      <c r="G1117">
        <v>1</v>
      </c>
    </row>
    <row r="1118" spans="1:7">
      <c r="A1118">
        <v>5</v>
      </c>
      <c r="B1118" t="s">
        <v>10908</v>
      </c>
      <c r="C1118" t="s">
        <v>10908</v>
      </c>
      <c r="D1118">
        <v>5</v>
      </c>
      <c r="E1118">
        <f t="shared" si="17"/>
        <v>11</v>
      </c>
      <c r="F1118" t="s">
        <v>821</v>
      </c>
      <c r="G1118">
        <v>0</v>
      </c>
    </row>
    <row r="1119" spans="1:7">
      <c r="A1119">
        <v>5</v>
      </c>
      <c r="B1119" t="s">
        <v>10909</v>
      </c>
      <c r="C1119" t="s">
        <v>10909</v>
      </c>
      <c r="D1119">
        <v>5</v>
      </c>
      <c r="E1119">
        <f t="shared" si="17"/>
        <v>11</v>
      </c>
      <c r="F1119" t="s">
        <v>821</v>
      </c>
      <c r="G1119">
        <v>0</v>
      </c>
    </row>
    <row r="1120" spans="1:7">
      <c r="A1120">
        <v>5</v>
      </c>
      <c r="B1120" t="s">
        <v>499</v>
      </c>
      <c r="C1120" t="s">
        <v>499</v>
      </c>
      <c r="D1120">
        <v>5</v>
      </c>
      <c r="E1120">
        <f t="shared" si="17"/>
        <v>11</v>
      </c>
      <c r="F1120" t="s">
        <v>821</v>
      </c>
      <c r="G1120">
        <v>0</v>
      </c>
    </row>
    <row r="1121" spans="1:7">
      <c r="A1121">
        <v>5</v>
      </c>
      <c r="B1121" t="s">
        <v>10924</v>
      </c>
      <c r="C1121" t="s">
        <v>10924</v>
      </c>
      <c r="D1121">
        <v>5</v>
      </c>
      <c r="E1121">
        <f t="shared" si="17"/>
        <v>11</v>
      </c>
      <c r="F1121" t="s">
        <v>821</v>
      </c>
      <c r="G1121">
        <v>0</v>
      </c>
    </row>
    <row r="1122" spans="1:7">
      <c r="A1122">
        <v>5</v>
      </c>
      <c r="B1122" t="s">
        <v>10940</v>
      </c>
      <c r="C1122" t="s">
        <v>10941</v>
      </c>
      <c r="D1122">
        <v>5</v>
      </c>
      <c r="E1122">
        <f t="shared" si="17"/>
        <v>11</v>
      </c>
      <c r="F1122" t="s">
        <v>821</v>
      </c>
      <c r="G1122">
        <v>0</v>
      </c>
    </row>
    <row r="1123" spans="1:7">
      <c r="A1123">
        <v>5</v>
      </c>
      <c r="B1123" t="s">
        <v>10391</v>
      </c>
      <c r="C1123" t="s">
        <v>10391</v>
      </c>
      <c r="D1123">
        <v>5.5</v>
      </c>
      <c r="E1123">
        <f t="shared" si="17"/>
        <v>11</v>
      </c>
      <c r="G1123">
        <v>1</v>
      </c>
    </row>
    <row r="1124" spans="1:7">
      <c r="A1124">
        <v>5</v>
      </c>
      <c r="B1124" t="s">
        <v>515</v>
      </c>
      <c r="C1124" t="s">
        <v>12006</v>
      </c>
      <c r="D1124">
        <v>12</v>
      </c>
      <c r="E1124">
        <f t="shared" si="17"/>
        <v>11</v>
      </c>
      <c r="F1124" t="s">
        <v>821</v>
      </c>
      <c r="G1124">
        <v>7</v>
      </c>
    </row>
    <row r="1125" spans="1:7">
      <c r="A1125">
        <v>5</v>
      </c>
      <c r="B1125" t="s">
        <v>12023</v>
      </c>
      <c r="C1125" t="s">
        <v>12023</v>
      </c>
      <c r="D1125">
        <v>28</v>
      </c>
      <c r="E1125">
        <f t="shared" si="17"/>
        <v>11</v>
      </c>
      <c r="F1125" t="s">
        <v>821</v>
      </c>
      <c r="G1125">
        <v>23</v>
      </c>
    </row>
    <row r="1126" spans="1:7">
      <c r="A1126">
        <v>5</v>
      </c>
      <c r="B1126" t="s">
        <v>12026</v>
      </c>
      <c r="C1126" t="s">
        <v>12026</v>
      </c>
      <c r="D1126">
        <v>31</v>
      </c>
      <c r="E1126">
        <f t="shared" si="17"/>
        <v>11</v>
      </c>
      <c r="F1126" t="s">
        <v>821</v>
      </c>
      <c r="G1126">
        <v>26</v>
      </c>
    </row>
    <row r="1127" spans="1:7">
      <c r="A1127">
        <v>5</v>
      </c>
      <c r="B1127" t="s">
        <v>12036</v>
      </c>
      <c r="C1127" t="s">
        <v>12036</v>
      </c>
      <c r="D1127">
        <v>39</v>
      </c>
      <c r="E1127">
        <f t="shared" si="17"/>
        <v>11</v>
      </c>
      <c r="F1127" t="s">
        <v>821</v>
      </c>
      <c r="G1127">
        <v>34</v>
      </c>
    </row>
    <row r="1128" spans="1:7">
      <c r="A1128">
        <v>5</v>
      </c>
      <c r="B1128" t="s">
        <v>10795</v>
      </c>
      <c r="C1128" t="s">
        <v>12047</v>
      </c>
      <c r="D1128">
        <v>49</v>
      </c>
      <c r="E1128">
        <f t="shared" si="17"/>
        <v>11</v>
      </c>
      <c r="F1128" t="s">
        <v>821</v>
      </c>
      <c r="G1128">
        <v>44</v>
      </c>
    </row>
    <row r="1129" spans="1:7">
      <c r="A1129">
        <v>5</v>
      </c>
      <c r="B1129" t="s">
        <v>10786</v>
      </c>
      <c r="C1129" t="s">
        <v>10786</v>
      </c>
      <c r="E1129">
        <f t="shared" si="17"/>
        <v>11</v>
      </c>
      <c r="F1129" t="s">
        <v>821</v>
      </c>
      <c r="G1129">
        <v>14</v>
      </c>
    </row>
    <row r="1130" spans="1:7">
      <c r="A1130">
        <v>5</v>
      </c>
      <c r="B1130" t="s">
        <v>10795</v>
      </c>
      <c r="C1130" t="s">
        <v>10795</v>
      </c>
      <c r="E1130">
        <f t="shared" si="17"/>
        <v>11</v>
      </c>
      <c r="F1130" t="s">
        <v>821</v>
      </c>
      <c r="G1130">
        <v>16</v>
      </c>
    </row>
    <row r="1131" spans="1:7">
      <c r="A1131">
        <v>5</v>
      </c>
      <c r="B1131" t="s">
        <v>515</v>
      </c>
      <c r="C1131" t="s">
        <v>515</v>
      </c>
      <c r="E1131">
        <f t="shared" si="17"/>
        <v>11</v>
      </c>
      <c r="F1131" t="s">
        <v>821</v>
      </c>
      <c r="G1131">
        <v>21</v>
      </c>
    </row>
    <row r="1132" spans="1:7">
      <c r="A1132">
        <v>5</v>
      </c>
      <c r="B1132" t="s">
        <v>13910</v>
      </c>
      <c r="C1132" t="s">
        <v>13910</v>
      </c>
      <c r="E1132">
        <f t="shared" si="17"/>
        <v>11</v>
      </c>
    </row>
    <row r="1133" spans="1:7">
      <c r="A1133">
        <v>5</v>
      </c>
      <c r="B1133" t="s">
        <v>14089</v>
      </c>
      <c r="C1133" t="s">
        <v>14089</v>
      </c>
      <c r="E1133">
        <f t="shared" si="17"/>
        <v>11</v>
      </c>
    </row>
    <row r="1134" spans="1:7">
      <c r="A1134">
        <v>5</v>
      </c>
      <c r="B1134" t="s">
        <v>14140</v>
      </c>
      <c r="C1134" t="s">
        <v>14140</v>
      </c>
      <c r="E1134">
        <f t="shared" si="17"/>
        <v>11</v>
      </c>
    </row>
    <row r="1135" spans="1:7">
      <c r="A1135">
        <v>5</v>
      </c>
      <c r="B1135" t="s">
        <v>14203</v>
      </c>
      <c r="C1135" t="s">
        <v>14854</v>
      </c>
      <c r="E1135">
        <f t="shared" si="17"/>
        <v>11</v>
      </c>
    </row>
    <row r="1136" spans="1:7">
      <c r="A1136">
        <v>5</v>
      </c>
      <c r="B1136" t="s">
        <v>14671</v>
      </c>
      <c r="C1136" t="s">
        <v>14876</v>
      </c>
      <c r="E1136">
        <f t="shared" si="17"/>
        <v>11</v>
      </c>
    </row>
    <row r="1137" spans="1:7">
      <c r="A1137">
        <v>5</v>
      </c>
      <c r="B1137" t="s">
        <v>15025</v>
      </c>
      <c r="C1137" t="s">
        <v>15025</v>
      </c>
      <c r="D1137">
        <v>5</v>
      </c>
      <c r="E1137">
        <f t="shared" si="17"/>
        <v>11</v>
      </c>
      <c r="F1137" t="s">
        <v>821</v>
      </c>
      <c r="G1137">
        <v>0</v>
      </c>
    </row>
    <row r="1138" spans="1:7">
      <c r="A1138">
        <v>5</v>
      </c>
      <c r="B1138" t="s">
        <v>15048</v>
      </c>
      <c r="C1138" t="s">
        <v>15048</v>
      </c>
      <c r="D1138">
        <v>5</v>
      </c>
      <c r="E1138">
        <f t="shared" si="17"/>
        <v>11</v>
      </c>
      <c r="F1138" t="s">
        <v>821</v>
      </c>
      <c r="G1138">
        <v>0</v>
      </c>
    </row>
    <row r="1139" spans="1:7">
      <c r="A1139">
        <v>5</v>
      </c>
      <c r="B1139" t="s">
        <v>1861</v>
      </c>
      <c r="C1139" t="s">
        <v>1861</v>
      </c>
      <c r="D1139">
        <v>5</v>
      </c>
      <c r="E1139">
        <f t="shared" si="17"/>
        <v>10</v>
      </c>
      <c r="F1139" t="s">
        <v>821</v>
      </c>
      <c r="G1139">
        <v>1</v>
      </c>
    </row>
    <row r="1140" spans="1:7">
      <c r="A1140">
        <v>5</v>
      </c>
      <c r="B1140" t="s">
        <v>1906</v>
      </c>
      <c r="C1140" t="s">
        <v>1906</v>
      </c>
      <c r="D1140">
        <v>5</v>
      </c>
      <c r="E1140">
        <f t="shared" si="17"/>
        <v>10</v>
      </c>
      <c r="F1140" t="s">
        <v>821</v>
      </c>
      <c r="G1140">
        <v>1</v>
      </c>
    </row>
    <row r="1141" spans="1:7">
      <c r="A1141">
        <v>5</v>
      </c>
      <c r="B1141" t="s">
        <v>1907</v>
      </c>
      <c r="C1141" t="s">
        <v>1907</v>
      </c>
      <c r="D1141">
        <v>5</v>
      </c>
      <c r="E1141">
        <f t="shared" si="17"/>
        <v>10</v>
      </c>
      <c r="F1141" t="s">
        <v>821</v>
      </c>
      <c r="G1141">
        <v>1</v>
      </c>
    </row>
    <row r="1142" spans="1:7">
      <c r="A1142">
        <v>5</v>
      </c>
      <c r="B1142" t="s">
        <v>1884</v>
      </c>
      <c r="C1142" t="s">
        <v>1884</v>
      </c>
      <c r="D1142">
        <v>5</v>
      </c>
      <c r="E1142">
        <f t="shared" si="17"/>
        <v>10</v>
      </c>
      <c r="F1142" t="s">
        <v>821</v>
      </c>
      <c r="G1142">
        <v>1</v>
      </c>
    </row>
    <row r="1143" spans="1:7">
      <c r="A1143">
        <v>5</v>
      </c>
      <c r="B1143" t="s">
        <v>1909</v>
      </c>
      <c r="C1143" t="s">
        <v>1909</v>
      </c>
      <c r="D1143">
        <v>5</v>
      </c>
      <c r="E1143">
        <f t="shared" si="17"/>
        <v>10</v>
      </c>
      <c r="F1143" t="s">
        <v>821</v>
      </c>
      <c r="G1143">
        <v>1</v>
      </c>
    </row>
    <row r="1144" spans="1:7">
      <c r="A1144">
        <v>5</v>
      </c>
      <c r="B1144" t="s">
        <v>1908</v>
      </c>
      <c r="C1144" t="s">
        <v>1908</v>
      </c>
      <c r="D1144">
        <v>5</v>
      </c>
      <c r="E1144">
        <f t="shared" si="17"/>
        <v>10</v>
      </c>
      <c r="F1144" t="s">
        <v>821</v>
      </c>
      <c r="G1144">
        <v>1</v>
      </c>
    </row>
    <row r="1145" spans="1:7">
      <c r="A1145">
        <v>5</v>
      </c>
      <c r="B1145" t="s">
        <v>1910</v>
      </c>
      <c r="C1145" t="s">
        <v>1910</v>
      </c>
      <c r="D1145">
        <v>5</v>
      </c>
      <c r="E1145">
        <f t="shared" si="17"/>
        <v>10</v>
      </c>
      <c r="F1145" t="s">
        <v>821</v>
      </c>
      <c r="G1145">
        <v>1</v>
      </c>
    </row>
    <row r="1146" spans="1:7">
      <c r="A1146">
        <v>5</v>
      </c>
      <c r="B1146" t="s">
        <v>226</v>
      </c>
      <c r="C1146" t="s">
        <v>676</v>
      </c>
      <c r="D1146">
        <v>5</v>
      </c>
      <c r="E1146">
        <f t="shared" si="17"/>
        <v>10</v>
      </c>
      <c r="F1146" t="s">
        <v>821</v>
      </c>
      <c r="G1146">
        <v>1</v>
      </c>
    </row>
    <row r="1147" spans="1:7">
      <c r="A1147">
        <v>5</v>
      </c>
      <c r="B1147" t="s">
        <v>6600</v>
      </c>
      <c r="C1147" t="s">
        <v>6600</v>
      </c>
      <c r="D1147">
        <v>5</v>
      </c>
      <c r="E1147">
        <f t="shared" si="17"/>
        <v>10</v>
      </c>
      <c r="G1147">
        <v>1</v>
      </c>
    </row>
    <row r="1148" spans="1:7">
      <c r="A1148">
        <v>5</v>
      </c>
      <c r="B1148" t="s">
        <v>6626</v>
      </c>
      <c r="C1148" t="s">
        <v>6626</v>
      </c>
      <c r="D1148">
        <v>5</v>
      </c>
      <c r="E1148">
        <f t="shared" si="17"/>
        <v>10</v>
      </c>
      <c r="G1148">
        <v>1</v>
      </c>
    </row>
    <row r="1149" spans="1:7">
      <c r="A1149">
        <v>5</v>
      </c>
      <c r="B1149" t="s">
        <v>6726</v>
      </c>
      <c r="C1149" t="s">
        <v>6726</v>
      </c>
      <c r="D1149">
        <v>5</v>
      </c>
      <c r="E1149">
        <f t="shared" si="17"/>
        <v>10</v>
      </c>
      <c r="G1149">
        <v>1</v>
      </c>
    </row>
    <row r="1150" spans="1:7">
      <c r="A1150">
        <v>5</v>
      </c>
      <c r="B1150" t="s">
        <v>6852</v>
      </c>
      <c r="C1150" t="s">
        <v>6852</v>
      </c>
      <c r="D1150">
        <v>5</v>
      </c>
      <c r="E1150">
        <f t="shared" si="17"/>
        <v>10</v>
      </c>
      <c r="G1150">
        <v>1</v>
      </c>
    </row>
    <row r="1151" spans="1:7">
      <c r="A1151">
        <v>5</v>
      </c>
      <c r="B1151" t="s">
        <v>6888</v>
      </c>
      <c r="C1151" t="s">
        <v>6888</v>
      </c>
      <c r="D1151">
        <v>5</v>
      </c>
      <c r="E1151">
        <f t="shared" si="17"/>
        <v>10</v>
      </c>
      <c r="G1151">
        <v>1</v>
      </c>
    </row>
    <row r="1152" spans="1:7">
      <c r="A1152">
        <v>5</v>
      </c>
      <c r="B1152" t="s">
        <v>10866</v>
      </c>
      <c r="C1152" t="s">
        <v>10866</v>
      </c>
      <c r="D1152">
        <v>5</v>
      </c>
      <c r="E1152">
        <f t="shared" si="17"/>
        <v>10</v>
      </c>
      <c r="F1152" t="s">
        <v>821</v>
      </c>
      <c r="G1152">
        <v>0</v>
      </c>
    </row>
    <row r="1153" spans="1:7">
      <c r="A1153">
        <v>5</v>
      </c>
      <c r="B1153" t="s">
        <v>648</v>
      </c>
      <c r="C1153" t="s">
        <v>648</v>
      </c>
      <c r="D1153">
        <v>5</v>
      </c>
      <c r="E1153">
        <f t="shared" si="17"/>
        <v>10</v>
      </c>
      <c r="F1153" t="s">
        <v>821</v>
      </c>
      <c r="G1153">
        <v>0</v>
      </c>
    </row>
    <row r="1154" spans="1:7">
      <c r="A1154">
        <v>5</v>
      </c>
      <c r="B1154" t="s">
        <v>10915</v>
      </c>
      <c r="C1154" t="s">
        <v>11974</v>
      </c>
      <c r="D1154">
        <v>5</v>
      </c>
      <c r="E1154">
        <f t="shared" ref="E1154:E1217" si="18">LEN(B1154)</f>
        <v>10</v>
      </c>
      <c r="F1154" t="s">
        <v>821</v>
      </c>
      <c r="G1154">
        <v>0</v>
      </c>
    </row>
    <row r="1155" spans="1:7" ht="17.149999999999999" customHeight="1">
      <c r="A1155">
        <v>5</v>
      </c>
      <c r="B1155" t="s">
        <v>10923</v>
      </c>
      <c r="C1155" t="s">
        <v>10923</v>
      </c>
      <c r="D1155">
        <v>5</v>
      </c>
      <c r="E1155">
        <f t="shared" si="18"/>
        <v>10</v>
      </c>
      <c r="F1155" t="s">
        <v>821</v>
      </c>
      <c r="G1155">
        <v>0</v>
      </c>
    </row>
    <row r="1156" spans="1:7">
      <c r="A1156">
        <v>5</v>
      </c>
      <c r="B1156" t="s">
        <v>224</v>
      </c>
      <c r="C1156" t="s">
        <v>224</v>
      </c>
      <c r="D1156">
        <v>14</v>
      </c>
      <c r="E1156">
        <f t="shared" si="18"/>
        <v>10</v>
      </c>
      <c r="F1156" t="s">
        <v>821</v>
      </c>
      <c r="G1156">
        <v>9</v>
      </c>
    </row>
    <row r="1157" spans="1:7">
      <c r="A1157">
        <v>5</v>
      </c>
      <c r="B1157" t="s">
        <v>12024</v>
      </c>
      <c r="C1157" t="s">
        <v>12024</v>
      </c>
      <c r="D1157">
        <v>29</v>
      </c>
      <c r="E1157">
        <f t="shared" si="18"/>
        <v>10</v>
      </c>
      <c r="F1157" t="s">
        <v>821</v>
      </c>
      <c r="G1157">
        <v>24</v>
      </c>
    </row>
    <row r="1158" spans="1:7">
      <c r="A1158">
        <v>5</v>
      </c>
      <c r="B1158" t="s">
        <v>12030</v>
      </c>
      <c r="C1158" t="s">
        <v>12031</v>
      </c>
      <c r="D1158">
        <v>34</v>
      </c>
      <c r="E1158">
        <f t="shared" si="18"/>
        <v>10</v>
      </c>
      <c r="F1158" t="s">
        <v>821</v>
      </c>
      <c r="G1158">
        <v>29</v>
      </c>
    </row>
    <row r="1159" spans="1:7">
      <c r="A1159">
        <v>5</v>
      </c>
      <c r="B1159" t="s">
        <v>12035</v>
      </c>
      <c r="C1159" t="s">
        <v>12035</v>
      </c>
      <c r="D1159">
        <v>38</v>
      </c>
      <c r="E1159">
        <f t="shared" si="18"/>
        <v>10</v>
      </c>
      <c r="F1159" t="s">
        <v>821</v>
      </c>
      <c r="G1159">
        <v>33</v>
      </c>
    </row>
    <row r="1160" spans="1:7">
      <c r="A1160">
        <v>5</v>
      </c>
      <c r="B1160" t="s">
        <v>1782</v>
      </c>
      <c r="C1160" t="s">
        <v>1782</v>
      </c>
      <c r="D1160">
        <v>45</v>
      </c>
      <c r="E1160">
        <f t="shared" si="18"/>
        <v>10</v>
      </c>
      <c r="F1160" t="s">
        <v>821</v>
      </c>
      <c r="G1160">
        <v>40</v>
      </c>
    </row>
    <row r="1161" spans="1:7">
      <c r="A1161">
        <v>5</v>
      </c>
      <c r="B1161" t="s">
        <v>12055</v>
      </c>
      <c r="C1161" t="s">
        <v>12056</v>
      </c>
      <c r="D1161">
        <v>55</v>
      </c>
      <c r="E1161">
        <f t="shared" si="18"/>
        <v>10</v>
      </c>
      <c r="F1161" t="s">
        <v>821</v>
      </c>
      <c r="G1161">
        <v>50</v>
      </c>
    </row>
    <row r="1162" spans="1:7">
      <c r="A1162">
        <v>5</v>
      </c>
      <c r="B1162" t="s">
        <v>10821</v>
      </c>
      <c r="C1162" t="s">
        <v>10821</v>
      </c>
      <c r="E1162">
        <f t="shared" si="18"/>
        <v>10</v>
      </c>
      <c r="F1162" t="s">
        <v>821</v>
      </c>
      <c r="G1162">
        <v>22</v>
      </c>
    </row>
    <row r="1163" spans="1:7">
      <c r="A1163">
        <v>5</v>
      </c>
      <c r="B1163" t="s">
        <v>381</v>
      </c>
      <c r="C1163" t="s">
        <v>381</v>
      </c>
      <c r="E1163">
        <f t="shared" si="18"/>
        <v>10</v>
      </c>
    </row>
    <row r="1164" spans="1:7">
      <c r="A1164">
        <v>5</v>
      </c>
      <c r="B1164" t="s">
        <v>14151</v>
      </c>
      <c r="C1164" t="s">
        <v>14852</v>
      </c>
      <c r="E1164">
        <f t="shared" si="18"/>
        <v>10</v>
      </c>
    </row>
    <row r="1165" spans="1:7">
      <c r="A1165">
        <v>5</v>
      </c>
      <c r="B1165" t="s">
        <v>14540</v>
      </c>
      <c r="C1165" t="s">
        <v>14540</v>
      </c>
      <c r="E1165">
        <f t="shared" si="18"/>
        <v>10</v>
      </c>
    </row>
    <row r="1166" spans="1:7">
      <c r="A1166">
        <v>5</v>
      </c>
      <c r="B1166" t="s">
        <v>14609</v>
      </c>
      <c r="C1166" t="s">
        <v>14609</v>
      </c>
      <c r="E1166">
        <f t="shared" si="18"/>
        <v>10</v>
      </c>
    </row>
    <row r="1167" spans="1:7">
      <c r="A1167">
        <v>5</v>
      </c>
      <c r="B1167" t="s">
        <v>262</v>
      </c>
      <c r="C1167" t="s">
        <v>262</v>
      </c>
      <c r="D1167">
        <v>5</v>
      </c>
      <c r="E1167">
        <f t="shared" si="18"/>
        <v>10</v>
      </c>
      <c r="F1167" t="s">
        <v>821</v>
      </c>
      <c r="G1167">
        <v>0</v>
      </c>
    </row>
    <row r="1168" spans="1:7">
      <c r="A1168">
        <v>5</v>
      </c>
      <c r="B1168" t="s">
        <v>14910</v>
      </c>
      <c r="C1168" t="s">
        <v>14910</v>
      </c>
      <c r="D1168">
        <v>5</v>
      </c>
      <c r="E1168">
        <f t="shared" si="18"/>
        <v>10</v>
      </c>
      <c r="F1168" t="s">
        <v>821</v>
      </c>
      <c r="G1168">
        <v>0</v>
      </c>
    </row>
    <row r="1169" spans="1:7">
      <c r="A1169">
        <v>5</v>
      </c>
      <c r="B1169" t="s">
        <v>14923</v>
      </c>
      <c r="C1169" t="s">
        <v>14923</v>
      </c>
      <c r="D1169">
        <v>5</v>
      </c>
      <c r="E1169">
        <f t="shared" si="18"/>
        <v>10</v>
      </c>
      <c r="F1169" t="s">
        <v>821</v>
      </c>
      <c r="G1169">
        <v>0</v>
      </c>
    </row>
    <row r="1170" spans="1:7">
      <c r="A1170">
        <v>5</v>
      </c>
      <c r="B1170" t="s">
        <v>185</v>
      </c>
      <c r="C1170" t="s">
        <v>185</v>
      </c>
      <c r="D1170">
        <v>5</v>
      </c>
      <c r="E1170">
        <f t="shared" si="18"/>
        <v>10</v>
      </c>
      <c r="F1170" t="s">
        <v>821</v>
      </c>
      <c r="G1170">
        <v>0</v>
      </c>
    </row>
    <row r="1171" spans="1:7">
      <c r="A1171">
        <v>5</v>
      </c>
      <c r="B1171" t="s">
        <v>14947</v>
      </c>
      <c r="C1171" t="s">
        <v>14947</v>
      </c>
      <c r="D1171">
        <v>5</v>
      </c>
      <c r="E1171">
        <f t="shared" si="18"/>
        <v>10</v>
      </c>
      <c r="F1171" t="s">
        <v>821</v>
      </c>
      <c r="G1171">
        <v>0</v>
      </c>
    </row>
    <row r="1172" spans="1:7">
      <c r="A1172">
        <v>5</v>
      </c>
      <c r="B1172" t="s">
        <v>7641</v>
      </c>
      <c r="C1172" t="s">
        <v>7641</v>
      </c>
      <c r="D1172">
        <v>5</v>
      </c>
      <c r="E1172">
        <f t="shared" si="18"/>
        <v>10</v>
      </c>
      <c r="F1172" t="s">
        <v>821</v>
      </c>
      <c r="G1172">
        <v>0</v>
      </c>
    </row>
    <row r="1173" spans="1:7">
      <c r="A1173">
        <v>5</v>
      </c>
      <c r="B1173" t="s">
        <v>51</v>
      </c>
      <c r="C1173" t="s">
        <v>51</v>
      </c>
      <c r="D1173">
        <v>5</v>
      </c>
      <c r="E1173">
        <f t="shared" si="18"/>
        <v>10</v>
      </c>
      <c r="F1173" t="s">
        <v>821</v>
      </c>
      <c r="G1173">
        <v>0</v>
      </c>
    </row>
    <row r="1174" spans="1:7">
      <c r="A1174">
        <v>5</v>
      </c>
      <c r="B1174" t="s">
        <v>14992</v>
      </c>
      <c r="C1174" t="s">
        <v>14992</v>
      </c>
      <c r="D1174">
        <v>5</v>
      </c>
      <c r="E1174">
        <f t="shared" si="18"/>
        <v>10</v>
      </c>
      <c r="F1174" t="s">
        <v>821</v>
      </c>
      <c r="G1174">
        <v>0</v>
      </c>
    </row>
    <row r="1175" spans="1:7">
      <c r="A1175">
        <v>5</v>
      </c>
      <c r="B1175" t="s">
        <v>15002</v>
      </c>
      <c r="C1175" t="s">
        <v>15002</v>
      </c>
      <c r="D1175">
        <v>5</v>
      </c>
      <c r="E1175">
        <f t="shared" si="18"/>
        <v>10</v>
      </c>
      <c r="F1175" t="s">
        <v>821</v>
      </c>
      <c r="G1175">
        <v>0</v>
      </c>
    </row>
    <row r="1176" spans="1:7">
      <c r="A1176">
        <v>5</v>
      </c>
      <c r="B1176" t="s">
        <v>15036</v>
      </c>
      <c r="C1176" t="s">
        <v>15036</v>
      </c>
      <c r="D1176">
        <v>5</v>
      </c>
      <c r="E1176">
        <f t="shared" si="18"/>
        <v>10</v>
      </c>
      <c r="F1176" t="s">
        <v>821</v>
      </c>
      <c r="G1176">
        <v>0</v>
      </c>
    </row>
    <row r="1177" spans="1:7">
      <c r="A1177">
        <v>5</v>
      </c>
      <c r="B1177" t="s">
        <v>15080</v>
      </c>
      <c r="C1177" t="s">
        <v>15521</v>
      </c>
      <c r="D1177">
        <v>5</v>
      </c>
      <c r="E1177">
        <f t="shared" si="18"/>
        <v>10</v>
      </c>
      <c r="F1177" t="s">
        <v>821</v>
      </c>
      <c r="G1177">
        <v>0</v>
      </c>
    </row>
    <row r="1178" spans="1:7">
      <c r="A1178">
        <v>5</v>
      </c>
      <c r="B1178" t="s">
        <v>15125</v>
      </c>
      <c r="C1178" t="s">
        <v>15522</v>
      </c>
      <c r="D1178">
        <v>5</v>
      </c>
      <c r="E1178">
        <f t="shared" si="18"/>
        <v>10</v>
      </c>
      <c r="F1178" t="s">
        <v>821</v>
      </c>
      <c r="G1178">
        <v>0</v>
      </c>
    </row>
    <row r="1179" spans="1:7">
      <c r="A1179">
        <v>5</v>
      </c>
      <c r="B1179" t="s">
        <v>15243</v>
      </c>
      <c r="C1179" t="s">
        <v>15526</v>
      </c>
      <c r="D1179">
        <v>5</v>
      </c>
      <c r="E1179">
        <f t="shared" si="18"/>
        <v>10</v>
      </c>
      <c r="F1179" t="s">
        <v>821</v>
      </c>
      <c r="G1179">
        <v>0</v>
      </c>
    </row>
    <row r="1180" spans="1:7">
      <c r="A1180">
        <v>5</v>
      </c>
      <c r="B1180" t="s">
        <v>246</v>
      </c>
      <c r="C1180" t="s">
        <v>246</v>
      </c>
      <c r="D1180">
        <v>5</v>
      </c>
      <c r="E1180">
        <f t="shared" si="18"/>
        <v>9</v>
      </c>
      <c r="F1180" t="s">
        <v>822</v>
      </c>
      <c r="G1180">
        <v>1</v>
      </c>
    </row>
    <row r="1181" spans="1:7">
      <c r="A1181">
        <v>5</v>
      </c>
      <c r="B1181" t="s">
        <v>1787</v>
      </c>
      <c r="C1181" t="s">
        <v>1787</v>
      </c>
      <c r="D1181">
        <v>5</v>
      </c>
      <c r="E1181">
        <f t="shared" si="18"/>
        <v>9</v>
      </c>
      <c r="F1181" t="s">
        <v>821</v>
      </c>
      <c r="G1181">
        <v>1</v>
      </c>
    </row>
    <row r="1182" spans="1:7">
      <c r="A1182">
        <v>5</v>
      </c>
      <c r="B1182" t="s">
        <v>24</v>
      </c>
      <c r="C1182" t="s">
        <v>24</v>
      </c>
      <c r="D1182">
        <v>5</v>
      </c>
      <c r="E1182">
        <f t="shared" si="18"/>
        <v>9</v>
      </c>
      <c r="F1182" t="s">
        <v>821</v>
      </c>
      <c r="G1182">
        <v>1</v>
      </c>
    </row>
    <row r="1183" spans="1:7">
      <c r="A1183">
        <v>5</v>
      </c>
      <c r="B1183" t="s">
        <v>49</v>
      </c>
      <c r="C1183" t="s">
        <v>468</v>
      </c>
      <c r="D1183">
        <v>5</v>
      </c>
      <c r="E1183">
        <f t="shared" si="18"/>
        <v>9</v>
      </c>
      <c r="F1183" t="s">
        <v>821</v>
      </c>
      <c r="G1183">
        <v>1</v>
      </c>
    </row>
    <row r="1184" spans="1:7">
      <c r="A1184">
        <v>5</v>
      </c>
      <c r="B1184" t="s">
        <v>5350</v>
      </c>
      <c r="C1184" t="s">
        <v>5350</v>
      </c>
      <c r="D1184">
        <v>5</v>
      </c>
      <c r="E1184">
        <f t="shared" si="18"/>
        <v>9</v>
      </c>
      <c r="F1184" t="s">
        <v>821</v>
      </c>
      <c r="G1184">
        <v>1</v>
      </c>
    </row>
    <row r="1185" spans="1:7">
      <c r="A1185">
        <v>5</v>
      </c>
      <c r="B1185" t="s">
        <v>681</v>
      </c>
      <c r="C1185" t="s">
        <v>681</v>
      </c>
      <c r="D1185">
        <v>5</v>
      </c>
      <c r="E1185">
        <f t="shared" si="18"/>
        <v>9</v>
      </c>
      <c r="F1185" t="s">
        <v>821</v>
      </c>
      <c r="G1185">
        <v>1</v>
      </c>
    </row>
    <row r="1186" spans="1:7">
      <c r="A1186">
        <v>5</v>
      </c>
      <c r="B1186" t="s">
        <v>909</v>
      </c>
      <c r="C1186" t="s">
        <v>909</v>
      </c>
      <c r="D1186">
        <v>5</v>
      </c>
      <c r="E1186">
        <f t="shared" si="18"/>
        <v>9</v>
      </c>
      <c r="F1186" t="s">
        <v>821</v>
      </c>
      <c r="G1186">
        <v>1</v>
      </c>
    </row>
    <row r="1187" spans="1:7">
      <c r="A1187">
        <v>5</v>
      </c>
      <c r="B1187" t="s">
        <v>309</v>
      </c>
      <c r="C1187" t="s">
        <v>6430</v>
      </c>
      <c r="D1187">
        <v>5</v>
      </c>
      <c r="E1187">
        <f t="shared" si="18"/>
        <v>9</v>
      </c>
      <c r="F1187" t="s">
        <v>821</v>
      </c>
      <c r="G1187">
        <v>1</v>
      </c>
    </row>
    <row r="1188" spans="1:7">
      <c r="A1188">
        <v>5</v>
      </c>
      <c r="B1188" t="s">
        <v>5064</v>
      </c>
      <c r="C1188" t="s">
        <v>5064</v>
      </c>
      <c r="D1188">
        <v>5</v>
      </c>
      <c r="E1188">
        <f t="shared" si="18"/>
        <v>9</v>
      </c>
      <c r="F1188" t="s">
        <v>821</v>
      </c>
      <c r="G1188">
        <v>1</v>
      </c>
    </row>
    <row r="1189" spans="1:7">
      <c r="A1189">
        <v>5</v>
      </c>
      <c r="B1189" t="s">
        <v>1886</v>
      </c>
      <c r="C1189" t="s">
        <v>5121</v>
      </c>
      <c r="D1189">
        <v>5</v>
      </c>
      <c r="E1189">
        <f t="shared" si="18"/>
        <v>9</v>
      </c>
      <c r="F1189" t="s">
        <v>821</v>
      </c>
      <c r="G1189">
        <v>1</v>
      </c>
    </row>
    <row r="1190" spans="1:7">
      <c r="A1190">
        <v>5</v>
      </c>
      <c r="B1190" t="s">
        <v>5324</v>
      </c>
      <c r="C1190" t="s">
        <v>5324</v>
      </c>
      <c r="D1190">
        <v>5</v>
      </c>
      <c r="E1190">
        <f t="shared" si="18"/>
        <v>9</v>
      </c>
      <c r="F1190" t="s">
        <v>821</v>
      </c>
      <c r="G1190">
        <v>1</v>
      </c>
    </row>
    <row r="1191" spans="1:7">
      <c r="A1191">
        <v>5</v>
      </c>
      <c r="B1191" t="s">
        <v>1867</v>
      </c>
      <c r="C1191" t="s">
        <v>5165</v>
      </c>
      <c r="D1191">
        <v>5</v>
      </c>
      <c r="E1191">
        <f t="shared" si="18"/>
        <v>9</v>
      </c>
      <c r="F1191" t="s">
        <v>821</v>
      </c>
      <c r="G1191">
        <v>1</v>
      </c>
    </row>
    <row r="1192" spans="1:7">
      <c r="A1192">
        <v>5</v>
      </c>
      <c r="B1192" t="s">
        <v>286</v>
      </c>
      <c r="C1192" t="s">
        <v>286</v>
      </c>
      <c r="D1192">
        <v>5</v>
      </c>
      <c r="E1192">
        <f t="shared" si="18"/>
        <v>9</v>
      </c>
      <c r="F1192" t="s">
        <v>821</v>
      </c>
      <c r="G1192">
        <v>1</v>
      </c>
    </row>
    <row r="1193" spans="1:7">
      <c r="A1193">
        <v>5</v>
      </c>
      <c r="B1193" t="s">
        <v>1138</v>
      </c>
      <c r="C1193" t="s">
        <v>1138</v>
      </c>
      <c r="D1193">
        <v>5</v>
      </c>
      <c r="E1193">
        <f t="shared" si="18"/>
        <v>9</v>
      </c>
      <c r="F1193" t="s">
        <v>821</v>
      </c>
      <c r="G1193">
        <v>1</v>
      </c>
    </row>
    <row r="1194" spans="1:7">
      <c r="A1194">
        <v>5</v>
      </c>
      <c r="B1194" t="s">
        <v>315</v>
      </c>
      <c r="C1194" t="s">
        <v>315</v>
      </c>
      <c r="D1194">
        <v>5</v>
      </c>
      <c r="E1194">
        <f t="shared" si="18"/>
        <v>9</v>
      </c>
      <c r="F1194" t="s">
        <v>821</v>
      </c>
      <c r="G1194">
        <v>1</v>
      </c>
    </row>
    <row r="1195" spans="1:7">
      <c r="A1195">
        <v>5</v>
      </c>
      <c r="B1195" t="s">
        <v>1885</v>
      </c>
      <c r="C1195" t="s">
        <v>1885</v>
      </c>
      <c r="D1195">
        <v>5</v>
      </c>
      <c r="E1195">
        <f t="shared" si="18"/>
        <v>9</v>
      </c>
      <c r="F1195" t="s">
        <v>821</v>
      </c>
      <c r="G1195">
        <v>1</v>
      </c>
    </row>
    <row r="1196" spans="1:7">
      <c r="A1196">
        <v>5</v>
      </c>
      <c r="B1196" t="s">
        <v>598</v>
      </c>
      <c r="C1196" t="s">
        <v>598</v>
      </c>
      <c r="D1196">
        <v>5</v>
      </c>
      <c r="E1196">
        <f t="shared" si="18"/>
        <v>9</v>
      </c>
      <c r="F1196" t="s">
        <v>821</v>
      </c>
      <c r="G1196">
        <v>1</v>
      </c>
    </row>
    <row r="1197" spans="1:7">
      <c r="A1197">
        <v>5</v>
      </c>
      <c r="B1197" t="s">
        <v>6590</v>
      </c>
      <c r="C1197" t="s">
        <v>6590</v>
      </c>
      <c r="D1197">
        <v>5</v>
      </c>
      <c r="E1197">
        <f t="shared" si="18"/>
        <v>9</v>
      </c>
      <c r="G1197">
        <v>1</v>
      </c>
    </row>
    <row r="1198" spans="1:7">
      <c r="A1198">
        <v>5</v>
      </c>
      <c r="B1198" t="s">
        <v>1982</v>
      </c>
      <c r="C1198" t="s">
        <v>1982</v>
      </c>
      <c r="D1198">
        <v>5</v>
      </c>
      <c r="E1198">
        <f t="shared" si="18"/>
        <v>9</v>
      </c>
      <c r="G1198">
        <v>1</v>
      </c>
    </row>
    <row r="1199" spans="1:7">
      <c r="A1199">
        <v>5</v>
      </c>
      <c r="B1199" t="s">
        <v>6635</v>
      </c>
      <c r="C1199" t="s">
        <v>6635</v>
      </c>
      <c r="D1199">
        <v>5</v>
      </c>
      <c r="E1199">
        <f t="shared" si="18"/>
        <v>9</v>
      </c>
      <c r="G1199">
        <v>1</v>
      </c>
    </row>
    <row r="1200" spans="1:7">
      <c r="A1200">
        <v>5</v>
      </c>
      <c r="B1200" t="s">
        <v>6749</v>
      </c>
      <c r="C1200" t="s">
        <v>6749</v>
      </c>
      <c r="D1200">
        <v>5</v>
      </c>
      <c r="E1200">
        <f t="shared" si="18"/>
        <v>9</v>
      </c>
      <c r="G1200">
        <v>1</v>
      </c>
    </row>
    <row r="1201" spans="1:7">
      <c r="A1201">
        <v>5</v>
      </c>
      <c r="B1201" t="s">
        <v>6758</v>
      </c>
      <c r="C1201" t="s">
        <v>6758</v>
      </c>
      <c r="D1201">
        <v>5</v>
      </c>
      <c r="E1201">
        <f t="shared" si="18"/>
        <v>9</v>
      </c>
      <c r="G1201">
        <v>1</v>
      </c>
    </row>
    <row r="1202" spans="1:7">
      <c r="A1202">
        <v>5</v>
      </c>
      <c r="B1202" t="s">
        <v>6856</v>
      </c>
      <c r="C1202" t="s">
        <v>6856</v>
      </c>
      <c r="D1202">
        <v>5</v>
      </c>
      <c r="E1202">
        <f t="shared" si="18"/>
        <v>9</v>
      </c>
      <c r="G1202">
        <v>1</v>
      </c>
    </row>
    <row r="1203" spans="1:7">
      <c r="A1203">
        <v>5</v>
      </c>
      <c r="B1203" t="s">
        <v>7077</v>
      </c>
      <c r="C1203" t="s">
        <v>7077</v>
      </c>
      <c r="D1203">
        <v>5</v>
      </c>
      <c r="E1203">
        <f t="shared" si="18"/>
        <v>9</v>
      </c>
      <c r="F1203" t="s">
        <v>821</v>
      </c>
      <c r="G1203">
        <v>1</v>
      </c>
    </row>
    <row r="1204" spans="1:7">
      <c r="A1204">
        <v>5</v>
      </c>
      <c r="B1204" t="s">
        <v>1367</v>
      </c>
      <c r="C1204" t="s">
        <v>1367</v>
      </c>
      <c r="D1204">
        <v>5</v>
      </c>
      <c r="E1204">
        <f t="shared" si="18"/>
        <v>9</v>
      </c>
      <c r="G1204">
        <v>1</v>
      </c>
    </row>
    <row r="1205" spans="1:7">
      <c r="A1205">
        <v>5</v>
      </c>
      <c r="B1205" t="s">
        <v>291</v>
      </c>
      <c r="C1205" t="s">
        <v>291</v>
      </c>
      <c r="D1205">
        <v>5</v>
      </c>
      <c r="E1205">
        <f t="shared" si="18"/>
        <v>9</v>
      </c>
      <c r="G1205">
        <v>1</v>
      </c>
    </row>
    <row r="1206" spans="1:7">
      <c r="A1206">
        <v>5</v>
      </c>
      <c r="B1206" t="s">
        <v>10334</v>
      </c>
      <c r="C1206" t="s">
        <v>10334</v>
      </c>
      <c r="D1206">
        <v>5</v>
      </c>
      <c r="E1206">
        <f t="shared" si="18"/>
        <v>9</v>
      </c>
      <c r="G1206">
        <v>1</v>
      </c>
    </row>
    <row r="1207" spans="1:7">
      <c r="A1207">
        <v>5</v>
      </c>
      <c r="B1207" t="s">
        <v>10343</v>
      </c>
      <c r="C1207" t="s">
        <v>10343</v>
      </c>
      <c r="D1207">
        <v>5</v>
      </c>
      <c r="E1207">
        <f t="shared" si="18"/>
        <v>9</v>
      </c>
      <c r="G1207">
        <v>1</v>
      </c>
    </row>
    <row r="1208" spans="1:7">
      <c r="A1208">
        <v>5</v>
      </c>
      <c r="B1208" t="s">
        <v>10898</v>
      </c>
      <c r="C1208" t="s">
        <v>10898</v>
      </c>
      <c r="D1208">
        <v>5</v>
      </c>
      <c r="E1208">
        <f t="shared" si="18"/>
        <v>9</v>
      </c>
      <c r="F1208" t="s">
        <v>821</v>
      </c>
      <c r="G1208">
        <v>0</v>
      </c>
    </row>
    <row r="1209" spans="1:7">
      <c r="A1209">
        <v>5</v>
      </c>
      <c r="B1209" t="s">
        <v>10906</v>
      </c>
      <c r="C1209" t="s">
        <v>10906</v>
      </c>
      <c r="D1209">
        <v>5</v>
      </c>
      <c r="E1209">
        <f t="shared" si="18"/>
        <v>9</v>
      </c>
      <c r="F1209" t="s">
        <v>821</v>
      </c>
      <c r="G1209">
        <v>0</v>
      </c>
    </row>
    <row r="1210" spans="1:7">
      <c r="A1210">
        <v>5</v>
      </c>
      <c r="B1210" t="s">
        <v>458</v>
      </c>
      <c r="C1210" t="s">
        <v>458</v>
      </c>
      <c r="D1210">
        <v>5</v>
      </c>
      <c r="E1210">
        <f t="shared" si="18"/>
        <v>9</v>
      </c>
      <c r="F1210" t="s">
        <v>821</v>
      </c>
      <c r="G1210">
        <v>0</v>
      </c>
    </row>
    <row r="1211" spans="1:7">
      <c r="A1211">
        <v>5</v>
      </c>
      <c r="B1211" t="s">
        <v>1069</v>
      </c>
      <c r="C1211" t="s">
        <v>1069</v>
      </c>
      <c r="D1211">
        <v>5</v>
      </c>
      <c r="E1211">
        <f t="shared" si="18"/>
        <v>9</v>
      </c>
      <c r="F1211" t="s">
        <v>821</v>
      </c>
      <c r="G1211">
        <v>0</v>
      </c>
    </row>
    <row r="1212" spans="1:7">
      <c r="A1212">
        <v>5</v>
      </c>
      <c r="B1212" t="s">
        <v>10913</v>
      </c>
      <c r="C1212" t="s">
        <v>10913</v>
      </c>
      <c r="D1212">
        <v>5</v>
      </c>
      <c r="E1212">
        <f t="shared" si="18"/>
        <v>9</v>
      </c>
      <c r="F1212" t="s">
        <v>821</v>
      </c>
      <c r="G1212">
        <v>0</v>
      </c>
    </row>
    <row r="1213" spans="1:7">
      <c r="A1213">
        <v>5</v>
      </c>
      <c r="B1213" t="s">
        <v>10914</v>
      </c>
      <c r="C1213" t="s">
        <v>13675</v>
      </c>
      <c r="D1213">
        <v>5</v>
      </c>
      <c r="E1213">
        <f t="shared" si="18"/>
        <v>9</v>
      </c>
      <c r="F1213" t="s">
        <v>821</v>
      </c>
      <c r="G1213">
        <v>0</v>
      </c>
    </row>
    <row r="1214" spans="1:7">
      <c r="A1214">
        <v>5</v>
      </c>
      <c r="B1214" t="s">
        <v>513</v>
      </c>
      <c r="C1214" t="s">
        <v>513</v>
      </c>
      <c r="D1214">
        <v>5</v>
      </c>
      <c r="E1214">
        <f t="shared" si="18"/>
        <v>9</v>
      </c>
      <c r="F1214" t="s">
        <v>821</v>
      </c>
      <c r="G1214">
        <v>0</v>
      </c>
    </row>
    <row r="1215" spans="1:7">
      <c r="A1215">
        <v>5</v>
      </c>
      <c r="B1215" t="s">
        <v>10917</v>
      </c>
      <c r="C1215" t="s">
        <v>10918</v>
      </c>
      <c r="D1215">
        <v>5</v>
      </c>
      <c r="E1215">
        <f t="shared" si="18"/>
        <v>9</v>
      </c>
      <c r="F1215" t="s">
        <v>821</v>
      </c>
      <c r="G1215">
        <v>0</v>
      </c>
    </row>
    <row r="1216" spans="1:7">
      <c r="A1216">
        <v>5</v>
      </c>
      <c r="B1216" t="s">
        <v>10938</v>
      </c>
      <c r="C1216" t="s">
        <v>10939</v>
      </c>
      <c r="D1216">
        <v>5</v>
      </c>
      <c r="E1216">
        <f t="shared" si="18"/>
        <v>9</v>
      </c>
      <c r="F1216" t="s">
        <v>821</v>
      </c>
      <c r="G1216">
        <v>0</v>
      </c>
    </row>
    <row r="1217" spans="1:7">
      <c r="A1217">
        <v>5</v>
      </c>
      <c r="B1217" t="s">
        <v>511</v>
      </c>
      <c r="C1217" t="s">
        <v>511</v>
      </c>
      <c r="D1217">
        <v>5</v>
      </c>
      <c r="E1217">
        <f t="shared" si="18"/>
        <v>9</v>
      </c>
      <c r="F1217" t="s">
        <v>821</v>
      </c>
      <c r="G1217">
        <v>0</v>
      </c>
    </row>
    <row r="1218" spans="1:7">
      <c r="A1218">
        <v>5</v>
      </c>
      <c r="B1218" t="s">
        <v>7659</v>
      </c>
      <c r="C1218" t="s">
        <v>12009</v>
      </c>
      <c r="D1218">
        <v>17</v>
      </c>
      <c r="E1218">
        <f t="shared" ref="E1218:E1281" si="19">LEN(B1218)</f>
        <v>9</v>
      </c>
      <c r="F1218" t="s">
        <v>821</v>
      </c>
      <c r="G1218">
        <v>12</v>
      </c>
    </row>
    <row r="1219" spans="1:7">
      <c r="A1219">
        <v>5</v>
      </c>
      <c r="B1219" t="s">
        <v>12010</v>
      </c>
      <c r="C1219" t="s">
        <v>12011</v>
      </c>
      <c r="D1219">
        <v>18</v>
      </c>
      <c r="E1219">
        <f t="shared" si="19"/>
        <v>9</v>
      </c>
      <c r="F1219" t="s">
        <v>821</v>
      </c>
      <c r="G1219">
        <v>13</v>
      </c>
    </row>
    <row r="1220" spans="1:7">
      <c r="A1220">
        <v>5</v>
      </c>
      <c r="B1220" t="s">
        <v>31</v>
      </c>
      <c r="C1220" t="s">
        <v>31</v>
      </c>
      <c r="D1220">
        <v>23</v>
      </c>
      <c r="E1220">
        <f t="shared" si="19"/>
        <v>9</v>
      </c>
      <c r="F1220" t="s">
        <v>821</v>
      </c>
      <c r="G1220">
        <v>18</v>
      </c>
    </row>
    <row r="1221" spans="1:7">
      <c r="A1221">
        <v>5</v>
      </c>
      <c r="B1221" t="s">
        <v>12021</v>
      </c>
      <c r="C1221" t="s">
        <v>12021</v>
      </c>
      <c r="D1221">
        <v>25</v>
      </c>
      <c r="E1221">
        <f t="shared" si="19"/>
        <v>9</v>
      </c>
      <c r="F1221" t="s">
        <v>821</v>
      </c>
      <c r="G1221">
        <v>20</v>
      </c>
    </row>
    <row r="1222" spans="1:7">
      <c r="A1222">
        <v>5</v>
      </c>
      <c r="B1222" t="s">
        <v>12043</v>
      </c>
      <c r="C1222" t="s">
        <v>12044</v>
      </c>
      <c r="D1222">
        <v>46</v>
      </c>
      <c r="E1222">
        <f t="shared" si="19"/>
        <v>9</v>
      </c>
      <c r="F1222" t="s">
        <v>821</v>
      </c>
      <c r="G1222">
        <v>41</v>
      </c>
    </row>
    <row r="1223" spans="1:7">
      <c r="A1223">
        <v>5</v>
      </c>
      <c r="B1223" t="s">
        <v>12045</v>
      </c>
      <c r="C1223" t="s">
        <v>12045</v>
      </c>
      <c r="D1223">
        <v>47</v>
      </c>
      <c r="E1223">
        <f t="shared" si="19"/>
        <v>9</v>
      </c>
      <c r="F1223" t="s">
        <v>821</v>
      </c>
      <c r="G1223">
        <v>42</v>
      </c>
    </row>
    <row r="1224" spans="1:7">
      <c r="A1224">
        <v>5</v>
      </c>
      <c r="B1224" t="s">
        <v>12049</v>
      </c>
      <c r="C1224" t="s">
        <v>12050</v>
      </c>
      <c r="D1224">
        <v>51</v>
      </c>
      <c r="E1224">
        <f t="shared" si="19"/>
        <v>9</v>
      </c>
      <c r="F1224" t="s">
        <v>821</v>
      </c>
      <c r="G1224">
        <v>46</v>
      </c>
    </row>
    <row r="1225" spans="1:7">
      <c r="A1225">
        <v>5</v>
      </c>
      <c r="B1225" t="s">
        <v>12053</v>
      </c>
      <c r="C1225" t="s">
        <v>12053</v>
      </c>
      <c r="D1225">
        <v>53</v>
      </c>
      <c r="E1225">
        <f t="shared" si="19"/>
        <v>9</v>
      </c>
      <c r="F1225" t="s">
        <v>821</v>
      </c>
      <c r="G1225">
        <v>48</v>
      </c>
    </row>
    <row r="1226" spans="1:7">
      <c r="A1226">
        <v>5</v>
      </c>
      <c r="B1226" t="s">
        <v>10784</v>
      </c>
      <c r="C1226" t="s">
        <v>10784</v>
      </c>
      <c r="E1226">
        <f t="shared" si="19"/>
        <v>9</v>
      </c>
      <c r="F1226" t="s">
        <v>821</v>
      </c>
      <c r="G1226">
        <v>13</v>
      </c>
    </row>
    <row r="1227" spans="1:7">
      <c r="A1227">
        <v>5</v>
      </c>
      <c r="B1227" t="s">
        <v>511</v>
      </c>
      <c r="C1227" t="s">
        <v>511</v>
      </c>
      <c r="E1227">
        <f t="shared" si="19"/>
        <v>9</v>
      </c>
      <c r="F1227" t="s">
        <v>821</v>
      </c>
      <c r="G1227">
        <v>15</v>
      </c>
    </row>
    <row r="1228" spans="1:7">
      <c r="A1228">
        <v>5</v>
      </c>
      <c r="B1228" t="s">
        <v>197</v>
      </c>
      <c r="C1228" t="s">
        <v>197</v>
      </c>
      <c r="E1228">
        <f t="shared" si="19"/>
        <v>9</v>
      </c>
      <c r="F1228" t="s">
        <v>821</v>
      </c>
      <c r="G1228">
        <v>18</v>
      </c>
    </row>
    <row r="1229" spans="1:7">
      <c r="A1229">
        <v>5</v>
      </c>
      <c r="B1229" t="s">
        <v>511</v>
      </c>
      <c r="C1229" t="s">
        <v>511</v>
      </c>
      <c r="E1229">
        <f t="shared" si="19"/>
        <v>9</v>
      </c>
    </row>
    <row r="1230" spans="1:7">
      <c r="A1230">
        <v>5</v>
      </c>
      <c r="B1230" t="s">
        <v>12347</v>
      </c>
      <c r="C1230" t="s">
        <v>14847</v>
      </c>
      <c r="E1230">
        <f t="shared" si="19"/>
        <v>9</v>
      </c>
    </row>
    <row r="1231" spans="1:7">
      <c r="A1231">
        <v>5</v>
      </c>
      <c r="B1231" t="s">
        <v>7608</v>
      </c>
      <c r="C1231" t="s">
        <v>7608</v>
      </c>
      <c r="E1231">
        <f t="shared" si="19"/>
        <v>9</v>
      </c>
    </row>
    <row r="1232" spans="1:7">
      <c r="A1232">
        <v>5</v>
      </c>
      <c r="B1232" t="s">
        <v>7612</v>
      </c>
      <c r="C1232" t="s">
        <v>7612</v>
      </c>
      <c r="E1232">
        <f t="shared" si="19"/>
        <v>9</v>
      </c>
    </row>
    <row r="1233" spans="1:7">
      <c r="A1233">
        <v>5</v>
      </c>
      <c r="B1233" t="s">
        <v>14234</v>
      </c>
      <c r="C1233" t="s">
        <v>14855</v>
      </c>
      <c r="E1233">
        <f t="shared" si="19"/>
        <v>9</v>
      </c>
    </row>
    <row r="1234" spans="1:7">
      <c r="A1234">
        <v>5</v>
      </c>
      <c r="B1234" t="s">
        <v>14407</v>
      </c>
      <c r="C1234" t="s">
        <v>14859</v>
      </c>
      <c r="E1234">
        <f t="shared" si="19"/>
        <v>9</v>
      </c>
    </row>
    <row r="1235" spans="1:7">
      <c r="A1235">
        <v>5</v>
      </c>
      <c r="B1235" t="s">
        <v>14447</v>
      </c>
      <c r="C1235" t="s">
        <v>14447</v>
      </c>
      <c r="E1235">
        <f t="shared" si="19"/>
        <v>9</v>
      </c>
    </row>
    <row r="1236" spans="1:7">
      <c r="A1236">
        <v>5</v>
      </c>
      <c r="B1236" t="s">
        <v>14495</v>
      </c>
      <c r="C1236" t="s">
        <v>14495</v>
      </c>
      <c r="E1236">
        <f t="shared" si="19"/>
        <v>9</v>
      </c>
    </row>
    <row r="1237" spans="1:7">
      <c r="A1237">
        <v>5</v>
      </c>
      <c r="B1237" t="s">
        <v>14614</v>
      </c>
      <c r="C1237" t="s">
        <v>14614</v>
      </c>
      <c r="E1237">
        <f t="shared" si="19"/>
        <v>9</v>
      </c>
    </row>
    <row r="1238" spans="1:7">
      <c r="A1238">
        <v>5</v>
      </c>
      <c r="B1238" t="s">
        <v>14879</v>
      </c>
      <c r="C1238" t="s">
        <v>14880</v>
      </c>
      <c r="D1238">
        <v>5</v>
      </c>
      <c r="E1238">
        <f t="shared" si="19"/>
        <v>9</v>
      </c>
      <c r="G1238">
        <v>2</v>
      </c>
    </row>
    <row r="1239" spans="1:7">
      <c r="A1239">
        <v>5</v>
      </c>
      <c r="B1239" t="s">
        <v>14893</v>
      </c>
      <c r="C1239" t="s">
        <v>14894</v>
      </c>
      <c r="D1239">
        <v>5</v>
      </c>
      <c r="E1239">
        <f t="shared" si="19"/>
        <v>9</v>
      </c>
      <c r="F1239" t="s">
        <v>821</v>
      </c>
      <c r="G1239">
        <v>0</v>
      </c>
    </row>
    <row r="1240" spans="1:7">
      <c r="A1240">
        <v>5</v>
      </c>
      <c r="B1240" t="s">
        <v>14964</v>
      </c>
      <c r="C1240" t="s">
        <v>14964</v>
      </c>
      <c r="D1240">
        <v>5</v>
      </c>
      <c r="E1240">
        <f t="shared" si="19"/>
        <v>9</v>
      </c>
      <c r="F1240" t="s">
        <v>821</v>
      </c>
      <c r="G1240">
        <v>0</v>
      </c>
    </row>
    <row r="1241" spans="1:7">
      <c r="A1241">
        <v>5</v>
      </c>
      <c r="B1241" t="s">
        <v>8576</v>
      </c>
      <c r="C1241" t="s">
        <v>8576</v>
      </c>
      <c r="D1241">
        <v>5</v>
      </c>
      <c r="E1241">
        <f t="shared" si="19"/>
        <v>9</v>
      </c>
      <c r="F1241" t="s">
        <v>821</v>
      </c>
      <c r="G1241">
        <v>0</v>
      </c>
    </row>
    <row r="1242" spans="1:7">
      <c r="A1242">
        <v>5</v>
      </c>
      <c r="B1242" t="s">
        <v>15548</v>
      </c>
      <c r="C1242" t="s">
        <v>15547</v>
      </c>
      <c r="D1242">
        <v>5</v>
      </c>
      <c r="E1242">
        <f t="shared" si="19"/>
        <v>11</v>
      </c>
      <c r="F1242" t="s">
        <v>821</v>
      </c>
      <c r="G1242">
        <v>0</v>
      </c>
    </row>
    <row r="1243" spans="1:7">
      <c r="A1243">
        <v>5</v>
      </c>
      <c r="B1243" t="s">
        <v>14893</v>
      </c>
      <c r="C1243" t="s">
        <v>14893</v>
      </c>
      <c r="D1243">
        <v>5</v>
      </c>
      <c r="E1243">
        <f t="shared" si="19"/>
        <v>9</v>
      </c>
      <c r="F1243" t="s">
        <v>821</v>
      </c>
      <c r="G1243">
        <v>0</v>
      </c>
    </row>
    <row r="1244" spans="1:7">
      <c r="A1244">
        <v>5</v>
      </c>
      <c r="B1244" t="s">
        <v>15193</v>
      </c>
      <c r="C1244" t="s">
        <v>15193</v>
      </c>
      <c r="D1244">
        <v>5</v>
      </c>
      <c r="E1244">
        <f t="shared" si="19"/>
        <v>9</v>
      </c>
      <c r="F1244" t="s">
        <v>821</v>
      </c>
      <c r="G1244">
        <v>0</v>
      </c>
    </row>
    <row r="1245" spans="1:7">
      <c r="A1245">
        <v>5</v>
      </c>
      <c r="B1245" t="s">
        <v>6</v>
      </c>
      <c r="C1245" t="s">
        <v>5546</v>
      </c>
      <c r="D1245">
        <v>5</v>
      </c>
      <c r="E1245">
        <f t="shared" si="19"/>
        <v>8</v>
      </c>
      <c r="F1245" t="s">
        <v>821</v>
      </c>
      <c r="G1245">
        <v>1</v>
      </c>
    </row>
    <row r="1246" spans="1:7">
      <c r="A1246">
        <v>5</v>
      </c>
      <c r="B1246" t="s">
        <v>16</v>
      </c>
      <c r="C1246" t="s">
        <v>16</v>
      </c>
      <c r="D1246">
        <v>5</v>
      </c>
      <c r="E1246">
        <f t="shared" si="19"/>
        <v>8</v>
      </c>
      <c r="F1246" t="s">
        <v>821</v>
      </c>
      <c r="G1246">
        <v>1</v>
      </c>
    </row>
    <row r="1247" spans="1:7">
      <c r="A1247">
        <v>5</v>
      </c>
      <c r="B1247" t="s">
        <v>1890</v>
      </c>
      <c r="C1247" t="s">
        <v>1890</v>
      </c>
      <c r="D1247">
        <v>5</v>
      </c>
      <c r="E1247">
        <f t="shared" si="19"/>
        <v>8</v>
      </c>
      <c r="F1247" t="s">
        <v>821</v>
      </c>
      <c r="G1247">
        <v>1</v>
      </c>
    </row>
    <row r="1248" spans="1:7">
      <c r="A1248">
        <v>5</v>
      </c>
      <c r="B1248" t="s">
        <v>5351</v>
      </c>
      <c r="C1248" t="s">
        <v>5351</v>
      </c>
      <c r="D1248">
        <v>5</v>
      </c>
      <c r="E1248">
        <f t="shared" si="19"/>
        <v>8</v>
      </c>
      <c r="F1248" t="s">
        <v>821</v>
      </c>
      <c r="G1248">
        <v>1</v>
      </c>
    </row>
    <row r="1249" spans="1:7">
      <c r="A1249">
        <v>5</v>
      </c>
      <c r="B1249" t="s">
        <v>1864</v>
      </c>
      <c r="C1249" t="s">
        <v>1864</v>
      </c>
      <c r="D1249">
        <v>5</v>
      </c>
      <c r="E1249">
        <f t="shared" si="19"/>
        <v>8</v>
      </c>
      <c r="F1249" t="s">
        <v>822</v>
      </c>
      <c r="G1249">
        <v>1</v>
      </c>
    </row>
    <row r="1250" spans="1:7">
      <c r="A1250">
        <v>5</v>
      </c>
      <c r="B1250" t="s">
        <v>306</v>
      </c>
      <c r="C1250" t="s">
        <v>306</v>
      </c>
      <c r="D1250">
        <v>5</v>
      </c>
      <c r="E1250">
        <f t="shared" si="19"/>
        <v>8</v>
      </c>
      <c r="F1250" t="s">
        <v>821</v>
      </c>
      <c r="G1250">
        <v>1</v>
      </c>
    </row>
    <row r="1251" spans="1:7">
      <c r="A1251">
        <v>5</v>
      </c>
      <c r="B1251" t="s">
        <v>1043</v>
      </c>
      <c r="C1251" t="s">
        <v>1043</v>
      </c>
      <c r="D1251">
        <v>5</v>
      </c>
      <c r="E1251">
        <f t="shared" si="19"/>
        <v>8</v>
      </c>
      <c r="F1251" t="s">
        <v>821</v>
      </c>
      <c r="G1251">
        <v>1</v>
      </c>
    </row>
    <row r="1252" spans="1:7">
      <c r="A1252">
        <v>5</v>
      </c>
      <c r="B1252" t="s">
        <v>1887</v>
      </c>
      <c r="C1252" t="s">
        <v>1887</v>
      </c>
      <c r="D1252">
        <v>5</v>
      </c>
      <c r="E1252">
        <f t="shared" si="19"/>
        <v>8</v>
      </c>
      <c r="F1252" t="s">
        <v>821</v>
      </c>
      <c r="G1252">
        <v>1</v>
      </c>
    </row>
    <row r="1253" spans="1:7">
      <c r="A1253">
        <v>5</v>
      </c>
      <c r="B1253" t="s">
        <v>1889</v>
      </c>
      <c r="C1253" t="s">
        <v>1889</v>
      </c>
      <c r="D1253">
        <v>5</v>
      </c>
      <c r="E1253">
        <f t="shared" si="19"/>
        <v>8</v>
      </c>
      <c r="F1253" t="s">
        <v>821</v>
      </c>
      <c r="G1253">
        <v>1</v>
      </c>
    </row>
    <row r="1254" spans="1:7">
      <c r="A1254">
        <v>5</v>
      </c>
      <c r="B1254" t="s">
        <v>1868</v>
      </c>
      <c r="C1254" t="s">
        <v>1868</v>
      </c>
      <c r="D1254">
        <v>5</v>
      </c>
      <c r="E1254">
        <f t="shared" si="19"/>
        <v>8</v>
      </c>
      <c r="F1254" t="s">
        <v>821</v>
      </c>
      <c r="G1254">
        <v>1</v>
      </c>
    </row>
    <row r="1255" spans="1:7">
      <c r="A1255">
        <v>5</v>
      </c>
      <c r="B1255" t="s">
        <v>5346</v>
      </c>
      <c r="C1255" t="s">
        <v>5346</v>
      </c>
      <c r="D1255">
        <v>5</v>
      </c>
      <c r="E1255">
        <f t="shared" si="19"/>
        <v>8</v>
      </c>
      <c r="F1255" t="s">
        <v>821</v>
      </c>
      <c r="G1255">
        <v>1</v>
      </c>
    </row>
    <row r="1256" spans="1:7">
      <c r="A1256">
        <v>5</v>
      </c>
      <c r="B1256" t="s">
        <v>1879</v>
      </c>
      <c r="C1256" t="s">
        <v>1879</v>
      </c>
      <c r="D1256">
        <v>5</v>
      </c>
      <c r="E1256">
        <f t="shared" si="19"/>
        <v>8</v>
      </c>
      <c r="F1256" t="s">
        <v>821</v>
      </c>
      <c r="G1256">
        <v>1</v>
      </c>
    </row>
    <row r="1257" spans="1:7">
      <c r="A1257">
        <v>5</v>
      </c>
      <c r="B1257" t="s">
        <v>1888</v>
      </c>
      <c r="C1257" t="s">
        <v>1888</v>
      </c>
      <c r="D1257">
        <v>5</v>
      </c>
      <c r="E1257">
        <f t="shared" si="19"/>
        <v>8</v>
      </c>
      <c r="F1257" t="s">
        <v>821</v>
      </c>
      <c r="G1257">
        <v>1</v>
      </c>
    </row>
    <row r="1258" spans="1:7">
      <c r="A1258">
        <v>5</v>
      </c>
      <c r="B1258" t="s">
        <v>6597</v>
      </c>
      <c r="C1258" t="s">
        <v>6597</v>
      </c>
      <c r="D1258">
        <v>5</v>
      </c>
      <c r="E1258">
        <f t="shared" si="19"/>
        <v>8</v>
      </c>
      <c r="G1258">
        <v>1</v>
      </c>
    </row>
    <row r="1259" spans="1:7">
      <c r="A1259">
        <v>5</v>
      </c>
      <c r="B1259" t="s">
        <v>6617</v>
      </c>
      <c r="C1259" t="s">
        <v>6617</v>
      </c>
      <c r="D1259">
        <v>5</v>
      </c>
      <c r="E1259">
        <f t="shared" si="19"/>
        <v>8</v>
      </c>
      <c r="G1259">
        <v>1</v>
      </c>
    </row>
    <row r="1260" spans="1:7">
      <c r="A1260">
        <v>5</v>
      </c>
      <c r="B1260" t="s">
        <v>6620</v>
      </c>
      <c r="C1260" t="s">
        <v>6620</v>
      </c>
      <c r="D1260">
        <v>5</v>
      </c>
      <c r="E1260">
        <f t="shared" si="19"/>
        <v>8</v>
      </c>
      <c r="G1260">
        <v>1</v>
      </c>
    </row>
    <row r="1261" spans="1:7">
      <c r="A1261">
        <v>5</v>
      </c>
      <c r="B1261" t="s">
        <v>6621</v>
      </c>
      <c r="C1261" t="s">
        <v>6621</v>
      </c>
      <c r="D1261">
        <v>5</v>
      </c>
      <c r="E1261">
        <f t="shared" si="19"/>
        <v>8</v>
      </c>
      <c r="G1261">
        <v>1</v>
      </c>
    </row>
    <row r="1262" spans="1:7">
      <c r="A1262">
        <v>5</v>
      </c>
      <c r="B1262" t="s">
        <v>6732</v>
      </c>
      <c r="C1262" t="s">
        <v>6732</v>
      </c>
      <c r="D1262">
        <v>5</v>
      </c>
      <c r="E1262">
        <f t="shared" si="19"/>
        <v>8</v>
      </c>
      <c r="G1262">
        <v>1</v>
      </c>
    </row>
    <row r="1263" spans="1:7">
      <c r="A1263">
        <v>5</v>
      </c>
      <c r="B1263" t="s">
        <v>10325</v>
      </c>
      <c r="C1263" t="s">
        <v>10325</v>
      </c>
      <c r="D1263">
        <v>5</v>
      </c>
      <c r="E1263">
        <f t="shared" si="19"/>
        <v>8</v>
      </c>
      <c r="G1263">
        <v>1</v>
      </c>
    </row>
    <row r="1264" spans="1:7">
      <c r="A1264">
        <v>5</v>
      </c>
      <c r="B1264" t="s">
        <v>10328</v>
      </c>
      <c r="C1264" t="s">
        <v>10328</v>
      </c>
      <c r="D1264">
        <v>5</v>
      </c>
      <c r="E1264">
        <f t="shared" si="19"/>
        <v>8</v>
      </c>
      <c r="G1264">
        <v>1</v>
      </c>
    </row>
    <row r="1265" spans="1:7">
      <c r="A1265">
        <v>5</v>
      </c>
      <c r="B1265" t="s">
        <v>10332</v>
      </c>
      <c r="C1265" t="s">
        <v>10332</v>
      </c>
      <c r="D1265">
        <v>5</v>
      </c>
      <c r="E1265">
        <f t="shared" si="19"/>
        <v>8</v>
      </c>
      <c r="G1265">
        <v>1</v>
      </c>
    </row>
    <row r="1266" spans="1:7">
      <c r="A1266">
        <v>5</v>
      </c>
      <c r="B1266" t="s">
        <v>10341</v>
      </c>
      <c r="C1266" t="s">
        <v>10341</v>
      </c>
      <c r="D1266">
        <v>5</v>
      </c>
      <c r="E1266">
        <f t="shared" si="19"/>
        <v>8</v>
      </c>
      <c r="G1266">
        <v>1</v>
      </c>
    </row>
    <row r="1267" spans="1:7">
      <c r="A1267">
        <v>5</v>
      </c>
      <c r="B1267" t="s">
        <v>10344</v>
      </c>
      <c r="C1267" t="s">
        <v>10344</v>
      </c>
      <c r="D1267">
        <v>5</v>
      </c>
      <c r="E1267">
        <f t="shared" si="19"/>
        <v>8</v>
      </c>
      <c r="G1267">
        <v>1</v>
      </c>
    </row>
    <row r="1268" spans="1:7">
      <c r="A1268">
        <v>5</v>
      </c>
      <c r="B1268" t="s">
        <v>88</v>
      </c>
      <c r="C1268" t="s">
        <v>88</v>
      </c>
      <c r="D1268">
        <v>5</v>
      </c>
      <c r="E1268">
        <f t="shared" si="19"/>
        <v>8</v>
      </c>
      <c r="F1268" t="s">
        <v>821</v>
      </c>
      <c r="G1268">
        <v>0</v>
      </c>
    </row>
    <row r="1269" spans="1:7">
      <c r="A1269">
        <v>5</v>
      </c>
      <c r="B1269" t="s">
        <v>10911</v>
      </c>
      <c r="C1269" t="s">
        <v>10911</v>
      </c>
      <c r="D1269">
        <v>5</v>
      </c>
      <c r="E1269">
        <f t="shared" si="19"/>
        <v>8</v>
      </c>
      <c r="F1269" t="s">
        <v>821</v>
      </c>
      <c r="G1269">
        <v>0</v>
      </c>
    </row>
    <row r="1270" spans="1:7">
      <c r="A1270">
        <v>5</v>
      </c>
      <c r="B1270" t="s">
        <v>8428</v>
      </c>
      <c r="C1270" t="s">
        <v>8428</v>
      </c>
      <c r="D1270">
        <v>5</v>
      </c>
      <c r="E1270">
        <f t="shared" si="19"/>
        <v>8</v>
      </c>
      <c r="F1270" t="s">
        <v>821</v>
      </c>
      <c r="G1270">
        <v>0</v>
      </c>
    </row>
    <row r="1271" spans="1:7">
      <c r="A1271">
        <v>5</v>
      </c>
      <c r="B1271" t="s">
        <v>10922</v>
      </c>
      <c r="C1271" t="s">
        <v>10922</v>
      </c>
      <c r="D1271">
        <v>5</v>
      </c>
      <c r="E1271">
        <f t="shared" si="19"/>
        <v>8</v>
      </c>
      <c r="F1271" t="s">
        <v>821</v>
      </c>
      <c r="G1271">
        <v>0</v>
      </c>
    </row>
    <row r="1272" spans="1:7">
      <c r="A1272">
        <v>5</v>
      </c>
      <c r="B1272" t="s">
        <v>10925</v>
      </c>
      <c r="C1272" t="s">
        <v>10926</v>
      </c>
      <c r="D1272">
        <v>5</v>
      </c>
      <c r="E1272">
        <f t="shared" si="19"/>
        <v>8</v>
      </c>
      <c r="F1272" t="s">
        <v>821</v>
      </c>
      <c r="G1272">
        <v>0</v>
      </c>
    </row>
    <row r="1273" spans="1:7">
      <c r="A1273">
        <v>5</v>
      </c>
      <c r="B1273" t="s">
        <v>408</v>
      </c>
      <c r="C1273" t="s">
        <v>10936</v>
      </c>
      <c r="D1273">
        <v>5</v>
      </c>
      <c r="E1273">
        <f t="shared" si="19"/>
        <v>8</v>
      </c>
      <c r="F1273" t="s">
        <v>821</v>
      </c>
      <c r="G1273">
        <v>0</v>
      </c>
    </row>
    <row r="1274" spans="1:7">
      <c r="A1274">
        <v>5</v>
      </c>
      <c r="B1274" t="s">
        <v>10944</v>
      </c>
      <c r="C1274" t="s">
        <v>10945</v>
      </c>
      <c r="D1274">
        <v>5</v>
      </c>
      <c r="E1274">
        <f t="shared" si="19"/>
        <v>8</v>
      </c>
      <c r="F1274" t="s">
        <v>821</v>
      </c>
      <c r="G1274">
        <v>0</v>
      </c>
    </row>
    <row r="1275" spans="1:7">
      <c r="A1275">
        <v>5</v>
      </c>
      <c r="B1275" t="s">
        <v>10946</v>
      </c>
      <c r="C1275" t="s">
        <v>10947</v>
      </c>
      <c r="D1275">
        <v>5</v>
      </c>
      <c r="E1275">
        <f t="shared" si="19"/>
        <v>8</v>
      </c>
      <c r="F1275" t="s">
        <v>821</v>
      </c>
      <c r="G1275">
        <v>0</v>
      </c>
    </row>
    <row r="1276" spans="1:7">
      <c r="A1276">
        <v>5</v>
      </c>
      <c r="B1276" t="s">
        <v>265</v>
      </c>
      <c r="C1276" t="s">
        <v>265</v>
      </c>
      <c r="D1276">
        <v>7</v>
      </c>
      <c r="E1276">
        <f t="shared" si="19"/>
        <v>8</v>
      </c>
      <c r="F1276" t="s">
        <v>821</v>
      </c>
      <c r="G1276">
        <v>2</v>
      </c>
    </row>
    <row r="1277" spans="1:7">
      <c r="A1277">
        <v>5</v>
      </c>
      <c r="B1277" t="s">
        <v>12014</v>
      </c>
      <c r="C1277" t="s">
        <v>12015</v>
      </c>
      <c r="D1277">
        <v>20</v>
      </c>
      <c r="E1277">
        <f t="shared" si="19"/>
        <v>8</v>
      </c>
      <c r="F1277" t="s">
        <v>821</v>
      </c>
      <c r="G1277">
        <v>15</v>
      </c>
    </row>
    <row r="1278" spans="1:7">
      <c r="A1278">
        <v>5</v>
      </c>
      <c r="B1278" t="s">
        <v>12022</v>
      </c>
      <c r="C1278" t="s">
        <v>12022</v>
      </c>
      <c r="D1278">
        <v>26</v>
      </c>
      <c r="E1278">
        <f t="shared" si="19"/>
        <v>8</v>
      </c>
      <c r="F1278" t="s">
        <v>821</v>
      </c>
      <c r="G1278">
        <v>21</v>
      </c>
    </row>
    <row r="1279" spans="1:7">
      <c r="A1279">
        <v>5</v>
      </c>
      <c r="B1279" t="s">
        <v>8743</v>
      </c>
      <c r="C1279" t="s">
        <v>8743</v>
      </c>
      <c r="D1279">
        <v>27</v>
      </c>
      <c r="E1279">
        <f t="shared" si="19"/>
        <v>8</v>
      </c>
      <c r="F1279" t="s">
        <v>821</v>
      </c>
      <c r="G1279">
        <v>22</v>
      </c>
    </row>
    <row r="1280" spans="1:7">
      <c r="A1280">
        <v>5</v>
      </c>
      <c r="B1280" t="s">
        <v>12032</v>
      </c>
      <c r="C1280" t="s">
        <v>12033</v>
      </c>
      <c r="D1280">
        <v>35</v>
      </c>
      <c r="E1280">
        <f t="shared" si="19"/>
        <v>8</v>
      </c>
      <c r="F1280" t="s">
        <v>821</v>
      </c>
      <c r="G1280">
        <v>30</v>
      </c>
    </row>
    <row r="1281" spans="1:7">
      <c r="A1281">
        <v>5</v>
      </c>
      <c r="B1281" t="s">
        <v>259</v>
      </c>
      <c r="C1281" t="s">
        <v>12034</v>
      </c>
      <c r="D1281">
        <v>36</v>
      </c>
      <c r="E1281">
        <f t="shared" si="19"/>
        <v>8</v>
      </c>
      <c r="F1281" t="s">
        <v>821</v>
      </c>
      <c r="G1281">
        <v>31</v>
      </c>
    </row>
    <row r="1282" spans="1:7">
      <c r="A1282">
        <v>5</v>
      </c>
      <c r="B1282" t="s">
        <v>408</v>
      </c>
      <c r="C1282" t="s">
        <v>408</v>
      </c>
      <c r="D1282">
        <v>37</v>
      </c>
      <c r="E1282">
        <f t="shared" ref="E1282:E1345" si="20">LEN(B1282)</f>
        <v>8</v>
      </c>
      <c r="F1282" t="s">
        <v>821</v>
      </c>
      <c r="G1282">
        <v>32</v>
      </c>
    </row>
    <row r="1283" spans="1:7">
      <c r="A1283">
        <v>5</v>
      </c>
      <c r="B1283" t="s">
        <v>12058</v>
      </c>
      <c r="C1283" t="s">
        <v>12059</v>
      </c>
      <c r="D1283">
        <v>57</v>
      </c>
      <c r="E1283">
        <f t="shared" si="20"/>
        <v>8</v>
      </c>
      <c r="F1283" t="s">
        <v>821</v>
      </c>
      <c r="G1283">
        <v>52</v>
      </c>
    </row>
    <row r="1284" spans="1:7">
      <c r="A1284">
        <v>5</v>
      </c>
      <c r="B1284" t="s">
        <v>694</v>
      </c>
      <c r="C1284" t="s">
        <v>12063</v>
      </c>
      <c r="D1284">
        <v>60</v>
      </c>
      <c r="E1284">
        <f t="shared" si="20"/>
        <v>8</v>
      </c>
      <c r="F1284" t="s">
        <v>821</v>
      </c>
      <c r="G1284">
        <v>55</v>
      </c>
    </row>
    <row r="1285" spans="1:7">
      <c r="A1285">
        <v>5</v>
      </c>
      <c r="B1285" t="s">
        <v>9508</v>
      </c>
      <c r="C1285" t="s">
        <v>12064</v>
      </c>
      <c r="D1285">
        <v>61</v>
      </c>
      <c r="E1285">
        <f t="shared" si="20"/>
        <v>8</v>
      </c>
      <c r="F1285" t="s">
        <v>821</v>
      </c>
      <c r="G1285">
        <v>56</v>
      </c>
    </row>
    <row r="1286" spans="1:7">
      <c r="A1286">
        <v>5</v>
      </c>
      <c r="B1286" t="s">
        <v>9519</v>
      </c>
      <c r="C1286" t="s">
        <v>12065</v>
      </c>
      <c r="D1286">
        <v>62</v>
      </c>
      <c r="E1286">
        <f t="shared" si="20"/>
        <v>8</v>
      </c>
      <c r="F1286" t="s">
        <v>821</v>
      </c>
      <c r="G1286">
        <v>57</v>
      </c>
    </row>
    <row r="1287" spans="1:7">
      <c r="A1287">
        <v>5</v>
      </c>
      <c r="B1287" t="s">
        <v>10767</v>
      </c>
      <c r="C1287" t="s">
        <v>10767</v>
      </c>
      <c r="E1287">
        <f t="shared" si="20"/>
        <v>8</v>
      </c>
      <c r="F1287" t="s">
        <v>821</v>
      </c>
      <c r="G1287">
        <v>6</v>
      </c>
    </row>
    <row r="1288" spans="1:7">
      <c r="A1288">
        <v>5</v>
      </c>
      <c r="B1288" t="s">
        <v>10773</v>
      </c>
      <c r="C1288" t="s">
        <v>10773</v>
      </c>
      <c r="E1288">
        <f t="shared" si="20"/>
        <v>8</v>
      </c>
      <c r="F1288" t="s">
        <v>821</v>
      </c>
      <c r="G1288">
        <v>8</v>
      </c>
    </row>
    <row r="1289" spans="1:7">
      <c r="A1289">
        <v>5</v>
      </c>
      <c r="B1289" t="s">
        <v>408</v>
      </c>
      <c r="C1289" t="s">
        <v>408</v>
      </c>
      <c r="E1289">
        <f t="shared" si="20"/>
        <v>8</v>
      </c>
      <c r="F1289" t="s">
        <v>821</v>
      </c>
      <c r="G1289">
        <v>9</v>
      </c>
    </row>
    <row r="1290" spans="1:7">
      <c r="A1290">
        <v>5</v>
      </c>
      <c r="B1290" t="s">
        <v>264</v>
      </c>
      <c r="C1290" t="s">
        <v>264</v>
      </c>
      <c r="E1290">
        <f t="shared" si="20"/>
        <v>8</v>
      </c>
      <c r="F1290" t="s">
        <v>821</v>
      </c>
      <c r="G1290">
        <v>11</v>
      </c>
    </row>
    <row r="1291" spans="1:7">
      <c r="A1291">
        <v>5</v>
      </c>
      <c r="B1291" t="s">
        <v>388</v>
      </c>
      <c r="C1291" t="s">
        <v>14886</v>
      </c>
      <c r="E1291">
        <f t="shared" si="20"/>
        <v>8</v>
      </c>
    </row>
    <row r="1292" spans="1:7">
      <c r="A1292">
        <v>5</v>
      </c>
      <c r="B1292" t="s">
        <v>7877</v>
      </c>
      <c r="C1292" t="s">
        <v>14857</v>
      </c>
      <c r="E1292">
        <f t="shared" si="20"/>
        <v>8</v>
      </c>
    </row>
    <row r="1293" spans="1:7">
      <c r="A1293">
        <v>5</v>
      </c>
      <c r="B1293" t="s">
        <v>14434</v>
      </c>
      <c r="C1293" t="s">
        <v>14860</v>
      </c>
      <c r="E1293">
        <f t="shared" si="20"/>
        <v>8</v>
      </c>
    </row>
    <row r="1294" spans="1:7">
      <c r="A1294">
        <v>5</v>
      </c>
      <c r="B1294" t="s">
        <v>14445</v>
      </c>
      <c r="C1294" t="s">
        <v>14445</v>
      </c>
      <c r="E1294">
        <f t="shared" si="20"/>
        <v>8</v>
      </c>
    </row>
    <row r="1295" spans="1:7">
      <c r="A1295">
        <v>5</v>
      </c>
      <c r="B1295" t="s">
        <v>14461</v>
      </c>
      <c r="C1295" t="s">
        <v>15531</v>
      </c>
      <c r="E1295">
        <f t="shared" si="20"/>
        <v>8</v>
      </c>
    </row>
    <row r="1296" spans="1:7">
      <c r="A1296">
        <v>5</v>
      </c>
      <c r="B1296" t="s">
        <v>694</v>
      </c>
      <c r="C1296" t="s">
        <v>14861</v>
      </c>
      <c r="E1296">
        <f t="shared" si="20"/>
        <v>8</v>
      </c>
    </row>
    <row r="1297" spans="1:7">
      <c r="A1297">
        <v>5</v>
      </c>
      <c r="B1297" t="s">
        <v>238</v>
      </c>
      <c r="C1297" t="s">
        <v>14867</v>
      </c>
      <c r="E1297">
        <f t="shared" si="20"/>
        <v>8</v>
      </c>
    </row>
    <row r="1298" spans="1:7">
      <c r="A1298">
        <v>5</v>
      </c>
      <c r="B1298" t="s">
        <v>14679</v>
      </c>
      <c r="C1298" t="s">
        <v>14679</v>
      </c>
      <c r="E1298">
        <f t="shared" si="20"/>
        <v>8</v>
      </c>
    </row>
    <row r="1299" spans="1:7">
      <c r="A1299">
        <v>5</v>
      </c>
      <c r="B1299" t="s">
        <v>14694</v>
      </c>
      <c r="C1299" t="s">
        <v>14890</v>
      </c>
      <c r="E1299">
        <f t="shared" si="20"/>
        <v>8</v>
      </c>
    </row>
    <row r="1300" spans="1:7">
      <c r="A1300">
        <v>5</v>
      </c>
      <c r="B1300" t="s">
        <v>14761</v>
      </c>
      <c r="C1300" t="s">
        <v>14868</v>
      </c>
      <c r="E1300">
        <f t="shared" si="20"/>
        <v>8</v>
      </c>
    </row>
    <row r="1301" spans="1:7">
      <c r="A1301">
        <v>5</v>
      </c>
      <c r="B1301" t="s">
        <v>7877</v>
      </c>
      <c r="C1301" t="s">
        <v>7877</v>
      </c>
      <c r="D1301">
        <v>5</v>
      </c>
      <c r="E1301">
        <f t="shared" si="20"/>
        <v>8</v>
      </c>
      <c r="F1301" t="s">
        <v>821</v>
      </c>
      <c r="G1301">
        <v>0</v>
      </c>
    </row>
    <row r="1302" spans="1:7">
      <c r="A1302">
        <v>5</v>
      </c>
      <c r="B1302" t="s">
        <v>14930</v>
      </c>
      <c r="C1302" t="s">
        <v>14930</v>
      </c>
      <c r="D1302">
        <v>5</v>
      </c>
      <c r="E1302">
        <f t="shared" si="20"/>
        <v>8</v>
      </c>
      <c r="F1302" t="s">
        <v>821</v>
      </c>
      <c r="G1302">
        <v>0</v>
      </c>
    </row>
    <row r="1303" spans="1:7">
      <c r="A1303">
        <v>5</v>
      </c>
      <c r="B1303" t="s">
        <v>14938</v>
      </c>
      <c r="C1303" t="s">
        <v>14938</v>
      </c>
      <c r="D1303">
        <v>5</v>
      </c>
      <c r="E1303">
        <f t="shared" si="20"/>
        <v>8</v>
      </c>
      <c r="F1303" t="s">
        <v>821</v>
      </c>
      <c r="G1303">
        <v>0</v>
      </c>
    </row>
    <row r="1304" spans="1:7">
      <c r="A1304">
        <v>5</v>
      </c>
      <c r="B1304" t="s">
        <v>15004</v>
      </c>
      <c r="C1304" t="s">
        <v>15004</v>
      </c>
      <c r="D1304">
        <v>5</v>
      </c>
      <c r="E1304">
        <f t="shared" si="20"/>
        <v>8</v>
      </c>
      <c r="F1304" t="s">
        <v>821</v>
      </c>
      <c r="G1304">
        <v>0</v>
      </c>
    </row>
    <row r="1305" spans="1:7">
      <c r="A1305">
        <v>5</v>
      </c>
      <c r="B1305" t="s">
        <v>15225</v>
      </c>
      <c r="C1305" t="s">
        <v>15225</v>
      </c>
      <c r="D1305">
        <v>5</v>
      </c>
      <c r="E1305">
        <f t="shared" si="20"/>
        <v>8</v>
      </c>
      <c r="F1305" t="s">
        <v>821</v>
      </c>
      <c r="G1305">
        <v>0</v>
      </c>
    </row>
    <row r="1306" spans="1:7">
      <c r="A1306">
        <v>5</v>
      </c>
      <c r="B1306" t="s">
        <v>13929</v>
      </c>
      <c r="C1306" t="s">
        <v>13929</v>
      </c>
      <c r="D1306">
        <v>5</v>
      </c>
      <c r="E1306">
        <f t="shared" si="20"/>
        <v>8</v>
      </c>
      <c r="F1306" t="s">
        <v>821</v>
      </c>
      <c r="G1306">
        <v>0</v>
      </c>
    </row>
    <row r="1307" spans="1:7">
      <c r="A1307">
        <v>5</v>
      </c>
      <c r="B1307" t="s">
        <v>5492</v>
      </c>
      <c r="C1307" t="s">
        <v>5492</v>
      </c>
      <c r="D1307">
        <v>5</v>
      </c>
      <c r="E1307">
        <f t="shared" si="20"/>
        <v>7</v>
      </c>
      <c r="F1307" t="s">
        <v>821</v>
      </c>
      <c r="G1307">
        <v>1</v>
      </c>
    </row>
    <row r="1308" spans="1:7">
      <c r="A1308">
        <v>5</v>
      </c>
      <c r="B1308" t="s">
        <v>15</v>
      </c>
      <c r="C1308" t="s">
        <v>15</v>
      </c>
      <c r="D1308">
        <v>5</v>
      </c>
      <c r="E1308">
        <f t="shared" si="20"/>
        <v>7</v>
      </c>
      <c r="F1308" t="s">
        <v>821</v>
      </c>
      <c r="G1308">
        <v>1</v>
      </c>
    </row>
    <row r="1309" spans="1:7">
      <c r="A1309">
        <v>5</v>
      </c>
      <c r="B1309" t="s">
        <v>5338</v>
      </c>
      <c r="C1309" t="s">
        <v>5338</v>
      </c>
      <c r="D1309">
        <v>5</v>
      </c>
      <c r="E1309">
        <f t="shared" si="20"/>
        <v>7</v>
      </c>
      <c r="F1309" t="s">
        <v>821</v>
      </c>
      <c r="G1309">
        <v>1</v>
      </c>
    </row>
    <row r="1310" spans="1:7">
      <c r="A1310">
        <v>5</v>
      </c>
      <c r="B1310" t="s">
        <v>1871</v>
      </c>
      <c r="C1310" t="s">
        <v>1871</v>
      </c>
      <c r="D1310">
        <v>5</v>
      </c>
      <c r="E1310">
        <f t="shared" si="20"/>
        <v>7</v>
      </c>
      <c r="F1310" t="s">
        <v>821</v>
      </c>
      <c r="G1310">
        <v>1</v>
      </c>
    </row>
    <row r="1311" spans="1:7">
      <c r="A1311">
        <v>5</v>
      </c>
      <c r="B1311" t="s">
        <v>1875</v>
      </c>
      <c r="C1311" t="s">
        <v>1875</v>
      </c>
      <c r="D1311">
        <v>5</v>
      </c>
      <c r="E1311">
        <f t="shared" si="20"/>
        <v>7</v>
      </c>
      <c r="F1311" t="s">
        <v>821</v>
      </c>
      <c r="G1311">
        <v>1</v>
      </c>
    </row>
    <row r="1312" spans="1:7">
      <c r="A1312">
        <v>5</v>
      </c>
      <c r="B1312" t="s">
        <v>1893</v>
      </c>
      <c r="C1312" t="s">
        <v>1893</v>
      </c>
      <c r="D1312">
        <v>5</v>
      </c>
      <c r="E1312">
        <f t="shared" si="20"/>
        <v>7</v>
      </c>
      <c r="F1312" t="s">
        <v>821</v>
      </c>
      <c r="G1312">
        <v>1</v>
      </c>
    </row>
    <row r="1313" spans="1:7">
      <c r="A1313">
        <v>5</v>
      </c>
      <c r="B1313" t="s">
        <v>964</v>
      </c>
      <c r="C1313" t="s">
        <v>964</v>
      </c>
      <c r="D1313">
        <v>5</v>
      </c>
      <c r="E1313">
        <f t="shared" si="20"/>
        <v>7</v>
      </c>
      <c r="F1313" t="s">
        <v>821</v>
      </c>
      <c r="G1313">
        <v>1</v>
      </c>
    </row>
    <row r="1314" spans="1:7">
      <c r="A1314">
        <v>5</v>
      </c>
      <c r="B1314" t="s">
        <v>201</v>
      </c>
      <c r="C1314" t="s">
        <v>201</v>
      </c>
      <c r="D1314">
        <v>5</v>
      </c>
      <c r="E1314">
        <f t="shared" si="20"/>
        <v>7</v>
      </c>
      <c r="F1314" t="s">
        <v>821</v>
      </c>
      <c r="G1314">
        <v>1</v>
      </c>
    </row>
    <row r="1315" spans="1:7">
      <c r="A1315">
        <v>5</v>
      </c>
      <c r="B1315" t="s">
        <v>6586</v>
      </c>
      <c r="C1315" t="s">
        <v>6586</v>
      </c>
      <c r="D1315">
        <v>5</v>
      </c>
      <c r="E1315">
        <f t="shared" si="20"/>
        <v>7</v>
      </c>
      <c r="F1315" t="s">
        <v>821</v>
      </c>
      <c r="G1315">
        <v>1</v>
      </c>
    </row>
    <row r="1316" spans="1:7">
      <c r="A1316">
        <v>5</v>
      </c>
      <c r="B1316" t="s">
        <v>6589</v>
      </c>
      <c r="C1316" t="s">
        <v>6589</v>
      </c>
      <c r="D1316">
        <v>5</v>
      </c>
      <c r="E1316">
        <f t="shared" si="20"/>
        <v>7</v>
      </c>
      <c r="F1316" t="s">
        <v>821</v>
      </c>
      <c r="G1316">
        <v>1</v>
      </c>
    </row>
    <row r="1317" spans="1:7">
      <c r="A1317">
        <v>5</v>
      </c>
      <c r="B1317" t="s">
        <v>6591</v>
      </c>
      <c r="C1317" t="s">
        <v>6591</v>
      </c>
      <c r="D1317">
        <v>5</v>
      </c>
      <c r="E1317">
        <f t="shared" si="20"/>
        <v>7</v>
      </c>
      <c r="G1317">
        <v>1</v>
      </c>
    </row>
    <row r="1318" spans="1:7">
      <c r="A1318">
        <v>5</v>
      </c>
      <c r="B1318" t="s">
        <v>6595</v>
      </c>
      <c r="C1318" t="s">
        <v>6595</v>
      </c>
      <c r="D1318">
        <v>5</v>
      </c>
      <c r="E1318">
        <f t="shared" si="20"/>
        <v>7</v>
      </c>
      <c r="G1318">
        <v>1</v>
      </c>
    </row>
    <row r="1319" spans="1:7">
      <c r="A1319">
        <v>5</v>
      </c>
      <c r="B1319" t="s">
        <v>6639</v>
      </c>
      <c r="C1319" t="s">
        <v>6639</v>
      </c>
      <c r="D1319">
        <v>5</v>
      </c>
      <c r="E1319">
        <f t="shared" si="20"/>
        <v>7</v>
      </c>
      <c r="G1319">
        <v>1</v>
      </c>
    </row>
    <row r="1320" spans="1:7">
      <c r="A1320">
        <v>5</v>
      </c>
      <c r="B1320" t="s">
        <v>6641</v>
      </c>
      <c r="C1320" t="s">
        <v>6641</v>
      </c>
      <c r="D1320">
        <v>5</v>
      </c>
      <c r="E1320">
        <f t="shared" si="20"/>
        <v>7</v>
      </c>
      <c r="G1320">
        <v>1</v>
      </c>
    </row>
    <row r="1321" spans="1:7">
      <c r="A1321">
        <v>5</v>
      </c>
      <c r="B1321" t="s">
        <v>6648</v>
      </c>
      <c r="C1321" t="s">
        <v>6648</v>
      </c>
      <c r="D1321">
        <v>5</v>
      </c>
      <c r="E1321">
        <f t="shared" si="20"/>
        <v>7</v>
      </c>
      <c r="G1321">
        <v>1</v>
      </c>
    </row>
    <row r="1322" spans="1:7">
      <c r="A1322">
        <v>5</v>
      </c>
      <c r="B1322" t="s">
        <v>6651</v>
      </c>
      <c r="C1322" t="s">
        <v>6651</v>
      </c>
      <c r="D1322">
        <v>5</v>
      </c>
      <c r="E1322">
        <f t="shared" si="20"/>
        <v>7</v>
      </c>
      <c r="G1322">
        <v>1</v>
      </c>
    </row>
    <row r="1323" spans="1:7">
      <c r="A1323">
        <v>5</v>
      </c>
      <c r="B1323" t="s">
        <v>6832</v>
      </c>
      <c r="C1323" t="s">
        <v>6832</v>
      </c>
      <c r="D1323">
        <v>5</v>
      </c>
      <c r="E1323">
        <f t="shared" si="20"/>
        <v>7</v>
      </c>
      <c r="G1323">
        <v>1</v>
      </c>
    </row>
    <row r="1324" spans="1:7">
      <c r="A1324">
        <v>5</v>
      </c>
      <c r="B1324" t="s">
        <v>6911</v>
      </c>
      <c r="C1324" t="s">
        <v>6911</v>
      </c>
      <c r="D1324">
        <v>5</v>
      </c>
      <c r="E1324">
        <f t="shared" si="20"/>
        <v>7</v>
      </c>
      <c r="G1324">
        <v>1</v>
      </c>
    </row>
    <row r="1325" spans="1:7">
      <c r="A1325">
        <v>5</v>
      </c>
      <c r="B1325" t="s">
        <v>7068</v>
      </c>
      <c r="C1325" t="s">
        <v>7068</v>
      </c>
      <c r="D1325">
        <v>5</v>
      </c>
      <c r="E1325">
        <f t="shared" si="20"/>
        <v>7</v>
      </c>
      <c r="F1325" t="s">
        <v>822</v>
      </c>
      <c r="G1325">
        <v>1</v>
      </c>
    </row>
    <row r="1326" spans="1:7">
      <c r="A1326">
        <v>5</v>
      </c>
      <c r="B1326" t="s">
        <v>10264</v>
      </c>
      <c r="C1326" t="s">
        <v>10264</v>
      </c>
      <c r="D1326">
        <v>5</v>
      </c>
      <c r="E1326">
        <f t="shared" si="20"/>
        <v>7</v>
      </c>
      <c r="G1326">
        <v>1</v>
      </c>
    </row>
    <row r="1327" spans="1:7">
      <c r="A1327">
        <v>5</v>
      </c>
      <c r="B1327" t="s">
        <v>10323</v>
      </c>
      <c r="C1327" t="s">
        <v>10323</v>
      </c>
      <c r="D1327">
        <v>5</v>
      </c>
      <c r="E1327">
        <f t="shared" si="20"/>
        <v>7</v>
      </c>
      <c r="G1327">
        <v>1</v>
      </c>
    </row>
    <row r="1328" spans="1:7" ht="17.149999999999999" customHeight="1">
      <c r="A1328">
        <v>5</v>
      </c>
      <c r="B1328" t="s">
        <v>10324</v>
      </c>
      <c r="C1328" t="s">
        <v>10324</v>
      </c>
      <c r="D1328">
        <v>5</v>
      </c>
      <c r="E1328">
        <f t="shared" si="20"/>
        <v>7</v>
      </c>
      <c r="G1328">
        <v>1</v>
      </c>
    </row>
    <row r="1329" spans="1:7">
      <c r="A1329">
        <v>5</v>
      </c>
      <c r="B1329" t="s">
        <v>10333</v>
      </c>
      <c r="C1329" t="s">
        <v>10333</v>
      </c>
      <c r="D1329">
        <v>5</v>
      </c>
      <c r="E1329">
        <f t="shared" si="20"/>
        <v>7</v>
      </c>
      <c r="G1329">
        <v>1</v>
      </c>
    </row>
    <row r="1330" spans="1:7">
      <c r="A1330">
        <v>5</v>
      </c>
      <c r="B1330" t="s">
        <v>10340</v>
      </c>
      <c r="C1330" t="s">
        <v>10340</v>
      </c>
      <c r="D1330">
        <v>5</v>
      </c>
      <c r="E1330">
        <f t="shared" si="20"/>
        <v>7</v>
      </c>
      <c r="G1330">
        <v>1</v>
      </c>
    </row>
    <row r="1331" spans="1:7">
      <c r="A1331">
        <v>5</v>
      </c>
      <c r="B1331" t="s">
        <v>10895</v>
      </c>
      <c r="C1331" t="s">
        <v>10895</v>
      </c>
      <c r="D1331">
        <v>5</v>
      </c>
      <c r="E1331">
        <f t="shared" si="20"/>
        <v>7</v>
      </c>
      <c r="F1331" t="s">
        <v>821</v>
      </c>
      <c r="G1331">
        <v>0</v>
      </c>
    </row>
    <row r="1332" spans="1:7">
      <c r="A1332">
        <v>5</v>
      </c>
      <c r="B1332" t="s">
        <v>10896</v>
      </c>
      <c r="C1332" t="s">
        <v>10896</v>
      </c>
      <c r="D1332">
        <v>5</v>
      </c>
      <c r="E1332">
        <f t="shared" si="20"/>
        <v>7</v>
      </c>
      <c r="F1332" t="s">
        <v>821</v>
      </c>
      <c r="G1332">
        <v>0</v>
      </c>
    </row>
    <row r="1333" spans="1:7">
      <c r="A1333">
        <v>5</v>
      </c>
      <c r="B1333" t="s">
        <v>10910</v>
      </c>
      <c r="C1333" t="s">
        <v>10910</v>
      </c>
      <c r="D1333">
        <v>5</v>
      </c>
      <c r="E1333">
        <f t="shared" si="20"/>
        <v>7</v>
      </c>
      <c r="F1333" t="s">
        <v>821</v>
      </c>
      <c r="G1333">
        <v>0</v>
      </c>
    </row>
    <row r="1334" spans="1:7">
      <c r="A1334">
        <v>5</v>
      </c>
      <c r="B1334" t="s">
        <v>10912</v>
      </c>
      <c r="C1334" t="s">
        <v>10912</v>
      </c>
      <c r="D1334">
        <v>5</v>
      </c>
      <c r="E1334">
        <f t="shared" si="20"/>
        <v>7</v>
      </c>
      <c r="F1334" t="s">
        <v>821</v>
      </c>
      <c r="G1334">
        <v>0</v>
      </c>
    </row>
    <row r="1335" spans="1:7">
      <c r="A1335">
        <v>5</v>
      </c>
      <c r="B1335" t="s">
        <v>368</v>
      </c>
      <c r="C1335" t="s">
        <v>368</v>
      </c>
      <c r="D1335">
        <v>5</v>
      </c>
      <c r="E1335">
        <f t="shared" si="20"/>
        <v>7</v>
      </c>
      <c r="F1335" t="s">
        <v>821</v>
      </c>
      <c r="G1335">
        <v>0</v>
      </c>
    </row>
    <row r="1336" spans="1:7">
      <c r="A1336">
        <v>5</v>
      </c>
      <c r="B1336" t="s">
        <v>10927</v>
      </c>
      <c r="C1336" t="s">
        <v>10928</v>
      </c>
      <c r="D1336">
        <v>5</v>
      </c>
      <c r="E1336">
        <f t="shared" si="20"/>
        <v>7</v>
      </c>
      <c r="F1336" t="s">
        <v>821</v>
      </c>
      <c r="G1336">
        <v>0</v>
      </c>
    </row>
    <row r="1337" spans="1:7">
      <c r="A1337">
        <v>5</v>
      </c>
      <c r="B1337" t="s">
        <v>10931</v>
      </c>
      <c r="C1337" t="s">
        <v>13655</v>
      </c>
      <c r="D1337">
        <v>5</v>
      </c>
      <c r="E1337">
        <f t="shared" si="20"/>
        <v>7</v>
      </c>
      <c r="F1337" t="s">
        <v>821</v>
      </c>
      <c r="G1337">
        <v>0</v>
      </c>
    </row>
    <row r="1338" spans="1:7">
      <c r="A1338">
        <v>5</v>
      </c>
      <c r="B1338" t="s">
        <v>10937</v>
      </c>
      <c r="C1338" t="s">
        <v>11991</v>
      </c>
      <c r="D1338">
        <v>5</v>
      </c>
      <c r="E1338">
        <f t="shared" si="20"/>
        <v>7</v>
      </c>
      <c r="F1338" t="s">
        <v>821</v>
      </c>
      <c r="G1338">
        <v>0</v>
      </c>
    </row>
    <row r="1339" spans="1:7">
      <c r="A1339">
        <v>5</v>
      </c>
      <c r="B1339" t="s">
        <v>10950</v>
      </c>
      <c r="C1339" t="s">
        <v>10951</v>
      </c>
      <c r="D1339">
        <v>5</v>
      </c>
      <c r="E1339">
        <f t="shared" si="20"/>
        <v>7</v>
      </c>
      <c r="F1339" t="s">
        <v>821</v>
      </c>
      <c r="G1339">
        <v>0</v>
      </c>
    </row>
    <row r="1340" spans="1:7">
      <c r="A1340">
        <v>5</v>
      </c>
      <c r="B1340" t="s">
        <v>10954</v>
      </c>
      <c r="C1340" t="s">
        <v>10955</v>
      </c>
      <c r="D1340">
        <v>5</v>
      </c>
      <c r="E1340">
        <f t="shared" si="20"/>
        <v>7</v>
      </c>
      <c r="F1340" t="s">
        <v>821</v>
      </c>
      <c r="G1340">
        <v>0</v>
      </c>
    </row>
    <row r="1341" spans="1:7">
      <c r="A1341">
        <v>5</v>
      </c>
      <c r="B1341" t="s">
        <v>10956</v>
      </c>
      <c r="C1341" t="s">
        <v>12002</v>
      </c>
      <c r="D1341">
        <v>5</v>
      </c>
      <c r="E1341">
        <f t="shared" si="20"/>
        <v>7</v>
      </c>
      <c r="F1341" t="s">
        <v>821</v>
      </c>
      <c r="G1341">
        <v>0</v>
      </c>
    </row>
    <row r="1342" spans="1:7">
      <c r="A1342">
        <v>5</v>
      </c>
      <c r="B1342" t="s">
        <v>15</v>
      </c>
      <c r="C1342" t="s">
        <v>15</v>
      </c>
      <c r="D1342">
        <v>16</v>
      </c>
      <c r="E1342">
        <f t="shared" si="20"/>
        <v>7</v>
      </c>
      <c r="F1342" t="s">
        <v>821</v>
      </c>
      <c r="G1342">
        <v>11</v>
      </c>
    </row>
    <row r="1343" spans="1:7">
      <c r="A1343">
        <v>5</v>
      </c>
      <c r="B1343" t="s">
        <v>12027</v>
      </c>
      <c r="C1343" t="s">
        <v>12027</v>
      </c>
      <c r="D1343">
        <v>32</v>
      </c>
      <c r="E1343">
        <f t="shared" si="20"/>
        <v>7</v>
      </c>
      <c r="F1343" t="s">
        <v>821</v>
      </c>
      <c r="G1343">
        <v>27</v>
      </c>
    </row>
    <row r="1344" spans="1:7">
      <c r="A1344">
        <v>5</v>
      </c>
      <c r="B1344" t="s">
        <v>10950</v>
      </c>
      <c r="C1344" t="s">
        <v>12039</v>
      </c>
      <c r="D1344">
        <v>41</v>
      </c>
      <c r="E1344">
        <f t="shared" si="20"/>
        <v>7</v>
      </c>
      <c r="F1344" t="s">
        <v>821</v>
      </c>
      <c r="G1344">
        <v>36</v>
      </c>
    </row>
    <row r="1345" spans="1:7">
      <c r="A1345">
        <v>5</v>
      </c>
      <c r="B1345" t="s">
        <v>12040</v>
      </c>
      <c r="C1345" t="s">
        <v>12040</v>
      </c>
      <c r="D1345">
        <v>42</v>
      </c>
      <c r="E1345">
        <f t="shared" si="20"/>
        <v>7</v>
      </c>
      <c r="F1345" t="s">
        <v>821</v>
      </c>
      <c r="G1345">
        <v>37</v>
      </c>
    </row>
    <row r="1346" spans="1:7">
      <c r="A1346">
        <v>5</v>
      </c>
      <c r="B1346" t="s">
        <v>12046</v>
      </c>
      <c r="C1346" t="s">
        <v>12046</v>
      </c>
      <c r="D1346">
        <v>48</v>
      </c>
      <c r="E1346">
        <f t="shared" ref="E1346:E1409" si="21">LEN(B1346)</f>
        <v>7</v>
      </c>
      <c r="F1346" t="s">
        <v>821</v>
      </c>
      <c r="G1346">
        <v>43</v>
      </c>
    </row>
    <row r="1347" spans="1:7">
      <c r="A1347">
        <v>5</v>
      </c>
      <c r="B1347" t="s">
        <v>12060</v>
      </c>
      <c r="C1347" t="s">
        <v>12061</v>
      </c>
      <c r="D1347">
        <v>58</v>
      </c>
      <c r="E1347">
        <f t="shared" si="21"/>
        <v>7</v>
      </c>
      <c r="F1347" t="s">
        <v>821</v>
      </c>
      <c r="G1347">
        <v>53</v>
      </c>
    </row>
    <row r="1348" spans="1:7">
      <c r="A1348">
        <v>5</v>
      </c>
      <c r="B1348" t="s">
        <v>10400</v>
      </c>
      <c r="C1348" t="s">
        <v>10400</v>
      </c>
      <c r="E1348">
        <f t="shared" si="21"/>
        <v>7</v>
      </c>
    </row>
    <row r="1349" spans="1:7">
      <c r="A1349">
        <v>5</v>
      </c>
      <c r="B1349" t="s">
        <v>395</v>
      </c>
      <c r="C1349" t="s">
        <v>395</v>
      </c>
      <c r="E1349">
        <f t="shared" si="21"/>
        <v>7</v>
      </c>
      <c r="F1349" t="s">
        <v>821</v>
      </c>
      <c r="G1349">
        <v>4</v>
      </c>
    </row>
    <row r="1350" spans="1:7">
      <c r="A1350">
        <v>5</v>
      </c>
      <c r="B1350" t="s">
        <v>15</v>
      </c>
      <c r="C1350" t="s">
        <v>15</v>
      </c>
      <c r="E1350">
        <f t="shared" si="21"/>
        <v>7</v>
      </c>
    </row>
    <row r="1351" spans="1:7">
      <c r="A1351">
        <v>5</v>
      </c>
      <c r="B1351" t="s">
        <v>7554</v>
      </c>
      <c r="C1351" t="s">
        <v>14844</v>
      </c>
      <c r="E1351">
        <f t="shared" si="21"/>
        <v>7</v>
      </c>
    </row>
    <row r="1352" spans="1:7">
      <c r="A1352">
        <v>5</v>
      </c>
      <c r="B1352" t="s">
        <v>368</v>
      </c>
      <c r="C1352" t="s">
        <v>368</v>
      </c>
      <c r="E1352">
        <f t="shared" si="21"/>
        <v>7</v>
      </c>
    </row>
    <row r="1353" spans="1:7">
      <c r="A1353">
        <v>5</v>
      </c>
      <c r="B1353" t="s">
        <v>516</v>
      </c>
      <c r="C1353" t="s">
        <v>14873</v>
      </c>
      <c r="E1353">
        <f t="shared" si="21"/>
        <v>7</v>
      </c>
    </row>
    <row r="1354" spans="1:7">
      <c r="A1354">
        <v>5</v>
      </c>
      <c r="B1354" t="s">
        <v>13934</v>
      </c>
      <c r="C1354" t="s">
        <v>13934</v>
      </c>
      <c r="E1354">
        <f t="shared" si="21"/>
        <v>7</v>
      </c>
    </row>
    <row r="1355" spans="1:7">
      <c r="A1355">
        <v>5</v>
      </c>
      <c r="B1355" t="s">
        <v>13970</v>
      </c>
      <c r="C1355" t="s">
        <v>14848</v>
      </c>
      <c r="E1355">
        <f t="shared" si="21"/>
        <v>7</v>
      </c>
    </row>
    <row r="1356" spans="1:7">
      <c r="A1356">
        <v>5</v>
      </c>
      <c r="B1356" t="s">
        <v>14101</v>
      </c>
      <c r="C1356" t="s">
        <v>14101</v>
      </c>
      <c r="E1356">
        <f t="shared" si="21"/>
        <v>7</v>
      </c>
    </row>
    <row r="1357" spans="1:7">
      <c r="A1357">
        <v>5</v>
      </c>
      <c r="B1357" t="s">
        <v>14239</v>
      </c>
      <c r="C1357" t="s">
        <v>14239</v>
      </c>
      <c r="E1357">
        <f t="shared" si="21"/>
        <v>7</v>
      </c>
    </row>
    <row r="1358" spans="1:7">
      <c r="A1358">
        <v>5</v>
      </c>
      <c r="B1358" t="s">
        <v>14371</v>
      </c>
      <c r="C1358" t="s">
        <v>14858</v>
      </c>
      <c r="E1358">
        <f t="shared" si="21"/>
        <v>7</v>
      </c>
    </row>
    <row r="1359" spans="1:7">
      <c r="A1359">
        <v>5</v>
      </c>
      <c r="B1359" t="s">
        <v>14451</v>
      </c>
      <c r="C1359" t="s">
        <v>14451</v>
      </c>
      <c r="E1359">
        <f t="shared" si="21"/>
        <v>7</v>
      </c>
    </row>
    <row r="1360" spans="1:7">
      <c r="A1360">
        <v>5</v>
      </c>
      <c r="B1360" t="s">
        <v>14519</v>
      </c>
      <c r="C1360" t="s">
        <v>14864</v>
      </c>
      <c r="E1360">
        <f t="shared" si="21"/>
        <v>7</v>
      </c>
    </row>
    <row r="1361" spans="1:7">
      <c r="A1361">
        <v>5</v>
      </c>
      <c r="B1361" t="s">
        <v>14571</v>
      </c>
      <c r="C1361" t="s">
        <v>14888</v>
      </c>
      <c r="E1361">
        <f t="shared" si="21"/>
        <v>7</v>
      </c>
    </row>
    <row r="1362" spans="1:7">
      <c r="A1362">
        <v>5</v>
      </c>
      <c r="B1362" t="s">
        <v>14616</v>
      </c>
      <c r="C1362" t="s">
        <v>14616</v>
      </c>
      <c r="E1362">
        <f t="shared" si="21"/>
        <v>7</v>
      </c>
    </row>
    <row r="1363" spans="1:7">
      <c r="A1363">
        <v>5</v>
      </c>
      <c r="B1363" t="s">
        <v>14669</v>
      </c>
      <c r="C1363" t="s">
        <v>14669</v>
      </c>
      <c r="E1363">
        <f t="shared" si="21"/>
        <v>7</v>
      </c>
    </row>
    <row r="1364" spans="1:7">
      <c r="A1364">
        <v>5</v>
      </c>
      <c r="B1364" t="s">
        <v>14685</v>
      </c>
      <c r="C1364" t="s">
        <v>14889</v>
      </c>
      <c r="E1364">
        <f t="shared" si="21"/>
        <v>7</v>
      </c>
    </row>
    <row r="1365" spans="1:7">
      <c r="A1365">
        <v>5</v>
      </c>
      <c r="B1365" t="s">
        <v>14908</v>
      </c>
      <c r="C1365" t="s">
        <v>14908</v>
      </c>
      <c r="D1365">
        <v>5</v>
      </c>
      <c r="E1365">
        <f t="shared" si="21"/>
        <v>7</v>
      </c>
      <c r="F1365" t="s">
        <v>821</v>
      </c>
      <c r="G1365">
        <v>0</v>
      </c>
    </row>
    <row r="1366" spans="1:7">
      <c r="A1366">
        <v>5</v>
      </c>
      <c r="B1366" t="s">
        <v>10895</v>
      </c>
      <c r="C1366" t="s">
        <v>10895</v>
      </c>
      <c r="D1366">
        <v>5</v>
      </c>
      <c r="E1366">
        <f t="shared" si="21"/>
        <v>7</v>
      </c>
      <c r="F1366" t="s">
        <v>821</v>
      </c>
      <c r="G1366">
        <v>0</v>
      </c>
    </row>
    <row r="1367" spans="1:7">
      <c r="A1367">
        <v>5</v>
      </c>
      <c r="B1367" t="s">
        <v>516</v>
      </c>
      <c r="C1367" t="s">
        <v>15520</v>
      </c>
      <c r="D1367">
        <v>5</v>
      </c>
      <c r="E1367">
        <f t="shared" si="21"/>
        <v>7</v>
      </c>
      <c r="F1367" t="s">
        <v>821</v>
      </c>
      <c r="G1367">
        <v>0</v>
      </c>
    </row>
    <row r="1368" spans="1:7">
      <c r="A1368">
        <v>5</v>
      </c>
      <c r="B1368" t="s">
        <v>15021</v>
      </c>
      <c r="C1368" t="s">
        <v>15021</v>
      </c>
      <c r="D1368">
        <v>5</v>
      </c>
      <c r="E1368">
        <f t="shared" si="21"/>
        <v>7</v>
      </c>
      <c r="F1368" t="s">
        <v>821</v>
      </c>
      <c r="G1368">
        <v>0</v>
      </c>
    </row>
    <row r="1369" spans="1:7">
      <c r="A1369">
        <v>5</v>
      </c>
      <c r="B1369" t="s">
        <v>14669</v>
      </c>
      <c r="C1369" t="s">
        <v>14669</v>
      </c>
      <c r="D1369">
        <v>5</v>
      </c>
      <c r="E1369">
        <f t="shared" si="21"/>
        <v>7</v>
      </c>
      <c r="F1369" t="s">
        <v>821</v>
      </c>
      <c r="G1369">
        <v>0</v>
      </c>
    </row>
    <row r="1370" spans="1:7">
      <c r="A1370">
        <v>5</v>
      </c>
      <c r="B1370" t="s">
        <v>15110</v>
      </c>
      <c r="C1370" t="s">
        <v>15110</v>
      </c>
      <c r="D1370">
        <v>5</v>
      </c>
      <c r="E1370">
        <f t="shared" si="21"/>
        <v>7</v>
      </c>
      <c r="F1370" t="s">
        <v>821</v>
      </c>
      <c r="G1370">
        <v>0</v>
      </c>
    </row>
    <row r="1371" spans="1:7">
      <c r="A1371">
        <v>5</v>
      </c>
      <c r="B1371" t="s">
        <v>15196</v>
      </c>
      <c r="C1371" t="s">
        <v>15525</v>
      </c>
      <c r="D1371">
        <v>5</v>
      </c>
      <c r="E1371">
        <f t="shared" si="21"/>
        <v>7</v>
      </c>
      <c r="F1371" t="s">
        <v>821</v>
      </c>
      <c r="G1371">
        <v>0</v>
      </c>
    </row>
    <row r="1372" spans="1:7">
      <c r="A1372">
        <v>5</v>
      </c>
      <c r="B1372" t="s">
        <v>15233</v>
      </c>
      <c r="C1372" t="s">
        <v>15233</v>
      </c>
      <c r="D1372">
        <v>5</v>
      </c>
      <c r="E1372">
        <f t="shared" si="21"/>
        <v>7</v>
      </c>
      <c r="F1372" t="s">
        <v>821</v>
      </c>
      <c r="G1372">
        <v>0</v>
      </c>
    </row>
    <row r="1373" spans="1:7">
      <c r="A1373">
        <v>5</v>
      </c>
      <c r="B1373" t="s">
        <v>14519</v>
      </c>
      <c r="C1373" t="s">
        <v>14519</v>
      </c>
      <c r="D1373">
        <v>5</v>
      </c>
      <c r="E1373">
        <f t="shared" si="21"/>
        <v>7</v>
      </c>
      <c r="F1373" t="s">
        <v>821</v>
      </c>
      <c r="G1373">
        <v>0</v>
      </c>
    </row>
    <row r="1374" spans="1:7">
      <c r="A1374">
        <v>5</v>
      </c>
      <c r="B1374" t="s">
        <v>15306</v>
      </c>
      <c r="C1374" t="s">
        <v>15527</v>
      </c>
      <c r="D1374">
        <v>5</v>
      </c>
      <c r="E1374">
        <f t="shared" si="21"/>
        <v>7</v>
      </c>
      <c r="F1374" t="s">
        <v>821</v>
      </c>
      <c r="G1374">
        <v>0</v>
      </c>
    </row>
    <row r="1375" spans="1:7">
      <c r="A1375">
        <v>5</v>
      </c>
      <c r="B1375" t="s">
        <v>13245</v>
      </c>
      <c r="C1375" t="s">
        <v>13245</v>
      </c>
      <c r="D1375">
        <v>5</v>
      </c>
      <c r="E1375">
        <f t="shared" si="21"/>
        <v>7</v>
      </c>
      <c r="F1375" t="s">
        <v>821</v>
      </c>
      <c r="G1375">
        <v>0</v>
      </c>
    </row>
    <row r="1376" spans="1:7">
      <c r="A1376">
        <v>5</v>
      </c>
      <c r="B1376" t="s">
        <v>15413</v>
      </c>
      <c r="C1376" t="s">
        <v>15528</v>
      </c>
      <c r="D1376">
        <v>5</v>
      </c>
      <c r="E1376">
        <f t="shared" si="21"/>
        <v>7</v>
      </c>
      <c r="F1376" t="s">
        <v>821</v>
      </c>
      <c r="G1376">
        <v>0</v>
      </c>
    </row>
    <row r="1377" spans="1:7">
      <c r="A1377">
        <v>5</v>
      </c>
      <c r="B1377" t="s">
        <v>10808</v>
      </c>
      <c r="C1377" t="s">
        <v>6451</v>
      </c>
      <c r="D1377">
        <v>5</v>
      </c>
      <c r="E1377">
        <f t="shared" si="21"/>
        <v>6</v>
      </c>
      <c r="F1377" t="s">
        <v>821</v>
      </c>
      <c r="G1377">
        <v>1</v>
      </c>
    </row>
    <row r="1378" spans="1:7">
      <c r="A1378">
        <v>5</v>
      </c>
      <c r="B1378" t="s">
        <v>150</v>
      </c>
      <c r="C1378" t="s">
        <v>6957</v>
      </c>
      <c r="D1378">
        <v>5</v>
      </c>
      <c r="E1378">
        <f t="shared" si="21"/>
        <v>6</v>
      </c>
      <c r="G1378">
        <v>1</v>
      </c>
    </row>
    <row r="1379" spans="1:7">
      <c r="A1379">
        <v>5</v>
      </c>
      <c r="B1379" t="s">
        <v>1865</v>
      </c>
      <c r="C1379" t="s">
        <v>1865</v>
      </c>
      <c r="D1379">
        <v>5</v>
      </c>
      <c r="E1379">
        <f t="shared" si="21"/>
        <v>6</v>
      </c>
      <c r="F1379" t="s">
        <v>821</v>
      </c>
      <c r="G1379">
        <v>1</v>
      </c>
    </row>
    <row r="1380" spans="1:7">
      <c r="A1380">
        <v>5</v>
      </c>
      <c r="B1380" t="s">
        <v>5347</v>
      </c>
      <c r="C1380" t="s">
        <v>5347</v>
      </c>
      <c r="D1380">
        <v>5</v>
      </c>
      <c r="E1380">
        <f t="shared" si="21"/>
        <v>6</v>
      </c>
      <c r="F1380" t="s">
        <v>821</v>
      </c>
      <c r="G1380">
        <v>1</v>
      </c>
    </row>
    <row r="1381" spans="1:7">
      <c r="A1381">
        <v>5</v>
      </c>
      <c r="B1381" t="s">
        <v>1897</v>
      </c>
      <c r="C1381" t="s">
        <v>1897</v>
      </c>
      <c r="D1381">
        <v>5</v>
      </c>
      <c r="E1381">
        <f t="shared" si="21"/>
        <v>6</v>
      </c>
      <c r="F1381" t="s">
        <v>822</v>
      </c>
      <c r="G1381">
        <v>1</v>
      </c>
    </row>
    <row r="1382" spans="1:7">
      <c r="A1382">
        <v>5</v>
      </c>
      <c r="B1382" t="s">
        <v>5348</v>
      </c>
      <c r="C1382" t="s">
        <v>5348</v>
      </c>
      <c r="D1382">
        <v>5</v>
      </c>
      <c r="E1382">
        <f t="shared" si="21"/>
        <v>6</v>
      </c>
      <c r="F1382" t="s">
        <v>821</v>
      </c>
      <c r="G1382">
        <v>1</v>
      </c>
    </row>
    <row r="1383" spans="1:7">
      <c r="A1383">
        <v>5</v>
      </c>
      <c r="B1383" t="s">
        <v>1880</v>
      </c>
      <c r="C1383" t="s">
        <v>1880</v>
      </c>
      <c r="D1383">
        <v>5</v>
      </c>
      <c r="E1383">
        <f t="shared" si="21"/>
        <v>6</v>
      </c>
      <c r="F1383" t="s">
        <v>821</v>
      </c>
      <c r="G1383">
        <v>1</v>
      </c>
    </row>
    <row r="1384" spans="1:7">
      <c r="A1384">
        <v>5</v>
      </c>
      <c r="B1384" t="s">
        <v>1876</v>
      </c>
      <c r="C1384" t="s">
        <v>1876</v>
      </c>
      <c r="D1384">
        <v>5</v>
      </c>
      <c r="E1384">
        <f t="shared" si="21"/>
        <v>6</v>
      </c>
      <c r="F1384" t="s">
        <v>821</v>
      </c>
      <c r="G1384">
        <v>1</v>
      </c>
    </row>
    <row r="1385" spans="1:7">
      <c r="A1385">
        <v>5</v>
      </c>
      <c r="B1385" t="s">
        <v>296</v>
      </c>
      <c r="C1385" t="s">
        <v>5154</v>
      </c>
      <c r="D1385">
        <v>5</v>
      </c>
      <c r="E1385">
        <f t="shared" si="21"/>
        <v>6</v>
      </c>
      <c r="F1385" t="s">
        <v>821</v>
      </c>
      <c r="G1385">
        <v>1</v>
      </c>
    </row>
    <row r="1386" spans="1:7">
      <c r="A1386">
        <v>5</v>
      </c>
      <c r="B1386" t="s">
        <v>6588</v>
      </c>
      <c r="C1386" t="s">
        <v>6588</v>
      </c>
      <c r="D1386">
        <v>5</v>
      </c>
      <c r="E1386">
        <f t="shared" si="21"/>
        <v>6</v>
      </c>
      <c r="F1386" t="s">
        <v>821</v>
      </c>
      <c r="G1386">
        <v>1</v>
      </c>
    </row>
    <row r="1387" spans="1:7">
      <c r="A1387">
        <v>5</v>
      </c>
      <c r="B1387" t="s">
        <v>6613</v>
      </c>
      <c r="C1387" t="s">
        <v>6613</v>
      </c>
      <c r="D1387">
        <v>5</v>
      </c>
      <c r="E1387">
        <f t="shared" si="21"/>
        <v>6</v>
      </c>
      <c r="G1387">
        <v>1</v>
      </c>
    </row>
    <row r="1388" spans="1:7">
      <c r="A1388">
        <v>5</v>
      </c>
      <c r="B1388" t="s">
        <v>6622</v>
      </c>
      <c r="C1388" t="s">
        <v>6622</v>
      </c>
      <c r="D1388">
        <v>5</v>
      </c>
      <c r="E1388">
        <f t="shared" si="21"/>
        <v>6</v>
      </c>
      <c r="G1388">
        <v>1</v>
      </c>
    </row>
    <row r="1389" spans="1:7">
      <c r="A1389">
        <v>5</v>
      </c>
      <c r="B1389" t="s">
        <v>6634</v>
      </c>
      <c r="C1389" t="s">
        <v>6634</v>
      </c>
      <c r="D1389">
        <v>5</v>
      </c>
      <c r="E1389">
        <f t="shared" si="21"/>
        <v>6</v>
      </c>
      <c r="G1389">
        <v>1</v>
      </c>
    </row>
    <row r="1390" spans="1:7">
      <c r="A1390">
        <v>5</v>
      </c>
      <c r="B1390" t="s">
        <v>6642</v>
      </c>
      <c r="C1390" t="s">
        <v>6642</v>
      </c>
      <c r="D1390">
        <v>5</v>
      </c>
      <c r="E1390">
        <f t="shared" si="21"/>
        <v>6</v>
      </c>
      <c r="G1390">
        <v>1</v>
      </c>
    </row>
    <row r="1391" spans="1:7">
      <c r="A1391">
        <v>5</v>
      </c>
      <c r="B1391" t="s">
        <v>6646</v>
      </c>
      <c r="C1391" t="s">
        <v>6646</v>
      </c>
      <c r="D1391">
        <v>5</v>
      </c>
      <c r="E1391">
        <f t="shared" si="21"/>
        <v>6</v>
      </c>
      <c r="G1391">
        <v>1</v>
      </c>
    </row>
    <row r="1392" spans="1:7">
      <c r="A1392">
        <v>5</v>
      </c>
      <c r="B1392" t="s">
        <v>6806</v>
      </c>
      <c r="C1392" t="s">
        <v>6806</v>
      </c>
      <c r="D1392">
        <v>5</v>
      </c>
      <c r="E1392">
        <f t="shared" si="21"/>
        <v>6</v>
      </c>
      <c r="G1392">
        <v>1</v>
      </c>
    </row>
    <row r="1393" spans="1:7">
      <c r="A1393">
        <v>5</v>
      </c>
      <c r="B1393" t="s">
        <v>6917</v>
      </c>
      <c r="C1393" t="s">
        <v>6917</v>
      </c>
      <c r="D1393">
        <v>5</v>
      </c>
      <c r="E1393">
        <f t="shared" si="21"/>
        <v>6</v>
      </c>
      <c r="G1393">
        <v>1</v>
      </c>
    </row>
    <row r="1394" spans="1:7">
      <c r="A1394">
        <v>5</v>
      </c>
      <c r="B1394" t="s">
        <v>6921</v>
      </c>
      <c r="C1394" t="s">
        <v>6921</v>
      </c>
      <c r="D1394">
        <v>5</v>
      </c>
      <c r="E1394">
        <f t="shared" si="21"/>
        <v>6</v>
      </c>
      <c r="G1394">
        <v>1</v>
      </c>
    </row>
    <row r="1395" spans="1:7">
      <c r="A1395">
        <v>5</v>
      </c>
      <c r="B1395" t="s">
        <v>7064</v>
      </c>
      <c r="C1395" t="s">
        <v>7064</v>
      </c>
      <c r="D1395">
        <v>5</v>
      </c>
      <c r="E1395">
        <f t="shared" si="21"/>
        <v>6</v>
      </c>
      <c r="F1395" t="s">
        <v>821</v>
      </c>
      <c r="G1395">
        <v>1</v>
      </c>
    </row>
    <row r="1396" spans="1:7">
      <c r="A1396">
        <v>5</v>
      </c>
      <c r="B1396" t="s">
        <v>10329</v>
      </c>
      <c r="C1396" t="s">
        <v>10329</v>
      </c>
      <c r="D1396">
        <v>5</v>
      </c>
      <c r="E1396">
        <f t="shared" si="21"/>
        <v>6</v>
      </c>
      <c r="G1396">
        <v>1</v>
      </c>
    </row>
    <row r="1397" spans="1:7">
      <c r="A1397">
        <v>5</v>
      </c>
      <c r="B1397" t="s">
        <v>10413</v>
      </c>
      <c r="C1397" t="s">
        <v>10413</v>
      </c>
      <c r="D1397">
        <v>5</v>
      </c>
      <c r="E1397">
        <f t="shared" si="21"/>
        <v>6</v>
      </c>
      <c r="G1397">
        <v>1</v>
      </c>
    </row>
    <row r="1398" spans="1:7">
      <c r="A1398">
        <v>5</v>
      </c>
      <c r="B1398" t="s">
        <v>10338</v>
      </c>
      <c r="C1398" t="s">
        <v>10338</v>
      </c>
      <c r="D1398">
        <v>5</v>
      </c>
      <c r="E1398">
        <f t="shared" si="21"/>
        <v>6</v>
      </c>
      <c r="G1398">
        <v>1</v>
      </c>
    </row>
    <row r="1399" spans="1:7">
      <c r="A1399">
        <v>5</v>
      </c>
      <c r="B1399" t="s">
        <v>10342</v>
      </c>
      <c r="C1399" t="s">
        <v>10342</v>
      </c>
      <c r="D1399">
        <v>5</v>
      </c>
      <c r="E1399">
        <f t="shared" si="21"/>
        <v>6</v>
      </c>
      <c r="G1399">
        <v>1</v>
      </c>
    </row>
    <row r="1400" spans="1:7">
      <c r="A1400">
        <v>5</v>
      </c>
      <c r="B1400" t="s">
        <v>239</v>
      </c>
      <c r="C1400" t="s">
        <v>239</v>
      </c>
      <c r="D1400">
        <v>5</v>
      </c>
      <c r="E1400">
        <f t="shared" si="21"/>
        <v>6</v>
      </c>
      <c r="F1400" t="s">
        <v>821</v>
      </c>
      <c r="G1400">
        <v>0</v>
      </c>
    </row>
    <row r="1401" spans="1:7">
      <c r="A1401">
        <v>5</v>
      </c>
      <c r="B1401" t="s">
        <v>10903</v>
      </c>
      <c r="C1401" t="s">
        <v>10904</v>
      </c>
      <c r="D1401">
        <v>5</v>
      </c>
      <c r="E1401">
        <f t="shared" si="21"/>
        <v>6</v>
      </c>
      <c r="F1401" t="s">
        <v>821</v>
      </c>
      <c r="G1401">
        <v>0</v>
      </c>
    </row>
    <row r="1402" spans="1:7">
      <c r="A1402">
        <v>5</v>
      </c>
      <c r="B1402" t="s">
        <v>446</v>
      </c>
      <c r="C1402" t="s">
        <v>446</v>
      </c>
      <c r="D1402">
        <v>5</v>
      </c>
      <c r="E1402">
        <f t="shared" si="21"/>
        <v>6</v>
      </c>
      <c r="F1402" t="s">
        <v>821</v>
      </c>
      <c r="G1402">
        <v>0</v>
      </c>
    </row>
    <row r="1403" spans="1:7">
      <c r="A1403">
        <v>5</v>
      </c>
      <c r="B1403" t="s">
        <v>10920</v>
      </c>
      <c r="C1403" t="s">
        <v>10920</v>
      </c>
      <c r="D1403">
        <v>5</v>
      </c>
      <c r="E1403">
        <f t="shared" si="21"/>
        <v>6</v>
      </c>
      <c r="F1403" t="s">
        <v>821</v>
      </c>
      <c r="G1403">
        <v>0</v>
      </c>
    </row>
    <row r="1404" spans="1:7">
      <c r="A1404">
        <v>5</v>
      </c>
      <c r="B1404" t="s">
        <v>10952</v>
      </c>
      <c r="C1404" t="s">
        <v>10953</v>
      </c>
      <c r="D1404">
        <v>5</v>
      </c>
      <c r="E1404">
        <f t="shared" si="21"/>
        <v>6</v>
      </c>
      <c r="F1404" t="s">
        <v>821</v>
      </c>
      <c r="G1404">
        <v>0</v>
      </c>
    </row>
    <row r="1405" spans="1:7">
      <c r="A1405">
        <v>5</v>
      </c>
      <c r="B1405" t="s">
        <v>12003</v>
      </c>
      <c r="C1405" t="s">
        <v>12003</v>
      </c>
      <c r="D1405">
        <v>8</v>
      </c>
      <c r="E1405">
        <f t="shared" si="21"/>
        <v>6</v>
      </c>
      <c r="F1405" t="s">
        <v>821</v>
      </c>
      <c r="G1405">
        <v>3</v>
      </c>
    </row>
    <row r="1406" spans="1:7">
      <c r="A1406">
        <v>5</v>
      </c>
      <c r="B1406" t="s">
        <v>12004</v>
      </c>
      <c r="C1406" t="s">
        <v>13657</v>
      </c>
      <c r="D1406">
        <v>10</v>
      </c>
      <c r="E1406">
        <f t="shared" si="21"/>
        <v>6</v>
      </c>
      <c r="F1406" t="s">
        <v>821</v>
      </c>
      <c r="G1406">
        <v>5</v>
      </c>
    </row>
    <row r="1407" spans="1:7">
      <c r="A1407">
        <v>5</v>
      </c>
      <c r="B1407" t="s">
        <v>10808</v>
      </c>
      <c r="C1407" t="s">
        <v>12005</v>
      </c>
      <c r="D1407">
        <v>11</v>
      </c>
      <c r="E1407">
        <f t="shared" si="21"/>
        <v>6</v>
      </c>
      <c r="F1407" t="s">
        <v>821</v>
      </c>
      <c r="G1407">
        <v>6</v>
      </c>
    </row>
    <row r="1408" spans="1:7">
      <c r="A1408">
        <v>5</v>
      </c>
      <c r="B1408" t="s">
        <v>12018</v>
      </c>
      <c r="C1408" t="s">
        <v>12019</v>
      </c>
      <c r="D1408">
        <v>22</v>
      </c>
      <c r="E1408">
        <f t="shared" si="21"/>
        <v>6</v>
      </c>
      <c r="F1408" t="s">
        <v>821</v>
      </c>
      <c r="G1408">
        <v>17</v>
      </c>
    </row>
    <row r="1409" spans="1:7">
      <c r="A1409">
        <v>5</v>
      </c>
      <c r="B1409" t="s">
        <v>12041</v>
      </c>
      <c r="C1409" t="s">
        <v>12042</v>
      </c>
      <c r="D1409">
        <v>44</v>
      </c>
      <c r="E1409">
        <f t="shared" si="21"/>
        <v>6</v>
      </c>
      <c r="F1409" t="s">
        <v>821</v>
      </c>
      <c r="G1409">
        <v>39</v>
      </c>
    </row>
    <row r="1410" spans="1:7">
      <c r="A1410">
        <v>5</v>
      </c>
      <c r="B1410" t="s">
        <v>10808</v>
      </c>
      <c r="C1410" t="s">
        <v>10808</v>
      </c>
      <c r="E1410">
        <f t="shared" ref="E1410:E1473" si="22">LEN(B1410)</f>
        <v>6</v>
      </c>
      <c r="F1410" t="s">
        <v>821</v>
      </c>
      <c r="G1410">
        <v>20</v>
      </c>
    </row>
    <row r="1411" spans="1:7">
      <c r="A1411">
        <v>5</v>
      </c>
      <c r="B1411" t="s">
        <v>10808</v>
      </c>
      <c r="C1411" t="s">
        <v>14843</v>
      </c>
      <c r="E1411">
        <f t="shared" si="22"/>
        <v>6</v>
      </c>
    </row>
    <row r="1412" spans="1:7">
      <c r="A1412">
        <v>5</v>
      </c>
      <c r="B1412" t="s">
        <v>13902</v>
      </c>
      <c r="C1412" t="s">
        <v>14846</v>
      </c>
      <c r="E1412">
        <f t="shared" si="22"/>
        <v>6</v>
      </c>
    </row>
    <row r="1413" spans="1:7">
      <c r="A1413">
        <v>5</v>
      </c>
      <c r="B1413" t="s">
        <v>13921</v>
      </c>
      <c r="C1413" t="s">
        <v>13921</v>
      </c>
      <c r="E1413">
        <f t="shared" si="22"/>
        <v>6</v>
      </c>
    </row>
    <row r="1414" spans="1:7">
      <c r="A1414">
        <v>5</v>
      </c>
      <c r="B1414" t="s">
        <v>14046</v>
      </c>
      <c r="C1414" t="s">
        <v>14850</v>
      </c>
      <c r="E1414">
        <f t="shared" si="22"/>
        <v>6</v>
      </c>
    </row>
    <row r="1415" spans="1:7">
      <c r="A1415">
        <v>5</v>
      </c>
      <c r="B1415" t="s">
        <v>14482</v>
      </c>
      <c r="C1415" t="s">
        <v>14862</v>
      </c>
      <c r="E1415">
        <f t="shared" si="22"/>
        <v>6</v>
      </c>
    </row>
    <row r="1416" spans="1:7">
      <c r="A1416">
        <v>5</v>
      </c>
      <c r="B1416" t="s">
        <v>14493</v>
      </c>
      <c r="C1416" t="s">
        <v>14493</v>
      </c>
      <c r="E1416">
        <f t="shared" si="22"/>
        <v>6</v>
      </c>
    </row>
    <row r="1417" spans="1:7">
      <c r="A1417">
        <v>5</v>
      </c>
      <c r="B1417" t="s">
        <v>14528</v>
      </c>
      <c r="C1417" t="s">
        <v>14865</v>
      </c>
      <c r="E1417">
        <f t="shared" si="22"/>
        <v>6</v>
      </c>
    </row>
    <row r="1418" spans="1:7">
      <c r="A1418">
        <v>5</v>
      </c>
      <c r="B1418" t="s">
        <v>14559</v>
      </c>
      <c r="C1418" t="s">
        <v>14559</v>
      </c>
      <c r="E1418">
        <f t="shared" si="22"/>
        <v>6</v>
      </c>
    </row>
    <row r="1419" spans="1:7">
      <c r="A1419">
        <v>5</v>
      </c>
      <c r="B1419" t="s">
        <v>14624</v>
      </c>
      <c r="C1419" t="s">
        <v>14866</v>
      </c>
      <c r="E1419">
        <f t="shared" si="22"/>
        <v>6</v>
      </c>
    </row>
    <row r="1420" spans="1:7" ht="15" customHeight="1">
      <c r="A1420">
        <v>5</v>
      </c>
      <c r="B1420" t="s">
        <v>14681</v>
      </c>
      <c r="C1420" t="s">
        <v>14681</v>
      </c>
      <c r="E1420">
        <f t="shared" si="22"/>
        <v>6</v>
      </c>
    </row>
    <row r="1421" spans="1:7">
      <c r="A1421">
        <v>5</v>
      </c>
      <c r="B1421" t="s">
        <v>14793</v>
      </c>
      <c r="C1421" t="s">
        <v>14869</v>
      </c>
      <c r="E1421">
        <f t="shared" si="22"/>
        <v>6</v>
      </c>
    </row>
    <row r="1422" spans="1:7">
      <c r="A1422">
        <v>5</v>
      </c>
      <c r="B1422" t="s">
        <v>15069</v>
      </c>
      <c r="C1422" t="s">
        <v>15069</v>
      </c>
      <c r="D1422">
        <v>5</v>
      </c>
      <c r="E1422">
        <f t="shared" si="22"/>
        <v>6</v>
      </c>
      <c r="F1422" t="s">
        <v>821</v>
      </c>
      <c r="G1422">
        <v>0</v>
      </c>
    </row>
    <row r="1423" spans="1:7">
      <c r="A1423">
        <v>5</v>
      </c>
      <c r="B1423" t="s">
        <v>15188</v>
      </c>
      <c r="C1423" t="s">
        <v>15524</v>
      </c>
      <c r="D1423">
        <v>5</v>
      </c>
      <c r="E1423">
        <f t="shared" si="22"/>
        <v>6</v>
      </c>
      <c r="F1423" t="s">
        <v>821</v>
      </c>
      <c r="G1423">
        <v>0</v>
      </c>
    </row>
    <row r="1424" spans="1:7">
      <c r="A1424">
        <v>5</v>
      </c>
      <c r="B1424" t="s">
        <v>15470</v>
      </c>
      <c r="C1424" t="s">
        <v>15470</v>
      </c>
      <c r="D1424">
        <v>5</v>
      </c>
      <c r="E1424">
        <f t="shared" si="22"/>
        <v>6</v>
      </c>
      <c r="F1424" t="s">
        <v>821</v>
      </c>
      <c r="G1424">
        <v>0</v>
      </c>
    </row>
    <row r="1425" spans="1:7">
      <c r="A1425">
        <v>5</v>
      </c>
      <c r="B1425" t="s">
        <v>1877</v>
      </c>
      <c r="C1425" t="s">
        <v>1877</v>
      </c>
      <c r="D1425">
        <v>5</v>
      </c>
      <c r="E1425">
        <f t="shared" si="22"/>
        <v>5</v>
      </c>
      <c r="F1425" t="s">
        <v>821</v>
      </c>
      <c r="G1425">
        <v>1</v>
      </c>
    </row>
    <row r="1426" spans="1:7">
      <c r="A1426">
        <v>5</v>
      </c>
      <c r="B1426" t="s">
        <v>1870</v>
      </c>
      <c r="C1426" t="s">
        <v>1870</v>
      </c>
      <c r="D1426">
        <v>5</v>
      </c>
      <c r="E1426">
        <f t="shared" si="22"/>
        <v>5</v>
      </c>
      <c r="F1426" t="s">
        <v>821</v>
      </c>
      <c r="G1426">
        <v>1</v>
      </c>
    </row>
    <row r="1427" spans="1:7">
      <c r="A1427">
        <v>5</v>
      </c>
      <c r="B1427" t="s">
        <v>1860</v>
      </c>
      <c r="C1427" t="s">
        <v>1860</v>
      </c>
      <c r="D1427">
        <v>5</v>
      </c>
      <c r="E1427">
        <f t="shared" si="22"/>
        <v>5</v>
      </c>
      <c r="F1427" t="s">
        <v>821</v>
      </c>
      <c r="G1427">
        <v>1</v>
      </c>
    </row>
    <row r="1428" spans="1:7">
      <c r="A1428">
        <v>5</v>
      </c>
      <c r="B1428" t="s">
        <v>298</v>
      </c>
      <c r="C1428" t="s">
        <v>6453</v>
      </c>
      <c r="D1428">
        <v>5</v>
      </c>
      <c r="E1428">
        <f t="shared" si="22"/>
        <v>5</v>
      </c>
      <c r="F1428" t="s">
        <v>821</v>
      </c>
      <c r="G1428">
        <v>1</v>
      </c>
    </row>
    <row r="1429" spans="1:7">
      <c r="A1429">
        <v>5</v>
      </c>
      <c r="B1429" t="s">
        <v>6601</v>
      </c>
      <c r="C1429" t="s">
        <v>6601</v>
      </c>
      <c r="D1429">
        <v>5</v>
      </c>
      <c r="E1429">
        <f t="shared" si="22"/>
        <v>5</v>
      </c>
      <c r="G1429">
        <v>1</v>
      </c>
    </row>
    <row r="1430" spans="1:7">
      <c r="A1430">
        <v>5</v>
      </c>
      <c r="B1430" t="s">
        <v>6607</v>
      </c>
      <c r="C1430" t="s">
        <v>6607</v>
      </c>
      <c r="D1430">
        <v>5</v>
      </c>
      <c r="E1430">
        <f t="shared" si="22"/>
        <v>5</v>
      </c>
      <c r="G1430">
        <v>1</v>
      </c>
    </row>
    <row r="1431" spans="1:7">
      <c r="A1431">
        <v>5</v>
      </c>
      <c r="B1431" t="s">
        <v>6614</v>
      </c>
      <c r="C1431" t="s">
        <v>6614</v>
      </c>
      <c r="D1431">
        <v>5</v>
      </c>
      <c r="E1431">
        <f t="shared" si="22"/>
        <v>5</v>
      </c>
      <c r="G1431">
        <v>1</v>
      </c>
    </row>
    <row r="1432" spans="1:7">
      <c r="A1432">
        <v>5</v>
      </c>
      <c r="B1432" t="s">
        <v>6619</v>
      </c>
      <c r="C1432" t="s">
        <v>6619</v>
      </c>
      <c r="D1432">
        <v>5</v>
      </c>
      <c r="E1432">
        <f t="shared" si="22"/>
        <v>5</v>
      </c>
      <c r="G1432">
        <v>1</v>
      </c>
    </row>
    <row r="1433" spans="1:7">
      <c r="A1433">
        <v>5</v>
      </c>
      <c r="B1433" t="s">
        <v>6860</v>
      </c>
      <c r="C1433" t="s">
        <v>6860</v>
      </c>
      <c r="D1433">
        <v>5</v>
      </c>
      <c r="E1433">
        <f t="shared" si="22"/>
        <v>5</v>
      </c>
      <c r="G1433">
        <v>1</v>
      </c>
    </row>
    <row r="1434" spans="1:7">
      <c r="A1434">
        <v>5</v>
      </c>
      <c r="B1434" t="s">
        <v>10336</v>
      </c>
      <c r="C1434" t="s">
        <v>10336</v>
      </c>
      <c r="D1434">
        <v>5</v>
      </c>
      <c r="E1434">
        <f t="shared" si="22"/>
        <v>5</v>
      </c>
      <c r="G1434">
        <v>1</v>
      </c>
    </row>
    <row r="1435" spans="1:7">
      <c r="A1435">
        <v>5</v>
      </c>
      <c r="B1435" t="s">
        <v>10339</v>
      </c>
      <c r="C1435" t="s">
        <v>10339</v>
      </c>
      <c r="D1435">
        <v>5</v>
      </c>
      <c r="E1435">
        <f t="shared" si="22"/>
        <v>5</v>
      </c>
      <c r="G1435">
        <v>1</v>
      </c>
    </row>
    <row r="1436" spans="1:7">
      <c r="A1436">
        <v>5</v>
      </c>
      <c r="B1436" t="s">
        <v>7492</v>
      </c>
      <c r="C1436" t="s">
        <v>7492</v>
      </c>
      <c r="D1436">
        <v>5</v>
      </c>
      <c r="E1436">
        <f t="shared" si="22"/>
        <v>5</v>
      </c>
      <c r="F1436" t="s">
        <v>821</v>
      </c>
      <c r="G1436">
        <v>0</v>
      </c>
    </row>
    <row r="1437" spans="1:7">
      <c r="A1437">
        <v>5</v>
      </c>
      <c r="B1437" t="s">
        <v>236</v>
      </c>
      <c r="C1437" t="s">
        <v>236</v>
      </c>
      <c r="D1437">
        <v>5</v>
      </c>
      <c r="E1437">
        <f t="shared" si="22"/>
        <v>5</v>
      </c>
      <c r="F1437" t="s">
        <v>821</v>
      </c>
      <c r="G1437">
        <v>0</v>
      </c>
    </row>
    <row r="1438" spans="1:7">
      <c r="A1438">
        <v>5</v>
      </c>
      <c r="B1438" t="s">
        <v>10899</v>
      </c>
      <c r="C1438" t="s">
        <v>10899</v>
      </c>
      <c r="D1438">
        <v>5</v>
      </c>
      <c r="E1438">
        <f t="shared" si="22"/>
        <v>5</v>
      </c>
      <c r="F1438" t="s">
        <v>821</v>
      </c>
      <c r="G1438">
        <v>0</v>
      </c>
    </row>
    <row r="1439" spans="1:7">
      <c r="A1439">
        <v>5</v>
      </c>
      <c r="B1439" t="s">
        <v>7621</v>
      </c>
      <c r="C1439" t="s">
        <v>7621</v>
      </c>
      <c r="D1439">
        <v>5</v>
      </c>
      <c r="E1439">
        <f t="shared" si="22"/>
        <v>5</v>
      </c>
      <c r="F1439" t="s">
        <v>821</v>
      </c>
      <c r="G1439">
        <v>0</v>
      </c>
    </row>
    <row r="1440" spans="1:7">
      <c r="A1440">
        <v>5</v>
      </c>
      <c r="B1440" t="s">
        <v>10929</v>
      </c>
      <c r="C1440" t="s">
        <v>10929</v>
      </c>
      <c r="D1440">
        <v>5</v>
      </c>
      <c r="E1440">
        <f t="shared" si="22"/>
        <v>5</v>
      </c>
      <c r="F1440" t="s">
        <v>821</v>
      </c>
      <c r="G1440">
        <v>0</v>
      </c>
    </row>
    <row r="1441" spans="1:7">
      <c r="A1441">
        <v>5</v>
      </c>
      <c r="B1441" t="s">
        <v>473</v>
      </c>
      <c r="C1441" t="s">
        <v>11990</v>
      </c>
      <c r="D1441">
        <v>5</v>
      </c>
      <c r="E1441">
        <f t="shared" si="22"/>
        <v>5</v>
      </c>
      <c r="F1441" t="s">
        <v>821</v>
      </c>
      <c r="G1441">
        <v>0</v>
      </c>
    </row>
    <row r="1442" spans="1:7">
      <c r="A1442">
        <v>5</v>
      </c>
      <c r="B1442" t="s">
        <v>236</v>
      </c>
      <c r="C1442" t="s">
        <v>236</v>
      </c>
      <c r="D1442">
        <v>5</v>
      </c>
      <c r="E1442">
        <f t="shared" si="22"/>
        <v>5</v>
      </c>
      <c r="F1442" t="s">
        <v>821</v>
      </c>
      <c r="G1442">
        <v>0</v>
      </c>
    </row>
    <row r="1443" spans="1:7">
      <c r="A1443">
        <v>5</v>
      </c>
      <c r="B1443" t="s">
        <v>12007</v>
      </c>
      <c r="C1443" t="s">
        <v>12008</v>
      </c>
      <c r="D1443">
        <v>15</v>
      </c>
      <c r="E1443">
        <f t="shared" si="22"/>
        <v>5</v>
      </c>
      <c r="F1443" t="s">
        <v>821</v>
      </c>
      <c r="G1443">
        <v>10</v>
      </c>
    </row>
    <row r="1444" spans="1:7">
      <c r="A1444">
        <v>5</v>
      </c>
      <c r="B1444" t="s">
        <v>12028</v>
      </c>
      <c r="C1444" t="s">
        <v>12029</v>
      </c>
      <c r="D1444">
        <v>33</v>
      </c>
      <c r="E1444">
        <f t="shared" si="22"/>
        <v>5</v>
      </c>
      <c r="F1444" t="s">
        <v>821</v>
      </c>
      <c r="G1444">
        <v>28</v>
      </c>
    </row>
    <row r="1445" spans="1:7">
      <c r="A1445">
        <v>5</v>
      </c>
      <c r="B1445" t="s">
        <v>12057</v>
      </c>
      <c r="C1445" t="s">
        <v>13595</v>
      </c>
      <c r="D1445">
        <v>56</v>
      </c>
      <c r="E1445">
        <f t="shared" si="22"/>
        <v>5</v>
      </c>
      <c r="F1445" t="s">
        <v>821</v>
      </c>
      <c r="G1445">
        <v>51</v>
      </c>
    </row>
    <row r="1446" spans="1:7">
      <c r="A1446">
        <v>5</v>
      </c>
      <c r="B1446" t="s">
        <v>473</v>
      </c>
      <c r="C1446" t="s">
        <v>473</v>
      </c>
      <c r="E1446">
        <f t="shared" si="22"/>
        <v>5</v>
      </c>
      <c r="F1446" t="s">
        <v>821</v>
      </c>
      <c r="G1446">
        <v>12</v>
      </c>
    </row>
    <row r="1447" spans="1:7">
      <c r="A1447">
        <v>5</v>
      </c>
      <c r="B1447" t="s">
        <v>9510</v>
      </c>
      <c r="C1447" t="s">
        <v>9510</v>
      </c>
      <c r="E1447">
        <f t="shared" si="22"/>
        <v>5</v>
      </c>
    </row>
    <row r="1448" spans="1:7">
      <c r="A1448">
        <v>5</v>
      </c>
      <c r="B1448" t="s">
        <v>13904</v>
      </c>
      <c r="C1448" t="s">
        <v>13904</v>
      </c>
      <c r="E1448">
        <f t="shared" si="22"/>
        <v>5</v>
      </c>
    </row>
    <row r="1449" spans="1:7">
      <c r="A1449">
        <v>5</v>
      </c>
      <c r="B1449" t="s">
        <v>14166</v>
      </c>
      <c r="C1449" t="s">
        <v>14853</v>
      </c>
      <c r="E1449">
        <f t="shared" si="22"/>
        <v>5</v>
      </c>
    </row>
    <row r="1450" spans="1:7">
      <c r="A1450">
        <v>5</v>
      </c>
      <c r="B1450" t="s">
        <v>320</v>
      </c>
      <c r="C1450" t="s">
        <v>320</v>
      </c>
      <c r="E1450">
        <f t="shared" si="22"/>
        <v>5</v>
      </c>
    </row>
    <row r="1451" spans="1:7">
      <c r="A1451">
        <v>5</v>
      </c>
      <c r="B1451" t="s">
        <v>14752</v>
      </c>
      <c r="C1451" t="s">
        <v>14752</v>
      </c>
      <c r="E1451">
        <f t="shared" si="22"/>
        <v>5</v>
      </c>
    </row>
    <row r="1452" spans="1:7">
      <c r="A1452">
        <v>5</v>
      </c>
      <c r="B1452" t="s">
        <v>14754</v>
      </c>
      <c r="C1452" t="s">
        <v>14754</v>
      </c>
      <c r="E1452">
        <f t="shared" si="22"/>
        <v>5</v>
      </c>
    </row>
    <row r="1453" spans="1:7">
      <c r="A1453">
        <v>5</v>
      </c>
      <c r="B1453" t="s">
        <v>14824</v>
      </c>
      <c r="C1453" t="s">
        <v>14824</v>
      </c>
      <c r="E1453">
        <f t="shared" si="22"/>
        <v>5</v>
      </c>
    </row>
    <row r="1454" spans="1:7">
      <c r="A1454">
        <v>5</v>
      </c>
      <c r="B1454" t="s">
        <v>271</v>
      </c>
      <c r="C1454" t="s">
        <v>271</v>
      </c>
      <c r="D1454">
        <v>5</v>
      </c>
      <c r="E1454">
        <f t="shared" si="22"/>
        <v>5</v>
      </c>
      <c r="F1454" t="s">
        <v>821</v>
      </c>
      <c r="G1454">
        <v>0</v>
      </c>
    </row>
    <row r="1455" spans="1:7">
      <c r="A1455">
        <v>5</v>
      </c>
      <c r="B1455" t="s">
        <v>14970</v>
      </c>
      <c r="C1455" t="s">
        <v>14970</v>
      </c>
      <c r="D1455">
        <v>5</v>
      </c>
      <c r="E1455">
        <f t="shared" si="22"/>
        <v>5</v>
      </c>
      <c r="F1455" t="s">
        <v>821</v>
      </c>
      <c r="G1455">
        <v>0</v>
      </c>
    </row>
    <row r="1456" spans="1:7">
      <c r="A1456">
        <v>5</v>
      </c>
      <c r="B1456" t="s">
        <v>15040</v>
      </c>
      <c r="C1456" t="s">
        <v>15040</v>
      </c>
      <c r="D1456">
        <v>5</v>
      </c>
      <c r="E1456">
        <f t="shared" si="22"/>
        <v>5</v>
      </c>
      <c r="F1456" t="s">
        <v>821</v>
      </c>
      <c r="G1456">
        <v>0</v>
      </c>
    </row>
    <row r="1457" spans="1:9">
      <c r="A1457">
        <v>5</v>
      </c>
      <c r="B1457" t="s">
        <v>7</v>
      </c>
      <c r="C1457" t="s">
        <v>7</v>
      </c>
      <c r="D1457">
        <v>5</v>
      </c>
      <c r="E1457">
        <f t="shared" si="22"/>
        <v>5</v>
      </c>
      <c r="F1457" t="s">
        <v>821</v>
      </c>
      <c r="G1457">
        <v>0</v>
      </c>
    </row>
    <row r="1458" spans="1:9">
      <c r="A1458">
        <v>5</v>
      </c>
      <c r="B1458" t="s">
        <v>15302</v>
      </c>
      <c r="C1458" t="s">
        <v>15302</v>
      </c>
      <c r="D1458">
        <v>5</v>
      </c>
      <c r="E1458">
        <f t="shared" si="22"/>
        <v>5</v>
      </c>
      <c r="F1458" t="s">
        <v>821</v>
      </c>
      <c r="G1458">
        <v>0</v>
      </c>
    </row>
    <row r="1459" spans="1:9">
      <c r="A1459">
        <v>5</v>
      </c>
      <c r="B1459" t="s">
        <v>15458</v>
      </c>
      <c r="C1459" t="s">
        <v>15458</v>
      </c>
      <c r="D1459">
        <v>5</v>
      </c>
      <c r="E1459">
        <f t="shared" si="22"/>
        <v>5</v>
      </c>
      <c r="F1459" t="s">
        <v>821</v>
      </c>
      <c r="G1459">
        <v>0</v>
      </c>
    </row>
    <row r="1460" spans="1:9">
      <c r="A1460">
        <v>5</v>
      </c>
      <c r="B1460" t="s">
        <v>15472</v>
      </c>
      <c r="C1460" t="s">
        <v>15472</v>
      </c>
      <c r="D1460">
        <v>5</v>
      </c>
      <c r="E1460">
        <f t="shared" si="22"/>
        <v>5</v>
      </c>
      <c r="F1460" t="s">
        <v>821</v>
      </c>
      <c r="G1460">
        <v>0</v>
      </c>
    </row>
    <row r="1461" spans="1:9">
      <c r="A1461">
        <v>5</v>
      </c>
      <c r="B1461" t="s">
        <v>5474</v>
      </c>
      <c r="C1461" t="s">
        <v>5474</v>
      </c>
      <c r="D1461">
        <v>5</v>
      </c>
      <c r="E1461">
        <f t="shared" si="22"/>
        <v>4</v>
      </c>
      <c r="F1461" t="s">
        <v>822</v>
      </c>
      <c r="G1461">
        <v>1</v>
      </c>
      <c r="I1461" s="26"/>
    </row>
    <row r="1462" spans="1:9">
      <c r="A1462">
        <v>5</v>
      </c>
      <c r="B1462" t="s">
        <v>62</v>
      </c>
      <c r="C1462" t="s">
        <v>62</v>
      </c>
      <c r="D1462">
        <v>5</v>
      </c>
      <c r="E1462">
        <f t="shared" si="22"/>
        <v>4</v>
      </c>
      <c r="F1462" t="s">
        <v>822</v>
      </c>
      <c r="G1462">
        <v>1</v>
      </c>
    </row>
    <row r="1463" spans="1:9">
      <c r="A1463">
        <v>5</v>
      </c>
      <c r="B1463" t="s">
        <v>6592</v>
      </c>
      <c r="C1463" t="s">
        <v>6592</v>
      </c>
      <c r="D1463">
        <v>5</v>
      </c>
      <c r="E1463">
        <f t="shared" si="22"/>
        <v>4</v>
      </c>
      <c r="G1463">
        <v>1</v>
      </c>
    </row>
    <row r="1464" spans="1:9">
      <c r="A1464">
        <v>5</v>
      </c>
      <c r="B1464" t="s">
        <v>1824</v>
      </c>
      <c r="C1464" t="s">
        <v>1824</v>
      </c>
      <c r="D1464">
        <v>5</v>
      </c>
      <c r="E1464">
        <f t="shared" si="22"/>
        <v>4</v>
      </c>
      <c r="G1464">
        <v>1</v>
      </c>
    </row>
    <row r="1465" spans="1:9">
      <c r="A1465">
        <v>5</v>
      </c>
      <c r="B1465" t="s">
        <v>6630</v>
      </c>
      <c r="C1465" t="s">
        <v>6630</v>
      </c>
      <c r="D1465">
        <v>5</v>
      </c>
      <c r="E1465">
        <f t="shared" si="22"/>
        <v>4</v>
      </c>
      <c r="G1465">
        <v>1</v>
      </c>
    </row>
    <row r="1466" spans="1:9">
      <c r="A1466">
        <v>5</v>
      </c>
      <c r="B1466" t="s">
        <v>6633</v>
      </c>
      <c r="C1466" t="s">
        <v>6633</v>
      </c>
      <c r="D1466">
        <v>5</v>
      </c>
      <c r="E1466">
        <f t="shared" si="22"/>
        <v>4</v>
      </c>
      <c r="G1466">
        <v>1</v>
      </c>
    </row>
    <row r="1467" spans="1:9">
      <c r="A1467">
        <v>5</v>
      </c>
      <c r="B1467" t="s">
        <v>6756</v>
      </c>
      <c r="C1467" t="s">
        <v>6756</v>
      </c>
      <c r="D1467">
        <v>5</v>
      </c>
      <c r="E1467">
        <f t="shared" si="22"/>
        <v>4</v>
      </c>
      <c r="G1467">
        <v>1</v>
      </c>
    </row>
    <row r="1468" spans="1:9">
      <c r="A1468">
        <v>5</v>
      </c>
      <c r="B1468" t="s">
        <v>6839</v>
      </c>
      <c r="C1468" t="s">
        <v>6839</v>
      </c>
      <c r="D1468">
        <v>5</v>
      </c>
      <c r="E1468">
        <f t="shared" si="22"/>
        <v>4</v>
      </c>
      <c r="G1468">
        <v>1</v>
      </c>
    </row>
    <row r="1469" spans="1:9">
      <c r="A1469">
        <v>5</v>
      </c>
      <c r="B1469" t="s">
        <v>10331</v>
      </c>
      <c r="C1469" t="s">
        <v>10331</v>
      </c>
      <c r="D1469">
        <v>5</v>
      </c>
      <c r="E1469">
        <f t="shared" si="22"/>
        <v>4</v>
      </c>
      <c r="G1469">
        <v>1</v>
      </c>
    </row>
    <row r="1470" spans="1:9">
      <c r="A1470">
        <v>5</v>
      </c>
      <c r="B1470" t="s">
        <v>10902</v>
      </c>
      <c r="C1470" t="s">
        <v>10902</v>
      </c>
      <c r="D1470">
        <v>5</v>
      </c>
      <c r="E1470">
        <f t="shared" si="22"/>
        <v>4</v>
      </c>
      <c r="F1470" t="s">
        <v>821</v>
      </c>
      <c r="G1470">
        <v>0</v>
      </c>
    </row>
    <row r="1471" spans="1:9">
      <c r="A1471">
        <v>5</v>
      </c>
      <c r="B1471" t="s">
        <v>474</v>
      </c>
      <c r="C1471" t="s">
        <v>474</v>
      </c>
      <c r="D1471">
        <v>5</v>
      </c>
      <c r="E1471">
        <f t="shared" si="22"/>
        <v>4</v>
      </c>
      <c r="F1471" t="s">
        <v>821</v>
      </c>
      <c r="G1471">
        <v>0</v>
      </c>
    </row>
    <row r="1472" spans="1:9">
      <c r="A1472">
        <v>5</v>
      </c>
      <c r="B1472" t="s">
        <v>1214</v>
      </c>
      <c r="C1472" t="s">
        <v>1214</v>
      </c>
      <c r="D1472">
        <v>5</v>
      </c>
      <c r="E1472">
        <f t="shared" si="22"/>
        <v>4</v>
      </c>
      <c r="F1472" t="s">
        <v>821</v>
      </c>
      <c r="G1472">
        <v>0</v>
      </c>
    </row>
    <row r="1473" spans="1:7">
      <c r="A1473">
        <v>5</v>
      </c>
      <c r="B1473" t="s">
        <v>10934</v>
      </c>
      <c r="C1473" t="s">
        <v>10934</v>
      </c>
      <c r="D1473">
        <v>5</v>
      </c>
      <c r="E1473">
        <f t="shared" si="22"/>
        <v>4</v>
      </c>
      <c r="F1473" t="s">
        <v>821</v>
      </c>
      <c r="G1473">
        <v>0</v>
      </c>
    </row>
    <row r="1474" spans="1:7">
      <c r="A1474">
        <v>5</v>
      </c>
      <c r="B1474" t="s">
        <v>10934</v>
      </c>
      <c r="C1474" t="s">
        <v>10934</v>
      </c>
      <c r="D1474">
        <v>6</v>
      </c>
      <c r="E1474">
        <f t="shared" ref="E1474:E1537" si="23">LEN(B1474)</f>
        <v>4</v>
      </c>
      <c r="F1474" t="s">
        <v>821</v>
      </c>
      <c r="G1474">
        <v>1</v>
      </c>
    </row>
    <row r="1475" spans="1:7">
      <c r="A1475">
        <v>5</v>
      </c>
      <c r="B1475" t="s">
        <v>12016</v>
      </c>
      <c r="C1475" t="s">
        <v>12017</v>
      </c>
      <c r="D1475">
        <v>21</v>
      </c>
      <c r="E1475">
        <f t="shared" si="23"/>
        <v>4</v>
      </c>
      <c r="F1475" t="s">
        <v>821</v>
      </c>
      <c r="G1475">
        <v>16</v>
      </c>
    </row>
    <row r="1476" spans="1:7">
      <c r="A1476">
        <v>5</v>
      </c>
      <c r="B1476" t="s">
        <v>474</v>
      </c>
      <c r="C1476" t="s">
        <v>14845</v>
      </c>
      <c r="E1476">
        <f t="shared" si="23"/>
        <v>4</v>
      </c>
    </row>
    <row r="1477" spans="1:7">
      <c r="A1477">
        <v>5</v>
      </c>
      <c r="B1477" s="26" t="s">
        <v>5367</v>
      </c>
      <c r="C1477" t="s">
        <v>5367</v>
      </c>
      <c r="E1477">
        <f t="shared" si="23"/>
        <v>4</v>
      </c>
    </row>
    <row r="1478" spans="1:7">
      <c r="A1478">
        <v>5</v>
      </c>
      <c r="B1478" t="s">
        <v>1438</v>
      </c>
      <c r="C1478" t="s">
        <v>1438</v>
      </c>
      <c r="E1478">
        <f t="shared" si="23"/>
        <v>4</v>
      </c>
    </row>
    <row r="1479" spans="1:7">
      <c r="A1479">
        <v>5</v>
      </c>
      <c r="B1479" t="s">
        <v>897</v>
      </c>
      <c r="C1479" t="s">
        <v>897</v>
      </c>
      <c r="E1479">
        <f t="shared" si="23"/>
        <v>4</v>
      </c>
    </row>
    <row r="1480" spans="1:7">
      <c r="A1480">
        <v>5</v>
      </c>
      <c r="B1480" t="s">
        <v>14503</v>
      </c>
      <c r="C1480" t="s">
        <v>14863</v>
      </c>
      <c r="E1480">
        <f t="shared" si="23"/>
        <v>4</v>
      </c>
    </row>
    <row r="1481" spans="1:7">
      <c r="A1481">
        <v>5</v>
      </c>
      <c r="B1481" t="s">
        <v>14997</v>
      </c>
      <c r="C1481" t="s">
        <v>14997</v>
      </c>
      <c r="D1481">
        <v>5</v>
      </c>
      <c r="E1481">
        <f t="shared" si="23"/>
        <v>4</v>
      </c>
      <c r="F1481" t="s">
        <v>821</v>
      </c>
      <c r="G1481">
        <v>0</v>
      </c>
    </row>
    <row r="1482" spans="1:7">
      <c r="A1482">
        <v>5</v>
      </c>
      <c r="B1482" t="s">
        <v>15466</v>
      </c>
      <c r="C1482" t="s">
        <v>15466</v>
      </c>
      <c r="D1482">
        <v>5</v>
      </c>
      <c r="E1482">
        <f t="shared" si="23"/>
        <v>4</v>
      </c>
      <c r="F1482" t="s">
        <v>821</v>
      </c>
      <c r="G1482">
        <v>0</v>
      </c>
    </row>
    <row r="1483" spans="1:7">
      <c r="A1483">
        <v>5</v>
      </c>
      <c r="B1483" t="s">
        <v>0</v>
      </c>
      <c r="C1483" t="s">
        <v>5261</v>
      </c>
      <c r="D1483">
        <v>5</v>
      </c>
      <c r="E1483">
        <f t="shared" si="23"/>
        <v>3</v>
      </c>
      <c r="F1483" t="s">
        <v>821</v>
      </c>
      <c r="G1483">
        <v>1</v>
      </c>
    </row>
    <row r="1484" spans="1:7">
      <c r="A1484">
        <v>5</v>
      </c>
      <c r="B1484" t="s">
        <v>7377</v>
      </c>
      <c r="C1484" t="s">
        <v>10250</v>
      </c>
      <c r="D1484">
        <v>5</v>
      </c>
      <c r="E1484">
        <f t="shared" si="23"/>
        <v>3</v>
      </c>
      <c r="F1484" t="s">
        <v>821</v>
      </c>
      <c r="G1484">
        <v>1</v>
      </c>
    </row>
    <row r="1485" spans="1:7">
      <c r="A1485">
        <v>5</v>
      </c>
      <c r="B1485" t="s">
        <v>720</v>
      </c>
      <c r="C1485" t="s">
        <v>720</v>
      </c>
      <c r="D1485">
        <v>5</v>
      </c>
      <c r="E1485">
        <f t="shared" si="23"/>
        <v>3</v>
      </c>
      <c r="F1485" t="s">
        <v>821</v>
      </c>
      <c r="G1485">
        <v>1</v>
      </c>
    </row>
    <row r="1486" spans="1:7">
      <c r="A1486">
        <v>5</v>
      </c>
      <c r="B1486" t="s">
        <v>6593</v>
      </c>
      <c r="C1486" t="s">
        <v>6593</v>
      </c>
      <c r="D1486">
        <v>5</v>
      </c>
      <c r="E1486">
        <f t="shared" si="23"/>
        <v>3</v>
      </c>
      <c r="G1486">
        <v>1</v>
      </c>
    </row>
    <row r="1487" spans="1:7">
      <c r="A1487">
        <v>5</v>
      </c>
      <c r="B1487" t="s">
        <v>6609</v>
      </c>
      <c r="C1487" t="s">
        <v>6609</v>
      </c>
      <c r="D1487">
        <v>5</v>
      </c>
      <c r="E1487">
        <f t="shared" si="23"/>
        <v>3</v>
      </c>
      <c r="G1487">
        <v>1</v>
      </c>
    </row>
    <row r="1488" spans="1:7">
      <c r="A1488">
        <v>5</v>
      </c>
      <c r="B1488" t="s">
        <v>6914</v>
      </c>
      <c r="C1488" t="s">
        <v>6914</v>
      </c>
      <c r="D1488">
        <v>5</v>
      </c>
      <c r="E1488">
        <f t="shared" si="23"/>
        <v>3</v>
      </c>
      <c r="G1488">
        <v>1</v>
      </c>
    </row>
    <row r="1489" spans="1:7">
      <c r="A1489">
        <v>5</v>
      </c>
      <c r="B1489" t="s">
        <v>10265</v>
      </c>
      <c r="C1489" t="s">
        <v>10265</v>
      </c>
      <c r="D1489">
        <v>5</v>
      </c>
      <c r="E1489">
        <f t="shared" si="23"/>
        <v>3</v>
      </c>
      <c r="G1489">
        <v>1</v>
      </c>
    </row>
    <row r="1490" spans="1:7">
      <c r="A1490">
        <v>5</v>
      </c>
      <c r="B1490" t="s">
        <v>14016</v>
      </c>
      <c r="C1490" t="s">
        <v>14849</v>
      </c>
      <c r="E1490">
        <f t="shared" si="23"/>
        <v>3</v>
      </c>
    </row>
    <row r="1491" spans="1:7">
      <c r="A1491">
        <v>5</v>
      </c>
      <c r="B1491" t="s">
        <v>7912</v>
      </c>
      <c r="C1491" t="s">
        <v>7912</v>
      </c>
      <c r="E1491">
        <f t="shared" si="23"/>
        <v>3</v>
      </c>
    </row>
    <row r="1492" spans="1:7">
      <c r="A1492">
        <v>5</v>
      </c>
      <c r="B1492" t="s">
        <v>15006</v>
      </c>
      <c r="C1492" t="s">
        <v>15006</v>
      </c>
      <c r="D1492">
        <v>5</v>
      </c>
      <c r="E1492">
        <f t="shared" si="23"/>
        <v>3</v>
      </c>
      <c r="F1492" t="s">
        <v>821</v>
      </c>
      <c r="G1492">
        <v>0</v>
      </c>
    </row>
    <row r="1493" spans="1:7">
      <c r="A1493">
        <v>5</v>
      </c>
      <c r="B1493" t="s">
        <v>6813</v>
      </c>
      <c r="C1493" t="s">
        <v>6813</v>
      </c>
      <c r="D1493">
        <v>5</v>
      </c>
      <c r="E1493">
        <f t="shared" si="23"/>
        <v>2</v>
      </c>
      <c r="F1493" t="s">
        <v>821</v>
      </c>
      <c r="G1493">
        <v>1</v>
      </c>
    </row>
    <row r="1494" spans="1:7">
      <c r="A1494">
        <v>5</v>
      </c>
      <c r="B1494" t="s">
        <v>15096</v>
      </c>
      <c r="C1494" t="s">
        <v>15096</v>
      </c>
      <c r="D1494">
        <v>5</v>
      </c>
      <c r="E1494">
        <f t="shared" si="23"/>
        <v>2</v>
      </c>
      <c r="F1494" t="s">
        <v>821</v>
      </c>
      <c r="G1494">
        <v>0</v>
      </c>
    </row>
    <row r="1495" spans="1:7">
      <c r="A1495">
        <v>4</v>
      </c>
      <c r="B1495" t="s">
        <v>15027</v>
      </c>
      <c r="C1495" t="s">
        <v>15027</v>
      </c>
      <c r="D1495">
        <v>4</v>
      </c>
      <c r="E1495">
        <f t="shared" si="23"/>
        <v>7</v>
      </c>
      <c r="F1495" t="s">
        <v>821</v>
      </c>
      <c r="G1495">
        <v>0</v>
      </c>
    </row>
    <row r="1496" spans="1:7">
      <c r="A1496">
        <v>5.5</v>
      </c>
      <c r="B1496" t="s">
        <v>8028</v>
      </c>
      <c r="C1496" t="s">
        <v>8028</v>
      </c>
      <c r="D1496">
        <v>5.5</v>
      </c>
      <c r="E1496">
        <f t="shared" si="23"/>
        <v>42</v>
      </c>
      <c r="F1496" t="s">
        <v>821</v>
      </c>
      <c r="G1496">
        <v>1</v>
      </c>
    </row>
    <row r="1497" spans="1:7">
      <c r="A1497">
        <v>5.5</v>
      </c>
      <c r="B1497" t="s">
        <v>7653</v>
      </c>
      <c r="C1497" t="s">
        <v>7653</v>
      </c>
      <c r="D1497">
        <v>5.5</v>
      </c>
      <c r="E1497">
        <f t="shared" si="23"/>
        <v>32</v>
      </c>
      <c r="F1497" t="s">
        <v>821</v>
      </c>
      <c r="G1497">
        <v>1</v>
      </c>
    </row>
    <row r="1498" spans="1:7">
      <c r="A1498">
        <v>5.5</v>
      </c>
      <c r="B1498" t="s">
        <v>8756</v>
      </c>
      <c r="C1498" t="s">
        <v>8756</v>
      </c>
      <c r="D1498">
        <v>5.5</v>
      </c>
      <c r="E1498">
        <f t="shared" si="23"/>
        <v>31</v>
      </c>
      <c r="F1498" t="s">
        <v>821</v>
      </c>
      <c r="G1498">
        <v>1</v>
      </c>
    </row>
    <row r="1499" spans="1:7">
      <c r="A1499">
        <v>5.5</v>
      </c>
      <c r="B1499" t="s">
        <v>7997</v>
      </c>
      <c r="C1499" t="s">
        <v>7997</v>
      </c>
      <c r="D1499">
        <v>5.5</v>
      </c>
      <c r="E1499">
        <f t="shared" si="23"/>
        <v>29</v>
      </c>
      <c r="F1499" t="s">
        <v>821</v>
      </c>
      <c r="G1499">
        <v>1</v>
      </c>
    </row>
    <row r="1500" spans="1:7">
      <c r="A1500">
        <v>5.5</v>
      </c>
      <c r="B1500" t="s">
        <v>8101</v>
      </c>
      <c r="C1500" t="s">
        <v>8101</v>
      </c>
      <c r="D1500">
        <v>5.5</v>
      </c>
      <c r="E1500">
        <f t="shared" si="23"/>
        <v>29</v>
      </c>
      <c r="F1500" t="s">
        <v>821</v>
      </c>
      <c r="G1500">
        <v>1</v>
      </c>
    </row>
    <row r="1501" spans="1:7">
      <c r="A1501">
        <v>5.5</v>
      </c>
      <c r="B1501" t="s">
        <v>1230</v>
      </c>
      <c r="C1501" t="s">
        <v>1230</v>
      </c>
      <c r="D1501">
        <v>5.5</v>
      </c>
      <c r="E1501">
        <f t="shared" si="23"/>
        <v>29</v>
      </c>
      <c r="F1501" t="s">
        <v>821</v>
      </c>
      <c r="G1501">
        <v>1</v>
      </c>
    </row>
    <row r="1502" spans="1:7">
      <c r="A1502">
        <v>5.5</v>
      </c>
      <c r="B1502" t="s">
        <v>9878</v>
      </c>
      <c r="C1502" t="s">
        <v>9878</v>
      </c>
      <c r="D1502">
        <v>5.5</v>
      </c>
      <c r="E1502">
        <f t="shared" si="23"/>
        <v>28</v>
      </c>
      <c r="F1502" t="s">
        <v>821</v>
      </c>
      <c r="G1502">
        <v>1</v>
      </c>
    </row>
    <row r="1503" spans="1:7">
      <c r="A1503">
        <v>5.5</v>
      </c>
      <c r="B1503" t="s">
        <v>8509</v>
      </c>
      <c r="C1503" t="s">
        <v>8509</v>
      </c>
      <c r="D1503">
        <v>5.5</v>
      </c>
      <c r="E1503">
        <f t="shared" si="23"/>
        <v>26</v>
      </c>
      <c r="F1503" t="s">
        <v>821</v>
      </c>
      <c r="G1503">
        <v>1</v>
      </c>
    </row>
    <row r="1504" spans="1:7">
      <c r="A1504">
        <v>5.5</v>
      </c>
      <c r="B1504" t="s">
        <v>7655</v>
      </c>
      <c r="C1504" t="s">
        <v>7655</v>
      </c>
      <c r="D1504">
        <v>5.5</v>
      </c>
      <c r="E1504">
        <f t="shared" si="23"/>
        <v>25</v>
      </c>
      <c r="F1504" t="s">
        <v>821</v>
      </c>
      <c r="G1504">
        <v>1</v>
      </c>
    </row>
    <row r="1505" spans="1:7">
      <c r="A1505">
        <v>5.5</v>
      </c>
      <c r="B1505" t="s">
        <v>8008</v>
      </c>
      <c r="C1505" t="s">
        <v>8008</v>
      </c>
      <c r="D1505">
        <v>5.5</v>
      </c>
      <c r="E1505">
        <f t="shared" si="23"/>
        <v>24</v>
      </c>
      <c r="F1505" t="s">
        <v>821</v>
      </c>
      <c r="G1505">
        <v>1</v>
      </c>
    </row>
    <row r="1506" spans="1:7">
      <c r="A1506">
        <v>5.5</v>
      </c>
      <c r="B1506" t="s">
        <v>8012</v>
      </c>
      <c r="C1506" t="s">
        <v>8012</v>
      </c>
      <c r="D1506">
        <v>5.5</v>
      </c>
      <c r="E1506">
        <f t="shared" si="23"/>
        <v>24</v>
      </c>
      <c r="F1506" t="s">
        <v>821</v>
      </c>
      <c r="G1506">
        <v>1</v>
      </c>
    </row>
    <row r="1507" spans="1:7">
      <c r="A1507">
        <v>5.5</v>
      </c>
      <c r="B1507" t="s">
        <v>8711</v>
      </c>
      <c r="C1507" t="s">
        <v>8711</v>
      </c>
      <c r="D1507">
        <v>5.5</v>
      </c>
      <c r="E1507">
        <f t="shared" si="23"/>
        <v>24</v>
      </c>
      <c r="F1507" t="s">
        <v>821</v>
      </c>
      <c r="G1507">
        <v>1</v>
      </c>
    </row>
    <row r="1508" spans="1:7">
      <c r="A1508">
        <v>5.5</v>
      </c>
      <c r="B1508" t="s">
        <v>7437</v>
      </c>
      <c r="C1508" t="s">
        <v>7437</v>
      </c>
      <c r="D1508">
        <v>5.5</v>
      </c>
      <c r="E1508">
        <f t="shared" si="23"/>
        <v>23</v>
      </c>
      <c r="F1508" t="s">
        <v>821</v>
      </c>
      <c r="G1508">
        <v>1</v>
      </c>
    </row>
    <row r="1509" spans="1:7">
      <c r="A1509">
        <v>5.5</v>
      </c>
      <c r="B1509" t="s">
        <v>8112</v>
      </c>
      <c r="C1509" t="s">
        <v>8112</v>
      </c>
      <c r="D1509">
        <v>5.5</v>
      </c>
      <c r="E1509">
        <f t="shared" si="23"/>
        <v>23</v>
      </c>
      <c r="F1509" t="s">
        <v>821</v>
      </c>
      <c r="G1509">
        <v>1</v>
      </c>
    </row>
    <row r="1510" spans="1:7">
      <c r="A1510">
        <v>5.5</v>
      </c>
      <c r="B1510" t="s">
        <v>9877</v>
      </c>
      <c r="C1510" t="s">
        <v>9877</v>
      </c>
      <c r="D1510">
        <v>5.5</v>
      </c>
      <c r="E1510">
        <f t="shared" si="23"/>
        <v>23</v>
      </c>
      <c r="F1510" t="s">
        <v>821</v>
      </c>
      <c r="G1510">
        <v>1</v>
      </c>
    </row>
    <row r="1511" spans="1:7">
      <c r="A1511">
        <v>5.5</v>
      </c>
      <c r="B1511" t="s">
        <v>7645</v>
      </c>
      <c r="C1511" t="s">
        <v>7645</v>
      </c>
      <c r="D1511">
        <v>5.5</v>
      </c>
      <c r="E1511">
        <f t="shared" si="23"/>
        <v>22</v>
      </c>
      <c r="F1511" t="s">
        <v>821</v>
      </c>
      <c r="G1511">
        <v>1</v>
      </c>
    </row>
    <row r="1512" spans="1:7" ht="15" customHeight="1">
      <c r="A1512">
        <v>5.5</v>
      </c>
      <c r="B1512" t="s">
        <v>7560</v>
      </c>
      <c r="C1512" t="s">
        <v>7560</v>
      </c>
      <c r="D1512">
        <v>5.5</v>
      </c>
      <c r="E1512">
        <f t="shared" si="23"/>
        <v>22</v>
      </c>
      <c r="F1512" t="s">
        <v>821</v>
      </c>
      <c r="G1512">
        <v>1</v>
      </c>
    </row>
    <row r="1513" spans="1:7">
      <c r="A1513">
        <v>5.5</v>
      </c>
      <c r="B1513" t="s">
        <v>8753</v>
      </c>
      <c r="C1513" t="s">
        <v>8753</v>
      </c>
      <c r="D1513">
        <v>5.5</v>
      </c>
      <c r="E1513">
        <f t="shared" si="23"/>
        <v>22</v>
      </c>
      <c r="F1513" t="s">
        <v>821</v>
      </c>
      <c r="G1513">
        <v>1</v>
      </c>
    </row>
    <row r="1514" spans="1:7">
      <c r="A1514">
        <v>5.5</v>
      </c>
      <c r="B1514" t="s">
        <v>7884</v>
      </c>
      <c r="C1514" t="s">
        <v>7884</v>
      </c>
      <c r="D1514">
        <v>5.5</v>
      </c>
      <c r="E1514">
        <f t="shared" si="23"/>
        <v>22</v>
      </c>
      <c r="F1514" t="s">
        <v>821</v>
      </c>
      <c r="G1514">
        <v>1</v>
      </c>
    </row>
    <row r="1515" spans="1:7">
      <c r="A1515">
        <v>5.5</v>
      </c>
      <c r="B1515" t="s">
        <v>9027</v>
      </c>
      <c r="C1515" t="s">
        <v>9027</v>
      </c>
      <c r="D1515">
        <v>5.5</v>
      </c>
      <c r="E1515">
        <f t="shared" si="23"/>
        <v>22</v>
      </c>
      <c r="F1515" t="s">
        <v>821</v>
      </c>
      <c r="G1515">
        <v>1</v>
      </c>
    </row>
    <row r="1516" spans="1:7">
      <c r="A1516">
        <v>5.5</v>
      </c>
      <c r="B1516" t="s">
        <v>8042</v>
      </c>
      <c r="C1516" t="s">
        <v>8042</v>
      </c>
      <c r="D1516">
        <v>5.5</v>
      </c>
      <c r="E1516">
        <f t="shared" si="23"/>
        <v>22</v>
      </c>
      <c r="F1516" t="s">
        <v>821</v>
      </c>
      <c r="G1516">
        <v>1</v>
      </c>
    </row>
    <row r="1517" spans="1:7">
      <c r="A1517">
        <v>5.5</v>
      </c>
      <c r="B1517" t="s">
        <v>8767</v>
      </c>
      <c r="C1517" t="s">
        <v>8767</v>
      </c>
      <c r="D1517">
        <v>5.5</v>
      </c>
      <c r="E1517">
        <f t="shared" si="23"/>
        <v>22</v>
      </c>
      <c r="F1517" t="s">
        <v>821</v>
      </c>
      <c r="G1517">
        <v>1</v>
      </c>
    </row>
    <row r="1518" spans="1:7">
      <c r="A1518">
        <v>5.5</v>
      </c>
      <c r="B1518" t="s">
        <v>7322</v>
      </c>
      <c r="C1518" t="s">
        <v>7322</v>
      </c>
      <c r="D1518">
        <v>5.5</v>
      </c>
      <c r="E1518">
        <f t="shared" si="23"/>
        <v>21</v>
      </c>
      <c r="F1518" t="s">
        <v>821</v>
      </c>
      <c r="G1518">
        <v>1</v>
      </c>
    </row>
    <row r="1519" spans="1:7">
      <c r="A1519">
        <v>5.5</v>
      </c>
      <c r="B1519" t="s">
        <v>8423</v>
      </c>
      <c r="C1519" t="s">
        <v>8423</v>
      </c>
      <c r="D1519">
        <v>5.5</v>
      </c>
      <c r="E1519">
        <f t="shared" si="23"/>
        <v>21</v>
      </c>
      <c r="F1519" t="s">
        <v>821</v>
      </c>
      <c r="G1519">
        <v>1</v>
      </c>
    </row>
    <row r="1520" spans="1:7">
      <c r="A1520">
        <v>5.5</v>
      </c>
      <c r="B1520" t="s">
        <v>8425</v>
      </c>
      <c r="C1520" t="s">
        <v>8425</v>
      </c>
      <c r="D1520">
        <v>5.5</v>
      </c>
      <c r="E1520">
        <f t="shared" si="23"/>
        <v>21</v>
      </c>
      <c r="F1520" t="s">
        <v>821</v>
      </c>
      <c r="G1520">
        <v>1</v>
      </c>
    </row>
    <row r="1521" spans="1:7">
      <c r="A1521">
        <v>5.5</v>
      </c>
      <c r="B1521" t="s">
        <v>1130</v>
      </c>
      <c r="C1521" t="s">
        <v>1130</v>
      </c>
      <c r="D1521">
        <v>5.5</v>
      </c>
      <c r="E1521">
        <f t="shared" si="23"/>
        <v>21</v>
      </c>
      <c r="F1521" t="s">
        <v>821</v>
      </c>
      <c r="G1521">
        <v>1</v>
      </c>
    </row>
    <row r="1522" spans="1:7">
      <c r="A1522">
        <v>5.5</v>
      </c>
      <c r="B1522" t="s">
        <v>1828</v>
      </c>
      <c r="C1522" t="s">
        <v>1828</v>
      </c>
      <c r="D1522">
        <v>5.5</v>
      </c>
      <c r="E1522">
        <f t="shared" si="23"/>
        <v>21</v>
      </c>
      <c r="F1522" t="s">
        <v>821</v>
      </c>
      <c r="G1522">
        <v>1</v>
      </c>
    </row>
    <row r="1523" spans="1:7">
      <c r="A1523">
        <v>5.5</v>
      </c>
      <c r="B1523" t="s">
        <v>8115</v>
      </c>
      <c r="C1523" t="s">
        <v>8115</v>
      </c>
      <c r="D1523">
        <v>5.5</v>
      </c>
      <c r="E1523">
        <f t="shared" si="23"/>
        <v>20</v>
      </c>
      <c r="F1523" t="s">
        <v>821</v>
      </c>
      <c r="G1523">
        <v>1</v>
      </c>
    </row>
    <row r="1524" spans="1:7">
      <c r="A1524">
        <v>5.5</v>
      </c>
      <c r="B1524" t="s">
        <v>8588</v>
      </c>
      <c r="C1524" t="s">
        <v>8588</v>
      </c>
      <c r="D1524">
        <v>5.5</v>
      </c>
      <c r="E1524">
        <f t="shared" si="23"/>
        <v>20</v>
      </c>
      <c r="F1524" t="s">
        <v>821</v>
      </c>
      <c r="G1524">
        <v>1</v>
      </c>
    </row>
    <row r="1525" spans="1:7">
      <c r="A1525">
        <v>5.5</v>
      </c>
      <c r="B1525" t="s">
        <v>8706</v>
      </c>
      <c r="C1525" t="s">
        <v>8706</v>
      </c>
      <c r="D1525">
        <v>5.5</v>
      </c>
      <c r="E1525">
        <f t="shared" si="23"/>
        <v>20</v>
      </c>
      <c r="F1525" t="s">
        <v>821</v>
      </c>
      <c r="G1525">
        <v>1</v>
      </c>
    </row>
    <row r="1526" spans="1:7">
      <c r="A1526">
        <v>5.5</v>
      </c>
      <c r="B1526" t="s">
        <v>9144</v>
      </c>
      <c r="C1526" t="s">
        <v>9144</v>
      </c>
      <c r="D1526">
        <v>5.5</v>
      </c>
      <c r="E1526">
        <f t="shared" si="23"/>
        <v>20</v>
      </c>
      <c r="F1526" t="s">
        <v>821</v>
      </c>
      <c r="G1526">
        <v>1</v>
      </c>
    </row>
    <row r="1527" spans="1:7">
      <c r="A1527">
        <v>5.5</v>
      </c>
      <c r="B1527" t="s">
        <v>8010</v>
      </c>
      <c r="C1527" t="s">
        <v>8010</v>
      </c>
      <c r="D1527">
        <v>5.5</v>
      </c>
      <c r="E1527">
        <f t="shared" si="23"/>
        <v>20</v>
      </c>
      <c r="F1527" t="s">
        <v>821</v>
      </c>
      <c r="G1527">
        <v>1</v>
      </c>
    </row>
    <row r="1528" spans="1:7">
      <c r="A1528">
        <v>5.5</v>
      </c>
      <c r="B1528" t="s">
        <v>8212</v>
      </c>
      <c r="C1528" t="s">
        <v>8212</v>
      </c>
      <c r="D1528">
        <v>5.5</v>
      </c>
      <c r="E1528">
        <f t="shared" si="23"/>
        <v>20</v>
      </c>
      <c r="F1528" t="s">
        <v>821</v>
      </c>
      <c r="G1528">
        <v>1</v>
      </c>
    </row>
    <row r="1529" spans="1:7">
      <c r="A1529">
        <v>5.5</v>
      </c>
      <c r="B1529" t="s">
        <v>8658</v>
      </c>
      <c r="C1529" t="s">
        <v>8658</v>
      </c>
      <c r="D1529">
        <v>5.5</v>
      </c>
      <c r="E1529">
        <f t="shared" si="23"/>
        <v>20</v>
      </c>
      <c r="F1529" t="s">
        <v>821</v>
      </c>
      <c r="G1529">
        <v>1</v>
      </c>
    </row>
    <row r="1530" spans="1:7">
      <c r="A1530">
        <v>5.5</v>
      </c>
      <c r="B1530" t="s">
        <v>8597</v>
      </c>
      <c r="C1530" t="s">
        <v>8597</v>
      </c>
      <c r="D1530">
        <v>5.5</v>
      </c>
      <c r="E1530">
        <f t="shared" si="23"/>
        <v>19</v>
      </c>
      <c r="F1530" t="s">
        <v>821</v>
      </c>
      <c r="G1530">
        <v>1</v>
      </c>
    </row>
    <row r="1531" spans="1:7">
      <c r="A1531">
        <v>5.5</v>
      </c>
      <c r="B1531" t="s">
        <v>7647</v>
      </c>
      <c r="C1531" t="s">
        <v>7647</v>
      </c>
      <c r="D1531">
        <v>5.5</v>
      </c>
      <c r="E1531">
        <f t="shared" si="23"/>
        <v>19</v>
      </c>
      <c r="F1531" t="s">
        <v>821</v>
      </c>
      <c r="G1531">
        <v>1</v>
      </c>
    </row>
    <row r="1532" spans="1:7">
      <c r="A1532">
        <v>5.5</v>
      </c>
      <c r="B1532" t="s">
        <v>9184</v>
      </c>
      <c r="C1532" t="s">
        <v>9184</v>
      </c>
      <c r="D1532">
        <v>5.5</v>
      </c>
      <c r="E1532">
        <f t="shared" si="23"/>
        <v>19</v>
      </c>
      <c r="F1532" t="s">
        <v>821</v>
      </c>
      <c r="G1532">
        <v>1</v>
      </c>
    </row>
    <row r="1533" spans="1:7">
      <c r="A1533">
        <v>5.5</v>
      </c>
      <c r="B1533" t="s">
        <v>8971</v>
      </c>
      <c r="C1533" t="s">
        <v>8971</v>
      </c>
      <c r="D1533">
        <v>5.5</v>
      </c>
      <c r="E1533">
        <f t="shared" si="23"/>
        <v>19</v>
      </c>
      <c r="F1533" t="s">
        <v>821</v>
      </c>
      <c r="G1533">
        <v>1</v>
      </c>
    </row>
    <row r="1534" spans="1:7">
      <c r="A1534">
        <v>5.5</v>
      </c>
      <c r="B1534" t="s">
        <v>9029</v>
      </c>
      <c r="C1534" t="s">
        <v>9029</v>
      </c>
      <c r="D1534">
        <v>5.5</v>
      </c>
      <c r="E1534">
        <f t="shared" si="23"/>
        <v>19</v>
      </c>
      <c r="F1534" t="s">
        <v>821</v>
      </c>
      <c r="G1534">
        <v>1</v>
      </c>
    </row>
    <row r="1535" spans="1:7">
      <c r="A1535">
        <v>5.5</v>
      </c>
      <c r="B1535" t="s">
        <v>7671</v>
      </c>
      <c r="C1535" t="s">
        <v>7671</v>
      </c>
      <c r="D1535">
        <v>5.5</v>
      </c>
      <c r="E1535">
        <f t="shared" si="23"/>
        <v>19</v>
      </c>
      <c r="F1535" t="s">
        <v>821</v>
      </c>
      <c r="G1535">
        <v>1</v>
      </c>
    </row>
    <row r="1536" spans="1:7">
      <c r="A1536">
        <v>5.5</v>
      </c>
      <c r="B1536" t="s">
        <v>8790</v>
      </c>
      <c r="C1536" t="s">
        <v>8790</v>
      </c>
      <c r="D1536">
        <v>5.5</v>
      </c>
      <c r="E1536">
        <f t="shared" si="23"/>
        <v>19</v>
      </c>
      <c r="F1536" t="s">
        <v>821</v>
      </c>
      <c r="G1536">
        <v>1</v>
      </c>
    </row>
    <row r="1537" spans="1:7">
      <c r="A1537">
        <v>5.5</v>
      </c>
      <c r="B1537" t="s">
        <v>8209</v>
      </c>
      <c r="C1537" t="s">
        <v>8209</v>
      </c>
      <c r="D1537">
        <v>5.5</v>
      </c>
      <c r="E1537">
        <f t="shared" si="23"/>
        <v>19</v>
      </c>
      <c r="F1537" t="s">
        <v>821</v>
      </c>
      <c r="G1537">
        <v>1</v>
      </c>
    </row>
    <row r="1538" spans="1:7">
      <c r="A1538">
        <v>5.5</v>
      </c>
      <c r="B1538" t="s">
        <v>8570</v>
      </c>
      <c r="C1538" t="s">
        <v>8570</v>
      </c>
      <c r="D1538">
        <v>5.5</v>
      </c>
      <c r="E1538">
        <f t="shared" ref="E1538:E1601" si="24">LEN(B1538)</f>
        <v>19</v>
      </c>
      <c r="F1538" t="s">
        <v>821</v>
      </c>
      <c r="G1538">
        <v>1</v>
      </c>
    </row>
    <row r="1539" spans="1:7">
      <c r="A1539">
        <v>5.5</v>
      </c>
      <c r="B1539" t="s">
        <v>9164</v>
      </c>
      <c r="C1539" t="s">
        <v>9164</v>
      </c>
      <c r="D1539">
        <v>5.5</v>
      </c>
      <c r="E1539">
        <f t="shared" si="24"/>
        <v>19</v>
      </c>
      <c r="F1539" t="s">
        <v>821</v>
      </c>
      <c r="G1539">
        <v>1</v>
      </c>
    </row>
    <row r="1540" spans="1:7">
      <c r="A1540">
        <v>5.5</v>
      </c>
      <c r="B1540" t="s">
        <v>7429</v>
      </c>
      <c r="C1540" t="s">
        <v>7429</v>
      </c>
      <c r="D1540">
        <v>5.5</v>
      </c>
      <c r="E1540">
        <f t="shared" si="24"/>
        <v>19</v>
      </c>
      <c r="F1540" t="s">
        <v>821</v>
      </c>
      <c r="G1540">
        <v>1</v>
      </c>
    </row>
    <row r="1541" spans="1:7">
      <c r="A1541">
        <v>5.5</v>
      </c>
      <c r="B1541" t="s">
        <v>7696</v>
      </c>
      <c r="C1541" t="s">
        <v>7696</v>
      </c>
      <c r="D1541">
        <v>5.5</v>
      </c>
      <c r="E1541">
        <f t="shared" si="24"/>
        <v>19</v>
      </c>
      <c r="F1541" t="s">
        <v>821</v>
      </c>
      <c r="G1541">
        <v>1</v>
      </c>
    </row>
    <row r="1542" spans="1:7">
      <c r="A1542">
        <v>5.5</v>
      </c>
      <c r="B1542" t="s">
        <v>7705</v>
      </c>
      <c r="C1542" t="s">
        <v>7705</v>
      </c>
      <c r="D1542">
        <v>5.5</v>
      </c>
      <c r="E1542">
        <f t="shared" si="24"/>
        <v>19</v>
      </c>
      <c r="F1542" t="s">
        <v>821</v>
      </c>
      <c r="G1542">
        <v>1</v>
      </c>
    </row>
    <row r="1543" spans="1:7">
      <c r="A1543">
        <v>5.5</v>
      </c>
      <c r="B1543" t="s">
        <v>9138</v>
      </c>
      <c r="C1543" t="s">
        <v>9138</v>
      </c>
      <c r="D1543">
        <v>5.5</v>
      </c>
      <c r="E1543">
        <f t="shared" si="24"/>
        <v>19</v>
      </c>
      <c r="F1543" t="s">
        <v>821</v>
      </c>
      <c r="G1543">
        <v>1</v>
      </c>
    </row>
    <row r="1544" spans="1:7">
      <c r="A1544">
        <v>5.5</v>
      </c>
      <c r="B1544" t="s">
        <v>7316</v>
      </c>
      <c r="C1544" t="s">
        <v>7316</v>
      </c>
      <c r="D1544">
        <v>5.5</v>
      </c>
      <c r="E1544">
        <f t="shared" si="24"/>
        <v>18</v>
      </c>
      <c r="F1544" t="s">
        <v>821</v>
      </c>
      <c r="G1544">
        <v>1</v>
      </c>
    </row>
    <row r="1545" spans="1:7">
      <c r="A1545">
        <v>5.5</v>
      </c>
      <c r="B1545" t="s">
        <v>8131</v>
      </c>
      <c r="C1545" t="s">
        <v>8131</v>
      </c>
      <c r="D1545">
        <v>5.5</v>
      </c>
      <c r="E1545">
        <f t="shared" si="24"/>
        <v>18</v>
      </c>
      <c r="F1545" t="s">
        <v>821</v>
      </c>
      <c r="G1545">
        <v>1</v>
      </c>
    </row>
    <row r="1546" spans="1:7">
      <c r="A1546">
        <v>5.5</v>
      </c>
      <c r="B1546" t="s">
        <v>8534</v>
      </c>
      <c r="C1546" t="s">
        <v>8534</v>
      </c>
      <c r="D1546">
        <v>5.5</v>
      </c>
      <c r="E1546">
        <f t="shared" si="24"/>
        <v>18</v>
      </c>
      <c r="F1546" t="s">
        <v>821</v>
      </c>
      <c r="G1546">
        <v>1</v>
      </c>
    </row>
    <row r="1547" spans="1:7">
      <c r="A1547">
        <v>5.5</v>
      </c>
      <c r="B1547" t="s">
        <v>7961</v>
      </c>
      <c r="C1547" t="s">
        <v>7961</v>
      </c>
      <c r="D1547">
        <v>5.5</v>
      </c>
      <c r="E1547">
        <f t="shared" si="24"/>
        <v>18</v>
      </c>
      <c r="F1547" t="s">
        <v>821</v>
      </c>
      <c r="G1547">
        <v>1</v>
      </c>
    </row>
    <row r="1548" spans="1:7">
      <c r="A1548">
        <v>5.5</v>
      </c>
      <c r="B1548" t="s">
        <v>8900</v>
      </c>
      <c r="C1548" t="s">
        <v>8900</v>
      </c>
      <c r="D1548">
        <v>5.5</v>
      </c>
      <c r="E1548">
        <f t="shared" si="24"/>
        <v>18</v>
      </c>
      <c r="F1548" t="s">
        <v>821</v>
      </c>
      <c r="G1548">
        <v>1</v>
      </c>
    </row>
    <row r="1549" spans="1:7">
      <c r="A1549">
        <v>5.5</v>
      </c>
      <c r="B1549" t="s">
        <v>7971</v>
      </c>
      <c r="C1549" t="s">
        <v>7971</v>
      </c>
      <c r="D1549">
        <v>5.5</v>
      </c>
      <c r="E1549">
        <f t="shared" si="24"/>
        <v>18</v>
      </c>
      <c r="F1549" t="s">
        <v>821</v>
      </c>
      <c r="G1549">
        <v>1</v>
      </c>
    </row>
    <row r="1550" spans="1:7">
      <c r="A1550">
        <v>5.5</v>
      </c>
      <c r="B1550" t="s">
        <v>8384</v>
      </c>
      <c r="C1550" t="s">
        <v>8384</v>
      </c>
      <c r="D1550">
        <v>5.5</v>
      </c>
      <c r="E1550">
        <f t="shared" si="24"/>
        <v>18</v>
      </c>
      <c r="F1550" t="s">
        <v>821</v>
      </c>
      <c r="G1550">
        <v>1</v>
      </c>
    </row>
    <row r="1551" spans="1:7">
      <c r="A1551">
        <v>5.5</v>
      </c>
      <c r="B1551" t="s">
        <v>7698</v>
      </c>
      <c r="C1551" t="s">
        <v>7698</v>
      </c>
      <c r="D1551">
        <v>5.5</v>
      </c>
      <c r="E1551">
        <f t="shared" si="24"/>
        <v>18</v>
      </c>
      <c r="F1551" t="s">
        <v>821</v>
      </c>
      <c r="G1551">
        <v>1</v>
      </c>
    </row>
    <row r="1552" spans="1:7">
      <c r="A1552">
        <v>5.5</v>
      </c>
      <c r="B1552" t="s">
        <v>10003</v>
      </c>
      <c r="C1552" t="s">
        <v>10003</v>
      </c>
      <c r="D1552">
        <v>5.5</v>
      </c>
      <c r="E1552">
        <f t="shared" si="24"/>
        <v>18</v>
      </c>
      <c r="F1552" t="s">
        <v>821</v>
      </c>
      <c r="G1552">
        <v>1</v>
      </c>
    </row>
    <row r="1553" spans="1:7">
      <c r="A1553">
        <v>5.5</v>
      </c>
      <c r="B1553" t="s">
        <v>7703</v>
      </c>
      <c r="C1553" t="s">
        <v>7703</v>
      </c>
      <c r="D1553">
        <v>5.5</v>
      </c>
      <c r="E1553">
        <f t="shared" si="24"/>
        <v>18</v>
      </c>
      <c r="F1553" t="s">
        <v>821</v>
      </c>
      <c r="G1553">
        <v>1</v>
      </c>
    </row>
    <row r="1554" spans="1:7">
      <c r="A1554">
        <v>5.5</v>
      </c>
      <c r="B1554" t="s">
        <v>9047</v>
      </c>
      <c r="C1554" t="s">
        <v>9047</v>
      </c>
      <c r="D1554">
        <v>5.5</v>
      </c>
      <c r="E1554">
        <f t="shared" si="24"/>
        <v>18</v>
      </c>
      <c r="F1554" t="s">
        <v>821</v>
      </c>
      <c r="G1554">
        <v>1</v>
      </c>
    </row>
    <row r="1555" spans="1:7">
      <c r="A1555">
        <v>5.5</v>
      </c>
      <c r="B1555" t="s">
        <v>9104</v>
      </c>
      <c r="C1555" t="s">
        <v>9104</v>
      </c>
      <c r="D1555">
        <v>5.5</v>
      </c>
      <c r="E1555">
        <f t="shared" si="24"/>
        <v>18</v>
      </c>
      <c r="F1555" t="s">
        <v>821</v>
      </c>
      <c r="G1555">
        <v>1</v>
      </c>
    </row>
    <row r="1556" spans="1:7">
      <c r="A1556">
        <v>5.5</v>
      </c>
      <c r="B1556" t="s">
        <v>10389</v>
      </c>
      <c r="C1556" t="s">
        <v>10389</v>
      </c>
      <c r="D1556">
        <v>5.5</v>
      </c>
      <c r="E1556">
        <f t="shared" si="24"/>
        <v>18</v>
      </c>
      <c r="G1556">
        <v>1</v>
      </c>
    </row>
    <row r="1557" spans="1:7">
      <c r="A1557">
        <v>5.5</v>
      </c>
      <c r="B1557" t="s">
        <v>8718</v>
      </c>
      <c r="C1557" t="s">
        <v>8718</v>
      </c>
      <c r="D1557">
        <v>5.5</v>
      </c>
      <c r="E1557">
        <f t="shared" si="24"/>
        <v>17</v>
      </c>
      <c r="F1557" t="s">
        <v>821</v>
      </c>
      <c r="G1557">
        <v>1</v>
      </c>
    </row>
    <row r="1558" spans="1:7">
      <c r="A1558">
        <v>5.5</v>
      </c>
      <c r="B1558" t="s">
        <v>7649</v>
      </c>
      <c r="C1558" t="s">
        <v>7649</v>
      </c>
      <c r="D1558">
        <v>5.5</v>
      </c>
      <c r="E1558">
        <f t="shared" si="24"/>
        <v>17</v>
      </c>
      <c r="F1558" t="s">
        <v>821</v>
      </c>
      <c r="G1558">
        <v>1</v>
      </c>
    </row>
    <row r="1559" spans="1:7">
      <c r="A1559">
        <v>5.5</v>
      </c>
      <c r="B1559" t="s">
        <v>7959</v>
      </c>
      <c r="C1559" t="s">
        <v>7959</v>
      </c>
      <c r="D1559">
        <v>5.5</v>
      </c>
      <c r="E1559">
        <f t="shared" si="24"/>
        <v>17</v>
      </c>
      <c r="F1559" t="s">
        <v>821</v>
      </c>
      <c r="G1559">
        <v>1</v>
      </c>
    </row>
    <row r="1560" spans="1:7">
      <c r="A1560">
        <v>5.5</v>
      </c>
      <c r="B1560" t="s">
        <v>7987</v>
      </c>
      <c r="C1560" t="s">
        <v>7987</v>
      </c>
      <c r="D1560">
        <v>5.5</v>
      </c>
      <c r="E1560">
        <f t="shared" si="24"/>
        <v>17</v>
      </c>
      <c r="F1560" t="s">
        <v>821</v>
      </c>
      <c r="G1560">
        <v>1</v>
      </c>
    </row>
    <row r="1561" spans="1:7">
      <c r="A1561">
        <v>5.5</v>
      </c>
      <c r="B1561" t="s">
        <v>8822</v>
      </c>
      <c r="C1561" t="s">
        <v>8822</v>
      </c>
      <c r="D1561">
        <v>5.5</v>
      </c>
      <c r="E1561">
        <f t="shared" si="24"/>
        <v>17</v>
      </c>
      <c r="F1561" t="s">
        <v>821</v>
      </c>
      <c r="G1561">
        <v>1</v>
      </c>
    </row>
    <row r="1562" spans="1:7">
      <c r="A1562">
        <v>5.5</v>
      </c>
      <c r="B1562" t="s">
        <v>8002</v>
      </c>
      <c r="C1562" t="s">
        <v>8002</v>
      </c>
      <c r="D1562">
        <v>5.5</v>
      </c>
      <c r="E1562">
        <f t="shared" si="24"/>
        <v>17</v>
      </c>
      <c r="F1562" t="s">
        <v>821</v>
      </c>
      <c r="G1562">
        <v>1</v>
      </c>
    </row>
    <row r="1563" spans="1:7">
      <c r="A1563">
        <v>5.5</v>
      </c>
      <c r="B1563" t="s">
        <v>8702</v>
      </c>
      <c r="C1563" t="s">
        <v>8702</v>
      </c>
      <c r="D1563">
        <v>5.5</v>
      </c>
      <c r="E1563">
        <f t="shared" si="24"/>
        <v>17</v>
      </c>
      <c r="F1563" t="s">
        <v>821</v>
      </c>
      <c r="G1563">
        <v>1</v>
      </c>
    </row>
    <row r="1564" spans="1:7">
      <c r="A1564">
        <v>5.5</v>
      </c>
      <c r="B1564" t="s">
        <v>8431</v>
      </c>
      <c r="C1564" t="s">
        <v>8431</v>
      </c>
      <c r="D1564">
        <v>5.5</v>
      </c>
      <c r="E1564">
        <f t="shared" si="24"/>
        <v>17</v>
      </c>
      <c r="F1564" t="s">
        <v>821</v>
      </c>
      <c r="G1564">
        <v>1</v>
      </c>
    </row>
    <row r="1565" spans="1:7">
      <c r="A1565">
        <v>5.5</v>
      </c>
      <c r="B1565" t="s">
        <v>7707</v>
      </c>
      <c r="C1565" t="s">
        <v>7707</v>
      </c>
      <c r="D1565">
        <v>5.5</v>
      </c>
      <c r="E1565">
        <f t="shared" si="24"/>
        <v>17</v>
      </c>
      <c r="F1565" t="s">
        <v>821</v>
      </c>
      <c r="G1565">
        <v>1</v>
      </c>
    </row>
    <row r="1566" spans="1:7">
      <c r="A1566">
        <v>5.5</v>
      </c>
      <c r="B1566" t="s">
        <v>9035</v>
      </c>
      <c r="C1566" t="s">
        <v>9035</v>
      </c>
      <c r="D1566">
        <v>5.5</v>
      </c>
      <c r="E1566">
        <f t="shared" si="24"/>
        <v>17</v>
      </c>
      <c r="F1566" t="s">
        <v>821</v>
      </c>
      <c r="G1566">
        <v>1</v>
      </c>
    </row>
    <row r="1567" spans="1:7">
      <c r="A1567">
        <v>5.5</v>
      </c>
      <c r="B1567" t="s">
        <v>8056</v>
      </c>
      <c r="C1567" t="s">
        <v>8056</v>
      </c>
      <c r="D1567">
        <v>5.5</v>
      </c>
      <c r="E1567">
        <f t="shared" si="24"/>
        <v>17</v>
      </c>
      <c r="F1567" t="s">
        <v>821</v>
      </c>
      <c r="G1567">
        <v>1</v>
      </c>
    </row>
    <row r="1568" spans="1:7">
      <c r="A1568">
        <v>5.5</v>
      </c>
      <c r="B1568" t="s">
        <v>8119</v>
      </c>
      <c r="C1568" t="s">
        <v>8119</v>
      </c>
      <c r="D1568">
        <v>5.5</v>
      </c>
      <c r="E1568">
        <f t="shared" si="24"/>
        <v>17</v>
      </c>
      <c r="F1568" t="s">
        <v>821</v>
      </c>
      <c r="G1568">
        <v>1</v>
      </c>
    </row>
    <row r="1569" spans="1:7">
      <c r="A1569">
        <v>5.5</v>
      </c>
      <c r="B1569" t="s">
        <v>8985</v>
      </c>
      <c r="C1569" t="s">
        <v>8985</v>
      </c>
      <c r="D1569">
        <v>5.5</v>
      </c>
      <c r="E1569">
        <f t="shared" si="24"/>
        <v>17</v>
      </c>
      <c r="F1569" t="s">
        <v>821</v>
      </c>
      <c r="G1569">
        <v>1</v>
      </c>
    </row>
    <row r="1570" spans="1:7">
      <c r="A1570">
        <v>5.5</v>
      </c>
      <c r="B1570" t="s">
        <v>9473</v>
      </c>
      <c r="C1570" t="s">
        <v>9473</v>
      </c>
      <c r="D1570">
        <v>5.5</v>
      </c>
      <c r="E1570">
        <f t="shared" si="24"/>
        <v>17</v>
      </c>
      <c r="F1570" t="s">
        <v>821</v>
      </c>
      <c r="G1570">
        <v>1</v>
      </c>
    </row>
    <row r="1571" spans="1:7">
      <c r="A1571">
        <v>5.5</v>
      </c>
      <c r="B1571" t="s">
        <v>9423</v>
      </c>
      <c r="C1571" t="s">
        <v>9423</v>
      </c>
      <c r="D1571">
        <v>5.5</v>
      </c>
      <c r="E1571">
        <f t="shared" si="24"/>
        <v>17</v>
      </c>
      <c r="F1571" t="s">
        <v>821</v>
      </c>
      <c r="G1571">
        <v>1</v>
      </c>
    </row>
    <row r="1572" spans="1:7">
      <c r="A1572">
        <v>5.5</v>
      </c>
      <c r="B1572" t="s">
        <v>8678</v>
      </c>
      <c r="C1572" t="s">
        <v>8678</v>
      </c>
      <c r="D1572">
        <v>5.5</v>
      </c>
      <c r="E1572">
        <f t="shared" si="24"/>
        <v>17</v>
      </c>
      <c r="F1572" t="s">
        <v>821</v>
      </c>
      <c r="G1572">
        <v>1</v>
      </c>
    </row>
    <row r="1573" spans="1:7">
      <c r="A1573">
        <v>5.5</v>
      </c>
      <c r="B1573" t="s">
        <v>8945</v>
      </c>
      <c r="C1573" t="s">
        <v>8945</v>
      </c>
      <c r="D1573">
        <v>5.5</v>
      </c>
      <c r="E1573">
        <f t="shared" si="24"/>
        <v>17</v>
      </c>
      <c r="F1573" t="s">
        <v>821</v>
      </c>
      <c r="G1573">
        <v>1</v>
      </c>
    </row>
    <row r="1574" spans="1:7">
      <c r="A1574">
        <v>5.5</v>
      </c>
      <c r="B1574" t="s">
        <v>7701</v>
      </c>
      <c r="C1574" t="s">
        <v>7701</v>
      </c>
      <c r="D1574">
        <v>5.5</v>
      </c>
      <c r="E1574">
        <f t="shared" si="24"/>
        <v>17</v>
      </c>
      <c r="F1574" t="s">
        <v>821</v>
      </c>
      <c r="G1574">
        <v>1</v>
      </c>
    </row>
    <row r="1575" spans="1:7">
      <c r="A1575">
        <v>5.5</v>
      </c>
      <c r="B1575" t="s">
        <v>1258</v>
      </c>
      <c r="C1575" t="s">
        <v>1258</v>
      </c>
      <c r="D1575">
        <v>5.5</v>
      </c>
      <c r="E1575">
        <f t="shared" si="24"/>
        <v>17</v>
      </c>
      <c r="F1575" t="s">
        <v>821</v>
      </c>
      <c r="G1575">
        <v>1</v>
      </c>
    </row>
    <row r="1576" spans="1:7">
      <c r="A1576">
        <v>5.5</v>
      </c>
      <c r="B1576" t="s">
        <v>7179</v>
      </c>
      <c r="C1576" t="s">
        <v>7179</v>
      </c>
      <c r="D1576">
        <v>5.5</v>
      </c>
      <c r="E1576">
        <f t="shared" si="24"/>
        <v>16</v>
      </c>
      <c r="F1576" t="s">
        <v>821</v>
      </c>
      <c r="G1576">
        <v>1</v>
      </c>
    </row>
    <row r="1577" spans="1:7">
      <c r="A1577">
        <v>5.5</v>
      </c>
      <c r="B1577" t="s">
        <v>8963</v>
      </c>
      <c r="C1577" t="s">
        <v>8963</v>
      </c>
      <c r="D1577">
        <v>5.5</v>
      </c>
      <c r="E1577">
        <f t="shared" si="24"/>
        <v>16</v>
      </c>
      <c r="F1577" t="s">
        <v>821</v>
      </c>
      <c r="G1577">
        <v>1</v>
      </c>
    </row>
    <row r="1578" spans="1:7" ht="18.649999999999999" customHeight="1">
      <c r="A1578">
        <v>5.5</v>
      </c>
      <c r="B1578" t="s">
        <v>9018</v>
      </c>
      <c r="C1578" t="s">
        <v>9018</v>
      </c>
      <c r="D1578">
        <v>5.5</v>
      </c>
      <c r="E1578">
        <f t="shared" si="24"/>
        <v>16</v>
      </c>
      <c r="G1578">
        <v>1</v>
      </c>
    </row>
    <row r="1579" spans="1:7">
      <c r="A1579">
        <v>5.5</v>
      </c>
      <c r="B1579" t="s">
        <v>7533</v>
      </c>
      <c r="C1579" t="s">
        <v>7533</v>
      </c>
      <c r="D1579">
        <v>5.5</v>
      </c>
      <c r="E1579">
        <f t="shared" si="24"/>
        <v>16</v>
      </c>
      <c r="G1579">
        <v>1</v>
      </c>
    </row>
    <row r="1580" spans="1:7">
      <c r="A1580">
        <v>5.5</v>
      </c>
      <c r="B1580" t="s">
        <v>8004</v>
      </c>
      <c r="C1580" t="s">
        <v>8004</v>
      </c>
      <c r="D1580">
        <v>5.5</v>
      </c>
      <c r="E1580">
        <f t="shared" si="24"/>
        <v>16</v>
      </c>
      <c r="G1580">
        <v>1</v>
      </c>
    </row>
    <row r="1581" spans="1:7">
      <c r="A1581">
        <v>5.5</v>
      </c>
      <c r="B1581" t="s">
        <v>8189</v>
      </c>
      <c r="C1581" t="s">
        <v>8189</v>
      </c>
      <c r="D1581">
        <v>5.5</v>
      </c>
      <c r="E1581">
        <f t="shared" si="24"/>
        <v>16</v>
      </c>
      <c r="G1581">
        <v>1</v>
      </c>
    </row>
    <row r="1582" spans="1:7">
      <c r="A1582">
        <v>5.5</v>
      </c>
      <c r="B1582" t="s">
        <v>8467</v>
      </c>
      <c r="C1582" t="s">
        <v>8467</v>
      </c>
      <c r="D1582">
        <v>5.5</v>
      </c>
      <c r="E1582">
        <f t="shared" si="24"/>
        <v>16</v>
      </c>
      <c r="G1582">
        <v>1</v>
      </c>
    </row>
    <row r="1583" spans="1:7">
      <c r="A1583">
        <v>5.5</v>
      </c>
      <c r="B1583" t="s">
        <v>8704</v>
      </c>
      <c r="C1583" t="s">
        <v>8704</v>
      </c>
      <c r="D1583">
        <v>5.5</v>
      </c>
      <c r="E1583">
        <f t="shared" si="24"/>
        <v>16</v>
      </c>
      <c r="G1583">
        <v>1</v>
      </c>
    </row>
    <row r="1584" spans="1:7">
      <c r="A1584">
        <v>5.5</v>
      </c>
      <c r="B1584" t="s">
        <v>8662</v>
      </c>
      <c r="C1584" t="s">
        <v>8662</v>
      </c>
      <c r="D1584">
        <v>5.5</v>
      </c>
      <c r="E1584">
        <f t="shared" si="24"/>
        <v>16</v>
      </c>
      <c r="G1584">
        <v>1</v>
      </c>
    </row>
    <row r="1585" spans="1:7">
      <c r="A1585">
        <v>5.5</v>
      </c>
      <c r="B1585" t="s">
        <v>8981</v>
      </c>
      <c r="C1585" t="s">
        <v>8981</v>
      </c>
      <c r="D1585">
        <v>5.5</v>
      </c>
      <c r="E1585">
        <f t="shared" si="24"/>
        <v>16</v>
      </c>
      <c r="G1585">
        <v>1</v>
      </c>
    </row>
    <row r="1586" spans="1:7">
      <c r="A1586">
        <v>5.5</v>
      </c>
      <c r="B1586" t="s">
        <v>8849</v>
      </c>
      <c r="C1586" t="s">
        <v>8849</v>
      </c>
      <c r="D1586">
        <v>5.5</v>
      </c>
      <c r="E1586">
        <f t="shared" si="24"/>
        <v>16</v>
      </c>
      <c r="G1586">
        <v>1</v>
      </c>
    </row>
    <row r="1587" spans="1:7">
      <c r="A1587">
        <v>5.5</v>
      </c>
      <c r="B1587" t="s">
        <v>8873</v>
      </c>
      <c r="C1587" t="s">
        <v>8873</v>
      </c>
      <c r="D1587">
        <v>5.5</v>
      </c>
      <c r="E1587">
        <f t="shared" si="24"/>
        <v>16</v>
      </c>
      <c r="G1587">
        <v>1</v>
      </c>
    </row>
    <row r="1588" spans="1:7">
      <c r="A1588">
        <v>5.5</v>
      </c>
      <c r="B1588" t="s">
        <v>8939</v>
      </c>
      <c r="C1588" t="s">
        <v>8939</v>
      </c>
      <c r="D1588">
        <v>5.5</v>
      </c>
      <c r="E1588">
        <f t="shared" si="24"/>
        <v>16</v>
      </c>
      <c r="G1588">
        <v>1</v>
      </c>
    </row>
    <row r="1589" spans="1:7">
      <c r="A1589">
        <v>5.5</v>
      </c>
      <c r="B1589" t="s">
        <v>8965</v>
      </c>
      <c r="C1589" t="s">
        <v>8965</v>
      </c>
      <c r="D1589">
        <v>5.5</v>
      </c>
      <c r="E1589">
        <f t="shared" si="24"/>
        <v>16</v>
      </c>
      <c r="G1589">
        <v>1</v>
      </c>
    </row>
    <row r="1590" spans="1:7">
      <c r="A1590">
        <v>5.5</v>
      </c>
      <c r="B1590" t="s">
        <v>8006</v>
      </c>
      <c r="C1590" t="s">
        <v>8006</v>
      </c>
      <c r="D1590">
        <v>5.5</v>
      </c>
      <c r="E1590">
        <f t="shared" si="24"/>
        <v>16</v>
      </c>
      <c r="G1590">
        <v>1</v>
      </c>
    </row>
    <row r="1591" spans="1:7">
      <c r="A1591">
        <v>5.5</v>
      </c>
      <c r="B1591" t="s">
        <v>8000</v>
      </c>
      <c r="C1591" t="s">
        <v>8000</v>
      </c>
      <c r="D1591">
        <v>5.5</v>
      </c>
      <c r="E1591">
        <f t="shared" si="24"/>
        <v>16</v>
      </c>
      <c r="G1591">
        <v>1</v>
      </c>
    </row>
    <row r="1592" spans="1:7">
      <c r="A1592">
        <v>5.5</v>
      </c>
      <c r="B1592" t="s">
        <v>7452</v>
      </c>
      <c r="C1592" t="s">
        <v>7452</v>
      </c>
      <c r="D1592">
        <v>5.5</v>
      </c>
      <c r="E1592">
        <f t="shared" si="24"/>
        <v>16</v>
      </c>
      <c r="G1592">
        <v>1</v>
      </c>
    </row>
    <row r="1593" spans="1:7">
      <c r="A1593">
        <v>5.5</v>
      </c>
      <c r="B1593" t="s">
        <v>8058</v>
      </c>
      <c r="C1593" t="s">
        <v>8058</v>
      </c>
      <c r="D1593">
        <v>5.5</v>
      </c>
      <c r="E1593">
        <f t="shared" si="24"/>
        <v>16</v>
      </c>
      <c r="G1593">
        <v>1</v>
      </c>
    </row>
    <row r="1594" spans="1:7">
      <c r="A1594">
        <v>5.5</v>
      </c>
      <c r="B1594" t="s">
        <v>8987</v>
      </c>
      <c r="C1594" t="s">
        <v>8987</v>
      </c>
      <c r="D1594">
        <v>5.5</v>
      </c>
      <c r="E1594">
        <f t="shared" si="24"/>
        <v>16</v>
      </c>
      <c r="G1594">
        <v>1</v>
      </c>
    </row>
    <row r="1595" spans="1:7">
      <c r="A1595">
        <v>5.5</v>
      </c>
      <c r="B1595" t="s">
        <v>8608</v>
      </c>
      <c r="C1595" t="s">
        <v>8608</v>
      </c>
      <c r="D1595">
        <v>5.5</v>
      </c>
      <c r="E1595">
        <f t="shared" si="24"/>
        <v>16</v>
      </c>
      <c r="G1595">
        <v>1</v>
      </c>
    </row>
    <row r="1596" spans="1:7">
      <c r="A1596">
        <v>5.5</v>
      </c>
      <c r="B1596" t="s">
        <v>9242</v>
      </c>
      <c r="C1596" t="s">
        <v>9242</v>
      </c>
      <c r="D1596">
        <v>5.5</v>
      </c>
      <c r="E1596">
        <f t="shared" si="24"/>
        <v>16</v>
      </c>
      <c r="G1596">
        <v>1</v>
      </c>
    </row>
    <row r="1597" spans="1:7">
      <c r="A1597">
        <v>5.5</v>
      </c>
      <c r="B1597" t="s">
        <v>8202</v>
      </c>
      <c r="C1597" t="s">
        <v>8202</v>
      </c>
      <c r="D1597">
        <v>5.5</v>
      </c>
      <c r="E1597">
        <f t="shared" si="24"/>
        <v>16</v>
      </c>
      <c r="G1597">
        <v>1</v>
      </c>
    </row>
    <row r="1598" spans="1:7">
      <c r="A1598">
        <v>5.5</v>
      </c>
      <c r="B1598" t="s">
        <v>8519</v>
      </c>
      <c r="C1598" t="s">
        <v>8519</v>
      </c>
      <c r="D1598">
        <v>5.5</v>
      </c>
      <c r="E1598">
        <f t="shared" si="24"/>
        <v>16</v>
      </c>
      <c r="G1598">
        <v>1</v>
      </c>
    </row>
    <row r="1599" spans="1:7">
      <c r="A1599">
        <v>5.5</v>
      </c>
      <c r="B1599" t="s">
        <v>9521</v>
      </c>
      <c r="C1599" t="s">
        <v>9521</v>
      </c>
      <c r="D1599">
        <v>5.5</v>
      </c>
      <c r="E1599">
        <f t="shared" si="24"/>
        <v>16</v>
      </c>
      <c r="G1599">
        <v>1</v>
      </c>
    </row>
    <row r="1600" spans="1:7">
      <c r="A1600">
        <v>5.5</v>
      </c>
      <c r="B1600" t="s">
        <v>7896</v>
      </c>
      <c r="C1600" t="s">
        <v>7896</v>
      </c>
      <c r="D1600">
        <v>5.5</v>
      </c>
      <c r="E1600">
        <f t="shared" si="24"/>
        <v>16</v>
      </c>
      <c r="G1600">
        <v>1</v>
      </c>
    </row>
    <row r="1601" spans="1:7">
      <c r="A1601">
        <v>5.5</v>
      </c>
      <c r="B1601" t="s">
        <v>7973</v>
      </c>
      <c r="C1601" t="s">
        <v>7973</v>
      </c>
      <c r="D1601">
        <v>5.5</v>
      </c>
      <c r="E1601">
        <f t="shared" si="24"/>
        <v>16</v>
      </c>
      <c r="G1601">
        <v>1</v>
      </c>
    </row>
    <row r="1602" spans="1:7">
      <c r="A1602">
        <v>5.5</v>
      </c>
      <c r="B1602" t="s">
        <v>8720</v>
      </c>
      <c r="C1602" t="s">
        <v>8720</v>
      </c>
      <c r="D1602">
        <v>5.5</v>
      </c>
      <c r="E1602">
        <f t="shared" ref="E1602:E1665" si="25">LEN(B1602)</f>
        <v>16</v>
      </c>
      <c r="G1602">
        <v>1</v>
      </c>
    </row>
    <row r="1603" spans="1:7">
      <c r="A1603">
        <v>5.5</v>
      </c>
      <c r="B1603" t="s">
        <v>10011</v>
      </c>
      <c r="C1603" t="s">
        <v>10011</v>
      </c>
      <c r="D1603">
        <v>5.5</v>
      </c>
      <c r="E1603">
        <f t="shared" si="25"/>
        <v>16</v>
      </c>
      <c r="G1603">
        <v>1</v>
      </c>
    </row>
    <row r="1604" spans="1:7">
      <c r="A1604">
        <v>5.5</v>
      </c>
      <c r="B1604" t="s">
        <v>7925</v>
      </c>
      <c r="C1604" t="s">
        <v>7925</v>
      </c>
      <c r="D1604">
        <v>5.5</v>
      </c>
      <c r="E1604">
        <f t="shared" si="25"/>
        <v>16</v>
      </c>
      <c r="G1604">
        <v>1</v>
      </c>
    </row>
    <row r="1605" spans="1:7">
      <c r="A1605">
        <v>5.5</v>
      </c>
      <c r="B1605" t="s">
        <v>7688</v>
      </c>
      <c r="C1605" t="s">
        <v>7688</v>
      </c>
      <c r="D1605">
        <v>5.5</v>
      </c>
      <c r="E1605">
        <f t="shared" si="25"/>
        <v>16</v>
      </c>
      <c r="G1605">
        <v>1</v>
      </c>
    </row>
    <row r="1606" spans="1:7">
      <c r="A1606">
        <v>5.5</v>
      </c>
      <c r="B1606" t="s">
        <v>7765</v>
      </c>
      <c r="C1606" t="s">
        <v>7765</v>
      </c>
      <c r="D1606">
        <v>5.5</v>
      </c>
      <c r="E1606">
        <f t="shared" si="25"/>
        <v>16</v>
      </c>
      <c r="G1606">
        <v>1</v>
      </c>
    </row>
    <row r="1607" spans="1:7">
      <c r="A1607">
        <v>5.5</v>
      </c>
      <c r="B1607" t="s">
        <v>1151</v>
      </c>
      <c r="C1607" t="s">
        <v>1151</v>
      </c>
      <c r="D1607">
        <v>5.5</v>
      </c>
      <c r="E1607">
        <f t="shared" si="25"/>
        <v>16</v>
      </c>
      <c r="G1607">
        <v>1</v>
      </c>
    </row>
    <row r="1608" spans="1:7">
      <c r="A1608">
        <v>5.5</v>
      </c>
      <c r="B1608" t="s">
        <v>1105</v>
      </c>
      <c r="C1608" t="s">
        <v>1105</v>
      </c>
      <c r="D1608">
        <v>5.5</v>
      </c>
      <c r="E1608">
        <f t="shared" si="25"/>
        <v>16</v>
      </c>
      <c r="G1608">
        <v>1</v>
      </c>
    </row>
    <row r="1609" spans="1:7">
      <c r="A1609">
        <v>5.5</v>
      </c>
      <c r="B1609" t="s">
        <v>5564</v>
      </c>
      <c r="C1609" t="s">
        <v>5564</v>
      </c>
      <c r="D1609">
        <v>5.5</v>
      </c>
      <c r="E1609">
        <f t="shared" si="25"/>
        <v>16</v>
      </c>
      <c r="G1609">
        <v>1</v>
      </c>
    </row>
    <row r="1610" spans="1:7">
      <c r="A1610">
        <v>5.5</v>
      </c>
      <c r="B1610" t="s">
        <v>1929</v>
      </c>
      <c r="C1610" t="s">
        <v>1929</v>
      </c>
      <c r="D1610">
        <v>5.5</v>
      </c>
      <c r="E1610">
        <f t="shared" si="25"/>
        <v>16</v>
      </c>
      <c r="G1610">
        <v>1</v>
      </c>
    </row>
    <row r="1611" spans="1:7">
      <c r="A1611">
        <v>5.5</v>
      </c>
      <c r="B1611" t="s">
        <v>7238</v>
      </c>
      <c r="C1611" t="s">
        <v>7238</v>
      </c>
      <c r="D1611">
        <v>5.5</v>
      </c>
      <c r="E1611">
        <f t="shared" si="25"/>
        <v>15</v>
      </c>
      <c r="G1611">
        <v>1</v>
      </c>
    </row>
    <row r="1612" spans="1:7">
      <c r="A1612">
        <v>5.5</v>
      </c>
      <c r="B1612" t="s">
        <v>7518</v>
      </c>
      <c r="C1612" t="s">
        <v>7518</v>
      </c>
      <c r="D1612">
        <v>5.5</v>
      </c>
      <c r="E1612">
        <f t="shared" si="25"/>
        <v>15</v>
      </c>
      <c r="F1612" t="s">
        <v>821</v>
      </c>
      <c r="G1612">
        <v>1</v>
      </c>
    </row>
    <row r="1613" spans="1:7">
      <c r="A1613">
        <v>5.5</v>
      </c>
      <c r="B1613" t="s">
        <v>8407</v>
      </c>
      <c r="C1613" t="s">
        <v>8407</v>
      </c>
      <c r="D1613">
        <v>5.5</v>
      </c>
      <c r="E1613">
        <f t="shared" si="25"/>
        <v>15</v>
      </c>
      <c r="G1613">
        <v>1</v>
      </c>
    </row>
    <row r="1614" spans="1:7">
      <c r="A1614">
        <v>5.5</v>
      </c>
      <c r="B1614" t="s">
        <v>7558</v>
      </c>
      <c r="C1614" t="s">
        <v>7558</v>
      </c>
      <c r="D1614">
        <v>5.5</v>
      </c>
      <c r="E1614">
        <f t="shared" si="25"/>
        <v>15</v>
      </c>
      <c r="G1614">
        <v>1</v>
      </c>
    </row>
    <row r="1615" spans="1:7">
      <c r="A1615">
        <v>5.5</v>
      </c>
      <c r="B1615" t="s">
        <v>10012</v>
      </c>
      <c r="C1615" t="s">
        <v>10012</v>
      </c>
      <c r="D1615">
        <v>5.5</v>
      </c>
      <c r="E1615">
        <f t="shared" si="25"/>
        <v>15</v>
      </c>
      <c r="G1615">
        <v>1</v>
      </c>
    </row>
    <row r="1616" spans="1:7">
      <c r="A1616">
        <v>5.5</v>
      </c>
      <c r="B1616" t="s">
        <v>7989</v>
      </c>
      <c r="C1616" t="s">
        <v>7989</v>
      </c>
      <c r="D1616">
        <v>5.5</v>
      </c>
      <c r="E1616">
        <f t="shared" si="25"/>
        <v>15</v>
      </c>
      <c r="G1616">
        <v>1</v>
      </c>
    </row>
    <row r="1617" spans="1:7">
      <c r="A1617">
        <v>5.5</v>
      </c>
      <c r="B1617" t="s">
        <v>9992</v>
      </c>
      <c r="C1617" t="s">
        <v>9992</v>
      </c>
      <c r="D1617">
        <v>5.5</v>
      </c>
      <c r="E1617">
        <f t="shared" si="25"/>
        <v>15</v>
      </c>
      <c r="G1617">
        <v>1</v>
      </c>
    </row>
    <row r="1618" spans="1:7">
      <c r="A1618">
        <v>5.5</v>
      </c>
      <c r="B1618" t="s">
        <v>7579</v>
      </c>
      <c r="C1618" t="s">
        <v>7579</v>
      </c>
      <c r="D1618">
        <v>5.5</v>
      </c>
      <c r="E1618">
        <f t="shared" si="25"/>
        <v>15</v>
      </c>
      <c r="G1618">
        <v>1</v>
      </c>
    </row>
    <row r="1619" spans="1:7">
      <c r="A1619">
        <v>5.5</v>
      </c>
      <c r="B1619" t="s">
        <v>8666</v>
      </c>
      <c r="C1619" t="s">
        <v>8666</v>
      </c>
      <c r="D1619">
        <v>5.5</v>
      </c>
      <c r="E1619">
        <f t="shared" si="25"/>
        <v>15</v>
      </c>
      <c r="G1619">
        <v>1</v>
      </c>
    </row>
    <row r="1620" spans="1:7">
      <c r="A1620">
        <v>5.5</v>
      </c>
      <c r="B1620" t="s">
        <v>9045</v>
      </c>
      <c r="C1620" t="s">
        <v>9045</v>
      </c>
      <c r="D1620">
        <v>5.5</v>
      </c>
      <c r="E1620">
        <f t="shared" si="25"/>
        <v>15</v>
      </c>
      <c r="G1620">
        <v>1</v>
      </c>
    </row>
    <row r="1621" spans="1:7">
      <c r="A1621">
        <v>5.5</v>
      </c>
      <c r="B1621" t="s">
        <v>9386</v>
      </c>
      <c r="C1621" t="s">
        <v>9386</v>
      </c>
      <c r="D1621">
        <v>5.5</v>
      </c>
      <c r="E1621">
        <f t="shared" si="25"/>
        <v>15</v>
      </c>
      <c r="G1621">
        <v>1</v>
      </c>
    </row>
    <row r="1622" spans="1:7">
      <c r="A1622">
        <v>5.5</v>
      </c>
      <c r="B1622" t="s">
        <v>8770</v>
      </c>
      <c r="C1622" t="s">
        <v>8770</v>
      </c>
      <c r="D1622">
        <v>5.5</v>
      </c>
      <c r="E1622">
        <f t="shared" si="25"/>
        <v>15</v>
      </c>
      <c r="G1622">
        <v>1</v>
      </c>
    </row>
    <row r="1623" spans="1:7">
      <c r="A1623">
        <v>5.5</v>
      </c>
      <c r="B1623" t="s">
        <v>8476</v>
      </c>
      <c r="C1623" t="s">
        <v>8476</v>
      </c>
      <c r="D1623">
        <v>5.5</v>
      </c>
      <c r="E1623">
        <f t="shared" si="25"/>
        <v>15</v>
      </c>
      <c r="G1623">
        <v>1</v>
      </c>
    </row>
    <row r="1624" spans="1:7">
      <c r="A1624">
        <v>5.5</v>
      </c>
      <c r="B1624" t="s">
        <v>7995</v>
      </c>
      <c r="C1624" t="s">
        <v>7995</v>
      </c>
      <c r="D1624">
        <v>5.5</v>
      </c>
      <c r="E1624">
        <f t="shared" si="25"/>
        <v>15</v>
      </c>
      <c r="G1624">
        <v>1</v>
      </c>
    </row>
    <row r="1625" spans="1:7">
      <c r="A1625">
        <v>5.5</v>
      </c>
      <c r="B1625" t="s">
        <v>8076</v>
      </c>
      <c r="C1625" t="s">
        <v>8076</v>
      </c>
      <c r="D1625">
        <v>5.5</v>
      </c>
      <c r="E1625">
        <f t="shared" si="25"/>
        <v>15</v>
      </c>
      <c r="G1625">
        <v>1</v>
      </c>
    </row>
    <row r="1626" spans="1:7">
      <c r="A1626">
        <v>5.5</v>
      </c>
      <c r="B1626" t="s">
        <v>8234</v>
      </c>
      <c r="C1626" t="s">
        <v>8234</v>
      </c>
      <c r="D1626">
        <v>5.5</v>
      </c>
      <c r="E1626">
        <f t="shared" si="25"/>
        <v>15</v>
      </c>
      <c r="G1626">
        <v>1</v>
      </c>
    </row>
    <row r="1627" spans="1:7">
      <c r="A1627">
        <v>5.5</v>
      </c>
      <c r="B1627" t="s">
        <v>7663</v>
      </c>
      <c r="C1627" t="s">
        <v>7663</v>
      </c>
      <c r="D1627">
        <v>5.5</v>
      </c>
      <c r="E1627">
        <f t="shared" si="25"/>
        <v>15</v>
      </c>
      <c r="G1627">
        <v>1</v>
      </c>
    </row>
    <row r="1628" spans="1:7">
      <c r="A1628">
        <v>5.5</v>
      </c>
      <c r="B1628" t="s">
        <v>8935</v>
      </c>
      <c r="C1628" t="s">
        <v>8935</v>
      </c>
      <c r="D1628">
        <v>5.5</v>
      </c>
      <c r="E1628">
        <f t="shared" si="25"/>
        <v>15</v>
      </c>
      <c r="G1628">
        <v>1</v>
      </c>
    </row>
    <row r="1629" spans="1:7">
      <c r="A1629">
        <v>5.5</v>
      </c>
      <c r="B1629" t="s">
        <v>8198</v>
      </c>
      <c r="C1629" t="s">
        <v>8198</v>
      </c>
      <c r="D1629">
        <v>5.5</v>
      </c>
      <c r="E1629">
        <f t="shared" si="25"/>
        <v>15</v>
      </c>
      <c r="G1629">
        <v>1</v>
      </c>
    </row>
    <row r="1630" spans="1:7">
      <c r="A1630">
        <v>5.5</v>
      </c>
      <c r="B1630" t="s">
        <v>8469</v>
      </c>
      <c r="C1630" t="s">
        <v>8469</v>
      </c>
      <c r="D1630">
        <v>5.5</v>
      </c>
      <c r="E1630">
        <f t="shared" si="25"/>
        <v>15</v>
      </c>
      <c r="G1630">
        <v>1</v>
      </c>
    </row>
    <row r="1631" spans="1:7">
      <c r="A1631">
        <v>5.5</v>
      </c>
      <c r="B1631" t="s">
        <v>8390</v>
      </c>
      <c r="C1631" t="s">
        <v>8390</v>
      </c>
      <c r="D1631">
        <v>5.5</v>
      </c>
      <c r="E1631">
        <f t="shared" si="25"/>
        <v>15</v>
      </c>
      <c r="G1631">
        <v>1</v>
      </c>
    </row>
    <row r="1632" spans="1:7">
      <c r="A1632">
        <v>5.5</v>
      </c>
      <c r="B1632" t="s">
        <v>7577</v>
      </c>
      <c r="C1632" t="s">
        <v>7577</v>
      </c>
      <c r="D1632">
        <v>5.5</v>
      </c>
      <c r="E1632">
        <f t="shared" si="25"/>
        <v>15</v>
      </c>
      <c r="G1632">
        <v>1</v>
      </c>
    </row>
    <row r="1633" spans="1:7">
      <c r="A1633">
        <v>5.5</v>
      </c>
      <c r="B1633" t="s">
        <v>9413</v>
      </c>
      <c r="C1633" t="s">
        <v>9413</v>
      </c>
      <c r="D1633">
        <v>5.5</v>
      </c>
      <c r="E1633">
        <f t="shared" si="25"/>
        <v>15</v>
      </c>
      <c r="G1633">
        <v>1</v>
      </c>
    </row>
    <row r="1634" spans="1:7">
      <c r="A1634">
        <v>5.5</v>
      </c>
      <c r="B1634" t="s">
        <v>7450</v>
      </c>
      <c r="C1634" t="s">
        <v>7450</v>
      </c>
      <c r="D1634">
        <v>5.5</v>
      </c>
      <c r="E1634">
        <f t="shared" si="25"/>
        <v>15</v>
      </c>
      <c r="G1634">
        <v>1</v>
      </c>
    </row>
    <row r="1635" spans="1:7">
      <c r="A1635">
        <v>5.5</v>
      </c>
      <c r="B1635" t="s">
        <v>9037</v>
      </c>
      <c r="C1635" t="s">
        <v>9037</v>
      </c>
      <c r="D1635">
        <v>5.5</v>
      </c>
      <c r="E1635">
        <f t="shared" si="25"/>
        <v>15</v>
      </c>
      <c r="G1635">
        <v>1</v>
      </c>
    </row>
    <row r="1636" spans="1:7">
      <c r="A1636">
        <v>5.5</v>
      </c>
      <c r="B1636" t="s">
        <v>8828</v>
      </c>
      <c r="C1636" t="s">
        <v>8828</v>
      </c>
      <c r="D1636">
        <v>5.5</v>
      </c>
      <c r="E1636">
        <f t="shared" si="25"/>
        <v>15</v>
      </c>
      <c r="G1636">
        <v>1</v>
      </c>
    </row>
    <row r="1637" spans="1:7">
      <c r="A1637">
        <v>5.5</v>
      </c>
      <c r="B1637" t="s">
        <v>9879</v>
      </c>
      <c r="C1637" t="s">
        <v>9879</v>
      </c>
      <c r="D1637">
        <v>5.5</v>
      </c>
      <c r="E1637">
        <f t="shared" si="25"/>
        <v>15</v>
      </c>
      <c r="G1637">
        <v>1</v>
      </c>
    </row>
    <row r="1638" spans="1:7">
      <c r="A1638">
        <v>5.5</v>
      </c>
      <c r="B1638" t="s">
        <v>8801</v>
      </c>
      <c r="C1638" t="s">
        <v>8801</v>
      </c>
      <c r="D1638">
        <v>5.5</v>
      </c>
      <c r="E1638">
        <f t="shared" si="25"/>
        <v>15</v>
      </c>
      <c r="G1638">
        <v>1</v>
      </c>
    </row>
    <row r="1639" spans="1:7">
      <c r="A1639">
        <v>5.5</v>
      </c>
      <c r="B1639" t="s">
        <v>1166</v>
      </c>
      <c r="C1639" t="s">
        <v>1166</v>
      </c>
      <c r="D1639">
        <v>5.5</v>
      </c>
      <c r="E1639">
        <f t="shared" si="25"/>
        <v>15</v>
      </c>
      <c r="G1639">
        <v>1</v>
      </c>
    </row>
    <row r="1640" spans="1:7">
      <c r="A1640">
        <v>5.5</v>
      </c>
      <c r="B1640" t="s">
        <v>1832</v>
      </c>
      <c r="C1640" t="s">
        <v>1832</v>
      </c>
      <c r="D1640">
        <v>5.5</v>
      </c>
      <c r="E1640">
        <f t="shared" si="25"/>
        <v>15</v>
      </c>
      <c r="G1640">
        <v>1</v>
      </c>
    </row>
    <row r="1641" spans="1:7">
      <c r="A1641">
        <v>5.5</v>
      </c>
      <c r="B1641" t="s">
        <v>9191</v>
      </c>
      <c r="C1641" t="s">
        <v>9191</v>
      </c>
      <c r="D1641">
        <v>5.5</v>
      </c>
      <c r="E1641">
        <f t="shared" si="25"/>
        <v>15</v>
      </c>
      <c r="G1641">
        <v>1</v>
      </c>
    </row>
    <row r="1642" spans="1:7">
      <c r="A1642">
        <v>5.5</v>
      </c>
      <c r="B1642" t="s">
        <v>9351</v>
      </c>
      <c r="C1642" t="s">
        <v>9351</v>
      </c>
      <c r="D1642">
        <v>5.5</v>
      </c>
      <c r="E1642">
        <f t="shared" si="25"/>
        <v>15</v>
      </c>
      <c r="G1642">
        <v>1</v>
      </c>
    </row>
    <row r="1643" spans="1:7">
      <c r="A1643">
        <v>5.5</v>
      </c>
      <c r="B1643" t="s">
        <v>7164</v>
      </c>
      <c r="C1643" t="s">
        <v>7164</v>
      </c>
      <c r="D1643">
        <v>5.5</v>
      </c>
      <c r="E1643">
        <f t="shared" si="25"/>
        <v>14</v>
      </c>
      <c r="G1643">
        <v>1</v>
      </c>
    </row>
    <row r="1644" spans="1:7">
      <c r="A1644">
        <v>5.5</v>
      </c>
      <c r="B1644" t="s">
        <v>7200</v>
      </c>
      <c r="C1644" t="s">
        <v>7200</v>
      </c>
      <c r="D1644">
        <v>5.5</v>
      </c>
      <c r="E1644">
        <f t="shared" si="25"/>
        <v>14</v>
      </c>
      <c r="F1644" t="s">
        <v>821</v>
      </c>
      <c r="G1644">
        <v>1</v>
      </c>
    </row>
    <row r="1645" spans="1:7">
      <c r="A1645">
        <v>5.5</v>
      </c>
      <c r="B1645" t="s">
        <v>7273</v>
      </c>
      <c r="C1645" t="s">
        <v>7273</v>
      </c>
      <c r="D1645">
        <v>5.5</v>
      </c>
      <c r="E1645">
        <f t="shared" si="25"/>
        <v>14</v>
      </c>
      <c r="F1645" t="s">
        <v>821</v>
      </c>
      <c r="G1645">
        <v>1</v>
      </c>
    </row>
    <row r="1646" spans="1:7">
      <c r="A1646">
        <v>5.5</v>
      </c>
      <c r="B1646" t="s">
        <v>7306</v>
      </c>
      <c r="C1646" t="s">
        <v>7306</v>
      </c>
      <c r="D1646">
        <v>5.5</v>
      </c>
      <c r="E1646">
        <f t="shared" si="25"/>
        <v>14</v>
      </c>
      <c r="G1646">
        <v>1</v>
      </c>
    </row>
    <row r="1647" spans="1:7">
      <c r="A1647">
        <v>5.5</v>
      </c>
      <c r="B1647" t="s">
        <v>7985</v>
      </c>
      <c r="C1647" t="s">
        <v>7985</v>
      </c>
      <c r="D1647">
        <v>5.5</v>
      </c>
      <c r="E1647">
        <f t="shared" si="25"/>
        <v>14</v>
      </c>
      <c r="G1647">
        <v>1</v>
      </c>
    </row>
    <row r="1648" spans="1:7">
      <c r="A1648">
        <v>5.5</v>
      </c>
      <c r="B1648" t="s">
        <v>8147</v>
      </c>
      <c r="C1648" t="s">
        <v>8147</v>
      </c>
      <c r="D1648">
        <v>5.5</v>
      </c>
      <c r="E1648">
        <f t="shared" si="25"/>
        <v>14</v>
      </c>
      <c r="G1648">
        <v>1</v>
      </c>
    </row>
    <row r="1649" spans="1:7">
      <c r="A1649">
        <v>5.5</v>
      </c>
      <c r="B1649" t="s">
        <v>10001</v>
      </c>
      <c r="C1649" t="s">
        <v>10001</v>
      </c>
      <c r="D1649">
        <v>5.5</v>
      </c>
      <c r="E1649">
        <f t="shared" si="25"/>
        <v>14</v>
      </c>
      <c r="G1649">
        <v>1</v>
      </c>
    </row>
    <row r="1650" spans="1:7">
      <c r="A1650">
        <v>5.5</v>
      </c>
      <c r="B1650" t="s">
        <v>9215</v>
      </c>
      <c r="C1650" t="s">
        <v>9215</v>
      </c>
      <c r="D1650">
        <v>5.5</v>
      </c>
      <c r="E1650">
        <f t="shared" si="25"/>
        <v>14</v>
      </c>
      <c r="G1650">
        <v>1</v>
      </c>
    </row>
    <row r="1651" spans="1:7">
      <c r="A1651">
        <v>5.5</v>
      </c>
      <c r="B1651" t="s">
        <v>8748</v>
      </c>
      <c r="C1651" t="s">
        <v>8748</v>
      </c>
      <c r="D1651">
        <v>5.5</v>
      </c>
      <c r="E1651">
        <f t="shared" si="25"/>
        <v>14</v>
      </c>
      <c r="G1651">
        <v>1</v>
      </c>
    </row>
    <row r="1652" spans="1:7">
      <c r="A1652">
        <v>5.5</v>
      </c>
      <c r="B1652" t="s">
        <v>9330</v>
      </c>
      <c r="C1652" t="s">
        <v>9330</v>
      </c>
      <c r="D1652">
        <v>5.5</v>
      </c>
      <c r="E1652">
        <f t="shared" si="25"/>
        <v>14</v>
      </c>
      <c r="G1652">
        <v>1</v>
      </c>
    </row>
    <row r="1653" spans="1:7">
      <c r="A1653">
        <v>5.5</v>
      </c>
      <c r="B1653" t="s">
        <v>8540</v>
      </c>
      <c r="C1653" t="s">
        <v>8540</v>
      </c>
      <c r="D1653">
        <v>5.5</v>
      </c>
      <c r="E1653">
        <f t="shared" si="25"/>
        <v>14</v>
      </c>
      <c r="G1653">
        <v>1</v>
      </c>
    </row>
    <row r="1654" spans="1:7">
      <c r="A1654">
        <v>5.5</v>
      </c>
      <c r="B1654" t="s">
        <v>1387</v>
      </c>
      <c r="C1654" t="s">
        <v>1387</v>
      </c>
      <c r="D1654">
        <v>5.5</v>
      </c>
      <c r="E1654">
        <f t="shared" si="25"/>
        <v>14</v>
      </c>
      <c r="G1654">
        <v>1</v>
      </c>
    </row>
    <row r="1655" spans="1:7">
      <c r="A1655">
        <v>5.5</v>
      </c>
      <c r="B1655" t="s">
        <v>8125</v>
      </c>
      <c r="C1655" t="s">
        <v>8125</v>
      </c>
      <c r="D1655">
        <v>5.5</v>
      </c>
      <c r="E1655">
        <f t="shared" si="25"/>
        <v>14</v>
      </c>
      <c r="G1655">
        <v>1</v>
      </c>
    </row>
    <row r="1656" spans="1:7">
      <c r="A1656">
        <v>5.5</v>
      </c>
      <c r="B1656" t="s">
        <v>8526</v>
      </c>
      <c r="C1656" t="s">
        <v>8526</v>
      </c>
      <c r="D1656">
        <v>5.5</v>
      </c>
      <c r="E1656">
        <f t="shared" si="25"/>
        <v>14</v>
      </c>
      <c r="G1656">
        <v>1</v>
      </c>
    </row>
    <row r="1657" spans="1:7">
      <c r="A1657">
        <v>5.5</v>
      </c>
      <c r="B1657" t="s">
        <v>8612</v>
      </c>
      <c r="C1657" t="s">
        <v>8612</v>
      </c>
      <c r="D1657">
        <v>5.5</v>
      </c>
      <c r="E1657">
        <f t="shared" si="25"/>
        <v>14</v>
      </c>
      <c r="G1657">
        <v>1</v>
      </c>
    </row>
    <row r="1658" spans="1:7">
      <c r="A1658">
        <v>5.5</v>
      </c>
      <c r="B1658" t="s">
        <v>8480</v>
      </c>
      <c r="C1658" t="s">
        <v>8480</v>
      </c>
      <c r="D1658">
        <v>5.5</v>
      </c>
      <c r="E1658">
        <f t="shared" si="25"/>
        <v>14</v>
      </c>
      <c r="G1658">
        <v>1</v>
      </c>
    </row>
    <row r="1659" spans="1:7">
      <c r="A1659">
        <v>5.5</v>
      </c>
      <c r="B1659" t="s">
        <v>9132</v>
      </c>
      <c r="C1659" t="s">
        <v>9132</v>
      </c>
      <c r="D1659">
        <v>5.5</v>
      </c>
      <c r="E1659">
        <f t="shared" si="25"/>
        <v>14</v>
      </c>
      <c r="G1659">
        <v>1</v>
      </c>
    </row>
    <row r="1660" spans="1:7">
      <c r="A1660">
        <v>5.5</v>
      </c>
      <c r="B1660" t="s">
        <v>9449</v>
      </c>
      <c r="C1660" t="s">
        <v>9449</v>
      </c>
      <c r="D1660">
        <v>5.5</v>
      </c>
      <c r="E1660">
        <f t="shared" si="25"/>
        <v>14</v>
      </c>
      <c r="G1660">
        <v>1</v>
      </c>
    </row>
    <row r="1661" spans="1:7">
      <c r="A1661">
        <v>5.5</v>
      </c>
      <c r="B1661" t="s">
        <v>8668</v>
      </c>
      <c r="C1661" t="s">
        <v>8668</v>
      </c>
      <c r="D1661">
        <v>5.5</v>
      </c>
      <c r="E1661">
        <f t="shared" si="25"/>
        <v>14</v>
      </c>
      <c r="G1661">
        <v>1</v>
      </c>
    </row>
    <row r="1662" spans="1:7">
      <c r="A1662">
        <v>5.5</v>
      </c>
      <c r="B1662" t="s">
        <v>8724</v>
      </c>
      <c r="C1662" t="s">
        <v>8724</v>
      </c>
      <c r="D1662">
        <v>5.5</v>
      </c>
      <c r="E1662">
        <f t="shared" si="25"/>
        <v>14</v>
      </c>
      <c r="G1662">
        <v>1</v>
      </c>
    </row>
    <row r="1663" spans="1:7">
      <c r="A1663">
        <v>5.5</v>
      </c>
      <c r="B1663" t="s">
        <v>8672</v>
      </c>
      <c r="C1663" t="s">
        <v>8672</v>
      </c>
      <c r="D1663">
        <v>5.5</v>
      </c>
      <c r="E1663">
        <f t="shared" si="25"/>
        <v>14</v>
      </c>
      <c r="G1663">
        <v>1</v>
      </c>
    </row>
    <row r="1664" spans="1:7">
      <c r="A1664">
        <v>5.5</v>
      </c>
      <c r="B1664" t="s">
        <v>8697</v>
      </c>
      <c r="C1664" t="s">
        <v>8697</v>
      </c>
      <c r="D1664">
        <v>5.5</v>
      </c>
      <c r="E1664">
        <f t="shared" si="25"/>
        <v>14</v>
      </c>
      <c r="G1664">
        <v>1</v>
      </c>
    </row>
    <row r="1665" spans="1:7">
      <c r="A1665">
        <v>5.5</v>
      </c>
      <c r="B1665" t="s">
        <v>8099</v>
      </c>
      <c r="C1665" t="s">
        <v>8099</v>
      </c>
      <c r="D1665">
        <v>5.5</v>
      </c>
      <c r="E1665">
        <f t="shared" si="25"/>
        <v>14</v>
      </c>
      <c r="G1665">
        <v>1</v>
      </c>
    </row>
    <row r="1666" spans="1:7">
      <c r="A1666">
        <v>5.5</v>
      </c>
      <c r="B1666" t="s">
        <v>9113</v>
      </c>
      <c r="C1666" t="s">
        <v>9113</v>
      </c>
      <c r="D1666">
        <v>5.5</v>
      </c>
      <c r="E1666">
        <f t="shared" ref="E1666:E1729" si="26">LEN(B1666)</f>
        <v>14</v>
      </c>
      <c r="G1666">
        <v>1</v>
      </c>
    </row>
    <row r="1667" spans="1:7">
      <c r="A1667">
        <v>5.5</v>
      </c>
      <c r="B1667" t="s">
        <v>9278</v>
      </c>
      <c r="C1667" t="s">
        <v>9278</v>
      </c>
      <c r="D1667">
        <v>5.5</v>
      </c>
      <c r="E1667">
        <f t="shared" si="26"/>
        <v>14</v>
      </c>
      <c r="G1667">
        <v>1</v>
      </c>
    </row>
    <row r="1668" spans="1:7">
      <c r="A1668">
        <v>5.5</v>
      </c>
      <c r="B1668" t="s">
        <v>7969</v>
      </c>
      <c r="C1668" t="s">
        <v>7969</v>
      </c>
      <c r="D1668">
        <v>5.5</v>
      </c>
      <c r="E1668">
        <f t="shared" si="26"/>
        <v>14</v>
      </c>
      <c r="G1668">
        <v>1</v>
      </c>
    </row>
    <row r="1669" spans="1:7">
      <c r="A1669">
        <v>5.5</v>
      </c>
      <c r="B1669" t="s">
        <v>8353</v>
      </c>
      <c r="C1669" t="s">
        <v>8353</v>
      </c>
      <c r="D1669">
        <v>5.5</v>
      </c>
      <c r="E1669">
        <f t="shared" si="26"/>
        <v>14</v>
      </c>
      <c r="G1669">
        <v>1</v>
      </c>
    </row>
    <row r="1670" spans="1:7">
      <c r="A1670">
        <v>5.5</v>
      </c>
      <c r="B1670" t="s">
        <v>8906</v>
      </c>
      <c r="C1670" t="s">
        <v>8906</v>
      </c>
      <c r="D1670">
        <v>5.5</v>
      </c>
      <c r="E1670">
        <f t="shared" si="26"/>
        <v>14</v>
      </c>
      <c r="G1670">
        <v>1</v>
      </c>
    </row>
    <row r="1671" spans="1:7">
      <c r="A1671">
        <v>5.5</v>
      </c>
      <c r="B1671" t="s">
        <v>5509</v>
      </c>
      <c r="C1671" t="s">
        <v>5509</v>
      </c>
      <c r="D1671">
        <v>5.5</v>
      </c>
      <c r="E1671">
        <f t="shared" si="26"/>
        <v>14</v>
      </c>
      <c r="G1671">
        <v>1</v>
      </c>
    </row>
    <row r="1672" spans="1:7">
      <c r="A1672">
        <v>5.5</v>
      </c>
      <c r="B1672" t="s">
        <v>8637</v>
      </c>
      <c r="C1672" t="s">
        <v>8637</v>
      </c>
      <c r="D1672">
        <v>5.5</v>
      </c>
      <c r="E1672">
        <f t="shared" si="26"/>
        <v>14</v>
      </c>
      <c r="G1672">
        <v>1</v>
      </c>
    </row>
    <row r="1673" spans="1:7">
      <c r="A1673">
        <v>5.5</v>
      </c>
      <c r="B1673" t="s">
        <v>7358</v>
      </c>
      <c r="C1673" t="s">
        <v>7358</v>
      </c>
      <c r="D1673">
        <v>5.5</v>
      </c>
      <c r="E1673">
        <f t="shared" si="26"/>
        <v>14</v>
      </c>
      <c r="G1673">
        <v>1</v>
      </c>
    </row>
    <row r="1674" spans="1:7">
      <c r="A1674">
        <v>5.5</v>
      </c>
      <c r="B1674" t="s">
        <v>8386</v>
      </c>
      <c r="C1674" t="s">
        <v>8386</v>
      </c>
      <c r="D1674">
        <v>5.5</v>
      </c>
      <c r="E1674">
        <f t="shared" si="26"/>
        <v>14</v>
      </c>
      <c r="G1674">
        <v>1</v>
      </c>
    </row>
    <row r="1675" spans="1:7">
      <c r="A1675">
        <v>5.5</v>
      </c>
      <c r="B1675" t="s">
        <v>8403</v>
      </c>
      <c r="C1675" t="s">
        <v>8403</v>
      </c>
      <c r="D1675">
        <v>5.5</v>
      </c>
      <c r="E1675">
        <f t="shared" si="26"/>
        <v>14</v>
      </c>
      <c r="G1675">
        <v>1</v>
      </c>
    </row>
    <row r="1676" spans="1:7">
      <c r="A1676">
        <v>5.5</v>
      </c>
      <c r="B1676" t="s">
        <v>8047</v>
      </c>
      <c r="C1676" t="s">
        <v>8047</v>
      </c>
      <c r="D1676">
        <v>5.5</v>
      </c>
      <c r="E1676">
        <f t="shared" si="26"/>
        <v>14</v>
      </c>
      <c r="G1676">
        <v>1</v>
      </c>
    </row>
    <row r="1677" spans="1:7">
      <c r="A1677">
        <v>5.5</v>
      </c>
      <c r="B1677" t="s">
        <v>9528</v>
      </c>
      <c r="C1677" t="s">
        <v>9528</v>
      </c>
      <c r="D1677">
        <v>5.5</v>
      </c>
      <c r="E1677">
        <f t="shared" si="26"/>
        <v>14</v>
      </c>
      <c r="G1677">
        <v>1</v>
      </c>
    </row>
    <row r="1678" spans="1:7">
      <c r="A1678">
        <v>5.5</v>
      </c>
      <c r="B1678" t="s">
        <v>1926</v>
      </c>
      <c r="C1678" t="s">
        <v>1926</v>
      </c>
      <c r="D1678">
        <v>5.5</v>
      </c>
      <c r="E1678">
        <f t="shared" si="26"/>
        <v>14</v>
      </c>
      <c r="G1678">
        <v>1</v>
      </c>
    </row>
    <row r="1679" spans="1:7">
      <c r="A1679">
        <v>5.5</v>
      </c>
      <c r="B1679" t="s">
        <v>8694</v>
      </c>
      <c r="C1679" t="s">
        <v>8694</v>
      </c>
      <c r="D1679">
        <v>5.5</v>
      </c>
      <c r="E1679">
        <f t="shared" si="26"/>
        <v>14</v>
      </c>
      <c r="G1679">
        <v>1</v>
      </c>
    </row>
    <row r="1680" spans="1:7">
      <c r="A1680">
        <v>5.5</v>
      </c>
      <c r="B1680" t="s">
        <v>9033</v>
      </c>
      <c r="C1680" t="s">
        <v>9033</v>
      </c>
      <c r="D1680">
        <v>5.5</v>
      </c>
      <c r="E1680">
        <f t="shared" si="26"/>
        <v>14</v>
      </c>
      <c r="G1680">
        <v>1</v>
      </c>
    </row>
    <row r="1681" spans="1:7">
      <c r="A1681">
        <v>5.5</v>
      </c>
      <c r="B1681" t="s">
        <v>1835</v>
      </c>
      <c r="C1681" t="s">
        <v>1835</v>
      </c>
      <c r="D1681">
        <v>5.5</v>
      </c>
      <c r="E1681">
        <f t="shared" si="26"/>
        <v>14</v>
      </c>
      <c r="G1681">
        <v>1</v>
      </c>
    </row>
    <row r="1682" spans="1:7">
      <c r="A1682">
        <v>5.5</v>
      </c>
      <c r="B1682" t="s">
        <v>9247</v>
      </c>
      <c r="C1682" t="s">
        <v>9247</v>
      </c>
      <c r="D1682">
        <v>5.5</v>
      </c>
      <c r="E1682">
        <f t="shared" si="26"/>
        <v>14</v>
      </c>
      <c r="G1682">
        <v>1</v>
      </c>
    </row>
    <row r="1683" spans="1:7">
      <c r="A1683">
        <v>5.5</v>
      </c>
      <c r="B1683" t="s">
        <v>1834</v>
      </c>
      <c r="C1683" t="s">
        <v>1834</v>
      </c>
      <c r="D1683">
        <v>5.5</v>
      </c>
      <c r="E1683">
        <f t="shared" si="26"/>
        <v>14</v>
      </c>
      <c r="G1683">
        <v>1</v>
      </c>
    </row>
    <row r="1684" spans="1:7">
      <c r="A1684">
        <v>5.5</v>
      </c>
      <c r="B1684" t="s">
        <v>10180</v>
      </c>
      <c r="C1684" t="s">
        <v>10180</v>
      </c>
      <c r="D1684">
        <v>5.5</v>
      </c>
      <c r="E1684">
        <f t="shared" si="26"/>
        <v>14</v>
      </c>
      <c r="G1684">
        <v>1</v>
      </c>
    </row>
    <row r="1685" spans="1:7">
      <c r="A1685">
        <v>5.5</v>
      </c>
      <c r="B1685" t="s">
        <v>10223</v>
      </c>
      <c r="C1685" t="s">
        <v>10223</v>
      </c>
      <c r="D1685">
        <v>5.5</v>
      </c>
      <c r="E1685">
        <f t="shared" si="26"/>
        <v>14</v>
      </c>
      <c r="G1685">
        <v>1</v>
      </c>
    </row>
    <row r="1686" spans="1:7">
      <c r="A1686">
        <v>5.5</v>
      </c>
      <c r="B1686" t="s">
        <v>7202</v>
      </c>
      <c r="C1686" t="s">
        <v>7202</v>
      </c>
      <c r="D1686">
        <v>5.5</v>
      </c>
      <c r="E1686">
        <f t="shared" si="26"/>
        <v>13</v>
      </c>
      <c r="G1686">
        <v>1</v>
      </c>
    </row>
    <row r="1687" spans="1:7">
      <c r="A1687">
        <v>5.5</v>
      </c>
      <c r="B1687" t="s">
        <v>7245</v>
      </c>
      <c r="C1687" t="s">
        <v>7245</v>
      </c>
      <c r="D1687">
        <v>5.5</v>
      </c>
      <c r="E1687">
        <f t="shared" si="26"/>
        <v>13</v>
      </c>
      <c r="F1687" t="s">
        <v>821</v>
      </c>
      <c r="G1687">
        <v>1</v>
      </c>
    </row>
    <row r="1688" spans="1:7">
      <c r="A1688">
        <v>5.5</v>
      </c>
      <c r="B1688" t="s">
        <v>7259</v>
      </c>
      <c r="C1688" t="s">
        <v>7259</v>
      </c>
      <c r="D1688">
        <v>5.5</v>
      </c>
      <c r="E1688">
        <f t="shared" si="26"/>
        <v>13</v>
      </c>
      <c r="F1688" t="s">
        <v>821</v>
      </c>
      <c r="G1688">
        <v>1</v>
      </c>
    </row>
    <row r="1689" spans="1:7">
      <c r="A1689">
        <v>5.5</v>
      </c>
      <c r="B1689" t="s">
        <v>7294</v>
      </c>
      <c r="C1689" t="s">
        <v>7294</v>
      </c>
      <c r="D1689">
        <v>5.5</v>
      </c>
      <c r="E1689">
        <f t="shared" si="26"/>
        <v>13</v>
      </c>
      <c r="G1689">
        <v>1</v>
      </c>
    </row>
    <row r="1690" spans="1:7">
      <c r="A1690">
        <v>5.5</v>
      </c>
      <c r="B1690" t="s">
        <v>7673</v>
      </c>
      <c r="C1690" t="s">
        <v>7673</v>
      </c>
      <c r="D1690">
        <v>5.5</v>
      </c>
      <c r="E1690">
        <f t="shared" si="26"/>
        <v>13</v>
      </c>
      <c r="G1690">
        <v>1</v>
      </c>
    </row>
    <row r="1691" spans="1:7">
      <c r="A1691">
        <v>5.5</v>
      </c>
      <c r="B1691" t="s">
        <v>7863</v>
      </c>
      <c r="C1691" t="s">
        <v>7863</v>
      </c>
      <c r="D1691">
        <v>5.5</v>
      </c>
      <c r="E1691">
        <f t="shared" si="26"/>
        <v>13</v>
      </c>
      <c r="G1691">
        <v>1</v>
      </c>
    </row>
    <row r="1692" spans="1:7">
      <c r="A1692">
        <v>5.5</v>
      </c>
      <c r="B1692" t="s">
        <v>7717</v>
      </c>
      <c r="C1692" t="s">
        <v>7717</v>
      </c>
      <c r="D1692">
        <v>5.5</v>
      </c>
      <c r="E1692">
        <f t="shared" si="26"/>
        <v>13</v>
      </c>
      <c r="G1692">
        <v>1</v>
      </c>
    </row>
    <row r="1693" spans="1:7">
      <c r="A1693">
        <v>5.5</v>
      </c>
      <c r="B1693" t="s">
        <v>8700</v>
      </c>
      <c r="C1693" t="s">
        <v>8700</v>
      </c>
      <c r="D1693">
        <v>5.5</v>
      </c>
      <c r="E1693">
        <f t="shared" si="26"/>
        <v>13</v>
      </c>
      <c r="G1693">
        <v>1</v>
      </c>
    </row>
    <row r="1694" spans="1:7">
      <c r="A1694">
        <v>5.5</v>
      </c>
      <c r="B1694" t="s">
        <v>8691</v>
      </c>
      <c r="C1694" t="s">
        <v>8691</v>
      </c>
      <c r="D1694">
        <v>5.5</v>
      </c>
      <c r="E1694">
        <f t="shared" si="26"/>
        <v>13</v>
      </c>
      <c r="G1694">
        <v>1</v>
      </c>
    </row>
    <row r="1695" spans="1:7">
      <c r="A1695">
        <v>5.5</v>
      </c>
      <c r="B1695" t="s">
        <v>9252</v>
      </c>
      <c r="C1695" t="s">
        <v>9252</v>
      </c>
      <c r="D1695">
        <v>5.5</v>
      </c>
      <c r="E1695">
        <f t="shared" si="26"/>
        <v>13</v>
      </c>
      <c r="G1695">
        <v>1</v>
      </c>
    </row>
    <row r="1696" spans="1:7">
      <c r="A1696">
        <v>5.5</v>
      </c>
      <c r="B1696" t="s">
        <v>8805</v>
      </c>
      <c r="C1696" t="s">
        <v>8805</v>
      </c>
      <c r="D1696">
        <v>5.5</v>
      </c>
      <c r="E1696">
        <f t="shared" si="26"/>
        <v>13</v>
      </c>
      <c r="G1696">
        <v>1</v>
      </c>
    </row>
    <row r="1697" spans="1:7">
      <c r="A1697">
        <v>5.5</v>
      </c>
      <c r="B1697" t="s">
        <v>8435</v>
      </c>
      <c r="C1697" t="s">
        <v>8435</v>
      </c>
      <c r="D1697">
        <v>5.5</v>
      </c>
      <c r="E1697">
        <f t="shared" si="26"/>
        <v>13</v>
      </c>
      <c r="G1697">
        <v>1</v>
      </c>
    </row>
    <row r="1698" spans="1:7">
      <c r="A1698">
        <v>5.5</v>
      </c>
      <c r="B1698" t="s">
        <v>168</v>
      </c>
      <c r="C1698" t="s">
        <v>168</v>
      </c>
      <c r="D1698">
        <v>5.5</v>
      </c>
      <c r="E1698">
        <f t="shared" si="26"/>
        <v>13</v>
      </c>
      <c r="G1698">
        <v>1</v>
      </c>
    </row>
    <row r="1699" spans="1:7">
      <c r="A1699">
        <v>5.5</v>
      </c>
      <c r="B1699" t="s">
        <v>7836</v>
      </c>
      <c r="C1699" t="s">
        <v>7836</v>
      </c>
      <c r="D1699">
        <v>5.5</v>
      </c>
      <c r="E1699">
        <f t="shared" si="26"/>
        <v>13</v>
      </c>
      <c r="G1699">
        <v>1</v>
      </c>
    </row>
    <row r="1700" spans="1:7">
      <c r="A1700">
        <v>5.5</v>
      </c>
      <c r="B1700" t="s">
        <v>8728</v>
      </c>
      <c r="C1700" t="s">
        <v>8728</v>
      </c>
      <c r="D1700">
        <v>5.5</v>
      </c>
      <c r="E1700">
        <f t="shared" si="26"/>
        <v>13</v>
      </c>
      <c r="G1700">
        <v>1</v>
      </c>
    </row>
    <row r="1701" spans="1:7">
      <c r="A1701">
        <v>5.5</v>
      </c>
      <c r="B1701" t="s">
        <v>9467</v>
      </c>
      <c r="C1701" t="s">
        <v>9467</v>
      </c>
      <c r="D1701">
        <v>5.5</v>
      </c>
      <c r="E1701">
        <f t="shared" si="26"/>
        <v>13</v>
      </c>
      <c r="G1701">
        <v>1</v>
      </c>
    </row>
    <row r="1702" spans="1:7">
      <c r="A1702">
        <v>5.5</v>
      </c>
      <c r="B1702" t="s">
        <v>8933</v>
      </c>
      <c r="C1702" t="s">
        <v>8933</v>
      </c>
      <c r="D1702">
        <v>5.5</v>
      </c>
      <c r="E1702">
        <f t="shared" si="26"/>
        <v>13</v>
      </c>
      <c r="G1702">
        <v>1</v>
      </c>
    </row>
    <row r="1703" spans="1:7">
      <c r="A1703">
        <v>5.5</v>
      </c>
      <c r="B1703" t="s">
        <v>10007</v>
      </c>
      <c r="C1703" t="s">
        <v>10007</v>
      </c>
      <c r="D1703">
        <v>5.5</v>
      </c>
      <c r="E1703">
        <f t="shared" si="26"/>
        <v>13</v>
      </c>
      <c r="G1703">
        <v>1</v>
      </c>
    </row>
    <row r="1704" spans="1:7">
      <c r="A1704">
        <v>5.5</v>
      </c>
      <c r="B1704" t="s">
        <v>9266</v>
      </c>
      <c r="C1704" t="s">
        <v>9266</v>
      </c>
      <c r="D1704">
        <v>5.5</v>
      </c>
      <c r="E1704">
        <f t="shared" si="26"/>
        <v>13</v>
      </c>
      <c r="G1704">
        <v>1</v>
      </c>
    </row>
    <row r="1705" spans="1:7">
      <c r="A1705">
        <v>5.5</v>
      </c>
      <c r="B1705" t="s">
        <v>7677</v>
      </c>
      <c r="C1705" t="s">
        <v>7677</v>
      </c>
      <c r="D1705">
        <v>5.5</v>
      </c>
      <c r="E1705">
        <f t="shared" si="26"/>
        <v>13</v>
      </c>
      <c r="G1705">
        <v>1</v>
      </c>
    </row>
    <row r="1706" spans="1:7">
      <c r="A1706">
        <v>5.5</v>
      </c>
      <c r="B1706" t="s">
        <v>8937</v>
      </c>
      <c r="C1706" t="s">
        <v>8937</v>
      </c>
      <c r="D1706">
        <v>5.5</v>
      </c>
      <c r="E1706">
        <f t="shared" si="26"/>
        <v>13</v>
      </c>
      <c r="G1706">
        <v>1</v>
      </c>
    </row>
    <row r="1707" spans="1:7">
      <c r="A1707">
        <v>5.5</v>
      </c>
      <c r="B1707" t="s">
        <v>7713</v>
      </c>
      <c r="C1707" t="s">
        <v>7713</v>
      </c>
      <c r="D1707">
        <v>5.5</v>
      </c>
      <c r="E1707">
        <f t="shared" si="26"/>
        <v>13</v>
      </c>
      <c r="G1707">
        <v>1</v>
      </c>
    </row>
    <row r="1708" spans="1:7">
      <c r="A1708">
        <v>5.5</v>
      </c>
      <c r="B1708" t="s">
        <v>9998</v>
      </c>
      <c r="C1708" t="s">
        <v>9998</v>
      </c>
      <c r="D1708">
        <v>5.5</v>
      </c>
      <c r="E1708">
        <f t="shared" si="26"/>
        <v>13</v>
      </c>
      <c r="G1708">
        <v>1</v>
      </c>
    </row>
    <row r="1709" spans="1:7">
      <c r="A1709">
        <v>5.5</v>
      </c>
      <c r="B1709" t="s">
        <v>9324</v>
      </c>
      <c r="C1709" t="s">
        <v>9324</v>
      </c>
      <c r="D1709">
        <v>5.5</v>
      </c>
      <c r="E1709">
        <f t="shared" si="26"/>
        <v>13</v>
      </c>
      <c r="G1709">
        <v>1</v>
      </c>
    </row>
    <row r="1710" spans="1:7">
      <c r="A1710">
        <v>5.5</v>
      </c>
      <c r="B1710" t="s">
        <v>9536</v>
      </c>
      <c r="C1710" t="s">
        <v>9536</v>
      </c>
      <c r="D1710">
        <v>5.5</v>
      </c>
      <c r="E1710">
        <f t="shared" si="26"/>
        <v>13</v>
      </c>
      <c r="G1710">
        <v>1</v>
      </c>
    </row>
    <row r="1711" spans="1:7">
      <c r="A1711">
        <v>5.5</v>
      </c>
      <c r="B1711" t="s">
        <v>10020</v>
      </c>
      <c r="C1711" t="s">
        <v>10020</v>
      </c>
      <c r="D1711">
        <v>5.5</v>
      </c>
      <c r="E1711">
        <f t="shared" si="26"/>
        <v>13</v>
      </c>
      <c r="G1711">
        <v>1</v>
      </c>
    </row>
    <row r="1712" spans="1:7">
      <c r="A1712">
        <v>5.5</v>
      </c>
      <c r="B1712" t="s">
        <v>8605</v>
      </c>
      <c r="C1712" t="s">
        <v>8605</v>
      </c>
      <c r="D1712">
        <v>5.5</v>
      </c>
      <c r="E1712">
        <f t="shared" si="26"/>
        <v>13</v>
      </c>
      <c r="G1712">
        <v>1</v>
      </c>
    </row>
    <row r="1713" spans="1:7">
      <c r="A1713">
        <v>5.5</v>
      </c>
      <c r="B1713" t="s">
        <v>7600</v>
      </c>
      <c r="C1713" t="s">
        <v>7600</v>
      </c>
      <c r="D1713">
        <v>5.5</v>
      </c>
      <c r="E1713">
        <f t="shared" si="26"/>
        <v>13</v>
      </c>
      <c r="G1713">
        <v>1</v>
      </c>
    </row>
    <row r="1714" spans="1:7">
      <c r="A1714">
        <v>5.5</v>
      </c>
      <c r="B1714" t="s">
        <v>75</v>
      </c>
      <c r="C1714" t="s">
        <v>75</v>
      </c>
      <c r="D1714">
        <v>5.5</v>
      </c>
      <c r="E1714">
        <f t="shared" si="26"/>
        <v>13</v>
      </c>
      <c r="G1714">
        <v>1</v>
      </c>
    </row>
    <row r="1715" spans="1:7">
      <c r="A1715">
        <v>5.5</v>
      </c>
      <c r="B1715" t="s">
        <v>10018</v>
      </c>
      <c r="C1715" t="s">
        <v>10018</v>
      </c>
      <c r="D1715">
        <v>5.5</v>
      </c>
      <c r="E1715">
        <f t="shared" si="26"/>
        <v>13</v>
      </c>
      <c r="G1715">
        <v>1</v>
      </c>
    </row>
    <row r="1716" spans="1:7">
      <c r="A1716">
        <v>5.5</v>
      </c>
      <c r="B1716" t="s">
        <v>6552</v>
      </c>
      <c r="C1716" t="s">
        <v>6552</v>
      </c>
      <c r="D1716">
        <v>5.5</v>
      </c>
      <c r="E1716">
        <f t="shared" si="26"/>
        <v>13</v>
      </c>
      <c r="G1716">
        <v>1</v>
      </c>
    </row>
    <row r="1717" spans="1:7">
      <c r="A1717">
        <v>5.5</v>
      </c>
      <c r="B1717" t="s">
        <v>8648</v>
      </c>
      <c r="C1717" t="s">
        <v>8648</v>
      </c>
      <c r="D1717">
        <v>5.5</v>
      </c>
      <c r="E1717">
        <f t="shared" si="26"/>
        <v>13</v>
      </c>
      <c r="G1717">
        <v>1</v>
      </c>
    </row>
    <row r="1718" spans="1:7">
      <c r="A1718">
        <v>5.5</v>
      </c>
      <c r="B1718" t="s">
        <v>8621</v>
      </c>
      <c r="C1718" t="s">
        <v>8621</v>
      </c>
      <c r="D1718">
        <v>5.5</v>
      </c>
      <c r="E1718">
        <f t="shared" si="26"/>
        <v>13</v>
      </c>
      <c r="G1718">
        <v>1</v>
      </c>
    </row>
    <row r="1719" spans="1:7">
      <c r="A1719">
        <v>5.5</v>
      </c>
      <c r="B1719" t="s">
        <v>1245</v>
      </c>
      <c r="C1719" t="s">
        <v>1245</v>
      </c>
      <c r="D1719">
        <v>5.5</v>
      </c>
      <c r="E1719">
        <f t="shared" si="26"/>
        <v>13</v>
      </c>
      <c r="G1719">
        <v>1</v>
      </c>
    </row>
    <row r="1720" spans="1:7">
      <c r="A1720">
        <v>5.5</v>
      </c>
      <c r="B1720" t="s">
        <v>1269</v>
      </c>
      <c r="C1720" t="s">
        <v>1269</v>
      </c>
      <c r="D1720">
        <v>5.5</v>
      </c>
      <c r="E1720">
        <f t="shared" si="26"/>
        <v>13</v>
      </c>
      <c r="G1720">
        <v>1</v>
      </c>
    </row>
    <row r="1721" spans="1:7">
      <c r="A1721">
        <v>5.5</v>
      </c>
      <c r="B1721" t="s">
        <v>1270</v>
      </c>
      <c r="C1721" t="s">
        <v>1270</v>
      </c>
      <c r="D1721">
        <v>5.5</v>
      </c>
      <c r="E1721">
        <f t="shared" si="26"/>
        <v>13</v>
      </c>
      <c r="G1721">
        <v>1</v>
      </c>
    </row>
    <row r="1722" spans="1:7">
      <c r="A1722">
        <v>5.5</v>
      </c>
      <c r="B1722" t="s">
        <v>1836</v>
      </c>
      <c r="C1722" t="s">
        <v>1836</v>
      </c>
      <c r="D1722">
        <v>5.5</v>
      </c>
      <c r="E1722">
        <f t="shared" si="26"/>
        <v>13</v>
      </c>
      <c r="G1722">
        <v>1</v>
      </c>
    </row>
    <row r="1723" spans="1:7">
      <c r="A1723">
        <v>5.5</v>
      </c>
      <c r="B1723" t="s">
        <v>8641</v>
      </c>
      <c r="C1723" t="s">
        <v>8641</v>
      </c>
      <c r="D1723">
        <v>5.5</v>
      </c>
      <c r="E1723">
        <f t="shared" si="26"/>
        <v>13</v>
      </c>
      <c r="G1723">
        <v>1</v>
      </c>
    </row>
    <row r="1724" spans="1:7">
      <c r="A1724">
        <v>5.5</v>
      </c>
      <c r="B1724" t="s">
        <v>8670</v>
      </c>
      <c r="C1724" t="s">
        <v>8670</v>
      </c>
      <c r="D1724">
        <v>5.5</v>
      </c>
      <c r="E1724">
        <f t="shared" si="26"/>
        <v>13</v>
      </c>
      <c r="G1724">
        <v>1</v>
      </c>
    </row>
    <row r="1725" spans="1:7">
      <c r="A1725">
        <v>5.5</v>
      </c>
      <c r="B1725" t="s">
        <v>9182</v>
      </c>
      <c r="C1725" t="s">
        <v>9182</v>
      </c>
      <c r="D1725">
        <v>5.5</v>
      </c>
      <c r="E1725">
        <f t="shared" si="26"/>
        <v>13</v>
      </c>
      <c r="G1725">
        <v>1</v>
      </c>
    </row>
    <row r="1726" spans="1:7">
      <c r="A1726">
        <v>5.5</v>
      </c>
      <c r="B1726" t="s">
        <v>1086</v>
      </c>
      <c r="C1726" t="s">
        <v>1086</v>
      </c>
      <c r="D1726">
        <v>5.5</v>
      </c>
      <c r="E1726">
        <f t="shared" si="26"/>
        <v>13</v>
      </c>
      <c r="G1726">
        <v>1</v>
      </c>
    </row>
    <row r="1727" spans="1:7">
      <c r="A1727">
        <v>5.5</v>
      </c>
      <c r="B1727" t="s">
        <v>9332</v>
      </c>
      <c r="C1727" t="s">
        <v>9332</v>
      </c>
      <c r="D1727">
        <v>5.5</v>
      </c>
      <c r="E1727">
        <f t="shared" si="26"/>
        <v>13</v>
      </c>
      <c r="G1727">
        <v>1</v>
      </c>
    </row>
    <row r="1728" spans="1:7">
      <c r="A1728">
        <v>5.5</v>
      </c>
      <c r="B1728" t="s">
        <v>8542</v>
      </c>
      <c r="C1728" t="s">
        <v>8542</v>
      </c>
      <c r="D1728">
        <v>5.5</v>
      </c>
      <c r="E1728">
        <f t="shared" si="26"/>
        <v>13</v>
      </c>
      <c r="G1728">
        <v>1</v>
      </c>
    </row>
    <row r="1729" spans="1:7">
      <c r="A1729">
        <v>5.5</v>
      </c>
      <c r="B1729" t="s">
        <v>7196</v>
      </c>
      <c r="C1729" t="s">
        <v>7196</v>
      </c>
      <c r="D1729">
        <v>5.5</v>
      </c>
      <c r="E1729">
        <f t="shared" si="26"/>
        <v>12</v>
      </c>
      <c r="G1729">
        <v>1</v>
      </c>
    </row>
    <row r="1730" spans="1:7">
      <c r="A1730">
        <v>5.5</v>
      </c>
      <c r="B1730" t="s">
        <v>7227</v>
      </c>
      <c r="C1730" t="s">
        <v>7227</v>
      </c>
      <c r="D1730">
        <v>5.5</v>
      </c>
      <c r="E1730">
        <f t="shared" ref="E1730:E1793" si="27">LEN(B1730)</f>
        <v>12</v>
      </c>
      <c r="F1730" t="s">
        <v>822</v>
      </c>
      <c r="G1730">
        <v>1</v>
      </c>
    </row>
    <row r="1731" spans="1:7">
      <c r="A1731">
        <v>5.5</v>
      </c>
      <c r="B1731" t="s">
        <v>7257</v>
      </c>
      <c r="C1731" t="s">
        <v>7257</v>
      </c>
      <c r="D1731">
        <v>5.5</v>
      </c>
      <c r="E1731">
        <f t="shared" si="27"/>
        <v>12</v>
      </c>
      <c r="F1731" t="s">
        <v>822</v>
      </c>
      <c r="G1731">
        <v>1</v>
      </c>
    </row>
    <row r="1732" spans="1:7">
      <c r="A1732">
        <v>5.5</v>
      </c>
      <c r="B1732" t="s">
        <v>7562</v>
      </c>
      <c r="C1732" t="s">
        <v>7562</v>
      </c>
      <c r="D1732">
        <v>5.5</v>
      </c>
      <c r="E1732">
        <f t="shared" si="27"/>
        <v>12</v>
      </c>
      <c r="G1732">
        <v>1</v>
      </c>
    </row>
    <row r="1733" spans="1:7">
      <c r="A1733">
        <v>5.5</v>
      </c>
      <c r="B1733" t="s">
        <v>8343</v>
      </c>
      <c r="C1733" t="s">
        <v>8343</v>
      </c>
      <c r="D1733">
        <v>5.5</v>
      </c>
      <c r="E1733">
        <f t="shared" si="27"/>
        <v>12</v>
      </c>
      <c r="F1733" t="s">
        <v>821</v>
      </c>
      <c r="G1733">
        <v>1</v>
      </c>
    </row>
    <row r="1734" spans="1:7">
      <c r="A1734">
        <v>5.5</v>
      </c>
      <c r="B1734" t="s">
        <v>7651</v>
      </c>
      <c r="C1734" t="s">
        <v>7651</v>
      </c>
      <c r="D1734">
        <v>5.5</v>
      </c>
      <c r="E1734">
        <f t="shared" si="27"/>
        <v>12</v>
      </c>
      <c r="G1734">
        <v>1</v>
      </c>
    </row>
    <row r="1735" spans="1:7">
      <c r="A1735">
        <v>5.5</v>
      </c>
      <c r="B1735" t="s">
        <v>7779</v>
      </c>
      <c r="C1735" t="s">
        <v>7779</v>
      </c>
      <c r="D1735">
        <v>5.5</v>
      </c>
      <c r="E1735">
        <f t="shared" si="27"/>
        <v>12</v>
      </c>
      <c r="G1735">
        <v>1</v>
      </c>
    </row>
    <row r="1736" spans="1:7">
      <c r="A1736">
        <v>5.5</v>
      </c>
      <c r="B1736" t="s">
        <v>7977</v>
      </c>
      <c r="C1736" t="s">
        <v>7977</v>
      </c>
      <c r="D1736">
        <v>5.5</v>
      </c>
      <c r="E1736">
        <f t="shared" si="27"/>
        <v>12</v>
      </c>
      <c r="G1736">
        <v>1</v>
      </c>
    </row>
    <row r="1737" spans="1:7">
      <c r="A1737">
        <v>5.5</v>
      </c>
      <c r="B1737" t="s">
        <v>7816</v>
      </c>
      <c r="C1737" t="s">
        <v>7816</v>
      </c>
      <c r="D1737">
        <v>5.5</v>
      </c>
      <c r="E1737">
        <f t="shared" si="27"/>
        <v>12</v>
      </c>
      <c r="G1737">
        <v>1</v>
      </c>
    </row>
    <row r="1738" spans="1:7">
      <c r="A1738">
        <v>5.5</v>
      </c>
      <c r="B1738" t="s">
        <v>8330</v>
      </c>
      <c r="C1738" t="s">
        <v>8330</v>
      </c>
      <c r="D1738">
        <v>5.5</v>
      </c>
      <c r="E1738">
        <f t="shared" si="27"/>
        <v>12</v>
      </c>
      <c r="G1738">
        <v>1</v>
      </c>
    </row>
    <row r="1739" spans="1:7">
      <c r="A1739">
        <v>5.5</v>
      </c>
      <c r="B1739" t="s">
        <v>8362</v>
      </c>
      <c r="C1739" t="s">
        <v>8362</v>
      </c>
      <c r="D1739">
        <v>5.5</v>
      </c>
      <c r="E1739">
        <f t="shared" si="27"/>
        <v>12</v>
      </c>
      <c r="G1739">
        <v>1</v>
      </c>
    </row>
    <row r="1740" spans="1:7">
      <c r="A1740">
        <v>5.5</v>
      </c>
      <c r="B1740" t="s">
        <v>8550</v>
      </c>
      <c r="C1740" t="s">
        <v>8550</v>
      </c>
      <c r="D1740">
        <v>5.5</v>
      </c>
      <c r="E1740">
        <f t="shared" si="27"/>
        <v>12</v>
      </c>
      <c r="G1740">
        <v>1</v>
      </c>
    </row>
    <row r="1741" spans="1:7">
      <c r="A1741">
        <v>5.5</v>
      </c>
      <c r="B1741" t="s">
        <v>8601</v>
      </c>
      <c r="C1741" t="s">
        <v>8601</v>
      </c>
      <c r="D1741">
        <v>5.5</v>
      </c>
      <c r="E1741">
        <f t="shared" si="27"/>
        <v>12</v>
      </c>
      <c r="G1741">
        <v>1</v>
      </c>
    </row>
    <row r="1742" spans="1:7">
      <c r="A1742">
        <v>5.5</v>
      </c>
      <c r="B1742" t="s">
        <v>8603</v>
      </c>
      <c r="C1742" t="s">
        <v>8603</v>
      </c>
      <c r="D1742">
        <v>5.5</v>
      </c>
      <c r="E1742">
        <f t="shared" si="27"/>
        <v>12</v>
      </c>
      <c r="G1742">
        <v>1</v>
      </c>
    </row>
    <row r="1743" spans="1:7">
      <c r="A1743">
        <v>5.5</v>
      </c>
      <c r="B1743" t="s">
        <v>8645</v>
      </c>
      <c r="C1743" t="s">
        <v>8645</v>
      </c>
      <c r="D1743">
        <v>5.5</v>
      </c>
      <c r="E1743">
        <f t="shared" si="27"/>
        <v>12</v>
      </c>
      <c r="G1743">
        <v>1</v>
      </c>
    </row>
    <row r="1744" spans="1:7">
      <c r="A1744">
        <v>5.5</v>
      </c>
      <c r="B1744" t="s">
        <v>9187</v>
      </c>
      <c r="C1744" t="s">
        <v>9187</v>
      </c>
      <c r="D1744">
        <v>5.5</v>
      </c>
      <c r="E1744">
        <f t="shared" si="27"/>
        <v>12</v>
      </c>
      <c r="G1744">
        <v>1</v>
      </c>
    </row>
    <row r="1745" spans="1:7">
      <c r="A1745">
        <v>5.5</v>
      </c>
      <c r="B1745" t="s">
        <v>9254</v>
      </c>
      <c r="C1745" t="s">
        <v>9254</v>
      </c>
      <c r="D1745">
        <v>5.5</v>
      </c>
      <c r="E1745">
        <f t="shared" si="27"/>
        <v>12</v>
      </c>
      <c r="G1745">
        <v>1</v>
      </c>
    </row>
    <row r="1746" spans="1:7">
      <c r="A1746">
        <v>5.5</v>
      </c>
      <c r="B1746" t="s">
        <v>9249</v>
      </c>
      <c r="C1746" t="s">
        <v>9249</v>
      </c>
      <c r="D1746">
        <v>5.5</v>
      </c>
      <c r="E1746">
        <f t="shared" si="27"/>
        <v>12</v>
      </c>
      <c r="G1746">
        <v>1</v>
      </c>
    </row>
    <row r="1747" spans="1:7">
      <c r="A1747">
        <v>5.5</v>
      </c>
      <c r="B1747" t="s">
        <v>9270</v>
      </c>
      <c r="C1747" t="s">
        <v>9270</v>
      </c>
      <c r="D1747">
        <v>5.5</v>
      </c>
      <c r="E1747">
        <f t="shared" si="27"/>
        <v>12</v>
      </c>
      <c r="G1747">
        <v>1</v>
      </c>
    </row>
    <row r="1748" spans="1:7">
      <c r="A1748">
        <v>5.5</v>
      </c>
      <c r="B1748" t="s">
        <v>9355</v>
      </c>
      <c r="C1748" t="s">
        <v>9355</v>
      </c>
      <c r="D1748">
        <v>5.5</v>
      </c>
      <c r="E1748">
        <f t="shared" si="27"/>
        <v>12</v>
      </c>
      <c r="G1748">
        <v>1</v>
      </c>
    </row>
    <row r="1749" spans="1:7">
      <c r="A1749">
        <v>5.5</v>
      </c>
      <c r="B1749" t="s">
        <v>9395</v>
      </c>
      <c r="C1749" t="s">
        <v>9395</v>
      </c>
      <c r="D1749">
        <v>5.5</v>
      </c>
      <c r="E1749">
        <f t="shared" si="27"/>
        <v>12</v>
      </c>
      <c r="G1749">
        <v>1</v>
      </c>
    </row>
    <row r="1750" spans="1:7">
      <c r="A1750">
        <v>5.5</v>
      </c>
      <c r="B1750" t="s">
        <v>8634</v>
      </c>
      <c r="C1750" t="s">
        <v>8634</v>
      </c>
      <c r="D1750">
        <v>5.5</v>
      </c>
      <c r="E1750">
        <f t="shared" si="27"/>
        <v>12</v>
      </c>
      <c r="G1750">
        <v>1</v>
      </c>
    </row>
    <row r="1751" spans="1:7">
      <c r="A1751">
        <v>5.5</v>
      </c>
      <c r="B1751" t="s">
        <v>9074</v>
      </c>
      <c r="C1751" t="s">
        <v>9074</v>
      </c>
      <c r="D1751">
        <v>5.5</v>
      </c>
      <c r="E1751">
        <f t="shared" si="27"/>
        <v>12</v>
      </c>
      <c r="G1751">
        <v>1</v>
      </c>
    </row>
    <row r="1752" spans="1:7">
      <c r="A1752">
        <v>5.5</v>
      </c>
      <c r="B1752" t="s">
        <v>8273</v>
      </c>
      <c r="C1752" t="s">
        <v>8273</v>
      </c>
      <c r="D1752">
        <v>5.5</v>
      </c>
      <c r="E1752">
        <f t="shared" si="27"/>
        <v>12</v>
      </c>
      <c r="G1752">
        <v>1</v>
      </c>
    </row>
    <row r="1753" spans="1:7">
      <c r="A1753">
        <v>5.5</v>
      </c>
      <c r="B1753" t="s">
        <v>9220</v>
      </c>
      <c r="C1753" t="s">
        <v>9220</v>
      </c>
      <c r="D1753">
        <v>5.5</v>
      </c>
      <c r="E1753">
        <f t="shared" si="27"/>
        <v>12</v>
      </c>
      <c r="G1753">
        <v>1</v>
      </c>
    </row>
    <row r="1754" spans="1:7">
      <c r="A1754">
        <v>5.5</v>
      </c>
      <c r="B1754" t="s">
        <v>980</v>
      </c>
      <c r="C1754" t="s">
        <v>980</v>
      </c>
      <c r="D1754">
        <v>5.5</v>
      </c>
      <c r="E1754">
        <f t="shared" si="27"/>
        <v>12</v>
      </c>
      <c r="G1754">
        <v>1</v>
      </c>
    </row>
    <row r="1755" spans="1:7">
      <c r="A1755">
        <v>5.5</v>
      </c>
      <c r="B1755" t="s">
        <v>9464</v>
      </c>
      <c r="C1755" t="s">
        <v>9464</v>
      </c>
      <c r="D1755">
        <v>5.5</v>
      </c>
      <c r="E1755">
        <f t="shared" si="27"/>
        <v>12</v>
      </c>
      <c r="G1755">
        <v>1</v>
      </c>
    </row>
    <row r="1756" spans="1:7">
      <c r="A1756">
        <v>5.5</v>
      </c>
      <c r="B1756" t="s">
        <v>9373</v>
      </c>
      <c r="C1756" t="s">
        <v>9373</v>
      </c>
      <c r="D1756">
        <v>5.5</v>
      </c>
      <c r="E1756">
        <f t="shared" si="27"/>
        <v>12</v>
      </c>
      <c r="G1756">
        <v>1</v>
      </c>
    </row>
    <row r="1757" spans="1:7">
      <c r="A1757">
        <v>5.5</v>
      </c>
      <c r="B1757" t="s">
        <v>9459</v>
      </c>
      <c r="C1757" t="s">
        <v>9459</v>
      </c>
      <c r="D1757">
        <v>5.5</v>
      </c>
      <c r="E1757">
        <f t="shared" si="27"/>
        <v>12</v>
      </c>
      <c r="G1757">
        <v>1</v>
      </c>
    </row>
    <row r="1758" spans="1:7">
      <c r="A1758">
        <v>5.5</v>
      </c>
      <c r="B1758" t="s">
        <v>8639</v>
      </c>
      <c r="C1758" t="s">
        <v>8639</v>
      </c>
      <c r="D1758">
        <v>5.5</v>
      </c>
      <c r="E1758">
        <f t="shared" si="27"/>
        <v>12</v>
      </c>
      <c r="G1758">
        <v>1</v>
      </c>
    </row>
    <row r="1759" spans="1:7">
      <c r="A1759">
        <v>5.5</v>
      </c>
      <c r="B1759" t="s">
        <v>8590</v>
      </c>
      <c r="C1759" t="s">
        <v>8590</v>
      </c>
      <c r="D1759">
        <v>5.5</v>
      </c>
      <c r="E1759">
        <f t="shared" si="27"/>
        <v>12</v>
      </c>
      <c r="G1759">
        <v>1</v>
      </c>
    </row>
    <row r="1760" spans="1:7">
      <c r="A1760">
        <v>5.5</v>
      </c>
      <c r="B1760" t="s">
        <v>8625</v>
      </c>
      <c r="C1760" t="s">
        <v>8625</v>
      </c>
      <c r="D1760">
        <v>5.5</v>
      </c>
      <c r="E1760">
        <f t="shared" si="27"/>
        <v>12</v>
      </c>
      <c r="G1760">
        <v>1</v>
      </c>
    </row>
    <row r="1761" spans="1:7">
      <c r="A1761">
        <v>5.5</v>
      </c>
      <c r="B1761" t="s">
        <v>8207</v>
      </c>
      <c r="C1761" t="s">
        <v>8207</v>
      </c>
      <c r="D1761">
        <v>5.5</v>
      </c>
      <c r="E1761">
        <f t="shared" si="27"/>
        <v>12</v>
      </c>
      <c r="G1761">
        <v>1</v>
      </c>
    </row>
    <row r="1762" spans="1:7">
      <c r="A1762">
        <v>5.5</v>
      </c>
      <c r="B1762" t="s">
        <v>9199</v>
      </c>
      <c r="C1762" t="s">
        <v>9199</v>
      </c>
      <c r="D1762">
        <v>5.5</v>
      </c>
      <c r="E1762">
        <f t="shared" si="27"/>
        <v>12</v>
      </c>
      <c r="G1762">
        <v>1</v>
      </c>
    </row>
    <row r="1763" spans="1:7">
      <c r="A1763">
        <v>5.5</v>
      </c>
      <c r="B1763" t="s">
        <v>9437</v>
      </c>
      <c r="C1763" t="s">
        <v>9437</v>
      </c>
      <c r="D1763">
        <v>5.5</v>
      </c>
      <c r="E1763">
        <f t="shared" si="27"/>
        <v>12</v>
      </c>
      <c r="G1763">
        <v>1</v>
      </c>
    </row>
    <row r="1764" spans="1:7">
      <c r="A1764">
        <v>5.5</v>
      </c>
      <c r="B1764" t="s">
        <v>7597</v>
      </c>
      <c r="C1764" t="s">
        <v>7597</v>
      </c>
      <c r="D1764">
        <v>5.5</v>
      </c>
      <c r="E1764">
        <f t="shared" si="27"/>
        <v>12</v>
      </c>
      <c r="G1764">
        <v>1</v>
      </c>
    </row>
    <row r="1765" spans="1:7">
      <c r="A1765">
        <v>5.5</v>
      </c>
      <c r="B1765" t="s">
        <v>9534</v>
      </c>
      <c r="C1765" t="s">
        <v>9534</v>
      </c>
      <c r="D1765">
        <v>5.5</v>
      </c>
      <c r="E1765">
        <f t="shared" si="27"/>
        <v>12</v>
      </c>
      <c r="G1765">
        <v>1</v>
      </c>
    </row>
    <row r="1766" spans="1:7">
      <c r="A1766">
        <v>5.5</v>
      </c>
      <c r="B1766" t="s">
        <v>9065</v>
      </c>
      <c r="C1766" t="s">
        <v>9065</v>
      </c>
      <c r="D1766">
        <v>5.5</v>
      </c>
      <c r="E1766">
        <f t="shared" si="27"/>
        <v>12</v>
      </c>
      <c r="G1766">
        <v>1</v>
      </c>
    </row>
    <row r="1767" spans="1:7">
      <c r="A1767">
        <v>5.5</v>
      </c>
      <c r="B1767" t="s">
        <v>9041</v>
      </c>
      <c r="C1767" t="s">
        <v>9041</v>
      </c>
      <c r="D1767">
        <v>5.5</v>
      </c>
      <c r="E1767">
        <f t="shared" si="27"/>
        <v>12</v>
      </c>
      <c r="G1767">
        <v>1</v>
      </c>
    </row>
    <row r="1768" spans="1:7">
      <c r="A1768">
        <v>5.5</v>
      </c>
      <c r="B1768" t="s">
        <v>7739</v>
      </c>
      <c r="C1768" t="s">
        <v>7739</v>
      </c>
      <c r="D1768">
        <v>5.5</v>
      </c>
      <c r="E1768">
        <f t="shared" si="27"/>
        <v>12</v>
      </c>
      <c r="G1768">
        <v>1</v>
      </c>
    </row>
    <row r="1769" spans="1:7">
      <c r="A1769">
        <v>5.5</v>
      </c>
      <c r="B1769" t="s">
        <v>8121</v>
      </c>
      <c r="C1769" t="s">
        <v>8121</v>
      </c>
      <c r="D1769">
        <v>5.5</v>
      </c>
      <c r="E1769">
        <f t="shared" si="27"/>
        <v>12</v>
      </c>
      <c r="G1769">
        <v>1</v>
      </c>
    </row>
    <row r="1770" spans="1:7">
      <c r="A1770">
        <v>5.5</v>
      </c>
      <c r="B1770" t="s">
        <v>8758</v>
      </c>
      <c r="C1770" t="s">
        <v>8758</v>
      </c>
      <c r="D1770">
        <v>5.5</v>
      </c>
      <c r="E1770">
        <f t="shared" si="27"/>
        <v>12</v>
      </c>
      <c r="G1770">
        <v>1</v>
      </c>
    </row>
    <row r="1771" spans="1:7">
      <c r="A1771">
        <v>5.5</v>
      </c>
      <c r="B1771" t="s">
        <v>8689</v>
      </c>
      <c r="C1771" t="s">
        <v>8689</v>
      </c>
      <c r="D1771">
        <v>5.5</v>
      </c>
      <c r="E1771">
        <f t="shared" si="27"/>
        <v>12</v>
      </c>
      <c r="G1771">
        <v>1</v>
      </c>
    </row>
    <row r="1772" spans="1:7">
      <c r="A1772">
        <v>5.5</v>
      </c>
      <c r="B1772" t="s">
        <v>8096</v>
      </c>
      <c r="C1772" t="s">
        <v>8096</v>
      </c>
      <c r="D1772">
        <v>5.5</v>
      </c>
      <c r="E1772">
        <f t="shared" si="27"/>
        <v>12</v>
      </c>
      <c r="G1772">
        <v>1</v>
      </c>
    </row>
    <row r="1773" spans="1:7">
      <c r="A1773">
        <v>5.5</v>
      </c>
      <c r="B1773" t="s">
        <v>7811</v>
      </c>
      <c r="C1773" t="s">
        <v>7811</v>
      </c>
      <c r="D1773">
        <v>5.5</v>
      </c>
      <c r="E1773">
        <f t="shared" si="27"/>
        <v>12</v>
      </c>
      <c r="G1773">
        <v>1</v>
      </c>
    </row>
    <row r="1774" spans="1:7">
      <c r="A1774">
        <v>5.5</v>
      </c>
      <c r="B1774" t="s">
        <v>7618</v>
      </c>
      <c r="C1774" t="s">
        <v>7618</v>
      </c>
      <c r="D1774">
        <v>5.5</v>
      </c>
      <c r="E1774">
        <f t="shared" si="27"/>
        <v>12</v>
      </c>
      <c r="G1774">
        <v>1</v>
      </c>
    </row>
    <row r="1775" spans="1:7">
      <c r="A1775">
        <v>5.5</v>
      </c>
      <c r="B1775" t="s">
        <v>7684</v>
      </c>
      <c r="C1775" t="s">
        <v>7684</v>
      </c>
      <c r="D1775">
        <v>5.5</v>
      </c>
      <c r="E1775">
        <f t="shared" si="27"/>
        <v>12</v>
      </c>
      <c r="G1775">
        <v>1</v>
      </c>
    </row>
    <row r="1776" spans="1:7">
      <c r="A1776">
        <v>5.5</v>
      </c>
      <c r="B1776" t="s">
        <v>7686</v>
      </c>
      <c r="C1776" t="s">
        <v>7686</v>
      </c>
      <c r="D1776">
        <v>5.5</v>
      </c>
      <c r="E1776">
        <f t="shared" si="27"/>
        <v>12</v>
      </c>
      <c r="G1776">
        <v>1</v>
      </c>
    </row>
    <row r="1777" spans="1:7">
      <c r="A1777">
        <v>5.5</v>
      </c>
      <c r="B1777" t="s">
        <v>7638</v>
      </c>
      <c r="C1777" t="s">
        <v>7638</v>
      </c>
      <c r="D1777">
        <v>5.5</v>
      </c>
      <c r="E1777">
        <f t="shared" si="27"/>
        <v>12</v>
      </c>
      <c r="G1777">
        <v>1</v>
      </c>
    </row>
    <row r="1778" spans="1:7">
      <c r="A1778">
        <v>5.5</v>
      </c>
      <c r="B1778" t="s">
        <v>8592</v>
      </c>
      <c r="C1778" t="s">
        <v>8592</v>
      </c>
      <c r="D1778">
        <v>5.5</v>
      </c>
      <c r="E1778">
        <f t="shared" si="27"/>
        <v>12</v>
      </c>
      <c r="G1778">
        <v>1</v>
      </c>
    </row>
    <row r="1779" spans="1:7">
      <c r="A1779">
        <v>5.5</v>
      </c>
      <c r="B1779" t="s">
        <v>8687</v>
      </c>
      <c r="C1779" t="s">
        <v>8687</v>
      </c>
      <c r="D1779">
        <v>5.5</v>
      </c>
      <c r="E1779">
        <f t="shared" si="27"/>
        <v>12</v>
      </c>
      <c r="G1779">
        <v>1</v>
      </c>
    </row>
    <row r="1780" spans="1:7">
      <c r="A1780">
        <v>5.5</v>
      </c>
      <c r="B1780" t="s">
        <v>8741</v>
      </c>
      <c r="C1780" t="s">
        <v>8741</v>
      </c>
      <c r="D1780">
        <v>5.5</v>
      </c>
      <c r="E1780">
        <f t="shared" si="27"/>
        <v>12</v>
      </c>
      <c r="G1780">
        <v>1</v>
      </c>
    </row>
    <row r="1781" spans="1:7">
      <c r="A1781">
        <v>5.5</v>
      </c>
      <c r="B1781" t="s">
        <v>9091</v>
      </c>
      <c r="C1781" t="s">
        <v>9091</v>
      </c>
      <c r="D1781">
        <v>5.5</v>
      </c>
      <c r="E1781">
        <f t="shared" si="27"/>
        <v>12</v>
      </c>
      <c r="G1781">
        <v>1</v>
      </c>
    </row>
    <row r="1782" spans="1:7">
      <c r="A1782">
        <v>5.5</v>
      </c>
      <c r="B1782" t="s">
        <v>8249</v>
      </c>
      <c r="C1782" t="s">
        <v>8249</v>
      </c>
      <c r="D1782">
        <v>5.5</v>
      </c>
      <c r="E1782">
        <f t="shared" si="27"/>
        <v>12</v>
      </c>
      <c r="G1782">
        <v>1</v>
      </c>
    </row>
    <row r="1783" spans="1:7">
      <c r="A1783">
        <v>5.5</v>
      </c>
      <c r="B1783" t="s">
        <v>981</v>
      </c>
      <c r="C1783" t="s">
        <v>981</v>
      </c>
      <c r="D1783">
        <v>5.5</v>
      </c>
      <c r="E1783">
        <f t="shared" si="27"/>
        <v>12</v>
      </c>
      <c r="G1783">
        <v>1</v>
      </c>
    </row>
    <row r="1784" spans="1:7">
      <c r="A1784">
        <v>5.5</v>
      </c>
      <c r="B1784" t="s">
        <v>1088</v>
      </c>
      <c r="C1784" t="s">
        <v>1088</v>
      </c>
      <c r="D1784">
        <v>5.5</v>
      </c>
      <c r="E1784">
        <f t="shared" si="27"/>
        <v>12</v>
      </c>
      <c r="G1784">
        <v>1</v>
      </c>
    </row>
    <row r="1785" spans="1:7">
      <c r="A1785">
        <v>5.5</v>
      </c>
      <c r="B1785" t="s">
        <v>1363</v>
      </c>
      <c r="C1785" t="s">
        <v>1363</v>
      </c>
      <c r="D1785">
        <v>5.5</v>
      </c>
      <c r="E1785">
        <f t="shared" si="27"/>
        <v>12</v>
      </c>
      <c r="G1785">
        <v>1</v>
      </c>
    </row>
    <row r="1786" spans="1:7">
      <c r="A1786">
        <v>5.5</v>
      </c>
      <c r="B1786" t="s">
        <v>7194</v>
      </c>
      <c r="C1786" t="s">
        <v>7194</v>
      </c>
      <c r="D1786">
        <v>5.5</v>
      </c>
      <c r="E1786">
        <f t="shared" si="27"/>
        <v>11</v>
      </c>
      <c r="G1786">
        <v>1</v>
      </c>
    </row>
    <row r="1787" spans="1:7">
      <c r="A1787">
        <v>5.5</v>
      </c>
      <c r="B1787" t="s">
        <v>7304</v>
      </c>
      <c r="C1787" t="s">
        <v>7304</v>
      </c>
      <c r="D1787">
        <v>5.5</v>
      </c>
      <c r="E1787">
        <f t="shared" si="27"/>
        <v>11</v>
      </c>
      <c r="F1787" t="s">
        <v>821</v>
      </c>
      <c r="G1787">
        <v>1</v>
      </c>
    </row>
    <row r="1788" spans="1:7">
      <c r="A1788">
        <v>5.5</v>
      </c>
      <c r="B1788" t="s">
        <v>7920</v>
      </c>
      <c r="C1788" t="s">
        <v>7920</v>
      </c>
      <c r="D1788">
        <v>5.5</v>
      </c>
      <c r="E1788">
        <f t="shared" si="27"/>
        <v>11</v>
      </c>
      <c r="G1788">
        <v>1</v>
      </c>
    </row>
    <row r="1789" spans="1:7">
      <c r="A1789">
        <v>5.5</v>
      </c>
      <c r="B1789" t="s">
        <v>8716</v>
      </c>
      <c r="C1789" t="s">
        <v>8716</v>
      </c>
      <c r="D1789">
        <v>5.5</v>
      </c>
      <c r="E1789">
        <f t="shared" si="27"/>
        <v>11</v>
      </c>
      <c r="G1789">
        <v>1</v>
      </c>
    </row>
    <row r="1790" spans="1:7">
      <c r="A1790">
        <v>5.5</v>
      </c>
      <c r="B1790" t="s">
        <v>7510</v>
      </c>
      <c r="C1790" t="s">
        <v>7510</v>
      </c>
      <c r="D1790">
        <v>5.5</v>
      </c>
      <c r="E1790">
        <f t="shared" si="27"/>
        <v>11</v>
      </c>
      <c r="G1790">
        <v>1</v>
      </c>
    </row>
    <row r="1791" spans="1:7">
      <c r="A1791">
        <v>5.5</v>
      </c>
      <c r="B1791" t="s">
        <v>7711</v>
      </c>
      <c r="C1791" t="s">
        <v>7711</v>
      </c>
      <c r="D1791">
        <v>5.5</v>
      </c>
      <c r="E1791">
        <f t="shared" si="27"/>
        <v>11</v>
      </c>
      <c r="G1791">
        <v>1</v>
      </c>
    </row>
    <row r="1792" spans="1:7">
      <c r="A1792">
        <v>5.5</v>
      </c>
      <c r="B1792" t="s">
        <v>7741</v>
      </c>
      <c r="C1792" t="s">
        <v>7741</v>
      </c>
      <c r="D1792">
        <v>5.5</v>
      </c>
      <c r="E1792">
        <f t="shared" si="27"/>
        <v>11</v>
      </c>
      <c r="G1792">
        <v>1</v>
      </c>
    </row>
    <row r="1793" spans="1:7">
      <c r="A1793">
        <v>5.5</v>
      </c>
      <c r="B1793" t="s">
        <v>7791</v>
      </c>
      <c r="C1793" t="s">
        <v>7791</v>
      </c>
      <c r="D1793">
        <v>5.5</v>
      </c>
      <c r="E1793">
        <f t="shared" si="27"/>
        <v>11</v>
      </c>
      <c r="G1793">
        <v>1</v>
      </c>
    </row>
    <row r="1794" spans="1:7">
      <c r="A1794">
        <v>5.5</v>
      </c>
      <c r="B1794" t="s">
        <v>7794</v>
      </c>
      <c r="C1794" t="s">
        <v>7794</v>
      </c>
      <c r="D1794">
        <v>5.5</v>
      </c>
      <c r="E1794">
        <f t="shared" ref="E1794:E1857" si="28">LEN(B1794)</f>
        <v>11</v>
      </c>
      <c r="G1794">
        <v>1</v>
      </c>
    </row>
    <row r="1795" spans="1:7">
      <c r="A1795">
        <v>5.5</v>
      </c>
      <c r="B1795" t="s">
        <v>7975</v>
      </c>
      <c r="C1795" t="s">
        <v>7975</v>
      </c>
      <c r="D1795">
        <v>5.5</v>
      </c>
      <c r="E1795">
        <f t="shared" si="28"/>
        <v>11</v>
      </c>
      <c r="G1795">
        <v>1</v>
      </c>
    </row>
    <row r="1796" spans="1:7">
      <c r="A1796">
        <v>5.5</v>
      </c>
      <c r="B1796" t="s">
        <v>8018</v>
      </c>
      <c r="C1796" t="s">
        <v>8018</v>
      </c>
      <c r="D1796">
        <v>5.5</v>
      </c>
      <c r="E1796">
        <f t="shared" si="28"/>
        <v>11</v>
      </c>
      <c r="G1796">
        <v>1</v>
      </c>
    </row>
    <row r="1797" spans="1:7">
      <c r="A1797">
        <v>5.5</v>
      </c>
      <c r="B1797" t="s">
        <v>8049</v>
      </c>
      <c r="C1797" t="s">
        <v>8049</v>
      </c>
      <c r="D1797">
        <v>5.5</v>
      </c>
      <c r="E1797">
        <f t="shared" si="28"/>
        <v>11</v>
      </c>
      <c r="G1797">
        <v>1</v>
      </c>
    </row>
    <row r="1798" spans="1:7">
      <c r="A1798">
        <v>5.5</v>
      </c>
      <c r="B1798" t="s">
        <v>8062</v>
      </c>
      <c r="C1798" t="s">
        <v>8062</v>
      </c>
      <c r="D1798">
        <v>5.5</v>
      </c>
      <c r="E1798">
        <f t="shared" si="28"/>
        <v>11</v>
      </c>
      <c r="G1798">
        <v>1</v>
      </c>
    </row>
    <row r="1799" spans="1:7">
      <c r="A1799">
        <v>5.5</v>
      </c>
      <c r="B1799" t="s">
        <v>8088</v>
      </c>
      <c r="C1799" t="s">
        <v>8088</v>
      </c>
      <c r="D1799">
        <v>5.5</v>
      </c>
      <c r="E1799">
        <f t="shared" si="28"/>
        <v>11</v>
      </c>
      <c r="G1799">
        <v>1</v>
      </c>
    </row>
    <row r="1800" spans="1:7">
      <c r="A1800">
        <v>5.5</v>
      </c>
      <c r="B1800" t="s">
        <v>8181</v>
      </c>
      <c r="C1800" t="s">
        <v>8181</v>
      </c>
      <c r="D1800">
        <v>5.5</v>
      </c>
      <c r="E1800">
        <f t="shared" si="28"/>
        <v>11</v>
      </c>
      <c r="G1800">
        <v>1</v>
      </c>
    </row>
    <row r="1801" spans="1:7">
      <c r="A1801">
        <v>5.5</v>
      </c>
      <c r="B1801" t="s">
        <v>8298</v>
      </c>
      <c r="C1801" t="s">
        <v>8298</v>
      </c>
      <c r="D1801">
        <v>5.5</v>
      </c>
      <c r="E1801">
        <f t="shared" si="28"/>
        <v>11</v>
      </c>
      <c r="G1801">
        <v>1</v>
      </c>
    </row>
    <row r="1802" spans="1:7">
      <c r="A1802">
        <v>5.5</v>
      </c>
      <c r="B1802" t="s">
        <v>8517</v>
      </c>
      <c r="C1802" t="s">
        <v>8517</v>
      </c>
      <c r="D1802">
        <v>5.5</v>
      </c>
      <c r="E1802">
        <f t="shared" si="28"/>
        <v>11</v>
      </c>
      <c r="G1802">
        <v>1</v>
      </c>
    </row>
    <row r="1803" spans="1:7">
      <c r="A1803">
        <v>5.5</v>
      </c>
      <c r="B1803" t="s">
        <v>8521</v>
      </c>
      <c r="C1803" t="s">
        <v>8521</v>
      </c>
      <c r="D1803">
        <v>5.5</v>
      </c>
      <c r="E1803">
        <f t="shared" si="28"/>
        <v>11</v>
      </c>
      <c r="G1803">
        <v>1</v>
      </c>
    </row>
    <row r="1804" spans="1:7">
      <c r="A1804">
        <v>5.5</v>
      </c>
      <c r="B1804" t="s">
        <v>8772</v>
      </c>
      <c r="C1804" t="s">
        <v>8772</v>
      </c>
      <c r="D1804">
        <v>5.5</v>
      </c>
      <c r="E1804">
        <f t="shared" si="28"/>
        <v>11</v>
      </c>
      <c r="G1804">
        <v>1</v>
      </c>
    </row>
    <row r="1805" spans="1:7">
      <c r="A1805">
        <v>5.5</v>
      </c>
      <c r="B1805" t="s">
        <v>8627</v>
      </c>
      <c r="C1805" t="s">
        <v>8627</v>
      </c>
      <c r="D1805">
        <v>5.5</v>
      </c>
      <c r="E1805">
        <f t="shared" si="28"/>
        <v>11</v>
      </c>
      <c r="G1805">
        <v>1</v>
      </c>
    </row>
    <row r="1806" spans="1:7">
      <c r="A1806">
        <v>5.5</v>
      </c>
      <c r="B1806" t="s">
        <v>8838</v>
      </c>
      <c r="C1806" t="s">
        <v>8838</v>
      </c>
      <c r="D1806">
        <v>5.5</v>
      </c>
      <c r="E1806">
        <f t="shared" si="28"/>
        <v>11</v>
      </c>
      <c r="G1806">
        <v>1</v>
      </c>
    </row>
    <row r="1807" spans="1:7">
      <c r="A1807">
        <v>5.5</v>
      </c>
      <c r="B1807" t="s">
        <v>8923</v>
      </c>
      <c r="C1807" t="s">
        <v>8923</v>
      </c>
      <c r="D1807">
        <v>5.5</v>
      </c>
      <c r="E1807">
        <f t="shared" si="28"/>
        <v>11</v>
      </c>
      <c r="G1807">
        <v>1</v>
      </c>
    </row>
    <row r="1808" spans="1:7">
      <c r="A1808">
        <v>5.5</v>
      </c>
      <c r="B1808" t="s">
        <v>9136</v>
      </c>
      <c r="C1808" t="s">
        <v>9136</v>
      </c>
      <c r="D1808">
        <v>5.5</v>
      </c>
      <c r="E1808">
        <f t="shared" si="28"/>
        <v>11</v>
      </c>
      <c r="G1808">
        <v>1</v>
      </c>
    </row>
    <row r="1809" spans="1:7">
      <c r="A1809">
        <v>5.5</v>
      </c>
      <c r="B1809" t="s">
        <v>9203</v>
      </c>
      <c r="C1809" t="s">
        <v>9203</v>
      </c>
      <c r="D1809">
        <v>5.5</v>
      </c>
      <c r="E1809">
        <f t="shared" si="28"/>
        <v>11</v>
      </c>
      <c r="G1809">
        <v>1</v>
      </c>
    </row>
    <row r="1810" spans="1:7">
      <c r="A1810">
        <v>5.5</v>
      </c>
      <c r="B1810" t="s">
        <v>8977</v>
      </c>
      <c r="C1810" t="s">
        <v>8977</v>
      </c>
      <c r="D1810">
        <v>5.5</v>
      </c>
      <c r="E1810">
        <f t="shared" si="28"/>
        <v>11</v>
      </c>
      <c r="G1810">
        <v>1</v>
      </c>
    </row>
    <row r="1811" spans="1:7">
      <c r="A1811">
        <v>5.5</v>
      </c>
      <c r="B1811" t="s">
        <v>7643</v>
      </c>
      <c r="C1811" t="s">
        <v>7643</v>
      </c>
      <c r="D1811">
        <v>5.5</v>
      </c>
      <c r="E1811">
        <f t="shared" si="28"/>
        <v>11</v>
      </c>
      <c r="G1811">
        <v>1</v>
      </c>
    </row>
    <row r="1812" spans="1:7">
      <c r="A1812">
        <v>5.5</v>
      </c>
      <c r="B1812" t="s">
        <v>9307</v>
      </c>
      <c r="C1812" t="s">
        <v>9307</v>
      </c>
      <c r="D1812">
        <v>5.5</v>
      </c>
      <c r="E1812">
        <f t="shared" si="28"/>
        <v>11</v>
      </c>
      <c r="G1812">
        <v>1</v>
      </c>
    </row>
    <row r="1813" spans="1:7">
      <c r="A1813">
        <v>5.5</v>
      </c>
      <c r="B1813" t="s">
        <v>7805</v>
      </c>
      <c r="C1813" t="s">
        <v>7805</v>
      </c>
      <c r="D1813">
        <v>5.5</v>
      </c>
      <c r="E1813">
        <f t="shared" si="28"/>
        <v>11</v>
      </c>
      <c r="G1813">
        <v>1</v>
      </c>
    </row>
    <row r="1814" spans="1:7">
      <c r="A1814">
        <v>5.5</v>
      </c>
      <c r="B1814" t="s">
        <v>8586</v>
      </c>
      <c r="C1814" t="s">
        <v>8586</v>
      </c>
      <c r="D1814">
        <v>5.5</v>
      </c>
      <c r="E1814">
        <f t="shared" si="28"/>
        <v>11</v>
      </c>
      <c r="G1814">
        <v>1</v>
      </c>
    </row>
    <row r="1815" spans="1:7">
      <c r="A1815">
        <v>5.5</v>
      </c>
      <c r="B1815" t="s">
        <v>9461</v>
      </c>
      <c r="C1815" t="s">
        <v>9461</v>
      </c>
      <c r="D1815">
        <v>5.5</v>
      </c>
      <c r="E1815">
        <f t="shared" si="28"/>
        <v>11</v>
      </c>
      <c r="G1815">
        <v>1</v>
      </c>
    </row>
    <row r="1816" spans="1:7">
      <c r="A1816">
        <v>5.5</v>
      </c>
      <c r="B1816" t="s">
        <v>9447</v>
      </c>
      <c r="C1816" t="s">
        <v>9447</v>
      </c>
      <c r="D1816">
        <v>5.5</v>
      </c>
      <c r="E1816">
        <f t="shared" si="28"/>
        <v>11</v>
      </c>
      <c r="G1816">
        <v>1</v>
      </c>
    </row>
    <row r="1817" spans="1:7">
      <c r="A1817">
        <v>5.5</v>
      </c>
      <c r="B1817" t="s">
        <v>9125</v>
      </c>
      <c r="C1817" t="s">
        <v>9125</v>
      </c>
      <c r="D1817">
        <v>5.5</v>
      </c>
      <c r="E1817">
        <f t="shared" si="28"/>
        <v>11</v>
      </c>
      <c r="G1817">
        <v>1</v>
      </c>
    </row>
    <row r="1818" spans="1:7">
      <c r="A1818">
        <v>5.5</v>
      </c>
      <c r="B1818" t="s">
        <v>7869</v>
      </c>
      <c r="C1818" t="s">
        <v>7869</v>
      </c>
      <c r="D1818">
        <v>5.5</v>
      </c>
      <c r="E1818">
        <f t="shared" si="28"/>
        <v>11</v>
      </c>
      <c r="G1818">
        <v>1</v>
      </c>
    </row>
    <row r="1819" spans="1:7">
      <c r="A1819">
        <v>5.5</v>
      </c>
      <c r="B1819" t="s">
        <v>8610</v>
      </c>
      <c r="C1819" t="s">
        <v>8610</v>
      </c>
      <c r="D1819">
        <v>5.5</v>
      </c>
      <c r="E1819">
        <f t="shared" si="28"/>
        <v>11</v>
      </c>
      <c r="G1819">
        <v>1</v>
      </c>
    </row>
    <row r="1820" spans="1:7">
      <c r="A1820">
        <v>5.5</v>
      </c>
      <c r="B1820" t="s">
        <v>8656</v>
      </c>
      <c r="C1820" t="s">
        <v>8656</v>
      </c>
      <c r="D1820">
        <v>5.5</v>
      </c>
      <c r="E1820">
        <f t="shared" si="28"/>
        <v>11</v>
      </c>
      <c r="G1820">
        <v>1</v>
      </c>
    </row>
    <row r="1821" spans="1:7">
      <c r="A1821">
        <v>5.5</v>
      </c>
      <c r="B1821" t="s">
        <v>10010</v>
      </c>
      <c r="C1821" t="s">
        <v>10010</v>
      </c>
      <c r="D1821">
        <v>5.5</v>
      </c>
      <c r="E1821">
        <f t="shared" si="28"/>
        <v>11</v>
      </c>
      <c r="G1821">
        <v>1</v>
      </c>
    </row>
    <row r="1822" spans="1:7">
      <c r="A1822">
        <v>5.5</v>
      </c>
      <c r="B1822" t="s">
        <v>8216</v>
      </c>
      <c r="C1822" t="s">
        <v>8216</v>
      </c>
      <c r="D1822">
        <v>5.5</v>
      </c>
      <c r="E1822">
        <f t="shared" si="28"/>
        <v>11</v>
      </c>
      <c r="G1822">
        <v>1</v>
      </c>
    </row>
    <row r="1823" spans="1:7" ht="15" customHeight="1">
      <c r="A1823">
        <v>5.5</v>
      </c>
      <c r="B1823" t="s">
        <v>8653</v>
      </c>
      <c r="C1823" t="s">
        <v>8653</v>
      </c>
      <c r="D1823">
        <v>5.5</v>
      </c>
      <c r="E1823">
        <f t="shared" si="28"/>
        <v>11</v>
      </c>
      <c r="G1823">
        <v>1</v>
      </c>
    </row>
    <row r="1824" spans="1:7">
      <c r="A1824">
        <v>5.5</v>
      </c>
      <c r="B1824" t="s">
        <v>8110</v>
      </c>
      <c r="C1824" t="s">
        <v>8110</v>
      </c>
      <c r="D1824">
        <v>5.5</v>
      </c>
      <c r="E1824">
        <f t="shared" si="28"/>
        <v>11</v>
      </c>
      <c r="G1824">
        <v>1</v>
      </c>
    </row>
    <row r="1825" spans="1:7">
      <c r="A1825">
        <v>5.5</v>
      </c>
      <c r="B1825" t="s">
        <v>5505</v>
      </c>
      <c r="C1825" t="s">
        <v>5505</v>
      </c>
      <c r="D1825">
        <v>5.5</v>
      </c>
      <c r="E1825">
        <f t="shared" si="28"/>
        <v>11</v>
      </c>
      <c r="G1825">
        <v>1</v>
      </c>
    </row>
    <row r="1826" spans="1:7">
      <c r="A1826">
        <v>5.5</v>
      </c>
      <c r="B1826" t="s">
        <v>9020</v>
      </c>
      <c r="C1826" t="s">
        <v>9020</v>
      </c>
      <c r="D1826">
        <v>5.5</v>
      </c>
      <c r="E1826">
        <f t="shared" si="28"/>
        <v>11</v>
      </c>
      <c r="G1826">
        <v>1</v>
      </c>
    </row>
    <row r="1827" spans="1:7">
      <c r="A1827">
        <v>5.5</v>
      </c>
      <c r="B1827" t="s">
        <v>9156</v>
      </c>
      <c r="C1827" t="s">
        <v>9156</v>
      </c>
      <c r="D1827">
        <v>5.5</v>
      </c>
      <c r="E1827">
        <f t="shared" si="28"/>
        <v>11</v>
      </c>
      <c r="G1827">
        <v>1</v>
      </c>
    </row>
    <row r="1828" spans="1:7">
      <c r="A1828">
        <v>5.5</v>
      </c>
      <c r="B1828" t="s">
        <v>9318</v>
      </c>
      <c r="C1828" t="s">
        <v>9318</v>
      </c>
      <c r="D1828">
        <v>5.5</v>
      </c>
      <c r="E1828">
        <f t="shared" si="28"/>
        <v>11</v>
      </c>
      <c r="G1828">
        <v>1</v>
      </c>
    </row>
    <row r="1829" spans="1:7">
      <c r="A1829">
        <v>5.5</v>
      </c>
      <c r="B1829" t="s">
        <v>7692</v>
      </c>
      <c r="C1829" t="s">
        <v>7692</v>
      </c>
      <c r="D1829">
        <v>5.5</v>
      </c>
      <c r="E1829">
        <f t="shared" si="28"/>
        <v>11</v>
      </c>
      <c r="G1829">
        <v>1</v>
      </c>
    </row>
    <row r="1830" spans="1:7">
      <c r="A1830">
        <v>5.5</v>
      </c>
      <c r="B1830" t="s">
        <v>7709</v>
      </c>
      <c r="C1830" t="s">
        <v>7709</v>
      </c>
      <c r="D1830">
        <v>5.5</v>
      </c>
      <c r="E1830">
        <f t="shared" si="28"/>
        <v>11</v>
      </c>
      <c r="G1830">
        <v>1</v>
      </c>
    </row>
    <row r="1831" spans="1:7">
      <c r="A1831">
        <v>5.5</v>
      </c>
      <c r="B1831" t="s">
        <v>230</v>
      </c>
      <c r="C1831" t="s">
        <v>230</v>
      </c>
      <c r="D1831">
        <v>5.5</v>
      </c>
      <c r="E1831">
        <f t="shared" si="28"/>
        <v>11</v>
      </c>
      <c r="G1831">
        <v>1</v>
      </c>
    </row>
    <row r="1832" spans="1:7">
      <c r="A1832">
        <v>5.5</v>
      </c>
      <c r="B1832" t="s">
        <v>8026</v>
      </c>
      <c r="C1832" t="s">
        <v>8026</v>
      </c>
      <c r="D1832">
        <v>5.5</v>
      </c>
      <c r="E1832">
        <f t="shared" si="28"/>
        <v>11</v>
      </c>
      <c r="G1832">
        <v>1</v>
      </c>
    </row>
    <row r="1833" spans="1:7">
      <c r="A1833">
        <v>5.5</v>
      </c>
      <c r="B1833" t="s">
        <v>8643</v>
      </c>
      <c r="C1833" t="s">
        <v>8643</v>
      </c>
      <c r="D1833">
        <v>5.5</v>
      </c>
      <c r="E1833">
        <f t="shared" si="28"/>
        <v>11</v>
      </c>
      <c r="G1833">
        <v>1</v>
      </c>
    </row>
    <row r="1834" spans="1:7">
      <c r="A1834">
        <v>5.5</v>
      </c>
      <c r="B1834" t="s">
        <v>855</v>
      </c>
      <c r="C1834" t="s">
        <v>855</v>
      </c>
      <c r="D1834">
        <v>5.5</v>
      </c>
      <c r="E1834">
        <f t="shared" si="28"/>
        <v>11</v>
      </c>
      <c r="G1834">
        <v>1</v>
      </c>
    </row>
    <row r="1835" spans="1:7">
      <c r="A1835">
        <v>5.5</v>
      </c>
      <c r="B1835" t="s">
        <v>1241</v>
      </c>
      <c r="C1835" t="s">
        <v>1241</v>
      </c>
      <c r="D1835">
        <v>5.5</v>
      </c>
      <c r="E1835">
        <f t="shared" si="28"/>
        <v>11</v>
      </c>
      <c r="G1835">
        <v>1</v>
      </c>
    </row>
    <row r="1836" spans="1:7">
      <c r="A1836">
        <v>5.5</v>
      </c>
      <c r="B1836" t="s">
        <v>8194</v>
      </c>
      <c r="C1836" t="s">
        <v>8194</v>
      </c>
      <c r="D1836">
        <v>5.5</v>
      </c>
      <c r="E1836">
        <f t="shared" si="28"/>
        <v>11</v>
      </c>
      <c r="G1836">
        <v>1</v>
      </c>
    </row>
    <row r="1837" spans="1:7">
      <c r="A1837">
        <v>5.5</v>
      </c>
      <c r="B1837" t="s">
        <v>413</v>
      </c>
      <c r="C1837" t="s">
        <v>413</v>
      </c>
      <c r="D1837">
        <v>5.5</v>
      </c>
      <c r="E1837">
        <f t="shared" si="28"/>
        <v>11</v>
      </c>
      <c r="G1837">
        <v>1</v>
      </c>
    </row>
    <row r="1838" spans="1:7">
      <c r="A1838">
        <v>5.5</v>
      </c>
      <c r="B1838" t="s">
        <v>8214</v>
      </c>
      <c r="C1838" t="s">
        <v>8214</v>
      </c>
      <c r="D1838">
        <v>5.5</v>
      </c>
      <c r="E1838">
        <f t="shared" si="28"/>
        <v>11</v>
      </c>
      <c r="G1838">
        <v>1</v>
      </c>
    </row>
    <row r="1839" spans="1:7">
      <c r="A1839">
        <v>5.5</v>
      </c>
      <c r="B1839" t="s">
        <v>7166</v>
      </c>
      <c r="C1839" t="s">
        <v>7166</v>
      </c>
      <c r="D1839">
        <v>5.5</v>
      </c>
      <c r="E1839">
        <f t="shared" si="28"/>
        <v>10</v>
      </c>
      <c r="G1839">
        <v>1</v>
      </c>
    </row>
    <row r="1840" spans="1:7">
      <c r="A1840">
        <v>5.5</v>
      </c>
      <c r="B1840" t="s">
        <v>7198</v>
      </c>
      <c r="C1840" t="s">
        <v>7198</v>
      </c>
      <c r="D1840">
        <v>5.5</v>
      </c>
      <c r="E1840">
        <f t="shared" si="28"/>
        <v>10</v>
      </c>
      <c r="F1840" t="s">
        <v>821</v>
      </c>
      <c r="G1840">
        <v>1</v>
      </c>
    </row>
    <row r="1841" spans="1:7">
      <c r="A1841">
        <v>5.5</v>
      </c>
      <c r="B1841" t="s">
        <v>7204</v>
      </c>
      <c r="C1841" t="s">
        <v>7204</v>
      </c>
      <c r="D1841">
        <v>5.5</v>
      </c>
      <c r="E1841">
        <f t="shared" si="28"/>
        <v>10</v>
      </c>
      <c r="F1841" t="s">
        <v>822</v>
      </c>
      <c r="G1841">
        <v>1</v>
      </c>
    </row>
    <row r="1842" spans="1:7">
      <c r="A1842">
        <v>5.5</v>
      </c>
      <c r="B1842" t="s">
        <v>7220</v>
      </c>
      <c r="C1842" t="s">
        <v>7220</v>
      </c>
      <c r="D1842">
        <v>5.5</v>
      </c>
      <c r="E1842">
        <f t="shared" si="28"/>
        <v>10</v>
      </c>
      <c r="F1842" t="s">
        <v>824</v>
      </c>
      <c r="G1842">
        <v>1</v>
      </c>
    </row>
    <row r="1843" spans="1:7">
      <c r="A1843">
        <v>5.5</v>
      </c>
      <c r="B1843" t="s">
        <v>7255</v>
      </c>
      <c r="C1843" t="s">
        <v>7255</v>
      </c>
      <c r="D1843">
        <v>5.5</v>
      </c>
      <c r="E1843">
        <f t="shared" si="28"/>
        <v>10</v>
      </c>
      <c r="F1843" t="s">
        <v>821</v>
      </c>
      <c r="G1843">
        <v>1</v>
      </c>
    </row>
    <row r="1844" spans="1:7">
      <c r="A1844">
        <v>5.5</v>
      </c>
      <c r="B1844" t="s">
        <v>7297</v>
      </c>
      <c r="C1844" t="s">
        <v>7297</v>
      </c>
      <c r="D1844">
        <v>5.5</v>
      </c>
      <c r="E1844">
        <f t="shared" si="28"/>
        <v>10</v>
      </c>
      <c r="G1844">
        <v>1</v>
      </c>
    </row>
    <row r="1845" spans="1:7">
      <c r="A1845">
        <v>5.5</v>
      </c>
      <c r="B1845" t="s">
        <v>7320</v>
      </c>
      <c r="C1845" t="s">
        <v>7320</v>
      </c>
      <c r="D1845">
        <v>5.5</v>
      </c>
      <c r="E1845">
        <f t="shared" si="28"/>
        <v>10</v>
      </c>
      <c r="G1845">
        <v>1</v>
      </c>
    </row>
    <row r="1846" spans="1:7">
      <c r="A1846">
        <v>5.5</v>
      </c>
      <c r="B1846" t="s">
        <v>7323</v>
      </c>
      <c r="C1846" t="s">
        <v>7323</v>
      </c>
      <c r="D1846">
        <v>5.5</v>
      </c>
      <c r="E1846">
        <f t="shared" si="28"/>
        <v>10</v>
      </c>
      <c r="G1846">
        <v>1</v>
      </c>
    </row>
    <row r="1847" spans="1:7">
      <c r="A1847">
        <v>5.5</v>
      </c>
      <c r="B1847" t="s">
        <v>7371</v>
      </c>
      <c r="C1847" t="s">
        <v>7371</v>
      </c>
      <c r="D1847">
        <v>5.5</v>
      </c>
      <c r="E1847">
        <f t="shared" si="28"/>
        <v>10</v>
      </c>
      <c r="G1847">
        <v>1</v>
      </c>
    </row>
    <row r="1848" spans="1:7">
      <c r="A1848">
        <v>5.5</v>
      </c>
      <c r="B1848" t="s">
        <v>7433</v>
      </c>
      <c r="C1848" t="s">
        <v>7433</v>
      </c>
      <c r="D1848">
        <v>5.5</v>
      </c>
      <c r="E1848">
        <f t="shared" si="28"/>
        <v>10</v>
      </c>
      <c r="G1848">
        <v>1</v>
      </c>
    </row>
    <row r="1849" spans="1:7">
      <c r="A1849">
        <v>5.5</v>
      </c>
      <c r="B1849" t="s">
        <v>7957</v>
      </c>
      <c r="C1849" t="s">
        <v>7957</v>
      </c>
      <c r="D1849">
        <v>5.5</v>
      </c>
      <c r="E1849">
        <f t="shared" si="28"/>
        <v>10</v>
      </c>
      <c r="G1849">
        <v>1</v>
      </c>
    </row>
    <row r="1850" spans="1:7">
      <c r="A1850">
        <v>5.5</v>
      </c>
      <c r="B1850" t="s">
        <v>8016</v>
      </c>
      <c r="C1850" t="s">
        <v>8016</v>
      </c>
      <c r="D1850">
        <v>5.5</v>
      </c>
      <c r="E1850">
        <f t="shared" si="28"/>
        <v>10</v>
      </c>
      <c r="G1850">
        <v>1</v>
      </c>
    </row>
    <row r="1851" spans="1:7">
      <c r="A1851">
        <v>5.5</v>
      </c>
      <c r="B1851" t="s">
        <v>7641</v>
      </c>
      <c r="C1851" t="s">
        <v>7641</v>
      </c>
      <c r="D1851">
        <v>5.5</v>
      </c>
      <c r="E1851">
        <f t="shared" si="28"/>
        <v>10</v>
      </c>
      <c r="G1851">
        <v>1</v>
      </c>
    </row>
    <row r="1852" spans="1:7">
      <c r="A1852">
        <v>5.5</v>
      </c>
      <c r="B1852" t="s">
        <v>8357</v>
      </c>
      <c r="C1852" t="s">
        <v>8357</v>
      </c>
      <c r="D1852">
        <v>5.5</v>
      </c>
      <c r="E1852">
        <f t="shared" si="28"/>
        <v>10</v>
      </c>
      <c r="G1852">
        <v>1</v>
      </c>
    </row>
    <row r="1853" spans="1:7">
      <c r="A1853">
        <v>5.5</v>
      </c>
      <c r="B1853" t="s">
        <v>8792</v>
      </c>
      <c r="C1853" t="s">
        <v>8792</v>
      </c>
      <c r="D1853">
        <v>5.5</v>
      </c>
      <c r="E1853">
        <f t="shared" si="28"/>
        <v>10</v>
      </c>
      <c r="G1853">
        <v>1</v>
      </c>
    </row>
    <row r="1854" spans="1:7">
      <c r="A1854">
        <v>5.5</v>
      </c>
      <c r="B1854" t="s">
        <v>8583</v>
      </c>
      <c r="C1854" t="s">
        <v>8583</v>
      </c>
      <c r="D1854">
        <v>5.5</v>
      </c>
      <c r="E1854">
        <f t="shared" si="28"/>
        <v>10</v>
      </c>
      <c r="G1854">
        <v>1</v>
      </c>
    </row>
    <row r="1855" spans="1:7">
      <c r="A1855">
        <v>5.5</v>
      </c>
      <c r="B1855" t="s">
        <v>8619</v>
      </c>
      <c r="C1855" t="s">
        <v>8619</v>
      </c>
      <c r="D1855">
        <v>5.5</v>
      </c>
      <c r="E1855">
        <f t="shared" si="28"/>
        <v>10</v>
      </c>
      <c r="G1855">
        <v>1</v>
      </c>
    </row>
    <row r="1856" spans="1:7">
      <c r="A1856">
        <v>5.5</v>
      </c>
      <c r="B1856" t="s">
        <v>8836</v>
      </c>
      <c r="C1856" t="s">
        <v>8836</v>
      </c>
      <c r="D1856">
        <v>5.5</v>
      </c>
      <c r="E1856">
        <f t="shared" si="28"/>
        <v>10</v>
      </c>
      <c r="G1856">
        <v>1</v>
      </c>
    </row>
    <row r="1857" spans="1:7">
      <c r="A1857">
        <v>5.5</v>
      </c>
      <c r="B1857" t="s">
        <v>8928</v>
      </c>
      <c r="C1857" t="s">
        <v>8928</v>
      </c>
      <c r="D1857">
        <v>5.5</v>
      </c>
      <c r="E1857">
        <f t="shared" si="28"/>
        <v>10</v>
      </c>
      <c r="G1857">
        <v>1</v>
      </c>
    </row>
    <row r="1858" spans="1:7">
      <c r="A1858">
        <v>5.5</v>
      </c>
      <c r="B1858" t="s">
        <v>7732</v>
      </c>
      <c r="C1858" t="s">
        <v>7732</v>
      </c>
      <c r="D1858">
        <v>5.5</v>
      </c>
      <c r="E1858">
        <f t="shared" ref="E1858:E1921" si="29">LEN(B1858)</f>
        <v>10</v>
      </c>
      <c r="G1858">
        <v>1</v>
      </c>
    </row>
    <row r="1859" spans="1:7">
      <c r="A1859">
        <v>5.5</v>
      </c>
      <c r="B1859" t="s">
        <v>8947</v>
      </c>
      <c r="C1859" t="s">
        <v>8947</v>
      </c>
      <c r="D1859">
        <v>5.5</v>
      </c>
      <c r="E1859">
        <f t="shared" si="29"/>
        <v>10</v>
      </c>
      <c r="G1859">
        <v>1</v>
      </c>
    </row>
    <row r="1860" spans="1:7">
      <c r="A1860">
        <v>5.5</v>
      </c>
      <c r="B1860" t="s">
        <v>9031</v>
      </c>
      <c r="C1860" t="s">
        <v>9031</v>
      </c>
      <c r="D1860">
        <v>5.5</v>
      </c>
      <c r="E1860">
        <f t="shared" si="29"/>
        <v>10</v>
      </c>
      <c r="G1860">
        <v>1</v>
      </c>
    </row>
    <row r="1861" spans="1:7">
      <c r="A1861">
        <v>5.5</v>
      </c>
      <c r="B1861" t="s">
        <v>9124</v>
      </c>
      <c r="C1861" t="s">
        <v>9124</v>
      </c>
      <c r="D1861">
        <v>5.5</v>
      </c>
      <c r="E1861">
        <f t="shared" si="29"/>
        <v>10</v>
      </c>
      <c r="G1861">
        <v>1</v>
      </c>
    </row>
    <row r="1862" spans="1:7">
      <c r="A1862">
        <v>5.5</v>
      </c>
      <c r="B1862" t="s">
        <v>7715</v>
      </c>
      <c r="C1862" t="s">
        <v>7715</v>
      </c>
      <c r="D1862">
        <v>5.5</v>
      </c>
      <c r="E1862">
        <f t="shared" si="29"/>
        <v>10</v>
      </c>
      <c r="G1862">
        <v>1</v>
      </c>
    </row>
    <row r="1863" spans="1:7">
      <c r="A1863">
        <v>5.5</v>
      </c>
      <c r="B1863" t="s">
        <v>9415</v>
      </c>
      <c r="C1863" t="s">
        <v>9415</v>
      </c>
      <c r="D1863">
        <v>5.5</v>
      </c>
      <c r="E1863">
        <f t="shared" si="29"/>
        <v>10</v>
      </c>
      <c r="G1863">
        <v>1</v>
      </c>
    </row>
    <row r="1864" spans="1:7">
      <c r="A1864">
        <v>5.5</v>
      </c>
      <c r="B1864" t="s">
        <v>8979</v>
      </c>
      <c r="C1864" t="s">
        <v>8979</v>
      </c>
      <c r="D1864">
        <v>5.5</v>
      </c>
      <c r="E1864">
        <f t="shared" si="29"/>
        <v>10</v>
      </c>
      <c r="G1864">
        <v>1</v>
      </c>
    </row>
    <row r="1865" spans="1:7">
      <c r="A1865">
        <v>5.5</v>
      </c>
      <c r="B1865" t="s">
        <v>9007</v>
      </c>
      <c r="C1865" t="s">
        <v>9007</v>
      </c>
      <c r="D1865">
        <v>5.5</v>
      </c>
      <c r="E1865">
        <f t="shared" si="29"/>
        <v>10</v>
      </c>
      <c r="G1865">
        <v>1</v>
      </c>
    </row>
    <row r="1866" spans="1:7">
      <c r="A1866">
        <v>5.5</v>
      </c>
      <c r="B1866" t="s">
        <v>9417</v>
      </c>
      <c r="C1866" t="s">
        <v>9417</v>
      </c>
      <c r="D1866">
        <v>5.5</v>
      </c>
      <c r="E1866">
        <f t="shared" si="29"/>
        <v>10</v>
      </c>
      <c r="G1866">
        <v>1</v>
      </c>
    </row>
    <row r="1867" spans="1:7">
      <c r="A1867">
        <v>5.5</v>
      </c>
      <c r="B1867" t="s">
        <v>8745</v>
      </c>
      <c r="C1867" t="s">
        <v>8745</v>
      </c>
      <c r="D1867">
        <v>5.5</v>
      </c>
      <c r="E1867">
        <f t="shared" si="29"/>
        <v>10</v>
      </c>
      <c r="G1867">
        <v>1</v>
      </c>
    </row>
    <row r="1868" spans="1:7">
      <c r="A1868">
        <v>5.5</v>
      </c>
      <c r="B1868" t="s">
        <v>9985</v>
      </c>
      <c r="C1868" t="s">
        <v>9985</v>
      </c>
      <c r="D1868">
        <v>5.5</v>
      </c>
      <c r="E1868">
        <f t="shared" si="29"/>
        <v>10</v>
      </c>
      <c r="G1868">
        <v>1</v>
      </c>
    </row>
    <row r="1869" spans="1:7">
      <c r="A1869">
        <v>5.5</v>
      </c>
      <c r="B1869" t="s">
        <v>8371</v>
      </c>
      <c r="C1869" t="s">
        <v>8371</v>
      </c>
      <c r="D1869">
        <v>5.5</v>
      </c>
      <c r="E1869">
        <f t="shared" si="29"/>
        <v>10</v>
      </c>
      <c r="G1869">
        <v>1</v>
      </c>
    </row>
    <row r="1870" spans="1:7">
      <c r="A1870">
        <v>5.5</v>
      </c>
      <c r="B1870" t="s">
        <v>9457</v>
      </c>
      <c r="C1870" t="s">
        <v>9457</v>
      </c>
      <c r="D1870">
        <v>5.5</v>
      </c>
      <c r="E1870">
        <f t="shared" si="29"/>
        <v>10</v>
      </c>
      <c r="G1870">
        <v>1</v>
      </c>
    </row>
    <row r="1871" spans="1:7">
      <c r="A1871">
        <v>5.5</v>
      </c>
      <c r="B1871" t="s">
        <v>9445</v>
      </c>
      <c r="C1871" t="s">
        <v>9445</v>
      </c>
      <c r="D1871">
        <v>5.5</v>
      </c>
      <c r="E1871">
        <f t="shared" si="29"/>
        <v>10</v>
      </c>
      <c r="G1871">
        <v>1</v>
      </c>
    </row>
    <row r="1872" spans="1:7">
      <c r="A1872">
        <v>5.5</v>
      </c>
      <c r="B1872" t="s">
        <v>9016</v>
      </c>
      <c r="C1872" t="s">
        <v>9016</v>
      </c>
      <c r="D1872">
        <v>5.5</v>
      </c>
      <c r="E1872">
        <f t="shared" si="29"/>
        <v>10</v>
      </c>
      <c r="G1872">
        <v>1</v>
      </c>
    </row>
    <row r="1873" spans="1:7">
      <c r="A1873">
        <v>5.5</v>
      </c>
      <c r="B1873" t="s">
        <v>8739</v>
      </c>
      <c r="C1873" t="s">
        <v>8739</v>
      </c>
      <c r="D1873">
        <v>5.5</v>
      </c>
      <c r="E1873">
        <f t="shared" si="29"/>
        <v>10</v>
      </c>
      <c r="G1873">
        <v>1</v>
      </c>
    </row>
    <row r="1874" spans="1:7">
      <c r="A1874">
        <v>5.5</v>
      </c>
      <c r="B1874" t="s">
        <v>8117</v>
      </c>
      <c r="C1874" t="s">
        <v>8117</v>
      </c>
      <c r="D1874">
        <v>5.5</v>
      </c>
      <c r="E1874">
        <f t="shared" si="29"/>
        <v>10</v>
      </c>
      <c r="G1874">
        <v>1</v>
      </c>
    </row>
    <row r="1875" spans="1:7">
      <c r="A1875">
        <v>5.5</v>
      </c>
      <c r="B1875" t="s">
        <v>7807</v>
      </c>
      <c r="C1875" t="s">
        <v>7807</v>
      </c>
      <c r="D1875">
        <v>5.5</v>
      </c>
      <c r="E1875">
        <f t="shared" si="29"/>
        <v>10</v>
      </c>
      <c r="G1875">
        <v>1</v>
      </c>
    </row>
    <row r="1876" spans="1:7">
      <c r="A1876">
        <v>5.5</v>
      </c>
      <c r="B1876" t="s">
        <v>163</v>
      </c>
      <c r="C1876" t="s">
        <v>163</v>
      </c>
      <c r="D1876">
        <v>5.5</v>
      </c>
      <c r="E1876">
        <f t="shared" si="29"/>
        <v>10</v>
      </c>
      <c r="G1876">
        <v>1</v>
      </c>
    </row>
    <row r="1877" spans="1:7">
      <c r="A1877">
        <v>5.5</v>
      </c>
      <c r="B1877" t="s">
        <v>7867</v>
      </c>
      <c r="C1877" t="s">
        <v>7867</v>
      </c>
      <c r="D1877">
        <v>5.5</v>
      </c>
      <c r="E1877">
        <f t="shared" si="29"/>
        <v>10</v>
      </c>
      <c r="G1877">
        <v>1</v>
      </c>
    </row>
    <row r="1878" spans="1:7">
      <c r="A1878">
        <v>5.5</v>
      </c>
      <c r="B1878" t="s">
        <v>8241</v>
      </c>
      <c r="C1878" t="s">
        <v>8241</v>
      </c>
      <c r="D1878">
        <v>5.5</v>
      </c>
      <c r="E1878">
        <f t="shared" si="29"/>
        <v>10</v>
      </c>
      <c r="G1878">
        <v>1</v>
      </c>
    </row>
    <row r="1879" spans="1:7">
      <c r="A1879">
        <v>5.5</v>
      </c>
      <c r="B1879" t="s">
        <v>8595</v>
      </c>
      <c r="C1879" t="s">
        <v>8595</v>
      </c>
      <c r="D1879">
        <v>5.5</v>
      </c>
      <c r="E1879">
        <f t="shared" si="29"/>
        <v>10</v>
      </c>
      <c r="G1879">
        <v>1</v>
      </c>
    </row>
    <row r="1880" spans="1:7">
      <c r="A1880">
        <v>5.5</v>
      </c>
      <c r="B1880" t="s">
        <v>8676</v>
      </c>
      <c r="C1880" t="s">
        <v>8676</v>
      </c>
      <c r="D1880">
        <v>5.5</v>
      </c>
      <c r="E1880">
        <f t="shared" si="29"/>
        <v>10</v>
      </c>
      <c r="G1880">
        <v>1</v>
      </c>
    </row>
    <row r="1881" spans="1:7">
      <c r="A1881">
        <v>5.5</v>
      </c>
      <c r="B1881" t="s">
        <v>8268</v>
      </c>
      <c r="C1881" t="s">
        <v>8268</v>
      </c>
      <c r="D1881">
        <v>5.5</v>
      </c>
      <c r="E1881">
        <f t="shared" si="29"/>
        <v>10</v>
      </c>
      <c r="G1881">
        <v>1</v>
      </c>
    </row>
    <row r="1882" spans="1:7">
      <c r="A1882">
        <v>5.5</v>
      </c>
      <c r="B1882" t="s">
        <v>8816</v>
      </c>
      <c r="C1882" t="s">
        <v>8816</v>
      </c>
      <c r="D1882">
        <v>5.5</v>
      </c>
      <c r="E1882">
        <f t="shared" si="29"/>
        <v>10</v>
      </c>
      <c r="G1882">
        <v>1</v>
      </c>
    </row>
    <row r="1883" spans="1:7">
      <c r="A1883">
        <v>5.5</v>
      </c>
      <c r="B1883" t="s">
        <v>7337</v>
      </c>
      <c r="C1883" t="s">
        <v>7337</v>
      </c>
      <c r="D1883">
        <v>5.5</v>
      </c>
      <c r="E1883">
        <f t="shared" si="29"/>
        <v>10</v>
      </c>
      <c r="G1883">
        <v>1</v>
      </c>
    </row>
    <row r="1884" spans="1:7">
      <c r="A1884">
        <v>5.5</v>
      </c>
      <c r="B1884" t="s">
        <v>8437</v>
      </c>
      <c r="C1884" t="s">
        <v>8437</v>
      </c>
      <c r="D1884">
        <v>5.5</v>
      </c>
      <c r="E1884">
        <f t="shared" si="29"/>
        <v>10</v>
      </c>
      <c r="G1884">
        <v>1</v>
      </c>
    </row>
    <row r="1885" spans="1:7">
      <c r="A1885">
        <v>5.5</v>
      </c>
      <c r="B1885" t="s">
        <v>9440</v>
      </c>
      <c r="C1885" t="s">
        <v>9440</v>
      </c>
      <c r="D1885">
        <v>5.5</v>
      </c>
      <c r="E1885">
        <f t="shared" si="29"/>
        <v>10</v>
      </c>
      <c r="G1885">
        <v>1</v>
      </c>
    </row>
    <row r="1886" spans="1:7">
      <c r="A1886">
        <v>5.5</v>
      </c>
      <c r="B1886" t="s">
        <v>8103</v>
      </c>
      <c r="C1886" t="s">
        <v>8103</v>
      </c>
      <c r="D1886">
        <v>5.5</v>
      </c>
      <c r="E1886">
        <f t="shared" si="29"/>
        <v>10</v>
      </c>
      <c r="G1886">
        <v>1</v>
      </c>
    </row>
    <row r="1887" spans="1:7">
      <c r="A1887">
        <v>5.5</v>
      </c>
      <c r="B1887" t="s">
        <v>8894</v>
      </c>
      <c r="C1887" t="s">
        <v>8894</v>
      </c>
      <c r="D1887">
        <v>5.5</v>
      </c>
      <c r="E1887">
        <f t="shared" si="29"/>
        <v>10</v>
      </c>
      <c r="G1887">
        <v>1</v>
      </c>
    </row>
    <row r="1888" spans="1:7">
      <c r="A1888">
        <v>5.5</v>
      </c>
      <c r="B1888" t="s">
        <v>9995</v>
      </c>
      <c r="C1888" t="s">
        <v>9995</v>
      </c>
      <c r="D1888">
        <v>5.5</v>
      </c>
      <c r="E1888">
        <f t="shared" si="29"/>
        <v>10</v>
      </c>
      <c r="G1888">
        <v>1</v>
      </c>
    </row>
    <row r="1889" spans="1:7">
      <c r="A1889">
        <v>5.5</v>
      </c>
      <c r="B1889" t="s">
        <v>9367</v>
      </c>
      <c r="C1889" t="s">
        <v>9367</v>
      </c>
      <c r="D1889">
        <v>5.5</v>
      </c>
      <c r="E1889">
        <f t="shared" si="29"/>
        <v>10</v>
      </c>
      <c r="G1889">
        <v>1</v>
      </c>
    </row>
    <row r="1890" spans="1:7">
      <c r="A1890">
        <v>5.5</v>
      </c>
      <c r="B1890" t="s">
        <v>8751</v>
      </c>
      <c r="C1890" t="s">
        <v>8751</v>
      </c>
      <c r="D1890">
        <v>5.5</v>
      </c>
      <c r="E1890">
        <f t="shared" si="29"/>
        <v>10</v>
      </c>
      <c r="G1890">
        <v>1</v>
      </c>
    </row>
    <row r="1891" spans="1:7">
      <c r="A1891">
        <v>5.5</v>
      </c>
      <c r="B1891" t="s">
        <v>7355</v>
      </c>
      <c r="C1891" t="s">
        <v>7355</v>
      </c>
      <c r="D1891">
        <v>5.5</v>
      </c>
      <c r="E1891">
        <f t="shared" si="29"/>
        <v>10</v>
      </c>
      <c r="G1891">
        <v>1</v>
      </c>
    </row>
    <row r="1892" spans="1:7">
      <c r="A1892">
        <v>5.5</v>
      </c>
      <c r="B1892" t="s">
        <v>9489</v>
      </c>
      <c r="C1892" t="s">
        <v>9489</v>
      </c>
      <c r="D1892">
        <v>5.5</v>
      </c>
      <c r="E1892">
        <f t="shared" si="29"/>
        <v>10</v>
      </c>
      <c r="G1892">
        <v>1</v>
      </c>
    </row>
    <row r="1893" spans="1:7">
      <c r="A1893">
        <v>5.5</v>
      </c>
      <c r="B1893" t="s">
        <v>493</v>
      </c>
      <c r="C1893" t="s">
        <v>493</v>
      </c>
      <c r="D1893">
        <v>5.5</v>
      </c>
      <c r="E1893">
        <f t="shared" si="29"/>
        <v>10</v>
      </c>
      <c r="G1893">
        <v>1</v>
      </c>
    </row>
    <row r="1894" spans="1:7">
      <c r="A1894">
        <v>5.5</v>
      </c>
      <c r="B1894" t="s">
        <v>9421</v>
      </c>
      <c r="C1894" t="s">
        <v>9421</v>
      </c>
      <c r="D1894">
        <v>5.5</v>
      </c>
      <c r="E1894">
        <f t="shared" si="29"/>
        <v>10</v>
      </c>
      <c r="G1894">
        <v>1</v>
      </c>
    </row>
    <row r="1895" spans="1:7">
      <c r="A1895">
        <v>5.5</v>
      </c>
      <c r="B1895" t="s">
        <v>8726</v>
      </c>
      <c r="C1895" t="s">
        <v>8726</v>
      </c>
      <c r="D1895">
        <v>5.5</v>
      </c>
      <c r="E1895">
        <f t="shared" si="29"/>
        <v>10</v>
      </c>
      <c r="G1895">
        <v>1</v>
      </c>
    </row>
    <row r="1896" spans="1:7">
      <c r="A1896">
        <v>5.5</v>
      </c>
      <c r="B1896" t="s">
        <v>8513</v>
      </c>
      <c r="C1896" t="s">
        <v>8513</v>
      </c>
      <c r="D1896">
        <v>5.5</v>
      </c>
      <c r="E1896">
        <f t="shared" si="29"/>
        <v>10</v>
      </c>
      <c r="G1896">
        <v>1</v>
      </c>
    </row>
    <row r="1897" spans="1:7">
      <c r="A1897">
        <v>5.5</v>
      </c>
      <c r="B1897" t="s">
        <v>8221</v>
      </c>
      <c r="C1897" t="s">
        <v>8221</v>
      </c>
      <c r="D1897">
        <v>5.5</v>
      </c>
      <c r="E1897">
        <f t="shared" si="29"/>
        <v>10</v>
      </c>
      <c r="G1897">
        <v>1</v>
      </c>
    </row>
    <row r="1898" spans="1:7">
      <c r="A1898">
        <v>5.5</v>
      </c>
      <c r="B1898" t="s">
        <v>9173</v>
      </c>
      <c r="C1898" t="s">
        <v>9173</v>
      </c>
      <c r="D1898">
        <v>5.5</v>
      </c>
      <c r="E1898">
        <f t="shared" si="29"/>
        <v>10</v>
      </c>
      <c r="G1898">
        <v>1</v>
      </c>
    </row>
    <row r="1899" spans="1:7">
      <c r="A1899">
        <v>5.5</v>
      </c>
      <c r="B1899" t="s">
        <v>9991</v>
      </c>
      <c r="C1899" t="s">
        <v>9991</v>
      </c>
      <c r="D1899">
        <v>5.5</v>
      </c>
      <c r="E1899">
        <f t="shared" si="29"/>
        <v>10</v>
      </c>
      <c r="G1899">
        <v>1</v>
      </c>
    </row>
    <row r="1900" spans="1:7">
      <c r="A1900">
        <v>5.5</v>
      </c>
      <c r="B1900" t="s">
        <v>8826</v>
      </c>
      <c r="C1900" t="s">
        <v>8826</v>
      </c>
      <c r="D1900">
        <v>5.5</v>
      </c>
      <c r="E1900">
        <f t="shared" si="29"/>
        <v>10</v>
      </c>
      <c r="G1900">
        <v>1</v>
      </c>
    </row>
    <row r="1901" spans="1:7">
      <c r="A1901">
        <v>5.5</v>
      </c>
      <c r="B1901" t="s">
        <v>1083</v>
      </c>
      <c r="C1901" t="s">
        <v>1083</v>
      </c>
      <c r="D1901">
        <v>5.5</v>
      </c>
      <c r="E1901">
        <f t="shared" si="29"/>
        <v>10</v>
      </c>
      <c r="G1901">
        <v>1</v>
      </c>
    </row>
    <row r="1902" spans="1:7">
      <c r="A1902">
        <v>5.5</v>
      </c>
      <c r="B1902" t="s">
        <v>170</v>
      </c>
      <c r="C1902" t="s">
        <v>170</v>
      </c>
      <c r="D1902">
        <v>5.5</v>
      </c>
      <c r="E1902">
        <f t="shared" si="29"/>
        <v>10</v>
      </c>
      <c r="G1902">
        <v>1</v>
      </c>
    </row>
    <row r="1903" spans="1:7">
      <c r="A1903">
        <v>5.5</v>
      </c>
      <c r="B1903" t="s">
        <v>7737</v>
      </c>
      <c r="C1903" t="s">
        <v>7737</v>
      </c>
      <c r="D1903">
        <v>5.5</v>
      </c>
      <c r="E1903">
        <f t="shared" si="29"/>
        <v>10</v>
      </c>
      <c r="G1903">
        <v>1</v>
      </c>
    </row>
    <row r="1904" spans="1:7">
      <c r="A1904">
        <v>5.5</v>
      </c>
      <c r="B1904" t="s">
        <v>10388</v>
      </c>
      <c r="C1904" t="s">
        <v>10388</v>
      </c>
      <c r="D1904">
        <v>5.5</v>
      </c>
      <c r="E1904">
        <f t="shared" si="29"/>
        <v>10</v>
      </c>
      <c r="G1904">
        <v>1</v>
      </c>
    </row>
    <row r="1905" spans="1:7">
      <c r="A1905">
        <v>5.5</v>
      </c>
      <c r="B1905" t="s">
        <v>7223</v>
      </c>
      <c r="C1905" t="s">
        <v>7223</v>
      </c>
      <c r="D1905">
        <v>5.5</v>
      </c>
      <c r="E1905">
        <f t="shared" si="29"/>
        <v>9</v>
      </c>
      <c r="G1905">
        <v>1</v>
      </c>
    </row>
    <row r="1906" spans="1:7">
      <c r="A1906">
        <v>5.5</v>
      </c>
      <c r="B1906" t="s">
        <v>7231</v>
      </c>
      <c r="C1906" t="s">
        <v>7231</v>
      </c>
      <c r="D1906">
        <v>5.5</v>
      </c>
      <c r="E1906">
        <f t="shared" si="29"/>
        <v>9</v>
      </c>
      <c r="F1906" t="s">
        <v>821</v>
      </c>
      <c r="G1906">
        <v>1</v>
      </c>
    </row>
    <row r="1907" spans="1:7">
      <c r="A1907">
        <v>5.5</v>
      </c>
      <c r="B1907" t="s">
        <v>107</v>
      </c>
      <c r="C1907" t="s">
        <v>107</v>
      </c>
      <c r="D1907">
        <v>5.5</v>
      </c>
      <c r="E1907">
        <f t="shared" si="29"/>
        <v>9</v>
      </c>
      <c r="F1907" t="s">
        <v>822</v>
      </c>
      <c r="G1907">
        <v>1</v>
      </c>
    </row>
    <row r="1908" spans="1:7">
      <c r="A1908">
        <v>5.5</v>
      </c>
      <c r="B1908" t="s">
        <v>7263</v>
      </c>
      <c r="C1908" t="s">
        <v>7263</v>
      </c>
      <c r="D1908">
        <v>5.5</v>
      </c>
      <c r="E1908">
        <f t="shared" si="29"/>
        <v>9</v>
      </c>
      <c r="F1908" t="s">
        <v>821</v>
      </c>
      <c r="G1908">
        <v>1</v>
      </c>
    </row>
    <row r="1909" spans="1:7">
      <c r="A1909">
        <v>5.5</v>
      </c>
      <c r="B1909" t="s">
        <v>7279</v>
      </c>
      <c r="C1909" t="s">
        <v>7279</v>
      </c>
      <c r="D1909">
        <v>5.5</v>
      </c>
      <c r="E1909">
        <f t="shared" si="29"/>
        <v>9</v>
      </c>
      <c r="G1909">
        <v>1</v>
      </c>
    </row>
    <row r="1910" spans="1:7">
      <c r="A1910">
        <v>5.5</v>
      </c>
      <c r="B1910" t="s">
        <v>7281</v>
      </c>
      <c r="C1910" t="s">
        <v>7281</v>
      </c>
      <c r="D1910">
        <v>5.5</v>
      </c>
      <c r="E1910">
        <f t="shared" si="29"/>
        <v>9</v>
      </c>
      <c r="G1910">
        <v>1</v>
      </c>
    </row>
    <row r="1911" spans="1:7">
      <c r="A1911">
        <v>5.5</v>
      </c>
      <c r="B1911" t="s">
        <v>7542</v>
      </c>
      <c r="C1911" t="s">
        <v>7542</v>
      </c>
      <c r="D1911">
        <v>5.5</v>
      </c>
      <c r="E1911">
        <f t="shared" si="29"/>
        <v>9</v>
      </c>
      <c r="G1911">
        <v>1</v>
      </c>
    </row>
    <row r="1912" spans="1:7">
      <c r="A1912">
        <v>5.5</v>
      </c>
      <c r="B1912" t="s">
        <v>8259</v>
      </c>
      <c r="C1912" t="s">
        <v>8259</v>
      </c>
      <c r="D1912">
        <v>5.5</v>
      </c>
      <c r="E1912">
        <f t="shared" si="29"/>
        <v>9</v>
      </c>
      <c r="G1912">
        <v>1</v>
      </c>
    </row>
    <row r="1913" spans="1:7">
      <c r="A1913">
        <v>5.5</v>
      </c>
      <c r="B1913" t="s">
        <v>8560</v>
      </c>
      <c r="C1913" t="s">
        <v>8560</v>
      </c>
      <c r="D1913">
        <v>5.5</v>
      </c>
      <c r="E1913">
        <f t="shared" si="29"/>
        <v>9</v>
      </c>
      <c r="G1913">
        <v>1</v>
      </c>
    </row>
    <row r="1914" spans="1:7">
      <c r="A1914">
        <v>5.5</v>
      </c>
      <c r="B1914" t="s">
        <v>9487</v>
      </c>
      <c r="C1914" t="s">
        <v>9487</v>
      </c>
      <c r="D1914">
        <v>5.5</v>
      </c>
      <c r="E1914">
        <f t="shared" si="29"/>
        <v>9</v>
      </c>
      <c r="G1914">
        <v>1</v>
      </c>
    </row>
    <row r="1915" spans="1:7">
      <c r="A1915">
        <v>5.5</v>
      </c>
      <c r="B1915" t="s">
        <v>7947</v>
      </c>
      <c r="C1915" t="s">
        <v>7947</v>
      </c>
      <c r="D1915">
        <v>5.5</v>
      </c>
      <c r="E1915">
        <f t="shared" si="29"/>
        <v>9</v>
      </c>
      <c r="G1915">
        <v>1</v>
      </c>
    </row>
    <row r="1916" spans="1:7">
      <c r="A1916">
        <v>5.5</v>
      </c>
      <c r="B1916" t="s">
        <v>7993</v>
      </c>
      <c r="C1916" t="s">
        <v>7993</v>
      </c>
      <c r="D1916">
        <v>5.5</v>
      </c>
      <c r="E1916">
        <f t="shared" si="29"/>
        <v>9</v>
      </c>
      <c r="G1916">
        <v>1</v>
      </c>
    </row>
    <row r="1917" spans="1:7">
      <c r="A1917">
        <v>5.5</v>
      </c>
      <c r="B1917" t="s">
        <v>8066</v>
      </c>
      <c r="C1917" t="s">
        <v>8066</v>
      </c>
      <c r="D1917">
        <v>5.5</v>
      </c>
      <c r="E1917">
        <f t="shared" si="29"/>
        <v>9</v>
      </c>
      <c r="G1917">
        <v>1</v>
      </c>
    </row>
    <row r="1918" spans="1:7">
      <c r="A1918">
        <v>5.5</v>
      </c>
      <c r="B1918" t="s">
        <v>7813</v>
      </c>
      <c r="C1918" t="s">
        <v>7813</v>
      </c>
      <c r="D1918">
        <v>5.5</v>
      </c>
      <c r="E1918">
        <f t="shared" si="29"/>
        <v>9</v>
      </c>
      <c r="G1918">
        <v>1</v>
      </c>
    </row>
    <row r="1919" spans="1:7">
      <c r="A1919">
        <v>5.5</v>
      </c>
      <c r="B1919" t="s">
        <v>8086</v>
      </c>
      <c r="C1919" t="s">
        <v>8086</v>
      </c>
      <c r="D1919">
        <v>5.5</v>
      </c>
      <c r="E1919">
        <f t="shared" si="29"/>
        <v>9</v>
      </c>
      <c r="G1919">
        <v>1</v>
      </c>
    </row>
    <row r="1920" spans="1:7">
      <c r="A1920">
        <v>5.5</v>
      </c>
      <c r="B1920" t="s">
        <v>7721</v>
      </c>
      <c r="C1920" t="s">
        <v>7721</v>
      </c>
      <c r="D1920">
        <v>5.5</v>
      </c>
      <c r="E1920">
        <f t="shared" si="29"/>
        <v>9</v>
      </c>
      <c r="G1920">
        <v>1</v>
      </c>
    </row>
    <row r="1921" spans="1:7">
      <c r="A1921">
        <v>5.5</v>
      </c>
      <c r="B1921" t="s">
        <v>8332</v>
      </c>
      <c r="C1921" t="s">
        <v>8332</v>
      </c>
      <c r="D1921">
        <v>5.5</v>
      </c>
      <c r="E1921">
        <f t="shared" si="29"/>
        <v>9</v>
      </c>
      <c r="G1921">
        <v>1</v>
      </c>
    </row>
    <row r="1922" spans="1:7">
      <c r="A1922">
        <v>5.5</v>
      </c>
      <c r="B1922" t="s">
        <v>8399</v>
      </c>
      <c r="C1922" t="s">
        <v>8399</v>
      </c>
      <c r="D1922">
        <v>5.5</v>
      </c>
      <c r="E1922">
        <f t="shared" ref="E1922:E1985" si="30">LEN(B1922)</f>
        <v>9</v>
      </c>
      <c r="G1922">
        <v>1</v>
      </c>
    </row>
    <row r="1923" spans="1:7">
      <c r="A1923">
        <v>5.5</v>
      </c>
      <c r="B1923" t="s">
        <v>7385</v>
      </c>
      <c r="C1923" t="s">
        <v>7385</v>
      </c>
      <c r="D1923">
        <v>5.5</v>
      </c>
      <c r="E1923">
        <f t="shared" si="30"/>
        <v>9</v>
      </c>
      <c r="G1923">
        <v>1</v>
      </c>
    </row>
    <row r="1924" spans="1:7">
      <c r="A1924">
        <v>5.5</v>
      </c>
      <c r="B1924" t="s">
        <v>8442</v>
      </c>
      <c r="C1924" t="s">
        <v>8442</v>
      </c>
      <c r="D1924">
        <v>5.5</v>
      </c>
      <c r="E1924">
        <f t="shared" si="30"/>
        <v>9</v>
      </c>
      <c r="G1924">
        <v>1</v>
      </c>
    </row>
    <row r="1925" spans="1:7">
      <c r="A1925">
        <v>5.5</v>
      </c>
      <c r="B1925" t="s">
        <v>8446</v>
      </c>
      <c r="C1925" t="s">
        <v>8446</v>
      </c>
      <c r="D1925">
        <v>5.5</v>
      </c>
      <c r="E1925">
        <f t="shared" si="30"/>
        <v>9</v>
      </c>
      <c r="G1925">
        <v>1</v>
      </c>
    </row>
    <row r="1926" spans="1:7">
      <c r="A1926">
        <v>5.5</v>
      </c>
      <c r="B1926" t="s">
        <v>8576</v>
      </c>
      <c r="C1926" t="s">
        <v>8576</v>
      </c>
      <c r="D1926">
        <v>5.5</v>
      </c>
      <c r="E1926">
        <f t="shared" si="30"/>
        <v>9</v>
      </c>
      <c r="G1926">
        <v>1</v>
      </c>
    </row>
    <row r="1927" spans="1:7">
      <c r="A1927">
        <v>5.5</v>
      </c>
      <c r="B1927" t="s">
        <v>8599</v>
      </c>
      <c r="C1927" t="s">
        <v>8599</v>
      </c>
      <c r="D1927">
        <v>5.5</v>
      </c>
      <c r="E1927">
        <f t="shared" si="30"/>
        <v>9</v>
      </c>
      <c r="G1927">
        <v>1</v>
      </c>
    </row>
    <row r="1928" spans="1:7">
      <c r="A1928">
        <v>5.5</v>
      </c>
      <c r="B1928" t="s">
        <v>8730</v>
      </c>
      <c r="C1928" t="s">
        <v>8730</v>
      </c>
      <c r="D1928">
        <v>5.5</v>
      </c>
      <c r="E1928">
        <f t="shared" si="30"/>
        <v>9</v>
      </c>
      <c r="G1928">
        <v>1</v>
      </c>
    </row>
    <row r="1929" spans="1:7">
      <c r="A1929">
        <v>5.5</v>
      </c>
      <c r="B1929" t="s">
        <v>8674</v>
      </c>
      <c r="C1929" t="s">
        <v>8674</v>
      </c>
      <c r="D1929">
        <v>5.5</v>
      </c>
      <c r="E1929">
        <f t="shared" si="30"/>
        <v>9</v>
      </c>
      <c r="G1929">
        <v>1</v>
      </c>
    </row>
    <row r="1930" spans="1:7">
      <c r="A1930">
        <v>5.5</v>
      </c>
      <c r="B1930" t="s">
        <v>8832</v>
      </c>
      <c r="C1930" t="s">
        <v>8832</v>
      </c>
      <c r="D1930">
        <v>5.5</v>
      </c>
      <c r="E1930">
        <f t="shared" si="30"/>
        <v>9</v>
      </c>
      <c r="G1930">
        <v>1</v>
      </c>
    </row>
    <row r="1931" spans="1:7">
      <c r="A1931">
        <v>5.5</v>
      </c>
      <c r="B1931" t="s">
        <v>8871</v>
      </c>
      <c r="C1931" t="s">
        <v>8871</v>
      </c>
      <c r="D1931">
        <v>5.5</v>
      </c>
      <c r="E1931">
        <f t="shared" si="30"/>
        <v>9</v>
      </c>
      <c r="G1931">
        <v>1</v>
      </c>
    </row>
    <row r="1932" spans="1:7">
      <c r="A1932">
        <v>5.5</v>
      </c>
      <c r="B1932" t="s">
        <v>8892</v>
      </c>
      <c r="C1932" t="s">
        <v>8892</v>
      </c>
      <c r="D1932">
        <v>5.5</v>
      </c>
      <c r="E1932">
        <f t="shared" si="30"/>
        <v>9</v>
      </c>
      <c r="G1932">
        <v>1</v>
      </c>
    </row>
    <row r="1933" spans="1:7">
      <c r="A1933">
        <v>5.5</v>
      </c>
      <c r="B1933" t="s">
        <v>9057</v>
      </c>
      <c r="C1933" t="s">
        <v>9057</v>
      </c>
      <c r="D1933">
        <v>5.5</v>
      </c>
      <c r="E1933">
        <f t="shared" si="30"/>
        <v>9</v>
      </c>
      <c r="G1933">
        <v>1</v>
      </c>
    </row>
    <row r="1934" spans="1:7">
      <c r="A1934">
        <v>5.5</v>
      </c>
      <c r="B1934" t="s">
        <v>9152</v>
      </c>
      <c r="C1934" t="s">
        <v>9152</v>
      </c>
      <c r="D1934">
        <v>5.5</v>
      </c>
      <c r="E1934">
        <f t="shared" si="30"/>
        <v>9</v>
      </c>
      <c r="G1934">
        <v>1</v>
      </c>
    </row>
    <row r="1935" spans="1:7">
      <c r="A1935">
        <v>5.5</v>
      </c>
      <c r="B1935" t="s">
        <v>9313</v>
      </c>
      <c r="C1935" t="s">
        <v>9313</v>
      </c>
      <c r="D1935">
        <v>5.5</v>
      </c>
      <c r="E1935">
        <f t="shared" si="30"/>
        <v>9</v>
      </c>
      <c r="G1935">
        <v>1</v>
      </c>
    </row>
    <row r="1936" spans="1:7">
      <c r="A1936">
        <v>5.5</v>
      </c>
      <c r="B1936" t="s">
        <v>9403</v>
      </c>
      <c r="C1936" t="s">
        <v>9403</v>
      </c>
      <c r="D1936">
        <v>5.5</v>
      </c>
      <c r="E1936">
        <f t="shared" si="30"/>
        <v>9</v>
      </c>
      <c r="G1936">
        <v>1</v>
      </c>
    </row>
    <row r="1937" spans="1:9">
      <c r="A1937">
        <v>5.5</v>
      </c>
      <c r="B1937" t="s">
        <v>9493</v>
      </c>
      <c r="C1937" t="s">
        <v>9493</v>
      </c>
      <c r="D1937">
        <v>5.5</v>
      </c>
      <c r="E1937">
        <f t="shared" si="30"/>
        <v>9</v>
      </c>
      <c r="G1937">
        <v>1</v>
      </c>
    </row>
    <row r="1938" spans="1:9">
      <c r="A1938">
        <v>5.5</v>
      </c>
      <c r="B1938" t="s">
        <v>7771</v>
      </c>
      <c r="C1938" t="s">
        <v>7771</v>
      </c>
      <c r="D1938">
        <v>5.5</v>
      </c>
      <c r="E1938">
        <f t="shared" si="30"/>
        <v>9</v>
      </c>
      <c r="G1938">
        <v>1</v>
      </c>
    </row>
    <row r="1939" spans="1:9">
      <c r="A1939">
        <v>5.5</v>
      </c>
      <c r="B1939" t="s">
        <v>7659</v>
      </c>
      <c r="C1939" t="s">
        <v>7659</v>
      </c>
      <c r="D1939">
        <v>5.5</v>
      </c>
      <c r="E1939">
        <f t="shared" si="30"/>
        <v>9</v>
      </c>
      <c r="G1939">
        <v>1</v>
      </c>
    </row>
    <row r="1940" spans="1:9">
      <c r="A1940">
        <v>5.5</v>
      </c>
      <c r="B1940" t="s">
        <v>7535</v>
      </c>
      <c r="C1940" t="s">
        <v>7535</v>
      </c>
      <c r="D1940">
        <v>5.5</v>
      </c>
      <c r="E1940">
        <f t="shared" si="30"/>
        <v>9</v>
      </c>
      <c r="G1940">
        <v>1</v>
      </c>
    </row>
    <row r="1941" spans="1:9">
      <c r="A1941">
        <v>5.5</v>
      </c>
      <c r="B1941" t="s">
        <v>8722</v>
      </c>
      <c r="C1941" t="s">
        <v>8722</v>
      </c>
      <c r="D1941">
        <v>5.5</v>
      </c>
      <c r="E1941">
        <f t="shared" si="30"/>
        <v>9</v>
      </c>
      <c r="G1941">
        <v>1</v>
      </c>
    </row>
    <row r="1942" spans="1:9">
      <c r="A1942">
        <v>5.5</v>
      </c>
      <c r="B1942" t="s">
        <v>7612</v>
      </c>
      <c r="C1942" t="s">
        <v>7612</v>
      </c>
      <c r="D1942">
        <v>5.5</v>
      </c>
      <c r="E1942">
        <f t="shared" si="30"/>
        <v>9</v>
      </c>
      <c r="G1942">
        <v>1</v>
      </c>
    </row>
    <row r="1943" spans="1:9">
      <c r="A1943">
        <v>5.5</v>
      </c>
      <c r="B1943" t="s">
        <v>9167</v>
      </c>
      <c r="C1943" t="s">
        <v>9167</v>
      </c>
      <c r="D1943">
        <v>5.5</v>
      </c>
      <c r="E1943">
        <f t="shared" si="30"/>
        <v>9</v>
      </c>
      <c r="G1943">
        <v>1</v>
      </c>
    </row>
    <row r="1944" spans="1:9">
      <c r="A1944">
        <v>5.5</v>
      </c>
      <c r="B1944" t="s">
        <v>7764</v>
      </c>
      <c r="C1944" t="s">
        <v>7764</v>
      </c>
      <c r="D1944">
        <v>5.5</v>
      </c>
      <c r="E1944">
        <f t="shared" si="30"/>
        <v>9</v>
      </c>
      <c r="G1944">
        <v>1</v>
      </c>
    </row>
    <row r="1945" spans="1:9">
      <c r="A1945">
        <v>5.5</v>
      </c>
      <c r="B1945" t="s">
        <v>9452</v>
      </c>
      <c r="C1945" t="s">
        <v>9452</v>
      </c>
      <c r="D1945">
        <v>5.5</v>
      </c>
      <c r="E1945">
        <f t="shared" si="30"/>
        <v>9</v>
      </c>
      <c r="G1945">
        <v>1</v>
      </c>
    </row>
    <row r="1946" spans="1:9">
      <c r="A1946">
        <v>5.5</v>
      </c>
      <c r="B1946" t="s">
        <v>9013</v>
      </c>
      <c r="C1946" t="s">
        <v>9013</v>
      </c>
      <c r="D1946">
        <v>5.5</v>
      </c>
      <c r="E1946">
        <f t="shared" si="30"/>
        <v>9</v>
      </c>
      <c r="G1946">
        <v>1</v>
      </c>
    </row>
    <row r="1947" spans="1:9">
      <c r="A1947">
        <v>5.5</v>
      </c>
      <c r="B1947" t="s">
        <v>7458</v>
      </c>
      <c r="C1947" t="s">
        <v>7458</v>
      </c>
      <c r="D1947">
        <v>5.5</v>
      </c>
      <c r="E1947">
        <f t="shared" si="30"/>
        <v>9</v>
      </c>
      <c r="G1947">
        <v>1</v>
      </c>
    </row>
    <row r="1948" spans="1:9">
      <c r="A1948">
        <v>5.5</v>
      </c>
      <c r="B1948" t="s">
        <v>8660</v>
      </c>
      <c r="C1948" t="s">
        <v>8660</v>
      </c>
      <c r="D1948">
        <v>5.5</v>
      </c>
      <c r="E1948">
        <f t="shared" si="30"/>
        <v>9</v>
      </c>
      <c r="G1948">
        <v>1</v>
      </c>
    </row>
    <row r="1949" spans="1:9">
      <c r="A1949">
        <v>5.5</v>
      </c>
      <c r="B1949" t="s">
        <v>9398</v>
      </c>
      <c r="C1949" t="s">
        <v>9398</v>
      </c>
      <c r="D1949">
        <v>5.5</v>
      </c>
      <c r="E1949">
        <f t="shared" si="30"/>
        <v>9</v>
      </c>
      <c r="G1949">
        <v>1</v>
      </c>
    </row>
    <row r="1950" spans="1:9">
      <c r="A1950">
        <v>5.5</v>
      </c>
      <c r="B1950" t="s">
        <v>9360</v>
      </c>
      <c r="C1950" t="s">
        <v>9360</v>
      </c>
      <c r="D1950">
        <v>5.5</v>
      </c>
      <c r="E1950">
        <f t="shared" si="30"/>
        <v>9</v>
      </c>
      <c r="G1950">
        <v>1</v>
      </c>
    </row>
    <row r="1951" spans="1:9">
      <c r="A1951">
        <v>5.5</v>
      </c>
      <c r="B1951" t="s">
        <v>8812</v>
      </c>
      <c r="C1951" t="s">
        <v>8812</v>
      </c>
      <c r="D1951">
        <v>5.5</v>
      </c>
      <c r="E1951">
        <f t="shared" si="30"/>
        <v>9</v>
      </c>
      <c r="G1951">
        <v>1</v>
      </c>
    </row>
    <row r="1952" spans="1:9">
      <c r="A1952">
        <v>5.5</v>
      </c>
      <c r="B1952" t="s">
        <v>7608</v>
      </c>
      <c r="C1952" t="s">
        <v>7608</v>
      </c>
      <c r="D1952">
        <v>5.5</v>
      </c>
      <c r="E1952">
        <f t="shared" si="30"/>
        <v>9</v>
      </c>
      <c r="G1952">
        <v>1</v>
      </c>
      <c r="I1952" s="26"/>
    </row>
    <row r="1953" spans="1:9">
      <c r="A1953">
        <v>5.5</v>
      </c>
      <c r="B1953" t="s">
        <v>8910</v>
      </c>
      <c r="C1953" t="s">
        <v>8910</v>
      </c>
      <c r="D1953">
        <v>5.5</v>
      </c>
      <c r="E1953">
        <f t="shared" si="30"/>
        <v>9</v>
      </c>
      <c r="G1953">
        <v>1</v>
      </c>
      <c r="I1953" s="26"/>
    </row>
    <row r="1954" spans="1:9">
      <c r="A1954">
        <v>5.5</v>
      </c>
      <c r="B1954" t="s">
        <v>7364</v>
      </c>
      <c r="C1954" t="s">
        <v>7364</v>
      </c>
      <c r="D1954">
        <v>5.5</v>
      </c>
      <c r="E1954">
        <f t="shared" si="30"/>
        <v>9</v>
      </c>
      <c r="G1954">
        <v>1</v>
      </c>
      <c r="I1954" s="26"/>
    </row>
    <row r="1955" spans="1:9">
      <c r="A1955">
        <v>5.5</v>
      </c>
      <c r="B1955" t="s">
        <v>7454</v>
      </c>
      <c r="C1955" t="s">
        <v>7454</v>
      </c>
      <c r="D1955">
        <v>5.5</v>
      </c>
      <c r="E1955">
        <f t="shared" si="30"/>
        <v>9</v>
      </c>
      <c r="G1955">
        <v>1</v>
      </c>
      <c r="I1955" s="26"/>
    </row>
    <row r="1956" spans="1:9">
      <c r="A1956">
        <v>5.5</v>
      </c>
      <c r="B1956" t="s">
        <v>7803</v>
      </c>
      <c r="C1956" t="s">
        <v>7803</v>
      </c>
      <c r="D1956">
        <v>5.5</v>
      </c>
      <c r="E1956">
        <f t="shared" si="30"/>
        <v>9</v>
      </c>
      <c r="G1956">
        <v>1</v>
      </c>
      <c r="I1956" s="26"/>
    </row>
    <row r="1957" spans="1:9">
      <c r="A1957">
        <v>5.5</v>
      </c>
      <c r="B1957" t="s">
        <v>8538</v>
      </c>
      <c r="C1957" t="s">
        <v>8538</v>
      </c>
      <c r="D1957">
        <v>5.5</v>
      </c>
      <c r="E1957">
        <f t="shared" si="30"/>
        <v>9</v>
      </c>
      <c r="G1957">
        <v>1</v>
      </c>
      <c r="I1957" s="26"/>
    </row>
    <row r="1958" spans="1:9">
      <c r="A1958">
        <v>5.5</v>
      </c>
      <c r="B1958" t="s">
        <v>902</v>
      </c>
      <c r="C1958" t="s">
        <v>902</v>
      </c>
      <c r="D1958">
        <v>5.5</v>
      </c>
      <c r="E1958">
        <f t="shared" si="30"/>
        <v>9</v>
      </c>
      <c r="G1958">
        <v>1</v>
      </c>
    </row>
    <row r="1959" spans="1:9">
      <c r="A1959">
        <v>5.5</v>
      </c>
      <c r="B1959" t="s">
        <v>9411</v>
      </c>
      <c r="C1959" t="s">
        <v>9411</v>
      </c>
      <c r="D1959">
        <v>5.5</v>
      </c>
      <c r="E1959">
        <f t="shared" si="30"/>
        <v>9</v>
      </c>
      <c r="G1959">
        <v>1</v>
      </c>
    </row>
    <row r="1960" spans="1:9">
      <c r="A1960">
        <v>5.5</v>
      </c>
      <c r="B1960" t="s">
        <v>9206</v>
      </c>
      <c r="C1960" t="s">
        <v>9206</v>
      </c>
      <c r="D1960">
        <v>5.5</v>
      </c>
      <c r="E1960">
        <f t="shared" si="30"/>
        <v>9</v>
      </c>
      <c r="G1960">
        <v>1</v>
      </c>
    </row>
    <row r="1961" spans="1:9">
      <c r="A1961">
        <v>5.5</v>
      </c>
      <c r="B1961" t="s">
        <v>9342</v>
      </c>
      <c r="C1961" t="s">
        <v>9342</v>
      </c>
      <c r="D1961">
        <v>5.5</v>
      </c>
      <c r="E1961">
        <f t="shared" si="30"/>
        <v>9</v>
      </c>
      <c r="G1961">
        <v>1</v>
      </c>
    </row>
    <row r="1962" spans="1:9">
      <c r="A1962">
        <v>5.5</v>
      </c>
      <c r="B1962" t="s">
        <v>655</v>
      </c>
      <c r="C1962" t="s">
        <v>655</v>
      </c>
      <c r="D1962">
        <v>5.5</v>
      </c>
      <c r="E1962">
        <f t="shared" si="30"/>
        <v>9</v>
      </c>
      <c r="G1962">
        <v>1</v>
      </c>
    </row>
    <row r="1963" spans="1:9">
      <c r="A1963">
        <v>5.5</v>
      </c>
      <c r="B1963" t="s">
        <v>9024</v>
      </c>
      <c r="C1963" t="s">
        <v>9024</v>
      </c>
      <c r="D1963">
        <v>5.5</v>
      </c>
      <c r="E1963">
        <f t="shared" si="30"/>
        <v>9</v>
      </c>
      <c r="G1963">
        <v>1</v>
      </c>
    </row>
    <row r="1964" spans="1:9">
      <c r="A1964">
        <v>5.5</v>
      </c>
      <c r="B1964" t="s">
        <v>9401</v>
      </c>
      <c r="C1964" t="s">
        <v>9401</v>
      </c>
      <c r="D1964">
        <v>5.5</v>
      </c>
      <c r="E1964">
        <f t="shared" si="30"/>
        <v>9</v>
      </c>
      <c r="G1964">
        <v>1</v>
      </c>
    </row>
    <row r="1965" spans="1:9">
      <c r="A1965">
        <v>5.5</v>
      </c>
      <c r="B1965" t="s">
        <v>8896</v>
      </c>
      <c r="C1965" t="s">
        <v>8896</v>
      </c>
      <c r="D1965">
        <v>5.5</v>
      </c>
      <c r="E1965">
        <f t="shared" si="30"/>
        <v>9</v>
      </c>
      <c r="G1965">
        <v>1</v>
      </c>
    </row>
    <row r="1966" spans="1:9">
      <c r="A1966">
        <v>5.5</v>
      </c>
      <c r="B1966" t="s">
        <v>7800</v>
      </c>
      <c r="C1966" t="s">
        <v>7800</v>
      </c>
      <c r="D1966">
        <v>5.5</v>
      </c>
      <c r="E1966">
        <f t="shared" si="30"/>
        <v>9</v>
      </c>
      <c r="G1966">
        <v>1</v>
      </c>
    </row>
    <row r="1967" spans="1:9">
      <c r="A1967">
        <v>5.5</v>
      </c>
      <c r="B1967" t="s">
        <v>9061</v>
      </c>
      <c r="C1967" t="s">
        <v>9061</v>
      </c>
      <c r="D1967">
        <v>5.5</v>
      </c>
      <c r="E1967">
        <f t="shared" si="30"/>
        <v>9</v>
      </c>
      <c r="G1967">
        <v>1</v>
      </c>
    </row>
    <row r="1968" spans="1:9">
      <c r="A1968">
        <v>5.5</v>
      </c>
      <c r="B1968" t="s">
        <v>8536</v>
      </c>
      <c r="C1968" t="s">
        <v>8536</v>
      </c>
      <c r="D1968">
        <v>5.5</v>
      </c>
      <c r="E1968">
        <f t="shared" si="30"/>
        <v>9</v>
      </c>
      <c r="G1968">
        <v>1</v>
      </c>
    </row>
    <row r="1969" spans="1:7">
      <c r="A1969">
        <v>5.5</v>
      </c>
      <c r="B1969" t="s">
        <v>10006</v>
      </c>
      <c r="C1969" t="s">
        <v>10006</v>
      </c>
      <c r="D1969">
        <v>5.5</v>
      </c>
      <c r="E1969">
        <f t="shared" si="30"/>
        <v>9</v>
      </c>
      <c r="G1969">
        <v>1</v>
      </c>
    </row>
    <row r="1970" spans="1:7">
      <c r="A1970">
        <v>5.5</v>
      </c>
      <c r="B1970" t="s">
        <v>1149</v>
      </c>
      <c r="C1970" t="s">
        <v>1149</v>
      </c>
      <c r="D1970">
        <v>5.5</v>
      </c>
      <c r="E1970">
        <f t="shared" si="30"/>
        <v>9</v>
      </c>
      <c r="G1970">
        <v>1</v>
      </c>
    </row>
    <row r="1971" spans="1:7">
      <c r="A1971">
        <v>5.5</v>
      </c>
      <c r="B1971" t="s">
        <v>1841</v>
      </c>
      <c r="C1971" t="s">
        <v>1841</v>
      </c>
      <c r="D1971">
        <v>5.5</v>
      </c>
      <c r="E1971">
        <f t="shared" si="30"/>
        <v>9</v>
      </c>
      <c r="G1971">
        <v>1</v>
      </c>
    </row>
    <row r="1972" spans="1:7">
      <c r="A1972">
        <v>5.5</v>
      </c>
      <c r="B1972" t="s">
        <v>9148</v>
      </c>
      <c r="C1972" t="s">
        <v>9148</v>
      </c>
      <c r="D1972">
        <v>5.5</v>
      </c>
      <c r="E1972">
        <f t="shared" si="30"/>
        <v>9</v>
      </c>
      <c r="G1972">
        <v>1</v>
      </c>
    </row>
    <row r="1973" spans="1:7">
      <c r="A1973">
        <v>5.5</v>
      </c>
      <c r="B1973" t="s">
        <v>492</v>
      </c>
      <c r="C1973" t="s">
        <v>492</v>
      </c>
      <c r="D1973">
        <v>5.5</v>
      </c>
      <c r="E1973">
        <f t="shared" si="30"/>
        <v>9</v>
      </c>
      <c r="G1973">
        <v>1</v>
      </c>
    </row>
    <row r="1974" spans="1:7">
      <c r="A1974">
        <v>5.5</v>
      </c>
      <c r="B1974" t="s">
        <v>1355</v>
      </c>
      <c r="C1974" t="s">
        <v>1355</v>
      </c>
      <c r="D1974">
        <v>5.5</v>
      </c>
      <c r="E1974">
        <f t="shared" si="30"/>
        <v>9</v>
      </c>
      <c r="G1974">
        <v>1</v>
      </c>
    </row>
    <row r="1975" spans="1:7">
      <c r="A1975">
        <v>5.5</v>
      </c>
      <c r="B1975" t="s">
        <v>1087</v>
      </c>
      <c r="C1975" t="s">
        <v>1087</v>
      </c>
      <c r="D1975">
        <v>5.5</v>
      </c>
      <c r="E1975">
        <f t="shared" si="30"/>
        <v>9</v>
      </c>
      <c r="G1975">
        <v>1</v>
      </c>
    </row>
    <row r="1976" spans="1:7">
      <c r="A1976">
        <v>5.5</v>
      </c>
      <c r="B1976" t="s">
        <v>10387</v>
      </c>
      <c r="C1976" t="s">
        <v>10387</v>
      </c>
      <c r="D1976">
        <v>5.5</v>
      </c>
      <c r="E1976">
        <f t="shared" si="30"/>
        <v>9</v>
      </c>
      <c r="G1976">
        <v>1</v>
      </c>
    </row>
    <row r="1977" spans="1:7">
      <c r="A1977">
        <v>5.5</v>
      </c>
      <c r="B1977" t="s">
        <v>7207</v>
      </c>
      <c r="C1977" t="s">
        <v>7207</v>
      </c>
      <c r="D1977">
        <v>5.5</v>
      </c>
      <c r="E1977">
        <f t="shared" si="30"/>
        <v>8</v>
      </c>
      <c r="G1977">
        <v>1</v>
      </c>
    </row>
    <row r="1978" spans="1:7">
      <c r="A1978">
        <v>5.5</v>
      </c>
      <c r="B1978" t="s">
        <v>7275</v>
      </c>
      <c r="C1978" t="s">
        <v>7275</v>
      </c>
      <c r="D1978">
        <v>5.5</v>
      </c>
      <c r="E1978">
        <f t="shared" si="30"/>
        <v>8</v>
      </c>
      <c r="F1978" t="s">
        <v>821</v>
      </c>
      <c r="G1978">
        <v>1</v>
      </c>
    </row>
    <row r="1979" spans="1:7">
      <c r="A1979">
        <v>5.5</v>
      </c>
      <c r="B1979" t="s">
        <v>7283</v>
      </c>
      <c r="C1979" t="s">
        <v>7283</v>
      </c>
      <c r="D1979">
        <v>5.5</v>
      </c>
      <c r="E1979">
        <f t="shared" si="30"/>
        <v>8</v>
      </c>
      <c r="G1979">
        <v>1</v>
      </c>
    </row>
    <row r="1980" spans="1:7">
      <c r="A1980">
        <v>5.5</v>
      </c>
      <c r="B1980" t="s">
        <v>8574</v>
      </c>
      <c r="C1980" t="s">
        <v>8574</v>
      </c>
      <c r="D1980">
        <v>5.5</v>
      </c>
      <c r="E1980">
        <f t="shared" si="30"/>
        <v>8</v>
      </c>
      <c r="G1980">
        <v>1</v>
      </c>
    </row>
    <row r="1981" spans="1:7">
      <c r="A1981">
        <v>5.5</v>
      </c>
      <c r="B1981" t="s">
        <v>7415</v>
      </c>
      <c r="C1981" t="s">
        <v>7415</v>
      </c>
      <c r="D1981">
        <v>5.5</v>
      </c>
      <c r="E1981">
        <f t="shared" si="30"/>
        <v>8</v>
      </c>
      <c r="G1981">
        <v>1</v>
      </c>
    </row>
    <row r="1982" spans="1:7">
      <c r="A1982">
        <v>5.5</v>
      </c>
      <c r="B1982" t="s">
        <v>7467</v>
      </c>
      <c r="C1982" t="s">
        <v>7467</v>
      </c>
      <c r="D1982">
        <v>5.5</v>
      </c>
      <c r="E1982">
        <f t="shared" si="30"/>
        <v>8</v>
      </c>
      <c r="G1982">
        <v>1</v>
      </c>
    </row>
    <row r="1983" spans="1:7">
      <c r="A1983">
        <v>5.5</v>
      </c>
      <c r="B1983" t="s">
        <v>7521</v>
      </c>
      <c r="C1983" t="s">
        <v>7521</v>
      </c>
      <c r="D1983">
        <v>5.5</v>
      </c>
      <c r="E1983">
        <f t="shared" si="30"/>
        <v>8</v>
      </c>
      <c r="G1983">
        <v>1</v>
      </c>
    </row>
    <row r="1984" spans="1:7">
      <c r="A1984">
        <v>5.5</v>
      </c>
      <c r="B1984" t="s">
        <v>7586</v>
      </c>
      <c r="C1984" t="s">
        <v>7586</v>
      </c>
      <c r="D1984">
        <v>5.5</v>
      </c>
      <c r="E1984">
        <f t="shared" si="30"/>
        <v>8</v>
      </c>
      <c r="G1984">
        <v>1</v>
      </c>
    </row>
    <row r="1985" spans="1:7">
      <c r="A1985">
        <v>5.5</v>
      </c>
      <c r="B1985" t="s">
        <v>7719</v>
      </c>
      <c r="C1985" t="s">
        <v>7719</v>
      </c>
      <c r="D1985">
        <v>5.5</v>
      </c>
      <c r="E1985">
        <f t="shared" si="30"/>
        <v>8</v>
      </c>
      <c r="G1985">
        <v>1</v>
      </c>
    </row>
    <row r="1986" spans="1:7">
      <c r="A1986">
        <v>5.5</v>
      </c>
      <c r="B1986" t="s">
        <v>8030</v>
      </c>
      <c r="C1986" t="s">
        <v>8030</v>
      </c>
      <c r="D1986">
        <v>5.5</v>
      </c>
      <c r="E1986">
        <f t="shared" ref="E1986:E2049" si="31">LEN(B1986)</f>
        <v>8</v>
      </c>
      <c r="G1986">
        <v>1</v>
      </c>
    </row>
    <row r="1987" spans="1:7">
      <c r="A1987">
        <v>5.5</v>
      </c>
      <c r="B1987" t="s">
        <v>7640</v>
      </c>
      <c r="C1987" t="s">
        <v>7640</v>
      </c>
      <c r="D1987">
        <v>5.5</v>
      </c>
      <c r="E1987">
        <f t="shared" si="31"/>
        <v>8</v>
      </c>
      <c r="G1987">
        <v>1</v>
      </c>
    </row>
    <row r="1988" spans="1:7">
      <c r="A1988">
        <v>5.5</v>
      </c>
      <c r="B1988" t="s">
        <v>8141</v>
      </c>
      <c r="C1988" t="s">
        <v>8141</v>
      </c>
      <c r="D1988">
        <v>5.5</v>
      </c>
      <c r="E1988">
        <f t="shared" si="31"/>
        <v>8</v>
      </c>
      <c r="G1988">
        <v>1</v>
      </c>
    </row>
    <row r="1989" spans="1:7">
      <c r="A1989">
        <v>5.5</v>
      </c>
      <c r="B1989" t="s">
        <v>979</v>
      </c>
      <c r="C1989" t="s">
        <v>979</v>
      </c>
      <c r="D1989">
        <v>5.5</v>
      </c>
      <c r="E1989">
        <f t="shared" si="31"/>
        <v>8</v>
      </c>
      <c r="G1989">
        <v>1</v>
      </c>
    </row>
    <row r="1990" spans="1:7" ht="19" customHeight="1">
      <c r="A1990">
        <v>5.5</v>
      </c>
      <c r="B1990" t="s">
        <v>8263</v>
      </c>
      <c r="C1990" t="s">
        <v>8263</v>
      </c>
      <c r="D1990">
        <v>5.5</v>
      </c>
      <c r="E1990">
        <f t="shared" si="31"/>
        <v>8</v>
      </c>
      <c r="G1990">
        <v>1</v>
      </c>
    </row>
    <row r="1991" spans="1:7">
      <c r="A1991">
        <v>5.5</v>
      </c>
      <c r="B1991" t="s">
        <v>8279</v>
      </c>
      <c r="C1991" t="s">
        <v>8279</v>
      </c>
      <c r="D1991">
        <v>5.5</v>
      </c>
      <c r="E1991">
        <f t="shared" si="31"/>
        <v>8</v>
      </c>
      <c r="G1991">
        <v>1</v>
      </c>
    </row>
    <row r="1992" spans="1:7">
      <c r="A1992">
        <v>5.5</v>
      </c>
      <c r="B1992" t="s">
        <v>7726</v>
      </c>
      <c r="C1992" t="s">
        <v>7726</v>
      </c>
      <c r="D1992">
        <v>5.5</v>
      </c>
      <c r="E1992">
        <f t="shared" si="31"/>
        <v>8</v>
      </c>
      <c r="G1992">
        <v>1</v>
      </c>
    </row>
    <row r="1993" spans="1:7">
      <c r="A1993">
        <v>5.5</v>
      </c>
      <c r="B1993" t="s">
        <v>8291</v>
      </c>
      <c r="C1993" t="s">
        <v>8291</v>
      </c>
      <c r="D1993">
        <v>5.5</v>
      </c>
      <c r="E1993">
        <f t="shared" si="31"/>
        <v>8</v>
      </c>
      <c r="G1993">
        <v>1</v>
      </c>
    </row>
    <row r="1994" spans="1:7">
      <c r="A1994">
        <v>5.5</v>
      </c>
      <c r="B1994" t="s">
        <v>7407</v>
      </c>
      <c r="C1994" t="s">
        <v>7407</v>
      </c>
      <c r="D1994">
        <v>5.5</v>
      </c>
      <c r="E1994">
        <f t="shared" si="31"/>
        <v>8</v>
      </c>
      <c r="G1994">
        <v>1</v>
      </c>
    </row>
    <row r="1995" spans="1:7">
      <c r="A1995">
        <v>5.5</v>
      </c>
      <c r="B1995" t="s">
        <v>8351</v>
      </c>
      <c r="C1995" t="s">
        <v>8351</v>
      </c>
      <c r="D1995">
        <v>5.5</v>
      </c>
      <c r="E1995">
        <f t="shared" si="31"/>
        <v>8</v>
      </c>
      <c r="G1995">
        <v>1</v>
      </c>
    </row>
    <row r="1996" spans="1:7">
      <c r="A1996">
        <v>5.5</v>
      </c>
      <c r="B1996" t="s">
        <v>7390</v>
      </c>
      <c r="C1996" t="s">
        <v>7390</v>
      </c>
      <c r="D1996">
        <v>5.5</v>
      </c>
      <c r="E1996">
        <f t="shared" si="31"/>
        <v>8</v>
      </c>
      <c r="G1996">
        <v>1</v>
      </c>
    </row>
    <row r="1997" spans="1:7">
      <c r="A1997">
        <v>5.5</v>
      </c>
      <c r="B1997" t="s">
        <v>7669</v>
      </c>
      <c r="C1997" t="s">
        <v>7669</v>
      </c>
      <c r="D1997">
        <v>5.5</v>
      </c>
      <c r="E1997">
        <f t="shared" si="31"/>
        <v>8</v>
      </c>
      <c r="G1997">
        <v>1</v>
      </c>
    </row>
    <row r="1998" spans="1:7">
      <c r="A1998">
        <v>5.5</v>
      </c>
      <c r="B1998" t="s">
        <v>8578</v>
      </c>
      <c r="C1998" t="s">
        <v>8578</v>
      </c>
      <c r="D1998">
        <v>5.5</v>
      </c>
      <c r="E1998">
        <f t="shared" si="31"/>
        <v>8</v>
      </c>
      <c r="G1998">
        <v>1</v>
      </c>
    </row>
    <row r="1999" spans="1:7">
      <c r="A1999">
        <v>5.5</v>
      </c>
      <c r="B1999" t="s">
        <v>8623</v>
      </c>
      <c r="C1999" t="s">
        <v>8623</v>
      </c>
      <c r="D1999">
        <v>5.5</v>
      </c>
      <c r="E1999">
        <f t="shared" si="31"/>
        <v>8</v>
      </c>
      <c r="G1999">
        <v>1</v>
      </c>
    </row>
    <row r="2000" spans="1:7">
      <c r="A2000">
        <v>5.5</v>
      </c>
      <c r="B2000" t="s">
        <v>8733</v>
      </c>
      <c r="C2000" t="s">
        <v>8733</v>
      </c>
      <c r="D2000">
        <v>5.5</v>
      </c>
      <c r="E2000">
        <f t="shared" si="31"/>
        <v>8</v>
      </c>
      <c r="G2000">
        <v>1</v>
      </c>
    </row>
    <row r="2001" spans="1:7">
      <c r="A2001">
        <v>5.5</v>
      </c>
      <c r="B2001" t="s">
        <v>7734</v>
      </c>
      <c r="C2001" t="s">
        <v>7734</v>
      </c>
      <c r="D2001">
        <v>5.5</v>
      </c>
      <c r="E2001">
        <f t="shared" si="31"/>
        <v>8</v>
      </c>
      <c r="G2001">
        <v>1</v>
      </c>
    </row>
    <row r="2002" spans="1:7">
      <c r="A2002">
        <v>5.5</v>
      </c>
      <c r="B2002" t="s">
        <v>8960</v>
      </c>
      <c r="C2002" t="s">
        <v>8960</v>
      </c>
      <c r="D2002">
        <v>5.5</v>
      </c>
      <c r="E2002">
        <f t="shared" si="31"/>
        <v>8</v>
      </c>
      <c r="G2002">
        <v>1</v>
      </c>
    </row>
    <row r="2003" spans="1:7">
      <c r="A2003">
        <v>5.5</v>
      </c>
      <c r="B2003" t="s">
        <v>7829</v>
      </c>
      <c r="C2003" t="s">
        <v>7829</v>
      </c>
      <c r="D2003">
        <v>5.5</v>
      </c>
      <c r="E2003">
        <f t="shared" si="31"/>
        <v>8</v>
      </c>
      <c r="G2003">
        <v>1</v>
      </c>
    </row>
    <row r="2004" spans="1:7">
      <c r="A2004">
        <v>5.5</v>
      </c>
      <c r="B2004" t="s">
        <v>10008</v>
      </c>
      <c r="C2004" t="s">
        <v>10008</v>
      </c>
      <c r="D2004">
        <v>5.5</v>
      </c>
      <c r="E2004">
        <f t="shared" si="31"/>
        <v>8</v>
      </c>
      <c r="G2004">
        <v>1</v>
      </c>
    </row>
    <row r="2005" spans="1:7">
      <c r="A2005">
        <v>5.5</v>
      </c>
      <c r="B2005" t="s">
        <v>8967</v>
      </c>
      <c r="C2005" t="s">
        <v>8967</v>
      </c>
      <c r="D2005">
        <v>5.5</v>
      </c>
      <c r="E2005">
        <f t="shared" si="31"/>
        <v>8</v>
      </c>
      <c r="G2005">
        <v>1</v>
      </c>
    </row>
    <row r="2006" spans="1:7">
      <c r="A2006">
        <v>5.5</v>
      </c>
      <c r="B2006" t="s">
        <v>7539</v>
      </c>
      <c r="C2006" t="s">
        <v>7539</v>
      </c>
      <c r="D2006">
        <v>5.5</v>
      </c>
      <c r="E2006">
        <f t="shared" si="31"/>
        <v>8</v>
      </c>
      <c r="G2006">
        <v>1</v>
      </c>
    </row>
    <row r="2007" spans="1:7">
      <c r="A2007">
        <v>5.5</v>
      </c>
      <c r="B2007" t="s">
        <v>9211</v>
      </c>
      <c r="C2007" t="s">
        <v>9211</v>
      </c>
      <c r="D2007">
        <v>5.5</v>
      </c>
      <c r="E2007">
        <f t="shared" si="31"/>
        <v>8</v>
      </c>
      <c r="G2007">
        <v>1</v>
      </c>
    </row>
    <row r="2008" spans="1:7">
      <c r="A2008">
        <v>5.5</v>
      </c>
      <c r="B2008" t="s">
        <v>8439</v>
      </c>
      <c r="C2008" t="s">
        <v>8439</v>
      </c>
      <c r="D2008">
        <v>5.5</v>
      </c>
      <c r="E2008">
        <f t="shared" si="31"/>
        <v>8</v>
      </c>
      <c r="G2008">
        <v>1</v>
      </c>
    </row>
    <row r="2009" spans="1:7">
      <c r="A2009">
        <v>5.5</v>
      </c>
      <c r="B2009" t="s">
        <v>7747</v>
      </c>
      <c r="C2009" t="s">
        <v>7747</v>
      </c>
      <c r="D2009">
        <v>5.5</v>
      </c>
      <c r="E2009">
        <f t="shared" si="31"/>
        <v>8</v>
      </c>
      <c r="G2009">
        <v>1</v>
      </c>
    </row>
    <row r="2010" spans="1:7">
      <c r="A2010">
        <v>5.5</v>
      </c>
      <c r="B2010" t="s">
        <v>7665</v>
      </c>
      <c r="C2010" t="s">
        <v>7665</v>
      </c>
      <c r="D2010">
        <v>5.5</v>
      </c>
      <c r="E2010">
        <f t="shared" si="31"/>
        <v>8</v>
      </c>
      <c r="G2010">
        <v>1</v>
      </c>
    </row>
    <row r="2011" spans="1:7">
      <c r="A2011">
        <v>5.5</v>
      </c>
      <c r="B2011" t="s">
        <v>7857</v>
      </c>
      <c r="C2011" t="s">
        <v>7857</v>
      </c>
      <c r="D2011">
        <v>5.5</v>
      </c>
      <c r="E2011">
        <f t="shared" si="31"/>
        <v>8</v>
      </c>
      <c r="G2011">
        <v>1</v>
      </c>
    </row>
    <row r="2012" spans="1:7">
      <c r="A2012">
        <v>5.5</v>
      </c>
      <c r="B2012" t="s">
        <v>9442</v>
      </c>
      <c r="C2012" t="s">
        <v>9442</v>
      </c>
      <c r="D2012">
        <v>5.5</v>
      </c>
      <c r="E2012">
        <f t="shared" si="31"/>
        <v>8</v>
      </c>
      <c r="G2012">
        <v>1</v>
      </c>
    </row>
    <row r="2013" spans="1:7">
      <c r="A2013">
        <v>5.5</v>
      </c>
      <c r="B2013" t="s">
        <v>467</v>
      </c>
      <c r="C2013" t="s">
        <v>467</v>
      </c>
      <c r="D2013">
        <v>5.5</v>
      </c>
      <c r="E2013">
        <f t="shared" si="31"/>
        <v>8</v>
      </c>
      <c r="G2013">
        <v>1</v>
      </c>
    </row>
    <row r="2014" spans="1:7">
      <c r="A2014">
        <v>5.5</v>
      </c>
      <c r="B2014" t="s">
        <v>8020</v>
      </c>
      <c r="C2014" t="s">
        <v>8020</v>
      </c>
      <c r="D2014">
        <v>5.5</v>
      </c>
      <c r="E2014">
        <f t="shared" si="31"/>
        <v>8</v>
      </c>
      <c r="G2014">
        <v>1</v>
      </c>
    </row>
    <row r="2015" spans="1:7">
      <c r="A2015">
        <v>5.5</v>
      </c>
      <c r="B2015" t="s">
        <v>8196</v>
      </c>
      <c r="C2015" t="s">
        <v>8196</v>
      </c>
      <c r="D2015">
        <v>5.5</v>
      </c>
      <c r="E2015">
        <f t="shared" si="31"/>
        <v>8</v>
      </c>
      <c r="G2015">
        <v>1</v>
      </c>
    </row>
    <row r="2016" spans="1:7">
      <c r="A2016">
        <v>5.5</v>
      </c>
      <c r="B2016" t="s">
        <v>9175</v>
      </c>
      <c r="C2016" t="s">
        <v>9175</v>
      </c>
      <c r="D2016">
        <v>5.5</v>
      </c>
      <c r="E2016">
        <f t="shared" si="31"/>
        <v>8</v>
      </c>
      <c r="G2016">
        <v>1</v>
      </c>
    </row>
    <row r="2017" spans="1:7">
      <c r="A2017">
        <v>5.5</v>
      </c>
      <c r="B2017" t="s">
        <v>8483</v>
      </c>
      <c r="C2017" t="s">
        <v>8483</v>
      </c>
      <c r="D2017">
        <v>5.5</v>
      </c>
      <c r="E2017">
        <f t="shared" si="31"/>
        <v>8</v>
      </c>
      <c r="G2017">
        <v>1</v>
      </c>
    </row>
    <row r="2018" spans="1:7">
      <c r="A2018">
        <v>5.5</v>
      </c>
      <c r="B2018" t="s">
        <v>7877</v>
      </c>
      <c r="C2018" t="s">
        <v>7877</v>
      </c>
      <c r="D2018">
        <v>5.5</v>
      </c>
      <c r="E2018">
        <f t="shared" si="31"/>
        <v>8</v>
      </c>
      <c r="G2018">
        <v>1</v>
      </c>
    </row>
    <row r="2019" spans="1:7">
      <c r="A2019">
        <v>5.5</v>
      </c>
      <c r="B2019" t="s">
        <v>9508</v>
      </c>
      <c r="C2019" t="s">
        <v>9508</v>
      </c>
      <c r="D2019">
        <v>5.5</v>
      </c>
      <c r="E2019">
        <f t="shared" si="31"/>
        <v>8</v>
      </c>
      <c r="G2019">
        <v>1</v>
      </c>
    </row>
    <row r="2020" spans="1:7">
      <c r="A2020">
        <v>5.5</v>
      </c>
      <c r="B2020" t="s">
        <v>9519</v>
      </c>
      <c r="C2020" t="s">
        <v>9519</v>
      </c>
      <c r="D2020">
        <v>5.5</v>
      </c>
      <c r="E2020">
        <f t="shared" si="31"/>
        <v>8</v>
      </c>
      <c r="G2020">
        <v>1</v>
      </c>
    </row>
    <row r="2021" spans="1:7">
      <c r="A2021">
        <v>5.5</v>
      </c>
      <c r="B2021" t="s">
        <v>8879</v>
      </c>
      <c r="C2021" t="s">
        <v>8879</v>
      </c>
      <c r="D2021">
        <v>5.5</v>
      </c>
      <c r="E2021">
        <f t="shared" si="31"/>
        <v>8</v>
      </c>
      <c r="G2021">
        <v>1</v>
      </c>
    </row>
    <row r="2022" spans="1:7">
      <c r="A2022">
        <v>5.5</v>
      </c>
      <c r="B2022" t="s">
        <v>8842</v>
      </c>
      <c r="C2022" t="s">
        <v>8842</v>
      </c>
      <c r="D2022">
        <v>5.5</v>
      </c>
      <c r="E2022">
        <f t="shared" si="31"/>
        <v>8</v>
      </c>
      <c r="G2022">
        <v>1</v>
      </c>
    </row>
    <row r="2023" spans="1:7">
      <c r="A2023">
        <v>5.5</v>
      </c>
      <c r="B2023" t="s">
        <v>9340</v>
      </c>
      <c r="C2023" t="s">
        <v>9340</v>
      </c>
      <c r="D2023">
        <v>5.5</v>
      </c>
      <c r="E2023">
        <f t="shared" si="31"/>
        <v>8</v>
      </c>
      <c r="G2023">
        <v>1</v>
      </c>
    </row>
    <row r="2024" spans="1:7">
      <c r="A2024">
        <v>5.5</v>
      </c>
      <c r="B2024" t="s">
        <v>7462</v>
      </c>
      <c r="C2024" t="s">
        <v>7462</v>
      </c>
      <c r="D2024">
        <v>5.5</v>
      </c>
      <c r="E2024">
        <f t="shared" si="31"/>
        <v>8</v>
      </c>
      <c r="G2024">
        <v>1</v>
      </c>
    </row>
    <row r="2025" spans="1:7">
      <c r="A2025">
        <v>5.5</v>
      </c>
      <c r="B2025" t="s">
        <v>8428</v>
      </c>
      <c r="C2025" t="s">
        <v>8428</v>
      </c>
      <c r="D2025">
        <v>5.5</v>
      </c>
      <c r="E2025">
        <f t="shared" si="31"/>
        <v>8</v>
      </c>
      <c r="G2025">
        <v>1</v>
      </c>
    </row>
    <row r="2026" spans="1:7">
      <c r="A2026">
        <v>5.5</v>
      </c>
      <c r="B2026" t="s">
        <v>8810</v>
      </c>
      <c r="C2026" t="s">
        <v>8810</v>
      </c>
      <c r="D2026">
        <v>5.5</v>
      </c>
      <c r="E2026">
        <f t="shared" si="31"/>
        <v>8</v>
      </c>
      <c r="G2026">
        <v>1</v>
      </c>
    </row>
    <row r="2027" spans="1:7">
      <c r="A2027">
        <v>5.5</v>
      </c>
      <c r="B2027" t="s">
        <v>9237</v>
      </c>
      <c r="C2027" t="s">
        <v>9237</v>
      </c>
      <c r="D2027">
        <v>5.5</v>
      </c>
      <c r="E2027">
        <f t="shared" si="31"/>
        <v>8</v>
      </c>
      <c r="G2027">
        <v>1</v>
      </c>
    </row>
    <row r="2028" spans="1:7">
      <c r="A2028">
        <v>5.5</v>
      </c>
      <c r="B2028" t="s">
        <v>7362</v>
      </c>
      <c r="C2028" t="s">
        <v>7362</v>
      </c>
      <c r="D2028">
        <v>5.5</v>
      </c>
      <c r="E2028">
        <f t="shared" si="31"/>
        <v>8</v>
      </c>
      <c r="G2028">
        <v>1</v>
      </c>
    </row>
    <row r="2029" spans="1:7">
      <c r="A2029">
        <v>5.5</v>
      </c>
      <c r="B2029" t="s">
        <v>8471</v>
      </c>
      <c r="C2029" t="s">
        <v>8471</v>
      </c>
      <c r="D2029">
        <v>5.5</v>
      </c>
      <c r="E2029">
        <f t="shared" si="31"/>
        <v>8</v>
      </c>
      <c r="G2029">
        <v>1</v>
      </c>
    </row>
    <row r="2030" spans="1:7">
      <c r="A2030">
        <v>5.5</v>
      </c>
      <c r="B2030" t="s">
        <v>7373</v>
      </c>
      <c r="C2030" t="s">
        <v>7373</v>
      </c>
      <c r="D2030">
        <v>5.5</v>
      </c>
      <c r="E2030">
        <f t="shared" si="31"/>
        <v>8</v>
      </c>
      <c r="G2030">
        <v>1</v>
      </c>
    </row>
    <row r="2031" spans="1:7">
      <c r="A2031">
        <v>5.5</v>
      </c>
      <c r="B2031" t="s">
        <v>7441</v>
      </c>
      <c r="C2031" t="s">
        <v>7441</v>
      </c>
      <c r="D2031">
        <v>5.5</v>
      </c>
      <c r="E2031">
        <f t="shared" si="31"/>
        <v>8</v>
      </c>
      <c r="G2031">
        <v>1</v>
      </c>
    </row>
    <row r="2032" spans="1:7">
      <c r="A2032">
        <v>5.5</v>
      </c>
      <c r="B2032" t="s">
        <v>7657</v>
      </c>
      <c r="C2032" t="s">
        <v>7657</v>
      </c>
      <c r="D2032">
        <v>5.5</v>
      </c>
      <c r="E2032">
        <f t="shared" si="31"/>
        <v>8</v>
      </c>
      <c r="G2032">
        <v>1</v>
      </c>
    </row>
    <row r="2033" spans="1:7">
      <c r="A2033">
        <v>5.5</v>
      </c>
      <c r="B2033" t="s">
        <v>8743</v>
      </c>
      <c r="C2033" t="s">
        <v>8743</v>
      </c>
      <c r="D2033">
        <v>5.5</v>
      </c>
      <c r="E2033">
        <f t="shared" si="31"/>
        <v>8</v>
      </c>
      <c r="G2033">
        <v>1</v>
      </c>
    </row>
    <row r="2034" spans="1:7">
      <c r="A2034">
        <v>5.5</v>
      </c>
      <c r="B2034" t="s">
        <v>8310</v>
      </c>
      <c r="C2034" t="s">
        <v>8310</v>
      </c>
      <c r="D2034">
        <v>5.5</v>
      </c>
      <c r="E2034">
        <f t="shared" si="31"/>
        <v>8</v>
      </c>
      <c r="G2034">
        <v>1</v>
      </c>
    </row>
    <row r="2035" spans="1:7">
      <c r="A2035">
        <v>5.5</v>
      </c>
      <c r="B2035" t="s">
        <v>9986</v>
      </c>
      <c r="C2035" t="s">
        <v>9986</v>
      </c>
      <c r="D2035">
        <v>5.5</v>
      </c>
      <c r="E2035">
        <f t="shared" si="31"/>
        <v>8</v>
      </c>
      <c r="G2035">
        <v>1</v>
      </c>
    </row>
    <row r="2036" spans="1:7">
      <c r="A2036">
        <v>5.5</v>
      </c>
      <c r="B2036" t="s">
        <v>9523</v>
      </c>
      <c r="C2036" t="s">
        <v>9523</v>
      </c>
      <c r="D2036">
        <v>5.5</v>
      </c>
      <c r="E2036">
        <f t="shared" si="31"/>
        <v>8</v>
      </c>
      <c r="G2036">
        <v>1</v>
      </c>
    </row>
    <row r="2037" spans="1:7">
      <c r="A2037">
        <v>5.5</v>
      </c>
      <c r="B2037" t="s">
        <v>7335</v>
      </c>
      <c r="C2037" t="s">
        <v>7335</v>
      </c>
      <c r="D2037">
        <v>5.5</v>
      </c>
      <c r="E2037">
        <f t="shared" si="31"/>
        <v>8</v>
      </c>
      <c r="G2037">
        <v>1</v>
      </c>
    </row>
    <row r="2038" spans="1:7">
      <c r="A2038">
        <v>5.5</v>
      </c>
      <c r="B2038" t="s">
        <v>9346</v>
      </c>
      <c r="C2038" t="s">
        <v>9346</v>
      </c>
      <c r="D2038">
        <v>5.5</v>
      </c>
      <c r="E2038">
        <f t="shared" si="31"/>
        <v>8</v>
      </c>
      <c r="G2038">
        <v>1</v>
      </c>
    </row>
    <row r="2039" spans="1:7">
      <c r="A2039">
        <v>5.5</v>
      </c>
      <c r="B2039" t="s">
        <v>7661</v>
      </c>
      <c r="C2039" t="s">
        <v>7661</v>
      </c>
      <c r="D2039">
        <v>5.5</v>
      </c>
      <c r="E2039">
        <f t="shared" si="31"/>
        <v>8</v>
      </c>
      <c r="G2039">
        <v>1</v>
      </c>
    </row>
    <row r="2040" spans="1:7">
      <c r="A2040">
        <v>5.5</v>
      </c>
      <c r="B2040" t="s">
        <v>8024</v>
      </c>
      <c r="C2040" t="s">
        <v>8024</v>
      </c>
      <c r="D2040">
        <v>5.5</v>
      </c>
      <c r="E2040">
        <f t="shared" si="31"/>
        <v>8</v>
      </c>
      <c r="G2040">
        <v>1</v>
      </c>
    </row>
    <row r="2041" spans="1:7">
      <c r="A2041">
        <v>5.5</v>
      </c>
      <c r="B2041" t="s">
        <v>8164</v>
      </c>
      <c r="C2041" t="s">
        <v>8164</v>
      </c>
      <c r="D2041">
        <v>5.5</v>
      </c>
      <c r="E2041">
        <f t="shared" si="31"/>
        <v>8</v>
      </c>
      <c r="G2041">
        <v>1</v>
      </c>
    </row>
    <row r="2042" spans="1:7">
      <c r="A2042">
        <v>5.5</v>
      </c>
      <c r="B2042" t="s">
        <v>1849</v>
      </c>
      <c r="C2042" t="s">
        <v>1849</v>
      </c>
      <c r="D2042">
        <v>5.5</v>
      </c>
      <c r="E2042">
        <f t="shared" si="31"/>
        <v>8</v>
      </c>
      <c r="G2042">
        <v>1</v>
      </c>
    </row>
    <row r="2043" spans="1:7">
      <c r="A2043">
        <v>5.5</v>
      </c>
      <c r="B2043" t="s">
        <v>1239</v>
      </c>
      <c r="C2043" t="s">
        <v>1239</v>
      </c>
      <c r="D2043">
        <v>5.5</v>
      </c>
      <c r="E2043">
        <f t="shared" si="31"/>
        <v>8</v>
      </c>
      <c r="G2043">
        <v>1</v>
      </c>
    </row>
    <row r="2044" spans="1:7">
      <c r="A2044">
        <v>5.5</v>
      </c>
      <c r="B2044" t="s">
        <v>1848</v>
      </c>
      <c r="C2044" t="s">
        <v>1848</v>
      </c>
      <c r="D2044">
        <v>5.5</v>
      </c>
      <c r="E2044">
        <f t="shared" si="31"/>
        <v>8</v>
      </c>
      <c r="G2044">
        <v>1</v>
      </c>
    </row>
    <row r="2045" spans="1:7">
      <c r="A2045">
        <v>5.5</v>
      </c>
      <c r="B2045" t="s">
        <v>1352</v>
      </c>
      <c r="C2045" t="s">
        <v>1352</v>
      </c>
      <c r="D2045">
        <v>5.5</v>
      </c>
      <c r="E2045">
        <f t="shared" si="31"/>
        <v>8</v>
      </c>
      <c r="G2045">
        <v>1</v>
      </c>
    </row>
    <row r="2046" spans="1:7">
      <c r="A2046">
        <v>5.5</v>
      </c>
      <c r="B2046" t="s">
        <v>857</v>
      </c>
      <c r="C2046" t="s">
        <v>857</v>
      </c>
      <c r="D2046">
        <v>5.5</v>
      </c>
      <c r="E2046">
        <f t="shared" si="31"/>
        <v>8</v>
      </c>
      <c r="G2046">
        <v>1</v>
      </c>
    </row>
    <row r="2047" spans="1:7">
      <c r="A2047">
        <v>5.5</v>
      </c>
      <c r="B2047" t="s">
        <v>10187</v>
      </c>
      <c r="C2047" t="s">
        <v>10187</v>
      </c>
      <c r="D2047">
        <v>5.5</v>
      </c>
      <c r="E2047">
        <f t="shared" si="31"/>
        <v>8</v>
      </c>
      <c r="G2047">
        <v>1</v>
      </c>
    </row>
    <row r="2048" spans="1:7">
      <c r="A2048">
        <v>5.5</v>
      </c>
      <c r="B2048" t="s">
        <v>7154</v>
      </c>
      <c r="C2048" t="s">
        <v>7154</v>
      </c>
      <c r="D2048">
        <v>5.5</v>
      </c>
      <c r="E2048">
        <f t="shared" si="31"/>
        <v>7</v>
      </c>
      <c r="G2048">
        <v>1</v>
      </c>
    </row>
    <row r="2049" spans="1:7">
      <c r="A2049">
        <v>5.5</v>
      </c>
      <c r="B2049" t="s">
        <v>7161</v>
      </c>
      <c r="C2049" t="s">
        <v>7161</v>
      </c>
      <c r="D2049">
        <v>5.5</v>
      </c>
      <c r="E2049">
        <f t="shared" si="31"/>
        <v>7</v>
      </c>
      <c r="F2049" t="s">
        <v>821</v>
      </c>
      <c r="G2049">
        <v>1</v>
      </c>
    </row>
    <row r="2050" spans="1:7">
      <c r="A2050">
        <v>5.5</v>
      </c>
      <c r="B2050" t="s">
        <v>7187</v>
      </c>
      <c r="C2050" t="s">
        <v>7187</v>
      </c>
      <c r="D2050">
        <v>5.5</v>
      </c>
      <c r="E2050">
        <f t="shared" ref="E2050:E2113" si="32">LEN(B2050)</f>
        <v>7</v>
      </c>
      <c r="F2050" t="s">
        <v>1420</v>
      </c>
      <c r="G2050">
        <v>1</v>
      </c>
    </row>
    <row r="2051" spans="1:7">
      <c r="A2051">
        <v>5.5</v>
      </c>
      <c r="B2051" t="s">
        <v>7253</v>
      </c>
      <c r="C2051" t="s">
        <v>7253</v>
      </c>
      <c r="D2051">
        <v>5.5</v>
      </c>
      <c r="E2051">
        <f t="shared" si="32"/>
        <v>7</v>
      </c>
      <c r="F2051" t="s">
        <v>821</v>
      </c>
      <c r="G2051">
        <v>1</v>
      </c>
    </row>
    <row r="2052" spans="1:7">
      <c r="A2052">
        <v>5.5</v>
      </c>
      <c r="B2052" t="s">
        <v>7270</v>
      </c>
      <c r="C2052" t="s">
        <v>7270</v>
      </c>
      <c r="D2052">
        <v>5.5</v>
      </c>
      <c r="E2052">
        <f t="shared" si="32"/>
        <v>7</v>
      </c>
      <c r="G2052">
        <v>1</v>
      </c>
    </row>
    <row r="2053" spans="1:7">
      <c r="A2053">
        <v>5.5</v>
      </c>
      <c r="B2053" t="s">
        <v>8092</v>
      </c>
      <c r="C2053" t="s">
        <v>8092</v>
      </c>
      <c r="D2053">
        <v>5.5</v>
      </c>
      <c r="E2053">
        <f t="shared" si="32"/>
        <v>7</v>
      </c>
      <c r="G2053">
        <v>1</v>
      </c>
    </row>
    <row r="2054" spans="1:7">
      <c r="A2054">
        <v>5.5</v>
      </c>
      <c r="B2054" t="s">
        <v>9476</v>
      </c>
      <c r="C2054" t="s">
        <v>9476</v>
      </c>
      <c r="D2054">
        <v>5.5</v>
      </c>
      <c r="E2054">
        <f t="shared" si="32"/>
        <v>7</v>
      </c>
      <c r="G2054">
        <v>1</v>
      </c>
    </row>
    <row r="2055" spans="1:7">
      <c r="A2055">
        <v>5.5</v>
      </c>
      <c r="B2055" t="s">
        <v>7445</v>
      </c>
      <c r="C2055" t="s">
        <v>7445</v>
      </c>
      <c r="D2055">
        <v>5.5</v>
      </c>
      <c r="E2055">
        <f t="shared" si="32"/>
        <v>7</v>
      </c>
      <c r="G2055">
        <v>1</v>
      </c>
    </row>
    <row r="2056" spans="1:7">
      <c r="A2056">
        <v>5.5</v>
      </c>
      <c r="B2056" t="s">
        <v>7464</v>
      </c>
      <c r="C2056" t="s">
        <v>7464</v>
      </c>
      <c r="D2056">
        <v>5.5</v>
      </c>
      <c r="E2056">
        <f t="shared" si="32"/>
        <v>7</v>
      </c>
      <c r="G2056">
        <v>1</v>
      </c>
    </row>
    <row r="2057" spans="1:7">
      <c r="A2057">
        <v>5.5</v>
      </c>
      <c r="B2057" t="s">
        <v>7485</v>
      </c>
      <c r="C2057" t="s">
        <v>7485</v>
      </c>
      <c r="D2057">
        <v>5.5</v>
      </c>
      <c r="E2057">
        <f t="shared" si="32"/>
        <v>7</v>
      </c>
      <c r="G2057">
        <v>1</v>
      </c>
    </row>
    <row r="2058" spans="1:7">
      <c r="A2058">
        <v>5.5</v>
      </c>
      <c r="B2058" t="s">
        <v>7527</v>
      </c>
      <c r="C2058" t="s">
        <v>7527</v>
      </c>
      <c r="D2058">
        <v>5.5</v>
      </c>
      <c r="E2058">
        <f t="shared" si="32"/>
        <v>7</v>
      </c>
      <c r="G2058">
        <v>1</v>
      </c>
    </row>
    <row r="2059" spans="1:7">
      <c r="A2059">
        <v>5.5</v>
      </c>
      <c r="B2059" t="s">
        <v>7537</v>
      </c>
      <c r="C2059" t="s">
        <v>7537</v>
      </c>
      <c r="D2059">
        <v>5.5</v>
      </c>
      <c r="E2059">
        <f t="shared" si="32"/>
        <v>7</v>
      </c>
      <c r="G2059">
        <v>1</v>
      </c>
    </row>
    <row r="2060" spans="1:7">
      <c r="A2060">
        <v>5.5</v>
      </c>
      <c r="B2060" t="s">
        <v>7581</v>
      </c>
      <c r="C2060" t="s">
        <v>7581</v>
      </c>
      <c r="D2060">
        <v>5.5</v>
      </c>
      <c r="E2060">
        <f t="shared" si="32"/>
        <v>7</v>
      </c>
      <c r="G2060">
        <v>1</v>
      </c>
    </row>
    <row r="2061" spans="1:7">
      <c r="A2061">
        <v>5.5</v>
      </c>
      <c r="B2061" t="s">
        <v>7760</v>
      </c>
      <c r="C2061" t="s">
        <v>7760</v>
      </c>
      <c r="D2061">
        <v>5.5</v>
      </c>
      <c r="E2061">
        <f t="shared" si="32"/>
        <v>7</v>
      </c>
      <c r="G2061">
        <v>1</v>
      </c>
    </row>
    <row r="2062" spans="1:7">
      <c r="A2062">
        <v>5.5</v>
      </c>
      <c r="B2062" t="s">
        <v>7900</v>
      </c>
      <c r="C2062" t="s">
        <v>7900</v>
      </c>
      <c r="D2062">
        <v>5.5</v>
      </c>
      <c r="E2062">
        <f t="shared" si="32"/>
        <v>7</v>
      </c>
      <c r="G2062">
        <v>1</v>
      </c>
    </row>
    <row r="2063" spans="1:7">
      <c r="A2063">
        <v>5.5</v>
      </c>
      <c r="B2063" t="s">
        <v>7916</v>
      </c>
      <c r="C2063" t="s">
        <v>7916</v>
      </c>
      <c r="D2063">
        <v>5.5</v>
      </c>
      <c r="E2063">
        <f t="shared" si="32"/>
        <v>7</v>
      </c>
      <c r="G2063">
        <v>1</v>
      </c>
    </row>
    <row r="2064" spans="1:7">
      <c r="A2064">
        <v>5.5</v>
      </c>
      <c r="B2064" t="s">
        <v>7636</v>
      </c>
      <c r="C2064" t="s">
        <v>7636</v>
      </c>
      <c r="D2064">
        <v>5.5</v>
      </c>
      <c r="E2064">
        <f t="shared" si="32"/>
        <v>7</v>
      </c>
      <c r="G2064">
        <v>1</v>
      </c>
    </row>
    <row r="2065" spans="1:7">
      <c r="A2065">
        <v>5.5</v>
      </c>
      <c r="B2065" t="s">
        <v>8433</v>
      </c>
      <c r="C2065" t="s">
        <v>8433</v>
      </c>
      <c r="D2065">
        <v>5.5</v>
      </c>
      <c r="E2065">
        <f t="shared" si="32"/>
        <v>7</v>
      </c>
      <c r="G2065">
        <v>1</v>
      </c>
    </row>
    <row r="2066" spans="1:7">
      <c r="A2066">
        <v>5.5</v>
      </c>
      <c r="B2066" t="s">
        <v>7360</v>
      </c>
      <c r="C2066" t="s">
        <v>7360</v>
      </c>
      <c r="D2066">
        <v>5.5</v>
      </c>
      <c r="E2066">
        <f t="shared" si="32"/>
        <v>7</v>
      </c>
      <c r="G2066">
        <v>1</v>
      </c>
    </row>
    <row r="2067" spans="1:7">
      <c r="A2067">
        <v>5.5</v>
      </c>
      <c r="B2067" t="s">
        <v>8486</v>
      </c>
      <c r="C2067" t="s">
        <v>8486</v>
      </c>
      <c r="D2067">
        <v>5.5</v>
      </c>
      <c r="E2067">
        <f t="shared" si="32"/>
        <v>7</v>
      </c>
      <c r="G2067">
        <v>1</v>
      </c>
    </row>
    <row r="2068" spans="1:7">
      <c r="A2068">
        <v>5.5</v>
      </c>
      <c r="B2068" t="s">
        <v>8532</v>
      </c>
      <c r="C2068" t="s">
        <v>8532</v>
      </c>
      <c r="D2068">
        <v>5.5</v>
      </c>
      <c r="E2068">
        <f t="shared" si="32"/>
        <v>7</v>
      </c>
      <c r="G2068">
        <v>1</v>
      </c>
    </row>
    <row r="2069" spans="1:7">
      <c r="A2069">
        <v>5.5</v>
      </c>
      <c r="B2069" t="s">
        <v>8558</v>
      </c>
      <c r="C2069" t="s">
        <v>8558</v>
      </c>
      <c r="D2069">
        <v>5.5</v>
      </c>
      <c r="E2069">
        <f t="shared" si="32"/>
        <v>7</v>
      </c>
      <c r="G2069">
        <v>1</v>
      </c>
    </row>
    <row r="2070" spans="1:7">
      <c r="A2070">
        <v>5.5</v>
      </c>
      <c r="B2070" t="s">
        <v>8866</v>
      </c>
      <c r="C2070" t="s">
        <v>8866</v>
      </c>
      <c r="D2070">
        <v>5.5</v>
      </c>
      <c r="E2070">
        <f t="shared" si="32"/>
        <v>7</v>
      </c>
      <c r="G2070">
        <v>1</v>
      </c>
    </row>
    <row r="2071" spans="1:7">
      <c r="A2071">
        <v>5.5</v>
      </c>
      <c r="B2071" t="s">
        <v>9079</v>
      </c>
      <c r="C2071" t="s">
        <v>9079</v>
      </c>
      <c r="D2071">
        <v>5.5</v>
      </c>
      <c r="E2071">
        <f t="shared" si="32"/>
        <v>7</v>
      </c>
      <c r="G2071">
        <v>1</v>
      </c>
    </row>
    <row r="2072" spans="1:7">
      <c r="A2072">
        <v>5.5</v>
      </c>
      <c r="B2072" t="s">
        <v>9197</v>
      </c>
      <c r="C2072" t="s">
        <v>9197</v>
      </c>
      <c r="D2072">
        <v>5.5</v>
      </c>
      <c r="E2072">
        <f t="shared" si="32"/>
        <v>7</v>
      </c>
      <c r="G2072">
        <v>1</v>
      </c>
    </row>
    <row r="2073" spans="1:7">
      <c r="A2073">
        <v>5.5</v>
      </c>
      <c r="B2073" t="s">
        <v>9293</v>
      </c>
      <c r="C2073" t="s">
        <v>9293</v>
      </c>
      <c r="D2073">
        <v>5.5</v>
      </c>
      <c r="E2073">
        <f t="shared" si="32"/>
        <v>7</v>
      </c>
      <c r="G2073">
        <v>1</v>
      </c>
    </row>
    <row r="2074" spans="1:7">
      <c r="A2074">
        <v>5.5</v>
      </c>
      <c r="B2074" t="s">
        <v>9315</v>
      </c>
      <c r="C2074" t="s">
        <v>9315</v>
      </c>
      <c r="D2074">
        <v>5.5</v>
      </c>
      <c r="E2074">
        <f t="shared" si="32"/>
        <v>7</v>
      </c>
      <c r="G2074">
        <v>1</v>
      </c>
    </row>
    <row r="2075" spans="1:7">
      <c r="A2075">
        <v>5.5</v>
      </c>
      <c r="B2075" t="s">
        <v>9353</v>
      </c>
      <c r="C2075" t="s">
        <v>9353</v>
      </c>
      <c r="D2075">
        <v>5.5</v>
      </c>
      <c r="E2075">
        <f t="shared" si="32"/>
        <v>7</v>
      </c>
      <c r="G2075">
        <v>1</v>
      </c>
    </row>
    <row r="2076" spans="1:7">
      <c r="A2076">
        <v>5.5</v>
      </c>
      <c r="B2076" t="s">
        <v>8969</v>
      </c>
      <c r="C2076" t="s">
        <v>8969</v>
      </c>
      <c r="D2076">
        <v>5.5</v>
      </c>
      <c r="E2076">
        <f t="shared" si="32"/>
        <v>7</v>
      </c>
      <c r="G2076">
        <v>1</v>
      </c>
    </row>
    <row r="2077" spans="1:7">
      <c r="A2077">
        <v>5.5</v>
      </c>
      <c r="B2077" t="s">
        <v>9003</v>
      </c>
      <c r="C2077" t="s">
        <v>9003</v>
      </c>
      <c r="D2077">
        <v>5.5</v>
      </c>
      <c r="E2077">
        <f t="shared" si="32"/>
        <v>7</v>
      </c>
      <c r="G2077">
        <v>1</v>
      </c>
    </row>
    <row r="2078" spans="1:7">
      <c r="A2078">
        <v>5.5</v>
      </c>
      <c r="B2078" t="s">
        <v>7930</v>
      </c>
      <c r="C2078" t="s">
        <v>7930</v>
      </c>
      <c r="D2078">
        <v>5.5</v>
      </c>
      <c r="E2078">
        <f t="shared" si="32"/>
        <v>7</v>
      </c>
      <c r="G2078">
        <v>1</v>
      </c>
    </row>
    <row r="2079" spans="1:7">
      <c r="A2079">
        <v>5.5</v>
      </c>
      <c r="B2079" t="s">
        <v>8123</v>
      </c>
      <c r="C2079" t="s">
        <v>8123</v>
      </c>
      <c r="D2079">
        <v>5.5</v>
      </c>
      <c r="E2079">
        <f t="shared" si="32"/>
        <v>7</v>
      </c>
      <c r="G2079">
        <v>1</v>
      </c>
    </row>
    <row r="2080" spans="1:7">
      <c r="A2080">
        <v>5.5</v>
      </c>
      <c r="B2080" t="s">
        <v>9067</v>
      </c>
      <c r="C2080" t="s">
        <v>9067</v>
      </c>
      <c r="D2080">
        <v>5.5</v>
      </c>
      <c r="E2080">
        <f t="shared" si="32"/>
        <v>7</v>
      </c>
      <c r="G2080">
        <v>1</v>
      </c>
    </row>
    <row r="2081" spans="1:7">
      <c r="A2081">
        <v>5.5</v>
      </c>
      <c r="B2081" t="s">
        <v>7531</v>
      </c>
      <c r="C2081" t="s">
        <v>7531</v>
      </c>
      <c r="D2081">
        <v>5.5</v>
      </c>
      <c r="E2081">
        <f t="shared" si="32"/>
        <v>7</v>
      </c>
      <c r="G2081">
        <v>1</v>
      </c>
    </row>
    <row r="2082" spans="1:7">
      <c r="A2082">
        <v>5.5</v>
      </c>
      <c r="B2082" t="s">
        <v>7456</v>
      </c>
      <c r="C2082" t="s">
        <v>7456</v>
      </c>
      <c r="D2082">
        <v>5.5</v>
      </c>
      <c r="E2082">
        <f t="shared" si="32"/>
        <v>7</v>
      </c>
      <c r="G2082">
        <v>1</v>
      </c>
    </row>
    <row r="2083" spans="1:7">
      <c r="A2083">
        <v>5.5</v>
      </c>
      <c r="B2083" t="s">
        <v>8651</v>
      </c>
      <c r="C2083" t="s">
        <v>8651</v>
      </c>
      <c r="D2083">
        <v>5.5</v>
      </c>
      <c r="E2083">
        <f t="shared" si="32"/>
        <v>7</v>
      </c>
      <c r="G2083">
        <v>1</v>
      </c>
    </row>
    <row r="2084" spans="1:7">
      <c r="A2084">
        <v>5.5</v>
      </c>
      <c r="B2084" t="s">
        <v>560</v>
      </c>
      <c r="C2084" t="s">
        <v>560</v>
      </c>
      <c r="D2084">
        <v>5.5</v>
      </c>
      <c r="E2084">
        <f t="shared" si="32"/>
        <v>7</v>
      </c>
      <c r="G2084">
        <v>1</v>
      </c>
    </row>
    <row r="2085" spans="1:7">
      <c r="A2085">
        <v>5.5</v>
      </c>
      <c r="B2085" t="s">
        <v>7694</v>
      </c>
      <c r="C2085" t="s">
        <v>7694</v>
      </c>
      <c r="D2085">
        <v>5.5</v>
      </c>
      <c r="E2085">
        <f t="shared" si="32"/>
        <v>7</v>
      </c>
      <c r="G2085">
        <v>1</v>
      </c>
    </row>
    <row r="2086" spans="1:7">
      <c r="A2086">
        <v>5.5</v>
      </c>
      <c r="B2086" t="s">
        <v>8074</v>
      </c>
      <c r="C2086" t="s">
        <v>8074</v>
      </c>
      <c r="D2086">
        <v>5.5</v>
      </c>
      <c r="E2086">
        <f t="shared" si="32"/>
        <v>7</v>
      </c>
      <c r="G2086">
        <v>1</v>
      </c>
    </row>
    <row r="2087" spans="1:7">
      <c r="A2087">
        <v>5.5</v>
      </c>
      <c r="B2087" t="s">
        <v>7769</v>
      </c>
      <c r="C2087" t="s">
        <v>7769</v>
      </c>
      <c r="D2087">
        <v>5.5</v>
      </c>
      <c r="E2087">
        <f t="shared" si="32"/>
        <v>7</v>
      </c>
      <c r="G2087">
        <v>1</v>
      </c>
    </row>
    <row r="2088" spans="1:7">
      <c r="A2088">
        <v>5.5</v>
      </c>
      <c r="B2088" t="s">
        <v>89</v>
      </c>
      <c r="C2088" t="s">
        <v>89</v>
      </c>
      <c r="D2088">
        <v>5.5</v>
      </c>
      <c r="E2088">
        <f t="shared" si="32"/>
        <v>7</v>
      </c>
      <c r="G2088">
        <v>1</v>
      </c>
    </row>
    <row r="2089" spans="1:7">
      <c r="A2089">
        <v>5.5</v>
      </c>
      <c r="B2089" t="s">
        <v>9322</v>
      </c>
      <c r="C2089" t="s">
        <v>9322</v>
      </c>
      <c r="D2089">
        <v>5.5</v>
      </c>
      <c r="E2089">
        <f t="shared" si="32"/>
        <v>7</v>
      </c>
      <c r="G2089">
        <v>1</v>
      </c>
    </row>
    <row r="2090" spans="1:7">
      <c r="A2090">
        <v>5.5</v>
      </c>
      <c r="B2090" t="s">
        <v>9479</v>
      </c>
      <c r="C2090" t="s">
        <v>9479</v>
      </c>
      <c r="D2090">
        <v>5.5</v>
      </c>
      <c r="E2090">
        <f t="shared" si="32"/>
        <v>7</v>
      </c>
      <c r="G2090">
        <v>1</v>
      </c>
    </row>
    <row r="2091" spans="1:7">
      <c r="A2091">
        <v>5.5</v>
      </c>
      <c r="B2091" t="s">
        <v>9506</v>
      </c>
      <c r="C2091" t="s">
        <v>9506</v>
      </c>
      <c r="D2091">
        <v>5.5</v>
      </c>
      <c r="E2091">
        <f t="shared" si="32"/>
        <v>7</v>
      </c>
      <c r="G2091">
        <v>1</v>
      </c>
    </row>
    <row r="2092" spans="1:7">
      <c r="A2092">
        <v>5.5</v>
      </c>
      <c r="B2092" t="s">
        <v>8200</v>
      </c>
      <c r="C2092" t="s">
        <v>8200</v>
      </c>
      <c r="D2092">
        <v>5.5</v>
      </c>
      <c r="E2092">
        <f t="shared" si="32"/>
        <v>7</v>
      </c>
      <c r="G2092">
        <v>1</v>
      </c>
    </row>
    <row r="2093" spans="1:7">
      <c r="A2093">
        <v>5.5</v>
      </c>
      <c r="B2093" t="s">
        <v>7634</v>
      </c>
      <c r="C2093" t="s">
        <v>7634</v>
      </c>
      <c r="D2093">
        <v>5.5</v>
      </c>
      <c r="E2093">
        <f t="shared" si="32"/>
        <v>7</v>
      </c>
      <c r="G2093">
        <v>1</v>
      </c>
    </row>
    <row r="2094" spans="1:7">
      <c r="A2094">
        <v>5.5</v>
      </c>
      <c r="B2094" t="s">
        <v>7937</v>
      </c>
      <c r="C2094" t="s">
        <v>7937</v>
      </c>
      <c r="D2094">
        <v>5.5</v>
      </c>
      <c r="E2094">
        <f t="shared" si="32"/>
        <v>7</v>
      </c>
      <c r="G2094">
        <v>1</v>
      </c>
    </row>
    <row r="2095" spans="1:7">
      <c r="A2095">
        <v>5.5</v>
      </c>
      <c r="B2095" t="s">
        <v>8381</v>
      </c>
      <c r="C2095" t="s">
        <v>8381</v>
      </c>
      <c r="D2095">
        <v>5.5</v>
      </c>
      <c r="E2095">
        <f t="shared" si="32"/>
        <v>7</v>
      </c>
      <c r="G2095">
        <v>1</v>
      </c>
    </row>
    <row r="2096" spans="1:7">
      <c r="A2096">
        <v>5.5</v>
      </c>
      <c r="B2096" t="s">
        <v>8898</v>
      </c>
      <c r="C2096" t="s">
        <v>8898</v>
      </c>
      <c r="D2096">
        <v>5.5</v>
      </c>
      <c r="E2096">
        <f t="shared" si="32"/>
        <v>7</v>
      </c>
      <c r="G2096">
        <v>1</v>
      </c>
    </row>
    <row r="2097" spans="1:7">
      <c r="A2097">
        <v>5.5</v>
      </c>
      <c r="B2097" t="s">
        <v>8261</v>
      </c>
      <c r="C2097" t="s">
        <v>8261</v>
      </c>
      <c r="D2097">
        <v>5.5</v>
      </c>
      <c r="E2097">
        <f t="shared" si="32"/>
        <v>7</v>
      </c>
      <c r="G2097">
        <v>1</v>
      </c>
    </row>
    <row r="2098" spans="1:7">
      <c r="A2098">
        <v>5.5</v>
      </c>
      <c r="B2098" t="s">
        <v>7418</v>
      </c>
      <c r="C2098" t="s">
        <v>7418</v>
      </c>
      <c r="D2098">
        <v>5.5</v>
      </c>
      <c r="E2098">
        <f t="shared" si="32"/>
        <v>7</v>
      </c>
      <c r="G2098">
        <v>1</v>
      </c>
    </row>
    <row r="2099" spans="1:7">
      <c r="A2099">
        <v>5.5</v>
      </c>
      <c r="B2099" t="s">
        <v>993</v>
      </c>
      <c r="C2099" t="s">
        <v>993</v>
      </c>
      <c r="D2099">
        <v>5.5</v>
      </c>
      <c r="E2099">
        <f t="shared" si="32"/>
        <v>7</v>
      </c>
      <c r="G2099">
        <v>1</v>
      </c>
    </row>
    <row r="2100" spans="1:7">
      <c r="A2100">
        <v>5.5</v>
      </c>
      <c r="B2100" t="s">
        <v>9538</v>
      </c>
      <c r="C2100" t="s">
        <v>9538</v>
      </c>
      <c r="D2100">
        <v>5.5</v>
      </c>
      <c r="E2100">
        <f t="shared" si="32"/>
        <v>7</v>
      </c>
      <c r="G2100">
        <v>1</v>
      </c>
    </row>
    <row r="2101" spans="1:7">
      <c r="A2101">
        <v>5.5</v>
      </c>
      <c r="B2101" t="s">
        <v>7554</v>
      </c>
      <c r="C2101" t="s">
        <v>7554</v>
      </c>
      <c r="D2101">
        <v>5.5</v>
      </c>
      <c r="E2101">
        <f t="shared" si="32"/>
        <v>7</v>
      </c>
      <c r="G2101">
        <v>1</v>
      </c>
    </row>
    <row r="2102" spans="1:7">
      <c r="A2102">
        <v>5.5</v>
      </c>
      <c r="B2102" t="s">
        <v>9419</v>
      </c>
      <c r="C2102" t="s">
        <v>9419</v>
      </c>
      <c r="D2102">
        <v>5.5</v>
      </c>
      <c r="E2102">
        <f t="shared" si="32"/>
        <v>7</v>
      </c>
      <c r="G2102">
        <v>1</v>
      </c>
    </row>
    <row r="2103" spans="1:7">
      <c r="A2103">
        <v>5.5</v>
      </c>
      <c r="B2103" t="s">
        <v>7758</v>
      </c>
      <c r="C2103" t="s">
        <v>7758</v>
      </c>
      <c r="D2103">
        <v>5.5</v>
      </c>
      <c r="E2103">
        <f t="shared" si="32"/>
        <v>7</v>
      </c>
      <c r="G2103">
        <v>1</v>
      </c>
    </row>
    <row r="2104" spans="1:7">
      <c r="A2104">
        <v>5.5</v>
      </c>
      <c r="B2104" t="s">
        <v>8830</v>
      </c>
      <c r="C2104" t="s">
        <v>8830</v>
      </c>
      <c r="D2104">
        <v>5.5</v>
      </c>
      <c r="E2104">
        <f t="shared" si="32"/>
        <v>7</v>
      </c>
      <c r="G2104">
        <v>1</v>
      </c>
    </row>
    <row r="2105" spans="1:7">
      <c r="A2105">
        <v>5.5</v>
      </c>
      <c r="B2105" t="s">
        <v>9022</v>
      </c>
      <c r="C2105" t="s">
        <v>9022</v>
      </c>
      <c r="D2105">
        <v>5.5</v>
      </c>
      <c r="E2105">
        <f t="shared" si="32"/>
        <v>7</v>
      </c>
      <c r="G2105">
        <v>1</v>
      </c>
    </row>
    <row r="2106" spans="1:7">
      <c r="A2106">
        <v>5.5</v>
      </c>
      <c r="B2106" t="s">
        <v>5258</v>
      </c>
      <c r="C2106" t="s">
        <v>5258</v>
      </c>
      <c r="D2106">
        <v>5.5</v>
      </c>
      <c r="E2106">
        <f t="shared" si="32"/>
        <v>7</v>
      </c>
      <c r="G2106">
        <v>1</v>
      </c>
    </row>
    <row r="2107" spans="1:7">
      <c r="A2107">
        <v>5.5</v>
      </c>
      <c r="B2107" t="s">
        <v>7690</v>
      </c>
      <c r="C2107" t="s">
        <v>7690</v>
      </c>
      <c r="D2107">
        <v>5.5</v>
      </c>
      <c r="E2107">
        <f t="shared" si="32"/>
        <v>7</v>
      </c>
      <c r="G2107">
        <v>1</v>
      </c>
    </row>
    <row r="2108" spans="1:7">
      <c r="A2108">
        <v>5.5</v>
      </c>
      <c r="B2108" t="s">
        <v>8861</v>
      </c>
      <c r="C2108" t="s">
        <v>8861</v>
      </c>
      <c r="D2108">
        <v>5.5</v>
      </c>
      <c r="E2108">
        <f t="shared" si="32"/>
        <v>7</v>
      </c>
      <c r="G2108">
        <v>1</v>
      </c>
    </row>
    <row r="2109" spans="1:7">
      <c r="A2109">
        <v>5.5</v>
      </c>
      <c r="B2109" t="s">
        <v>7482</v>
      </c>
      <c r="C2109" t="s">
        <v>7482</v>
      </c>
      <c r="D2109">
        <v>5.5</v>
      </c>
      <c r="E2109">
        <f t="shared" si="32"/>
        <v>7</v>
      </c>
      <c r="G2109">
        <v>1</v>
      </c>
    </row>
    <row r="2110" spans="1:7">
      <c r="A2110">
        <v>5.5</v>
      </c>
      <c r="B2110" t="s">
        <v>7743</v>
      </c>
      <c r="C2110" t="s">
        <v>7743</v>
      </c>
      <c r="D2110">
        <v>5.5</v>
      </c>
      <c r="E2110">
        <f t="shared" si="32"/>
        <v>7</v>
      </c>
      <c r="G2110">
        <v>1</v>
      </c>
    </row>
    <row r="2111" spans="1:7">
      <c r="A2111">
        <v>5.5</v>
      </c>
      <c r="B2111" t="s">
        <v>7981</v>
      </c>
      <c r="C2111" t="s">
        <v>7981</v>
      </c>
      <c r="D2111">
        <v>5.5</v>
      </c>
      <c r="E2111">
        <f t="shared" si="32"/>
        <v>7</v>
      </c>
      <c r="G2111">
        <v>1</v>
      </c>
    </row>
    <row r="2112" spans="1:7">
      <c r="A2112">
        <v>5.5</v>
      </c>
      <c r="B2112" t="s">
        <v>9217</v>
      </c>
      <c r="C2112" t="s">
        <v>9217</v>
      </c>
      <c r="D2112">
        <v>5.5</v>
      </c>
      <c r="E2112">
        <f t="shared" si="32"/>
        <v>7</v>
      </c>
      <c r="G2112">
        <v>1</v>
      </c>
    </row>
    <row r="2113" spans="1:7">
      <c r="A2113">
        <v>5.5</v>
      </c>
      <c r="B2113" t="s">
        <v>1155</v>
      </c>
      <c r="C2113" t="s">
        <v>1155</v>
      </c>
      <c r="D2113">
        <v>5.5</v>
      </c>
      <c r="E2113">
        <f t="shared" si="32"/>
        <v>7</v>
      </c>
      <c r="G2113">
        <v>1</v>
      </c>
    </row>
    <row r="2114" spans="1:7">
      <c r="A2114">
        <v>5.5</v>
      </c>
      <c r="B2114" t="s">
        <v>1064</v>
      </c>
      <c r="C2114" t="s">
        <v>1064</v>
      </c>
      <c r="D2114">
        <v>5.5</v>
      </c>
      <c r="E2114">
        <f t="shared" ref="E2114:E2177" si="33">LEN(B2114)</f>
        <v>7</v>
      </c>
      <c r="G2114">
        <v>1</v>
      </c>
    </row>
    <row r="2115" spans="1:7">
      <c r="A2115">
        <v>5.5</v>
      </c>
      <c r="B2115" t="s">
        <v>1286</v>
      </c>
      <c r="C2115" t="s">
        <v>1286</v>
      </c>
      <c r="D2115">
        <v>5.5</v>
      </c>
      <c r="E2115">
        <f t="shared" si="33"/>
        <v>7</v>
      </c>
      <c r="G2115">
        <v>1</v>
      </c>
    </row>
    <row r="2116" spans="1:7">
      <c r="A2116">
        <v>5.5</v>
      </c>
      <c r="B2116" t="s">
        <v>9180</v>
      </c>
      <c r="C2116" t="s">
        <v>9180</v>
      </c>
      <c r="D2116">
        <v>5.5</v>
      </c>
      <c r="E2116">
        <f t="shared" si="33"/>
        <v>7</v>
      </c>
      <c r="G2116">
        <v>1</v>
      </c>
    </row>
    <row r="2117" spans="1:7">
      <c r="A2117">
        <v>5.5</v>
      </c>
      <c r="B2117" t="s">
        <v>1896</v>
      </c>
      <c r="C2117" t="s">
        <v>1896</v>
      </c>
      <c r="D2117">
        <v>5.5</v>
      </c>
      <c r="E2117">
        <f t="shared" si="33"/>
        <v>7</v>
      </c>
      <c r="G2117">
        <v>1</v>
      </c>
    </row>
    <row r="2118" spans="1:7">
      <c r="A2118">
        <v>5.5</v>
      </c>
      <c r="B2118" t="s">
        <v>10155</v>
      </c>
      <c r="C2118" t="s">
        <v>10155</v>
      </c>
      <c r="D2118">
        <v>5.5</v>
      </c>
      <c r="E2118">
        <f t="shared" si="33"/>
        <v>7</v>
      </c>
      <c r="F2118" t="s">
        <v>821</v>
      </c>
      <c r="G2118">
        <v>1</v>
      </c>
    </row>
    <row r="2119" spans="1:7">
      <c r="A2119">
        <v>5.5</v>
      </c>
      <c r="B2119" t="s">
        <v>10241</v>
      </c>
      <c r="C2119" t="s">
        <v>10241</v>
      </c>
      <c r="D2119">
        <v>5.5</v>
      </c>
      <c r="E2119">
        <f t="shared" si="33"/>
        <v>7</v>
      </c>
      <c r="G2119">
        <v>1</v>
      </c>
    </row>
    <row r="2120" spans="1:7">
      <c r="A2120">
        <v>5.5</v>
      </c>
      <c r="B2120" t="s">
        <v>7157</v>
      </c>
      <c r="C2120" t="s">
        <v>7157</v>
      </c>
      <c r="D2120">
        <v>5.5</v>
      </c>
      <c r="E2120">
        <f t="shared" si="33"/>
        <v>6</v>
      </c>
      <c r="G2120">
        <v>1</v>
      </c>
    </row>
    <row r="2121" spans="1:7">
      <c r="A2121">
        <v>5.5</v>
      </c>
      <c r="B2121" t="s">
        <v>7159</v>
      </c>
      <c r="C2121" t="s">
        <v>7159</v>
      </c>
      <c r="D2121">
        <v>5.5</v>
      </c>
      <c r="E2121">
        <f t="shared" si="33"/>
        <v>6</v>
      </c>
      <c r="F2121" t="s">
        <v>821</v>
      </c>
      <c r="G2121">
        <v>1</v>
      </c>
    </row>
    <row r="2122" spans="1:7">
      <c r="A2122">
        <v>5.5</v>
      </c>
      <c r="B2122" t="s">
        <v>7234</v>
      </c>
      <c r="C2122" t="s">
        <v>7234</v>
      </c>
      <c r="D2122">
        <v>5.5</v>
      </c>
      <c r="E2122">
        <f t="shared" si="33"/>
        <v>6</v>
      </c>
      <c r="F2122" t="s">
        <v>821</v>
      </c>
      <c r="G2122">
        <v>1</v>
      </c>
    </row>
    <row r="2123" spans="1:7">
      <c r="A2123">
        <v>5.5</v>
      </c>
      <c r="B2123" t="s">
        <v>7495</v>
      </c>
      <c r="C2123" t="s">
        <v>7495</v>
      </c>
      <c r="D2123">
        <v>5.5</v>
      </c>
      <c r="E2123">
        <f t="shared" si="33"/>
        <v>6</v>
      </c>
      <c r="F2123" t="s">
        <v>822</v>
      </c>
      <c r="G2123">
        <v>1</v>
      </c>
    </row>
    <row r="2124" spans="1:7">
      <c r="A2124">
        <v>5.5</v>
      </c>
      <c r="B2124" t="s">
        <v>7439</v>
      </c>
      <c r="C2124" t="s">
        <v>7439</v>
      </c>
      <c r="D2124">
        <v>5.5</v>
      </c>
      <c r="E2124">
        <f t="shared" si="33"/>
        <v>6</v>
      </c>
      <c r="G2124">
        <v>1</v>
      </c>
    </row>
    <row r="2125" spans="1:7">
      <c r="A2125">
        <v>5.5</v>
      </c>
      <c r="B2125" t="s">
        <v>7507</v>
      </c>
      <c r="C2125" t="s">
        <v>7507</v>
      </c>
      <c r="D2125">
        <v>5.5</v>
      </c>
      <c r="E2125">
        <f t="shared" si="33"/>
        <v>6</v>
      </c>
      <c r="G2125">
        <v>1</v>
      </c>
    </row>
    <row r="2126" spans="1:7">
      <c r="A2126">
        <v>5.5</v>
      </c>
      <c r="B2126" t="s">
        <v>8253</v>
      </c>
      <c r="C2126" t="s">
        <v>8253</v>
      </c>
      <c r="D2126">
        <v>5.5</v>
      </c>
      <c r="E2126">
        <f t="shared" si="33"/>
        <v>6</v>
      </c>
      <c r="G2126">
        <v>1</v>
      </c>
    </row>
    <row r="2127" spans="1:7">
      <c r="A2127">
        <v>5.5</v>
      </c>
      <c r="B2127" t="s">
        <v>7728</v>
      </c>
      <c r="C2127" t="s">
        <v>7728</v>
      </c>
      <c r="D2127">
        <v>5.5</v>
      </c>
      <c r="E2127">
        <f t="shared" si="33"/>
        <v>6</v>
      </c>
      <c r="G2127">
        <v>1</v>
      </c>
    </row>
    <row r="2128" spans="1:7">
      <c r="A2128">
        <v>5.5</v>
      </c>
      <c r="B2128" t="s">
        <v>8369</v>
      </c>
      <c r="C2128" t="s">
        <v>8369</v>
      </c>
      <c r="D2128">
        <v>5.5</v>
      </c>
      <c r="E2128">
        <f t="shared" si="33"/>
        <v>6</v>
      </c>
      <c r="G2128">
        <v>1</v>
      </c>
    </row>
    <row r="2129" spans="1:7">
      <c r="A2129">
        <v>5.5</v>
      </c>
      <c r="B2129" t="s">
        <v>8478</v>
      </c>
      <c r="C2129" t="s">
        <v>8478</v>
      </c>
      <c r="D2129">
        <v>5.5</v>
      </c>
      <c r="E2129">
        <f t="shared" si="33"/>
        <v>6</v>
      </c>
      <c r="G2129">
        <v>1</v>
      </c>
    </row>
    <row r="2130" spans="1:7">
      <c r="A2130">
        <v>5.5</v>
      </c>
      <c r="B2130" t="s">
        <v>8511</v>
      </c>
      <c r="C2130" t="s">
        <v>8511</v>
      </c>
      <c r="D2130">
        <v>5.5</v>
      </c>
      <c r="E2130">
        <f t="shared" si="33"/>
        <v>6</v>
      </c>
      <c r="G2130">
        <v>1</v>
      </c>
    </row>
    <row r="2131" spans="1:7">
      <c r="A2131">
        <v>5.5</v>
      </c>
      <c r="B2131" t="s">
        <v>8664</v>
      </c>
      <c r="C2131" t="s">
        <v>8664</v>
      </c>
      <c r="D2131">
        <v>5.5</v>
      </c>
      <c r="E2131">
        <f t="shared" si="33"/>
        <v>6</v>
      </c>
      <c r="G2131">
        <v>1</v>
      </c>
    </row>
    <row r="2132" spans="1:7">
      <c r="A2132">
        <v>5.5</v>
      </c>
      <c r="B2132" t="s">
        <v>8803</v>
      </c>
      <c r="C2132" t="s">
        <v>8803</v>
      </c>
      <c r="D2132">
        <v>5.5</v>
      </c>
      <c r="E2132">
        <f t="shared" si="33"/>
        <v>6</v>
      </c>
      <c r="G2132">
        <v>1</v>
      </c>
    </row>
    <row r="2133" spans="1:7">
      <c r="A2133">
        <v>5.5</v>
      </c>
      <c r="B2133" t="s">
        <v>8943</v>
      </c>
      <c r="C2133" t="s">
        <v>8943</v>
      </c>
      <c r="D2133">
        <v>5.5</v>
      </c>
      <c r="E2133">
        <f t="shared" si="33"/>
        <v>6</v>
      </c>
      <c r="G2133">
        <v>1</v>
      </c>
    </row>
    <row r="2134" spans="1:7">
      <c r="A2134">
        <v>5.5</v>
      </c>
      <c r="B2134" t="s">
        <v>8954</v>
      </c>
      <c r="C2134" t="s">
        <v>8954</v>
      </c>
      <c r="D2134">
        <v>5.5</v>
      </c>
      <c r="E2134">
        <f t="shared" si="33"/>
        <v>6</v>
      </c>
      <c r="G2134">
        <v>1</v>
      </c>
    </row>
    <row r="2135" spans="1:7">
      <c r="A2135">
        <v>5.5</v>
      </c>
      <c r="B2135" t="s">
        <v>8973</v>
      </c>
      <c r="C2135" t="s">
        <v>8973</v>
      </c>
      <c r="D2135">
        <v>5.5</v>
      </c>
      <c r="E2135">
        <f t="shared" si="33"/>
        <v>6</v>
      </c>
      <c r="G2135">
        <v>1</v>
      </c>
    </row>
    <row r="2136" spans="1:7">
      <c r="A2136">
        <v>5.5</v>
      </c>
      <c r="B2136" t="s">
        <v>7841</v>
      </c>
      <c r="C2136" t="s">
        <v>7841</v>
      </c>
      <c r="D2136">
        <v>5.5</v>
      </c>
      <c r="E2136">
        <f t="shared" si="33"/>
        <v>6</v>
      </c>
      <c r="G2136">
        <v>1</v>
      </c>
    </row>
    <row r="2137" spans="1:7">
      <c r="A2137">
        <v>5.5</v>
      </c>
      <c r="B2137" t="s">
        <v>9063</v>
      </c>
      <c r="C2137" t="s">
        <v>9063</v>
      </c>
      <c r="D2137">
        <v>5.5</v>
      </c>
      <c r="E2137">
        <f t="shared" si="33"/>
        <v>6</v>
      </c>
      <c r="G2137">
        <v>1</v>
      </c>
    </row>
    <row r="2138" spans="1:7">
      <c r="A2138">
        <v>5.5</v>
      </c>
      <c r="B2138" t="s">
        <v>9127</v>
      </c>
      <c r="C2138" t="s">
        <v>9127</v>
      </c>
      <c r="D2138">
        <v>5.5</v>
      </c>
      <c r="E2138">
        <f t="shared" si="33"/>
        <v>6</v>
      </c>
      <c r="G2138">
        <v>1</v>
      </c>
    </row>
    <row r="2139" spans="1:7">
      <c r="A2139">
        <v>5.5</v>
      </c>
      <c r="B2139" t="s">
        <v>9160</v>
      </c>
      <c r="C2139" t="s">
        <v>9160</v>
      </c>
      <c r="D2139">
        <v>5.5</v>
      </c>
      <c r="E2139">
        <f t="shared" si="33"/>
        <v>6</v>
      </c>
      <c r="G2139">
        <v>1</v>
      </c>
    </row>
    <row r="2140" spans="1:7">
      <c r="A2140">
        <v>5.5</v>
      </c>
      <c r="B2140" t="s">
        <v>9171</v>
      </c>
      <c r="C2140" t="s">
        <v>9171</v>
      </c>
      <c r="D2140">
        <v>5.5</v>
      </c>
      <c r="E2140">
        <f t="shared" si="33"/>
        <v>6</v>
      </c>
      <c r="G2140">
        <v>1</v>
      </c>
    </row>
    <row r="2141" spans="1:7">
      <c r="A2141">
        <v>5.5</v>
      </c>
      <c r="B2141" t="s">
        <v>9169</v>
      </c>
      <c r="C2141" t="s">
        <v>9169</v>
      </c>
      <c r="D2141">
        <v>5.5</v>
      </c>
      <c r="E2141">
        <f t="shared" si="33"/>
        <v>6</v>
      </c>
      <c r="G2141">
        <v>1</v>
      </c>
    </row>
    <row r="2142" spans="1:7">
      <c r="A2142">
        <v>5.5</v>
      </c>
      <c r="B2142" t="s">
        <v>7443</v>
      </c>
      <c r="C2142" t="s">
        <v>7443</v>
      </c>
      <c r="D2142">
        <v>5.5</v>
      </c>
      <c r="E2142">
        <f t="shared" si="33"/>
        <v>6</v>
      </c>
      <c r="G2142">
        <v>1</v>
      </c>
    </row>
    <row r="2143" spans="1:7">
      <c r="A2143">
        <v>5.5</v>
      </c>
      <c r="B2143" t="s">
        <v>8051</v>
      </c>
      <c r="C2143" t="s">
        <v>8051</v>
      </c>
      <c r="D2143">
        <v>5.5</v>
      </c>
      <c r="E2143">
        <f t="shared" si="33"/>
        <v>6</v>
      </c>
      <c r="G2143">
        <v>1</v>
      </c>
    </row>
    <row r="2144" spans="1:7">
      <c r="A2144">
        <v>5.5</v>
      </c>
      <c r="B2144" t="s">
        <v>8840</v>
      </c>
      <c r="C2144" t="s">
        <v>8840</v>
      </c>
      <c r="D2144">
        <v>5.5</v>
      </c>
      <c r="E2144">
        <f t="shared" si="33"/>
        <v>6</v>
      </c>
      <c r="G2144">
        <v>1</v>
      </c>
    </row>
    <row r="2145" spans="1:7">
      <c r="A2145">
        <v>5.5</v>
      </c>
      <c r="B2145" t="s">
        <v>8958</v>
      </c>
      <c r="C2145" t="s">
        <v>8958</v>
      </c>
      <c r="D2145">
        <v>5.5</v>
      </c>
      <c r="E2145">
        <f t="shared" si="33"/>
        <v>6</v>
      </c>
      <c r="G2145">
        <v>1</v>
      </c>
    </row>
    <row r="2146" spans="1:7">
      <c r="A2146">
        <v>5.5</v>
      </c>
      <c r="B2146" t="s">
        <v>8094</v>
      </c>
      <c r="C2146" t="s">
        <v>8094</v>
      </c>
      <c r="D2146">
        <v>5.5</v>
      </c>
      <c r="E2146">
        <f t="shared" si="33"/>
        <v>6</v>
      </c>
      <c r="G2146">
        <v>1</v>
      </c>
    </row>
    <row r="2147" spans="1:7">
      <c r="A2147">
        <v>5.5</v>
      </c>
      <c r="B2147" t="s">
        <v>7825</v>
      </c>
      <c r="C2147" t="s">
        <v>7825</v>
      </c>
      <c r="D2147">
        <v>5.5</v>
      </c>
      <c r="E2147">
        <f t="shared" si="33"/>
        <v>6</v>
      </c>
      <c r="G2147">
        <v>1</v>
      </c>
    </row>
    <row r="2148" spans="1:7">
      <c r="A2148">
        <v>5.5</v>
      </c>
      <c r="B2148" t="s">
        <v>8875</v>
      </c>
      <c r="C2148" t="s">
        <v>8875</v>
      </c>
      <c r="D2148">
        <v>5.5</v>
      </c>
      <c r="E2148">
        <f t="shared" si="33"/>
        <v>6</v>
      </c>
      <c r="G2148">
        <v>1</v>
      </c>
    </row>
    <row r="2149" spans="1:7">
      <c r="A2149">
        <v>5.5</v>
      </c>
      <c r="B2149" t="s">
        <v>9337</v>
      </c>
      <c r="C2149" t="s">
        <v>9337</v>
      </c>
      <c r="D2149">
        <v>5.5</v>
      </c>
      <c r="E2149">
        <f t="shared" si="33"/>
        <v>6</v>
      </c>
      <c r="G2149">
        <v>1</v>
      </c>
    </row>
    <row r="2150" spans="1:7">
      <c r="A2150">
        <v>5.5</v>
      </c>
      <c r="B2150" t="s">
        <v>8393</v>
      </c>
      <c r="C2150" t="s">
        <v>8393</v>
      </c>
      <c r="D2150">
        <v>5.5</v>
      </c>
      <c r="E2150">
        <f t="shared" si="33"/>
        <v>6</v>
      </c>
      <c r="G2150">
        <v>1</v>
      </c>
    </row>
    <row r="2151" spans="1:7">
      <c r="A2151">
        <v>5.5</v>
      </c>
      <c r="B2151" t="s">
        <v>7983</v>
      </c>
      <c r="C2151" t="s">
        <v>7983</v>
      </c>
      <c r="D2151">
        <v>5.5</v>
      </c>
      <c r="E2151">
        <f t="shared" si="33"/>
        <v>6</v>
      </c>
      <c r="G2151">
        <v>1</v>
      </c>
    </row>
    <row r="2152" spans="1:7">
      <c r="A2152">
        <v>5.5</v>
      </c>
      <c r="B2152" t="s">
        <v>9470</v>
      </c>
      <c r="C2152" t="s">
        <v>9470</v>
      </c>
      <c r="D2152">
        <v>5.5</v>
      </c>
      <c r="E2152">
        <f t="shared" si="33"/>
        <v>6</v>
      </c>
      <c r="G2152">
        <v>1</v>
      </c>
    </row>
    <row r="2153" spans="1:7">
      <c r="A2153">
        <v>5.5</v>
      </c>
      <c r="B2153" t="s">
        <v>7979</v>
      </c>
      <c r="C2153" t="s">
        <v>7979</v>
      </c>
      <c r="D2153">
        <v>5.5</v>
      </c>
      <c r="E2153">
        <f t="shared" si="33"/>
        <v>6</v>
      </c>
      <c r="G2153">
        <v>1</v>
      </c>
    </row>
    <row r="2154" spans="1:7">
      <c r="A2154">
        <v>5.5</v>
      </c>
      <c r="B2154" t="s">
        <v>9502</v>
      </c>
      <c r="C2154" t="s">
        <v>9502</v>
      </c>
      <c r="D2154">
        <v>5.5</v>
      </c>
      <c r="E2154">
        <f t="shared" si="33"/>
        <v>6</v>
      </c>
      <c r="G2154">
        <v>1</v>
      </c>
    </row>
    <row r="2155" spans="1:7">
      <c r="A2155">
        <v>5.5</v>
      </c>
      <c r="B2155" t="s">
        <v>8523</v>
      </c>
      <c r="C2155" t="s">
        <v>8523</v>
      </c>
      <c r="D2155">
        <v>5.5</v>
      </c>
      <c r="E2155">
        <f t="shared" si="33"/>
        <v>6</v>
      </c>
      <c r="G2155">
        <v>1</v>
      </c>
    </row>
    <row r="2156" spans="1:7">
      <c r="A2156">
        <v>5.5</v>
      </c>
      <c r="B2156" t="s">
        <v>9225</v>
      </c>
      <c r="C2156" t="s">
        <v>9225</v>
      </c>
      <c r="D2156">
        <v>5.5</v>
      </c>
      <c r="E2156">
        <f t="shared" si="33"/>
        <v>6</v>
      </c>
      <c r="G2156">
        <v>1</v>
      </c>
    </row>
    <row r="2157" spans="1:7">
      <c r="A2157">
        <v>5.5</v>
      </c>
      <c r="B2157" t="s">
        <v>8504</v>
      </c>
      <c r="C2157" t="s">
        <v>8504</v>
      </c>
      <c r="D2157">
        <v>5.5</v>
      </c>
      <c r="E2157">
        <f t="shared" si="33"/>
        <v>6</v>
      </c>
      <c r="G2157">
        <v>1</v>
      </c>
    </row>
    <row r="2158" spans="1:7">
      <c r="A2158">
        <v>5.5</v>
      </c>
      <c r="B2158" t="s">
        <v>222</v>
      </c>
      <c r="C2158" t="s">
        <v>222</v>
      </c>
      <c r="D2158">
        <v>5.5</v>
      </c>
      <c r="E2158">
        <f t="shared" si="33"/>
        <v>6</v>
      </c>
      <c r="G2158">
        <v>1</v>
      </c>
    </row>
    <row r="2159" spans="1:7">
      <c r="A2159">
        <v>5.5</v>
      </c>
      <c r="B2159" t="s">
        <v>8313</v>
      </c>
      <c r="C2159" t="s">
        <v>8313</v>
      </c>
      <c r="D2159">
        <v>5.5</v>
      </c>
      <c r="E2159">
        <f t="shared" si="33"/>
        <v>6</v>
      </c>
      <c r="G2159">
        <v>1</v>
      </c>
    </row>
    <row r="2160" spans="1:7">
      <c r="A2160">
        <v>5.5</v>
      </c>
      <c r="B2160" t="s">
        <v>9504</v>
      </c>
      <c r="C2160" t="s">
        <v>9504</v>
      </c>
      <c r="D2160">
        <v>5.5</v>
      </c>
      <c r="E2160">
        <f t="shared" si="33"/>
        <v>6</v>
      </c>
      <c r="G2160">
        <v>1</v>
      </c>
    </row>
    <row r="2161" spans="1:7">
      <c r="A2161">
        <v>5.5</v>
      </c>
      <c r="B2161" t="s">
        <v>8133</v>
      </c>
      <c r="C2161" t="s">
        <v>8133</v>
      </c>
      <c r="D2161">
        <v>5.5</v>
      </c>
      <c r="E2161">
        <f t="shared" si="33"/>
        <v>6</v>
      </c>
      <c r="G2161">
        <v>1</v>
      </c>
    </row>
    <row r="2162" spans="1:7">
      <c r="A2162">
        <v>5.5</v>
      </c>
      <c r="B2162" t="s">
        <v>7823</v>
      </c>
      <c r="C2162" t="s">
        <v>7823</v>
      </c>
      <c r="D2162">
        <v>5.5</v>
      </c>
      <c r="E2162">
        <f t="shared" si="33"/>
        <v>6</v>
      </c>
      <c r="G2162">
        <v>1</v>
      </c>
    </row>
    <row r="2163" spans="1:7">
      <c r="A2163">
        <v>5.5</v>
      </c>
      <c r="B2163" t="s">
        <v>9513</v>
      </c>
      <c r="C2163" t="s">
        <v>9513</v>
      </c>
      <c r="D2163">
        <v>5.5</v>
      </c>
      <c r="E2163">
        <f t="shared" si="33"/>
        <v>6</v>
      </c>
      <c r="G2163">
        <v>1</v>
      </c>
    </row>
    <row r="2164" spans="1:7">
      <c r="A2164">
        <v>5.5</v>
      </c>
      <c r="B2164" t="s">
        <v>8090</v>
      </c>
      <c r="C2164" t="s">
        <v>8090</v>
      </c>
      <c r="D2164">
        <v>5.5</v>
      </c>
      <c r="E2164">
        <f t="shared" si="33"/>
        <v>6</v>
      </c>
      <c r="G2164">
        <v>1</v>
      </c>
    </row>
    <row r="2165" spans="1:7">
      <c r="A2165">
        <v>5.5</v>
      </c>
      <c r="B2165" t="s">
        <v>1323</v>
      </c>
      <c r="C2165" t="s">
        <v>1323</v>
      </c>
      <c r="D2165">
        <v>5.5</v>
      </c>
      <c r="E2165">
        <f t="shared" si="33"/>
        <v>6</v>
      </c>
      <c r="G2165">
        <v>1</v>
      </c>
    </row>
    <row r="2166" spans="1:7">
      <c r="A2166">
        <v>5.5</v>
      </c>
      <c r="B2166" t="s">
        <v>444</v>
      </c>
      <c r="C2166" t="s">
        <v>444</v>
      </c>
      <c r="D2166">
        <v>5.5</v>
      </c>
      <c r="E2166">
        <f t="shared" si="33"/>
        <v>6</v>
      </c>
      <c r="G2166">
        <v>1</v>
      </c>
    </row>
    <row r="2167" spans="1:7">
      <c r="A2167">
        <v>5.5</v>
      </c>
      <c r="B2167" t="s">
        <v>7168</v>
      </c>
      <c r="C2167" t="s">
        <v>7168</v>
      </c>
      <c r="D2167">
        <v>5.5</v>
      </c>
      <c r="E2167">
        <f t="shared" si="33"/>
        <v>5</v>
      </c>
      <c r="G2167">
        <v>1</v>
      </c>
    </row>
    <row r="2168" spans="1:7">
      <c r="A2168">
        <v>5.5</v>
      </c>
      <c r="B2168" t="s">
        <v>7183</v>
      </c>
      <c r="C2168" t="s">
        <v>7183</v>
      </c>
      <c r="D2168">
        <v>5.5</v>
      </c>
      <c r="E2168">
        <f t="shared" si="33"/>
        <v>5</v>
      </c>
      <c r="F2168" t="s">
        <v>822</v>
      </c>
      <c r="G2168">
        <v>1</v>
      </c>
    </row>
    <row r="2169" spans="1:7">
      <c r="A2169">
        <v>5.5</v>
      </c>
      <c r="B2169" t="s">
        <v>7209</v>
      </c>
      <c r="C2169" t="s">
        <v>7209</v>
      </c>
      <c r="D2169">
        <v>5.5</v>
      </c>
      <c r="E2169">
        <f t="shared" si="33"/>
        <v>5</v>
      </c>
      <c r="F2169" t="s">
        <v>822</v>
      </c>
      <c r="G2169">
        <v>1</v>
      </c>
    </row>
    <row r="2170" spans="1:7">
      <c r="A2170">
        <v>5.5</v>
      </c>
      <c r="B2170" t="s">
        <v>7222</v>
      </c>
      <c r="C2170" t="s">
        <v>7222</v>
      </c>
      <c r="D2170">
        <v>5.5</v>
      </c>
      <c r="E2170">
        <f t="shared" si="33"/>
        <v>5</v>
      </c>
      <c r="F2170" t="s">
        <v>821</v>
      </c>
      <c r="G2170">
        <v>1</v>
      </c>
    </row>
    <row r="2171" spans="1:7">
      <c r="A2171">
        <v>5.5</v>
      </c>
      <c r="B2171" t="s">
        <v>7311</v>
      </c>
      <c r="C2171" t="s">
        <v>7311</v>
      </c>
      <c r="D2171">
        <v>5.5</v>
      </c>
      <c r="E2171">
        <f t="shared" si="33"/>
        <v>5</v>
      </c>
      <c r="F2171" t="s">
        <v>821</v>
      </c>
      <c r="G2171">
        <v>1</v>
      </c>
    </row>
    <row r="2172" spans="1:7">
      <c r="A2172">
        <v>5.5</v>
      </c>
      <c r="B2172" t="s">
        <v>7991</v>
      </c>
      <c r="C2172" t="s">
        <v>7991</v>
      </c>
      <c r="D2172">
        <v>5.5</v>
      </c>
      <c r="E2172">
        <f t="shared" si="33"/>
        <v>5</v>
      </c>
      <c r="G2172">
        <v>1</v>
      </c>
    </row>
    <row r="2173" spans="1:7">
      <c r="A2173">
        <v>5.5</v>
      </c>
      <c r="B2173" t="s">
        <v>7381</v>
      </c>
      <c r="C2173" t="s">
        <v>7381</v>
      </c>
      <c r="D2173">
        <v>5.5</v>
      </c>
      <c r="E2173">
        <f t="shared" si="33"/>
        <v>5</v>
      </c>
      <c r="G2173">
        <v>1</v>
      </c>
    </row>
    <row r="2174" spans="1:7">
      <c r="A2174">
        <v>5.5</v>
      </c>
      <c r="B2174" t="s">
        <v>7621</v>
      </c>
      <c r="C2174" t="s">
        <v>7621</v>
      </c>
      <c r="D2174">
        <v>5.5</v>
      </c>
      <c r="E2174">
        <f t="shared" si="33"/>
        <v>5</v>
      </c>
      <c r="G2174">
        <v>1</v>
      </c>
    </row>
    <row r="2175" spans="1:7">
      <c r="A2175">
        <v>5.5</v>
      </c>
      <c r="B2175" t="s">
        <v>7632</v>
      </c>
      <c r="C2175" t="s">
        <v>7632</v>
      </c>
      <c r="D2175">
        <v>5.5</v>
      </c>
      <c r="E2175">
        <f t="shared" si="33"/>
        <v>5</v>
      </c>
      <c r="G2175">
        <v>1</v>
      </c>
    </row>
    <row r="2176" spans="1:7">
      <c r="A2176">
        <v>5.5</v>
      </c>
      <c r="B2176" t="s">
        <v>8068</v>
      </c>
      <c r="C2176" t="s">
        <v>8068</v>
      </c>
      <c r="D2176">
        <v>5.5</v>
      </c>
      <c r="E2176">
        <f t="shared" si="33"/>
        <v>5</v>
      </c>
      <c r="G2176">
        <v>1</v>
      </c>
    </row>
    <row r="2177" spans="1:7">
      <c r="A2177">
        <v>5.5</v>
      </c>
      <c r="B2177" t="s">
        <v>7723</v>
      </c>
      <c r="C2177" t="s">
        <v>7723</v>
      </c>
      <c r="D2177">
        <v>5.5</v>
      </c>
      <c r="E2177">
        <f t="shared" si="33"/>
        <v>5</v>
      </c>
      <c r="G2177">
        <v>1</v>
      </c>
    </row>
    <row r="2178" spans="1:7">
      <c r="A2178">
        <v>5.5</v>
      </c>
      <c r="B2178" t="s">
        <v>7394</v>
      </c>
      <c r="C2178" t="s">
        <v>7394</v>
      </c>
      <c r="D2178">
        <v>5.5</v>
      </c>
      <c r="E2178">
        <f t="shared" ref="E2178:E2241" si="34">LEN(B2178)</f>
        <v>5</v>
      </c>
      <c r="G2178">
        <v>1</v>
      </c>
    </row>
    <row r="2179" spans="1:7">
      <c r="A2179">
        <v>5.5</v>
      </c>
      <c r="B2179" t="s">
        <v>8317</v>
      </c>
      <c r="C2179" t="s">
        <v>8317</v>
      </c>
      <c r="D2179">
        <v>5.5</v>
      </c>
      <c r="E2179">
        <f t="shared" si="34"/>
        <v>5</v>
      </c>
      <c r="G2179">
        <v>1</v>
      </c>
    </row>
    <row r="2180" spans="1:7">
      <c r="A2180">
        <v>5.5</v>
      </c>
      <c r="B2180" t="s">
        <v>8355</v>
      </c>
      <c r="C2180" t="s">
        <v>8355</v>
      </c>
      <c r="D2180">
        <v>5.5</v>
      </c>
      <c r="E2180">
        <f t="shared" si="34"/>
        <v>5</v>
      </c>
      <c r="G2180">
        <v>1</v>
      </c>
    </row>
    <row r="2181" spans="1:7">
      <c r="A2181">
        <v>5.5</v>
      </c>
      <c r="B2181" t="s">
        <v>8529</v>
      </c>
      <c r="C2181" t="s">
        <v>8529</v>
      </c>
      <c r="D2181">
        <v>5.5</v>
      </c>
      <c r="E2181">
        <f t="shared" si="34"/>
        <v>5</v>
      </c>
      <c r="G2181">
        <v>1</v>
      </c>
    </row>
    <row r="2182" spans="1:7">
      <c r="A2182">
        <v>5.5</v>
      </c>
      <c r="B2182" t="s">
        <v>7730</v>
      </c>
      <c r="C2182" t="s">
        <v>7730</v>
      </c>
      <c r="D2182">
        <v>5.5</v>
      </c>
      <c r="E2182">
        <f t="shared" si="34"/>
        <v>5</v>
      </c>
      <c r="G2182">
        <v>1</v>
      </c>
    </row>
    <row r="2183" spans="1:7">
      <c r="A2183">
        <v>5.5</v>
      </c>
      <c r="B2183" t="s">
        <v>8908</v>
      </c>
      <c r="C2183" t="s">
        <v>8908</v>
      </c>
      <c r="D2183">
        <v>5.5</v>
      </c>
      <c r="E2183">
        <f t="shared" si="34"/>
        <v>5</v>
      </c>
      <c r="G2183">
        <v>1</v>
      </c>
    </row>
    <row r="2184" spans="1:7">
      <c r="A2184">
        <v>5.5</v>
      </c>
      <c r="B2184" t="s">
        <v>8956</v>
      </c>
      <c r="C2184" t="s">
        <v>8956</v>
      </c>
      <c r="D2184">
        <v>5.5</v>
      </c>
      <c r="E2184">
        <f t="shared" si="34"/>
        <v>5</v>
      </c>
      <c r="G2184">
        <v>1</v>
      </c>
    </row>
    <row r="2185" spans="1:7">
      <c r="A2185">
        <v>5.5</v>
      </c>
      <c r="B2185" t="s">
        <v>9089</v>
      </c>
      <c r="C2185" t="s">
        <v>9089</v>
      </c>
      <c r="D2185">
        <v>5.5</v>
      </c>
      <c r="E2185">
        <f t="shared" si="34"/>
        <v>5</v>
      </c>
      <c r="G2185">
        <v>1</v>
      </c>
    </row>
    <row r="2186" spans="1:7">
      <c r="A2186">
        <v>5.5</v>
      </c>
      <c r="B2186" t="s">
        <v>141</v>
      </c>
      <c r="C2186" t="s">
        <v>141</v>
      </c>
      <c r="D2186">
        <v>5.5</v>
      </c>
      <c r="E2186">
        <f t="shared" si="34"/>
        <v>5</v>
      </c>
      <c r="G2186">
        <v>1</v>
      </c>
    </row>
    <row r="2187" spans="1:7">
      <c r="A2187">
        <v>5.5</v>
      </c>
      <c r="B2187" t="s">
        <v>983</v>
      </c>
      <c r="C2187" t="s">
        <v>983</v>
      </c>
      <c r="D2187">
        <v>5.5</v>
      </c>
      <c r="E2187">
        <f t="shared" si="34"/>
        <v>5</v>
      </c>
      <c r="G2187">
        <v>1</v>
      </c>
    </row>
    <row r="2188" spans="1:7">
      <c r="A2188">
        <v>5.5</v>
      </c>
      <c r="B2188" t="s">
        <v>9320</v>
      </c>
      <c r="C2188" t="s">
        <v>9320</v>
      </c>
      <c r="D2188">
        <v>5.5</v>
      </c>
      <c r="E2188">
        <f t="shared" si="34"/>
        <v>5</v>
      </c>
      <c r="G2188">
        <v>1</v>
      </c>
    </row>
    <row r="2189" spans="1:7">
      <c r="A2189">
        <v>5.5</v>
      </c>
      <c r="B2189" t="s">
        <v>9335</v>
      </c>
      <c r="C2189" t="s">
        <v>9335</v>
      </c>
      <c r="D2189">
        <v>5.5</v>
      </c>
      <c r="E2189">
        <f t="shared" si="34"/>
        <v>5</v>
      </c>
      <c r="G2189">
        <v>1</v>
      </c>
    </row>
    <row r="2190" spans="1:7">
      <c r="A2190">
        <v>5.5</v>
      </c>
      <c r="B2190" t="s">
        <v>9001</v>
      </c>
      <c r="C2190" t="s">
        <v>9001</v>
      </c>
      <c r="D2190">
        <v>5.5</v>
      </c>
      <c r="E2190">
        <f t="shared" si="34"/>
        <v>5</v>
      </c>
      <c r="G2190">
        <v>1</v>
      </c>
    </row>
    <row r="2191" spans="1:7">
      <c r="A2191">
        <v>5.5</v>
      </c>
      <c r="B2191" t="s">
        <v>8975</v>
      </c>
      <c r="C2191" t="s">
        <v>8975</v>
      </c>
      <c r="D2191">
        <v>5.5</v>
      </c>
      <c r="E2191">
        <f t="shared" si="34"/>
        <v>5</v>
      </c>
      <c r="G2191">
        <v>1</v>
      </c>
    </row>
    <row r="2192" spans="1:7">
      <c r="A2192">
        <v>5.5</v>
      </c>
      <c r="B2192" t="s">
        <v>9005</v>
      </c>
      <c r="C2192" t="s">
        <v>9005</v>
      </c>
      <c r="D2192">
        <v>5.5</v>
      </c>
      <c r="E2192">
        <f t="shared" si="34"/>
        <v>5</v>
      </c>
      <c r="G2192">
        <v>1</v>
      </c>
    </row>
    <row r="2193" spans="1:7">
      <c r="A2193">
        <v>5.5</v>
      </c>
      <c r="B2193" t="s">
        <v>9009</v>
      </c>
      <c r="C2193" t="s">
        <v>9009</v>
      </c>
      <c r="D2193">
        <v>5.5</v>
      </c>
      <c r="E2193">
        <f t="shared" si="34"/>
        <v>5</v>
      </c>
      <c r="G2193">
        <v>1</v>
      </c>
    </row>
    <row r="2194" spans="1:7">
      <c r="A2194">
        <v>5.5</v>
      </c>
      <c r="B2194" t="s">
        <v>9011</v>
      </c>
      <c r="C2194" t="s">
        <v>9011</v>
      </c>
      <c r="D2194">
        <v>5.5</v>
      </c>
      <c r="E2194">
        <f t="shared" si="34"/>
        <v>5</v>
      </c>
      <c r="G2194">
        <v>1</v>
      </c>
    </row>
    <row r="2195" spans="1:7">
      <c r="A2195">
        <v>5.5</v>
      </c>
      <c r="B2195" t="s">
        <v>8236</v>
      </c>
      <c r="C2195" t="s">
        <v>8236</v>
      </c>
      <c r="D2195">
        <v>5.5</v>
      </c>
      <c r="E2195">
        <f t="shared" si="34"/>
        <v>5</v>
      </c>
      <c r="G2195">
        <v>1</v>
      </c>
    </row>
    <row r="2196" spans="1:7">
      <c r="A2196">
        <v>5.5</v>
      </c>
      <c r="B2196" t="s">
        <v>8379</v>
      </c>
      <c r="C2196" t="s">
        <v>8379</v>
      </c>
      <c r="D2196">
        <v>5.5</v>
      </c>
      <c r="E2196">
        <f t="shared" si="34"/>
        <v>5</v>
      </c>
      <c r="G2196">
        <v>1</v>
      </c>
    </row>
    <row r="2197" spans="1:7">
      <c r="A2197">
        <v>5.5</v>
      </c>
      <c r="B2197" t="s">
        <v>9357</v>
      </c>
      <c r="C2197" t="s">
        <v>9357</v>
      </c>
      <c r="D2197">
        <v>5.5</v>
      </c>
      <c r="E2197">
        <f t="shared" si="34"/>
        <v>5</v>
      </c>
      <c r="G2197">
        <v>1</v>
      </c>
    </row>
    <row r="2198" spans="1:7">
      <c r="A2198">
        <v>5.5</v>
      </c>
      <c r="B2198" t="s">
        <v>7569</v>
      </c>
      <c r="C2198" t="s">
        <v>7569</v>
      </c>
      <c r="D2198">
        <v>5.5</v>
      </c>
      <c r="E2198">
        <f t="shared" si="34"/>
        <v>5</v>
      </c>
      <c r="G2198">
        <v>1</v>
      </c>
    </row>
    <row r="2199" spans="1:7">
      <c r="A2199">
        <v>5.5</v>
      </c>
      <c r="B2199" t="s">
        <v>8919</v>
      </c>
      <c r="C2199" t="s">
        <v>8919</v>
      </c>
      <c r="D2199">
        <v>5.5</v>
      </c>
      <c r="E2199">
        <f t="shared" si="34"/>
        <v>5</v>
      </c>
      <c r="G2199">
        <v>1</v>
      </c>
    </row>
    <row r="2200" spans="1:7">
      <c r="A2200">
        <v>5.5</v>
      </c>
      <c r="B2200" t="s">
        <v>342</v>
      </c>
      <c r="C2200" t="s">
        <v>342</v>
      </c>
      <c r="D2200">
        <v>5.5</v>
      </c>
      <c r="E2200">
        <f t="shared" si="34"/>
        <v>5</v>
      </c>
      <c r="G2200">
        <v>1</v>
      </c>
    </row>
    <row r="2201" spans="1:7">
      <c r="A2201">
        <v>5.5</v>
      </c>
      <c r="B2201" t="s">
        <v>7513</v>
      </c>
      <c r="C2201" t="s">
        <v>7513</v>
      </c>
      <c r="D2201">
        <v>5.5</v>
      </c>
      <c r="E2201">
        <f t="shared" si="34"/>
        <v>5</v>
      </c>
      <c r="G2201">
        <v>1</v>
      </c>
    </row>
    <row r="2202" spans="1:7">
      <c r="A2202">
        <v>5.5</v>
      </c>
      <c r="B2202" t="s">
        <v>8307</v>
      </c>
      <c r="C2202" t="s">
        <v>8307</v>
      </c>
      <c r="D2202">
        <v>5.5</v>
      </c>
      <c r="E2202">
        <f t="shared" si="34"/>
        <v>5</v>
      </c>
      <c r="G2202">
        <v>1</v>
      </c>
    </row>
    <row r="2203" spans="1:7">
      <c r="A2203">
        <v>5.5</v>
      </c>
      <c r="B2203" t="s">
        <v>8546</v>
      </c>
      <c r="C2203" t="s">
        <v>8546</v>
      </c>
      <c r="D2203">
        <v>5.5</v>
      </c>
      <c r="E2203">
        <f t="shared" si="34"/>
        <v>5</v>
      </c>
      <c r="G2203">
        <v>1</v>
      </c>
    </row>
    <row r="2204" spans="1:7">
      <c r="A2204">
        <v>5.5</v>
      </c>
      <c r="B2204" t="s">
        <v>9283</v>
      </c>
      <c r="C2204" t="s">
        <v>9283</v>
      </c>
      <c r="D2204">
        <v>5.5</v>
      </c>
      <c r="E2204">
        <f t="shared" si="34"/>
        <v>5</v>
      </c>
      <c r="G2204">
        <v>1</v>
      </c>
    </row>
    <row r="2205" spans="1:7">
      <c r="A2205">
        <v>5.5</v>
      </c>
      <c r="B2205" t="s">
        <v>7898</v>
      </c>
      <c r="C2205" t="s">
        <v>7898</v>
      </c>
      <c r="D2205">
        <v>5.5</v>
      </c>
      <c r="E2205">
        <f t="shared" si="34"/>
        <v>5</v>
      </c>
      <c r="G2205">
        <v>1</v>
      </c>
    </row>
    <row r="2206" spans="1:7">
      <c r="A2206">
        <v>5.5</v>
      </c>
      <c r="B2206" t="s">
        <v>8238</v>
      </c>
      <c r="C2206" t="s">
        <v>8238</v>
      </c>
      <c r="D2206">
        <v>5.5</v>
      </c>
      <c r="E2206">
        <f t="shared" si="34"/>
        <v>5</v>
      </c>
      <c r="G2206">
        <v>1</v>
      </c>
    </row>
    <row r="2207" spans="1:7">
      <c r="A2207">
        <v>5.5</v>
      </c>
      <c r="B2207" t="s">
        <v>9431</v>
      </c>
      <c r="C2207" t="s">
        <v>9431</v>
      </c>
      <c r="D2207">
        <v>5.5</v>
      </c>
      <c r="E2207">
        <f t="shared" si="34"/>
        <v>5</v>
      </c>
      <c r="G2207">
        <v>1</v>
      </c>
    </row>
    <row r="2208" spans="1:7">
      <c r="A2208">
        <v>5.5</v>
      </c>
      <c r="B2208" t="s">
        <v>7575</v>
      </c>
      <c r="C2208" t="s">
        <v>7575</v>
      </c>
      <c r="D2208">
        <v>5.5</v>
      </c>
      <c r="E2208">
        <f t="shared" si="34"/>
        <v>5</v>
      </c>
      <c r="G2208">
        <v>1</v>
      </c>
    </row>
    <row r="2209" spans="1:7">
      <c r="A2209">
        <v>5.5</v>
      </c>
      <c r="B2209" t="s">
        <v>7827</v>
      </c>
      <c r="C2209" t="s">
        <v>7827</v>
      </c>
      <c r="D2209">
        <v>5.5</v>
      </c>
      <c r="E2209">
        <f t="shared" si="34"/>
        <v>5</v>
      </c>
      <c r="G2209">
        <v>1</v>
      </c>
    </row>
    <row r="2210" spans="1:7">
      <c r="A2210">
        <v>5.5</v>
      </c>
      <c r="B2210" t="s">
        <v>8847</v>
      </c>
      <c r="C2210" t="s">
        <v>8847</v>
      </c>
      <c r="D2210">
        <v>5.5</v>
      </c>
      <c r="E2210">
        <f t="shared" si="34"/>
        <v>5</v>
      </c>
      <c r="G2210">
        <v>1</v>
      </c>
    </row>
    <row r="2211" spans="1:7">
      <c r="A2211">
        <v>5.5</v>
      </c>
      <c r="B2211" t="s">
        <v>10152</v>
      </c>
      <c r="C2211" t="s">
        <v>10152</v>
      </c>
      <c r="D2211">
        <v>5.5</v>
      </c>
      <c r="E2211">
        <f t="shared" si="34"/>
        <v>5</v>
      </c>
      <c r="F2211" t="s">
        <v>821</v>
      </c>
      <c r="G2211">
        <v>1</v>
      </c>
    </row>
    <row r="2212" spans="1:7">
      <c r="A2212">
        <v>5.5</v>
      </c>
      <c r="B2212" t="s">
        <v>719</v>
      </c>
      <c r="C2212" t="s">
        <v>719</v>
      </c>
      <c r="D2212">
        <v>5.5</v>
      </c>
      <c r="E2212">
        <f t="shared" si="34"/>
        <v>5</v>
      </c>
      <c r="F2212" t="s">
        <v>1420</v>
      </c>
      <c r="G2212">
        <v>1</v>
      </c>
    </row>
    <row r="2213" spans="1:7">
      <c r="A2213">
        <v>5.5</v>
      </c>
      <c r="B2213" t="s">
        <v>8857</v>
      </c>
      <c r="C2213" t="s">
        <v>8857</v>
      </c>
      <c r="D2213">
        <v>5.5</v>
      </c>
      <c r="E2213">
        <f t="shared" si="34"/>
        <v>5</v>
      </c>
      <c r="G2213">
        <v>1</v>
      </c>
    </row>
    <row r="2214" spans="1:7">
      <c r="A2214">
        <v>5.5</v>
      </c>
      <c r="B2214" t="s">
        <v>7492</v>
      </c>
      <c r="C2214" t="s">
        <v>7492</v>
      </c>
      <c r="D2214">
        <v>5.5</v>
      </c>
      <c r="E2214">
        <f t="shared" si="34"/>
        <v>5</v>
      </c>
      <c r="G2214">
        <v>1</v>
      </c>
    </row>
    <row r="2215" spans="1:7">
      <c r="A2215">
        <v>5.5</v>
      </c>
      <c r="B2215" t="s">
        <v>9510</v>
      </c>
      <c r="C2215" t="s">
        <v>9510</v>
      </c>
      <c r="D2215">
        <v>5.5</v>
      </c>
      <c r="E2215">
        <f t="shared" si="34"/>
        <v>5</v>
      </c>
      <c r="G2215">
        <v>1</v>
      </c>
    </row>
    <row r="2216" spans="1:7">
      <c r="A2216">
        <v>5.5</v>
      </c>
      <c r="B2216" t="s">
        <v>843</v>
      </c>
      <c r="C2216" t="s">
        <v>843</v>
      </c>
      <c r="D2216">
        <v>5.5</v>
      </c>
      <c r="E2216">
        <f t="shared" si="34"/>
        <v>5</v>
      </c>
      <c r="G2216">
        <v>1</v>
      </c>
    </row>
    <row r="2217" spans="1:7">
      <c r="A2217">
        <v>5.5</v>
      </c>
      <c r="B2217" t="s">
        <v>9526</v>
      </c>
      <c r="C2217" t="s">
        <v>9526</v>
      </c>
      <c r="D2217">
        <v>5.5</v>
      </c>
      <c r="E2217">
        <f t="shared" si="34"/>
        <v>5</v>
      </c>
      <c r="G2217">
        <v>1</v>
      </c>
    </row>
    <row r="2218" spans="1:7">
      <c r="A2218">
        <v>5.5</v>
      </c>
      <c r="B2218" t="s">
        <v>9229</v>
      </c>
      <c r="C2218" t="s">
        <v>9229</v>
      </c>
      <c r="D2218">
        <v>5.5</v>
      </c>
      <c r="E2218">
        <f t="shared" si="34"/>
        <v>5</v>
      </c>
      <c r="G2218">
        <v>1</v>
      </c>
    </row>
    <row r="2219" spans="1:7">
      <c r="A2219">
        <v>5.5</v>
      </c>
      <c r="B2219" t="s">
        <v>244</v>
      </c>
      <c r="C2219" t="s">
        <v>244</v>
      </c>
      <c r="D2219">
        <v>5.5</v>
      </c>
      <c r="E2219">
        <f t="shared" si="34"/>
        <v>5</v>
      </c>
      <c r="G2219">
        <v>1</v>
      </c>
    </row>
    <row r="2220" spans="1:7">
      <c r="A2220">
        <v>5.5</v>
      </c>
      <c r="B2220" t="s">
        <v>8187</v>
      </c>
      <c r="C2220" t="s">
        <v>8187</v>
      </c>
      <c r="D2220">
        <v>5.5</v>
      </c>
      <c r="E2220">
        <f t="shared" si="34"/>
        <v>5</v>
      </c>
      <c r="G2220">
        <v>1</v>
      </c>
    </row>
    <row r="2221" spans="1:7">
      <c r="A2221">
        <v>5.5</v>
      </c>
      <c r="B2221" t="s">
        <v>8305</v>
      </c>
      <c r="C2221" t="s">
        <v>8305</v>
      </c>
      <c r="D2221">
        <v>5.5</v>
      </c>
      <c r="E2221">
        <f t="shared" si="34"/>
        <v>5</v>
      </c>
      <c r="G2221">
        <v>1</v>
      </c>
    </row>
    <row r="2222" spans="1:7">
      <c r="A2222">
        <v>5.5</v>
      </c>
      <c r="B2222" t="s">
        <v>8834</v>
      </c>
      <c r="C2222" t="s">
        <v>8834</v>
      </c>
      <c r="D2222">
        <v>5.5</v>
      </c>
      <c r="E2222">
        <f t="shared" si="34"/>
        <v>5</v>
      </c>
      <c r="G2222">
        <v>1</v>
      </c>
    </row>
    <row r="2223" spans="1:7">
      <c r="A2223">
        <v>5.5</v>
      </c>
      <c r="B2223" t="s">
        <v>9348</v>
      </c>
      <c r="C2223" t="s">
        <v>9348</v>
      </c>
      <c r="D2223">
        <v>5.5</v>
      </c>
      <c r="E2223">
        <f t="shared" si="34"/>
        <v>5</v>
      </c>
      <c r="G2223">
        <v>1</v>
      </c>
    </row>
    <row r="2224" spans="1:7">
      <c r="A2224">
        <v>5.5</v>
      </c>
      <c r="B2224" t="s">
        <v>9541</v>
      </c>
      <c r="C2224" t="s">
        <v>9541</v>
      </c>
      <c r="D2224">
        <v>5.5</v>
      </c>
      <c r="E2224">
        <f t="shared" si="34"/>
        <v>5</v>
      </c>
      <c r="G2224">
        <v>1</v>
      </c>
    </row>
    <row r="2225" spans="1:7">
      <c r="A2225">
        <v>5.5</v>
      </c>
      <c r="B2225" t="s">
        <v>8851</v>
      </c>
      <c r="C2225" t="s">
        <v>8851</v>
      </c>
      <c r="D2225">
        <v>5.5</v>
      </c>
      <c r="E2225">
        <f t="shared" si="34"/>
        <v>5</v>
      </c>
      <c r="G2225">
        <v>1</v>
      </c>
    </row>
    <row r="2226" spans="1:7">
      <c r="A2226">
        <v>5.5</v>
      </c>
      <c r="B2226" t="s">
        <v>8300</v>
      </c>
      <c r="C2226" t="s">
        <v>8300</v>
      </c>
      <c r="D2226">
        <v>5.5</v>
      </c>
      <c r="E2226">
        <f t="shared" si="34"/>
        <v>5</v>
      </c>
      <c r="G2226">
        <v>1</v>
      </c>
    </row>
    <row r="2227" spans="1:7">
      <c r="A2227">
        <v>5.5</v>
      </c>
      <c r="B2227" t="s">
        <v>8890</v>
      </c>
      <c r="C2227" t="s">
        <v>8890</v>
      </c>
      <c r="D2227">
        <v>5.5</v>
      </c>
      <c r="E2227">
        <f t="shared" si="34"/>
        <v>5</v>
      </c>
      <c r="G2227">
        <v>1</v>
      </c>
    </row>
    <row r="2228" spans="1:7">
      <c r="A2228">
        <v>5.5</v>
      </c>
      <c r="B2228" t="s">
        <v>8270</v>
      </c>
      <c r="C2228" t="s">
        <v>8270</v>
      </c>
      <c r="D2228">
        <v>5.5</v>
      </c>
      <c r="E2228">
        <f t="shared" si="34"/>
        <v>5</v>
      </c>
      <c r="G2228">
        <v>1</v>
      </c>
    </row>
    <row r="2229" spans="1:7">
      <c r="A2229">
        <v>5.5</v>
      </c>
      <c r="B2229" t="s">
        <v>1309</v>
      </c>
      <c r="C2229" t="s">
        <v>1309</v>
      </c>
      <c r="D2229">
        <v>5.5</v>
      </c>
      <c r="E2229">
        <f t="shared" si="34"/>
        <v>5</v>
      </c>
      <c r="G2229">
        <v>1</v>
      </c>
    </row>
    <row r="2230" spans="1:7">
      <c r="A2230">
        <v>5.5</v>
      </c>
      <c r="B2230" t="s">
        <v>1310</v>
      </c>
      <c r="C2230" t="s">
        <v>1310</v>
      </c>
      <c r="D2230">
        <v>5.5</v>
      </c>
      <c r="E2230">
        <f t="shared" si="34"/>
        <v>5</v>
      </c>
      <c r="G2230">
        <v>1</v>
      </c>
    </row>
    <row r="2231" spans="1:7">
      <c r="A2231">
        <v>5.5</v>
      </c>
      <c r="B2231" t="s">
        <v>1420</v>
      </c>
      <c r="C2231" t="s">
        <v>1420</v>
      </c>
      <c r="D2231">
        <v>5.5</v>
      </c>
      <c r="E2231">
        <f t="shared" si="34"/>
        <v>5</v>
      </c>
      <c r="G2231">
        <v>1</v>
      </c>
    </row>
    <row r="2232" spans="1:7">
      <c r="A2232">
        <v>5.5</v>
      </c>
      <c r="B2232" t="s">
        <v>9309</v>
      </c>
      <c r="C2232" t="s">
        <v>9309</v>
      </c>
      <c r="D2232">
        <v>5.5</v>
      </c>
      <c r="E2232">
        <f t="shared" si="34"/>
        <v>5</v>
      </c>
      <c r="G2232">
        <v>1</v>
      </c>
    </row>
    <row r="2233" spans="1:7">
      <c r="A2233">
        <v>5.5</v>
      </c>
      <c r="B2233" t="s">
        <v>195</v>
      </c>
      <c r="C2233" t="s">
        <v>195</v>
      </c>
      <c r="D2233">
        <v>5.5</v>
      </c>
      <c r="E2233">
        <f t="shared" si="34"/>
        <v>5</v>
      </c>
      <c r="G2233">
        <v>1</v>
      </c>
    </row>
    <row r="2234" spans="1:7">
      <c r="A2234">
        <v>5.5</v>
      </c>
      <c r="B2234" t="s">
        <v>7229</v>
      </c>
      <c r="C2234" t="s">
        <v>7229</v>
      </c>
      <c r="D2234">
        <v>5.5</v>
      </c>
      <c r="E2234">
        <f t="shared" si="34"/>
        <v>4</v>
      </c>
      <c r="G2234">
        <v>1</v>
      </c>
    </row>
    <row r="2235" spans="1:7">
      <c r="A2235">
        <v>5.5</v>
      </c>
      <c r="B2235">
        <v>1818</v>
      </c>
      <c r="C2235">
        <v>1818</v>
      </c>
      <c r="D2235">
        <v>5.5</v>
      </c>
      <c r="E2235">
        <f t="shared" si="34"/>
        <v>4</v>
      </c>
      <c r="F2235" t="s">
        <v>821</v>
      </c>
      <c r="G2235">
        <v>1</v>
      </c>
    </row>
    <row r="2236" spans="1:7">
      <c r="A2236">
        <v>5.5</v>
      </c>
      <c r="B2236" t="s">
        <v>7268</v>
      </c>
      <c r="C2236" t="s">
        <v>7268</v>
      </c>
      <c r="D2236">
        <v>5.5</v>
      </c>
      <c r="E2236">
        <f t="shared" si="34"/>
        <v>4</v>
      </c>
      <c r="F2236" t="s">
        <v>822</v>
      </c>
      <c r="G2236">
        <v>1</v>
      </c>
    </row>
    <row r="2237" spans="1:7">
      <c r="A2237">
        <v>5.5</v>
      </c>
      <c r="B2237" t="s">
        <v>7965</v>
      </c>
      <c r="C2237" t="s">
        <v>7965</v>
      </c>
      <c r="D2237">
        <v>5.5</v>
      </c>
      <c r="E2237">
        <f t="shared" si="34"/>
        <v>4</v>
      </c>
      <c r="G2237">
        <v>1</v>
      </c>
    </row>
    <row r="2238" spans="1:7">
      <c r="A2238">
        <v>5.5</v>
      </c>
      <c r="B2238" t="s">
        <v>7342</v>
      </c>
      <c r="C2238" t="s">
        <v>7342</v>
      </c>
      <c r="D2238">
        <v>5.5</v>
      </c>
      <c r="E2238">
        <f t="shared" si="34"/>
        <v>4</v>
      </c>
      <c r="G2238">
        <v>1</v>
      </c>
    </row>
    <row r="2239" spans="1:7">
      <c r="A2239">
        <v>5.5</v>
      </c>
      <c r="B2239" t="s">
        <v>7352</v>
      </c>
      <c r="C2239" t="s">
        <v>7352</v>
      </c>
      <c r="D2239">
        <v>5.5</v>
      </c>
      <c r="E2239">
        <f t="shared" si="34"/>
        <v>4</v>
      </c>
      <c r="G2239">
        <v>1</v>
      </c>
    </row>
    <row r="2240" spans="1:7">
      <c r="A2240">
        <v>5.5</v>
      </c>
      <c r="B2240" t="s">
        <v>7682</v>
      </c>
      <c r="C2240" t="s">
        <v>7682</v>
      </c>
      <c r="D2240">
        <v>5.5</v>
      </c>
      <c r="E2240">
        <f t="shared" si="34"/>
        <v>4</v>
      </c>
      <c r="G2240">
        <v>1</v>
      </c>
    </row>
    <row r="2241" spans="1:7">
      <c r="A2241">
        <v>5.5</v>
      </c>
      <c r="B2241" t="s">
        <v>7751</v>
      </c>
      <c r="C2241" t="s">
        <v>7751</v>
      </c>
      <c r="D2241">
        <v>5.5</v>
      </c>
      <c r="E2241">
        <f t="shared" si="34"/>
        <v>4</v>
      </c>
      <c r="G2241">
        <v>1</v>
      </c>
    </row>
    <row r="2242" spans="1:7">
      <c r="A2242">
        <v>5.5</v>
      </c>
      <c r="B2242" t="s">
        <v>7767</v>
      </c>
      <c r="C2242" t="s">
        <v>7767</v>
      </c>
      <c r="D2242">
        <v>5.5</v>
      </c>
      <c r="E2242">
        <f t="shared" ref="E2242:E2297" si="35">LEN(B2242)</f>
        <v>4</v>
      </c>
      <c r="G2242">
        <v>1</v>
      </c>
    </row>
    <row r="2243" spans="1:7">
      <c r="A2243">
        <v>5.5</v>
      </c>
      <c r="B2243" t="s">
        <v>8228</v>
      </c>
      <c r="C2243" t="s">
        <v>8228</v>
      </c>
      <c r="D2243">
        <v>5.5</v>
      </c>
      <c r="E2243">
        <f t="shared" si="35"/>
        <v>4</v>
      </c>
      <c r="G2243">
        <v>1</v>
      </c>
    </row>
    <row r="2244" spans="1:7">
      <c r="A2244">
        <v>5.5</v>
      </c>
      <c r="B2244" t="s">
        <v>7818</v>
      </c>
      <c r="C2244" t="s">
        <v>7818</v>
      </c>
      <c r="D2244">
        <v>5.5</v>
      </c>
      <c r="E2244">
        <f t="shared" si="35"/>
        <v>4</v>
      </c>
      <c r="G2244">
        <v>1</v>
      </c>
    </row>
    <row r="2245" spans="1:7">
      <c r="A2245">
        <v>5.5</v>
      </c>
      <c r="B2245" t="s">
        <v>8495</v>
      </c>
      <c r="C2245" t="s">
        <v>8495</v>
      </c>
      <c r="D2245">
        <v>5.5</v>
      </c>
      <c r="E2245">
        <f t="shared" si="35"/>
        <v>4</v>
      </c>
      <c r="G2245">
        <v>1</v>
      </c>
    </row>
    <row r="2246" spans="1:7">
      <c r="A2246">
        <v>5.5</v>
      </c>
      <c r="B2246" t="s">
        <v>8921</v>
      </c>
      <c r="C2246" t="s">
        <v>8921</v>
      </c>
      <c r="D2246">
        <v>5.5</v>
      </c>
      <c r="E2246">
        <f t="shared" si="35"/>
        <v>4</v>
      </c>
      <c r="G2246">
        <v>1</v>
      </c>
    </row>
    <row r="2247" spans="1:7">
      <c r="A2247">
        <v>5.5</v>
      </c>
      <c r="B2247" t="s">
        <v>8925</v>
      </c>
      <c r="C2247" t="s">
        <v>8925</v>
      </c>
      <c r="D2247">
        <v>5.5</v>
      </c>
      <c r="E2247">
        <f t="shared" si="35"/>
        <v>4</v>
      </c>
      <c r="G2247">
        <v>1</v>
      </c>
    </row>
    <row r="2248" spans="1:7">
      <c r="A2248">
        <v>5.5</v>
      </c>
      <c r="B2248" t="s">
        <v>9069</v>
      </c>
      <c r="C2248" t="s">
        <v>9069</v>
      </c>
      <c r="D2248">
        <v>5.5</v>
      </c>
      <c r="E2248">
        <f t="shared" si="35"/>
        <v>4</v>
      </c>
      <c r="G2248">
        <v>1</v>
      </c>
    </row>
    <row r="2249" spans="1:7">
      <c r="A2249">
        <v>5.5</v>
      </c>
      <c r="B2249" t="s">
        <v>9289</v>
      </c>
      <c r="C2249" t="s">
        <v>9289</v>
      </c>
      <c r="D2249">
        <v>5.5</v>
      </c>
      <c r="E2249">
        <f t="shared" si="35"/>
        <v>4</v>
      </c>
      <c r="G2249">
        <v>1</v>
      </c>
    </row>
    <row r="2250" spans="1:7">
      <c r="A2250">
        <v>5.5</v>
      </c>
      <c r="B2250" t="s">
        <v>9299</v>
      </c>
      <c r="C2250" t="s">
        <v>9299</v>
      </c>
      <c r="D2250">
        <v>5.5</v>
      </c>
      <c r="E2250">
        <f t="shared" si="35"/>
        <v>4</v>
      </c>
      <c r="G2250">
        <v>1</v>
      </c>
    </row>
    <row r="2251" spans="1:7">
      <c r="A2251">
        <v>5.5</v>
      </c>
      <c r="B2251" t="s">
        <v>7573</v>
      </c>
      <c r="C2251" t="s">
        <v>7573</v>
      </c>
      <c r="D2251">
        <v>5.5</v>
      </c>
      <c r="E2251">
        <f t="shared" si="35"/>
        <v>4</v>
      </c>
      <c r="G2251">
        <v>1</v>
      </c>
    </row>
    <row r="2252" spans="1:7">
      <c r="A2252">
        <v>5.5</v>
      </c>
      <c r="B2252" t="s">
        <v>9115</v>
      </c>
      <c r="C2252" t="s">
        <v>9115</v>
      </c>
      <c r="D2252">
        <v>5.5</v>
      </c>
      <c r="E2252">
        <f t="shared" si="35"/>
        <v>4</v>
      </c>
      <c r="G2252">
        <v>1</v>
      </c>
    </row>
    <row r="2253" spans="1:7">
      <c r="A2253">
        <v>5.5</v>
      </c>
      <c r="B2253" t="s">
        <v>7400</v>
      </c>
      <c r="C2253" t="s">
        <v>7400</v>
      </c>
      <c r="D2253">
        <v>5.5</v>
      </c>
      <c r="E2253">
        <f t="shared" si="35"/>
        <v>4</v>
      </c>
      <c r="G2253">
        <v>1</v>
      </c>
    </row>
    <row r="2254" spans="1:7">
      <c r="A2254">
        <v>5.5</v>
      </c>
      <c r="B2254" t="s">
        <v>8367</v>
      </c>
      <c r="C2254" t="s">
        <v>8367</v>
      </c>
      <c r="D2254">
        <v>5.5</v>
      </c>
      <c r="E2254">
        <f t="shared" si="35"/>
        <v>4</v>
      </c>
      <c r="G2254">
        <v>1</v>
      </c>
    </row>
    <row r="2255" spans="1:7">
      <c r="A2255">
        <v>5.5</v>
      </c>
      <c r="B2255" t="s">
        <v>8374</v>
      </c>
      <c r="C2255" t="s">
        <v>8374</v>
      </c>
      <c r="D2255">
        <v>5.5</v>
      </c>
      <c r="E2255">
        <f t="shared" si="35"/>
        <v>4</v>
      </c>
      <c r="G2255">
        <v>1</v>
      </c>
    </row>
    <row r="2256" spans="1:7">
      <c r="A2256">
        <v>5.5</v>
      </c>
      <c r="B2256" t="s">
        <v>9059</v>
      </c>
      <c r="C2256" t="s">
        <v>9059</v>
      </c>
      <c r="D2256">
        <v>5.5</v>
      </c>
      <c r="E2256">
        <f t="shared" si="35"/>
        <v>4</v>
      </c>
      <c r="G2256">
        <v>1</v>
      </c>
    </row>
    <row r="2257" spans="1:7">
      <c r="A2257">
        <v>5.5</v>
      </c>
      <c r="B2257" t="s">
        <v>314</v>
      </c>
      <c r="C2257" t="s">
        <v>314</v>
      </c>
      <c r="D2257">
        <v>5.5</v>
      </c>
      <c r="E2257">
        <f t="shared" si="35"/>
        <v>4</v>
      </c>
      <c r="G2257">
        <v>1</v>
      </c>
    </row>
    <row r="2258" spans="1:7">
      <c r="A2258">
        <v>5.5</v>
      </c>
      <c r="B2258" t="s">
        <v>8507</v>
      </c>
      <c r="C2258" t="s">
        <v>8507</v>
      </c>
      <c r="D2258">
        <v>5.5</v>
      </c>
      <c r="E2258">
        <f t="shared" si="35"/>
        <v>4</v>
      </c>
      <c r="G2258">
        <v>1</v>
      </c>
    </row>
    <row r="2259" spans="1:7">
      <c r="A2259">
        <v>5.5</v>
      </c>
      <c r="B2259" t="s">
        <v>9980</v>
      </c>
      <c r="C2259" t="s">
        <v>9980</v>
      </c>
      <c r="D2259">
        <v>5.5</v>
      </c>
      <c r="E2259">
        <f t="shared" si="35"/>
        <v>4</v>
      </c>
      <c r="G2259">
        <v>1</v>
      </c>
    </row>
    <row r="2260" spans="1:7">
      <c r="A2260">
        <v>5.5</v>
      </c>
      <c r="B2260" t="s">
        <v>9077</v>
      </c>
      <c r="C2260" t="s">
        <v>9077</v>
      </c>
      <c r="D2260">
        <v>5.5</v>
      </c>
      <c r="E2260">
        <f t="shared" si="35"/>
        <v>4</v>
      </c>
      <c r="G2260">
        <v>1</v>
      </c>
    </row>
    <row r="2261" spans="1:7">
      <c r="A2261">
        <v>5.5</v>
      </c>
      <c r="B2261" t="s">
        <v>7820</v>
      </c>
      <c r="C2261" t="s">
        <v>7820</v>
      </c>
      <c r="D2261">
        <v>5.5</v>
      </c>
      <c r="E2261">
        <f t="shared" si="35"/>
        <v>4</v>
      </c>
      <c r="G2261">
        <v>1</v>
      </c>
    </row>
    <row r="2262" spans="1:7">
      <c r="A2262">
        <v>5.5</v>
      </c>
      <c r="B2262" t="s">
        <v>8166</v>
      </c>
      <c r="C2262" t="s">
        <v>8166</v>
      </c>
      <c r="D2262">
        <v>5.5</v>
      </c>
      <c r="E2262">
        <f t="shared" si="35"/>
        <v>4</v>
      </c>
      <c r="G2262">
        <v>1</v>
      </c>
    </row>
    <row r="2263" spans="1:7">
      <c r="A2263">
        <v>5.5</v>
      </c>
      <c r="B2263" t="s">
        <v>8277</v>
      </c>
      <c r="C2263" t="s">
        <v>8277</v>
      </c>
      <c r="D2263">
        <v>5.5</v>
      </c>
      <c r="E2263">
        <f t="shared" si="35"/>
        <v>4</v>
      </c>
      <c r="G2263">
        <v>1</v>
      </c>
    </row>
    <row r="2264" spans="1:7">
      <c r="A2264">
        <v>5.5</v>
      </c>
      <c r="B2264" t="s">
        <v>8544</v>
      </c>
      <c r="C2264" t="s">
        <v>8544</v>
      </c>
      <c r="D2264">
        <v>5.5</v>
      </c>
      <c r="E2264">
        <f t="shared" si="35"/>
        <v>4</v>
      </c>
      <c r="G2264">
        <v>1</v>
      </c>
    </row>
    <row r="2265" spans="1:7">
      <c r="A2265">
        <v>5.5</v>
      </c>
      <c r="B2265" t="s">
        <v>9054</v>
      </c>
      <c r="C2265" t="s">
        <v>9054</v>
      </c>
      <c r="D2265">
        <v>5.5</v>
      </c>
      <c r="E2265">
        <f t="shared" si="35"/>
        <v>4</v>
      </c>
      <c r="G2265">
        <v>1</v>
      </c>
    </row>
    <row r="2266" spans="1:7">
      <c r="A2266">
        <v>5.5</v>
      </c>
      <c r="B2266" t="s">
        <v>7350</v>
      </c>
      <c r="C2266" t="s">
        <v>7350</v>
      </c>
      <c r="D2266">
        <v>5.5</v>
      </c>
      <c r="E2266">
        <f t="shared" si="35"/>
        <v>4</v>
      </c>
      <c r="G2266">
        <v>1</v>
      </c>
    </row>
    <row r="2267" spans="1:7">
      <c r="A2267">
        <v>5.5</v>
      </c>
      <c r="B2267" t="s">
        <v>8128</v>
      </c>
      <c r="C2267" t="s">
        <v>8128</v>
      </c>
      <c r="D2267">
        <v>5.5</v>
      </c>
      <c r="E2267">
        <f t="shared" si="35"/>
        <v>4</v>
      </c>
      <c r="G2267">
        <v>1</v>
      </c>
    </row>
    <row r="2268" spans="1:7">
      <c r="A2268">
        <v>5.5</v>
      </c>
      <c r="B2268" t="s">
        <v>8223</v>
      </c>
      <c r="C2268" t="s">
        <v>8223</v>
      </c>
      <c r="D2268">
        <v>5.5</v>
      </c>
      <c r="E2268">
        <f t="shared" si="35"/>
        <v>4</v>
      </c>
      <c r="G2268">
        <v>1</v>
      </c>
    </row>
    <row r="2269" spans="1:7">
      <c r="A2269">
        <v>5.5</v>
      </c>
      <c r="B2269" t="s">
        <v>9158</v>
      </c>
      <c r="C2269" t="s">
        <v>9158</v>
      </c>
      <c r="D2269">
        <v>5.5</v>
      </c>
      <c r="E2269">
        <f t="shared" si="35"/>
        <v>4</v>
      </c>
      <c r="G2269">
        <v>1</v>
      </c>
    </row>
    <row r="2270" spans="1:7">
      <c r="A2270">
        <v>5.5</v>
      </c>
      <c r="B2270" t="s">
        <v>9232</v>
      </c>
      <c r="C2270" t="s">
        <v>9232</v>
      </c>
      <c r="D2270">
        <v>5.5</v>
      </c>
      <c r="E2270">
        <f t="shared" si="35"/>
        <v>4</v>
      </c>
      <c r="G2270">
        <v>1</v>
      </c>
    </row>
    <row r="2271" spans="1:7">
      <c r="A2271">
        <v>5.5</v>
      </c>
      <c r="B2271" t="s">
        <v>9543</v>
      </c>
      <c r="C2271" t="s">
        <v>9543</v>
      </c>
      <c r="D2271">
        <v>5.5</v>
      </c>
      <c r="E2271">
        <f t="shared" si="35"/>
        <v>4</v>
      </c>
      <c r="G2271">
        <v>1</v>
      </c>
    </row>
    <row r="2272" spans="1:7">
      <c r="A2272">
        <v>5.5</v>
      </c>
      <c r="B2272" t="s">
        <v>5508</v>
      </c>
      <c r="C2272" t="s">
        <v>5508</v>
      </c>
      <c r="D2272">
        <v>5.5</v>
      </c>
      <c r="E2272">
        <f t="shared" si="35"/>
        <v>4</v>
      </c>
      <c r="G2272">
        <v>1</v>
      </c>
    </row>
    <row r="2273" spans="1:7">
      <c r="A2273">
        <v>5.5</v>
      </c>
      <c r="B2273" t="s">
        <v>9039</v>
      </c>
      <c r="C2273" t="s">
        <v>9039</v>
      </c>
      <c r="D2273">
        <v>5.5</v>
      </c>
      <c r="E2273">
        <f t="shared" si="35"/>
        <v>4</v>
      </c>
      <c r="G2273">
        <v>1</v>
      </c>
    </row>
    <row r="2274" spans="1:7">
      <c r="A2274">
        <v>5.5</v>
      </c>
      <c r="B2274" t="s">
        <v>9281</v>
      </c>
      <c r="C2274" t="s">
        <v>9281</v>
      </c>
      <c r="D2274">
        <v>5.5</v>
      </c>
      <c r="E2274">
        <f t="shared" si="35"/>
        <v>4</v>
      </c>
      <c r="G2274">
        <v>1</v>
      </c>
    </row>
    <row r="2275" spans="1:7">
      <c r="A2275">
        <v>5.5</v>
      </c>
      <c r="B2275" t="s">
        <v>8272</v>
      </c>
      <c r="C2275" t="s">
        <v>8272</v>
      </c>
      <c r="D2275">
        <v>5.5</v>
      </c>
      <c r="E2275">
        <f t="shared" si="35"/>
        <v>4</v>
      </c>
      <c r="G2275">
        <v>1</v>
      </c>
    </row>
    <row r="2276" spans="1:7">
      <c r="A2276">
        <v>5.5</v>
      </c>
      <c r="B2276" t="s">
        <v>5368</v>
      </c>
      <c r="C2276" t="s">
        <v>5368</v>
      </c>
      <c r="D2276">
        <v>5.5</v>
      </c>
      <c r="E2276">
        <f t="shared" si="35"/>
        <v>4</v>
      </c>
      <c r="G2276">
        <v>1</v>
      </c>
    </row>
    <row r="2277" spans="1:7">
      <c r="A2277">
        <v>5.5</v>
      </c>
      <c r="B2277" t="s">
        <v>5367</v>
      </c>
      <c r="C2277" t="s">
        <v>5367</v>
      </c>
      <c r="D2277">
        <v>5.5</v>
      </c>
      <c r="E2277">
        <f t="shared" si="35"/>
        <v>4</v>
      </c>
      <c r="G2277">
        <v>1</v>
      </c>
    </row>
    <row r="2278" spans="1:7">
      <c r="A2278">
        <v>5.5</v>
      </c>
      <c r="B2278" t="s">
        <v>7667</v>
      </c>
      <c r="C2278" t="s">
        <v>7667</v>
      </c>
      <c r="D2278">
        <v>5.5</v>
      </c>
      <c r="E2278">
        <f t="shared" si="35"/>
        <v>4</v>
      </c>
      <c r="G2278">
        <v>1</v>
      </c>
    </row>
    <row r="2279" spans="1:7">
      <c r="A2279">
        <v>5.5</v>
      </c>
      <c r="B2279" t="s">
        <v>1263</v>
      </c>
      <c r="C2279" t="s">
        <v>1263</v>
      </c>
      <c r="D2279">
        <v>5.5</v>
      </c>
      <c r="E2279">
        <f t="shared" si="35"/>
        <v>4</v>
      </c>
      <c r="G2279">
        <v>1</v>
      </c>
    </row>
    <row r="2280" spans="1:7">
      <c r="A2280">
        <v>5.5</v>
      </c>
      <c r="B2280" t="s">
        <v>9189</v>
      </c>
      <c r="C2280" t="s">
        <v>9189</v>
      </c>
      <c r="D2280">
        <v>5.5</v>
      </c>
      <c r="E2280">
        <f t="shared" si="35"/>
        <v>4</v>
      </c>
      <c r="G2280">
        <v>1</v>
      </c>
    </row>
    <row r="2281" spans="1:7">
      <c r="A2281">
        <v>5.5</v>
      </c>
      <c r="B2281" t="s">
        <v>848</v>
      </c>
      <c r="C2281" t="s">
        <v>848</v>
      </c>
      <c r="D2281">
        <v>5.5</v>
      </c>
      <c r="E2281">
        <f t="shared" si="35"/>
        <v>4</v>
      </c>
      <c r="G2281">
        <v>1</v>
      </c>
    </row>
    <row r="2282" spans="1:7">
      <c r="A2282">
        <v>5.5</v>
      </c>
      <c r="B2282" t="s">
        <v>9311</v>
      </c>
      <c r="C2282" t="s">
        <v>9311</v>
      </c>
      <c r="D2282">
        <v>5.5</v>
      </c>
      <c r="E2282">
        <f t="shared" si="35"/>
        <v>4</v>
      </c>
      <c r="G2282">
        <v>1</v>
      </c>
    </row>
    <row r="2283" spans="1:7">
      <c r="A2283">
        <v>5.5</v>
      </c>
      <c r="B2283" t="s">
        <v>7241</v>
      </c>
      <c r="C2283" t="s">
        <v>7241</v>
      </c>
      <c r="D2283">
        <v>5.5</v>
      </c>
      <c r="E2283">
        <f t="shared" si="35"/>
        <v>3</v>
      </c>
      <c r="G2283">
        <v>1</v>
      </c>
    </row>
    <row r="2284" spans="1:7">
      <c r="A2284">
        <v>5.5</v>
      </c>
      <c r="B2284" t="s">
        <v>7375</v>
      </c>
      <c r="C2284" t="s">
        <v>7375</v>
      </c>
      <c r="D2284">
        <v>5.5</v>
      </c>
      <c r="E2284">
        <f t="shared" si="35"/>
        <v>3</v>
      </c>
      <c r="F2284" t="s">
        <v>822</v>
      </c>
      <c r="G2284">
        <v>1</v>
      </c>
    </row>
    <row r="2285" spans="1:7">
      <c r="A2285">
        <v>5.5</v>
      </c>
      <c r="B2285" t="s">
        <v>9208</v>
      </c>
      <c r="C2285" t="s">
        <v>9208</v>
      </c>
      <c r="D2285">
        <v>5.5</v>
      </c>
      <c r="E2285">
        <f t="shared" si="35"/>
        <v>3</v>
      </c>
      <c r="G2285">
        <v>1</v>
      </c>
    </row>
    <row r="2286" spans="1:7">
      <c r="A2286">
        <v>5.5</v>
      </c>
      <c r="B2286" t="s">
        <v>8999</v>
      </c>
      <c r="C2286" t="s">
        <v>8999</v>
      </c>
      <c r="D2286">
        <v>5.5</v>
      </c>
      <c r="E2286">
        <f t="shared" si="35"/>
        <v>3</v>
      </c>
      <c r="G2286">
        <v>1</v>
      </c>
    </row>
    <row r="2287" spans="1:7">
      <c r="A2287">
        <v>5.5</v>
      </c>
      <c r="B2287" t="s">
        <v>9515</v>
      </c>
      <c r="C2287" t="s">
        <v>9515</v>
      </c>
      <c r="D2287">
        <v>5.5</v>
      </c>
      <c r="E2287">
        <f t="shared" si="35"/>
        <v>3</v>
      </c>
      <c r="G2287">
        <v>1</v>
      </c>
    </row>
    <row r="2288" spans="1:7">
      <c r="A2288">
        <v>5.5</v>
      </c>
      <c r="B2288" t="s">
        <v>8014</v>
      </c>
      <c r="C2288" t="s">
        <v>8014</v>
      </c>
      <c r="D2288">
        <v>5.5</v>
      </c>
      <c r="E2288">
        <f t="shared" si="35"/>
        <v>3</v>
      </c>
      <c r="G2288">
        <v>1</v>
      </c>
    </row>
    <row r="2289" spans="1:7">
      <c r="A2289">
        <v>5.5</v>
      </c>
      <c r="B2289" t="s">
        <v>8473</v>
      </c>
      <c r="C2289" t="s">
        <v>8473</v>
      </c>
      <c r="D2289">
        <v>5.5</v>
      </c>
      <c r="E2289">
        <f t="shared" si="35"/>
        <v>3</v>
      </c>
      <c r="G2289">
        <v>1</v>
      </c>
    </row>
    <row r="2290" spans="1:7">
      <c r="A2290">
        <v>5.5</v>
      </c>
      <c r="B2290" t="s">
        <v>9988</v>
      </c>
      <c r="C2290" t="s">
        <v>9988</v>
      </c>
      <c r="D2290">
        <v>5.5</v>
      </c>
      <c r="E2290">
        <f t="shared" si="35"/>
        <v>3</v>
      </c>
      <c r="G2290">
        <v>1</v>
      </c>
    </row>
    <row r="2291" spans="1:7">
      <c r="A2291">
        <v>5.5</v>
      </c>
      <c r="B2291" t="s">
        <v>7912</v>
      </c>
      <c r="C2291" t="s">
        <v>7912</v>
      </c>
      <c r="D2291">
        <v>5.5</v>
      </c>
      <c r="E2291">
        <f t="shared" si="35"/>
        <v>3</v>
      </c>
      <c r="G2291">
        <v>1</v>
      </c>
    </row>
    <row r="2292" spans="1:7">
      <c r="A2292">
        <v>5.5</v>
      </c>
      <c r="B2292" t="s">
        <v>9344</v>
      </c>
      <c r="C2292" t="s">
        <v>9344</v>
      </c>
      <c r="D2292">
        <v>5.5</v>
      </c>
      <c r="E2292">
        <f t="shared" si="35"/>
        <v>3</v>
      </c>
      <c r="G2292">
        <v>1</v>
      </c>
    </row>
    <row r="2293" spans="1:7">
      <c r="A2293">
        <v>5.5</v>
      </c>
      <c r="B2293" t="s">
        <v>6959</v>
      </c>
      <c r="C2293" t="s">
        <v>6959</v>
      </c>
      <c r="D2293">
        <v>5.5</v>
      </c>
      <c r="E2293">
        <f t="shared" si="35"/>
        <v>3</v>
      </c>
      <c r="G2293">
        <v>1</v>
      </c>
    </row>
    <row r="2294" spans="1:7">
      <c r="A2294">
        <v>5.5</v>
      </c>
      <c r="B2294" t="s">
        <v>7680</v>
      </c>
      <c r="C2294" t="s">
        <v>7680</v>
      </c>
      <c r="D2294">
        <v>5.5</v>
      </c>
      <c r="E2294">
        <f t="shared" si="35"/>
        <v>3</v>
      </c>
      <c r="G2294">
        <v>1</v>
      </c>
    </row>
    <row r="2295" spans="1:7">
      <c r="A2295">
        <v>5.5</v>
      </c>
      <c r="B2295" t="s">
        <v>8859</v>
      </c>
      <c r="C2295" t="s">
        <v>8859</v>
      </c>
      <c r="D2295">
        <v>5.5</v>
      </c>
      <c r="E2295">
        <f t="shared" si="35"/>
        <v>3</v>
      </c>
      <c r="G2295">
        <v>1</v>
      </c>
    </row>
    <row r="2296" spans="1:7">
      <c r="A2296">
        <v>5.5</v>
      </c>
      <c r="B2296" t="s">
        <v>8275</v>
      </c>
      <c r="C2296" t="s">
        <v>8275</v>
      </c>
      <c r="D2296">
        <v>5.5</v>
      </c>
      <c r="E2296">
        <f t="shared" si="35"/>
        <v>2</v>
      </c>
      <c r="G2296">
        <v>1</v>
      </c>
    </row>
    <row r="2297" spans="1:7" ht="15.65" customHeight="1">
      <c r="A2297">
        <v>5.5</v>
      </c>
      <c r="B2297" t="s">
        <v>7340</v>
      </c>
      <c r="C2297" t="s">
        <v>7340</v>
      </c>
      <c r="D2297">
        <v>5.5</v>
      </c>
      <c r="E2297">
        <f t="shared" si="35"/>
        <v>2</v>
      </c>
      <c r="G2297">
        <v>1</v>
      </c>
    </row>
    <row r="2298" spans="1:7">
      <c r="A2298">
        <v>5.5</v>
      </c>
      <c r="B2298" t="s">
        <v>10864</v>
      </c>
      <c r="C2298" t="s">
        <v>10864</v>
      </c>
      <c r="D2298">
        <v>5.5</v>
      </c>
    </row>
    <row r="2299" spans="1:7">
      <c r="A2299">
        <v>5.5</v>
      </c>
      <c r="B2299" t="s">
        <v>609</v>
      </c>
      <c r="C2299" t="s">
        <v>609</v>
      </c>
      <c r="D2299">
        <v>5.5</v>
      </c>
    </row>
    <row r="2300" spans="1:7">
      <c r="A2300">
        <v>5.5</v>
      </c>
      <c r="B2300" t="s">
        <v>272</v>
      </c>
      <c r="C2300" t="s">
        <v>272</v>
      </c>
      <c r="D2300">
        <v>5.5</v>
      </c>
    </row>
    <row r="2301" spans="1:7">
      <c r="A2301">
        <v>5.5</v>
      </c>
      <c r="B2301" t="s">
        <v>273</v>
      </c>
      <c r="C2301" t="s">
        <v>273</v>
      </c>
      <c r="D2301">
        <v>5.5</v>
      </c>
    </row>
    <row r="2302" spans="1:7">
      <c r="A2302">
        <v>5.5</v>
      </c>
      <c r="B2302" t="s">
        <v>119</v>
      </c>
      <c r="C2302" t="s">
        <v>119</v>
      </c>
      <c r="D2302">
        <v>5.5</v>
      </c>
    </row>
    <row r="2303" spans="1:7">
      <c r="A2303">
        <v>5.5</v>
      </c>
      <c r="B2303" t="s">
        <v>253</v>
      </c>
      <c r="C2303" t="s">
        <v>253</v>
      </c>
      <c r="D2303">
        <v>5.5</v>
      </c>
    </row>
    <row r="2304" spans="1:7">
      <c r="A2304">
        <v>5.5</v>
      </c>
      <c r="B2304" t="s">
        <v>15</v>
      </c>
      <c r="C2304" t="s">
        <v>15</v>
      </c>
      <c r="D2304">
        <v>5.5</v>
      </c>
    </row>
    <row r="2305" spans="1:4">
      <c r="A2305">
        <v>5.5</v>
      </c>
      <c r="B2305" t="s">
        <v>1387</v>
      </c>
      <c r="C2305" t="s">
        <v>1387</v>
      </c>
      <c r="D2305">
        <v>5.5</v>
      </c>
    </row>
    <row r="2306" spans="1:4">
      <c r="A2306">
        <v>5.5</v>
      </c>
      <c r="B2306" t="s">
        <v>1387</v>
      </c>
      <c r="C2306" t="s">
        <v>1387</v>
      </c>
      <c r="D2306">
        <v>5.5</v>
      </c>
    </row>
    <row r="2307" spans="1:4">
      <c r="A2307">
        <v>5.5</v>
      </c>
      <c r="B2307" t="s">
        <v>1387</v>
      </c>
      <c r="C2307" t="s">
        <v>1387</v>
      </c>
      <c r="D2307">
        <v>5.5</v>
      </c>
    </row>
    <row r="2308" spans="1:4">
      <c r="A2308">
        <v>5.5</v>
      </c>
      <c r="B2308" t="s">
        <v>264</v>
      </c>
      <c r="C2308" t="s">
        <v>264</v>
      </c>
      <c r="D2308">
        <v>5.5</v>
      </c>
    </row>
    <row r="2309" spans="1:4">
      <c r="A2309">
        <v>5.5</v>
      </c>
      <c r="B2309" t="s">
        <v>265</v>
      </c>
      <c r="C2309" t="s">
        <v>265</v>
      </c>
      <c r="D2309">
        <v>5.5</v>
      </c>
    </row>
    <row r="2310" spans="1:4">
      <c r="A2310">
        <v>5.5</v>
      </c>
      <c r="B2310" t="s">
        <v>10821</v>
      </c>
      <c r="C2310" t="s">
        <v>10821</v>
      </c>
      <c r="D2310">
        <v>5.5</v>
      </c>
    </row>
    <row r="2311" spans="1:4">
      <c r="A2311">
        <v>5.5</v>
      </c>
      <c r="B2311" t="s">
        <v>23</v>
      </c>
      <c r="C2311" t="s">
        <v>23</v>
      </c>
      <c r="D2311">
        <v>5.5</v>
      </c>
    </row>
    <row r="2312" spans="1:4">
      <c r="A2312">
        <v>5.5</v>
      </c>
      <c r="B2312" t="s">
        <v>5474</v>
      </c>
      <c r="C2312" t="s">
        <v>5474</v>
      </c>
      <c r="D2312">
        <v>5.5</v>
      </c>
    </row>
    <row r="2313" spans="1:4">
      <c r="A2313">
        <v>5.5</v>
      </c>
      <c r="B2313" t="s">
        <v>273</v>
      </c>
      <c r="C2313" t="s">
        <v>273</v>
      </c>
      <c r="D2313">
        <v>5.5</v>
      </c>
    </row>
    <row r="2314" spans="1:4">
      <c r="A2314">
        <v>5.5</v>
      </c>
      <c r="B2314" t="s">
        <v>10867</v>
      </c>
      <c r="C2314" t="s">
        <v>10867</v>
      </c>
      <c r="D2314">
        <v>5.5</v>
      </c>
    </row>
    <row r="2315" spans="1:4">
      <c r="A2315">
        <v>5.5</v>
      </c>
      <c r="B2315" t="s">
        <v>10795</v>
      </c>
      <c r="C2315" t="s">
        <v>10795</v>
      </c>
      <c r="D2315">
        <v>5.5</v>
      </c>
    </row>
    <row r="2316" spans="1:4">
      <c r="A2316">
        <v>5.5</v>
      </c>
      <c r="B2316" t="s">
        <v>10795</v>
      </c>
      <c r="C2316" t="s">
        <v>10795</v>
      </c>
      <c r="D2316">
        <v>5.5</v>
      </c>
    </row>
    <row r="2317" spans="1:4">
      <c r="A2317">
        <v>5.5</v>
      </c>
      <c r="B2317" t="s">
        <v>10795</v>
      </c>
      <c r="C2317" t="s">
        <v>10795</v>
      </c>
      <c r="D2317">
        <v>5.5</v>
      </c>
    </row>
    <row r="2318" spans="1:4">
      <c r="A2318">
        <v>5.5</v>
      </c>
      <c r="B2318" t="s">
        <v>10795</v>
      </c>
      <c r="C2318" t="s">
        <v>10795</v>
      </c>
      <c r="D2318">
        <v>5.5</v>
      </c>
    </row>
    <row r="2319" spans="1:4">
      <c r="A2319">
        <v>5.5</v>
      </c>
      <c r="B2319" t="s">
        <v>10795</v>
      </c>
      <c r="C2319" t="s">
        <v>10795</v>
      </c>
      <c r="D2319">
        <v>5.5</v>
      </c>
    </row>
    <row r="2320" spans="1:4">
      <c r="A2320">
        <v>5.5</v>
      </c>
      <c r="B2320" t="s">
        <v>10795</v>
      </c>
      <c r="C2320" t="s">
        <v>10795</v>
      </c>
      <c r="D2320">
        <v>5.5</v>
      </c>
    </row>
    <row r="2321" spans="1:7">
      <c r="A2321">
        <v>5.5</v>
      </c>
      <c r="B2321" t="s">
        <v>672</v>
      </c>
      <c r="C2321" t="s">
        <v>672</v>
      </c>
      <c r="D2321">
        <v>5.5</v>
      </c>
    </row>
    <row r="2322" spans="1:7">
      <c r="A2322">
        <v>5.5</v>
      </c>
      <c r="B2322" t="s">
        <v>1007</v>
      </c>
      <c r="C2322" t="s">
        <v>1007</v>
      </c>
      <c r="D2322">
        <v>5.5</v>
      </c>
    </row>
    <row r="2323" spans="1:7">
      <c r="A2323">
        <v>5.5</v>
      </c>
      <c r="B2323" t="s">
        <v>229</v>
      </c>
      <c r="C2323" t="s">
        <v>229</v>
      </c>
      <c r="D2323">
        <v>5.5</v>
      </c>
    </row>
    <row r="2324" spans="1:7">
      <c r="A2324">
        <v>5.5</v>
      </c>
      <c r="B2324" t="s">
        <v>1387</v>
      </c>
      <c r="C2324" t="s">
        <v>1387</v>
      </c>
      <c r="D2324">
        <v>5.5</v>
      </c>
    </row>
    <row r="2325" spans="1:7">
      <c r="A2325">
        <v>5.5</v>
      </c>
      <c r="B2325" t="s">
        <v>273</v>
      </c>
      <c r="C2325" t="s">
        <v>273</v>
      </c>
      <c r="D2325">
        <v>5.5</v>
      </c>
    </row>
    <row r="2326" spans="1:7">
      <c r="A2326">
        <v>5.5</v>
      </c>
      <c r="B2326" t="s">
        <v>273</v>
      </c>
      <c r="C2326" t="s">
        <v>273</v>
      </c>
      <c r="D2326">
        <v>5.5</v>
      </c>
    </row>
    <row r="2327" spans="1:7">
      <c r="A2327">
        <v>6</v>
      </c>
      <c r="B2327" t="s">
        <v>483</v>
      </c>
      <c r="C2327" t="s">
        <v>6573</v>
      </c>
      <c r="D2327">
        <v>3</v>
      </c>
      <c r="E2327">
        <f t="shared" ref="E2327:E2358" si="36">LEN(B2327)</f>
        <v>13</v>
      </c>
      <c r="F2327" t="s">
        <v>821</v>
      </c>
      <c r="G2327">
        <v>1</v>
      </c>
    </row>
    <row r="2328" spans="1:7">
      <c r="A2328">
        <v>6</v>
      </c>
      <c r="B2328" t="s">
        <v>10372</v>
      </c>
      <c r="C2328" t="s">
        <v>10372</v>
      </c>
      <c r="E2328">
        <f t="shared" si="36"/>
        <v>9</v>
      </c>
      <c r="G2328">
        <v>1</v>
      </c>
    </row>
    <row r="2329" spans="1:7">
      <c r="A2329">
        <v>6</v>
      </c>
      <c r="B2329" t="s">
        <v>975</v>
      </c>
      <c r="C2329" t="s">
        <v>975</v>
      </c>
      <c r="D2329">
        <v>6</v>
      </c>
      <c r="E2329">
        <f t="shared" si="36"/>
        <v>6</v>
      </c>
      <c r="G2329">
        <v>1</v>
      </c>
    </row>
    <row r="2330" spans="1:7">
      <c r="A2330">
        <v>6</v>
      </c>
      <c r="B2330" t="s">
        <v>10377</v>
      </c>
      <c r="C2330" t="s">
        <v>10377</v>
      </c>
      <c r="E2330">
        <f t="shared" si="36"/>
        <v>4</v>
      </c>
      <c r="G2330">
        <v>1</v>
      </c>
    </row>
    <row r="2331" spans="1:7">
      <c r="A2331">
        <v>6</v>
      </c>
      <c r="B2331" t="s">
        <v>717</v>
      </c>
      <c r="C2331" t="s">
        <v>717</v>
      </c>
      <c r="D2331">
        <v>6</v>
      </c>
      <c r="E2331">
        <f t="shared" si="36"/>
        <v>3</v>
      </c>
      <c r="G2331">
        <v>1</v>
      </c>
    </row>
    <row r="2332" spans="1:7">
      <c r="A2332">
        <v>7</v>
      </c>
      <c r="B2332" t="s">
        <v>223</v>
      </c>
      <c r="C2332" t="s">
        <v>223</v>
      </c>
      <c r="D2332">
        <v>7</v>
      </c>
      <c r="E2332">
        <f t="shared" si="36"/>
        <v>14</v>
      </c>
      <c r="G2332">
        <v>1</v>
      </c>
    </row>
    <row r="2333" spans="1:7">
      <c r="A2333">
        <v>7</v>
      </c>
      <c r="B2333" t="s">
        <v>5335</v>
      </c>
      <c r="C2333" t="s">
        <v>5335</v>
      </c>
      <c r="D2333">
        <v>7</v>
      </c>
      <c r="E2333">
        <f t="shared" si="36"/>
        <v>7</v>
      </c>
      <c r="G2333">
        <v>1</v>
      </c>
    </row>
    <row r="2334" spans="1:7">
      <c r="A2334">
        <v>7</v>
      </c>
      <c r="B2334" t="s">
        <v>175</v>
      </c>
      <c r="C2334" t="s">
        <v>175</v>
      </c>
      <c r="D2334">
        <v>7</v>
      </c>
      <c r="E2334">
        <f t="shared" si="36"/>
        <v>5</v>
      </c>
      <c r="G2334">
        <v>1</v>
      </c>
    </row>
    <row r="2335" spans="1:7">
      <c r="A2335">
        <v>8</v>
      </c>
      <c r="B2335" t="s">
        <v>10390</v>
      </c>
      <c r="C2335" t="s">
        <v>10390</v>
      </c>
      <c r="D2335">
        <v>5.5</v>
      </c>
      <c r="E2335">
        <f t="shared" si="36"/>
        <v>5</v>
      </c>
      <c r="G2335">
        <v>1</v>
      </c>
    </row>
    <row r="2336" spans="1:7">
      <c r="A2336">
        <v>8</v>
      </c>
      <c r="B2336" t="s">
        <v>7796</v>
      </c>
      <c r="C2336" t="s">
        <v>7796</v>
      </c>
      <c r="D2336">
        <v>8</v>
      </c>
      <c r="E2336">
        <f t="shared" si="36"/>
        <v>2</v>
      </c>
      <c r="F2336" t="s">
        <v>821</v>
      </c>
      <c r="G2336">
        <v>1</v>
      </c>
    </row>
    <row r="2337" spans="1:7">
      <c r="A2337">
        <v>9</v>
      </c>
      <c r="B2337" t="s">
        <v>1093</v>
      </c>
      <c r="C2337" t="s">
        <v>1093</v>
      </c>
      <c r="D2337">
        <v>9</v>
      </c>
      <c r="E2337">
        <f t="shared" si="36"/>
        <v>23</v>
      </c>
      <c r="G2337">
        <v>1</v>
      </c>
    </row>
    <row r="2338" spans="1:7">
      <c r="A2338">
        <v>9</v>
      </c>
      <c r="B2338" t="s">
        <v>1755</v>
      </c>
      <c r="C2338" t="s">
        <v>1755</v>
      </c>
      <c r="D2338">
        <v>9</v>
      </c>
      <c r="E2338">
        <f t="shared" si="36"/>
        <v>19</v>
      </c>
      <c r="G2338">
        <v>1</v>
      </c>
    </row>
    <row r="2339" spans="1:7">
      <c r="A2339">
        <v>9</v>
      </c>
      <c r="B2339" t="s">
        <v>1389</v>
      </c>
      <c r="C2339" t="s">
        <v>1389</v>
      </c>
      <c r="D2339">
        <v>9</v>
      </c>
      <c r="E2339">
        <f t="shared" si="36"/>
        <v>18</v>
      </c>
      <c r="F2339" t="s">
        <v>821</v>
      </c>
      <c r="G2339">
        <v>1</v>
      </c>
    </row>
    <row r="2340" spans="1:7">
      <c r="A2340">
        <v>9</v>
      </c>
      <c r="B2340" t="s">
        <v>21</v>
      </c>
      <c r="C2340" t="s">
        <v>21</v>
      </c>
      <c r="D2340">
        <v>9</v>
      </c>
      <c r="E2340">
        <f t="shared" si="36"/>
        <v>18</v>
      </c>
      <c r="F2340" t="s">
        <v>821</v>
      </c>
      <c r="G2340">
        <v>1</v>
      </c>
    </row>
    <row r="2341" spans="1:7">
      <c r="A2341">
        <v>9</v>
      </c>
      <c r="B2341" t="s">
        <v>22</v>
      </c>
      <c r="C2341" t="s">
        <v>22</v>
      </c>
      <c r="D2341">
        <v>9</v>
      </c>
      <c r="E2341">
        <f t="shared" si="36"/>
        <v>18</v>
      </c>
      <c r="F2341" t="s">
        <v>821</v>
      </c>
      <c r="G2341">
        <v>1</v>
      </c>
    </row>
    <row r="2342" spans="1:7">
      <c r="A2342">
        <v>9</v>
      </c>
      <c r="B2342" t="s">
        <v>1216</v>
      </c>
      <c r="C2342" t="s">
        <v>1216</v>
      </c>
      <c r="D2342">
        <v>9</v>
      </c>
      <c r="E2342">
        <f t="shared" si="36"/>
        <v>17</v>
      </c>
      <c r="F2342" t="s">
        <v>821</v>
      </c>
      <c r="G2342">
        <v>1</v>
      </c>
    </row>
    <row r="2343" spans="1:7">
      <c r="A2343">
        <v>9</v>
      </c>
      <c r="B2343" t="s">
        <v>1831</v>
      </c>
      <c r="C2343" t="s">
        <v>1831</v>
      </c>
      <c r="D2343">
        <v>9</v>
      </c>
      <c r="E2343">
        <f t="shared" si="36"/>
        <v>17</v>
      </c>
      <c r="F2343" t="s">
        <v>821</v>
      </c>
      <c r="G2343">
        <v>1</v>
      </c>
    </row>
    <row r="2344" spans="1:7">
      <c r="A2344">
        <v>9</v>
      </c>
      <c r="B2344" t="s">
        <v>20</v>
      </c>
      <c r="C2344" t="s">
        <v>20</v>
      </c>
      <c r="D2344">
        <v>9</v>
      </c>
      <c r="E2344">
        <f t="shared" si="36"/>
        <v>17</v>
      </c>
      <c r="F2344" t="s">
        <v>821</v>
      </c>
      <c r="G2344">
        <v>1</v>
      </c>
    </row>
    <row r="2345" spans="1:7">
      <c r="A2345">
        <v>9</v>
      </c>
      <c r="B2345" t="s">
        <v>517</v>
      </c>
      <c r="C2345" t="s">
        <v>517</v>
      </c>
      <c r="D2345">
        <v>9</v>
      </c>
      <c r="E2345">
        <f t="shared" si="36"/>
        <v>16</v>
      </c>
      <c r="F2345" t="s">
        <v>821</v>
      </c>
      <c r="G2345">
        <v>1</v>
      </c>
    </row>
    <row r="2346" spans="1:7">
      <c r="A2346">
        <v>9</v>
      </c>
      <c r="B2346" t="s">
        <v>1418</v>
      </c>
      <c r="C2346" t="s">
        <v>1418</v>
      </c>
      <c r="D2346">
        <v>9</v>
      </c>
      <c r="E2346">
        <f t="shared" si="36"/>
        <v>16</v>
      </c>
      <c r="F2346" t="s">
        <v>821</v>
      </c>
      <c r="G2346">
        <v>1</v>
      </c>
    </row>
    <row r="2347" spans="1:7">
      <c r="A2347">
        <v>9</v>
      </c>
      <c r="B2347" t="s">
        <v>1221</v>
      </c>
      <c r="C2347" t="s">
        <v>1221</v>
      </c>
      <c r="D2347">
        <v>9</v>
      </c>
      <c r="E2347">
        <f t="shared" si="36"/>
        <v>16</v>
      </c>
      <c r="F2347" t="s">
        <v>821</v>
      </c>
      <c r="G2347">
        <v>1</v>
      </c>
    </row>
    <row r="2348" spans="1:7">
      <c r="A2348">
        <v>9</v>
      </c>
      <c r="B2348" t="s">
        <v>629</v>
      </c>
      <c r="C2348" t="s">
        <v>629</v>
      </c>
      <c r="D2348">
        <v>9</v>
      </c>
      <c r="E2348">
        <f t="shared" si="36"/>
        <v>16</v>
      </c>
      <c r="F2348" t="s">
        <v>821</v>
      </c>
      <c r="G2348">
        <v>1</v>
      </c>
    </row>
    <row r="2349" spans="1:7">
      <c r="A2349">
        <v>9</v>
      </c>
      <c r="B2349" t="s">
        <v>23</v>
      </c>
      <c r="C2349" t="s">
        <v>6489</v>
      </c>
      <c r="D2349">
        <v>9</v>
      </c>
      <c r="E2349">
        <f t="shared" si="36"/>
        <v>16</v>
      </c>
      <c r="F2349" t="s">
        <v>821</v>
      </c>
      <c r="G2349">
        <v>1</v>
      </c>
    </row>
    <row r="2350" spans="1:7">
      <c r="A2350">
        <v>9</v>
      </c>
      <c r="B2350" t="s">
        <v>639</v>
      </c>
      <c r="C2350" t="s">
        <v>639</v>
      </c>
      <c r="D2350">
        <v>9</v>
      </c>
      <c r="E2350">
        <f t="shared" si="36"/>
        <v>16</v>
      </c>
      <c r="F2350" t="s">
        <v>821</v>
      </c>
      <c r="G2350">
        <v>1</v>
      </c>
    </row>
    <row r="2351" spans="1:7">
      <c r="A2351">
        <v>9</v>
      </c>
      <c r="B2351" t="s">
        <v>1758</v>
      </c>
      <c r="C2351" t="s">
        <v>1759</v>
      </c>
      <c r="D2351">
        <v>9</v>
      </c>
      <c r="E2351">
        <f t="shared" si="36"/>
        <v>16</v>
      </c>
      <c r="F2351" t="s">
        <v>821</v>
      </c>
      <c r="G2351">
        <v>1</v>
      </c>
    </row>
    <row r="2352" spans="1:7">
      <c r="A2352">
        <v>9</v>
      </c>
      <c r="B2352" t="s">
        <v>301</v>
      </c>
      <c r="C2352" t="s">
        <v>301</v>
      </c>
      <c r="D2352">
        <v>9</v>
      </c>
      <c r="E2352">
        <f t="shared" si="36"/>
        <v>15</v>
      </c>
      <c r="F2352" t="s">
        <v>821</v>
      </c>
      <c r="G2352">
        <v>1</v>
      </c>
    </row>
    <row r="2353" spans="1:7">
      <c r="A2353">
        <v>9</v>
      </c>
      <c r="B2353" t="s">
        <v>1014</v>
      </c>
      <c r="C2353" t="s">
        <v>1014</v>
      </c>
      <c r="D2353">
        <v>9</v>
      </c>
      <c r="E2353">
        <f t="shared" si="36"/>
        <v>15</v>
      </c>
      <c r="F2353" t="s">
        <v>821</v>
      </c>
      <c r="G2353">
        <v>1</v>
      </c>
    </row>
    <row r="2354" spans="1:7">
      <c r="A2354">
        <v>9</v>
      </c>
      <c r="B2354" t="s">
        <v>1451</v>
      </c>
      <c r="C2354" t="s">
        <v>5527</v>
      </c>
      <c r="D2354">
        <v>9</v>
      </c>
      <c r="E2354">
        <f t="shared" si="36"/>
        <v>15</v>
      </c>
      <c r="F2354" t="s">
        <v>821</v>
      </c>
      <c r="G2354">
        <v>1</v>
      </c>
    </row>
    <row r="2355" spans="1:7">
      <c r="A2355">
        <v>9</v>
      </c>
      <c r="B2355" t="s">
        <v>617</v>
      </c>
      <c r="C2355" t="s">
        <v>617</v>
      </c>
      <c r="D2355">
        <v>9</v>
      </c>
      <c r="E2355">
        <f t="shared" si="36"/>
        <v>14</v>
      </c>
      <c r="F2355" t="s">
        <v>821</v>
      </c>
      <c r="G2355">
        <v>1</v>
      </c>
    </row>
    <row r="2356" spans="1:7">
      <c r="A2356">
        <v>9</v>
      </c>
      <c r="B2356" t="s">
        <v>520</v>
      </c>
      <c r="C2356" t="s">
        <v>520</v>
      </c>
      <c r="D2356">
        <v>9</v>
      </c>
      <c r="E2356">
        <f t="shared" si="36"/>
        <v>14</v>
      </c>
      <c r="F2356" t="s">
        <v>821</v>
      </c>
      <c r="G2356">
        <v>1</v>
      </c>
    </row>
    <row r="2357" spans="1:7">
      <c r="A2357">
        <v>9</v>
      </c>
      <c r="B2357" t="s">
        <v>1859</v>
      </c>
      <c r="C2357" t="s">
        <v>1859</v>
      </c>
      <c r="D2357">
        <v>9</v>
      </c>
      <c r="E2357">
        <f t="shared" si="36"/>
        <v>14</v>
      </c>
      <c r="F2357" t="s">
        <v>822</v>
      </c>
      <c r="G2357">
        <v>1</v>
      </c>
    </row>
    <row r="2358" spans="1:7">
      <c r="A2358">
        <v>9</v>
      </c>
      <c r="B2358" t="s">
        <v>6721</v>
      </c>
      <c r="C2358" t="s">
        <v>6722</v>
      </c>
      <c r="D2358">
        <v>9</v>
      </c>
      <c r="E2358">
        <f t="shared" si="36"/>
        <v>14</v>
      </c>
      <c r="F2358" t="s">
        <v>821</v>
      </c>
      <c r="G2358">
        <v>1</v>
      </c>
    </row>
    <row r="2359" spans="1:7">
      <c r="A2359">
        <v>9</v>
      </c>
      <c r="B2359" t="s">
        <v>1218</v>
      </c>
      <c r="C2359" t="s">
        <v>1218</v>
      </c>
      <c r="D2359">
        <v>9</v>
      </c>
      <c r="E2359">
        <f t="shared" ref="E2359:E2390" si="37">LEN(B2359)</f>
        <v>13</v>
      </c>
      <c r="F2359" t="s">
        <v>822</v>
      </c>
      <c r="G2359">
        <v>1</v>
      </c>
    </row>
    <row r="2360" spans="1:7">
      <c r="A2360">
        <v>9</v>
      </c>
      <c r="B2360" t="s">
        <v>1770</v>
      </c>
      <c r="C2360" t="s">
        <v>1770</v>
      </c>
      <c r="D2360">
        <v>9</v>
      </c>
      <c r="E2360">
        <f t="shared" si="37"/>
        <v>12</v>
      </c>
      <c r="F2360" t="s">
        <v>821</v>
      </c>
      <c r="G2360">
        <v>1</v>
      </c>
    </row>
    <row r="2361" spans="1:7">
      <c r="A2361">
        <v>9</v>
      </c>
      <c r="B2361" t="s">
        <v>1095</v>
      </c>
      <c r="C2361" t="s">
        <v>1095</v>
      </c>
      <c r="D2361">
        <v>9</v>
      </c>
      <c r="E2361">
        <f t="shared" si="37"/>
        <v>12</v>
      </c>
      <c r="F2361" t="s">
        <v>821</v>
      </c>
      <c r="G2361">
        <v>1</v>
      </c>
    </row>
    <row r="2362" spans="1:7">
      <c r="A2362">
        <v>9</v>
      </c>
      <c r="B2362" t="s">
        <v>108</v>
      </c>
      <c r="C2362" t="s">
        <v>6428</v>
      </c>
      <c r="D2362">
        <v>9</v>
      </c>
      <c r="E2362">
        <f t="shared" si="37"/>
        <v>12</v>
      </c>
      <c r="F2362" t="s">
        <v>821</v>
      </c>
      <c r="G2362">
        <v>1</v>
      </c>
    </row>
    <row r="2363" spans="1:7">
      <c r="A2363">
        <v>9</v>
      </c>
      <c r="B2363" t="s">
        <v>604</v>
      </c>
      <c r="C2363" t="s">
        <v>6445</v>
      </c>
      <c r="D2363">
        <v>9</v>
      </c>
      <c r="E2363">
        <f t="shared" si="37"/>
        <v>11</v>
      </c>
      <c r="F2363" t="s">
        <v>821</v>
      </c>
      <c r="G2363">
        <v>1</v>
      </c>
    </row>
    <row r="2364" spans="1:7">
      <c r="A2364">
        <v>9</v>
      </c>
      <c r="B2364" t="s">
        <v>1141</v>
      </c>
      <c r="C2364" t="s">
        <v>1141</v>
      </c>
      <c r="D2364">
        <v>9</v>
      </c>
      <c r="E2364">
        <f t="shared" si="37"/>
        <v>11</v>
      </c>
      <c r="F2364" t="s">
        <v>821</v>
      </c>
      <c r="G2364">
        <v>1</v>
      </c>
    </row>
    <row r="2365" spans="1:7">
      <c r="A2365">
        <v>9</v>
      </c>
      <c r="B2365" t="s">
        <v>13</v>
      </c>
      <c r="C2365" t="s">
        <v>13</v>
      </c>
      <c r="D2365">
        <v>9</v>
      </c>
      <c r="E2365">
        <f t="shared" si="37"/>
        <v>11</v>
      </c>
      <c r="F2365" t="s">
        <v>821</v>
      </c>
      <c r="G2365">
        <v>1</v>
      </c>
    </row>
    <row r="2366" spans="1:7">
      <c r="A2366">
        <v>9</v>
      </c>
      <c r="B2366" t="s">
        <v>657</v>
      </c>
      <c r="C2366" t="s">
        <v>657</v>
      </c>
      <c r="D2366">
        <v>9</v>
      </c>
      <c r="E2366">
        <f t="shared" si="37"/>
        <v>11</v>
      </c>
      <c r="F2366" t="s">
        <v>821</v>
      </c>
      <c r="G2366">
        <v>1</v>
      </c>
    </row>
    <row r="2367" spans="1:7">
      <c r="A2367">
        <v>9</v>
      </c>
      <c r="B2367" t="s">
        <v>605</v>
      </c>
      <c r="C2367" t="s">
        <v>605</v>
      </c>
      <c r="D2367">
        <v>9</v>
      </c>
      <c r="E2367">
        <f t="shared" si="37"/>
        <v>11</v>
      </c>
      <c r="F2367" t="s">
        <v>821</v>
      </c>
      <c r="G2367">
        <v>1</v>
      </c>
    </row>
    <row r="2368" spans="1:7">
      <c r="A2368">
        <v>9</v>
      </c>
      <c r="B2368" t="s">
        <v>1215</v>
      </c>
      <c r="C2368" t="s">
        <v>1215</v>
      </c>
      <c r="D2368">
        <v>9</v>
      </c>
      <c r="E2368">
        <f t="shared" si="37"/>
        <v>10</v>
      </c>
      <c r="F2368" t="s">
        <v>821</v>
      </c>
      <c r="G2368">
        <v>1</v>
      </c>
    </row>
    <row r="2369" spans="1:7">
      <c r="A2369">
        <v>9</v>
      </c>
      <c r="B2369" t="s">
        <v>5</v>
      </c>
      <c r="C2369" t="s">
        <v>5</v>
      </c>
      <c r="D2369">
        <v>9</v>
      </c>
      <c r="E2369">
        <f t="shared" si="37"/>
        <v>10</v>
      </c>
      <c r="F2369" t="s">
        <v>821</v>
      </c>
      <c r="G2369">
        <v>1</v>
      </c>
    </row>
    <row r="2370" spans="1:7">
      <c r="A2370">
        <v>9</v>
      </c>
      <c r="B2370" t="s">
        <v>1144</v>
      </c>
      <c r="C2370" t="s">
        <v>1144</v>
      </c>
      <c r="D2370">
        <v>9</v>
      </c>
      <c r="E2370">
        <f t="shared" si="37"/>
        <v>10</v>
      </c>
      <c r="F2370" t="s">
        <v>821</v>
      </c>
      <c r="G2370">
        <v>1</v>
      </c>
    </row>
    <row r="2371" spans="1:7">
      <c r="A2371">
        <v>9</v>
      </c>
      <c r="B2371" t="s">
        <v>1091</v>
      </c>
      <c r="C2371" t="s">
        <v>1091</v>
      </c>
      <c r="D2371">
        <v>9</v>
      </c>
      <c r="E2371">
        <f t="shared" si="37"/>
        <v>10</v>
      </c>
      <c r="F2371" t="s">
        <v>821</v>
      </c>
      <c r="G2371">
        <v>1</v>
      </c>
    </row>
    <row r="2372" spans="1:7">
      <c r="A2372">
        <v>9</v>
      </c>
      <c r="B2372" t="s">
        <v>1011</v>
      </c>
      <c r="C2372" t="s">
        <v>1011</v>
      </c>
      <c r="D2372">
        <v>9</v>
      </c>
      <c r="E2372">
        <f t="shared" si="37"/>
        <v>10</v>
      </c>
      <c r="F2372" t="s">
        <v>821</v>
      </c>
      <c r="G2372">
        <v>1</v>
      </c>
    </row>
    <row r="2373" spans="1:7">
      <c r="A2373">
        <v>9</v>
      </c>
      <c r="B2373" t="s">
        <v>638</v>
      </c>
      <c r="C2373" t="s">
        <v>638</v>
      </c>
      <c r="D2373">
        <v>9</v>
      </c>
      <c r="E2373">
        <f t="shared" si="37"/>
        <v>10</v>
      </c>
      <c r="F2373" t="s">
        <v>821</v>
      </c>
      <c r="G2373">
        <v>1</v>
      </c>
    </row>
    <row r="2374" spans="1:7">
      <c r="A2374">
        <v>9</v>
      </c>
      <c r="B2374" t="s">
        <v>461</v>
      </c>
      <c r="C2374" t="s">
        <v>461</v>
      </c>
      <c r="D2374">
        <v>9</v>
      </c>
      <c r="E2374">
        <f t="shared" si="37"/>
        <v>10</v>
      </c>
      <c r="F2374" t="s">
        <v>821</v>
      </c>
      <c r="G2374">
        <v>1</v>
      </c>
    </row>
    <row r="2375" spans="1:7">
      <c r="A2375">
        <v>9</v>
      </c>
      <c r="B2375" t="s">
        <v>1223</v>
      </c>
      <c r="C2375" t="s">
        <v>1223</v>
      </c>
      <c r="D2375">
        <v>9</v>
      </c>
      <c r="E2375">
        <f t="shared" si="37"/>
        <v>10</v>
      </c>
      <c r="F2375" t="s">
        <v>822</v>
      </c>
      <c r="G2375">
        <v>1</v>
      </c>
    </row>
    <row r="2376" spans="1:7">
      <c r="A2376">
        <v>9</v>
      </c>
      <c r="B2376" t="s">
        <v>522</v>
      </c>
      <c r="C2376" t="s">
        <v>522</v>
      </c>
      <c r="D2376">
        <v>9</v>
      </c>
      <c r="E2376">
        <f t="shared" si="37"/>
        <v>10</v>
      </c>
      <c r="F2376" t="s">
        <v>821</v>
      </c>
      <c r="G2376">
        <v>1</v>
      </c>
    </row>
    <row r="2377" spans="1:7">
      <c r="A2377">
        <v>9</v>
      </c>
      <c r="B2377" t="s">
        <v>1905</v>
      </c>
      <c r="C2377" t="s">
        <v>1905</v>
      </c>
      <c r="D2377">
        <v>9</v>
      </c>
      <c r="E2377">
        <f t="shared" si="37"/>
        <v>10</v>
      </c>
      <c r="F2377" t="s">
        <v>821</v>
      </c>
      <c r="G2377">
        <v>1</v>
      </c>
    </row>
    <row r="2378" spans="1:7">
      <c r="A2378">
        <v>9</v>
      </c>
      <c r="B2378" t="s">
        <v>1911</v>
      </c>
      <c r="C2378" t="s">
        <v>1912</v>
      </c>
      <c r="D2378">
        <v>9</v>
      </c>
      <c r="E2378">
        <f t="shared" si="37"/>
        <v>10</v>
      </c>
      <c r="F2378" t="s">
        <v>821</v>
      </c>
      <c r="G2378">
        <v>1</v>
      </c>
    </row>
    <row r="2379" spans="1:7">
      <c r="A2379">
        <v>9</v>
      </c>
      <c r="B2379" t="s">
        <v>353</v>
      </c>
      <c r="C2379" t="s">
        <v>353</v>
      </c>
      <c r="D2379">
        <v>9</v>
      </c>
      <c r="E2379">
        <f t="shared" si="37"/>
        <v>9</v>
      </c>
      <c r="F2379" t="s">
        <v>821</v>
      </c>
      <c r="G2379">
        <v>1</v>
      </c>
    </row>
    <row r="2380" spans="1:7">
      <c r="A2380">
        <v>9</v>
      </c>
      <c r="B2380" t="s">
        <v>4</v>
      </c>
      <c r="C2380" t="s">
        <v>4</v>
      </c>
      <c r="D2380">
        <v>9</v>
      </c>
      <c r="E2380">
        <f t="shared" si="37"/>
        <v>9</v>
      </c>
      <c r="F2380" t="s">
        <v>821</v>
      </c>
      <c r="G2380">
        <v>1</v>
      </c>
    </row>
    <row r="2381" spans="1:7">
      <c r="A2381">
        <v>9</v>
      </c>
      <c r="B2381" t="s">
        <v>938</v>
      </c>
      <c r="C2381" t="s">
        <v>938</v>
      </c>
      <c r="D2381">
        <v>9</v>
      </c>
      <c r="E2381">
        <f t="shared" si="37"/>
        <v>9</v>
      </c>
      <c r="F2381" t="s">
        <v>821</v>
      </c>
      <c r="G2381">
        <v>1</v>
      </c>
    </row>
    <row r="2382" spans="1:7">
      <c r="A2382">
        <v>9</v>
      </c>
      <c r="B2382" t="s">
        <v>1441</v>
      </c>
      <c r="C2382" t="s">
        <v>1441</v>
      </c>
      <c r="D2382">
        <v>9</v>
      </c>
      <c r="E2382">
        <f t="shared" si="37"/>
        <v>9</v>
      </c>
      <c r="F2382" t="s">
        <v>821</v>
      </c>
      <c r="G2382">
        <v>1</v>
      </c>
    </row>
    <row r="2383" spans="1:7">
      <c r="A2383">
        <v>9</v>
      </c>
      <c r="B2383" t="s">
        <v>240</v>
      </c>
      <c r="C2383" t="s">
        <v>240</v>
      </c>
      <c r="D2383">
        <v>9</v>
      </c>
      <c r="E2383">
        <f t="shared" si="37"/>
        <v>9</v>
      </c>
      <c r="F2383" t="s">
        <v>821</v>
      </c>
      <c r="G2383">
        <v>1</v>
      </c>
    </row>
    <row r="2384" spans="1:7">
      <c r="A2384">
        <v>9</v>
      </c>
      <c r="B2384" t="s">
        <v>1143</v>
      </c>
      <c r="C2384" t="s">
        <v>1143</v>
      </c>
      <c r="D2384">
        <v>9</v>
      </c>
      <c r="E2384">
        <f t="shared" si="37"/>
        <v>9</v>
      </c>
      <c r="F2384" t="s">
        <v>821</v>
      </c>
      <c r="G2384">
        <v>1</v>
      </c>
    </row>
    <row r="2385" spans="1:7">
      <c r="A2385">
        <v>9</v>
      </c>
      <c r="B2385" t="s">
        <v>241</v>
      </c>
      <c r="C2385" t="s">
        <v>241</v>
      </c>
      <c r="D2385">
        <v>9</v>
      </c>
      <c r="E2385">
        <f t="shared" si="37"/>
        <v>9</v>
      </c>
      <c r="F2385" t="s">
        <v>821</v>
      </c>
      <c r="G2385">
        <v>1</v>
      </c>
    </row>
    <row r="2386" spans="1:7">
      <c r="A2386">
        <v>9</v>
      </c>
      <c r="B2386" t="s">
        <v>11</v>
      </c>
      <c r="C2386" t="s">
        <v>11</v>
      </c>
      <c r="D2386">
        <v>9</v>
      </c>
      <c r="E2386">
        <f t="shared" si="37"/>
        <v>9</v>
      </c>
      <c r="F2386" t="s">
        <v>821</v>
      </c>
      <c r="G2386">
        <v>1</v>
      </c>
    </row>
    <row r="2387" spans="1:7">
      <c r="A2387">
        <v>9</v>
      </c>
      <c r="B2387" t="s">
        <v>12</v>
      </c>
      <c r="C2387" t="s">
        <v>12</v>
      </c>
      <c r="D2387">
        <v>9</v>
      </c>
      <c r="E2387">
        <f t="shared" si="37"/>
        <v>9</v>
      </c>
      <c r="F2387" t="s">
        <v>821</v>
      </c>
      <c r="G2387">
        <v>1</v>
      </c>
    </row>
    <row r="2388" spans="1:7">
      <c r="A2388">
        <v>9</v>
      </c>
      <c r="B2388" t="s">
        <v>1222</v>
      </c>
      <c r="C2388" t="s">
        <v>1222</v>
      </c>
      <c r="D2388">
        <v>9</v>
      </c>
      <c r="E2388">
        <f t="shared" si="37"/>
        <v>9</v>
      </c>
      <c r="F2388" t="s">
        <v>821</v>
      </c>
      <c r="G2388">
        <v>1</v>
      </c>
    </row>
    <row r="2389" spans="1:7">
      <c r="A2389">
        <v>9</v>
      </c>
      <c r="B2389" t="s">
        <v>1224</v>
      </c>
      <c r="C2389" t="s">
        <v>1224</v>
      </c>
      <c r="D2389">
        <v>9</v>
      </c>
      <c r="E2389">
        <f t="shared" si="37"/>
        <v>9</v>
      </c>
      <c r="F2389" t="s">
        <v>821</v>
      </c>
      <c r="G2389">
        <v>1</v>
      </c>
    </row>
    <row r="2390" spans="1:7">
      <c r="A2390">
        <v>9</v>
      </c>
      <c r="B2390" t="s">
        <v>501</v>
      </c>
      <c r="C2390" t="s">
        <v>501</v>
      </c>
      <c r="D2390">
        <v>9</v>
      </c>
      <c r="E2390">
        <f t="shared" si="37"/>
        <v>9</v>
      </c>
      <c r="F2390" t="s">
        <v>821</v>
      </c>
      <c r="G2390">
        <v>1</v>
      </c>
    </row>
    <row r="2391" spans="1:7">
      <c r="A2391">
        <v>9</v>
      </c>
      <c r="B2391" t="s">
        <v>383</v>
      </c>
      <c r="C2391" t="s">
        <v>383</v>
      </c>
      <c r="D2391">
        <v>9</v>
      </c>
      <c r="E2391">
        <f t="shared" ref="E2391:E2422" si="38">LEN(B2391)</f>
        <v>9</v>
      </c>
      <c r="F2391" t="s">
        <v>821</v>
      </c>
      <c r="G2391">
        <v>1</v>
      </c>
    </row>
    <row r="2392" spans="1:7">
      <c r="A2392">
        <v>9</v>
      </c>
      <c r="B2392" t="s">
        <v>1838</v>
      </c>
      <c r="C2392" t="s">
        <v>1838</v>
      </c>
      <c r="D2392">
        <v>9</v>
      </c>
      <c r="E2392">
        <f t="shared" si="38"/>
        <v>9</v>
      </c>
      <c r="F2392" t="s">
        <v>821</v>
      </c>
      <c r="G2392">
        <v>1</v>
      </c>
    </row>
    <row r="2393" spans="1:7">
      <c r="A2393">
        <v>9</v>
      </c>
      <c r="B2393" t="s">
        <v>715</v>
      </c>
      <c r="C2393" t="s">
        <v>715</v>
      </c>
      <c r="D2393">
        <v>9</v>
      </c>
      <c r="E2393">
        <f t="shared" si="38"/>
        <v>9</v>
      </c>
      <c r="F2393" t="s">
        <v>821</v>
      </c>
      <c r="G2393">
        <v>1</v>
      </c>
    </row>
    <row r="2394" spans="1:7">
      <c r="A2394">
        <v>9</v>
      </c>
      <c r="B2394" t="s">
        <v>1843</v>
      </c>
      <c r="C2394" t="s">
        <v>1843</v>
      </c>
      <c r="D2394">
        <v>9</v>
      </c>
      <c r="E2394">
        <f t="shared" si="38"/>
        <v>9</v>
      </c>
      <c r="F2394" t="s">
        <v>821</v>
      </c>
      <c r="G2394">
        <v>1</v>
      </c>
    </row>
    <row r="2395" spans="1:7">
      <c r="A2395">
        <v>9</v>
      </c>
      <c r="B2395" t="s">
        <v>1456</v>
      </c>
      <c r="C2395" t="s">
        <v>1925</v>
      </c>
      <c r="D2395">
        <v>9</v>
      </c>
      <c r="E2395">
        <f t="shared" si="38"/>
        <v>9</v>
      </c>
      <c r="F2395" t="s">
        <v>821</v>
      </c>
      <c r="G2395">
        <v>1</v>
      </c>
    </row>
    <row r="2396" spans="1:7">
      <c r="A2396">
        <v>9</v>
      </c>
      <c r="B2396" t="s">
        <v>769</v>
      </c>
      <c r="C2396" t="s">
        <v>769</v>
      </c>
      <c r="D2396">
        <v>5</v>
      </c>
      <c r="E2396">
        <f t="shared" si="38"/>
        <v>8</v>
      </c>
      <c r="G2396">
        <v>1</v>
      </c>
    </row>
    <row r="2397" spans="1:7">
      <c r="A2397">
        <v>9</v>
      </c>
      <c r="B2397" t="s">
        <v>1874</v>
      </c>
      <c r="C2397" t="s">
        <v>1874</v>
      </c>
      <c r="D2397">
        <v>9</v>
      </c>
      <c r="E2397">
        <f t="shared" si="38"/>
        <v>8</v>
      </c>
      <c r="F2397" t="s">
        <v>821</v>
      </c>
      <c r="G2397">
        <v>1</v>
      </c>
    </row>
    <row r="2398" spans="1:7">
      <c r="A2398">
        <v>9</v>
      </c>
      <c r="B2398" t="s">
        <v>386</v>
      </c>
      <c r="C2398" t="s">
        <v>386</v>
      </c>
      <c r="D2398">
        <v>9</v>
      </c>
      <c r="E2398">
        <f t="shared" si="38"/>
        <v>8</v>
      </c>
      <c r="F2398" t="s">
        <v>821</v>
      </c>
      <c r="G2398">
        <v>1</v>
      </c>
    </row>
    <row r="2399" spans="1:7">
      <c r="A2399">
        <v>9</v>
      </c>
      <c r="B2399" t="s">
        <v>238</v>
      </c>
      <c r="C2399" t="s">
        <v>238</v>
      </c>
      <c r="D2399">
        <v>9</v>
      </c>
      <c r="E2399">
        <f t="shared" si="38"/>
        <v>8</v>
      </c>
      <c r="F2399" t="s">
        <v>821</v>
      </c>
      <c r="G2399">
        <v>1</v>
      </c>
    </row>
    <row r="2400" spans="1:7">
      <c r="A2400">
        <v>9</v>
      </c>
      <c r="B2400" t="s">
        <v>387</v>
      </c>
      <c r="C2400" t="s">
        <v>387</v>
      </c>
      <c r="D2400">
        <v>9</v>
      </c>
      <c r="E2400">
        <f t="shared" si="38"/>
        <v>8</v>
      </c>
      <c r="F2400" t="s">
        <v>821</v>
      </c>
      <c r="G2400">
        <v>1</v>
      </c>
    </row>
    <row r="2401" spans="1:7">
      <c r="A2401">
        <v>9</v>
      </c>
      <c r="B2401" t="s">
        <v>1140</v>
      </c>
      <c r="C2401" t="s">
        <v>1140</v>
      </c>
      <c r="D2401">
        <v>9</v>
      </c>
      <c r="E2401">
        <f t="shared" si="38"/>
        <v>8</v>
      </c>
      <c r="F2401" t="s">
        <v>821</v>
      </c>
      <c r="G2401">
        <v>1</v>
      </c>
    </row>
    <row r="2402" spans="1:7">
      <c r="A2402">
        <v>9</v>
      </c>
      <c r="B2402" t="s">
        <v>388</v>
      </c>
      <c r="C2402" t="s">
        <v>388</v>
      </c>
      <c r="D2402">
        <v>9</v>
      </c>
      <c r="E2402">
        <f t="shared" si="38"/>
        <v>8</v>
      </c>
      <c r="F2402" t="s">
        <v>821</v>
      </c>
      <c r="G2402">
        <v>1</v>
      </c>
    </row>
    <row r="2403" spans="1:7">
      <c r="A2403">
        <v>9</v>
      </c>
      <c r="B2403" t="s">
        <v>1142</v>
      </c>
      <c r="C2403" t="s">
        <v>1142</v>
      </c>
      <c r="D2403">
        <v>9</v>
      </c>
      <c r="E2403">
        <f t="shared" si="38"/>
        <v>8</v>
      </c>
      <c r="F2403" t="s">
        <v>821</v>
      </c>
      <c r="G2403">
        <v>1</v>
      </c>
    </row>
    <row r="2404" spans="1:7">
      <c r="A2404">
        <v>9</v>
      </c>
      <c r="B2404" t="s">
        <v>318</v>
      </c>
      <c r="C2404" t="s">
        <v>318</v>
      </c>
      <c r="D2404">
        <v>9</v>
      </c>
      <c r="E2404">
        <f t="shared" si="38"/>
        <v>8</v>
      </c>
      <c r="F2404" t="s">
        <v>821</v>
      </c>
      <c r="G2404">
        <v>1</v>
      </c>
    </row>
    <row r="2405" spans="1:7">
      <c r="A2405">
        <v>9</v>
      </c>
      <c r="B2405" t="s">
        <v>508</v>
      </c>
      <c r="C2405" t="s">
        <v>508</v>
      </c>
      <c r="D2405">
        <v>9</v>
      </c>
      <c r="E2405">
        <f t="shared" si="38"/>
        <v>8</v>
      </c>
      <c r="F2405" t="s">
        <v>821</v>
      </c>
      <c r="G2405">
        <v>1</v>
      </c>
    </row>
    <row r="2406" spans="1:7">
      <c r="A2406">
        <v>9</v>
      </c>
      <c r="B2406" t="s">
        <v>8</v>
      </c>
      <c r="C2406" t="s">
        <v>8</v>
      </c>
      <c r="D2406">
        <v>9</v>
      </c>
      <c r="E2406">
        <f t="shared" si="38"/>
        <v>8</v>
      </c>
      <c r="F2406" t="s">
        <v>821</v>
      </c>
      <c r="G2406">
        <v>1</v>
      </c>
    </row>
    <row r="2407" spans="1:7">
      <c r="A2407">
        <v>9</v>
      </c>
      <c r="B2407" t="s">
        <v>9</v>
      </c>
      <c r="C2407" t="s">
        <v>9</v>
      </c>
      <c r="D2407">
        <v>9</v>
      </c>
      <c r="E2407">
        <f t="shared" si="38"/>
        <v>8</v>
      </c>
      <c r="F2407" t="s">
        <v>821</v>
      </c>
      <c r="G2407">
        <v>1</v>
      </c>
    </row>
    <row r="2408" spans="1:7">
      <c r="A2408">
        <v>9</v>
      </c>
      <c r="B2408" t="s">
        <v>1797</v>
      </c>
      <c r="C2408" t="s">
        <v>1797</v>
      </c>
      <c r="D2408">
        <v>9</v>
      </c>
      <c r="E2408">
        <f t="shared" si="38"/>
        <v>8</v>
      </c>
      <c r="F2408" t="s">
        <v>821</v>
      </c>
      <c r="G2408">
        <v>1</v>
      </c>
    </row>
    <row r="2409" spans="1:7">
      <c r="A2409">
        <v>9</v>
      </c>
      <c r="B2409" t="s">
        <v>360</v>
      </c>
      <c r="C2409" t="s">
        <v>360</v>
      </c>
      <c r="D2409">
        <v>9</v>
      </c>
      <c r="E2409">
        <f t="shared" si="38"/>
        <v>8</v>
      </c>
      <c r="F2409" t="s">
        <v>821</v>
      </c>
      <c r="G2409">
        <v>1</v>
      </c>
    </row>
    <row r="2410" spans="1:7">
      <c r="A2410">
        <v>9</v>
      </c>
      <c r="B2410" t="s">
        <v>1798</v>
      </c>
      <c r="C2410" t="s">
        <v>1798</v>
      </c>
      <c r="D2410">
        <v>9</v>
      </c>
      <c r="E2410">
        <f t="shared" si="38"/>
        <v>8</v>
      </c>
      <c r="F2410" t="s">
        <v>821</v>
      </c>
      <c r="G2410">
        <v>1</v>
      </c>
    </row>
    <row r="2411" spans="1:7">
      <c r="A2411">
        <v>9</v>
      </c>
      <c r="B2411" t="s">
        <v>519</v>
      </c>
      <c r="C2411" t="s">
        <v>519</v>
      </c>
      <c r="D2411">
        <v>9</v>
      </c>
      <c r="E2411">
        <f t="shared" si="38"/>
        <v>8</v>
      </c>
      <c r="F2411" t="s">
        <v>821</v>
      </c>
      <c r="G2411">
        <v>1</v>
      </c>
    </row>
    <row r="2412" spans="1:7">
      <c r="A2412">
        <v>9</v>
      </c>
      <c r="B2412" t="s">
        <v>363</v>
      </c>
      <c r="C2412" t="s">
        <v>363</v>
      </c>
      <c r="D2412">
        <v>9</v>
      </c>
      <c r="E2412">
        <f t="shared" si="38"/>
        <v>8</v>
      </c>
      <c r="F2412" t="s">
        <v>821</v>
      </c>
      <c r="G2412">
        <v>1</v>
      </c>
    </row>
    <row r="2413" spans="1:7">
      <c r="A2413">
        <v>9</v>
      </c>
      <c r="B2413" t="s">
        <v>521</v>
      </c>
      <c r="C2413" t="s">
        <v>521</v>
      </c>
      <c r="D2413">
        <v>9</v>
      </c>
      <c r="E2413">
        <f t="shared" si="38"/>
        <v>8</v>
      </c>
      <c r="F2413" t="s">
        <v>822</v>
      </c>
      <c r="G2413">
        <v>1</v>
      </c>
    </row>
    <row r="2414" spans="1:7">
      <c r="A2414">
        <v>9</v>
      </c>
      <c r="B2414" t="s">
        <v>921</v>
      </c>
      <c r="C2414" t="s">
        <v>921</v>
      </c>
      <c r="D2414">
        <v>9</v>
      </c>
      <c r="E2414">
        <f t="shared" si="38"/>
        <v>8</v>
      </c>
      <c r="F2414" t="s">
        <v>822</v>
      </c>
      <c r="G2414">
        <v>1</v>
      </c>
    </row>
    <row r="2415" spans="1:7">
      <c r="A2415">
        <v>9</v>
      </c>
      <c r="B2415" t="s">
        <v>6568</v>
      </c>
      <c r="C2415" t="s">
        <v>6569</v>
      </c>
      <c r="D2415">
        <v>9</v>
      </c>
      <c r="E2415">
        <f t="shared" si="38"/>
        <v>8</v>
      </c>
      <c r="F2415" t="s">
        <v>821</v>
      </c>
      <c r="G2415">
        <v>1</v>
      </c>
    </row>
    <row r="2416" spans="1:7">
      <c r="A2416">
        <v>9</v>
      </c>
      <c r="B2416" t="s">
        <v>506</v>
      </c>
      <c r="C2416" t="s">
        <v>506</v>
      </c>
      <c r="D2416">
        <v>9</v>
      </c>
      <c r="E2416">
        <f t="shared" si="38"/>
        <v>7</v>
      </c>
      <c r="F2416" t="s">
        <v>821</v>
      </c>
      <c r="G2416">
        <v>1</v>
      </c>
    </row>
    <row r="2417" spans="1:7">
      <c r="A2417">
        <v>9</v>
      </c>
      <c r="B2417" t="s">
        <v>516</v>
      </c>
      <c r="C2417" t="s">
        <v>516</v>
      </c>
      <c r="D2417">
        <v>9</v>
      </c>
      <c r="E2417">
        <f t="shared" si="38"/>
        <v>7</v>
      </c>
      <c r="F2417" t="s">
        <v>821</v>
      </c>
      <c r="G2417">
        <v>1</v>
      </c>
    </row>
    <row r="2418" spans="1:7">
      <c r="A2418">
        <v>9</v>
      </c>
      <c r="B2418" t="s">
        <v>1866</v>
      </c>
      <c r="C2418" t="s">
        <v>1866</v>
      </c>
      <c r="D2418">
        <v>9</v>
      </c>
      <c r="E2418">
        <f t="shared" si="38"/>
        <v>7</v>
      </c>
      <c r="F2418" t="s">
        <v>821</v>
      </c>
      <c r="G2418">
        <v>1</v>
      </c>
    </row>
    <row r="2419" spans="1:7">
      <c r="A2419">
        <v>9</v>
      </c>
      <c r="B2419" t="s">
        <v>355</v>
      </c>
      <c r="C2419" t="s">
        <v>355</v>
      </c>
      <c r="D2419">
        <v>9</v>
      </c>
      <c r="E2419">
        <f t="shared" si="38"/>
        <v>7</v>
      </c>
      <c r="F2419" t="s">
        <v>821</v>
      </c>
      <c r="G2419">
        <v>1</v>
      </c>
    </row>
    <row r="2420" spans="1:7">
      <c r="A2420">
        <v>9</v>
      </c>
      <c r="B2420" t="s">
        <v>356</v>
      </c>
      <c r="C2420" t="s">
        <v>356</v>
      </c>
      <c r="D2420">
        <v>9</v>
      </c>
      <c r="E2420">
        <f t="shared" si="38"/>
        <v>7</v>
      </c>
      <c r="F2420" t="s">
        <v>821</v>
      </c>
      <c r="G2420">
        <v>1</v>
      </c>
    </row>
    <row r="2421" spans="1:7">
      <c r="A2421">
        <v>9</v>
      </c>
      <c r="B2421" t="s">
        <v>1810</v>
      </c>
      <c r="C2421" t="s">
        <v>1810</v>
      </c>
      <c r="D2421">
        <v>9</v>
      </c>
      <c r="E2421">
        <f t="shared" si="38"/>
        <v>7</v>
      </c>
      <c r="F2421" t="s">
        <v>821</v>
      </c>
      <c r="G2421">
        <v>1</v>
      </c>
    </row>
    <row r="2422" spans="1:7">
      <c r="A2422">
        <v>9</v>
      </c>
      <c r="B2422" t="s">
        <v>10</v>
      </c>
      <c r="C2422" t="s">
        <v>10</v>
      </c>
      <c r="D2422">
        <v>9</v>
      </c>
      <c r="E2422">
        <f t="shared" si="38"/>
        <v>7</v>
      </c>
      <c r="F2422" t="s">
        <v>821</v>
      </c>
      <c r="G2422">
        <v>1</v>
      </c>
    </row>
    <row r="2423" spans="1:7">
      <c r="A2423">
        <v>9</v>
      </c>
      <c r="B2423" t="s">
        <v>242</v>
      </c>
      <c r="C2423" t="s">
        <v>242</v>
      </c>
      <c r="D2423">
        <v>9</v>
      </c>
      <c r="E2423">
        <f t="shared" ref="E2423:E2454" si="39">LEN(B2423)</f>
        <v>7</v>
      </c>
      <c r="F2423" t="s">
        <v>821</v>
      </c>
      <c r="G2423">
        <v>1</v>
      </c>
    </row>
    <row r="2424" spans="1:7">
      <c r="A2424">
        <v>9</v>
      </c>
      <c r="B2424" t="s">
        <v>392</v>
      </c>
      <c r="C2424" t="s">
        <v>392</v>
      </c>
      <c r="D2424">
        <v>9</v>
      </c>
      <c r="E2424">
        <f t="shared" si="39"/>
        <v>7</v>
      </c>
      <c r="F2424" t="s">
        <v>821</v>
      </c>
      <c r="G2424">
        <v>1</v>
      </c>
    </row>
    <row r="2425" spans="1:7">
      <c r="A2425">
        <v>9</v>
      </c>
      <c r="B2425" t="s">
        <v>518</v>
      </c>
      <c r="C2425" t="s">
        <v>518</v>
      </c>
      <c r="D2425">
        <v>9</v>
      </c>
      <c r="E2425">
        <f t="shared" si="39"/>
        <v>7</v>
      </c>
      <c r="F2425" t="s">
        <v>821</v>
      </c>
      <c r="G2425">
        <v>1</v>
      </c>
    </row>
    <row r="2426" spans="1:7">
      <c r="A2426">
        <v>9</v>
      </c>
      <c r="B2426" t="s">
        <v>18</v>
      </c>
      <c r="C2426" t="s">
        <v>18</v>
      </c>
      <c r="D2426">
        <v>9</v>
      </c>
      <c r="E2426">
        <f t="shared" si="39"/>
        <v>7</v>
      </c>
      <c r="F2426" t="s">
        <v>821</v>
      </c>
      <c r="G2426">
        <v>1</v>
      </c>
    </row>
    <row r="2427" spans="1:7">
      <c r="A2427">
        <v>9</v>
      </c>
      <c r="B2427" t="s">
        <v>721</v>
      </c>
      <c r="C2427" t="s">
        <v>721</v>
      </c>
      <c r="D2427">
        <v>9</v>
      </c>
      <c r="E2427">
        <f t="shared" si="39"/>
        <v>7</v>
      </c>
      <c r="F2427" t="s">
        <v>821</v>
      </c>
      <c r="G2427">
        <v>1</v>
      </c>
    </row>
    <row r="2428" spans="1:7">
      <c r="A2428">
        <v>9</v>
      </c>
      <c r="B2428" t="s">
        <v>10808</v>
      </c>
      <c r="C2428" t="s">
        <v>6450</v>
      </c>
      <c r="D2428">
        <v>9</v>
      </c>
      <c r="E2428">
        <f t="shared" si="39"/>
        <v>6</v>
      </c>
      <c r="F2428" t="s">
        <v>821</v>
      </c>
      <c r="G2428">
        <v>1</v>
      </c>
    </row>
    <row r="2429" spans="1:7">
      <c r="A2429">
        <v>9</v>
      </c>
      <c r="B2429" t="s">
        <v>239</v>
      </c>
      <c r="C2429" t="s">
        <v>239</v>
      </c>
      <c r="D2429">
        <v>9</v>
      </c>
      <c r="E2429">
        <f t="shared" si="39"/>
        <v>6</v>
      </c>
      <c r="F2429" t="s">
        <v>821</v>
      </c>
      <c r="G2429">
        <v>1</v>
      </c>
    </row>
    <row r="2430" spans="1:7">
      <c r="A2430">
        <v>9</v>
      </c>
      <c r="B2430" t="s">
        <v>1445</v>
      </c>
      <c r="C2430" t="s">
        <v>1445</v>
      </c>
      <c r="D2430">
        <v>9</v>
      </c>
      <c r="E2430">
        <f t="shared" si="39"/>
        <v>6</v>
      </c>
      <c r="F2430" t="s">
        <v>821</v>
      </c>
      <c r="G2430">
        <v>1</v>
      </c>
    </row>
    <row r="2431" spans="1:7">
      <c r="A2431">
        <v>9</v>
      </c>
      <c r="B2431" t="s">
        <v>1217</v>
      </c>
      <c r="C2431" t="s">
        <v>1217</v>
      </c>
      <c r="D2431">
        <v>9</v>
      </c>
      <c r="E2431">
        <f t="shared" si="39"/>
        <v>6</v>
      </c>
      <c r="F2431" t="s">
        <v>821</v>
      </c>
      <c r="G2431">
        <v>1</v>
      </c>
    </row>
    <row r="2432" spans="1:7">
      <c r="A2432">
        <v>9</v>
      </c>
      <c r="B2432" t="s">
        <v>832</v>
      </c>
      <c r="C2432" t="s">
        <v>832</v>
      </c>
      <c r="D2432">
        <v>9</v>
      </c>
      <c r="E2432">
        <f t="shared" si="39"/>
        <v>6</v>
      </c>
      <c r="F2432" t="s">
        <v>821</v>
      </c>
      <c r="G2432">
        <v>1</v>
      </c>
    </row>
    <row r="2433" spans="1:7">
      <c r="A2433">
        <v>9</v>
      </c>
      <c r="B2433" t="s">
        <v>1145</v>
      </c>
      <c r="C2433" t="s">
        <v>1145</v>
      </c>
      <c r="D2433">
        <v>9</v>
      </c>
      <c r="E2433">
        <f t="shared" si="39"/>
        <v>6</v>
      </c>
      <c r="F2433" t="s">
        <v>821</v>
      </c>
      <c r="G2433">
        <v>1</v>
      </c>
    </row>
    <row r="2434" spans="1:7">
      <c r="A2434">
        <v>9</v>
      </c>
      <c r="B2434" t="s">
        <v>1092</v>
      </c>
      <c r="C2434" t="s">
        <v>1092</v>
      </c>
      <c r="D2434">
        <v>9</v>
      </c>
      <c r="E2434">
        <f t="shared" si="39"/>
        <v>6</v>
      </c>
      <c r="F2434" t="s">
        <v>821</v>
      </c>
      <c r="G2434">
        <v>1</v>
      </c>
    </row>
    <row r="2435" spans="1:7">
      <c r="A2435">
        <v>9</v>
      </c>
      <c r="B2435" t="s">
        <v>1872</v>
      </c>
      <c r="C2435" t="s">
        <v>1872</v>
      </c>
      <c r="D2435">
        <v>9</v>
      </c>
      <c r="E2435">
        <f t="shared" si="39"/>
        <v>6</v>
      </c>
      <c r="F2435" t="s">
        <v>821</v>
      </c>
      <c r="G2435">
        <v>1</v>
      </c>
    </row>
    <row r="2436" spans="1:7">
      <c r="A2436">
        <v>9</v>
      </c>
      <c r="B2436" t="s">
        <v>359</v>
      </c>
      <c r="C2436" t="s">
        <v>359</v>
      </c>
      <c r="D2436">
        <v>9</v>
      </c>
      <c r="E2436">
        <f t="shared" si="39"/>
        <v>6</v>
      </c>
      <c r="F2436" t="s">
        <v>821</v>
      </c>
      <c r="G2436">
        <v>1</v>
      </c>
    </row>
    <row r="2437" spans="1:7">
      <c r="A2437">
        <v>9</v>
      </c>
      <c r="B2437" t="s">
        <v>245</v>
      </c>
      <c r="C2437" t="s">
        <v>245</v>
      </c>
      <c r="D2437">
        <v>9</v>
      </c>
      <c r="E2437">
        <f t="shared" si="39"/>
        <v>6</v>
      </c>
      <c r="F2437" t="s">
        <v>821</v>
      </c>
      <c r="G2437">
        <v>1</v>
      </c>
    </row>
    <row r="2438" spans="1:7">
      <c r="A2438">
        <v>9</v>
      </c>
      <c r="B2438" t="s">
        <v>1390</v>
      </c>
      <c r="C2438" t="s">
        <v>1390</v>
      </c>
      <c r="D2438">
        <v>9</v>
      </c>
      <c r="E2438">
        <f t="shared" si="39"/>
        <v>6</v>
      </c>
      <c r="F2438" t="s">
        <v>821</v>
      </c>
      <c r="G2438">
        <v>1</v>
      </c>
    </row>
    <row r="2439" spans="1:7">
      <c r="A2439">
        <v>9</v>
      </c>
      <c r="B2439" t="s">
        <v>1869</v>
      </c>
      <c r="C2439" t="s">
        <v>1869</v>
      </c>
      <c r="D2439">
        <v>9</v>
      </c>
      <c r="E2439">
        <f t="shared" si="39"/>
        <v>6</v>
      </c>
      <c r="F2439" t="s">
        <v>821</v>
      </c>
      <c r="G2439">
        <v>1</v>
      </c>
    </row>
    <row r="2440" spans="1:7">
      <c r="A2440">
        <v>9</v>
      </c>
      <c r="B2440" t="s">
        <v>525</v>
      </c>
      <c r="C2440" t="s">
        <v>525</v>
      </c>
      <c r="D2440">
        <v>9</v>
      </c>
      <c r="E2440">
        <f t="shared" si="39"/>
        <v>6</v>
      </c>
      <c r="F2440" t="s">
        <v>821</v>
      </c>
      <c r="G2440">
        <v>1</v>
      </c>
    </row>
    <row r="2441" spans="1:7">
      <c r="A2441">
        <v>9</v>
      </c>
      <c r="B2441" t="s">
        <v>364</v>
      </c>
      <c r="C2441" t="s">
        <v>364</v>
      </c>
      <c r="D2441">
        <v>9</v>
      </c>
      <c r="E2441">
        <f t="shared" si="39"/>
        <v>6</v>
      </c>
      <c r="F2441" t="s">
        <v>821</v>
      </c>
      <c r="G2441">
        <v>1</v>
      </c>
    </row>
    <row r="2442" spans="1:7">
      <c r="A2442">
        <v>9</v>
      </c>
      <c r="B2442" t="s">
        <v>1922</v>
      </c>
      <c r="C2442" t="s">
        <v>1922</v>
      </c>
      <c r="D2442">
        <v>9</v>
      </c>
      <c r="E2442">
        <f t="shared" si="39"/>
        <v>6</v>
      </c>
      <c r="F2442" t="s">
        <v>821</v>
      </c>
      <c r="G2442">
        <v>1</v>
      </c>
    </row>
    <row r="2443" spans="1:7">
      <c r="A2443">
        <v>9</v>
      </c>
      <c r="B2443" t="s">
        <v>115</v>
      </c>
      <c r="C2443" t="s">
        <v>115</v>
      </c>
      <c r="D2443">
        <v>9</v>
      </c>
      <c r="E2443">
        <f t="shared" si="39"/>
        <v>6</v>
      </c>
      <c r="F2443" t="s">
        <v>821</v>
      </c>
      <c r="G2443">
        <v>1</v>
      </c>
    </row>
    <row r="2444" spans="1:7">
      <c r="A2444">
        <v>9</v>
      </c>
      <c r="B2444" t="s">
        <v>1924</v>
      </c>
      <c r="C2444" t="s">
        <v>1924</v>
      </c>
      <c r="D2444">
        <v>9</v>
      </c>
      <c r="E2444">
        <f t="shared" si="39"/>
        <v>6</v>
      </c>
      <c r="F2444" t="s">
        <v>821</v>
      </c>
      <c r="G2444">
        <v>1</v>
      </c>
    </row>
    <row r="2445" spans="1:7">
      <c r="A2445">
        <v>9</v>
      </c>
      <c r="B2445" t="s">
        <v>237</v>
      </c>
      <c r="C2445" t="s">
        <v>237</v>
      </c>
      <c r="D2445">
        <v>9</v>
      </c>
      <c r="E2445">
        <f t="shared" si="39"/>
        <v>5</v>
      </c>
      <c r="F2445" t="s">
        <v>821</v>
      </c>
      <c r="G2445">
        <v>1</v>
      </c>
    </row>
    <row r="2446" spans="1:7">
      <c r="A2446">
        <v>9</v>
      </c>
      <c r="B2446" t="s">
        <v>1</v>
      </c>
      <c r="C2446" t="s">
        <v>1</v>
      </c>
      <c r="D2446">
        <v>9</v>
      </c>
      <c r="E2446">
        <f t="shared" si="39"/>
        <v>5</v>
      </c>
      <c r="F2446" t="s">
        <v>821</v>
      </c>
      <c r="G2446">
        <v>1</v>
      </c>
    </row>
    <row r="2447" spans="1:7">
      <c r="A2447">
        <v>9</v>
      </c>
      <c r="B2447" t="s">
        <v>2</v>
      </c>
      <c r="C2447" t="s">
        <v>2</v>
      </c>
      <c r="D2447">
        <v>9</v>
      </c>
      <c r="E2447">
        <f t="shared" si="39"/>
        <v>5</v>
      </c>
      <c r="F2447" t="s">
        <v>821</v>
      </c>
      <c r="G2447">
        <v>1</v>
      </c>
    </row>
    <row r="2448" spans="1:7">
      <c r="A2448">
        <v>9</v>
      </c>
      <c r="B2448" t="s">
        <v>500</v>
      </c>
      <c r="C2448" t="s">
        <v>500</v>
      </c>
      <c r="D2448">
        <v>9</v>
      </c>
      <c r="E2448">
        <f t="shared" si="39"/>
        <v>5</v>
      </c>
      <c r="F2448" t="s">
        <v>821</v>
      </c>
      <c r="G2448">
        <v>1</v>
      </c>
    </row>
    <row r="2449" spans="1:7">
      <c r="A2449">
        <v>9</v>
      </c>
      <c r="B2449" t="s">
        <v>354</v>
      </c>
      <c r="C2449" t="s">
        <v>354</v>
      </c>
      <c r="D2449">
        <v>9</v>
      </c>
      <c r="E2449">
        <f t="shared" si="39"/>
        <v>5</v>
      </c>
      <c r="F2449" t="s">
        <v>821</v>
      </c>
      <c r="G2449">
        <v>1</v>
      </c>
    </row>
    <row r="2450" spans="1:7">
      <c r="A2450">
        <v>9</v>
      </c>
      <c r="B2450" t="s">
        <v>390</v>
      </c>
      <c r="C2450" t="s">
        <v>390</v>
      </c>
      <c r="D2450">
        <v>9</v>
      </c>
      <c r="E2450">
        <f t="shared" si="39"/>
        <v>5</v>
      </c>
      <c r="F2450" t="s">
        <v>821</v>
      </c>
      <c r="G2450">
        <v>1</v>
      </c>
    </row>
    <row r="2451" spans="1:7">
      <c r="A2451">
        <v>9</v>
      </c>
      <c r="B2451" t="s">
        <v>7</v>
      </c>
      <c r="C2451" t="s">
        <v>7</v>
      </c>
      <c r="D2451">
        <v>9</v>
      </c>
      <c r="E2451">
        <f t="shared" si="39"/>
        <v>5</v>
      </c>
      <c r="F2451" t="s">
        <v>821</v>
      </c>
      <c r="G2451">
        <v>1</v>
      </c>
    </row>
    <row r="2452" spans="1:7">
      <c r="A2452">
        <v>9</v>
      </c>
      <c r="B2452" t="s">
        <v>391</v>
      </c>
      <c r="C2452" t="s">
        <v>391</v>
      </c>
      <c r="D2452">
        <v>9</v>
      </c>
      <c r="E2452">
        <f t="shared" si="39"/>
        <v>5</v>
      </c>
      <c r="F2452" t="s">
        <v>821</v>
      </c>
      <c r="G2452">
        <v>1</v>
      </c>
    </row>
    <row r="2453" spans="1:7">
      <c r="A2453">
        <v>9</v>
      </c>
      <c r="B2453" t="s">
        <v>677</v>
      </c>
      <c r="C2453" t="s">
        <v>677</v>
      </c>
      <c r="D2453">
        <v>9</v>
      </c>
      <c r="E2453">
        <f t="shared" si="39"/>
        <v>5</v>
      </c>
      <c r="F2453" t="s">
        <v>821</v>
      </c>
      <c r="G2453">
        <v>1</v>
      </c>
    </row>
    <row r="2454" spans="1:7">
      <c r="A2454">
        <v>9</v>
      </c>
      <c r="B2454" t="s">
        <v>14</v>
      </c>
      <c r="C2454" t="s">
        <v>14</v>
      </c>
      <c r="D2454">
        <v>9</v>
      </c>
      <c r="E2454">
        <f t="shared" si="39"/>
        <v>5</v>
      </c>
      <c r="F2454" t="s">
        <v>821</v>
      </c>
      <c r="G2454">
        <v>1</v>
      </c>
    </row>
    <row r="2455" spans="1:7">
      <c r="A2455">
        <v>9</v>
      </c>
      <c r="B2455" t="s">
        <v>358</v>
      </c>
      <c r="C2455" t="s">
        <v>358</v>
      </c>
      <c r="D2455">
        <v>9</v>
      </c>
      <c r="E2455">
        <f t="shared" ref="E2455:E2486" si="40">LEN(B2455)</f>
        <v>5</v>
      </c>
      <c r="F2455" t="s">
        <v>821</v>
      </c>
      <c r="G2455">
        <v>1</v>
      </c>
    </row>
    <row r="2456" spans="1:7">
      <c r="A2456">
        <v>9</v>
      </c>
      <c r="B2456" t="s">
        <v>1220</v>
      </c>
      <c r="C2456" t="s">
        <v>6427</v>
      </c>
      <c r="D2456">
        <v>9</v>
      </c>
      <c r="E2456">
        <f t="shared" si="40"/>
        <v>5</v>
      </c>
      <c r="F2456" t="s">
        <v>821</v>
      </c>
      <c r="G2456">
        <v>1</v>
      </c>
    </row>
    <row r="2457" spans="1:7">
      <c r="A2457">
        <v>9</v>
      </c>
      <c r="B2457" t="s">
        <v>17</v>
      </c>
      <c r="C2457" t="s">
        <v>17</v>
      </c>
      <c r="D2457">
        <v>9</v>
      </c>
      <c r="E2457">
        <f t="shared" si="40"/>
        <v>5</v>
      </c>
      <c r="F2457" t="s">
        <v>821</v>
      </c>
      <c r="G2457">
        <v>1</v>
      </c>
    </row>
    <row r="2458" spans="1:7">
      <c r="A2458">
        <v>9</v>
      </c>
      <c r="B2458" t="s">
        <v>362</v>
      </c>
      <c r="C2458" t="s">
        <v>362</v>
      </c>
      <c r="D2458">
        <v>9</v>
      </c>
      <c r="E2458">
        <f t="shared" si="40"/>
        <v>5</v>
      </c>
      <c r="F2458" t="s">
        <v>821</v>
      </c>
      <c r="G2458">
        <v>1</v>
      </c>
    </row>
    <row r="2459" spans="1:7">
      <c r="A2459">
        <v>9</v>
      </c>
      <c r="B2459" t="s">
        <v>1821</v>
      </c>
      <c r="C2459" t="s">
        <v>1821</v>
      </c>
      <c r="D2459">
        <v>9</v>
      </c>
      <c r="E2459">
        <f t="shared" si="40"/>
        <v>5</v>
      </c>
      <c r="F2459" t="s">
        <v>821</v>
      </c>
      <c r="G2459">
        <v>1</v>
      </c>
    </row>
    <row r="2460" spans="1:7">
      <c r="A2460">
        <v>9</v>
      </c>
      <c r="B2460" t="s">
        <v>1094</v>
      </c>
      <c r="C2460" t="s">
        <v>1094</v>
      </c>
      <c r="D2460">
        <v>9</v>
      </c>
      <c r="E2460">
        <f t="shared" si="40"/>
        <v>5</v>
      </c>
      <c r="F2460" t="s">
        <v>821</v>
      </c>
      <c r="G2460">
        <v>1</v>
      </c>
    </row>
    <row r="2461" spans="1:7">
      <c r="A2461">
        <v>9</v>
      </c>
      <c r="B2461" t="s">
        <v>1012</v>
      </c>
      <c r="C2461" t="s">
        <v>1012</v>
      </c>
      <c r="D2461">
        <v>9</v>
      </c>
      <c r="E2461">
        <f t="shared" si="40"/>
        <v>5</v>
      </c>
      <c r="F2461" t="s">
        <v>821</v>
      </c>
      <c r="G2461">
        <v>1</v>
      </c>
    </row>
    <row r="2462" spans="1:7">
      <c r="A2462">
        <v>9</v>
      </c>
      <c r="B2462" t="s">
        <v>463</v>
      </c>
      <c r="C2462" t="s">
        <v>463</v>
      </c>
      <c r="D2462">
        <v>9</v>
      </c>
      <c r="E2462">
        <f t="shared" si="40"/>
        <v>5</v>
      </c>
      <c r="F2462" t="s">
        <v>821</v>
      </c>
      <c r="G2462">
        <v>1</v>
      </c>
    </row>
    <row r="2463" spans="1:7">
      <c r="A2463">
        <v>9</v>
      </c>
      <c r="B2463" t="s">
        <v>236</v>
      </c>
      <c r="C2463" t="s">
        <v>236</v>
      </c>
      <c r="D2463">
        <v>9</v>
      </c>
      <c r="E2463">
        <f t="shared" si="40"/>
        <v>5</v>
      </c>
      <c r="F2463" t="s">
        <v>821</v>
      </c>
      <c r="G2463">
        <v>1</v>
      </c>
    </row>
    <row r="2464" spans="1:7">
      <c r="A2464">
        <v>9</v>
      </c>
      <c r="B2464" t="s">
        <v>1100</v>
      </c>
      <c r="C2464" t="s">
        <v>1100</v>
      </c>
      <c r="D2464">
        <v>9</v>
      </c>
      <c r="E2464">
        <f t="shared" si="40"/>
        <v>5</v>
      </c>
      <c r="F2464" t="s">
        <v>821</v>
      </c>
      <c r="G2464">
        <v>1</v>
      </c>
    </row>
    <row r="2465" spans="1:7">
      <c r="A2465">
        <v>9</v>
      </c>
      <c r="B2465" t="s">
        <v>702</v>
      </c>
      <c r="C2465" t="s">
        <v>702</v>
      </c>
      <c r="D2465">
        <v>9</v>
      </c>
      <c r="E2465">
        <f t="shared" si="40"/>
        <v>5</v>
      </c>
      <c r="F2465" t="s">
        <v>821</v>
      </c>
      <c r="G2465">
        <v>1</v>
      </c>
    </row>
    <row r="2466" spans="1:7">
      <c r="A2466">
        <v>9</v>
      </c>
      <c r="B2466" t="s">
        <v>12057</v>
      </c>
      <c r="C2466" t="s">
        <v>13660</v>
      </c>
      <c r="E2466">
        <f t="shared" si="40"/>
        <v>5</v>
      </c>
    </row>
    <row r="2467" spans="1:7">
      <c r="A2467">
        <v>9</v>
      </c>
      <c r="B2467" t="s">
        <v>1900</v>
      </c>
      <c r="C2467" t="s">
        <v>1900</v>
      </c>
      <c r="D2467">
        <v>9</v>
      </c>
      <c r="E2467">
        <f t="shared" si="40"/>
        <v>4</v>
      </c>
      <c r="F2467" t="s">
        <v>821</v>
      </c>
      <c r="G2467">
        <v>1</v>
      </c>
    </row>
    <row r="2468" spans="1:7">
      <c r="A2468">
        <v>9</v>
      </c>
      <c r="B2468" t="s">
        <v>1899</v>
      </c>
      <c r="C2468" t="s">
        <v>1899</v>
      </c>
      <c r="D2468">
        <v>9</v>
      </c>
      <c r="E2468">
        <f t="shared" si="40"/>
        <v>4</v>
      </c>
      <c r="F2468" t="s">
        <v>821</v>
      </c>
      <c r="G2468">
        <v>1</v>
      </c>
    </row>
    <row r="2469" spans="1:7">
      <c r="A2469">
        <v>9</v>
      </c>
      <c r="B2469" t="s">
        <v>460</v>
      </c>
      <c r="C2469" t="s">
        <v>460</v>
      </c>
      <c r="D2469">
        <v>9</v>
      </c>
      <c r="E2469">
        <f t="shared" si="40"/>
        <v>4</v>
      </c>
      <c r="F2469" t="s">
        <v>821</v>
      </c>
      <c r="G2469">
        <v>1</v>
      </c>
    </row>
    <row r="2470" spans="1:7">
      <c r="A2470">
        <v>9</v>
      </c>
      <c r="B2470" t="s">
        <v>1219</v>
      </c>
      <c r="C2470" t="s">
        <v>1219</v>
      </c>
      <c r="D2470">
        <v>9</v>
      </c>
      <c r="E2470">
        <f t="shared" si="40"/>
        <v>4</v>
      </c>
      <c r="F2470" t="s">
        <v>821</v>
      </c>
      <c r="G2470">
        <v>1</v>
      </c>
    </row>
    <row r="2471" spans="1:7">
      <c r="A2471">
        <v>9</v>
      </c>
      <c r="B2471" t="s">
        <v>248</v>
      </c>
      <c r="C2471" t="s">
        <v>248</v>
      </c>
      <c r="D2471">
        <v>9</v>
      </c>
      <c r="E2471">
        <f t="shared" si="40"/>
        <v>4</v>
      </c>
      <c r="F2471" t="s">
        <v>821</v>
      </c>
      <c r="G2471">
        <v>1</v>
      </c>
    </row>
    <row r="2472" spans="1:7">
      <c r="A2472">
        <v>9</v>
      </c>
      <c r="B2472" t="s">
        <v>839</v>
      </c>
      <c r="C2472" t="s">
        <v>839</v>
      </c>
      <c r="D2472">
        <v>9</v>
      </c>
      <c r="E2472">
        <f t="shared" si="40"/>
        <v>4</v>
      </c>
      <c r="F2472" t="s">
        <v>822</v>
      </c>
      <c r="G2472">
        <v>1</v>
      </c>
    </row>
    <row r="2473" spans="1:7">
      <c r="A2473">
        <v>9</v>
      </c>
      <c r="B2473" t="s">
        <v>474</v>
      </c>
      <c r="C2473" t="s">
        <v>474</v>
      </c>
      <c r="D2473">
        <v>9</v>
      </c>
      <c r="E2473">
        <f t="shared" si="40"/>
        <v>4</v>
      </c>
      <c r="F2473" t="s">
        <v>821</v>
      </c>
      <c r="G2473">
        <v>1</v>
      </c>
    </row>
    <row r="2474" spans="1:7">
      <c r="A2474">
        <v>9</v>
      </c>
      <c r="B2474" t="s">
        <v>389</v>
      </c>
      <c r="C2474" t="s">
        <v>389</v>
      </c>
      <c r="D2474">
        <v>9</v>
      </c>
      <c r="E2474">
        <f t="shared" si="40"/>
        <v>3</v>
      </c>
      <c r="F2474" t="s">
        <v>821</v>
      </c>
      <c r="G2474">
        <v>1</v>
      </c>
    </row>
    <row r="2475" spans="1:7">
      <c r="A2475">
        <v>9</v>
      </c>
      <c r="B2475" t="s">
        <v>462</v>
      </c>
      <c r="C2475" t="s">
        <v>462</v>
      </c>
      <c r="D2475">
        <v>9</v>
      </c>
      <c r="E2475">
        <f t="shared" si="40"/>
        <v>3</v>
      </c>
      <c r="F2475" t="s">
        <v>821</v>
      </c>
      <c r="G2475">
        <v>1</v>
      </c>
    </row>
    <row r="2476" spans="1:7">
      <c r="A2476">
        <v>9</v>
      </c>
      <c r="B2476" t="s">
        <v>722</v>
      </c>
      <c r="C2476" t="s">
        <v>722</v>
      </c>
      <c r="D2476">
        <v>9</v>
      </c>
      <c r="E2476">
        <f t="shared" si="40"/>
        <v>3</v>
      </c>
      <c r="F2476" t="s">
        <v>821</v>
      </c>
      <c r="G2476">
        <v>1</v>
      </c>
    </row>
    <row r="2477" spans="1:7">
      <c r="A2477">
        <v>9</v>
      </c>
      <c r="B2477" t="s">
        <v>398</v>
      </c>
      <c r="C2477" t="s">
        <v>398</v>
      </c>
      <c r="D2477">
        <v>9</v>
      </c>
      <c r="E2477">
        <f t="shared" si="40"/>
        <v>3</v>
      </c>
      <c r="F2477" t="s">
        <v>822</v>
      </c>
      <c r="G2477">
        <v>1</v>
      </c>
    </row>
    <row r="2478" spans="1:7">
      <c r="A2478">
        <v>9.8000000000000007</v>
      </c>
      <c r="B2478" t="s">
        <v>6728</v>
      </c>
      <c r="C2478" t="s">
        <v>6728</v>
      </c>
      <c r="D2478">
        <v>5</v>
      </c>
      <c r="E2478">
        <f t="shared" si="40"/>
        <v>13</v>
      </c>
      <c r="G2478">
        <v>1</v>
      </c>
    </row>
    <row r="2479" spans="1:7">
      <c r="A2479">
        <v>10</v>
      </c>
      <c r="B2479" t="s">
        <v>1460</v>
      </c>
      <c r="C2479" t="s">
        <v>1460</v>
      </c>
      <c r="D2479">
        <v>10</v>
      </c>
      <c r="E2479">
        <f t="shared" si="40"/>
        <v>12</v>
      </c>
      <c r="F2479" t="s">
        <v>821</v>
      </c>
      <c r="G2479">
        <v>0</v>
      </c>
    </row>
    <row r="2480" spans="1:7">
      <c r="A2480">
        <v>10</v>
      </c>
      <c r="B2480" t="s">
        <v>1917</v>
      </c>
      <c r="C2480" t="s">
        <v>1917</v>
      </c>
      <c r="D2480">
        <v>10</v>
      </c>
      <c r="E2480">
        <f t="shared" si="40"/>
        <v>10</v>
      </c>
      <c r="G2480">
        <v>0</v>
      </c>
    </row>
    <row r="2481" spans="1:7">
      <c r="A2481">
        <v>10</v>
      </c>
      <c r="B2481" t="s">
        <v>1844</v>
      </c>
      <c r="C2481" t="s">
        <v>10293</v>
      </c>
      <c r="D2481">
        <v>10</v>
      </c>
      <c r="E2481">
        <f t="shared" si="40"/>
        <v>8</v>
      </c>
      <c r="F2481" t="s">
        <v>821</v>
      </c>
      <c r="G2481">
        <v>0</v>
      </c>
    </row>
    <row r="2482" spans="1:7">
      <c r="A2482">
        <v>11</v>
      </c>
      <c r="B2482" t="s">
        <v>1830</v>
      </c>
      <c r="C2482" t="s">
        <v>920</v>
      </c>
      <c r="D2482">
        <v>11</v>
      </c>
      <c r="E2482">
        <f t="shared" si="40"/>
        <v>18</v>
      </c>
      <c r="F2482" t="s">
        <v>822</v>
      </c>
      <c r="G2482">
        <v>0</v>
      </c>
    </row>
    <row r="2483" spans="1:7">
      <c r="A2483">
        <v>11</v>
      </c>
      <c r="B2483" t="s">
        <v>10316</v>
      </c>
      <c r="C2483" t="s">
        <v>10315</v>
      </c>
      <c r="D2483">
        <v>11</v>
      </c>
      <c r="E2483">
        <f t="shared" si="40"/>
        <v>17</v>
      </c>
      <c r="F2483" t="s">
        <v>822</v>
      </c>
      <c r="G2483">
        <v>0</v>
      </c>
    </row>
    <row r="2484" spans="1:7">
      <c r="A2484">
        <v>11</v>
      </c>
      <c r="B2484" t="s">
        <v>1914</v>
      </c>
      <c r="C2484" t="s">
        <v>35</v>
      </c>
      <c r="D2484">
        <v>11</v>
      </c>
      <c r="E2484">
        <f t="shared" si="40"/>
        <v>14</v>
      </c>
      <c r="F2484" t="s">
        <v>822</v>
      </c>
      <c r="G2484">
        <v>0</v>
      </c>
    </row>
    <row r="2485" spans="1:7">
      <c r="A2485">
        <v>11</v>
      </c>
      <c r="B2485" t="s">
        <v>10312</v>
      </c>
      <c r="C2485" t="s">
        <v>10313</v>
      </c>
      <c r="D2485">
        <v>11</v>
      </c>
      <c r="E2485">
        <f t="shared" si="40"/>
        <v>14</v>
      </c>
      <c r="F2485" t="s">
        <v>822</v>
      </c>
      <c r="G2485">
        <v>0</v>
      </c>
    </row>
    <row r="2486" spans="1:7">
      <c r="A2486">
        <v>11</v>
      </c>
      <c r="B2486" t="s">
        <v>1928</v>
      </c>
      <c r="C2486" t="s">
        <v>10246</v>
      </c>
      <c r="D2486">
        <v>11</v>
      </c>
      <c r="E2486">
        <f t="shared" si="40"/>
        <v>13</v>
      </c>
      <c r="F2486" t="s">
        <v>821</v>
      </c>
      <c r="G2486">
        <v>0</v>
      </c>
    </row>
    <row r="2487" spans="1:7">
      <c r="A2487">
        <v>11</v>
      </c>
      <c r="B2487" t="s">
        <v>1457</v>
      </c>
      <c r="C2487" t="s">
        <v>1458</v>
      </c>
      <c r="D2487">
        <v>11</v>
      </c>
      <c r="E2487">
        <f t="shared" ref="E2487:E2497" si="41">LEN(B2487)</f>
        <v>13</v>
      </c>
      <c r="F2487" t="s">
        <v>821</v>
      </c>
      <c r="G2487">
        <v>0</v>
      </c>
    </row>
    <row r="2488" spans="1:7">
      <c r="A2488">
        <v>11</v>
      </c>
      <c r="B2488" t="s">
        <v>7002</v>
      </c>
      <c r="C2488" t="s">
        <v>6699</v>
      </c>
      <c r="D2488">
        <v>11</v>
      </c>
      <c r="E2488">
        <f t="shared" si="41"/>
        <v>13</v>
      </c>
      <c r="F2488" t="s">
        <v>821</v>
      </c>
      <c r="G2488">
        <v>0</v>
      </c>
    </row>
    <row r="2489" spans="1:7">
      <c r="A2489">
        <v>11</v>
      </c>
      <c r="B2489" t="s">
        <v>7003</v>
      </c>
      <c r="C2489" t="s">
        <v>6693</v>
      </c>
      <c r="D2489">
        <v>11</v>
      </c>
      <c r="E2489">
        <f t="shared" si="41"/>
        <v>13</v>
      </c>
      <c r="F2489" t="s">
        <v>822</v>
      </c>
      <c r="G2489">
        <v>0</v>
      </c>
    </row>
    <row r="2490" spans="1:7">
      <c r="A2490">
        <v>11</v>
      </c>
      <c r="B2490" t="s">
        <v>1461</v>
      </c>
      <c r="C2490" t="s">
        <v>1462</v>
      </c>
      <c r="D2490">
        <v>11</v>
      </c>
      <c r="E2490">
        <f t="shared" si="41"/>
        <v>12</v>
      </c>
      <c r="F2490" t="s">
        <v>821</v>
      </c>
      <c r="G2490">
        <v>0</v>
      </c>
    </row>
    <row r="2491" spans="1:7">
      <c r="A2491">
        <v>11</v>
      </c>
      <c r="B2491" t="s">
        <v>1452</v>
      </c>
      <c r="C2491" t="s">
        <v>10319</v>
      </c>
      <c r="D2491">
        <v>11</v>
      </c>
      <c r="E2491">
        <f t="shared" si="41"/>
        <v>12</v>
      </c>
      <c r="F2491" t="s">
        <v>822</v>
      </c>
      <c r="G2491">
        <v>0</v>
      </c>
    </row>
    <row r="2492" spans="1:7">
      <c r="A2492">
        <v>11</v>
      </c>
      <c r="B2492" t="s">
        <v>1930</v>
      </c>
      <c r="C2492" t="s">
        <v>1930</v>
      </c>
      <c r="D2492">
        <v>11</v>
      </c>
      <c r="E2492">
        <f t="shared" si="41"/>
        <v>12</v>
      </c>
      <c r="F2492" t="s">
        <v>821</v>
      </c>
      <c r="G2492">
        <v>0</v>
      </c>
    </row>
    <row r="2493" spans="1:7">
      <c r="A2493">
        <v>11</v>
      </c>
      <c r="B2493" t="s">
        <v>6998</v>
      </c>
      <c r="C2493" t="s">
        <v>10314</v>
      </c>
      <c r="D2493">
        <v>11</v>
      </c>
      <c r="E2493">
        <f t="shared" si="41"/>
        <v>12</v>
      </c>
      <c r="F2493" t="s">
        <v>1420</v>
      </c>
      <c r="G2493">
        <v>0</v>
      </c>
    </row>
    <row r="2494" spans="1:7">
      <c r="A2494">
        <v>11</v>
      </c>
      <c r="B2494" t="s">
        <v>7009</v>
      </c>
      <c r="C2494" t="s">
        <v>7018</v>
      </c>
      <c r="D2494">
        <v>11</v>
      </c>
      <c r="E2494">
        <f t="shared" si="41"/>
        <v>12</v>
      </c>
      <c r="F2494" t="s">
        <v>821</v>
      </c>
      <c r="G2494">
        <v>0</v>
      </c>
    </row>
    <row r="2495" spans="1:7">
      <c r="A2495">
        <v>11</v>
      </c>
      <c r="B2495" t="s">
        <v>7010</v>
      </c>
      <c r="C2495" t="s">
        <v>7019</v>
      </c>
      <c r="D2495">
        <v>11</v>
      </c>
      <c r="E2495">
        <f t="shared" si="41"/>
        <v>12</v>
      </c>
      <c r="F2495" t="s">
        <v>821</v>
      </c>
      <c r="G2495">
        <v>0</v>
      </c>
    </row>
    <row r="2496" spans="1:7">
      <c r="A2496">
        <v>11</v>
      </c>
      <c r="B2496" t="s">
        <v>7012</v>
      </c>
      <c r="C2496" t="s">
        <v>6683</v>
      </c>
      <c r="D2496">
        <v>11</v>
      </c>
      <c r="E2496">
        <f t="shared" si="41"/>
        <v>12</v>
      </c>
      <c r="F2496" t="s">
        <v>821</v>
      </c>
      <c r="G2496">
        <v>0</v>
      </c>
    </row>
    <row r="2497" spans="1:7">
      <c r="A2497">
        <v>11</v>
      </c>
      <c r="B2497" t="s">
        <v>1453</v>
      </c>
      <c r="C2497" t="s">
        <v>6653</v>
      </c>
      <c r="D2497">
        <v>11</v>
      </c>
      <c r="E2497">
        <f t="shared" si="41"/>
        <v>11</v>
      </c>
      <c r="F2497" t="s">
        <v>821</v>
      </c>
      <c r="G2497">
        <v>0</v>
      </c>
    </row>
    <row r="2498" spans="1:7">
      <c r="A2498">
        <v>11</v>
      </c>
      <c r="B2498" t="s">
        <v>10318</v>
      </c>
      <c r="C2498" t="s">
        <v>10317</v>
      </c>
      <c r="D2498">
        <v>11</v>
      </c>
      <c r="E2498">
        <v>11</v>
      </c>
      <c r="F2498" t="s">
        <v>6979</v>
      </c>
      <c r="G2498">
        <v>0</v>
      </c>
    </row>
    <row r="2499" spans="1:7">
      <c r="A2499">
        <v>11</v>
      </c>
      <c r="B2499" t="s">
        <v>6995</v>
      </c>
      <c r="C2499" t="s">
        <v>6660</v>
      </c>
      <c r="D2499">
        <v>11</v>
      </c>
      <c r="E2499">
        <f t="shared" ref="E2499:E2537" si="42">LEN(B2499)</f>
        <v>11</v>
      </c>
      <c r="F2499" t="s">
        <v>821</v>
      </c>
      <c r="G2499">
        <v>0</v>
      </c>
    </row>
    <row r="2500" spans="1:7">
      <c r="A2500">
        <v>11</v>
      </c>
      <c r="B2500" t="s">
        <v>6999</v>
      </c>
      <c r="C2500" t="s">
        <v>6661</v>
      </c>
      <c r="D2500">
        <v>11</v>
      </c>
      <c r="E2500">
        <f t="shared" si="42"/>
        <v>11</v>
      </c>
      <c r="F2500" t="s">
        <v>821</v>
      </c>
      <c r="G2500">
        <v>0</v>
      </c>
    </row>
    <row r="2501" spans="1:7">
      <c r="A2501">
        <v>11</v>
      </c>
      <c r="B2501" t="s">
        <v>7000</v>
      </c>
      <c r="C2501" t="s">
        <v>6689</v>
      </c>
      <c r="D2501">
        <v>11</v>
      </c>
      <c r="E2501">
        <f t="shared" si="42"/>
        <v>11</v>
      </c>
      <c r="F2501" t="s">
        <v>821</v>
      </c>
      <c r="G2501">
        <v>0</v>
      </c>
    </row>
    <row r="2502" spans="1:7">
      <c r="A2502">
        <v>11</v>
      </c>
      <c r="B2502" t="s">
        <v>7001</v>
      </c>
      <c r="C2502" t="s">
        <v>6697</v>
      </c>
      <c r="D2502">
        <v>11</v>
      </c>
      <c r="E2502">
        <f t="shared" si="42"/>
        <v>11</v>
      </c>
      <c r="F2502" t="s">
        <v>821</v>
      </c>
      <c r="G2502">
        <v>0</v>
      </c>
    </row>
    <row r="2503" spans="1:7">
      <c r="A2503">
        <v>11</v>
      </c>
      <c r="B2503" t="s">
        <v>7007</v>
      </c>
      <c r="C2503" t="s">
        <v>7017</v>
      </c>
      <c r="D2503">
        <v>11</v>
      </c>
      <c r="E2503">
        <f t="shared" si="42"/>
        <v>11</v>
      </c>
      <c r="F2503" t="s">
        <v>822</v>
      </c>
      <c r="G2503">
        <v>0</v>
      </c>
    </row>
    <row r="2504" spans="1:7">
      <c r="A2504">
        <v>11</v>
      </c>
      <c r="B2504" t="s">
        <v>1464</v>
      </c>
      <c r="C2504" t="s">
        <v>60</v>
      </c>
      <c r="D2504">
        <v>11</v>
      </c>
      <c r="E2504">
        <f t="shared" si="42"/>
        <v>10</v>
      </c>
      <c r="F2504" t="s">
        <v>821</v>
      </c>
      <c r="G2504">
        <v>0</v>
      </c>
    </row>
    <row r="2505" spans="1:7">
      <c r="A2505">
        <v>11</v>
      </c>
      <c r="B2505" t="s">
        <v>1837</v>
      </c>
      <c r="C2505" t="s">
        <v>123</v>
      </c>
      <c r="D2505">
        <v>11</v>
      </c>
      <c r="E2505">
        <f t="shared" si="42"/>
        <v>10</v>
      </c>
      <c r="F2505" t="s">
        <v>821</v>
      </c>
      <c r="G2505">
        <v>0</v>
      </c>
    </row>
    <row r="2506" spans="1:7">
      <c r="A2506">
        <v>11</v>
      </c>
      <c r="B2506" t="s">
        <v>1919</v>
      </c>
      <c r="C2506" t="s">
        <v>129</v>
      </c>
      <c r="D2506">
        <v>11</v>
      </c>
      <c r="E2506">
        <f t="shared" si="42"/>
        <v>10</v>
      </c>
      <c r="F2506" t="s">
        <v>821</v>
      </c>
      <c r="G2506">
        <v>0</v>
      </c>
    </row>
    <row r="2507" spans="1:7">
      <c r="A2507">
        <v>11</v>
      </c>
      <c r="B2507" t="s">
        <v>1463</v>
      </c>
      <c r="C2507" t="s">
        <v>6720</v>
      </c>
      <c r="D2507">
        <v>11</v>
      </c>
      <c r="E2507">
        <f t="shared" si="42"/>
        <v>10</v>
      </c>
      <c r="G2507">
        <v>0</v>
      </c>
    </row>
    <row r="2508" spans="1:7">
      <c r="A2508">
        <v>11</v>
      </c>
      <c r="B2508" t="s">
        <v>7004</v>
      </c>
      <c r="C2508" t="s">
        <v>1150</v>
      </c>
      <c r="D2508">
        <v>11</v>
      </c>
      <c r="E2508">
        <f t="shared" si="42"/>
        <v>10</v>
      </c>
      <c r="F2508" t="s">
        <v>824</v>
      </c>
      <c r="G2508">
        <v>0</v>
      </c>
    </row>
    <row r="2509" spans="1:7">
      <c r="A2509">
        <v>11</v>
      </c>
      <c r="B2509" t="s">
        <v>1059</v>
      </c>
      <c r="C2509" t="s">
        <v>1059</v>
      </c>
      <c r="D2509">
        <v>11</v>
      </c>
      <c r="E2509">
        <f t="shared" si="42"/>
        <v>9</v>
      </c>
      <c r="F2509" t="s">
        <v>821</v>
      </c>
      <c r="G2509">
        <v>0</v>
      </c>
    </row>
    <row r="2510" spans="1:7">
      <c r="A2510">
        <v>11</v>
      </c>
      <c r="B2510" t="s">
        <v>1839</v>
      </c>
      <c r="C2510" t="s">
        <v>1840</v>
      </c>
      <c r="D2510">
        <v>11</v>
      </c>
      <c r="E2510">
        <f t="shared" si="42"/>
        <v>9</v>
      </c>
      <c r="F2510" t="s">
        <v>821</v>
      </c>
      <c r="G2510">
        <v>0</v>
      </c>
    </row>
    <row r="2511" spans="1:7">
      <c r="A2511">
        <v>11</v>
      </c>
      <c r="B2511" t="s">
        <v>1913</v>
      </c>
      <c r="C2511" t="s">
        <v>114</v>
      </c>
      <c r="D2511">
        <v>11</v>
      </c>
      <c r="E2511">
        <f t="shared" si="42"/>
        <v>9</v>
      </c>
      <c r="F2511" t="s">
        <v>821</v>
      </c>
      <c r="G2511">
        <v>0</v>
      </c>
    </row>
    <row r="2512" spans="1:7">
      <c r="A2512">
        <v>11</v>
      </c>
      <c r="B2512" t="s">
        <v>1915</v>
      </c>
      <c r="C2512" t="s">
        <v>1916</v>
      </c>
      <c r="D2512">
        <v>11</v>
      </c>
      <c r="E2512">
        <f t="shared" si="42"/>
        <v>9</v>
      </c>
      <c r="F2512" t="s">
        <v>821</v>
      </c>
      <c r="G2512">
        <v>0</v>
      </c>
    </row>
    <row r="2513" spans="1:7">
      <c r="A2513">
        <v>11</v>
      </c>
      <c r="B2513" t="s">
        <v>1440</v>
      </c>
      <c r="C2513" t="s">
        <v>6426</v>
      </c>
      <c r="D2513">
        <v>11</v>
      </c>
      <c r="E2513">
        <f t="shared" si="42"/>
        <v>9</v>
      </c>
      <c r="F2513" t="s">
        <v>821</v>
      </c>
      <c r="G2513">
        <v>0</v>
      </c>
    </row>
    <row r="2514" spans="1:7">
      <c r="A2514">
        <v>11</v>
      </c>
      <c r="B2514" t="s">
        <v>1455</v>
      </c>
      <c r="C2514" t="s">
        <v>10311</v>
      </c>
      <c r="D2514">
        <v>11</v>
      </c>
      <c r="E2514">
        <f t="shared" si="42"/>
        <v>9</v>
      </c>
      <c r="F2514" t="s">
        <v>821</v>
      </c>
      <c r="G2514">
        <v>0</v>
      </c>
    </row>
    <row r="2515" spans="1:7">
      <c r="A2515">
        <v>11</v>
      </c>
      <c r="B2515" t="s">
        <v>6994</v>
      </c>
      <c r="C2515" t="s">
        <v>6691</v>
      </c>
      <c r="D2515">
        <v>11</v>
      </c>
      <c r="E2515">
        <f t="shared" si="42"/>
        <v>9</v>
      </c>
      <c r="G2515">
        <v>0</v>
      </c>
    </row>
    <row r="2516" spans="1:7">
      <c r="A2516">
        <v>11</v>
      </c>
      <c r="B2516" t="s">
        <v>6997</v>
      </c>
      <c r="C2516" t="s">
        <v>6670</v>
      </c>
      <c r="D2516">
        <v>11</v>
      </c>
      <c r="E2516">
        <f t="shared" si="42"/>
        <v>9</v>
      </c>
      <c r="G2516">
        <v>0</v>
      </c>
    </row>
    <row r="2517" spans="1:7">
      <c r="A2517">
        <v>11</v>
      </c>
      <c r="B2517" t="s">
        <v>7005</v>
      </c>
      <c r="C2517" t="s">
        <v>7015</v>
      </c>
      <c r="D2517">
        <v>11</v>
      </c>
      <c r="E2517">
        <f t="shared" si="42"/>
        <v>9</v>
      </c>
      <c r="F2517" t="s">
        <v>822</v>
      </c>
      <c r="G2517">
        <v>0</v>
      </c>
    </row>
    <row r="2518" spans="1:7">
      <c r="A2518">
        <v>11</v>
      </c>
      <c r="B2518" t="s">
        <v>7006</v>
      </c>
      <c r="C2518" t="s">
        <v>7016</v>
      </c>
      <c r="D2518">
        <v>11</v>
      </c>
      <c r="E2518">
        <f t="shared" si="42"/>
        <v>9</v>
      </c>
      <c r="F2518" t="s">
        <v>1420</v>
      </c>
      <c r="G2518">
        <v>0</v>
      </c>
    </row>
    <row r="2519" spans="1:7">
      <c r="A2519">
        <v>11</v>
      </c>
      <c r="B2519" t="s">
        <v>7021</v>
      </c>
      <c r="C2519" t="s">
        <v>6359</v>
      </c>
      <c r="D2519">
        <v>11</v>
      </c>
      <c r="E2519">
        <f t="shared" si="42"/>
        <v>9</v>
      </c>
      <c r="F2519" t="s">
        <v>821</v>
      </c>
      <c r="G2519">
        <v>0</v>
      </c>
    </row>
    <row r="2520" spans="1:7">
      <c r="A2520">
        <v>11</v>
      </c>
      <c r="B2520" t="s">
        <v>1456</v>
      </c>
      <c r="C2520" t="s">
        <v>10320</v>
      </c>
      <c r="E2520">
        <f t="shared" si="42"/>
        <v>9</v>
      </c>
      <c r="G2520">
        <v>0</v>
      </c>
    </row>
    <row r="2521" spans="1:7">
      <c r="A2521">
        <v>11</v>
      </c>
      <c r="B2521" t="s">
        <v>1918</v>
      </c>
      <c r="C2521" t="s">
        <v>39</v>
      </c>
      <c r="D2521">
        <v>11</v>
      </c>
      <c r="E2521">
        <f t="shared" si="42"/>
        <v>8</v>
      </c>
      <c r="F2521" t="s">
        <v>821</v>
      </c>
      <c r="G2521">
        <v>0</v>
      </c>
    </row>
    <row r="2522" spans="1:7">
      <c r="A2522">
        <v>11</v>
      </c>
      <c r="B2522" t="s">
        <v>1465</v>
      </c>
      <c r="C2522" t="s">
        <v>1466</v>
      </c>
      <c r="D2522">
        <v>11</v>
      </c>
      <c r="E2522">
        <f t="shared" si="42"/>
        <v>8</v>
      </c>
      <c r="F2522" t="s">
        <v>821</v>
      </c>
      <c r="G2522">
        <v>0</v>
      </c>
    </row>
    <row r="2523" spans="1:7">
      <c r="A2523">
        <v>11</v>
      </c>
      <c r="B2523" t="s">
        <v>1847</v>
      </c>
      <c r="C2523" t="s">
        <v>897</v>
      </c>
      <c r="D2523">
        <v>11</v>
      </c>
      <c r="E2523">
        <f t="shared" si="42"/>
        <v>8</v>
      </c>
      <c r="F2523" t="s">
        <v>821</v>
      </c>
      <c r="G2523">
        <v>0</v>
      </c>
    </row>
    <row r="2524" spans="1:7">
      <c r="A2524">
        <v>11</v>
      </c>
      <c r="B2524" t="s">
        <v>1845</v>
      </c>
      <c r="C2524" t="s">
        <v>1846</v>
      </c>
      <c r="D2524">
        <v>11</v>
      </c>
      <c r="E2524">
        <f t="shared" si="42"/>
        <v>8</v>
      </c>
      <c r="F2524" t="s">
        <v>821</v>
      </c>
      <c r="G2524">
        <v>0</v>
      </c>
    </row>
    <row r="2525" spans="1:7">
      <c r="A2525">
        <v>11</v>
      </c>
      <c r="B2525" t="s">
        <v>7008</v>
      </c>
      <c r="C2525" t="s">
        <v>823</v>
      </c>
      <c r="D2525">
        <v>11</v>
      </c>
      <c r="E2525">
        <f t="shared" si="42"/>
        <v>8</v>
      </c>
      <c r="F2525" t="s">
        <v>821</v>
      </c>
      <c r="G2525">
        <v>0</v>
      </c>
    </row>
    <row r="2526" spans="1:7">
      <c r="A2526">
        <v>11</v>
      </c>
      <c r="B2526" t="s">
        <v>7011</v>
      </c>
      <c r="C2526" t="s">
        <v>10321</v>
      </c>
      <c r="D2526">
        <v>11</v>
      </c>
      <c r="E2526">
        <f t="shared" si="42"/>
        <v>8</v>
      </c>
      <c r="F2526" t="s">
        <v>821</v>
      </c>
      <c r="G2526">
        <v>0</v>
      </c>
    </row>
    <row r="2527" spans="1:7">
      <c r="A2527">
        <v>11</v>
      </c>
      <c r="B2527" t="s">
        <v>7013</v>
      </c>
      <c r="C2527" t="s">
        <v>7020</v>
      </c>
      <c r="D2527">
        <v>11</v>
      </c>
      <c r="E2527">
        <f t="shared" si="42"/>
        <v>8</v>
      </c>
      <c r="F2527" t="s">
        <v>821</v>
      </c>
      <c r="G2527">
        <v>0</v>
      </c>
    </row>
    <row r="2528" spans="1:7">
      <c r="A2528">
        <v>11</v>
      </c>
      <c r="B2528" t="s">
        <v>1920</v>
      </c>
      <c r="C2528" t="s">
        <v>1921</v>
      </c>
      <c r="D2528">
        <v>11</v>
      </c>
      <c r="E2528">
        <f t="shared" si="42"/>
        <v>7</v>
      </c>
      <c r="F2528" t="s">
        <v>1420</v>
      </c>
      <c r="G2528">
        <v>0</v>
      </c>
    </row>
    <row r="2529" spans="1:7">
      <c r="A2529">
        <v>11</v>
      </c>
      <c r="B2529" t="s">
        <v>1852</v>
      </c>
      <c r="C2529" t="s">
        <v>841</v>
      </c>
      <c r="D2529">
        <v>11</v>
      </c>
      <c r="E2529">
        <f t="shared" si="42"/>
        <v>7</v>
      </c>
      <c r="F2529" t="s">
        <v>822</v>
      </c>
      <c r="G2529">
        <v>0</v>
      </c>
    </row>
    <row r="2530" spans="1:7">
      <c r="A2530">
        <v>11</v>
      </c>
      <c r="B2530" t="s">
        <v>1850</v>
      </c>
      <c r="C2530" t="s">
        <v>1851</v>
      </c>
      <c r="D2530">
        <v>11</v>
      </c>
      <c r="E2530">
        <f t="shared" si="42"/>
        <v>7</v>
      </c>
      <c r="F2530" t="s">
        <v>821</v>
      </c>
      <c r="G2530">
        <v>0</v>
      </c>
    </row>
    <row r="2531" spans="1:7">
      <c r="A2531">
        <v>11</v>
      </c>
      <c r="B2531" t="s">
        <v>6996</v>
      </c>
      <c r="C2531" t="s">
        <v>6560</v>
      </c>
      <c r="D2531">
        <v>11</v>
      </c>
      <c r="E2531">
        <f t="shared" si="42"/>
        <v>7</v>
      </c>
      <c r="F2531" t="s">
        <v>821</v>
      </c>
      <c r="G2531">
        <v>0</v>
      </c>
    </row>
    <row r="2532" spans="1:7">
      <c r="A2532">
        <v>11</v>
      </c>
      <c r="B2532" t="s">
        <v>1923</v>
      </c>
      <c r="C2532" t="s">
        <v>1923</v>
      </c>
      <c r="D2532">
        <v>11</v>
      </c>
      <c r="E2532">
        <f t="shared" si="42"/>
        <v>6</v>
      </c>
      <c r="F2532" t="s">
        <v>821</v>
      </c>
      <c r="G2532">
        <v>0</v>
      </c>
    </row>
    <row r="2533" spans="1:7">
      <c r="A2533">
        <v>11</v>
      </c>
      <c r="B2533" t="s">
        <v>1853</v>
      </c>
      <c r="C2533" t="s">
        <v>1854</v>
      </c>
      <c r="D2533">
        <v>11</v>
      </c>
      <c r="E2533">
        <f t="shared" si="42"/>
        <v>6</v>
      </c>
      <c r="F2533" t="s">
        <v>821</v>
      </c>
      <c r="G2533">
        <v>0</v>
      </c>
    </row>
    <row r="2534" spans="1:7">
      <c r="A2534">
        <v>11</v>
      </c>
      <c r="B2534" t="s">
        <v>1855</v>
      </c>
      <c r="C2534" t="s">
        <v>1855</v>
      </c>
      <c r="D2534">
        <v>11</v>
      </c>
      <c r="E2534">
        <f t="shared" si="42"/>
        <v>5</v>
      </c>
      <c r="F2534" t="s">
        <v>821</v>
      </c>
      <c r="G2534">
        <v>0</v>
      </c>
    </row>
    <row r="2535" spans="1:7">
      <c r="A2535">
        <v>11</v>
      </c>
      <c r="B2535" t="s">
        <v>1052</v>
      </c>
      <c r="C2535" t="s">
        <v>1052</v>
      </c>
      <c r="D2535">
        <v>11</v>
      </c>
      <c r="E2535">
        <f t="shared" si="42"/>
        <v>4</v>
      </c>
      <c r="F2535" t="s">
        <v>821</v>
      </c>
      <c r="G2535">
        <v>0</v>
      </c>
    </row>
    <row r="2536" spans="1:7">
      <c r="A2536">
        <v>15</v>
      </c>
      <c r="B2536">
        <v>13</v>
      </c>
      <c r="C2536">
        <v>13</v>
      </c>
      <c r="D2536">
        <v>15</v>
      </c>
      <c r="E2536">
        <f t="shared" si="42"/>
        <v>2</v>
      </c>
      <c r="F2536" t="s">
        <v>821</v>
      </c>
      <c r="G2536">
        <v>0</v>
      </c>
    </row>
    <row r="2537" spans="1:7">
      <c r="A2537">
        <v>99</v>
      </c>
      <c r="B2537" t="s">
        <v>5519</v>
      </c>
      <c r="C2537" t="s">
        <v>5520</v>
      </c>
      <c r="D2537">
        <v>99</v>
      </c>
      <c r="E2537">
        <f t="shared" si="42"/>
        <v>16</v>
      </c>
      <c r="F2537" t="s">
        <v>821</v>
      </c>
      <c r="G2537">
        <v>0</v>
      </c>
    </row>
  </sheetData>
  <sortState xmlns:xlrd2="http://schemas.microsoft.com/office/spreadsheetml/2017/richdata2" ref="A2:G2537">
    <sortCondition ref="A2:A2537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2AA64-FA65-4FBC-AAA3-558300A85BDC}">
          <x14:formula1>
            <xm:f>CATEGORY!$B$3:$B$43</xm:f>
          </x14:formula1>
          <xm:sqref>I1497:I1856 F1768:F1048576 F1093:F1410 F1:F1092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AFD8-64E0-4F98-8ABC-A0350062ECDD}">
  <dimension ref="I181:J254"/>
  <sheetViews>
    <sheetView workbookViewId="0">
      <selection activeCell="G20" sqref="G20"/>
    </sheetView>
  </sheetViews>
  <sheetFormatPr defaultRowHeight="16"/>
  <cols>
    <col min="2" max="2" width="11.83203125" customWidth="1"/>
    <col min="9" max="9" width="22.75" customWidth="1"/>
    <col min="10" max="10" width="27.33203125" customWidth="1"/>
  </cols>
  <sheetData>
    <row r="181" spans="9:9">
      <c r="I181" s="14"/>
    </row>
    <row r="206" spans="9:9">
      <c r="I206" s="25"/>
    </row>
    <row r="215" spans="9:10">
      <c r="I215" s="26"/>
      <c r="J215" s="26"/>
    </row>
    <row r="216" spans="9:10">
      <c r="I216" s="26"/>
      <c r="J216" s="26"/>
    </row>
    <row r="254" spans="9:10">
      <c r="I254" s="26"/>
      <c r="J254" s="26"/>
    </row>
  </sheetData>
  <sortState xmlns:xlrd2="http://schemas.microsoft.com/office/spreadsheetml/2017/richdata2" ref="H1:J910">
    <sortCondition ref="H1:H910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2AA64-FA65-4FBC-AAA3-558300A85BDC}">
          <x14:formula1>
            <xm:f>CATEGORY!$B$3:$B$43</xm:f>
          </x14:formula1>
          <xm:sqref>F1:F56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47CF-A670-421D-9FB8-7AA7F390A728}">
  <dimension ref="A1:O3046"/>
  <sheetViews>
    <sheetView topLeftCell="A2633" workbookViewId="0">
      <selection activeCell="C2653" sqref="C2653"/>
    </sheetView>
  </sheetViews>
  <sheetFormatPr defaultRowHeight="15" customHeight="1"/>
  <cols>
    <col min="1" max="1" width="25.58203125" customWidth="1"/>
    <col min="2" max="2" width="35.83203125" customWidth="1"/>
    <col min="3" max="3" width="40.83203125" customWidth="1"/>
    <col min="4" max="4" width="16.33203125" customWidth="1"/>
    <col min="5" max="5" width="8.58203125" customWidth="1"/>
    <col min="6" max="6" width="12.33203125" customWidth="1"/>
    <col min="12" max="12" width="4.75" customWidth="1"/>
    <col min="13" max="13" width="18.83203125" customWidth="1"/>
  </cols>
  <sheetData>
    <row r="1" spans="1:15" ht="15" customHeight="1">
      <c r="A1" t="s">
        <v>806</v>
      </c>
      <c r="B1" s="1" t="s">
        <v>740</v>
      </c>
      <c r="C1" s="1" t="s">
        <v>741</v>
      </c>
      <c r="D1" t="s">
        <v>10386</v>
      </c>
    </row>
    <row r="2" spans="1:15" ht="15" customHeight="1">
      <c r="A2">
        <v>1</v>
      </c>
      <c r="B2" t="s">
        <v>865</v>
      </c>
      <c r="C2" t="s">
        <v>10371</v>
      </c>
      <c r="D2">
        <v>1</v>
      </c>
    </row>
    <row r="3" spans="1:15" ht="15" customHeight="1">
      <c r="A3">
        <v>1</v>
      </c>
      <c r="B3" s="15" t="s">
        <v>1493</v>
      </c>
      <c r="C3" t="s">
        <v>6540</v>
      </c>
      <c r="D3">
        <v>1</v>
      </c>
    </row>
    <row r="4" spans="1:15" ht="15" customHeight="1">
      <c r="A4">
        <v>1</v>
      </c>
      <c r="B4" t="s">
        <v>1971</v>
      </c>
      <c r="C4" t="s">
        <v>5045</v>
      </c>
      <c r="D4">
        <v>1</v>
      </c>
    </row>
    <row r="5" spans="1:15" ht="15" customHeight="1">
      <c r="A5">
        <v>1</v>
      </c>
      <c r="B5" s="11" t="s">
        <v>1469</v>
      </c>
      <c r="C5" t="s">
        <v>5071</v>
      </c>
      <c r="D5">
        <v>1</v>
      </c>
      <c r="O5" s="2"/>
    </row>
    <row r="6" spans="1:15" ht="15" customHeight="1">
      <c r="A6">
        <v>1</v>
      </c>
      <c r="B6" s="12" t="s">
        <v>1470</v>
      </c>
      <c r="C6" t="s">
        <v>1471</v>
      </c>
      <c r="D6">
        <v>1</v>
      </c>
    </row>
    <row r="7" spans="1:15" ht="15" customHeight="1">
      <c r="A7">
        <v>1</v>
      </c>
      <c r="B7" s="22" t="s">
        <v>1482</v>
      </c>
      <c r="C7" t="s">
        <v>10392</v>
      </c>
      <c r="D7">
        <v>1</v>
      </c>
      <c r="O7" s="2"/>
    </row>
    <row r="8" spans="1:15" ht="15" customHeight="1">
      <c r="A8">
        <v>1</v>
      </c>
      <c r="B8" s="10" t="s">
        <v>1500</v>
      </c>
      <c r="C8" t="s">
        <v>1501</v>
      </c>
      <c r="D8">
        <v>1</v>
      </c>
    </row>
    <row r="9" spans="1:15" ht="15" customHeight="1">
      <c r="A9">
        <v>1</v>
      </c>
      <c r="B9" s="22" t="s">
        <v>749</v>
      </c>
      <c r="C9" t="s">
        <v>10382</v>
      </c>
      <c r="D9">
        <v>1</v>
      </c>
      <c r="O9" s="2"/>
    </row>
    <row r="10" spans="1:15" ht="15" customHeight="1">
      <c r="A10">
        <v>1</v>
      </c>
      <c r="B10" s="14" t="s">
        <v>746</v>
      </c>
      <c r="C10" t="s">
        <v>5075</v>
      </c>
      <c r="D10">
        <v>1</v>
      </c>
    </row>
    <row r="11" spans="1:15" ht="15" customHeight="1">
      <c r="A11">
        <v>1</v>
      </c>
      <c r="B11" s="6" t="s">
        <v>1483</v>
      </c>
      <c r="C11" t="s">
        <v>1484</v>
      </c>
      <c r="D11">
        <v>1</v>
      </c>
      <c r="O11" s="2"/>
    </row>
    <row r="12" spans="1:15" ht="15" customHeight="1">
      <c r="A12">
        <v>1</v>
      </c>
      <c r="B12" s="21" t="s">
        <v>1474</v>
      </c>
      <c r="C12" t="s">
        <v>1475</v>
      </c>
      <c r="D12">
        <v>1</v>
      </c>
    </row>
    <row r="13" spans="1:15" ht="15" customHeight="1">
      <c r="A13">
        <v>1</v>
      </c>
      <c r="B13" s="13" t="s">
        <v>1472</v>
      </c>
      <c r="C13" t="s">
        <v>1473</v>
      </c>
      <c r="D13">
        <v>1</v>
      </c>
    </row>
    <row r="14" spans="1:15" ht="15" customHeight="1">
      <c r="A14">
        <v>1</v>
      </c>
      <c r="B14" s="17" t="s">
        <v>898</v>
      </c>
      <c r="C14" t="s">
        <v>5077</v>
      </c>
      <c r="D14">
        <v>1</v>
      </c>
      <c r="O14" s="2"/>
    </row>
    <row r="15" spans="1:15" ht="15" customHeight="1">
      <c r="A15">
        <v>1</v>
      </c>
      <c r="B15" s="12" t="s">
        <v>1496</v>
      </c>
      <c r="C15" t="s">
        <v>1497</v>
      </c>
      <c r="D15">
        <v>1</v>
      </c>
    </row>
    <row r="16" spans="1:15" ht="15" customHeight="1">
      <c r="A16">
        <v>1</v>
      </c>
      <c r="B16" s="6" t="s">
        <v>1510</v>
      </c>
      <c r="C16" t="s">
        <v>6458</v>
      </c>
      <c r="D16">
        <v>1</v>
      </c>
      <c r="O16" s="2"/>
    </row>
    <row r="17" spans="1:15" ht="15" customHeight="1">
      <c r="A17">
        <v>1</v>
      </c>
      <c r="B17" s="13" t="s">
        <v>942</v>
      </c>
      <c r="C17" t="s">
        <v>1485</v>
      </c>
      <c r="D17">
        <v>1</v>
      </c>
    </row>
    <row r="18" spans="1:15" ht="19.5" customHeight="1">
      <c r="A18">
        <v>1</v>
      </c>
      <c r="B18" t="s">
        <v>1085</v>
      </c>
      <c r="C18" t="s">
        <v>1972</v>
      </c>
      <c r="D18">
        <v>1</v>
      </c>
      <c r="O18" s="2"/>
    </row>
    <row r="19" spans="1:15" ht="15" customHeight="1">
      <c r="A19">
        <v>1</v>
      </c>
      <c r="B19" s="14" t="s">
        <v>1513</v>
      </c>
      <c r="C19" t="s">
        <v>5081</v>
      </c>
      <c r="D19">
        <v>1</v>
      </c>
    </row>
    <row r="20" spans="1:15" ht="15" customHeight="1">
      <c r="A20">
        <v>1</v>
      </c>
      <c r="B20" s="21" t="s">
        <v>876</v>
      </c>
      <c r="C20" t="s">
        <v>1516</v>
      </c>
      <c r="D20">
        <v>1</v>
      </c>
    </row>
    <row r="21" spans="1:15" ht="15" customHeight="1">
      <c r="A21">
        <v>1</v>
      </c>
      <c r="B21" s="10" t="s">
        <v>1498</v>
      </c>
      <c r="C21" t="s">
        <v>1499</v>
      </c>
      <c r="D21">
        <v>1</v>
      </c>
    </row>
    <row r="22" spans="1:15" ht="15" customHeight="1">
      <c r="A22">
        <v>1</v>
      </c>
      <c r="B22" s="21" t="s">
        <v>761</v>
      </c>
      <c r="C22" t="s">
        <v>1514</v>
      </c>
      <c r="D22">
        <v>1</v>
      </c>
    </row>
    <row r="23" spans="1:15" ht="15" customHeight="1">
      <c r="A23">
        <v>1</v>
      </c>
      <c r="B23" s="6" t="s">
        <v>1481</v>
      </c>
      <c r="C23" t="s">
        <v>5083</v>
      </c>
      <c r="D23">
        <v>1</v>
      </c>
    </row>
    <row r="24" spans="1:15" ht="15" customHeight="1">
      <c r="A24">
        <v>1</v>
      </c>
      <c r="B24" s="21" t="s">
        <v>1467</v>
      </c>
      <c r="C24" t="s">
        <v>10827</v>
      </c>
      <c r="D24">
        <v>1</v>
      </c>
    </row>
    <row r="25" spans="1:15" ht="15" customHeight="1">
      <c r="A25">
        <v>1</v>
      </c>
      <c r="B25" s="13" t="s">
        <v>881</v>
      </c>
      <c r="C25" t="s">
        <v>5465</v>
      </c>
      <c r="D25">
        <v>1</v>
      </c>
      <c r="O25" s="2"/>
    </row>
    <row r="26" spans="1:15" ht="15" customHeight="1">
      <c r="A26">
        <v>1</v>
      </c>
      <c r="B26" t="s">
        <v>867</v>
      </c>
      <c r="C26" t="s">
        <v>5085</v>
      </c>
      <c r="D26">
        <v>1</v>
      </c>
    </row>
    <row r="27" spans="1:15" ht="15" customHeight="1">
      <c r="A27">
        <v>1</v>
      </c>
      <c r="B27" s="11" t="s">
        <v>1478</v>
      </c>
      <c r="C27" t="s">
        <v>5086</v>
      </c>
      <c r="D27">
        <v>1</v>
      </c>
    </row>
    <row r="28" spans="1:15" ht="15" customHeight="1">
      <c r="A28">
        <v>1</v>
      </c>
      <c r="B28" t="s">
        <v>877</v>
      </c>
      <c r="C28" t="s">
        <v>10370</v>
      </c>
      <c r="D28">
        <v>1</v>
      </c>
    </row>
    <row r="29" spans="1:15" ht="15" customHeight="1">
      <c r="A29">
        <v>1</v>
      </c>
      <c r="B29" s="10" t="s">
        <v>1486</v>
      </c>
      <c r="C29" t="s">
        <v>1487</v>
      </c>
      <c r="D29">
        <v>1</v>
      </c>
      <c r="O29" s="2"/>
    </row>
    <row r="30" spans="1:15" ht="15" customHeight="1">
      <c r="A30">
        <v>1</v>
      </c>
      <c r="B30" s="13" t="s">
        <v>798</v>
      </c>
      <c r="C30" t="s">
        <v>10253</v>
      </c>
      <c r="D30">
        <v>1</v>
      </c>
      <c r="O30" s="2"/>
    </row>
    <row r="31" spans="1:15" ht="15" customHeight="1">
      <c r="A31">
        <v>1</v>
      </c>
      <c r="B31" s="23" t="s">
        <v>1491</v>
      </c>
      <c r="C31" t="s">
        <v>1492</v>
      </c>
      <c r="D31">
        <v>1</v>
      </c>
    </row>
    <row r="32" spans="1:15" ht="15" customHeight="1">
      <c r="A32">
        <v>1</v>
      </c>
      <c r="B32" s="16" t="s">
        <v>1494</v>
      </c>
      <c r="C32" t="s">
        <v>1495</v>
      </c>
      <c r="D32">
        <v>1</v>
      </c>
    </row>
    <row r="33" spans="1:15" ht="15" customHeight="1">
      <c r="A33">
        <v>1</v>
      </c>
      <c r="B33" s="11" t="s">
        <v>1508</v>
      </c>
      <c r="C33" t="s">
        <v>1509</v>
      </c>
      <c r="D33">
        <v>1</v>
      </c>
      <c r="O33" s="2"/>
    </row>
    <row r="34" spans="1:15" ht="15" customHeight="1">
      <c r="A34">
        <v>1</v>
      </c>
      <c r="B34" s="22" t="s">
        <v>994</v>
      </c>
      <c r="C34" t="s">
        <v>5088</v>
      </c>
      <c r="D34">
        <v>1</v>
      </c>
    </row>
    <row r="35" spans="1:15" ht="15" customHeight="1">
      <c r="A35">
        <v>1</v>
      </c>
      <c r="B35" s="11" t="s">
        <v>1476</v>
      </c>
      <c r="C35" t="s">
        <v>1477</v>
      </c>
      <c r="D35">
        <v>1</v>
      </c>
    </row>
    <row r="36" spans="1:15" ht="15" customHeight="1">
      <c r="A36">
        <v>1</v>
      </c>
      <c r="B36" s="10" t="s">
        <v>769</v>
      </c>
      <c r="C36" t="s">
        <v>5091</v>
      </c>
      <c r="D36">
        <v>1</v>
      </c>
    </row>
    <row r="37" spans="1:15" ht="15" customHeight="1">
      <c r="A37">
        <v>1</v>
      </c>
      <c r="B37" s="14" t="s">
        <v>1489</v>
      </c>
      <c r="C37" t="s">
        <v>1490</v>
      </c>
      <c r="D37">
        <v>1</v>
      </c>
    </row>
    <row r="38" spans="1:15" ht="15" customHeight="1">
      <c r="A38">
        <v>1</v>
      </c>
      <c r="B38" s="10" t="s">
        <v>882</v>
      </c>
      <c r="C38" t="s">
        <v>1480</v>
      </c>
      <c r="D38">
        <v>1</v>
      </c>
      <c r="O38" s="2"/>
    </row>
    <row r="39" spans="1:15" ht="15" customHeight="1">
      <c r="A39">
        <v>1</v>
      </c>
      <c r="B39" t="s">
        <v>5186</v>
      </c>
      <c r="C39" t="s">
        <v>5186</v>
      </c>
      <c r="D39">
        <v>1</v>
      </c>
    </row>
    <row r="40" spans="1:15" ht="15" customHeight="1">
      <c r="A40">
        <v>1</v>
      </c>
      <c r="B40" t="s">
        <v>5187</v>
      </c>
      <c r="C40" t="s">
        <v>5188</v>
      </c>
      <c r="D40">
        <v>1</v>
      </c>
      <c r="O40" s="2"/>
    </row>
    <row r="41" spans="1:15" ht="15" customHeight="1">
      <c r="A41">
        <v>1</v>
      </c>
      <c r="B41" t="s">
        <v>781</v>
      </c>
      <c r="C41" t="s">
        <v>1976</v>
      </c>
      <c r="D41">
        <v>1</v>
      </c>
    </row>
    <row r="42" spans="1:15" ht="15" customHeight="1">
      <c r="A42">
        <v>1</v>
      </c>
      <c r="B42" t="s">
        <v>792</v>
      </c>
      <c r="C42" t="s">
        <v>1977</v>
      </c>
      <c r="D42">
        <v>1</v>
      </c>
      <c r="O42" s="2"/>
    </row>
    <row r="43" spans="1:15" ht="15" customHeight="1">
      <c r="A43">
        <v>1</v>
      </c>
      <c r="B43" t="s">
        <v>776</v>
      </c>
      <c r="C43" t="s">
        <v>5092</v>
      </c>
      <c r="D43">
        <v>1</v>
      </c>
      <c r="O43" s="2"/>
    </row>
    <row r="44" spans="1:15" ht="15" customHeight="1">
      <c r="A44">
        <v>1</v>
      </c>
      <c r="B44" t="s">
        <v>760</v>
      </c>
      <c r="C44" t="s">
        <v>5069</v>
      </c>
      <c r="D44">
        <v>1</v>
      </c>
      <c r="O44" s="2"/>
    </row>
    <row r="45" spans="1:15" ht="15" customHeight="1">
      <c r="A45">
        <v>1</v>
      </c>
      <c r="B45" t="s">
        <v>1979</v>
      </c>
      <c r="C45" t="s">
        <v>5070</v>
      </c>
      <c r="D45">
        <v>1</v>
      </c>
      <c r="O45" s="2"/>
    </row>
    <row r="46" spans="1:15" ht="15" customHeight="1">
      <c r="A46">
        <v>1</v>
      </c>
      <c r="B46" t="s">
        <v>1981</v>
      </c>
      <c r="C46" t="s">
        <v>1981</v>
      </c>
      <c r="D46">
        <v>1</v>
      </c>
      <c r="O46" s="2"/>
    </row>
    <row r="47" spans="1:15" ht="15" customHeight="1">
      <c r="A47">
        <v>1</v>
      </c>
      <c r="B47" t="s">
        <v>1980</v>
      </c>
      <c r="C47" t="s">
        <v>5076</v>
      </c>
      <c r="D47">
        <v>1</v>
      </c>
    </row>
    <row r="48" spans="1:15" ht="15" customHeight="1">
      <c r="A48">
        <v>1</v>
      </c>
      <c r="B48" t="s">
        <v>803</v>
      </c>
      <c r="C48" t="s">
        <v>803</v>
      </c>
      <c r="D48">
        <v>1</v>
      </c>
      <c r="O48" s="2"/>
    </row>
    <row r="49" spans="1:15" ht="15" customHeight="1">
      <c r="A49">
        <v>1</v>
      </c>
      <c r="B49" t="s">
        <v>4901</v>
      </c>
      <c r="C49" t="s">
        <v>4901</v>
      </c>
      <c r="D49">
        <v>1</v>
      </c>
      <c r="O49" s="2"/>
    </row>
    <row r="50" spans="1:15" ht="15" customHeight="1">
      <c r="A50">
        <v>1</v>
      </c>
      <c r="B50" t="s">
        <v>79</v>
      </c>
      <c r="C50" t="s">
        <v>79</v>
      </c>
      <c r="D50">
        <v>1</v>
      </c>
    </row>
    <row r="51" spans="1:15" ht="15" customHeight="1">
      <c r="A51">
        <v>1</v>
      </c>
      <c r="B51" s="15" t="s">
        <v>995</v>
      </c>
      <c r="C51" t="s">
        <v>5265</v>
      </c>
      <c r="D51">
        <v>1</v>
      </c>
    </row>
    <row r="52" spans="1:15" ht="15" customHeight="1">
      <c r="A52">
        <v>1</v>
      </c>
      <c r="B52" t="s">
        <v>880</v>
      </c>
      <c r="C52" t="s">
        <v>880</v>
      </c>
      <c r="D52">
        <v>1</v>
      </c>
    </row>
    <row r="53" spans="1:15" ht="15" customHeight="1">
      <c r="A53">
        <v>1</v>
      </c>
      <c r="B53" s="24" t="s">
        <v>764</v>
      </c>
      <c r="C53" t="s">
        <v>5068</v>
      </c>
      <c r="D53">
        <v>1</v>
      </c>
      <c r="O53" s="2"/>
    </row>
    <row r="54" spans="1:15" ht="15" customHeight="1">
      <c r="A54">
        <v>1</v>
      </c>
      <c r="B54" t="s">
        <v>1983</v>
      </c>
      <c r="C54" t="s">
        <v>5084</v>
      </c>
      <c r="D54">
        <v>1</v>
      </c>
    </row>
    <row r="55" spans="1:15" ht="15" customHeight="1">
      <c r="A55">
        <v>1</v>
      </c>
      <c r="B55" t="s">
        <v>891</v>
      </c>
      <c r="C55" t="s">
        <v>891</v>
      </c>
      <c r="D55">
        <v>1</v>
      </c>
      <c r="O55" s="2"/>
    </row>
    <row r="56" spans="1:15" ht="15" customHeight="1">
      <c r="A56">
        <v>1</v>
      </c>
      <c r="B56" t="s">
        <v>883</v>
      </c>
      <c r="C56" t="s">
        <v>883</v>
      </c>
      <c r="D56">
        <v>1</v>
      </c>
      <c r="O56" s="2"/>
    </row>
    <row r="57" spans="1:15" ht="15" customHeight="1">
      <c r="A57">
        <v>1</v>
      </c>
      <c r="B57" t="s">
        <v>879</v>
      </c>
      <c r="C57" t="s">
        <v>1994</v>
      </c>
      <c r="D57">
        <v>1</v>
      </c>
    </row>
    <row r="58" spans="1:15" ht="15" customHeight="1">
      <c r="A58">
        <v>1</v>
      </c>
      <c r="B58" t="s">
        <v>5325</v>
      </c>
      <c r="C58" t="s">
        <v>5325</v>
      </c>
      <c r="D58">
        <v>1</v>
      </c>
    </row>
    <row r="59" spans="1:15" ht="15" customHeight="1">
      <c r="A59">
        <v>1</v>
      </c>
      <c r="B59" t="s">
        <v>6733</v>
      </c>
      <c r="C59" t="s">
        <v>6733</v>
      </c>
      <c r="D59">
        <v>1</v>
      </c>
      <c r="O59" s="2"/>
    </row>
    <row r="60" spans="1:15" ht="15" customHeight="1">
      <c r="A60">
        <v>1</v>
      </c>
      <c r="B60" t="s">
        <v>6739</v>
      </c>
      <c r="C60" t="s">
        <v>6739</v>
      </c>
      <c r="D60">
        <v>1</v>
      </c>
    </row>
    <row r="61" spans="1:15" ht="15" customHeight="1">
      <c r="A61">
        <v>1</v>
      </c>
      <c r="B61" t="s">
        <v>6746</v>
      </c>
      <c r="C61" t="s">
        <v>6746</v>
      </c>
      <c r="D61">
        <v>1</v>
      </c>
    </row>
    <row r="62" spans="1:15" ht="15" customHeight="1">
      <c r="A62">
        <v>1</v>
      </c>
      <c r="B62" t="s">
        <v>6754</v>
      </c>
      <c r="C62" t="s">
        <v>6754</v>
      </c>
      <c r="D62">
        <v>1</v>
      </c>
      <c r="O62" s="2"/>
    </row>
    <row r="63" spans="1:15" ht="15" customHeight="1">
      <c r="A63">
        <v>1</v>
      </c>
      <c r="B63" t="s">
        <v>6928</v>
      </c>
      <c r="C63" t="s">
        <v>6928</v>
      </c>
      <c r="D63">
        <v>1</v>
      </c>
    </row>
    <row r="64" spans="1:15" ht="15" customHeight="1">
      <c r="A64">
        <v>1</v>
      </c>
      <c r="B64" t="s">
        <v>6858</v>
      </c>
      <c r="C64" t="s">
        <v>10369</v>
      </c>
      <c r="D64">
        <v>1</v>
      </c>
    </row>
    <row r="65" spans="1:15" ht="15" customHeight="1">
      <c r="A65">
        <v>1</v>
      </c>
      <c r="B65" t="s">
        <v>6868</v>
      </c>
      <c r="C65" t="s">
        <v>6868</v>
      </c>
      <c r="D65">
        <v>1</v>
      </c>
    </row>
    <row r="66" spans="1:15" ht="15" customHeight="1">
      <c r="A66">
        <v>1</v>
      </c>
      <c r="B66" t="s">
        <v>6936</v>
      </c>
      <c r="C66" t="s">
        <v>6936</v>
      </c>
      <c r="D66">
        <v>1</v>
      </c>
    </row>
    <row r="67" spans="1:15" ht="15" customHeight="1">
      <c r="A67">
        <v>1</v>
      </c>
      <c r="B67" t="s">
        <v>6791</v>
      </c>
      <c r="C67" t="s">
        <v>6791</v>
      </c>
      <c r="D67">
        <v>1</v>
      </c>
      <c r="O67" s="2"/>
    </row>
    <row r="68" spans="1:15" ht="15" customHeight="1">
      <c r="A68">
        <v>1</v>
      </c>
      <c r="B68" t="s">
        <v>6925</v>
      </c>
      <c r="C68" t="s">
        <v>10395</v>
      </c>
      <c r="D68">
        <v>1</v>
      </c>
    </row>
    <row r="69" spans="1:15" ht="15" customHeight="1">
      <c r="A69">
        <v>1</v>
      </c>
      <c r="B69" t="s">
        <v>6927</v>
      </c>
      <c r="C69" t="s">
        <v>6927</v>
      </c>
      <c r="D69">
        <v>1</v>
      </c>
    </row>
    <row r="70" spans="1:15" ht="15" customHeight="1">
      <c r="A70">
        <v>1</v>
      </c>
      <c r="B70" t="s">
        <v>6929</v>
      </c>
      <c r="C70" t="s">
        <v>6929</v>
      </c>
      <c r="D70">
        <v>1</v>
      </c>
    </row>
    <row r="71" spans="1:15" ht="15" customHeight="1">
      <c r="A71">
        <v>1</v>
      </c>
      <c r="B71" t="s">
        <v>6930</v>
      </c>
      <c r="C71" t="s">
        <v>6930</v>
      </c>
      <c r="D71">
        <v>1</v>
      </c>
      <c r="O71" s="2"/>
    </row>
    <row r="72" spans="1:15" ht="15" customHeight="1">
      <c r="A72">
        <v>1</v>
      </c>
      <c r="B72" t="s">
        <v>6933</v>
      </c>
      <c r="C72" t="s">
        <v>6933</v>
      </c>
      <c r="D72">
        <v>1</v>
      </c>
    </row>
    <row r="73" spans="1:15" ht="15" customHeight="1">
      <c r="A73">
        <v>1</v>
      </c>
      <c r="B73" t="s">
        <v>7233</v>
      </c>
      <c r="C73" t="s">
        <v>7233</v>
      </c>
      <c r="D73">
        <v>1</v>
      </c>
    </row>
    <row r="74" spans="1:15" ht="15" customHeight="1">
      <c r="A74">
        <v>1</v>
      </c>
      <c r="B74" t="s">
        <v>875</v>
      </c>
      <c r="C74" t="s">
        <v>875</v>
      </c>
      <c r="D74">
        <v>1</v>
      </c>
    </row>
    <row r="75" spans="1:15" ht="15" customHeight="1">
      <c r="A75">
        <v>1</v>
      </c>
      <c r="B75" t="s">
        <v>885</v>
      </c>
      <c r="C75" t="s">
        <v>885</v>
      </c>
      <c r="D75">
        <v>1</v>
      </c>
      <c r="O75" s="2"/>
    </row>
    <row r="76" spans="1:15" ht="15" customHeight="1">
      <c r="A76">
        <v>1</v>
      </c>
      <c r="B76" t="s">
        <v>9119</v>
      </c>
      <c r="C76" t="s">
        <v>9119</v>
      </c>
      <c r="D76">
        <v>1</v>
      </c>
      <c r="O76" s="2"/>
    </row>
    <row r="77" spans="1:15" ht="15" customHeight="1">
      <c r="A77">
        <v>1</v>
      </c>
      <c r="B77" t="s">
        <v>1479</v>
      </c>
      <c r="C77" t="s">
        <v>1479</v>
      </c>
      <c r="D77">
        <v>1</v>
      </c>
      <c r="O77" s="2"/>
    </row>
    <row r="78" spans="1:15" ht="15" customHeight="1">
      <c r="A78">
        <v>1</v>
      </c>
      <c r="B78" t="s">
        <v>10024</v>
      </c>
      <c r="C78" t="s">
        <v>10024</v>
      </c>
      <c r="D78">
        <v>1</v>
      </c>
      <c r="O78" s="2"/>
    </row>
    <row r="79" spans="1:15" ht="15" customHeight="1">
      <c r="A79">
        <v>1</v>
      </c>
      <c r="B79" t="s">
        <v>10164</v>
      </c>
      <c r="C79" t="s">
        <v>10164</v>
      </c>
      <c r="D79">
        <v>1</v>
      </c>
    </row>
    <row r="80" spans="1:15" ht="15" customHeight="1">
      <c r="A80">
        <v>1</v>
      </c>
      <c r="B80" t="s">
        <v>10190</v>
      </c>
      <c r="C80" t="s">
        <v>10190</v>
      </c>
      <c r="D80">
        <v>1</v>
      </c>
      <c r="O80" s="2"/>
    </row>
    <row r="81" spans="1:15" ht="15" customHeight="1">
      <c r="A81">
        <v>1</v>
      </c>
      <c r="B81" t="s">
        <v>10199</v>
      </c>
      <c r="C81" t="s">
        <v>10199</v>
      </c>
      <c r="D81">
        <v>1</v>
      </c>
    </row>
    <row r="82" spans="1:15" ht="15" customHeight="1">
      <c r="A82">
        <v>1</v>
      </c>
      <c r="B82" t="s">
        <v>10242</v>
      </c>
      <c r="C82" t="s">
        <v>10242</v>
      </c>
      <c r="D82">
        <v>1</v>
      </c>
    </row>
    <row r="83" spans="1:15" ht="15" customHeight="1">
      <c r="A83">
        <v>1</v>
      </c>
      <c r="B83" t="s">
        <v>10243</v>
      </c>
      <c r="C83" t="s">
        <v>10243</v>
      </c>
      <c r="D83">
        <v>1</v>
      </c>
      <c r="O83" s="2"/>
    </row>
    <row r="84" spans="1:15" ht="15" customHeight="1">
      <c r="A84">
        <v>1</v>
      </c>
      <c r="B84" t="s">
        <v>10244</v>
      </c>
      <c r="C84" t="s">
        <v>10244</v>
      </c>
      <c r="D84">
        <v>1</v>
      </c>
    </row>
    <row r="85" spans="1:15" ht="15" customHeight="1">
      <c r="A85">
        <v>1</v>
      </c>
      <c r="B85" s="21" t="s">
        <v>1515</v>
      </c>
      <c r="C85" t="s">
        <v>5082</v>
      </c>
      <c r="D85">
        <v>1</v>
      </c>
    </row>
    <row r="86" spans="1:15" ht="15" customHeight="1">
      <c r="A86">
        <v>1</v>
      </c>
      <c r="B86" t="s">
        <v>1459</v>
      </c>
      <c r="C86" t="s">
        <v>10345</v>
      </c>
      <c r="D86">
        <v>1</v>
      </c>
      <c r="O86" s="2"/>
    </row>
    <row r="87" spans="1:15" ht="15" customHeight="1">
      <c r="A87">
        <v>1</v>
      </c>
      <c r="B87" t="s">
        <v>1975</v>
      </c>
      <c r="C87" t="s">
        <v>1975</v>
      </c>
      <c r="D87">
        <v>1</v>
      </c>
    </row>
    <row r="88" spans="1:15" ht="15" customHeight="1">
      <c r="A88">
        <v>1</v>
      </c>
      <c r="B88" t="s">
        <v>1988</v>
      </c>
      <c r="C88" t="s">
        <v>1989</v>
      </c>
      <c r="D88">
        <v>1</v>
      </c>
    </row>
    <row r="89" spans="1:15" ht="15" customHeight="1">
      <c r="A89">
        <v>1</v>
      </c>
      <c r="B89" t="s">
        <v>1984</v>
      </c>
      <c r="C89" t="s">
        <v>1984</v>
      </c>
      <c r="D89">
        <v>1</v>
      </c>
    </row>
    <row r="90" spans="1:15" ht="15" customHeight="1">
      <c r="A90">
        <v>1</v>
      </c>
      <c r="B90" t="s">
        <v>129</v>
      </c>
      <c r="C90" t="s">
        <v>129</v>
      </c>
      <c r="D90">
        <v>1</v>
      </c>
      <c r="O90" s="2"/>
    </row>
    <row r="91" spans="1:15" ht="15" customHeight="1">
      <c r="A91">
        <v>1</v>
      </c>
      <c r="B91" t="s">
        <v>6536</v>
      </c>
      <c r="C91" t="s">
        <v>6537</v>
      </c>
      <c r="D91">
        <v>1</v>
      </c>
      <c r="O91" s="2"/>
    </row>
    <row r="92" spans="1:15" ht="15" customHeight="1">
      <c r="A92">
        <v>1</v>
      </c>
      <c r="B92" t="s">
        <v>10367</v>
      </c>
      <c r="C92" t="s">
        <v>10368</v>
      </c>
      <c r="D92">
        <v>1</v>
      </c>
      <c r="O92" s="2"/>
    </row>
    <row r="93" spans="1:15" ht="15" customHeight="1">
      <c r="A93">
        <v>1</v>
      </c>
      <c r="B93" s="32" t="s">
        <v>10353</v>
      </c>
      <c r="C93" s="32" t="s">
        <v>10354</v>
      </c>
      <c r="D93">
        <v>1</v>
      </c>
      <c r="O93" s="2"/>
    </row>
    <row r="94" spans="1:15" ht="15" customHeight="1">
      <c r="A94">
        <v>1</v>
      </c>
      <c r="B94" s="32" t="s">
        <v>10355</v>
      </c>
      <c r="C94" s="32" t="s">
        <v>10356</v>
      </c>
      <c r="D94">
        <v>1</v>
      </c>
    </row>
    <row r="95" spans="1:15" ht="15" customHeight="1">
      <c r="A95">
        <v>1</v>
      </c>
      <c r="B95" s="32" t="s">
        <v>10357</v>
      </c>
      <c r="C95" s="32" t="s">
        <v>10358</v>
      </c>
      <c r="D95">
        <v>1</v>
      </c>
    </row>
    <row r="96" spans="1:15" ht="15" customHeight="1">
      <c r="A96">
        <v>1</v>
      </c>
      <c r="B96" s="32" t="s">
        <v>10359</v>
      </c>
      <c r="C96" s="32" t="s">
        <v>10360</v>
      </c>
      <c r="D96">
        <v>1</v>
      </c>
    </row>
    <row r="97" spans="1:15" ht="15" customHeight="1">
      <c r="A97">
        <v>1</v>
      </c>
      <c r="B97" s="32" t="s">
        <v>10361</v>
      </c>
      <c r="C97" s="32" t="s">
        <v>10362</v>
      </c>
      <c r="D97">
        <v>1</v>
      </c>
    </row>
    <row r="98" spans="1:15" ht="15" customHeight="1">
      <c r="A98">
        <v>1</v>
      </c>
      <c r="B98" s="32" t="s">
        <v>10363</v>
      </c>
      <c r="C98" s="32" t="s">
        <v>10364</v>
      </c>
      <c r="D98">
        <v>1</v>
      </c>
    </row>
    <row r="99" spans="1:15" ht="15" customHeight="1">
      <c r="A99">
        <v>1</v>
      </c>
      <c r="B99" s="32" t="s">
        <v>6928</v>
      </c>
      <c r="C99" s="32" t="s">
        <v>10365</v>
      </c>
      <c r="D99">
        <v>1</v>
      </c>
    </row>
    <row r="100" spans="1:15" ht="15" customHeight="1">
      <c r="A100">
        <v>1</v>
      </c>
      <c r="B100" s="32" t="s">
        <v>10352</v>
      </c>
      <c r="C100" s="32" t="s">
        <v>10366</v>
      </c>
      <c r="D100">
        <v>1</v>
      </c>
    </row>
    <row r="101" spans="1:15" ht="15" customHeight="1">
      <c r="A101">
        <v>1</v>
      </c>
      <c r="B101" s="21" t="s">
        <v>799</v>
      </c>
      <c r="C101" t="s">
        <v>5079</v>
      </c>
      <c r="D101">
        <v>1</v>
      </c>
      <c r="O101" s="2"/>
    </row>
    <row r="102" spans="1:15" ht="15" customHeight="1">
      <c r="A102">
        <v>1</v>
      </c>
      <c r="B102" t="s">
        <v>10373</v>
      </c>
      <c r="C102" t="s">
        <v>10373</v>
      </c>
      <c r="D102">
        <v>1</v>
      </c>
    </row>
    <row r="103" spans="1:15" ht="15" customHeight="1">
      <c r="A103">
        <v>1</v>
      </c>
      <c r="B103" t="s">
        <v>10374</v>
      </c>
      <c r="C103" t="s">
        <v>10374</v>
      </c>
      <c r="D103">
        <v>1</v>
      </c>
    </row>
    <row r="104" spans="1:15" ht="15" customHeight="1">
      <c r="A104">
        <v>1</v>
      </c>
      <c r="B104" t="s">
        <v>10375</v>
      </c>
      <c r="C104" t="s">
        <v>10375</v>
      </c>
      <c r="D104">
        <v>1</v>
      </c>
    </row>
    <row r="105" spans="1:15" ht="15" customHeight="1">
      <c r="A105">
        <v>1</v>
      </c>
      <c r="B105" t="s">
        <v>10376</v>
      </c>
      <c r="C105" t="s">
        <v>10376</v>
      </c>
      <c r="D105">
        <v>1</v>
      </c>
    </row>
    <row r="106" spans="1:15" ht="15" customHeight="1">
      <c r="A106">
        <v>1</v>
      </c>
      <c r="B106" t="s">
        <v>897</v>
      </c>
      <c r="C106" t="s">
        <v>11985</v>
      </c>
      <c r="D106">
        <v>1</v>
      </c>
      <c r="O106" s="2"/>
    </row>
    <row r="107" spans="1:15" ht="15" customHeight="1">
      <c r="A107">
        <v>1</v>
      </c>
      <c r="B107" t="s">
        <v>782</v>
      </c>
      <c r="C107" t="s">
        <v>5073</v>
      </c>
      <c r="D107">
        <v>1</v>
      </c>
      <c r="O107" s="2"/>
    </row>
    <row r="108" spans="1:15" ht="15" customHeight="1">
      <c r="A108">
        <v>1</v>
      </c>
      <c r="B108" t="s">
        <v>842</v>
      </c>
      <c r="C108" t="s">
        <v>5074</v>
      </c>
      <c r="D108">
        <v>1</v>
      </c>
    </row>
    <row r="109" spans="1:15" ht="15" customHeight="1">
      <c r="A109">
        <v>1</v>
      </c>
      <c r="B109" t="s">
        <v>856</v>
      </c>
      <c r="C109" t="s">
        <v>856</v>
      </c>
      <c r="D109">
        <v>1</v>
      </c>
    </row>
    <row r="110" spans="1:15" ht="15" customHeight="1">
      <c r="A110">
        <v>1</v>
      </c>
      <c r="B110" t="s">
        <v>897</v>
      </c>
      <c r="C110" t="s">
        <v>5475</v>
      </c>
      <c r="D110">
        <v>1</v>
      </c>
      <c r="O110" s="2"/>
    </row>
    <row r="111" spans="1:15" ht="15" customHeight="1">
      <c r="A111">
        <v>1</v>
      </c>
      <c r="B111" t="s">
        <v>10383</v>
      </c>
      <c r="C111" t="s">
        <v>10384</v>
      </c>
      <c r="D111">
        <v>1</v>
      </c>
      <c r="O111" s="2"/>
    </row>
    <row r="112" spans="1:15" ht="15" customHeight="1">
      <c r="A112">
        <v>1</v>
      </c>
      <c r="B112" t="s">
        <v>6929</v>
      </c>
      <c r="C112" t="s">
        <v>6929</v>
      </c>
      <c r="O112" s="2"/>
    </row>
    <row r="113" spans="2:15" ht="15" customHeight="1">
      <c r="B113" t="s">
        <v>1931</v>
      </c>
      <c r="C113" t="s">
        <v>1931</v>
      </c>
      <c r="D113">
        <v>0</v>
      </c>
    </row>
    <row r="114" spans="2:15" ht="15" customHeight="1">
      <c r="B114" t="s">
        <v>929</v>
      </c>
      <c r="C114" t="s">
        <v>929</v>
      </c>
      <c r="D114">
        <v>0</v>
      </c>
    </row>
    <row r="115" spans="2:15" ht="15" customHeight="1">
      <c r="B115" t="s">
        <v>1933</v>
      </c>
      <c r="C115" t="s">
        <v>1933</v>
      </c>
      <c r="D115">
        <v>0</v>
      </c>
      <c r="O115" s="2"/>
    </row>
    <row r="116" spans="2:15" ht="15" customHeight="1">
      <c r="B116" t="s">
        <v>747</v>
      </c>
      <c r="C116" t="s">
        <v>1934</v>
      </c>
      <c r="D116">
        <v>0</v>
      </c>
    </row>
    <row r="117" spans="2:15" ht="15" customHeight="1">
      <c r="B117" t="s">
        <v>957</v>
      </c>
      <c r="C117" t="s">
        <v>957</v>
      </c>
      <c r="D117">
        <v>0</v>
      </c>
    </row>
    <row r="118" spans="2:15" ht="15" customHeight="1">
      <c r="B118" t="s">
        <v>1932</v>
      </c>
      <c r="C118" t="s">
        <v>1932</v>
      </c>
      <c r="D118">
        <v>0</v>
      </c>
    </row>
    <row r="119" spans="2:15" ht="15" customHeight="1">
      <c r="B119">
        <v>1897</v>
      </c>
      <c r="C119" t="s">
        <v>1955</v>
      </c>
      <c r="D119">
        <v>0</v>
      </c>
    </row>
    <row r="120" spans="2:15" ht="15" customHeight="1">
      <c r="B120" t="s">
        <v>934</v>
      </c>
      <c r="C120" t="s">
        <v>1422</v>
      </c>
      <c r="D120">
        <v>0</v>
      </c>
    </row>
    <row r="121" spans="2:15" ht="15" customHeight="1">
      <c r="B121" t="s">
        <v>901</v>
      </c>
      <c r="C121" t="s">
        <v>901</v>
      </c>
      <c r="D121">
        <v>0</v>
      </c>
      <c r="O121" s="2"/>
    </row>
    <row r="122" spans="2:15" ht="15" customHeight="1">
      <c r="B122" t="s">
        <v>902</v>
      </c>
      <c r="C122" t="s">
        <v>902</v>
      </c>
      <c r="D122">
        <v>0</v>
      </c>
      <c r="O122" s="2"/>
    </row>
    <row r="123" spans="2:15" ht="15" customHeight="1">
      <c r="B123" t="s">
        <v>1944</v>
      </c>
      <c r="C123" t="s">
        <v>1944</v>
      </c>
      <c r="D123">
        <v>0</v>
      </c>
    </row>
    <row r="124" spans="2:15" ht="15" customHeight="1">
      <c r="B124" t="s">
        <v>884</v>
      </c>
      <c r="C124" t="s">
        <v>1430</v>
      </c>
      <c r="D124">
        <v>0</v>
      </c>
    </row>
    <row r="125" spans="2:15" ht="15" customHeight="1">
      <c r="B125" t="s">
        <v>935</v>
      </c>
      <c r="C125" t="s">
        <v>1423</v>
      </c>
      <c r="D125">
        <v>0</v>
      </c>
      <c r="O125" s="2"/>
    </row>
    <row r="126" spans="2:15" ht="15" customHeight="1">
      <c r="B126" t="s">
        <v>986</v>
      </c>
      <c r="C126" t="s">
        <v>1951</v>
      </c>
      <c r="D126">
        <v>0</v>
      </c>
    </row>
    <row r="127" spans="2:15" ht="15" customHeight="1">
      <c r="B127" t="s">
        <v>895</v>
      </c>
      <c r="C127" t="s">
        <v>1941</v>
      </c>
      <c r="D127">
        <v>0</v>
      </c>
    </row>
    <row r="128" spans="2:15" ht="15" customHeight="1">
      <c r="B128" t="s">
        <v>1005</v>
      </c>
      <c r="C128" t="s">
        <v>1424</v>
      </c>
      <c r="D128">
        <v>0</v>
      </c>
    </row>
    <row r="129" spans="2:15" ht="15" customHeight="1">
      <c r="B129" t="s">
        <v>925</v>
      </c>
      <c r="C129" t="s">
        <v>1937</v>
      </c>
      <c r="D129">
        <v>0</v>
      </c>
    </row>
    <row r="130" spans="2:15" ht="15" customHeight="1">
      <c r="B130" t="s">
        <v>1948</v>
      </c>
      <c r="C130" t="s">
        <v>1948</v>
      </c>
      <c r="D130">
        <v>0</v>
      </c>
    </row>
    <row r="131" spans="2:15" ht="15" customHeight="1">
      <c r="B131" t="s">
        <v>796</v>
      </c>
      <c r="C131" t="s">
        <v>796</v>
      </c>
      <c r="D131">
        <v>0</v>
      </c>
    </row>
    <row r="132" spans="2:15" ht="15" customHeight="1">
      <c r="B132" t="s">
        <v>979</v>
      </c>
      <c r="C132" t="s">
        <v>979</v>
      </c>
      <c r="D132">
        <v>0</v>
      </c>
    </row>
    <row r="133" spans="2:15" ht="15" customHeight="1">
      <c r="B133" t="s">
        <v>905</v>
      </c>
      <c r="C133" t="s">
        <v>905</v>
      </c>
      <c r="D133">
        <v>0</v>
      </c>
    </row>
    <row r="134" spans="2:15" ht="15" customHeight="1">
      <c r="B134" t="s">
        <v>858</v>
      </c>
      <c r="C134" t="s">
        <v>858</v>
      </c>
      <c r="D134">
        <v>0</v>
      </c>
    </row>
    <row r="135" spans="2:15" ht="15" customHeight="1">
      <c r="B135" t="s">
        <v>926</v>
      </c>
      <c r="C135" t="s">
        <v>926</v>
      </c>
      <c r="D135">
        <v>0</v>
      </c>
      <c r="O135" s="2"/>
    </row>
    <row r="136" spans="2:15" ht="15" customHeight="1">
      <c r="B136" t="s">
        <v>943</v>
      </c>
      <c r="C136" t="s">
        <v>943</v>
      </c>
      <c r="D136">
        <v>0</v>
      </c>
    </row>
    <row r="137" spans="2:15" ht="15" customHeight="1">
      <c r="B137" t="s">
        <v>980</v>
      </c>
      <c r="C137" t="s">
        <v>980</v>
      </c>
      <c r="D137">
        <v>0</v>
      </c>
    </row>
    <row r="138" spans="2:15" ht="15" customHeight="1">
      <c r="B138" t="s">
        <v>1004</v>
      </c>
      <c r="C138" t="s">
        <v>1425</v>
      </c>
      <c r="D138">
        <v>0</v>
      </c>
    </row>
    <row r="139" spans="2:15" ht="15" customHeight="1">
      <c r="B139" t="s">
        <v>1946</v>
      </c>
      <c r="C139" t="s">
        <v>1947</v>
      </c>
      <c r="D139">
        <v>0</v>
      </c>
    </row>
    <row r="140" spans="2:15" ht="15" customHeight="1">
      <c r="B140" t="s">
        <v>1070</v>
      </c>
      <c r="C140" t="s">
        <v>1070</v>
      </c>
      <c r="D140">
        <v>0</v>
      </c>
    </row>
    <row r="141" spans="2:15" ht="15" customHeight="1">
      <c r="B141" t="s">
        <v>1935</v>
      </c>
      <c r="C141" t="s">
        <v>1935</v>
      </c>
      <c r="D141">
        <v>0</v>
      </c>
      <c r="O141" s="2"/>
    </row>
    <row r="142" spans="2:15" ht="15" customHeight="1">
      <c r="B142" t="s">
        <v>890</v>
      </c>
      <c r="C142" t="s">
        <v>890</v>
      </c>
      <c r="D142">
        <v>0</v>
      </c>
      <c r="O142" s="2"/>
    </row>
    <row r="143" spans="2:15" ht="15" customHeight="1">
      <c r="B143" t="s">
        <v>914</v>
      </c>
      <c r="C143" t="s">
        <v>914</v>
      </c>
      <c r="D143">
        <v>0</v>
      </c>
    </row>
    <row r="144" spans="2:15" ht="15" customHeight="1">
      <c r="B144" t="s">
        <v>981</v>
      </c>
      <c r="C144" t="s">
        <v>981</v>
      </c>
      <c r="D144">
        <v>0</v>
      </c>
    </row>
    <row r="145" spans="2:15" ht="15" customHeight="1">
      <c r="B145" t="s">
        <v>795</v>
      </c>
      <c r="C145" t="s">
        <v>795</v>
      </c>
      <c r="D145">
        <v>0</v>
      </c>
    </row>
    <row r="146" spans="2:15" ht="15" customHeight="1">
      <c r="B146" t="s">
        <v>971</v>
      </c>
      <c r="C146" t="s">
        <v>1431</v>
      </c>
      <c r="D146">
        <v>0</v>
      </c>
    </row>
    <row r="147" spans="2:15" ht="15" customHeight="1">
      <c r="B147" t="s">
        <v>1939</v>
      </c>
      <c r="C147" t="s">
        <v>1939</v>
      </c>
      <c r="D147">
        <v>0</v>
      </c>
    </row>
    <row r="148" spans="2:15" ht="15" customHeight="1">
      <c r="B148" t="s">
        <v>944</v>
      </c>
      <c r="C148" t="s">
        <v>944</v>
      </c>
      <c r="D148">
        <v>0</v>
      </c>
    </row>
    <row r="149" spans="2:15" ht="15" customHeight="1">
      <c r="B149" t="s">
        <v>784</v>
      </c>
      <c r="C149" t="s">
        <v>1956</v>
      </c>
      <c r="D149">
        <v>0</v>
      </c>
    </row>
    <row r="150" spans="2:15" ht="15" customHeight="1">
      <c r="B150" t="s">
        <v>958</v>
      </c>
      <c r="C150" t="s">
        <v>958</v>
      </c>
      <c r="D150">
        <v>0</v>
      </c>
    </row>
    <row r="151" spans="2:15" ht="15" customHeight="1">
      <c r="B151" t="s">
        <v>940</v>
      </c>
      <c r="C151" t="s">
        <v>940</v>
      </c>
      <c r="D151">
        <v>0</v>
      </c>
      <c r="O151" s="2"/>
    </row>
    <row r="152" spans="2:15" ht="15" customHeight="1">
      <c r="B152" t="s">
        <v>948</v>
      </c>
      <c r="C152" t="s">
        <v>948</v>
      </c>
      <c r="D152">
        <v>0</v>
      </c>
    </row>
    <row r="153" spans="2:15" ht="15" customHeight="1">
      <c r="B153" t="s">
        <v>861</v>
      </c>
      <c r="C153" t="s">
        <v>1833</v>
      </c>
      <c r="D153">
        <v>0</v>
      </c>
    </row>
    <row r="154" spans="2:15" ht="15" customHeight="1">
      <c r="B154" t="s">
        <v>1829</v>
      </c>
      <c r="C154" t="s">
        <v>1829</v>
      </c>
      <c r="D154">
        <v>0</v>
      </c>
      <c r="O154" s="2"/>
    </row>
    <row r="155" spans="2:15" ht="15" customHeight="1">
      <c r="B155" t="s">
        <v>936</v>
      </c>
      <c r="C155" t="s">
        <v>1426</v>
      </c>
      <c r="D155">
        <v>0</v>
      </c>
    </row>
    <row r="156" spans="2:15" ht="15" customHeight="1">
      <c r="B156" t="s">
        <v>983</v>
      </c>
      <c r="C156" t="s">
        <v>1954</v>
      </c>
      <c r="D156">
        <v>0</v>
      </c>
    </row>
    <row r="157" spans="2:15" ht="15" customHeight="1">
      <c r="B157" t="s">
        <v>937</v>
      </c>
      <c r="C157" t="s">
        <v>1427</v>
      </c>
      <c r="D157">
        <v>0</v>
      </c>
    </row>
    <row r="158" spans="2:15" ht="15" customHeight="1">
      <c r="B158" t="s">
        <v>906</v>
      </c>
      <c r="C158" t="s">
        <v>1428</v>
      </c>
      <c r="D158">
        <v>0</v>
      </c>
      <c r="O158" s="2"/>
    </row>
    <row r="159" spans="2:15" ht="15" customHeight="1">
      <c r="B159" t="s">
        <v>886</v>
      </c>
      <c r="C159" t="s">
        <v>1953</v>
      </c>
      <c r="D159">
        <v>0</v>
      </c>
    </row>
    <row r="160" spans="2:15" ht="15" customHeight="1">
      <c r="B160" t="s">
        <v>915</v>
      </c>
      <c r="C160" t="s">
        <v>1949</v>
      </c>
      <c r="D160">
        <v>0</v>
      </c>
    </row>
    <row r="161" spans="2:15" ht="15" customHeight="1">
      <c r="B161" t="s">
        <v>852</v>
      </c>
      <c r="C161" t="s">
        <v>7140</v>
      </c>
      <c r="D161">
        <v>0</v>
      </c>
    </row>
    <row r="162" spans="2:15" ht="15" customHeight="1">
      <c r="B162" t="s">
        <v>849</v>
      </c>
      <c r="C162" t="s">
        <v>1325</v>
      </c>
      <c r="D162">
        <v>0</v>
      </c>
    </row>
    <row r="163" spans="2:15" ht="15" customHeight="1">
      <c r="B163" t="s">
        <v>927</v>
      </c>
      <c r="C163" t="s">
        <v>1940</v>
      </c>
      <c r="D163">
        <v>0</v>
      </c>
    </row>
    <row r="164" spans="2:15" ht="15" customHeight="1">
      <c r="B164" t="s">
        <v>907</v>
      </c>
      <c r="C164" t="s">
        <v>1429</v>
      </c>
      <c r="D164">
        <v>0</v>
      </c>
    </row>
    <row r="165" spans="2:15" ht="15" customHeight="1">
      <c r="B165" t="s">
        <v>755</v>
      </c>
      <c r="C165" t="s">
        <v>1952</v>
      </c>
      <c r="D165">
        <v>0</v>
      </c>
      <c r="O165" s="2"/>
    </row>
    <row r="166" spans="2:15" ht="15" customHeight="1">
      <c r="B166" t="s">
        <v>916</v>
      </c>
      <c r="C166" t="s">
        <v>1936</v>
      </c>
      <c r="D166">
        <v>0</v>
      </c>
    </row>
    <row r="167" spans="2:15" ht="15" customHeight="1">
      <c r="B167" t="s">
        <v>560</v>
      </c>
      <c r="C167" t="s">
        <v>1432</v>
      </c>
      <c r="D167">
        <v>0</v>
      </c>
      <c r="O167" s="2"/>
    </row>
    <row r="168" spans="2:15" ht="15" customHeight="1">
      <c r="B168" t="s">
        <v>1938</v>
      </c>
      <c r="C168" t="s">
        <v>5090</v>
      </c>
      <c r="D168">
        <v>0</v>
      </c>
    </row>
    <row r="169" spans="2:15" ht="15" customHeight="1">
      <c r="B169" t="s">
        <v>939</v>
      </c>
      <c r="C169" t="s">
        <v>1945</v>
      </c>
      <c r="D169">
        <v>0</v>
      </c>
    </row>
    <row r="170" spans="2:15" ht="15" customHeight="1">
      <c r="B170" t="s">
        <v>868</v>
      </c>
      <c r="C170" t="s">
        <v>1950</v>
      </c>
      <c r="D170">
        <v>0</v>
      </c>
    </row>
    <row r="171" spans="2:15" ht="15" customHeight="1">
      <c r="B171" t="s">
        <v>947</v>
      </c>
      <c r="C171" t="s">
        <v>1943</v>
      </c>
      <c r="D171">
        <v>0</v>
      </c>
    </row>
    <row r="172" spans="2:15" ht="15" customHeight="1">
      <c r="B172" t="s">
        <v>1942</v>
      </c>
      <c r="C172" t="s">
        <v>1942</v>
      </c>
      <c r="D172">
        <v>0</v>
      </c>
    </row>
    <row r="173" spans="2:15" ht="15" customHeight="1">
      <c r="B173" t="s">
        <v>923</v>
      </c>
      <c r="C173" t="s">
        <v>923</v>
      </c>
      <c r="D173">
        <v>0</v>
      </c>
    </row>
    <row r="174" spans="2:15" ht="15" customHeight="1">
      <c r="B174" t="s">
        <v>917</v>
      </c>
      <c r="C174" t="s">
        <v>917</v>
      </c>
      <c r="D174">
        <v>0</v>
      </c>
    </row>
    <row r="175" spans="2:15" ht="15" customHeight="1">
      <c r="B175" t="s">
        <v>956</v>
      </c>
      <c r="C175" t="s">
        <v>6523</v>
      </c>
      <c r="D175">
        <v>0</v>
      </c>
      <c r="O175" s="2"/>
    </row>
    <row r="176" spans="2:15" ht="15" customHeight="1">
      <c r="B176" t="s">
        <v>853</v>
      </c>
      <c r="C176" t="s">
        <v>853</v>
      </c>
      <c r="D176">
        <v>0</v>
      </c>
    </row>
    <row r="177" spans="2:15" ht="15" customHeight="1">
      <c r="B177" s="26" t="s">
        <v>759</v>
      </c>
      <c r="C177" t="s">
        <v>1958</v>
      </c>
      <c r="D177">
        <v>0</v>
      </c>
    </row>
    <row r="178" spans="2:15" ht="15" customHeight="1">
      <c r="B178" s="26" t="s">
        <v>771</v>
      </c>
      <c r="C178" t="s">
        <v>1959</v>
      </c>
      <c r="D178">
        <v>0</v>
      </c>
    </row>
    <row r="179" spans="2:15" ht="15" customHeight="1">
      <c r="B179" s="26" t="s">
        <v>762</v>
      </c>
      <c r="C179" t="s">
        <v>1960</v>
      </c>
      <c r="D179">
        <v>0</v>
      </c>
      <c r="O179" s="2"/>
    </row>
    <row r="180" spans="2:15" ht="15" customHeight="1">
      <c r="B180" s="26" t="s">
        <v>918</v>
      </c>
      <c r="C180" t="s">
        <v>1961</v>
      </c>
      <c r="D180">
        <v>0</v>
      </c>
      <c r="O180" s="2"/>
    </row>
    <row r="181" spans="2:15" ht="15" customHeight="1">
      <c r="B181" s="26" t="s">
        <v>757</v>
      </c>
      <c r="C181" t="s">
        <v>1962</v>
      </c>
      <c r="D181">
        <v>0</v>
      </c>
      <c r="O181" s="2"/>
    </row>
    <row r="182" spans="2:15" ht="15" customHeight="1">
      <c r="B182" s="26" t="s">
        <v>3791</v>
      </c>
      <c r="C182" t="s">
        <v>1963</v>
      </c>
      <c r="D182">
        <v>0</v>
      </c>
    </row>
    <row r="183" spans="2:15" ht="15" customHeight="1">
      <c r="B183" s="26" t="s">
        <v>758</v>
      </c>
      <c r="C183" t="s">
        <v>1964</v>
      </c>
      <c r="D183">
        <v>0</v>
      </c>
    </row>
    <row r="184" spans="2:15" ht="15" customHeight="1">
      <c r="B184" t="s">
        <v>752</v>
      </c>
      <c r="C184" t="s">
        <v>752</v>
      </c>
      <c r="D184">
        <v>0</v>
      </c>
    </row>
    <row r="185" spans="2:15" ht="15" customHeight="1">
      <c r="B185" s="19" t="s">
        <v>1965</v>
      </c>
      <c r="C185" s="19" t="s">
        <v>5078</v>
      </c>
      <c r="D185">
        <v>0</v>
      </c>
    </row>
    <row r="186" spans="2:15" ht="15" customHeight="1">
      <c r="B186" t="s">
        <v>874</v>
      </c>
      <c r="C186" t="s">
        <v>1957</v>
      </c>
      <c r="D186">
        <v>0</v>
      </c>
      <c r="O186" s="2"/>
    </row>
    <row r="187" spans="2:15" ht="15" customHeight="1">
      <c r="B187" t="s">
        <v>862</v>
      </c>
      <c r="C187" t="s">
        <v>862</v>
      </c>
      <c r="D187">
        <v>0</v>
      </c>
    </row>
    <row r="188" spans="2:15" ht="15" customHeight="1">
      <c r="B188" t="s">
        <v>1969</v>
      </c>
      <c r="C188" t="s">
        <v>1969</v>
      </c>
      <c r="D188">
        <v>0</v>
      </c>
      <c r="O188" s="2"/>
    </row>
    <row r="189" spans="2:15" ht="15" customHeight="1">
      <c r="B189" t="s">
        <v>1970</v>
      </c>
      <c r="C189" t="s">
        <v>870</v>
      </c>
      <c r="D189">
        <v>0</v>
      </c>
    </row>
    <row r="190" spans="2:15" ht="15" customHeight="1">
      <c r="B190" t="s">
        <v>892</v>
      </c>
      <c r="C190" t="s">
        <v>892</v>
      </c>
      <c r="D190">
        <v>0</v>
      </c>
    </row>
    <row r="191" spans="2:15" ht="15" customHeight="1">
      <c r="B191" t="s">
        <v>961</v>
      </c>
      <c r="C191" t="s">
        <v>961</v>
      </c>
      <c r="D191">
        <v>0</v>
      </c>
      <c r="O191" s="2"/>
    </row>
    <row r="192" spans="2:15" ht="15" customHeight="1">
      <c r="B192" t="s">
        <v>931</v>
      </c>
      <c r="C192" t="s">
        <v>931</v>
      </c>
      <c r="D192">
        <v>0</v>
      </c>
      <c r="O192" s="2"/>
    </row>
    <row r="193" spans="2:15" ht="15" customHeight="1">
      <c r="B193" t="s">
        <v>1966</v>
      </c>
      <c r="C193" t="s">
        <v>1966</v>
      </c>
      <c r="D193">
        <v>0</v>
      </c>
    </row>
    <row r="194" spans="2:15" ht="15" customHeight="1">
      <c r="B194" t="s">
        <v>893</v>
      </c>
      <c r="C194" t="s">
        <v>893</v>
      </c>
      <c r="D194">
        <v>0</v>
      </c>
      <c r="O194" s="2"/>
    </row>
    <row r="195" spans="2:15" ht="15" customHeight="1">
      <c r="B195" t="s">
        <v>1967</v>
      </c>
      <c r="C195" t="s">
        <v>1968</v>
      </c>
      <c r="D195">
        <v>0</v>
      </c>
    </row>
    <row r="196" spans="2:15" ht="15" customHeight="1">
      <c r="B196" t="s">
        <v>894</v>
      </c>
      <c r="C196" t="s">
        <v>894</v>
      </c>
      <c r="D196">
        <v>0</v>
      </c>
    </row>
    <row r="197" spans="2:15" ht="15" customHeight="1">
      <c r="B197" t="s">
        <v>846</v>
      </c>
      <c r="C197" t="s">
        <v>846</v>
      </c>
      <c r="D197">
        <v>0</v>
      </c>
      <c r="O197" s="2"/>
    </row>
    <row r="198" spans="2:15" ht="15" customHeight="1">
      <c r="B198" t="s">
        <v>10347</v>
      </c>
      <c r="C198" t="s">
        <v>10348</v>
      </c>
      <c r="D198">
        <v>0</v>
      </c>
      <c r="O198" s="2"/>
    </row>
    <row r="199" spans="2:15" ht="15" customHeight="1">
      <c r="B199" t="s">
        <v>5190</v>
      </c>
      <c r="C199" t="s">
        <v>10346</v>
      </c>
      <c r="D199">
        <v>0</v>
      </c>
      <c r="O199" s="2"/>
    </row>
    <row r="200" spans="2:15" ht="15" customHeight="1">
      <c r="B200" s="26" t="s">
        <v>3476</v>
      </c>
      <c r="C200" t="s">
        <v>4889</v>
      </c>
      <c r="D200">
        <v>0</v>
      </c>
    </row>
    <row r="201" spans="2:15" ht="15" customHeight="1">
      <c r="B201" t="s">
        <v>1080</v>
      </c>
      <c r="C201" t="s">
        <v>1080</v>
      </c>
      <c r="D201">
        <v>0</v>
      </c>
      <c r="O201" s="2"/>
    </row>
    <row r="202" spans="2:15" ht="15" customHeight="1">
      <c r="B202" s="17" t="s">
        <v>1504</v>
      </c>
      <c r="C202" t="s">
        <v>1505</v>
      </c>
      <c r="D202">
        <v>0</v>
      </c>
    </row>
    <row r="203" spans="2:15" ht="15" customHeight="1">
      <c r="B203" t="s">
        <v>778</v>
      </c>
      <c r="C203" t="s">
        <v>779</v>
      </c>
      <c r="D203">
        <v>0</v>
      </c>
    </row>
    <row r="204" spans="2:15" ht="15" customHeight="1">
      <c r="B204" t="s">
        <v>27</v>
      </c>
      <c r="C204" t="s">
        <v>27</v>
      </c>
      <c r="D204">
        <v>0</v>
      </c>
    </row>
    <row r="205" spans="2:15" ht="15" customHeight="1">
      <c r="B205" t="s">
        <v>999</v>
      </c>
      <c r="C205" t="s">
        <v>1973</v>
      </c>
      <c r="D205">
        <v>0</v>
      </c>
      <c r="O205" s="2"/>
    </row>
    <row r="206" spans="2:15" ht="15" customHeight="1">
      <c r="B206" t="s">
        <v>772</v>
      </c>
      <c r="C206" t="s">
        <v>5476</v>
      </c>
      <c r="D206">
        <v>0</v>
      </c>
    </row>
    <row r="207" spans="2:15" ht="15" customHeight="1">
      <c r="B207" s="12" t="s">
        <v>1502</v>
      </c>
      <c r="C207" t="s">
        <v>1503</v>
      </c>
      <c r="D207">
        <v>0</v>
      </c>
    </row>
    <row r="208" spans="2:15" ht="15" customHeight="1">
      <c r="B208" t="s">
        <v>976</v>
      </c>
      <c r="C208" t="s">
        <v>4898</v>
      </c>
      <c r="D208">
        <v>0</v>
      </c>
    </row>
    <row r="209" spans="2:15" ht="15" customHeight="1">
      <c r="B209" t="s">
        <v>1974</v>
      </c>
      <c r="C209" t="s">
        <v>1974</v>
      </c>
      <c r="D209">
        <v>0</v>
      </c>
    </row>
    <row r="210" spans="2:15" ht="15" customHeight="1">
      <c r="B210" t="s">
        <v>780</v>
      </c>
      <c r="C210" t="s">
        <v>743</v>
      </c>
      <c r="D210">
        <v>0</v>
      </c>
    </row>
    <row r="211" spans="2:15" ht="15" customHeight="1">
      <c r="B211" s="18" t="s">
        <v>1506</v>
      </c>
      <c r="C211" t="s">
        <v>1507</v>
      </c>
      <c r="D211">
        <v>0</v>
      </c>
      <c r="O211" s="2"/>
    </row>
    <row r="212" spans="2:15" ht="15" customHeight="1">
      <c r="B212" t="s">
        <v>928</v>
      </c>
      <c r="C212" t="s">
        <v>928</v>
      </c>
      <c r="D212">
        <v>0</v>
      </c>
    </row>
    <row r="213" spans="2:15" ht="15" customHeight="1">
      <c r="B213" t="s">
        <v>561</v>
      </c>
      <c r="C213" t="s">
        <v>5080</v>
      </c>
      <c r="D213">
        <v>0</v>
      </c>
      <c r="O213" s="2"/>
    </row>
    <row r="214" spans="2:15" ht="15" customHeight="1">
      <c r="B214" t="s">
        <v>4891</v>
      </c>
      <c r="C214" t="s">
        <v>4891</v>
      </c>
      <c r="D214">
        <v>0</v>
      </c>
    </row>
    <row r="215" spans="2:15" ht="15" customHeight="1">
      <c r="B215" t="s">
        <v>811</v>
      </c>
      <c r="C215" t="s">
        <v>811</v>
      </c>
      <c r="D215">
        <v>0</v>
      </c>
      <c r="O215" s="2"/>
    </row>
    <row r="216" spans="2:15" ht="15" customHeight="1">
      <c r="B216" t="s">
        <v>107</v>
      </c>
      <c r="C216" t="s">
        <v>107</v>
      </c>
      <c r="D216">
        <v>0</v>
      </c>
    </row>
    <row r="217" spans="2:15" ht="15" customHeight="1">
      <c r="B217" t="s">
        <v>108</v>
      </c>
      <c r="C217" t="s">
        <v>703</v>
      </c>
      <c r="D217">
        <v>0</v>
      </c>
      <c r="O217" s="2"/>
    </row>
    <row r="218" spans="2:15" ht="15" customHeight="1">
      <c r="B218" t="s">
        <v>900</v>
      </c>
      <c r="C218" t="s">
        <v>6462</v>
      </c>
      <c r="D218">
        <v>0</v>
      </c>
    </row>
    <row r="219" spans="2:15" ht="15" customHeight="1">
      <c r="B219" t="s">
        <v>655</v>
      </c>
      <c r="C219" t="s">
        <v>655</v>
      </c>
      <c r="D219">
        <v>0</v>
      </c>
      <c r="O219" s="2"/>
    </row>
    <row r="220" spans="2:15" ht="15" customHeight="1">
      <c r="B220" t="s">
        <v>863</v>
      </c>
      <c r="C220" t="s">
        <v>863</v>
      </c>
      <c r="D220">
        <v>0</v>
      </c>
    </row>
    <row r="221" spans="2:15" ht="15" customHeight="1">
      <c r="B221" t="s">
        <v>933</v>
      </c>
      <c r="C221" t="s">
        <v>933</v>
      </c>
      <c r="D221">
        <v>0</v>
      </c>
    </row>
    <row r="222" spans="2:15" ht="15" customHeight="1">
      <c r="B222" t="s">
        <v>777</v>
      </c>
      <c r="C222" t="s">
        <v>6422</v>
      </c>
      <c r="D222">
        <v>0</v>
      </c>
    </row>
    <row r="223" spans="2:15" ht="15" customHeight="1">
      <c r="B223" t="s">
        <v>911</v>
      </c>
      <c r="C223" t="s">
        <v>911</v>
      </c>
      <c r="D223">
        <v>0</v>
      </c>
      <c r="O223" s="2"/>
    </row>
    <row r="224" spans="2:15" ht="15" customHeight="1">
      <c r="B224" t="s">
        <v>840</v>
      </c>
      <c r="C224" t="s">
        <v>5087</v>
      </c>
      <c r="D224">
        <v>0</v>
      </c>
    </row>
    <row r="225" spans="2:15" ht="15" customHeight="1">
      <c r="B225" t="s">
        <v>742</v>
      </c>
      <c r="C225" t="s">
        <v>742</v>
      </c>
      <c r="D225">
        <v>0</v>
      </c>
    </row>
    <row r="226" spans="2:15" ht="15" customHeight="1">
      <c r="B226" s="19" t="s">
        <v>775</v>
      </c>
      <c r="C226" t="s">
        <v>15541</v>
      </c>
      <c r="D226">
        <v>0</v>
      </c>
    </row>
    <row r="227" spans="2:15" ht="15" customHeight="1">
      <c r="B227" t="s">
        <v>535</v>
      </c>
      <c r="C227" t="s">
        <v>535</v>
      </c>
      <c r="D227">
        <v>0</v>
      </c>
    </row>
    <row r="228" spans="2:15" ht="15" customHeight="1">
      <c r="B228" t="s">
        <v>773</v>
      </c>
      <c r="C228" t="s">
        <v>773</v>
      </c>
      <c r="D228">
        <v>0</v>
      </c>
    </row>
    <row r="229" spans="2:15" ht="15" customHeight="1">
      <c r="B229" t="s">
        <v>913</v>
      </c>
      <c r="C229" t="s">
        <v>913</v>
      </c>
      <c r="D229">
        <v>0</v>
      </c>
    </row>
    <row r="230" spans="2:15" ht="15" customHeight="1">
      <c r="B230" s="6" t="s">
        <v>1511</v>
      </c>
      <c r="C230" t="s">
        <v>1512</v>
      </c>
      <c r="D230">
        <v>0</v>
      </c>
    </row>
    <row r="231" spans="2:15" ht="15" customHeight="1">
      <c r="B231" t="s">
        <v>964</v>
      </c>
      <c r="C231" t="s">
        <v>964</v>
      </c>
      <c r="D231">
        <v>0</v>
      </c>
    </row>
    <row r="232" spans="2:15" ht="15" customHeight="1">
      <c r="B232" t="s">
        <v>534</v>
      </c>
      <c r="C232" t="s">
        <v>5089</v>
      </c>
      <c r="D232">
        <v>0</v>
      </c>
      <c r="O232" s="2"/>
    </row>
    <row r="233" spans="2:15" ht="15" customHeight="1">
      <c r="B233" t="s">
        <v>1019</v>
      </c>
      <c r="C233" t="s">
        <v>10737</v>
      </c>
      <c r="D233">
        <v>0</v>
      </c>
      <c r="O233" s="2"/>
    </row>
    <row r="234" spans="2:15" ht="15" customHeight="1">
      <c r="B234" t="s">
        <v>996</v>
      </c>
      <c r="C234" t="s">
        <v>996</v>
      </c>
      <c r="D234">
        <v>0</v>
      </c>
    </row>
    <row r="235" spans="2:15" ht="15" customHeight="1">
      <c r="B235" t="s">
        <v>5573</v>
      </c>
      <c r="C235" t="s">
        <v>1080</v>
      </c>
      <c r="D235">
        <v>0</v>
      </c>
      <c r="O235" s="2"/>
    </row>
    <row r="236" spans="2:15" ht="15" customHeight="1">
      <c r="B236" t="s">
        <v>988</v>
      </c>
      <c r="C236" t="s">
        <v>988</v>
      </c>
      <c r="D236">
        <v>0</v>
      </c>
    </row>
    <row r="237" spans="2:15" ht="15" customHeight="1">
      <c r="B237" t="s">
        <v>794</v>
      </c>
      <c r="C237" t="s">
        <v>744</v>
      </c>
      <c r="D237">
        <v>0</v>
      </c>
    </row>
    <row r="238" spans="2:15" ht="15" customHeight="1">
      <c r="B238" t="s">
        <v>788</v>
      </c>
      <c r="C238" t="s">
        <v>11995</v>
      </c>
      <c r="D238">
        <v>0</v>
      </c>
      <c r="O238" s="2"/>
    </row>
    <row r="239" spans="2:15" ht="15" customHeight="1">
      <c r="B239" t="s">
        <v>5185</v>
      </c>
      <c r="C239" t="s">
        <v>5185</v>
      </c>
      <c r="D239">
        <v>0</v>
      </c>
    </row>
    <row r="240" spans="2:15" ht="15" customHeight="1">
      <c r="B240" t="s">
        <v>5271</v>
      </c>
      <c r="C240" t="s">
        <v>973</v>
      </c>
      <c r="D240">
        <v>0</v>
      </c>
      <c r="O240" s="2"/>
    </row>
    <row r="241" spans="2:15" ht="15" customHeight="1">
      <c r="B241" t="s">
        <v>974</v>
      </c>
      <c r="C241" t="s">
        <v>5272</v>
      </c>
      <c r="D241">
        <v>0</v>
      </c>
    </row>
    <row r="242" spans="2:15" ht="15" customHeight="1">
      <c r="B242" t="s">
        <v>5273</v>
      </c>
      <c r="C242" t="s">
        <v>5274</v>
      </c>
      <c r="D242">
        <v>0</v>
      </c>
    </row>
    <row r="243" spans="2:15" ht="15" customHeight="1">
      <c r="B243" t="s">
        <v>751</v>
      </c>
      <c r="C243" t="s">
        <v>5067</v>
      </c>
      <c r="D243">
        <v>0</v>
      </c>
      <c r="O243" s="2"/>
    </row>
    <row r="244" spans="2:15" ht="15" customHeight="1">
      <c r="B244" t="s">
        <v>763</v>
      </c>
      <c r="C244" t="s">
        <v>5072</v>
      </c>
      <c r="D244">
        <v>0</v>
      </c>
    </row>
    <row r="245" spans="2:15" ht="15" customHeight="1">
      <c r="B245" t="s">
        <v>536</v>
      </c>
      <c r="C245" t="s">
        <v>7147</v>
      </c>
      <c r="D245">
        <v>0</v>
      </c>
    </row>
    <row r="246" spans="2:15" ht="15" customHeight="1">
      <c r="B246" t="s">
        <v>10397</v>
      </c>
      <c r="C246" t="s">
        <v>10405</v>
      </c>
      <c r="D246">
        <v>0</v>
      </c>
    </row>
    <row r="247" spans="2:15" ht="15" customHeight="1">
      <c r="B247" t="s">
        <v>10398</v>
      </c>
      <c r="C247" t="s">
        <v>10399</v>
      </c>
      <c r="D247">
        <v>0</v>
      </c>
    </row>
    <row r="248" spans="2:15" ht="15" customHeight="1">
      <c r="B248" t="s">
        <v>1978</v>
      </c>
      <c r="C248" t="s">
        <v>10406</v>
      </c>
      <c r="D248">
        <v>0</v>
      </c>
      <c r="O248" s="2"/>
    </row>
    <row r="249" spans="2:15" ht="15" customHeight="1">
      <c r="B249" t="s">
        <v>10407</v>
      </c>
      <c r="C249" t="s">
        <v>10407</v>
      </c>
      <c r="D249">
        <v>0</v>
      </c>
    </row>
    <row r="250" spans="2:15" ht="15" customHeight="1">
      <c r="B250" t="s">
        <v>5311</v>
      </c>
      <c r="C250" t="s">
        <v>5311</v>
      </c>
      <c r="D250">
        <v>0</v>
      </c>
    </row>
    <row r="251" spans="2:15" ht="15" customHeight="1">
      <c r="B251" t="s">
        <v>10408</v>
      </c>
      <c r="C251" t="s">
        <v>10408</v>
      </c>
      <c r="D251">
        <v>0</v>
      </c>
    </row>
    <row r="252" spans="2:15" ht="15" customHeight="1">
      <c r="B252" t="s">
        <v>7265</v>
      </c>
      <c r="C252" t="s">
        <v>7265</v>
      </c>
      <c r="D252">
        <v>0</v>
      </c>
      <c r="O252" s="2"/>
    </row>
    <row r="253" spans="2:15" ht="15" customHeight="1">
      <c r="B253" t="s">
        <v>10412</v>
      </c>
      <c r="C253" t="s">
        <v>10412</v>
      </c>
      <c r="D253">
        <v>0</v>
      </c>
    </row>
    <row r="254" spans="2:15" ht="15" customHeight="1">
      <c r="B254" t="s">
        <v>10415</v>
      </c>
      <c r="C254" t="s">
        <v>10415</v>
      </c>
      <c r="D254">
        <v>0</v>
      </c>
      <c r="O254" s="2"/>
    </row>
    <row r="255" spans="2:15" ht="15" customHeight="1">
      <c r="B255" t="s">
        <v>750</v>
      </c>
      <c r="C255" t="s">
        <v>750</v>
      </c>
      <c r="D255">
        <v>0</v>
      </c>
      <c r="O255" s="2"/>
    </row>
    <row r="256" spans="2:15" ht="15" customHeight="1">
      <c r="B256" t="s">
        <v>1274</v>
      </c>
      <c r="C256" t="s">
        <v>1274</v>
      </c>
      <c r="D256">
        <v>0</v>
      </c>
      <c r="O256" s="2"/>
    </row>
    <row r="257" spans="2:15" ht="15" customHeight="1">
      <c r="B257" t="s">
        <v>10416</v>
      </c>
      <c r="C257" t="s">
        <v>10416</v>
      </c>
      <c r="D257">
        <v>0</v>
      </c>
    </row>
    <row r="258" spans="2:15" ht="15" customHeight="1">
      <c r="B258" t="s">
        <v>10417</v>
      </c>
      <c r="C258" t="s">
        <v>10417</v>
      </c>
      <c r="D258">
        <v>0</v>
      </c>
    </row>
    <row r="259" spans="2:15" ht="15" customHeight="1">
      <c r="B259" t="s">
        <v>10682</v>
      </c>
      <c r="C259" t="s">
        <v>10682</v>
      </c>
      <c r="D259">
        <v>0</v>
      </c>
    </row>
    <row r="260" spans="2:15" ht="15" customHeight="1">
      <c r="B260" t="s">
        <v>791</v>
      </c>
      <c r="C260" t="s">
        <v>10683</v>
      </c>
      <c r="D260">
        <v>0</v>
      </c>
    </row>
    <row r="261" spans="2:15" ht="15" customHeight="1">
      <c r="B261" t="s">
        <v>5334</v>
      </c>
      <c r="C261" t="s">
        <v>5334</v>
      </c>
      <c r="D261">
        <v>0</v>
      </c>
      <c r="O261" s="2"/>
    </row>
    <row r="262" spans="2:15" ht="15" customHeight="1">
      <c r="B262" t="s">
        <v>5328</v>
      </c>
      <c r="C262" t="s">
        <v>5328</v>
      </c>
      <c r="D262">
        <v>0</v>
      </c>
    </row>
    <row r="263" spans="2:15" ht="15" customHeight="1">
      <c r="B263" t="s">
        <v>10685</v>
      </c>
      <c r="C263" t="s">
        <v>10685</v>
      </c>
      <c r="D263">
        <v>0</v>
      </c>
      <c r="O263" s="2"/>
    </row>
    <row r="264" spans="2:15" ht="15" customHeight="1">
      <c r="B264" t="s">
        <v>941</v>
      </c>
      <c r="C264" t="s">
        <v>941</v>
      </c>
      <c r="D264">
        <v>0</v>
      </c>
    </row>
    <row r="265" spans="2:15" ht="15" customHeight="1">
      <c r="B265" t="s">
        <v>770</v>
      </c>
      <c r="C265" t="s">
        <v>770</v>
      </c>
      <c r="D265">
        <v>0</v>
      </c>
    </row>
    <row r="266" spans="2:15" ht="15" customHeight="1">
      <c r="B266" t="s">
        <v>10686</v>
      </c>
      <c r="C266" t="s">
        <v>10686</v>
      </c>
      <c r="D266">
        <v>0</v>
      </c>
      <c r="O266" s="2"/>
    </row>
    <row r="267" spans="2:15" ht="15" customHeight="1">
      <c r="B267" t="s">
        <v>1931</v>
      </c>
      <c r="C267" t="s">
        <v>1931</v>
      </c>
      <c r="D267">
        <v>0</v>
      </c>
    </row>
    <row r="268" spans="2:15" ht="15" customHeight="1">
      <c r="B268" t="s">
        <v>929</v>
      </c>
      <c r="C268" t="s">
        <v>929</v>
      </c>
      <c r="D268">
        <v>0</v>
      </c>
    </row>
    <row r="269" spans="2:15" ht="15" customHeight="1">
      <c r="B269" t="s">
        <v>1933</v>
      </c>
      <c r="C269" t="s">
        <v>1933</v>
      </c>
      <c r="D269">
        <v>0</v>
      </c>
    </row>
    <row r="270" spans="2:15" ht="15" customHeight="1">
      <c r="B270" t="s">
        <v>747</v>
      </c>
      <c r="C270" t="s">
        <v>1934</v>
      </c>
      <c r="D270">
        <v>0</v>
      </c>
    </row>
    <row r="271" spans="2:15" ht="14.15" customHeight="1">
      <c r="B271" t="s">
        <v>957</v>
      </c>
      <c r="C271" t="s">
        <v>957</v>
      </c>
      <c r="D271">
        <v>0</v>
      </c>
    </row>
    <row r="272" spans="2:15" ht="15" customHeight="1">
      <c r="B272" t="s">
        <v>1932</v>
      </c>
      <c r="C272" t="s">
        <v>1932</v>
      </c>
      <c r="D272">
        <v>0</v>
      </c>
    </row>
    <row r="273" spans="2:4" ht="15" customHeight="1">
      <c r="B273">
        <v>1897</v>
      </c>
      <c r="C273" t="s">
        <v>1955</v>
      </c>
      <c r="D273">
        <v>0</v>
      </c>
    </row>
    <row r="274" spans="2:4" ht="15" customHeight="1">
      <c r="B274" t="s">
        <v>934</v>
      </c>
      <c r="C274" t="s">
        <v>1422</v>
      </c>
      <c r="D274">
        <v>0</v>
      </c>
    </row>
    <row r="275" spans="2:4" ht="15" customHeight="1">
      <c r="B275" t="s">
        <v>901</v>
      </c>
      <c r="C275" t="s">
        <v>901</v>
      </c>
      <c r="D275">
        <v>0</v>
      </c>
    </row>
    <row r="276" spans="2:4" ht="15" customHeight="1">
      <c r="B276" t="s">
        <v>902</v>
      </c>
      <c r="C276" t="s">
        <v>902</v>
      </c>
      <c r="D276">
        <v>0</v>
      </c>
    </row>
    <row r="277" spans="2:4" ht="15" customHeight="1">
      <c r="B277" t="s">
        <v>1944</v>
      </c>
      <c r="C277" t="s">
        <v>1944</v>
      </c>
      <c r="D277">
        <v>0</v>
      </c>
    </row>
    <row r="278" spans="2:4" ht="15" customHeight="1">
      <c r="B278" t="s">
        <v>884</v>
      </c>
      <c r="C278" t="s">
        <v>1430</v>
      </c>
      <c r="D278">
        <v>0</v>
      </c>
    </row>
    <row r="279" spans="2:4" ht="15" customHeight="1">
      <c r="B279" t="s">
        <v>935</v>
      </c>
      <c r="C279" t="s">
        <v>1423</v>
      </c>
      <c r="D279">
        <v>0</v>
      </c>
    </row>
    <row r="280" spans="2:4" ht="15" customHeight="1">
      <c r="B280" t="s">
        <v>986</v>
      </c>
      <c r="C280" t="s">
        <v>1951</v>
      </c>
      <c r="D280">
        <v>0</v>
      </c>
    </row>
    <row r="281" spans="2:4" ht="15" customHeight="1">
      <c r="B281" t="s">
        <v>865</v>
      </c>
      <c r="C281" t="s">
        <v>865</v>
      </c>
      <c r="D281">
        <v>0</v>
      </c>
    </row>
    <row r="282" spans="2:4" ht="15" customHeight="1">
      <c r="B282" t="s">
        <v>895</v>
      </c>
      <c r="C282" t="s">
        <v>1941</v>
      </c>
      <c r="D282">
        <v>0</v>
      </c>
    </row>
    <row r="283" spans="2:4" ht="15" customHeight="1">
      <c r="B283" t="s">
        <v>1005</v>
      </c>
      <c r="C283" t="s">
        <v>1424</v>
      </c>
      <c r="D283">
        <v>0</v>
      </c>
    </row>
    <row r="284" spans="2:4" ht="15" customHeight="1">
      <c r="B284" t="s">
        <v>925</v>
      </c>
      <c r="C284" t="s">
        <v>1937</v>
      </c>
      <c r="D284">
        <v>0</v>
      </c>
    </row>
    <row r="285" spans="2:4" ht="15" customHeight="1">
      <c r="B285" t="s">
        <v>1948</v>
      </c>
      <c r="C285" t="s">
        <v>1948</v>
      </c>
      <c r="D285">
        <v>0</v>
      </c>
    </row>
    <row r="286" spans="2:4" ht="15" customHeight="1">
      <c r="B286" t="s">
        <v>796</v>
      </c>
      <c r="C286" t="s">
        <v>796</v>
      </c>
      <c r="D286">
        <v>0</v>
      </c>
    </row>
    <row r="287" spans="2:4" ht="15" customHeight="1">
      <c r="B287" t="s">
        <v>979</v>
      </c>
      <c r="C287" t="s">
        <v>979</v>
      </c>
      <c r="D287">
        <v>0</v>
      </c>
    </row>
    <row r="288" spans="2:4" ht="15" customHeight="1">
      <c r="B288" t="s">
        <v>905</v>
      </c>
      <c r="C288" t="s">
        <v>905</v>
      </c>
      <c r="D288">
        <v>0</v>
      </c>
    </row>
    <row r="289" spans="2:4" ht="15" customHeight="1">
      <c r="B289" t="s">
        <v>858</v>
      </c>
      <c r="C289" t="s">
        <v>858</v>
      </c>
      <c r="D289">
        <v>0</v>
      </c>
    </row>
    <row r="290" spans="2:4" ht="15" customHeight="1">
      <c r="B290" t="s">
        <v>926</v>
      </c>
      <c r="C290" t="s">
        <v>926</v>
      </c>
      <c r="D290">
        <v>0</v>
      </c>
    </row>
    <row r="291" spans="2:4" ht="15" customHeight="1">
      <c r="B291" t="s">
        <v>943</v>
      </c>
      <c r="C291" t="s">
        <v>943</v>
      </c>
      <c r="D291">
        <v>0</v>
      </c>
    </row>
    <row r="292" spans="2:4" ht="15" customHeight="1">
      <c r="B292" t="s">
        <v>980</v>
      </c>
      <c r="C292" t="s">
        <v>980</v>
      </c>
      <c r="D292">
        <v>0</v>
      </c>
    </row>
    <row r="293" spans="2:4" ht="15" customHeight="1">
      <c r="B293" t="s">
        <v>1004</v>
      </c>
      <c r="C293" t="s">
        <v>1425</v>
      </c>
      <c r="D293">
        <v>0</v>
      </c>
    </row>
    <row r="294" spans="2:4" ht="15" customHeight="1">
      <c r="B294" t="s">
        <v>1946</v>
      </c>
      <c r="C294" t="s">
        <v>1947</v>
      </c>
      <c r="D294">
        <v>0</v>
      </c>
    </row>
    <row r="295" spans="2:4" ht="15" customHeight="1">
      <c r="B295" t="s">
        <v>1070</v>
      </c>
      <c r="C295" t="s">
        <v>1070</v>
      </c>
      <c r="D295">
        <v>0</v>
      </c>
    </row>
    <row r="296" spans="2:4" ht="15" customHeight="1">
      <c r="B296" t="s">
        <v>1935</v>
      </c>
      <c r="C296" t="s">
        <v>1935</v>
      </c>
      <c r="D296">
        <v>0</v>
      </c>
    </row>
    <row r="297" spans="2:4" ht="15" customHeight="1">
      <c r="B297" t="s">
        <v>890</v>
      </c>
      <c r="C297" t="s">
        <v>890</v>
      </c>
      <c r="D297">
        <v>0</v>
      </c>
    </row>
    <row r="298" spans="2:4" ht="15" customHeight="1">
      <c r="B298" t="s">
        <v>914</v>
      </c>
      <c r="C298" t="s">
        <v>914</v>
      </c>
      <c r="D298">
        <v>0</v>
      </c>
    </row>
    <row r="299" spans="2:4" ht="15" customHeight="1">
      <c r="B299" t="s">
        <v>981</v>
      </c>
      <c r="C299" t="s">
        <v>981</v>
      </c>
      <c r="D299">
        <v>0</v>
      </c>
    </row>
    <row r="300" spans="2:4" ht="15" customHeight="1">
      <c r="B300" t="s">
        <v>795</v>
      </c>
      <c r="C300" t="s">
        <v>795</v>
      </c>
      <c r="D300">
        <v>0</v>
      </c>
    </row>
    <row r="301" spans="2:4" ht="15" customHeight="1">
      <c r="B301" t="s">
        <v>971</v>
      </c>
      <c r="C301" t="s">
        <v>1431</v>
      </c>
      <c r="D301">
        <v>0</v>
      </c>
    </row>
    <row r="302" spans="2:4" ht="15" customHeight="1">
      <c r="B302" t="s">
        <v>1939</v>
      </c>
      <c r="C302" t="s">
        <v>1939</v>
      </c>
      <c r="D302">
        <v>0</v>
      </c>
    </row>
    <row r="303" spans="2:4" ht="15" customHeight="1">
      <c r="B303" t="s">
        <v>944</v>
      </c>
      <c r="C303" t="s">
        <v>944</v>
      </c>
      <c r="D303">
        <v>0</v>
      </c>
    </row>
    <row r="304" spans="2:4" ht="15" customHeight="1">
      <c r="B304" t="s">
        <v>784</v>
      </c>
      <c r="C304" t="s">
        <v>1956</v>
      </c>
      <c r="D304">
        <v>0</v>
      </c>
    </row>
    <row r="305" spans="2:4" ht="12" customHeight="1">
      <c r="B305" t="s">
        <v>958</v>
      </c>
      <c r="C305" t="s">
        <v>958</v>
      </c>
      <c r="D305">
        <v>0</v>
      </c>
    </row>
    <row r="306" spans="2:4" ht="15" customHeight="1">
      <c r="B306" t="s">
        <v>940</v>
      </c>
      <c r="C306" t="s">
        <v>940</v>
      </c>
      <c r="D306">
        <v>0</v>
      </c>
    </row>
    <row r="307" spans="2:4" ht="15" customHeight="1">
      <c r="B307" t="s">
        <v>948</v>
      </c>
      <c r="C307" t="s">
        <v>948</v>
      </c>
      <c r="D307">
        <v>0</v>
      </c>
    </row>
    <row r="308" spans="2:4" ht="15" customHeight="1">
      <c r="B308" t="s">
        <v>861</v>
      </c>
      <c r="C308" t="s">
        <v>1833</v>
      </c>
      <c r="D308">
        <v>0</v>
      </c>
    </row>
    <row r="309" spans="2:4" ht="15" customHeight="1">
      <c r="B309" t="s">
        <v>1829</v>
      </c>
      <c r="C309" t="s">
        <v>1829</v>
      </c>
      <c r="D309">
        <v>0</v>
      </c>
    </row>
    <row r="310" spans="2:4" ht="15" customHeight="1">
      <c r="B310" t="s">
        <v>936</v>
      </c>
      <c r="C310" t="s">
        <v>1426</v>
      </c>
      <c r="D310">
        <v>0</v>
      </c>
    </row>
    <row r="311" spans="2:4" ht="15" customHeight="1">
      <c r="B311" t="s">
        <v>983</v>
      </c>
      <c r="C311" t="s">
        <v>1954</v>
      </c>
      <c r="D311">
        <v>0</v>
      </c>
    </row>
    <row r="312" spans="2:4" ht="15" customHeight="1">
      <c r="B312" t="s">
        <v>937</v>
      </c>
      <c r="C312" t="s">
        <v>1427</v>
      </c>
      <c r="D312">
        <v>0</v>
      </c>
    </row>
    <row r="313" spans="2:4" ht="15" customHeight="1">
      <c r="B313" t="s">
        <v>906</v>
      </c>
      <c r="C313" t="s">
        <v>1428</v>
      </c>
      <c r="D313">
        <v>0</v>
      </c>
    </row>
    <row r="314" spans="2:4" ht="15" customHeight="1">
      <c r="B314" t="s">
        <v>886</v>
      </c>
      <c r="C314" t="s">
        <v>1953</v>
      </c>
      <c r="D314">
        <v>0</v>
      </c>
    </row>
    <row r="315" spans="2:4" ht="15" customHeight="1">
      <c r="B315" t="s">
        <v>915</v>
      </c>
      <c r="C315" t="s">
        <v>1949</v>
      </c>
      <c r="D315">
        <v>0</v>
      </c>
    </row>
    <row r="316" spans="2:4" ht="15" customHeight="1">
      <c r="B316" t="s">
        <v>852</v>
      </c>
      <c r="C316" t="s">
        <v>7140</v>
      </c>
      <c r="D316">
        <v>0</v>
      </c>
    </row>
    <row r="317" spans="2:4" ht="15" customHeight="1">
      <c r="B317" t="s">
        <v>849</v>
      </c>
      <c r="C317" t="s">
        <v>1325</v>
      </c>
      <c r="D317">
        <v>0</v>
      </c>
    </row>
    <row r="318" spans="2:4" ht="15" customHeight="1">
      <c r="B318" t="s">
        <v>927</v>
      </c>
      <c r="C318" t="s">
        <v>1940</v>
      </c>
      <c r="D318">
        <v>0</v>
      </c>
    </row>
    <row r="319" spans="2:4" ht="15" customHeight="1">
      <c r="B319" t="s">
        <v>907</v>
      </c>
      <c r="C319" t="s">
        <v>1429</v>
      </c>
      <c r="D319">
        <v>0</v>
      </c>
    </row>
    <row r="320" spans="2:4" ht="15" customHeight="1">
      <c r="B320" t="s">
        <v>755</v>
      </c>
      <c r="C320" t="s">
        <v>10874</v>
      </c>
      <c r="D320">
        <v>0</v>
      </c>
    </row>
    <row r="321" spans="2:4" ht="15" customHeight="1">
      <c r="B321" t="s">
        <v>916</v>
      </c>
      <c r="C321" t="s">
        <v>1936</v>
      </c>
      <c r="D321">
        <v>0</v>
      </c>
    </row>
    <row r="322" spans="2:4" ht="15" customHeight="1">
      <c r="B322" t="s">
        <v>560</v>
      </c>
      <c r="C322" t="s">
        <v>1432</v>
      </c>
      <c r="D322">
        <v>0</v>
      </c>
    </row>
    <row r="323" spans="2:4" ht="15" customHeight="1">
      <c r="B323" t="s">
        <v>1938</v>
      </c>
      <c r="C323" t="s">
        <v>5090</v>
      </c>
      <c r="D323">
        <v>0</v>
      </c>
    </row>
    <row r="324" spans="2:4" ht="15" customHeight="1">
      <c r="B324" t="s">
        <v>939</v>
      </c>
      <c r="C324" t="s">
        <v>1945</v>
      </c>
      <c r="D324">
        <v>0</v>
      </c>
    </row>
    <row r="325" spans="2:4" ht="15" customHeight="1">
      <c r="B325" t="s">
        <v>868</v>
      </c>
      <c r="C325" t="s">
        <v>1950</v>
      </c>
      <c r="D325">
        <v>0</v>
      </c>
    </row>
    <row r="326" spans="2:4" ht="15" customHeight="1">
      <c r="B326" t="s">
        <v>947</v>
      </c>
      <c r="C326" t="s">
        <v>1943</v>
      </c>
      <c r="D326">
        <v>0</v>
      </c>
    </row>
    <row r="327" spans="2:4" ht="15" customHeight="1">
      <c r="B327" t="s">
        <v>1942</v>
      </c>
      <c r="C327" t="s">
        <v>1942</v>
      </c>
      <c r="D327">
        <v>0</v>
      </c>
    </row>
    <row r="328" spans="2:4" ht="15" customHeight="1">
      <c r="B328" t="s">
        <v>923</v>
      </c>
      <c r="C328" t="s">
        <v>923</v>
      </c>
      <c r="D328">
        <v>0</v>
      </c>
    </row>
    <row r="329" spans="2:4" ht="15" customHeight="1">
      <c r="B329" t="s">
        <v>917</v>
      </c>
      <c r="C329" t="s">
        <v>917</v>
      </c>
      <c r="D329">
        <v>0</v>
      </c>
    </row>
    <row r="330" spans="2:4" ht="15" customHeight="1">
      <c r="B330" t="s">
        <v>956</v>
      </c>
      <c r="C330" t="s">
        <v>6523</v>
      </c>
      <c r="D330">
        <v>0</v>
      </c>
    </row>
    <row r="331" spans="2:4" ht="15" customHeight="1">
      <c r="B331" t="s">
        <v>853</v>
      </c>
      <c r="C331" t="s">
        <v>853</v>
      </c>
      <c r="D331">
        <v>0</v>
      </c>
    </row>
    <row r="332" spans="2:4" ht="15" customHeight="1">
      <c r="B332" t="s">
        <v>759</v>
      </c>
      <c r="C332" t="s">
        <v>1958</v>
      </c>
      <c r="D332">
        <v>0</v>
      </c>
    </row>
    <row r="333" spans="2:4" ht="15" customHeight="1">
      <c r="B333" t="s">
        <v>771</v>
      </c>
      <c r="C333" t="s">
        <v>1959</v>
      </c>
      <c r="D333">
        <v>0</v>
      </c>
    </row>
    <row r="334" spans="2:4" ht="15" customHeight="1">
      <c r="B334" t="s">
        <v>762</v>
      </c>
      <c r="C334" t="s">
        <v>1960</v>
      </c>
      <c r="D334">
        <v>0</v>
      </c>
    </row>
    <row r="335" spans="2:4" ht="15" customHeight="1">
      <c r="B335" t="s">
        <v>918</v>
      </c>
      <c r="C335" t="s">
        <v>1961</v>
      </c>
      <c r="D335">
        <v>0</v>
      </c>
    </row>
    <row r="336" spans="2:4" ht="15" customHeight="1">
      <c r="B336" t="s">
        <v>757</v>
      </c>
      <c r="C336" t="s">
        <v>1962</v>
      </c>
      <c r="D336">
        <v>0</v>
      </c>
    </row>
    <row r="337" spans="2:4" ht="15" customHeight="1">
      <c r="B337" t="s">
        <v>3791</v>
      </c>
      <c r="C337" t="s">
        <v>1963</v>
      </c>
      <c r="D337">
        <v>0</v>
      </c>
    </row>
    <row r="338" spans="2:4" ht="15" customHeight="1">
      <c r="B338" t="s">
        <v>758</v>
      </c>
      <c r="C338" t="s">
        <v>1964</v>
      </c>
      <c r="D338">
        <v>0</v>
      </c>
    </row>
    <row r="339" spans="2:4" ht="15" customHeight="1">
      <c r="B339" t="s">
        <v>752</v>
      </c>
      <c r="C339" t="s">
        <v>752</v>
      </c>
      <c r="D339">
        <v>0</v>
      </c>
    </row>
    <row r="340" spans="2:4" ht="15" customHeight="1">
      <c r="B340" t="s">
        <v>1965</v>
      </c>
      <c r="C340" t="s">
        <v>5078</v>
      </c>
      <c r="D340">
        <v>0</v>
      </c>
    </row>
    <row r="341" spans="2:4" ht="15" customHeight="1">
      <c r="B341" t="s">
        <v>874</v>
      </c>
      <c r="C341" t="s">
        <v>1957</v>
      </c>
      <c r="D341">
        <v>0</v>
      </c>
    </row>
    <row r="342" spans="2:4" ht="15" customHeight="1">
      <c r="B342" t="s">
        <v>862</v>
      </c>
      <c r="C342" t="s">
        <v>862</v>
      </c>
      <c r="D342">
        <v>0</v>
      </c>
    </row>
    <row r="343" spans="2:4" ht="15" customHeight="1">
      <c r="B343" t="s">
        <v>1969</v>
      </c>
      <c r="C343" t="s">
        <v>1969</v>
      </c>
      <c r="D343">
        <v>0</v>
      </c>
    </row>
    <row r="344" spans="2:4" ht="15" customHeight="1">
      <c r="B344" t="s">
        <v>1970</v>
      </c>
      <c r="C344" t="s">
        <v>870</v>
      </c>
      <c r="D344">
        <v>0</v>
      </c>
    </row>
    <row r="345" spans="2:4" ht="15" customHeight="1">
      <c r="B345" t="s">
        <v>892</v>
      </c>
      <c r="C345" t="s">
        <v>892</v>
      </c>
      <c r="D345">
        <v>0</v>
      </c>
    </row>
    <row r="346" spans="2:4" ht="15" customHeight="1">
      <c r="B346" t="s">
        <v>961</v>
      </c>
      <c r="C346" t="s">
        <v>961</v>
      </c>
      <c r="D346">
        <v>0</v>
      </c>
    </row>
    <row r="347" spans="2:4" ht="15" customHeight="1">
      <c r="B347" t="s">
        <v>931</v>
      </c>
      <c r="C347" t="s">
        <v>931</v>
      </c>
      <c r="D347">
        <v>0</v>
      </c>
    </row>
    <row r="348" spans="2:4" ht="15" customHeight="1">
      <c r="B348" t="s">
        <v>1966</v>
      </c>
      <c r="C348" t="s">
        <v>1966</v>
      </c>
      <c r="D348">
        <v>0</v>
      </c>
    </row>
    <row r="349" spans="2:4" ht="15" customHeight="1">
      <c r="B349" t="s">
        <v>893</v>
      </c>
      <c r="C349" t="s">
        <v>893</v>
      </c>
      <c r="D349">
        <v>0</v>
      </c>
    </row>
    <row r="350" spans="2:4" ht="15" customHeight="1">
      <c r="B350" t="s">
        <v>1967</v>
      </c>
      <c r="C350" t="s">
        <v>1968</v>
      </c>
      <c r="D350">
        <v>0</v>
      </c>
    </row>
    <row r="351" spans="2:4" ht="15" customHeight="1">
      <c r="B351" t="s">
        <v>894</v>
      </c>
      <c r="C351" t="s">
        <v>894</v>
      </c>
      <c r="D351">
        <v>0</v>
      </c>
    </row>
    <row r="352" spans="2:4" ht="15" customHeight="1">
      <c r="B352" t="s">
        <v>846</v>
      </c>
      <c r="C352" t="s">
        <v>846</v>
      </c>
      <c r="D352">
        <v>0</v>
      </c>
    </row>
    <row r="353" spans="2:4" ht="15" customHeight="1">
      <c r="B353" t="s">
        <v>5190</v>
      </c>
      <c r="C353" t="s">
        <v>10736</v>
      </c>
      <c r="D353">
        <v>0</v>
      </c>
    </row>
    <row r="354" spans="2:4" ht="15" customHeight="1">
      <c r="B354" t="s">
        <v>3476</v>
      </c>
      <c r="C354" t="s">
        <v>4889</v>
      </c>
      <c r="D354">
        <v>0</v>
      </c>
    </row>
    <row r="355" spans="2:4" ht="15" customHeight="1">
      <c r="B355" t="s">
        <v>1493</v>
      </c>
      <c r="C355" t="s">
        <v>6540</v>
      </c>
      <c r="D355">
        <v>0</v>
      </c>
    </row>
    <row r="356" spans="2:4" ht="15" customHeight="1">
      <c r="B356" t="s">
        <v>764</v>
      </c>
      <c r="C356" t="s">
        <v>5068</v>
      </c>
      <c r="D356">
        <v>0</v>
      </c>
    </row>
    <row r="357" spans="2:4" ht="15" customHeight="1">
      <c r="B357" t="s">
        <v>1971</v>
      </c>
      <c r="C357" t="s">
        <v>5045</v>
      </c>
      <c r="D357">
        <v>0</v>
      </c>
    </row>
    <row r="358" spans="2:4" ht="15" customHeight="1">
      <c r="B358" t="s">
        <v>1080</v>
      </c>
      <c r="C358" t="s">
        <v>1080</v>
      </c>
      <c r="D358">
        <v>0</v>
      </c>
    </row>
    <row r="359" spans="2:4" ht="15" customHeight="1">
      <c r="B359" t="s">
        <v>1504</v>
      </c>
      <c r="C359" t="s">
        <v>1505</v>
      </c>
      <c r="D359">
        <v>0</v>
      </c>
    </row>
    <row r="360" spans="2:4" ht="15" customHeight="1">
      <c r="B360" t="s">
        <v>1469</v>
      </c>
      <c r="C360" t="s">
        <v>5071</v>
      </c>
      <c r="D360">
        <v>0</v>
      </c>
    </row>
    <row r="361" spans="2:4" ht="15" customHeight="1">
      <c r="B361" t="s">
        <v>1470</v>
      </c>
      <c r="C361" t="s">
        <v>1471</v>
      </c>
      <c r="D361">
        <v>0</v>
      </c>
    </row>
    <row r="362" spans="2:4" ht="15" customHeight="1">
      <c r="B362" t="s">
        <v>1482</v>
      </c>
      <c r="C362" t="s">
        <v>10735</v>
      </c>
      <c r="D362">
        <v>0</v>
      </c>
    </row>
    <row r="363" spans="2:4" ht="15" customHeight="1">
      <c r="B363" t="s">
        <v>778</v>
      </c>
      <c r="C363" t="s">
        <v>779</v>
      </c>
      <c r="D363">
        <v>0</v>
      </c>
    </row>
    <row r="364" spans="2:4" ht="15" customHeight="1">
      <c r="B364" t="s">
        <v>27</v>
      </c>
      <c r="C364" t="s">
        <v>27</v>
      </c>
      <c r="D364">
        <v>0</v>
      </c>
    </row>
    <row r="365" spans="2:4" ht="15" customHeight="1">
      <c r="B365" t="s">
        <v>999</v>
      </c>
      <c r="C365" t="s">
        <v>1973</v>
      </c>
      <c r="D365">
        <v>0</v>
      </c>
    </row>
    <row r="366" spans="2:4" ht="15" customHeight="1">
      <c r="B366" t="s">
        <v>1500</v>
      </c>
      <c r="C366" t="s">
        <v>1501</v>
      </c>
      <c r="D366">
        <v>0</v>
      </c>
    </row>
    <row r="367" spans="2:4" ht="15" customHeight="1">
      <c r="B367" t="s">
        <v>749</v>
      </c>
      <c r="C367" t="s">
        <v>10734</v>
      </c>
      <c r="D367">
        <v>0</v>
      </c>
    </row>
    <row r="368" spans="2:4" ht="15" customHeight="1">
      <c r="B368" t="s">
        <v>746</v>
      </c>
      <c r="C368" t="s">
        <v>5075</v>
      </c>
      <c r="D368">
        <v>0</v>
      </c>
    </row>
    <row r="369" spans="2:4" ht="15" customHeight="1">
      <c r="B369" t="s">
        <v>1483</v>
      </c>
      <c r="C369" t="s">
        <v>1484</v>
      </c>
      <c r="D369">
        <v>0</v>
      </c>
    </row>
    <row r="370" spans="2:4" ht="15" customHeight="1">
      <c r="B370" t="s">
        <v>1474</v>
      </c>
      <c r="C370" t="s">
        <v>1475</v>
      </c>
      <c r="D370">
        <v>0</v>
      </c>
    </row>
    <row r="371" spans="2:4" ht="15" customHeight="1">
      <c r="B371" t="s">
        <v>772</v>
      </c>
      <c r="C371" t="s">
        <v>5476</v>
      </c>
      <c r="D371">
        <v>0</v>
      </c>
    </row>
    <row r="372" spans="2:4" ht="15" customHeight="1">
      <c r="B372" t="s">
        <v>1472</v>
      </c>
      <c r="C372" t="s">
        <v>1473</v>
      </c>
      <c r="D372">
        <v>0</v>
      </c>
    </row>
    <row r="373" spans="2:4" ht="15" customHeight="1">
      <c r="B373" t="s">
        <v>898</v>
      </c>
      <c r="C373" t="s">
        <v>5077</v>
      </c>
      <c r="D373">
        <v>0</v>
      </c>
    </row>
    <row r="374" spans="2:4" ht="15" customHeight="1">
      <c r="B374" t="s">
        <v>1502</v>
      </c>
      <c r="C374" t="s">
        <v>1503</v>
      </c>
      <c r="D374">
        <v>0</v>
      </c>
    </row>
    <row r="375" spans="2:4" ht="15" customHeight="1">
      <c r="B375" t="s">
        <v>1496</v>
      </c>
      <c r="C375" t="s">
        <v>1497</v>
      </c>
      <c r="D375">
        <v>0</v>
      </c>
    </row>
    <row r="376" spans="2:4" ht="15" customHeight="1">
      <c r="B376" t="s">
        <v>976</v>
      </c>
      <c r="C376" t="s">
        <v>4898</v>
      </c>
      <c r="D376">
        <v>0</v>
      </c>
    </row>
    <row r="377" spans="2:4" ht="15" customHeight="1">
      <c r="B377" t="s">
        <v>1974</v>
      </c>
      <c r="C377" t="s">
        <v>1974</v>
      </c>
      <c r="D377">
        <v>0</v>
      </c>
    </row>
    <row r="378" spans="2:4" ht="15" customHeight="1">
      <c r="B378" t="s">
        <v>1510</v>
      </c>
      <c r="C378" t="s">
        <v>6458</v>
      </c>
      <c r="D378">
        <v>0</v>
      </c>
    </row>
    <row r="379" spans="2:4" ht="15" customHeight="1">
      <c r="B379" t="s">
        <v>780</v>
      </c>
      <c r="C379" t="s">
        <v>743</v>
      </c>
      <c r="D379">
        <v>0</v>
      </c>
    </row>
    <row r="380" spans="2:4" ht="15" customHeight="1">
      <c r="B380" t="s">
        <v>1506</v>
      </c>
      <c r="C380" t="s">
        <v>1507</v>
      </c>
      <c r="D380">
        <v>0</v>
      </c>
    </row>
    <row r="381" spans="2:4" ht="15" customHeight="1">
      <c r="B381" t="s">
        <v>942</v>
      </c>
      <c r="C381" t="s">
        <v>1485</v>
      </c>
      <c r="D381">
        <v>0</v>
      </c>
    </row>
    <row r="382" spans="2:4" ht="15" customHeight="1">
      <c r="B382" t="s">
        <v>928</v>
      </c>
      <c r="C382" t="s">
        <v>928</v>
      </c>
      <c r="D382">
        <v>0</v>
      </c>
    </row>
    <row r="383" spans="2:4" ht="15" customHeight="1">
      <c r="B383" t="s">
        <v>561</v>
      </c>
      <c r="C383" t="s">
        <v>10887</v>
      </c>
      <c r="D383">
        <v>0</v>
      </c>
    </row>
    <row r="384" spans="2:4" ht="15" customHeight="1">
      <c r="B384" t="s">
        <v>4891</v>
      </c>
      <c r="C384" t="s">
        <v>4891</v>
      </c>
      <c r="D384">
        <v>0</v>
      </c>
    </row>
    <row r="385" spans="2:4" ht="15" customHeight="1">
      <c r="B385" t="s">
        <v>811</v>
      </c>
      <c r="C385" t="s">
        <v>811</v>
      </c>
      <c r="D385">
        <v>0</v>
      </c>
    </row>
    <row r="386" spans="2:4" ht="15" customHeight="1">
      <c r="B386" t="s">
        <v>107</v>
      </c>
      <c r="C386" t="s">
        <v>107</v>
      </c>
      <c r="D386">
        <v>0</v>
      </c>
    </row>
    <row r="387" spans="2:4" ht="15" customHeight="1">
      <c r="B387" t="s">
        <v>108</v>
      </c>
      <c r="C387" t="s">
        <v>703</v>
      </c>
      <c r="D387">
        <v>0</v>
      </c>
    </row>
    <row r="388" spans="2:4" ht="15" customHeight="1">
      <c r="B388" t="s">
        <v>900</v>
      </c>
      <c r="C388" t="s">
        <v>6462</v>
      </c>
      <c r="D388">
        <v>0</v>
      </c>
    </row>
    <row r="389" spans="2:4" ht="15" customHeight="1">
      <c r="B389" t="s">
        <v>1085</v>
      </c>
      <c r="C389" t="s">
        <v>1972</v>
      </c>
      <c r="D389">
        <v>0</v>
      </c>
    </row>
    <row r="390" spans="2:4" ht="15" customHeight="1">
      <c r="B390" t="s">
        <v>1513</v>
      </c>
      <c r="C390" t="s">
        <v>5081</v>
      </c>
      <c r="D390">
        <v>0</v>
      </c>
    </row>
    <row r="391" spans="2:4" ht="15" customHeight="1">
      <c r="B391" t="s">
        <v>876</v>
      </c>
      <c r="C391" t="s">
        <v>1516</v>
      </c>
      <c r="D391">
        <v>0</v>
      </c>
    </row>
    <row r="392" spans="2:4" ht="15" customHeight="1">
      <c r="B392" t="s">
        <v>1498</v>
      </c>
      <c r="C392" t="s">
        <v>1499</v>
      </c>
      <c r="D392">
        <v>0</v>
      </c>
    </row>
    <row r="393" spans="2:4" ht="15" customHeight="1">
      <c r="B393" t="s">
        <v>761</v>
      </c>
      <c r="C393" t="s">
        <v>1514</v>
      </c>
      <c r="D393">
        <v>0</v>
      </c>
    </row>
    <row r="394" spans="2:4" ht="15" customHeight="1">
      <c r="B394" t="s">
        <v>1515</v>
      </c>
      <c r="C394" t="s">
        <v>5082</v>
      </c>
      <c r="D394">
        <v>0</v>
      </c>
    </row>
    <row r="395" spans="2:4" ht="15" customHeight="1">
      <c r="B395" t="s">
        <v>1481</v>
      </c>
      <c r="C395" t="s">
        <v>5083</v>
      </c>
      <c r="D395">
        <v>0</v>
      </c>
    </row>
    <row r="396" spans="2:4" ht="15" customHeight="1">
      <c r="B396" t="s">
        <v>655</v>
      </c>
      <c r="C396" t="s">
        <v>655</v>
      </c>
      <c r="D396">
        <v>0</v>
      </c>
    </row>
    <row r="397" spans="2:4" ht="15" customHeight="1">
      <c r="B397" t="s">
        <v>863</v>
      </c>
      <c r="C397" t="s">
        <v>863</v>
      </c>
      <c r="D397">
        <v>0</v>
      </c>
    </row>
    <row r="398" spans="2:4" ht="15" customHeight="1">
      <c r="B398" t="s">
        <v>933</v>
      </c>
      <c r="C398" t="s">
        <v>933</v>
      </c>
      <c r="D398">
        <v>0</v>
      </c>
    </row>
    <row r="399" spans="2:4" ht="15" customHeight="1">
      <c r="B399" t="s">
        <v>1467</v>
      </c>
      <c r="C399" t="s">
        <v>1468</v>
      </c>
      <c r="D399">
        <v>0</v>
      </c>
    </row>
    <row r="400" spans="2:4" ht="15" customHeight="1">
      <c r="B400" t="s">
        <v>881</v>
      </c>
      <c r="C400" t="s">
        <v>5465</v>
      </c>
      <c r="D400">
        <v>0</v>
      </c>
    </row>
    <row r="401" spans="2:4" ht="15" customHeight="1">
      <c r="B401" t="s">
        <v>777</v>
      </c>
      <c r="C401" t="s">
        <v>10886</v>
      </c>
      <c r="D401">
        <v>0</v>
      </c>
    </row>
    <row r="402" spans="2:4" ht="15" customHeight="1">
      <c r="B402" t="s">
        <v>867</v>
      </c>
      <c r="C402" t="s">
        <v>5085</v>
      </c>
      <c r="D402">
        <v>0</v>
      </c>
    </row>
    <row r="403" spans="2:4" ht="15" customHeight="1">
      <c r="B403" t="s">
        <v>1478</v>
      </c>
      <c r="C403" t="s">
        <v>5086</v>
      </c>
      <c r="D403">
        <v>0</v>
      </c>
    </row>
    <row r="404" spans="2:4" ht="15" customHeight="1">
      <c r="B404" t="s">
        <v>911</v>
      </c>
      <c r="C404" t="s">
        <v>911</v>
      </c>
      <c r="D404">
        <v>0</v>
      </c>
    </row>
    <row r="405" spans="2:4" ht="15" customHeight="1">
      <c r="B405" t="s">
        <v>840</v>
      </c>
      <c r="C405" t="s">
        <v>5087</v>
      </c>
      <c r="D405">
        <v>0</v>
      </c>
    </row>
    <row r="406" spans="2:4" ht="15" customHeight="1">
      <c r="B406" t="s">
        <v>1486</v>
      </c>
      <c r="C406" t="s">
        <v>1487</v>
      </c>
      <c r="D406">
        <v>0</v>
      </c>
    </row>
    <row r="407" spans="2:4" ht="15" customHeight="1">
      <c r="B407" t="s">
        <v>742</v>
      </c>
      <c r="C407" t="s">
        <v>742</v>
      </c>
      <c r="D407">
        <v>0</v>
      </c>
    </row>
    <row r="408" spans="2:4" ht="15" customHeight="1">
      <c r="B408" t="s">
        <v>798</v>
      </c>
      <c r="C408" t="s">
        <v>10253</v>
      </c>
      <c r="D408">
        <v>0</v>
      </c>
    </row>
    <row r="409" spans="2:4" ht="15" customHeight="1">
      <c r="B409" t="s">
        <v>775</v>
      </c>
      <c r="C409" t="s">
        <v>5471</v>
      </c>
      <c r="D409">
        <v>0</v>
      </c>
    </row>
    <row r="410" spans="2:4" ht="15" customHeight="1">
      <c r="B410" t="s">
        <v>1491</v>
      </c>
      <c r="C410" t="s">
        <v>1492</v>
      </c>
      <c r="D410">
        <v>0</v>
      </c>
    </row>
    <row r="411" spans="2:4" ht="15" customHeight="1">
      <c r="B411" t="s">
        <v>535</v>
      </c>
      <c r="C411" t="s">
        <v>535</v>
      </c>
      <c r="D411">
        <v>0</v>
      </c>
    </row>
    <row r="412" spans="2:4" ht="15" customHeight="1">
      <c r="B412" t="s">
        <v>1494</v>
      </c>
      <c r="C412" t="s">
        <v>1495</v>
      </c>
      <c r="D412">
        <v>0</v>
      </c>
    </row>
    <row r="413" spans="2:4" ht="15" customHeight="1">
      <c r="B413" t="s">
        <v>773</v>
      </c>
      <c r="C413" t="s">
        <v>773</v>
      </c>
      <c r="D413">
        <v>0</v>
      </c>
    </row>
    <row r="414" spans="2:4" ht="15" customHeight="1">
      <c r="B414" t="s">
        <v>1508</v>
      </c>
      <c r="C414" t="s">
        <v>1509</v>
      </c>
      <c r="D414">
        <v>0</v>
      </c>
    </row>
    <row r="415" spans="2:4" ht="15" customHeight="1">
      <c r="B415" t="s">
        <v>913</v>
      </c>
      <c r="C415" t="s">
        <v>913</v>
      </c>
      <c r="D415">
        <v>0</v>
      </c>
    </row>
    <row r="416" spans="2:4" ht="15" customHeight="1">
      <c r="B416" t="s">
        <v>994</v>
      </c>
      <c r="C416" t="s">
        <v>5088</v>
      </c>
      <c r="D416">
        <v>0</v>
      </c>
    </row>
    <row r="417" spans="2:4" ht="15" customHeight="1">
      <c r="B417" t="s">
        <v>1511</v>
      </c>
      <c r="C417" t="s">
        <v>1512</v>
      </c>
      <c r="D417">
        <v>0</v>
      </c>
    </row>
    <row r="418" spans="2:4" ht="15" customHeight="1">
      <c r="B418" t="s">
        <v>1476</v>
      </c>
      <c r="C418" t="s">
        <v>1477</v>
      </c>
      <c r="D418">
        <v>0</v>
      </c>
    </row>
    <row r="419" spans="2:4" ht="15" customHeight="1">
      <c r="B419" t="s">
        <v>964</v>
      </c>
      <c r="C419" t="s">
        <v>964</v>
      </c>
      <c r="D419">
        <v>0</v>
      </c>
    </row>
    <row r="420" spans="2:4" ht="15" customHeight="1">
      <c r="B420" t="s">
        <v>534</v>
      </c>
      <c r="C420" t="s">
        <v>5089</v>
      </c>
      <c r="D420">
        <v>0</v>
      </c>
    </row>
    <row r="421" spans="2:4" ht="15" customHeight="1">
      <c r="B421" t="s">
        <v>769</v>
      </c>
      <c r="C421" t="s">
        <v>5091</v>
      </c>
      <c r="D421">
        <v>0</v>
      </c>
    </row>
    <row r="422" spans="2:4" ht="15" customHeight="1">
      <c r="B422" t="s">
        <v>1489</v>
      </c>
      <c r="C422" t="s">
        <v>1490</v>
      </c>
      <c r="D422">
        <v>0</v>
      </c>
    </row>
    <row r="423" spans="2:4" ht="15" customHeight="1">
      <c r="B423" t="s">
        <v>882</v>
      </c>
      <c r="C423" t="s">
        <v>1480</v>
      </c>
      <c r="D423">
        <v>0</v>
      </c>
    </row>
    <row r="424" spans="2:4" ht="15" customHeight="1">
      <c r="B424" t="s">
        <v>1019</v>
      </c>
      <c r="C424" t="s">
        <v>1019</v>
      </c>
      <c r="D424">
        <v>0</v>
      </c>
    </row>
    <row r="425" spans="2:4" ht="15" customHeight="1">
      <c r="B425" t="s">
        <v>996</v>
      </c>
      <c r="C425" t="s">
        <v>10738</v>
      </c>
      <c r="D425">
        <v>0</v>
      </c>
    </row>
    <row r="426" spans="2:4" ht="15" customHeight="1">
      <c r="B426" t="s">
        <v>5573</v>
      </c>
      <c r="C426" t="s">
        <v>1080</v>
      </c>
      <c r="D426">
        <v>0</v>
      </c>
    </row>
    <row r="427" spans="2:4" ht="15" customHeight="1">
      <c r="B427" t="s">
        <v>988</v>
      </c>
      <c r="C427" t="s">
        <v>988</v>
      </c>
      <c r="D427">
        <v>0</v>
      </c>
    </row>
    <row r="428" spans="2:4" ht="15" customHeight="1">
      <c r="B428" t="s">
        <v>794</v>
      </c>
      <c r="C428" t="s">
        <v>744</v>
      </c>
      <c r="D428">
        <v>0</v>
      </c>
    </row>
    <row r="429" spans="2:4" ht="15" customHeight="1">
      <c r="B429" t="s">
        <v>788</v>
      </c>
      <c r="C429" t="s">
        <v>5468</v>
      </c>
      <c r="D429">
        <v>0</v>
      </c>
    </row>
    <row r="430" spans="2:4" ht="15" customHeight="1">
      <c r="B430" t="s">
        <v>5185</v>
      </c>
      <c r="C430" t="s">
        <v>5185</v>
      </c>
      <c r="D430">
        <v>0</v>
      </c>
    </row>
    <row r="431" spans="2:4" ht="15" customHeight="1">
      <c r="B431" t="s">
        <v>5186</v>
      </c>
      <c r="C431" t="s">
        <v>5186</v>
      </c>
      <c r="D431">
        <v>0</v>
      </c>
    </row>
    <row r="432" spans="2:4" ht="15" customHeight="1">
      <c r="B432" t="s">
        <v>5187</v>
      </c>
      <c r="C432" t="s">
        <v>5188</v>
      </c>
      <c r="D432">
        <v>0</v>
      </c>
    </row>
    <row r="433" spans="2:4" ht="15" customHeight="1">
      <c r="B433" t="s">
        <v>1459</v>
      </c>
      <c r="C433" t="s">
        <v>10733</v>
      </c>
      <c r="D433">
        <v>0</v>
      </c>
    </row>
    <row r="434" spans="2:4" ht="15" customHeight="1">
      <c r="B434" t="s">
        <v>5271</v>
      </c>
      <c r="C434" t="s">
        <v>973</v>
      </c>
      <c r="D434">
        <v>0</v>
      </c>
    </row>
    <row r="435" spans="2:4" ht="15" customHeight="1">
      <c r="B435" t="s">
        <v>974</v>
      </c>
      <c r="C435" t="s">
        <v>5272</v>
      </c>
      <c r="D435">
        <v>0</v>
      </c>
    </row>
    <row r="436" spans="2:4" ht="15" customHeight="1">
      <c r="B436" t="s">
        <v>5273</v>
      </c>
      <c r="C436" t="s">
        <v>5274</v>
      </c>
      <c r="D436">
        <v>0</v>
      </c>
    </row>
    <row r="437" spans="2:4" ht="15" customHeight="1">
      <c r="B437" t="s">
        <v>751</v>
      </c>
      <c r="C437" t="s">
        <v>5067</v>
      </c>
      <c r="D437">
        <v>0</v>
      </c>
    </row>
    <row r="438" spans="2:4" ht="15" customHeight="1">
      <c r="B438" t="s">
        <v>763</v>
      </c>
      <c r="C438" t="s">
        <v>5072</v>
      </c>
      <c r="D438">
        <v>0</v>
      </c>
    </row>
    <row r="439" spans="2:4" ht="15" customHeight="1">
      <c r="B439" t="s">
        <v>536</v>
      </c>
      <c r="C439" t="s">
        <v>7147</v>
      </c>
      <c r="D439">
        <v>0</v>
      </c>
    </row>
    <row r="440" spans="2:4" ht="15" customHeight="1">
      <c r="B440" t="s">
        <v>782</v>
      </c>
      <c r="C440" t="s">
        <v>5073</v>
      </c>
      <c r="D440">
        <v>0</v>
      </c>
    </row>
    <row r="441" spans="2:4" ht="15" customHeight="1">
      <c r="B441" t="s">
        <v>842</v>
      </c>
      <c r="C441" t="s">
        <v>5074</v>
      </c>
      <c r="D441">
        <v>0</v>
      </c>
    </row>
    <row r="442" spans="2:4" ht="15" customHeight="1">
      <c r="B442" t="s">
        <v>856</v>
      </c>
      <c r="C442" t="s">
        <v>856</v>
      </c>
      <c r="D442">
        <v>0</v>
      </c>
    </row>
    <row r="443" spans="2:4" ht="15" customHeight="1">
      <c r="B443" t="s">
        <v>781</v>
      </c>
      <c r="C443" t="s">
        <v>1976</v>
      </c>
      <c r="D443">
        <v>0</v>
      </c>
    </row>
    <row r="444" spans="2:4" ht="15" customHeight="1">
      <c r="B444" t="s">
        <v>897</v>
      </c>
      <c r="C444" t="s">
        <v>5475</v>
      </c>
      <c r="D444">
        <v>0</v>
      </c>
    </row>
    <row r="445" spans="2:4" ht="15" customHeight="1">
      <c r="B445" t="s">
        <v>792</v>
      </c>
      <c r="C445" t="s">
        <v>1977</v>
      </c>
      <c r="D445">
        <v>0</v>
      </c>
    </row>
    <row r="446" spans="2:4" ht="15" customHeight="1">
      <c r="B446" t="s">
        <v>946</v>
      </c>
      <c r="C446" t="s">
        <v>946</v>
      </c>
      <c r="D446">
        <v>0</v>
      </c>
    </row>
    <row r="447" spans="2:4" ht="15" customHeight="1">
      <c r="B447" t="s">
        <v>800</v>
      </c>
      <c r="C447" t="s">
        <v>10732</v>
      </c>
      <c r="D447">
        <v>0</v>
      </c>
    </row>
    <row r="448" spans="2:4" ht="15" customHeight="1">
      <c r="B448" t="s">
        <v>776</v>
      </c>
      <c r="C448" t="s">
        <v>5092</v>
      </c>
      <c r="D448">
        <v>0</v>
      </c>
    </row>
    <row r="449" spans="2:4" ht="15" customHeight="1">
      <c r="B449" t="s">
        <v>1975</v>
      </c>
      <c r="C449" t="s">
        <v>1975</v>
      </c>
      <c r="D449">
        <v>0</v>
      </c>
    </row>
    <row r="450" spans="2:4" ht="15" customHeight="1">
      <c r="B450" t="s">
        <v>851</v>
      </c>
      <c r="C450" t="s">
        <v>10731</v>
      </c>
      <c r="D450">
        <v>0</v>
      </c>
    </row>
    <row r="451" spans="2:4" ht="15" customHeight="1">
      <c r="B451" t="s">
        <v>4896</v>
      </c>
      <c r="C451" t="s">
        <v>4896</v>
      </c>
      <c r="D451">
        <v>0</v>
      </c>
    </row>
    <row r="452" spans="2:4" ht="15" customHeight="1">
      <c r="B452" t="s">
        <v>959</v>
      </c>
      <c r="C452" t="s">
        <v>959</v>
      </c>
      <c r="D452">
        <v>0</v>
      </c>
    </row>
    <row r="453" spans="2:4" ht="15" customHeight="1">
      <c r="B453" t="s">
        <v>850</v>
      </c>
      <c r="C453" t="s">
        <v>850</v>
      </c>
      <c r="D453">
        <v>0</v>
      </c>
    </row>
    <row r="454" spans="2:4" ht="15" customHeight="1">
      <c r="B454" t="s">
        <v>854</v>
      </c>
      <c r="C454" t="s">
        <v>854</v>
      </c>
      <c r="D454">
        <v>0</v>
      </c>
    </row>
    <row r="455" spans="2:4" ht="15" customHeight="1">
      <c r="B455" t="s">
        <v>10730</v>
      </c>
      <c r="C455" t="s">
        <v>10730</v>
      </c>
      <c r="D455">
        <v>0</v>
      </c>
    </row>
    <row r="456" spans="2:4" ht="15" customHeight="1">
      <c r="B456" t="s">
        <v>760</v>
      </c>
      <c r="C456" t="s">
        <v>5069</v>
      </c>
      <c r="D456">
        <v>0</v>
      </c>
    </row>
    <row r="457" spans="2:4" ht="15" customHeight="1">
      <c r="B457" t="s">
        <v>1979</v>
      </c>
      <c r="C457" t="s">
        <v>5070</v>
      </c>
      <c r="D457">
        <v>0</v>
      </c>
    </row>
    <row r="458" spans="2:4" ht="15" customHeight="1">
      <c r="B458" t="s">
        <v>1981</v>
      </c>
      <c r="C458" t="s">
        <v>1981</v>
      </c>
      <c r="D458">
        <v>0</v>
      </c>
    </row>
    <row r="459" spans="2:4" ht="15" customHeight="1">
      <c r="B459" t="s">
        <v>877</v>
      </c>
      <c r="C459" t="s">
        <v>10729</v>
      </c>
      <c r="D459">
        <v>0</v>
      </c>
    </row>
    <row r="460" spans="2:4" ht="15" customHeight="1">
      <c r="B460" t="s">
        <v>1986</v>
      </c>
      <c r="C460" t="s">
        <v>1986</v>
      </c>
      <c r="D460">
        <v>0</v>
      </c>
    </row>
    <row r="461" spans="2:4" ht="15" customHeight="1">
      <c r="B461" t="s">
        <v>5315</v>
      </c>
      <c r="C461" t="s">
        <v>10728</v>
      </c>
      <c r="D461">
        <v>0</v>
      </c>
    </row>
    <row r="462" spans="2:4" ht="15" customHeight="1">
      <c r="B462" t="s">
        <v>4899</v>
      </c>
      <c r="C462" t="s">
        <v>10727</v>
      </c>
      <c r="D462">
        <v>0</v>
      </c>
    </row>
    <row r="463" spans="2:4" ht="15" customHeight="1">
      <c r="B463" t="s">
        <v>941</v>
      </c>
      <c r="C463" t="s">
        <v>941</v>
      </c>
      <c r="D463">
        <v>0</v>
      </c>
    </row>
    <row r="464" spans="2:4" ht="15" customHeight="1">
      <c r="B464" t="s">
        <v>1992</v>
      </c>
      <c r="C464" t="s">
        <v>1992</v>
      </c>
      <c r="D464">
        <v>0</v>
      </c>
    </row>
    <row r="465" spans="2:4" ht="15" customHeight="1">
      <c r="B465" t="s">
        <v>903</v>
      </c>
      <c r="C465" t="s">
        <v>10726</v>
      </c>
      <c r="D465">
        <v>0</v>
      </c>
    </row>
    <row r="466" spans="2:4" ht="15" customHeight="1">
      <c r="B466" t="s">
        <v>1980</v>
      </c>
      <c r="C466" t="s">
        <v>5076</v>
      </c>
      <c r="D466">
        <v>0</v>
      </c>
    </row>
    <row r="467" spans="2:4" ht="15" customHeight="1">
      <c r="B467" t="s">
        <v>1898</v>
      </c>
      <c r="C467" t="s">
        <v>1898</v>
      </c>
      <c r="D467">
        <v>0</v>
      </c>
    </row>
    <row r="468" spans="2:4" ht="15" customHeight="1">
      <c r="B468" t="s">
        <v>1982</v>
      </c>
      <c r="C468" t="s">
        <v>1982</v>
      </c>
      <c r="D468">
        <v>0</v>
      </c>
    </row>
    <row r="469" spans="2:4" ht="15" customHeight="1">
      <c r="B469" t="s">
        <v>750</v>
      </c>
      <c r="C469" t="s">
        <v>750</v>
      </c>
      <c r="D469">
        <v>0</v>
      </c>
    </row>
    <row r="470" spans="2:4" ht="15" customHeight="1">
      <c r="B470" t="s">
        <v>889</v>
      </c>
      <c r="C470" t="s">
        <v>889</v>
      </c>
      <c r="D470">
        <v>0</v>
      </c>
    </row>
    <row r="471" spans="2:4" ht="15" customHeight="1">
      <c r="B471" t="s">
        <v>803</v>
      </c>
      <c r="C471" t="s">
        <v>803</v>
      </c>
      <c r="D471">
        <v>0</v>
      </c>
    </row>
    <row r="472" spans="2:4" ht="15" customHeight="1">
      <c r="B472" t="s">
        <v>887</v>
      </c>
      <c r="C472" t="s">
        <v>10725</v>
      </c>
      <c r="D472">
        <v>0</v>
      </c>
    </row>
    <row r="473" spans="2:4" ht="15" customHeight="1">
      <c r="B473" t="s">
        <v>4901</v>
      </c>
      <c r="C473" t="s">
        <v>4901</v>
      </c>
      <c r="D473">
        <v>0</v>
      </c>
    </row>
    <row r="474" spans="2:4" ht="15" customHeight="1">
      <c r="B474" t="s">
        <v>79</v>
      </c>
      <c r="C474" t="s">
        <v>79</v>
      </c>
      <c r="D474">
        <v>0</v>
      </c>
    </row>
    <row r="475" spans="2:4" ht="15" customHeight="1">
      <c r="B475" t="s">
        <v>799</v>
      </c>
      <c r="C475" t="s">
        <v>5079</v>
      </c>
      <c r="D475">
        <v>0</v>
      </c>
    </row>
    <row r="476" spans="2:4" ht="15" customHeight="1">
      <c r="B476" t="s">
        <v>756</v>
      </c>
      <c r="C476" t="s">
        <v>756</v>
      </c>
      <c r="D476">
        <v>0</v>
      </c>
    </row>
    <row r="477" spans="2:4" ht="15" customHeight="1">
      <c r="B477" t="s">
        <v>371</v>
      </c>
      <c r="C477" t="s">
        <v>371</v>
      </c>
      <c r="D477">
        <v>0</v>
      </c>
    </row>
    <row r="478" spans="2:4" ht="15" customHeight="1">
      <c r="B478" t="s">
        <v>1993</v>
      </c>
      <c r="C478" t="s">
        <v>10724</v>
      </c>
      <c r="D478">
        <v>0</v>
      </c>
    </row>
    <row r="479" spans="2:4" ht="15" customHeight="1">
      <c r="B479" t="s">
        <v>859</v>
      </c>
      <c r="C479" t="s">
        <v>859</v>
      </c>
      <c r="D479">
        <v>0</v>
      </c>
    </row>
    <row r="480" spans="2:4" ht="15" customHeight="1">
      <c r="B480" t="s">
        <v>1978</v>
      </c>
      <c r="C480" t="s">
        <v>10723</v>
      </c>
      <c r="D480">
        <v>0</v>
      </c>
    </row>
    <row r="481" spans="2:4" ht="15" customHeight="1">
      <c r="B481" t="s">
        <v>1988</v>
      </c>
      <c r="C481" t="s">
        <v>1989</v>
      </c>
      <c r="D481">
        <v>0</v>
      </c>
    </row>
    <row r="482" spans="2:4" ht="15" customHeight="1">
      <c r="B482" t="s">
        <v>1984</v>
      </c>
      <c r="C482" t="s">
        <v>1984</v>
      </c>
      <c r="D482">
        <v>0</v>
      </c>
    </row>
    <row r="483" spans="2:4" ht="15" customHeight="1">
      <c r="B483" t="s">
        <v>745</v>
      </c>
      <c r="C483" t="s">
        <v>745</v>
      </c>
      <c r="D483">
        <v>0</v>
      </c>
    </row>
    <row r="484" spans="2:4" ht="15" customHeight="1">
      <c r="B484" t="s">
        <v>5046</v>
      </c>
      <c r="C484" t="s">
        <v>10722</v>
      </c>
      <c r="D484">
        <v>0</v>
      </c>
    </row>
    <row r="485" spans="2:4" ht="15" customHeight="1">
      <c r="B485" t="s">
        <v>953</v>
      </c>
      <c r="C485" t="s">
        <v>10721</v>
      </c>
      <c r="D485">
        <v>0</v>
      </c>
    </row>
    <row r="486" spans="2:4" ht="15" customHeight="1">
      <c r="B486" t="s">
        <v>790</v>
      </c>
      <c r="C486" t="s">
        <v>790</v>
      </c>
      <c r="D486">
        <v>0</v>
      </c>
    </row>
    <row r="487" spans="2:4" ht="15" customHeight="1">
      <c r="B487" t="s">
        <v>797</v>
      </c>
      <c r="C487" t="s">
        <v>797</v>
      </c>
      <c r="D487">
        <v>0</v>
      </c>
    </row>
    <row r="488" spans="2:4" ht="15" customHeight="1">
      <c r="B488" t="s">
        <v>949</v>
      </c>
      <c r="C488" t="s">
        <v>949</v>
      </c>
      <c r="D488">
        <v>0</v>
      </c>
    </row>
    <row r="489" spans="2:4" ht="15" customHeight="1">
      <c r="B489" t="s">
        <v>995</v>
      </c>
      <c r="C489" t="s">
        <v>5265</v>
      </c>
      <c r="D489">
        <v>0</v>
      </c>
    </row>
    <row r="490" spans="2:4" ht="15" customHeight="1">
      <c r="B490" t="s">
        <v>880</v>
      </c>
      <c r="C490" t="s">
        <v>880</v>
      </c>
      <c r="D490">
        <v>0</v>
      </c>
    </row>
    <row r="491" spans="2:4" ht="15" customHeight="1">
      <c r="B491" t="s">
        <v>1991</v>
      </c>
      <c r="C491" t="s">
        <v>1991</v>
      </c>
      <c r="D491">
        <v>0</v>
      </c>
    </row>
    <row r="492" spans="2:4" ht="15" customHeight="1">
      <c r="B492" t="s">
        <v>1983</v>
      </c>
      <c r="C492" t="s">
        <v>5084</v>
      </c>
      <c r="D492">
        <v>0</v>
      </c>
    </row>
    <row r="493" spans="2:4" ht="15" customHeight="1">
      <c r="B493" t="s">
        <v>954</v>
      </c>
      <c r="C493" t="s">
        <v>954</v>
      </c>
      <c r="D493">
        <v>0</v>
      </c>
    </row>
    <row r="494" spans="2:4" ht="15" customHeight="1">
      <c r="B494" t="s">
        <v>904</v>
      </c>
      <c r="C494" t="s">
        <v>904</v>
      </c>
      <c r="D494">
        <v>0</v>
      </c>
    </row>
    <row r="495" spans="2:4" ht="15" customHeight="1">
      <c r="B495" t="s">
        <v>768</v>
      </c>
      <c r="C495" t="s">
        <v>10720</v>
      </c>
      <c r="D495">
        <v>0</v>
      </c>
    </row>
    <row r="496" spans="2:4" ht="15" customHeight="1">
      <c r="B496" t="s">
        <v>1488</v>
      </c>
      <c r="C496" t="s">
        <v>10719</v>
      </c>
      <c r="D496">
        <v>0</v>
      </c>
    </row>
    <row r="497" spans="2:4" ht="15" customHeight="1">
      <c r="B497" t="s">
        <v>891</v>
      </c>
      <c r="C497" t="s">
        <v>891</v>
      </c>
      <c r="D497">
        <v>0</v>
      </c>
    </row>
    <row r="498" spans="2:4" ht="15" customHeight="1">
      <c r="B498" t="s">
        <v>10718</v>
      </c>
      <c r="C498" t="s">
        <v>10717</v>
      </c>
      <c r="D498">
        <v>0</v>
      </c>
    </row>
    <row r="499" spans="2:4" ht="15" customHeight="1">
      <c r="B499" t="s">
        <v>787</v>
      </c>
      <c r="C499" t="s">
        <v>10716</v>
      </c>
      <c r="D499">
        <v>0</v>
      </c>
    </row>
    <row r="500" spans="2:4" ht="15" customHeight="1">
      <c r="B500" t="s">
        <v>1987</v>
      </c>
      <c r="C500" t="s">
        <v>10715</v>
      </c>
      <c r="D500">
        <v>0</v>
      </c>
    </row>
    <row r="501" spans="2:4" ht="15" customHeight="1">
      <c r="B501" t="s">
        <v>910</v>
      </c>
      <c r="C501" t="s">
        <v>910</v>
      </c>
      <c r="D501">
        <v>0</v>
      </c>
    </row>
    <row r="502" spans="2:4" ht="15" customHeight="1">
      <c r="B502" t="s">
        <v>10714</v>
      </c>
      <c r="C502" t="s">
        <v>10714</v>
      </c>
      <c r="D502">
        <v>0</v>
      </c>
    </row>
    <row r="503" spans="2:4" ht="15" customHeight="1">
      <c r="B503" t="s">
        <v>1985</v>
      </c>
      <c r="C503" t="s">
        <v>1985</v>
      </c>
      <c r="D503">
        <v>0</v>
      </c>
    </row>
    <row r="504" spans="2:4" ht="15" customHeight="1">
      <c r="B504" t="s">
        <v>1990</v>
      </c>
      <c r="C504" t="s">
        <v>1990</v>
      </c>
      <c r="D504">
        <v>0</v>
      </c>
    </row>
    <row r="505" spans="2:4" ht="15" customHeight="1">
      <c r="B505" t="s">
        <v>5176</v>
      </c>
      <c r="C505" t="s">
        <v>5176</v>
      </c>
      <c r="D505">
        <v>0</v>
      </c>
    </row>
    <row r="506" spans="2:4" ht="15" customHeight="1">
      <c r="B506">
        <v>175</v>
      </c>
      <c r="C506">
        <v>175</v>
      </c>
      <c r="D506">
        <v>0</v>
      </c>
    </row>
    <row r="507" spans="2:4" ht="15" customHeight="1">
      <c r="B507" t="s">
        <v>785</v>
      </c>
      <c r="C507" t="s">
        <v>10713</v>
      </c>
      <c r="D507">
        <v>0</v>
      </c>
    </row>
    <row r="508" spans="2:4" ht="15" customHeight="1">
      <c r="B508" t="s">
        <v>748</v>
      </c>
      <c r="C508" t="s">
        <v>748</v>
      </c>
      <c r="D508">
        <v>0</v>
      </c>
    </row>
    <row r="509" spans="2:4" ht="15" customHeight="1">
      <c r="B509" t="s">
        <v>5262</v>
      </c>
      <c r="C509" t="s">
        <v>10712</v>
      </c>
      <c r="D509">
        <v>0</v>
      </c>
    </row>
    <row r="510" spans="2:4" ht="15" customHeight="1">
      <c r="B510" t="s">
        <v>888</v>
      </c>
      <c r="C510" t="s">
        <v>10711</v>
      </c>
      <c r="D510">
        <v>0</v>
      </c>
    </row>
    <row r="511" spans="2:4" ht="15" customHeight="1">
      <c r="B511" t="s">
        <v>878</v>
      </c>
      <c r="C511" t="s">
        <v>878</v>
      </c>
      <c r="D511">
        <v>0</v>
      </c>
    </row>
    <row r="512" spans="2:4" ht="15" customHeight="1">
      <c r="B512" t="s">
        <v>883</v>
      </c>
      <c r="C512" t="s">
        <v>883</v>
      </c>
      <c r="D512">
        <v>0</v>
      </c>
    </row>
    <row r="513" spans="2:4" ht="15" customHeight="1">
      <c r="B513" t="s">
        <v>753</v>
      </c>
      <c r="C513" t="s">
        <v>753</v>
      </c>
      <c r="D513">
        <v>0</v>
      </c>
    </row>
    <row r="514" spans="2:4" ht="15" customHeight="1">
      <c r="B514" t="s">
        <v>879</v>
      </c>
      <c r="C514" t="s">
        <v>1994</v>
      </c>
      <c r="D514">
        <v>0</v>
      </c>
    </row>
    <row r="515" spans="2:4" ht="15" customHeight="1">
      <c r="B515" t="s">
        <v>10710</v>
      </c>
      <c r="C515" t="s">
        <v>10710</v>
      </c>
      <c r="D515">
        <v>0</v>
      </c>
    </row>
    <row r="516" spans="2:4" ht="15" customHeight="1">
      <c r="B516" t="s">
        <v>991</v>
      </c>
      <c r="C516" t="s">
        <v>991</v>
      </c>
      <c r="D516">
        <v>0</v>
      </c>
    </row>
    <row r="517" spans="2:4" ht="15" customHeight="1">
      <c r="B517" t="s">
        <v>855</v>
      </c>
      <c r="C517" t="s">
        <v>855</v>
      </c>
      <c r="D517">
        <v>0</v>
      </c>
    </row>
    <row r="518" spans="2:4" ht="15" customHeight="1">
      <c r="B518" t="s">
        <v>1995</v>
      </c>
      <c r="C518" t="s">
        <v>1995</v>
      </c>
      <c r="D518">
        <v>0</v>
      </c>
    </row>
    <row r="519" spans="2:4" ht="15" customHeight="1">
      <c r="B519" t="s">
        <v>793</v>
      </c>
      <c r="C519" t="s">
        <v>10709</v>
      </c>
      <c r="D519">
        <v>0</v>
      </c>
    </row>
    <row r="520" spans="2:4" ht="15" customHeight="1">
      <c r="B520" t="s">
        <v>872</v>
      </c>
      <c r="C520" t="s">
        <v>10708</v>
      </c>
      <c r="D520">
        <v>0</v>
      </c>
    </row>
    <row r="521" spans="2:4" ht="15" customHeight="1">
      <c r="B521" t="s">
        <v>791</v>
      </c>
      <c r="C521" t="s">
        <v>10707</v>
      </c>
      <c r="D521">
        <v>0</v>
      </c>
    </row>
    <row r="522" spans="2:4" ht="15" customHeight="1">
      <c r="B522" t="s">
        <v>783</v>
      </c>
      <c r="C522" t="s">
        <v>10706</v>
      </c>
      <c r="D522">
        <v>0</v>
      </c>
    </row>
    <row r="523" spans="2:4" ht="15" customHeight="1">
      <c r="B523" t="s">
        <v>774</v>
      </c>
      <c r="C523" t="s">
        <v>10705</v>
      </c>
      <c r="D523">
        <v>0</v>
      </c>
    </row>
    <row r="524" spans="2:4" ht="15" customHeight="1">
      <c r="B524" t="s">
        <v>786</v>
      </c>
      <c r="C524" t="s">
        <v>10704</v>
      </c>
      <c r="D524">
        <v>0</v>
      </c>
    </row>
    <row r="525" spans="2:4" ht="15" customHeight="1">
      <c r="B525" t="s">
        <v>1998</v>
      </c>
      <c r="C525" t="s">
        <v>1998</v>
      </c>
      <c r="D525">
        <v>0</v>
      </c>
    </row>
    <row r="526" spans="2:4" ht="15" customHeight="1">
      <c r="B526" t="s">
        <v>1996</v>
      </c>
      <c r="C526" t="s">
        <v>1996</v>
      </c>
      <c r="D526">
        <v>0</v>
      </c>
    </row>
    <row r="527" spans="2:4" ht="15" customHeight="1">
      <c r="B527" t="s">
        <v>804</v>
      </c>
      <c r="C527" t="s">
        <v>804</v>
      </c>
      <c r="D527">
        <v>0</v>
      </c>
    </row>
    <row r="528" spans="2:4" ht="15" customHeight="1">
      <c r="B528" t="s">
        <v>908</v>
      </c>
      <c r="C528" t="s">
        <v>908</v>
      </c>
      <c r="D528">
        <v>0</v>
      </c>
    </row>
    <row r="529" spans="2:4" ht="15" customHeight="1">
      <c r="B529" t="s">
        <v>2000</v>
      </c>
      <c r="C529" t="s">
        <v>2000</v>
      </c>
      <c r="D529">
        <v>0</v>
      </c>
    </row>
    <row r="530" spans="2:4" ht="15" customHeight="1">
      <c r="B530" t="s">
        <v>1997</v>
      </c>
      <c r="C530" t="s">
        <v>1997</v>
      </c>
      <c r="D530">
        <v>0</v>
      </c>
    </row>
    <row r="531" spans="2:4" ht="15" customHeight="1">
      <c r="B531" t="s">
        <v>129</v>
      </c>
      <c r="C531" t="s">
        <v>129</v>
      </c>
      <c r="D531">
        <v>0</v>
      </c>
    </row>
    <row r="532" spans="2:4" ht="15" customHeight="1">
      <c r="B532" t="s">
        <v>1999</v>
      </c>
      <c r="C532" t="s">
        <v>1999</v>
      </c>
      <c r="D532">
        <v>0</v>
      </c>
    </row>
    <row r="533" spans="2:4" ht="15" customHeight="1">
      <c r="B533" t="s">
        <v>930</v>
      </c>
      <c r="C533" t="s">
        <v>930</v>
      </c>
      <c r="D533">
        <v>0</v>
      </c>
    </row>
    <row r="534" spans="2:4" ht="15" customHeight="1">
      <c r="B534" t="s">
        <v>989</v>
      </c>
      <c r="C534" t="s">
        <v>989</v>
      </c>
      <c r="D534">
        <v>0</v>
      </c>
    </row>
    <row r="535" spans="2:4" ht="15" customHeight="1">
      <c r="B535" t="s">
        <v>990</v>
      </c>
      <c r="C535" t="s">
        <v>990</v>
      </c>
      <c r="D535">
        <v>0</v>
      </c>
    </row>
    <row r="536" spans="2:4" ht="15" customHeight="1">
      <c r="B536" t="s">
        <v>1438</v>
      </c>
      <c r="C536" t="s">
        <v>1438</v>
      </c>
      <c r="D536">
        <v>0</v>
      </c>
    </row>
    <row r="537" spans="2:4" ht="15" customHeight="1">
      <c r="B537" t="s">
        <v>136</v>
      </c>
      <c r="C537" t="s">
        <v>708</v>
      </c>
      <c r="D537">
        <v>0</v>
      </c>
    </row>
    <row r="538" spans="2:4" ht="15" customHeight="1">
      <c r="B538" t="s">
        <v>924</v>
      </c>
      <c r="C538" t="s">
        <v>924</v>
      </c>
      <c r="D538">
        <v>0</v>
      </c>
    </row>
    <row r="539" spans="2:4" ht="15" customHeight="1">
      <c r="B539" t="s">
        <v>972</v>
      </c>
      <c r="C539" t="s">
        <v>972</v>
      </c>
      <c r="D539">
        <v>0</v>
      </c>
    </row>
    <row r="540" spans="2:4" ht="15" customHeight="1">
      <c r="B540" t="s">
        <v>992</v>
      </c>
      <c r="C540" t="s">
        <v>992</v>
      </c>
      <c r="D540">
        <v>0</v>
      </c>
    </row>
    <row r="541" spans="2:4" ht="15" customHeight="1">
      <c r="B541" t="s">
        <v>899</v>
      </c>
      <c r="C541" t="s">
        <v>899</v>
      </c>
      <c r="D541">
        <v>0</v>
      </c>
    </row>
    <row r="542" spans="2:4" ht="15" customHeight="1">
      <c r="B542" t="s">
        <v>873</v>
      </c>
      <c r="C542" t="s">
        <v>873</v>
      </c>
      <c r="D542">
        <v>0</v>
      </c>
    </row>
    <row r="543" spans="2:4" ht="15" customHeight="1">
      <c r="B543" t="s">
        <v>5297</v>
      </c>
      <c r="C543" t="s">
        <v>5297</v>
      </c>
      <c r="D543">
        <v>0</v>
      </c>
    </row>
    <row r="544" spans="2:4" ht="15" customHeight="1">
      <c r="B544" t="s">
        <v>984</v>
      </c>
      <c r="C544" t="s">
        <v>984</v>
      </c>
      <c r="D544">
        <v>0</v>
      </c>
    </row>
    <row r="545" spans="2:4" ht="15" customHeight="1">
      <c r="B545" t="s">
        <v>5311</v>
      </c>
      <c r="C545" t="s">
        <v>10703</v>
      </c>
      <c r="D545">
        <v>0</v>
      </c>
    </row>
    <row r="546" spans="2:4" ht="15" customHeight="1">
      <c r="B546" t="s">
        <v>5325</v>
      </c>
      <c r="C546" t="s">
        <v>5325</v>
      </c>
      <c r="D546">
        <v>0</v>
      </c>
    </row>
    <row r="547" spans="2:4" ht="15" customHeight="1">
      <c r="B547" t="s">
        <v>212</v>
      </c>
      <c r="C547" t="s">
        <v>212</v>
      </c>
      <c r="D547">
        <v>0</v>
      </c>
    </row>
    <row r="548" spans="2:4" ht="15" customHeight="1">
      <c r="B548" t="s">
        <v>10702</v>
      </c>
      <c r="C548" t="s">
        <v>10702</v>
      </c>
      <c r="D548">
        <v>0</v>
      </c>
    </row>
    <row r="549" spans="2:4" ht="15" customHeight="1">
      <c r="B549" t="s">
        <v>5329</v>
      </c>
      <c r="C549" t="s">
        <v>5329</v>
      </c>
      <c r="D549">
        <v>0</v>
      </c>
    </row>
    <row r="550" spans="2:4" ht="15" customHeight="1">
      <c r="B550" t="s">
        <v>5330</v>
      </c>
      <c r="C550" t="s">
        <v>5330</v>
      </c>
      <c r="D550">
        <v>0</v>
      </c>
    </row>
    <row r="551" spans="2:4" ht="15" customHeight="1">
      <c r="B551" t="s">
        <v>5331</v>
      </c>
      <c r="C551" t="s">
        <v>5331</v>
      </c>
      <c r="D551">
        <v>0</v>
      </c>
    </row>
    <row r="552" spans="2:4" ht="15" customHeight="1">
      <c r="B552" t="s">
        <v>5332</v>
      </c>
      <c r="C552" t="s">
        <v>5332</v>
      </c>
      <c r="D552">
        <v>0</v>
      </c>
    </row>
    <row r="553" spans="2:4" ht="15" customHeight="1">
      <c r="B553" t="s">
        <v>5334</v>
      </c>
      <c r="C553" t="s">
        <v>5334</v>
      </c>
      <c r="D553">
        <v>0</v>
      </c>
    </row>
    <row r="554" spans="2:4" ht="15" customHeight="1">
      <c r="B554" t="s">
        <v>1462</v>
      </c>
      <c r="C554" t="s">
        <v>1462</v>
      </c>
      <c r="D554">
        <v>0</v>
      </c>
    </row>
    <row r="555" spans="2:4" ht="15" customHeight="1">
      <c r="B555" t="s">
        <v>766</v>
      </c>
      <c r="C555" t="s">
        <v>766</v>
      </c>
      <c r="D555">
        <v>0</v>
      </c>
    </row>
    <row r="556" spans="2:4" ht="15" customHeight="1">
      <c r="B556" t="s">
        <v>715</v>
      </c>
      <c r="C556" t="s">
        <v>715</v>
      </c>
      <c r="D556">
        <v>0</v>
      </c>
    </row>
    <row r="557" spans="2:4" ht="15" customHeight="1">
      <c r="B557" t="s">
        <v>5362</v>
      </c>
      <c r="C557" t="s">
        <v>5362</v>
      </c>
      <c r="D557">
        <v>0</v>
      </c>
    </row>
    <row r="558" spans="2:4" ht="15" customHeight="1">
      <c r="B558" t="s">
        <v>1075</v>
      </c>
      <c r="C558" t="s">
        <v>1075</v>
      </c>
      <c r="D558">
        <v>0</v>
      </c>
    </row>
    <row r="559" spans="2:4" ht="15" customHeight="1">
      <c r="B559" t="s">
        <v>1916</v>
      </c>
      <c r="C559" t="s">
        <v>1916</v>
      </c>
      <c r="D559">
        <v>0</v>
      </c>
    </row>
    <row r="560" spans="2:4" ht="15" customHeight="1">
      <c r="B560" t="s">
        <v>1922</v>
      </c>
      <c r="C560" t="s">
        <v>1922</v>
      </c>
      <c r="D560">
        <v>0</v>
      </c>
    </row>
    <row r="561" spans="2:4" ht="15" customHeight="1">
      <c r="B561" t="s">
        <v>922</v>
      </c>
      <c r="C561" t="s">
        <v>922</v>
      </c>
      <c r="D561">
        <v>0</v>
      </c>
    </row>
    <row r="562" spans="2:4" ht="15" customHeight="1">
      <c r="B562" t="s">
        <v>765</v>
      </c>
      <c r="C562" t="s">
        <v>765</v>
      </c>
      <c r="D562">
        <v>0</v>
      </c>
    </row>
    <row r="563" spans="2:4" ht="15" customHeight="1">
      <c r="B563" t="s">
        <v>684</v>
      </c>
      <c r="C563" t="s">
        <v>684</v>
      </c>
      <c r="D563">
        <v>0</v>
      </c>
    </row>
    <row r="564" spans="2:4" ht="15" customHeight="1">
      <c r="B564" t="s">
        <v>5363</v>
      </c>
      <c r="C564" t="s">
        <v>5363</v>
      </c>
      <c r="D564">
        <v>0</v>
      </c>
    </row>
    <row r="565" spans="2:4" ht="15" customHeight="1">
      <c r="B565" t="s">
        <v>5255</v>
      </c>
      <c r="C565" t="s">
        <v>5255</v>
      </c>
      <c r="D565">
        <v>0</v>
      </c>
    </row>
    <row r="566" spans="2:4" ht="15" customHeight="1">
      <c r="B566" t="s">
        <v>5328</v>
      </c>
      <c r="C566" t="s">
        <v>5328</v>
      </c>
      <c r="D566">
        <v>0</v>
      </c>
    </row>
    <row r="567" spans="2:4" ht="15" customHeight="1">
      <c r="B567" t="s">
        <v>5365</v>
      </c>
      <c r="C567" t="s">
        <v>5365</v>
      </c>
      <c r="D567">
        <v>0</v>
      </c>
    </row>
    <row r="568" spans="2:4" ht="15" customHeight="1">
      <c r="B568" t="s">
        <v>5454</v>
      </c>
      <c r="C568" t="s">
        <v>5454</v>
      </c>
      <c r="D568">
        <v>0</v>
      </c>
    </row>
    <row r="569" spans="2:4" ht="15" customHeight="1">
      <c r="B569" t="s">
        <v>789</v>
      </c>
      <c r="C569" t="s">
        <v>789</v>
      </c>
      <c r="D569">
        <v>0</v>
      </c>
    </row>
    <row r="570" spans="2:4" ht="15" customHeight="1">
      <c r="B570" t="s">
        <v>5201</v>
      </c>
      <c r="C570" t="s">
        <v>10701</v>
      </c>
      <c r="D570">
        <v>0</v>
      </c>
    </row>
    <row r="571" spans="2:4" ht="15" customHeight="1">
      <c r="B571" t="s">
        <v>767</v>
      </c>
      <c r="C571" t="s">
        <v>767</v>
      </c>
      <c r="D571">
        <v>0</v>
      </c>
    </row>
    <row r="572" spans="2:4" ht="15" customHeight="1">
      <c r="B572" t="s">
        <v>963</v>
      </c>
      <c r="C572" t="s">
        <v>963</v>
      </c>
      <c r="D572">
        <v>0</v>
      </c>
    </row>
    <row r="573" spans="2:4" ht="15" customHeight="1">
      <c r="B573" t="s">
        <v>5483</v>
      </c>
      <c r="C573" t="s">
        <v>5483</v>
      </c>
      <c r="D573">
        <v>0</v>
      </c>
    </row>
    <row r="574" spans="2:4" ht="15" customHeight="1">
      <c r="B574" t="s">
        <v>5486</v>
      </c>
      <c r="C574" t="s">
        <v>5486</v>
      </c>
      <c r="D574">
        <v>0</v>
      </c>
    </row>
    <row r="575" spans="2:4" ht="15" customHeight="1">
      <c r="B575" t="s">
        <v>5490</v>
      </c>
      <c r="C575" t="s">
        <v>5490</v>
      </c>
      <c r="D575">
        <v>0</v>
      </c>
    </row>
    <row r="576" spans="2:4" ht="15" customHeight="1">
      <c r="B576">
        <v>9000</v>
      </c>
      <c r="C576">
        <v>9000</v>
      </c>
      <c r="D576">
        <v>0</v>
      </c>
    </row>
    <row r="577" spans="2:4" ht="15" customHeight="1">
      <c r="B577" t="s">
        <v>5507</v>
      </c>
      <c r="C577" t="s">
        <v>5507</v>
      </c>
      <c r="D577">
        <v>0</v>
      </c>
    </row>
    <row r="578" spans="2:4" ht="15" customHeight="1">
      <c r="B578" t="s">
        <v>5511</v>
      </c>
      <c r="C578" t="s">
        <v>5511</v>
      </c>
      <c r="D578">
        <v>0</v>
      </c>
    </row>
    <row r="579" spans="2:4" ht="15" customHeight="1">
      <c r="B579" t="s">
        <v>6423</v>
      </c>
      <c r="C579" t="s">
        <v>10700</v>
      </c>
      <c r="D579">
        <v>0</v>
      </c>
    </row>
    <row r="580" spans="2:4" ht="15" customHeight="1">
      <c r="B580" t="s">
        <v>6429</v>
      </c>
      <c r="C580" t="s">
        <v>10699</v>
      </c>
      <c r="D580">
        <v>0</v>
      </c>
    </row>
    <row r="581" spans="2:4" ht="15" customHeight="1">
      <c r="B581" t="s">
        <v>6444</v>
      </c>
      <c r="C581" t="s">
        <v>10698</v>
      </c>
      <c r="D581">
        <v>0</v>
      </c>
    </row>
    <row r="582" spans="2:4" ht="15" customHeight="1">
      <c r="B582" t="s">
        <v>10697</v>
      </c>
      <c r="C582" t="s">
        <v>10697</v>
      </c>
      <c r="D582">
        <v>0</v>
      </c>
    </row>
    <row r="583" spans="2:4" ht="15" customHeight="1">
      <c r="B583" t="s">
        <v>6454</v>
      </c>
      <c r="C583" t="s">
        <v>6454</v>
      </c>
      <c r="D583">
        <v>0</v>
      </c>
    </row>
    <row r="584" spans="2:4" ht="15" customHeight="1">
      <c r="B584" t="s">
        <v>6455</v>
      </c>
      <c r="C584" t="s">
        <v>6455</v>
      </c>
      <c r="D584">
        <v>0</v>
      </c>
    </row>
    <row r="585" spans="2:4" ht="15" customHeight="1">
      <c r="B585" t="s">
        <v>1466</v>
      </c>
      <c r="C585" t="s">
        <v>10696</v>
      </c>
      <c r="D585">
        <v>0</v>
      </c>
    </row>
    <row r="586" spans="2:4" ht="15" customHeight="1">
      <c r="B586" t="s">
        <v>6500</v>
      </c>
      <c r="C586" t="s">
        <v>10695</v>
      </c>
      <c r="D586">
        <v>0</v>
      </c>
    </row>
    <row r="587" spans="2:4" ht="15" customHeight="1">
      <c r="B587" t="s">
        <v>6513</v>
      </c>
      <c r="C587" t="s">
        <v>6513</v>
      </c>
      <c r="D587">
        <v>0</v>
      </c>
    </row>
    <row r="588" spans="2:4" ht="15" customHeight="1">
      <c r="B588" t="s">
        <v>6516</v>
      </c>
      <c r="C588" t="s">
        <v>6516</v>
      </c>
      <c r="D588">
        <v>0</v>
      </c>
    </row>
    <row r="589" spans="2:4" ht="15" customHeight="1">
      <c r="B589" t="s">
        <v>6535</v>
      </c>
      <c r="C589" t="s">
        <v>10694</v>
      </c>
      <c r="D589">
        <v>0</v>
      </c>
    </row>
    <row r="590" spans="2:4" ht="15" customHeight="1">
      <c r="B590" t="s">
        <v>6536</v>
      </c>
      <c r="C590" t="s">
        <v>6537</v>
      </c>
      <c r="D590">
        <v>0</v>
      </c>
    </row>
    <row r="591" spans="2:4" ht="15" customHeight="1">
      <c r="B591" t="s">
        <v>6584</v>
      </c>
      <c r="C591" t="s">
        <v>6584</v>
      </c>
      <c r="D591">
        <v>0</v>
      </c>
    </row>
    <row r="592" spans="2:4" ht="15" customHeight="1">
      <c r="B592" t="s">
        <v>6585</v>
      </c>
      <c r="C592" t="s">
        <v>6585</v>
      </c>
      <c r="D592">
        <v>0</v>
      </c>
    </row>
    <row r="593" spans="2:4" ht="15" customHeight="1">
      <c r="B593" t="s">
        <v>6594</v>
      </c>
      <c r="C593" t="s">
        <v>6594</v>
      </c>
      <c r="D593">
        <v>0</v>
      </c>
    </row>
    <row r="594" spans="2:4" ht="15" customHeight="1">
      <c r="B594" t="s">
        <v>6596</v>
      </c>
      <c r="C594" t="s">
        <v>6596</v>
      </c>
      <c r="D594">
        <v>0</v>
      </c>
    </row>
    <row r="595" spans="2:4" ht="15" customHeight="1">
      <c r="B595" t="s">
        <v>6421</v>
      </c>
      <c r="C595" t="s">
        <v>6421</v>
      </c>
      <c r="D595">
        <v>0</v>
      </c>
    </row>
    <row r="596" spans="2:4" ht="15" customHeight="1">
      <c r="B596" t="s">
        <v>6924</v>
      </c>
      <c r="C596" t="s">
        <v>6924</v>
      </c>
      <c r="D596">
        <v>0</v>
      </c>
    </row>
    <row r="597" spans="2:4" ht="15" customHeight="1">
      <c r="B597" t="s">
        <v>6604</v>
      </c>
      <c r="C597" t="s">
        <v>6604</v>
      </c>
      <c r="D597">
        <v>0</v>
      </c>
    </row>
    <row r="598" spans="2:4" ht="15" customHeight="1">
      <c r="B598" t="s">
        <v>6605</v>
      </c>
      <c r="C598" t="s">
        <v>6605</v>
      </c>
      <c r="D598">
        <v>0</v>
      </c>
    </row>
    <row r="599" spans="2:4" ht="15" customHeight="1">
      <c r="B599" t="s">
        <v>6616</v>
      </c>
      <c r="C599" t="s">
        <v>6616</v>
      </c>
      <c r="D599">
        <v>0</v>
      </c>
    </row>
    <row r="600" spans="2:4" ht="15" customHeight="1">
      <c r="B600" t="s">
        <v>6632</v>
      </c>
      <c r="C600" t="s">
        <v>6632</v>
      </c>
      <c r="D600">
        <v>0</v>
      </c>
    </row>
    <row r="601" spans="2:4" ht="15" customHeight="1">
      <c r="B601" t="s">
        <v>6640</v>
      </c>
      <c r="C601" t="s">
        <v>6640</v>
      </c>
      <c r="D601">
        <v>0</v>
      </c>
    </row>
    <row r="602" spans="2:4" ht="15" customHeight="1">
      <c r="B602" t="s">
        <v>6643</v>
      </c>
      <c r="C602" t="s">
        <v>6643</v>
      </c>
      <c r="D602">
        <v>0</v>
      </c>
    </row>
    <row r="603" spans="2:4" ht="15" customHeight="1">
      <c r="B603" t="s">
        <v>6645</v>
      </c>
      <c r="C603" t="s">
        <v>6645</v>
      </c>
      <c r="D603">
        <v>0</v>
      </c>
    </row>
    <row r="604" spans="2:4" ht="15" customHeight="1">
      <c r="B604" t="s">
        <v>1207</v>
      </c>
      <c r="C604" t="s">
        <v>1207</v>
      </c>
      <c r="D604">
        <v>0</v>
      </c>
    </row>
    <row r="605" spans="2:4" ht="15" customHeight="1">
      <c r="B605" t="s">
        <v>6650</v>
      </c>
      <c r="C605" t="s">
        <v>6650</v>
      </c>
      <c r="D605">
        <v>0</v>
      </c>
    </row>
    <row r="606" spans="2:4" ht="15" customHeight="1">
      <c r="B606" t="s">
        <v>6733</v>
      </c>
      <c r="C606" t="s">
        <v>6733</v>
      </c>
      <c r="D606">
        <v>0</v>
      </c>
    </row>
    <row r="607" spans="2:4" ht="15" customHeight="1">
      <c r="B607" t="s">
        <v>6737</v>
      </c>
      <c r="C607" t="s">
        <v>6737</v>
      </c>
      <c r="D607">
        <v>0</v>
      </c>
    </row>
    <row r="608" spans="2:4" ht="15" customHeight="1">
      <c r="B608" t="s">
        <v>6739</v>
      </c>
      <c r="C608" t="s">
        <v>6739</v>
      </c>
      <c r="D608">
        <v>0</v>
      </c>
    </row>
    <row r="609" spans="2:4" ht="15" customHeight="1">
      <c r="B609" t="s">
        <v>6746</v>
      </c>
      <c r="C609" t="s">
        <v>6746</v>
      </c>
      <c r="D609">
        <v>0</v>
      </c>
    </row>
    <row r="610" spans="2:4" ht="15" customHeight="1">
      <c r="B610" t="s">
        <v>6754</v>
      </c>
      <c r="C610" t="s">
        <v>6754</v>
      </c>
      <c r="D610">
        <v>0</v>
      </c>
    </row>
    <row r="611" spans="2:4" ht="15" customHeight="1">
      <c r="B611" t="s">
        <v>6772</v>
      </c>
      <c r="C611" t="s">
        <v>6772</v>
      </c>
      <c r="D611">
        <v>0</v>
      </c>
    </row>
    <row r="612" spans="2:4" ht="15" customHeight="1">
      <c r="B612" t="s">
        <v>6777</v>
      </c>
      <c r="C612" t="s">
        <v>6777</v>
      </c>
      <c r="D612">
        <v>0</v>
      </c>
    </row>
    <row r="613" spans="2:4" ht="15" customHeight="1">
      <c r="B613" t="s">
        <v>6926</v>
      </c>
      <c r="C613" t="s">
        <v>6926</v>
      </c>
      <c r="D613">
        <v>0</v>
      </c>
    </row>
    <row r="614" spans="2:4" ht="15" customHeight="1">
      <c r="B614" t="s">
        <v>6783</v>
      </c>
      <c r="C614" t="s">
        <v>6783</v>
      </c>
      <c r="D614">
        <v>0</v>
      </c>
    </row>
    <row r="615" spans="2:4" ht="15" customHeight="1">
      <c r="B615" t="s">
        <v>6928</v>
      </c>
      <c r="C615" t="s">
        <v>6928</v>
      </c>
      <c r="D615">
        <v>0</v>
      </c>
    </row>
    <row r="616" spans="2:4" ht="15" customHeight="1">
      <c r="B616" t="s">
        <v>216</v>
      </c>
      <c r="C616" t="s">
        <v>216</v>
      </c>
      <c r="D616">
        <v>0</v>
      </c>
    </row>
    <row r="617" spans="2:4" ht="15" customHeight="1">
      <c r="B617" t="s">
        <v>6709</v>
      </c>
      <c r="C617" t="s">
        <v>6709</v>
      </c>
      <c r="D617">
        <v>0</v>
      </c>
    </row>
    <row r="618" spans="2:4" ht="15" customHeight="1">
      <c r="B618" t="s">
        <v>6931</v>
      </c>
      <c r="C618" t="s">
        <v>6931</v>
      </c>
      <c r="D618">
        <v>0</v>
      </c>
    </row>
    <row r="619" spans="2:4" ht="15" customHeight="1">
      <c r="B619" t="s">
        <v>6823</v>
      </c>
      <c r="C619" t="s">
        <v>6823</v>
      </c>
      <c r="D619">
        <v>0</v>
      </c>
    </row>
    <row r="620" spans="2:4" ht="15" customHeight="1">
      <c r="B620" t="s">
        <v>6843</v>
      </c>
      <c r="C620" t="s">
        <v>6843</v>
      </c>
      <c r="D620">
        <v>0</v>
      </c>
    </row>
    <row r="621" spans="2:4" ht="15" customHeight="1">
      <c r="B621" t="s">
        <v>195</v>
      </c>
      <c r="C621" t="s">
        <v>195</v>
      </c>
      <c r="D621">
        <v>0</v>
      </c>
    </row>
    <row r="622" spans="2:4" ht="15" customHeight="1">
      <c r="B622" t="s">
        <v>6858</v>
      </c>
      <c r="C622" t="s">
        <v>6858</v>
      </c>
      <c r="D622">
        <v>0</v>
      </c>
    </row>
    <row r="623" spans="2:4" ht="15" customHeight="1">
      <c r="B623" t="s">
        <v>6868</v>
      </c>
      <c r="C623" t="s">
        <v>6868</v>
      </c>
      <c r="D623">
        <v>0</v>
      </c>
    </row>
    <row r="624" spans="2:4" ht="15" customHeight="1">
      <c r="B624" t="s">
        <v>6936</v>
      </c>
      <c r="C624" t="s">
        <v>6936</v>
      </c>
      <c r="D624">
        <v>0</v>
      </c>
    </row>
    <row r="625" spans="2:4" ht="15" customHeight="1">
      <c r="B625" t="s">
        <v>6791</v>
      </c>
      <c r="C625" t="s">
        <v>6791</v>
      </c>
      <c r="D625">
        <v>0</v>
      </c>
    </row>
    <row r="626" spans="2:4" ht="15" customHeight="1">
      <c r="B626" t="s">
        <v>6893</v>
      </c>
      <c r="C626" t="s">
        <v>6893</v>
      </c>
      <c r="D626">
        <v>0</v>
      </c>
    </row>
    <row r="627" spans="2:4" ht="15" customHeight="1">
      <c r="B627" t="s">
        <v>6896</v>
      </c>
      <c r="C627" t="s">
        <v>6896</v>
      </c>
      <c r="D627">
        <v>0</v>
      </c>
    </row>
    <row r="628" spans="2:4" ht="15" customHeight="1">
      <c r="B628" t="s">
        <v>6905</v>
      </c>
      <c r="C628" t="s">
        <v>6905</v>
      </c>
      <c r="D628">
        <v>0</v>
      </c>
    </row>
    <row r="629" spans="2:4" ht="15" customHeight="1">
      <c r="B629" t="s">
        <v>6922</v>
      </c>
      <c r="C629" t="s">
        <v>6922</v>
      </c>
      <c r="D629">
        <v>0</v>
      </c>
    </row>
    <row r="630" spans="2:4" ht="15" customHeight="1">
      <c r="B630" t="s">
        <v>6923</v>
      </c>
      <c r="C630" t="s">
        <v>6923</v>
      </c>
      <c r="D630">
        <v>0</v>
      </c>
    </row>
    <row r="631" spans="2:4" ht="15" customHeight="1">
      <c r="B631" t="s">
        <v>6629</v>
      </c>
      <c r="C631" t="s">
        <v>6629</v>
      </c>
      <c r="D631">
        <v>0</v>
      </c>
    </row>
    <row r="632" spans="2:4" ht="15" customHeight="1">
      <c r="B632" t="s">
        <v>6925</v>
      </c>
      <c r="C632" t="s">
        <v>6925</v>
      </c>
      <c r="D632">
        <v>0</v>
      </c>
    </row>
    <row r="633" spans="2:4" ht="15" customHeight="1">
      <c r="B633" t="s">
        <v>6927</v>
      </c>
      <c r="C633" t="s">
        <v>6927</v>
      </c>
      <c r="D633">
        <v>0</v>
      </c>
    </row>
    <row r="634" spans="2:4" ht="15" customHeight="1">
      <c r="B634" t="s">
        <v>6929</v>
      </c>
      <c r="C634" t="s">
        <v>6929</v>
      </c>
      <c r="D634">
        <v>0</v>
      </c>
    </row>
    <row r="635" spans="2:4" ht="15" customHeight="1">
      <c r="B635" t="s">
        <v>6930</v>
      </c>
      <c r="C635" t="s">
        <v>6930</v>
      </c>
      <c r="D635">
        <v>0</v>
      </c>
    </row>
    <row r="636" spans="2:4" ht="15" customHeight="1">
      <c r="B636" t="s">
        <v>6933</v>
      </c>
      <c r="C636" t="s">
        <v>6933</v>
      </c>
      <c r="D636">
        <v>0</v>
      </c>
    </row>
    <row r="637" spans="2:4" ht="15" customHeight="1">
      <c r="B637" t="s">
        <v>6935</v>
      </c>
      <c r="C637" t="s">
        <v>6935</v>
      </c>
      <c r="D637">
        <v>0</v>
      </c>
    </row>
    <row r="638" spans="2:4" ht="15" customHeight="1">
      <c r="B638" t="s">
        <v>6937</v>
      </c>
      <c r="C638" t="s">
        <v>6937</v>
      </c>
      <c r="D638">
        <v>0</v>
      </c>
    </row>
    <row r="639" spans="2:4" ht="15" customHeight="1">
      <c r="B639" t="s">
        <v>6934</v>
      </c>
      <c r="C639" t="s">
        <v>6934</v>
      </c>
      <c r="D639">
        <v>0</v>
      </c>
    </row>
    <row r="640" spans="2:4" ht="15" customHeight="1">
      <c r="B640" t="s">
        <v>6948</v>
      </c>
      <c r="C640" t="s">
        <v>10693</v>
      </c>
      <c r="D640">
        <v>0</v>
      </c>
    </row>
    <row r="641" spans="2:4" ht="15" customHeight="1">
      <c r="B641" t="s">
        <v>444</v>
      </c>
      <c r="C641" t="s">
        <v>444</v>
      </c>
      <c r="D641">
        <v>0</v>
      </c>
    </row>
    <row r="642" spans="2:4" ht="15" customHeight="1">
      <c r="B642" t="s">
        <v>7032</v>
      </c>
      <c r="C642" t="s">
        <v>7032</v>
      </c>
      <c r="D642">
        <v>0</v>
      </c>
    </row>
    <row r="643" spans="2:4" ht="15" customHeight="1">
      <c r="B643" t="s">
        <v>7039</v>
      </c>
      <c r="C643" t="s">
        <v>7039</v>
      </c>
      <c r="D643">
        <v>0</v>
      </c>
    </row>
    <row r="644" spans="2:4" ht="15" customHeight="1">
      <c r="B644" t="s">
        <v>5570</v>
      </c>
      <c r="C644" t="s">
        <v>5570</v>
      </c>
      <c r="D644">
        <v>0</v>
      </c>
    </row>
    <row r="645" spans="2:4" ht="15" customHeight="1">
      <c r="B645" t="s">
        <v>848</v>
      </c>
      <c r="C645" t="s">
        <v>848</v>
      </c>
      <c r="D645">
        <v>0</v>
      </c>
    </row>
    <row r="646" spans="2:4" ht="15" customHeight="1">
      <c r="B646" t="s">
        <v>1274</v>
      </c>
      <c r="C646" t="s">
        <v>1274</v>
      </c>
      <c r="D646">
        <v>0</v>
      </c>
    </row>
    <row r="647" spans="2:4" ht="15" customHeight="1">
      <c r="B647" t="s">
        <v>7328</v>
      </c>
      <c r="C647" t="s">
        <v>10692</v>
      </c>
      <c r="D647">
        <v>0</v>
      </c>
    </row>
    <row r="648" spans="2:4" ht="15" customHeight="1">
      <c r="B648" t="s">
        <v>7329</v>
      </c>
      <c r="C648" t="s">
        <v>10691</v>
      </c>
      <c r="D648">
        <v>0</v>
      </c>
    </row>
    <row r="649" spans="2:4" ht="15" customHeight="1">
      <c r="B649">
        <v>1863</v>
      </c>
      <c r="C649">
        <v>1863</v>
      </c>
      <c r="D649">
        <v>0</v>
      </c>
    </row>
    <row r="650" spans="2:4" ht="15" customHeight="1">
      <c r="B650" t="s">
        <v>7192</v>
      </c>
      <c r="C650" t="s">
        <v>7192</v>
      </c>
      <c r="D650">
        <v>0</v>
      </c>
    </row>
    <row r="651" spans="2:4" ht="15" customHeight="1">
      <c r="B651" t="s">
        <v>7216</v>
      </c>
      <c r="C651" t="s">
        <v>7216</v>
      </c>
      <c r="D651">
        <v>0</v>
      </c>
    </row>
    <row r="652" spans="2:4" ht="15" customHeight="1">
      <c r="B652" t="s">
        <v>7225</v>
      </c>
      <c r="C652" t="s">
        <v>7225</v>
      </c>
      <c r="D652">
        <v>0</v>
      </c>
    </row>
    <row r="653" spans="2:4" ht="15" customHeight="1">
      <c r="B653" t="s">
        <v>7233</v>
      </c>
      <c r="C653" t="s">
        <v>7233</v>
      </c>
      <c r="D653">
        <v>0</v>
      </c>
    </row>
    <row r="654" spans="2:4" ht="15" customHeight="1">
      <c r="B654" t="s">
        <v>7236</v>
      </c>
      <c r="C654" t="s">
        <v>7236</v>
      </c>
      <c r="D654">
        <v>0</v>
      </c>
    </row>
    <row r="655" spans="2:4" ht="15" customHeight="1">
      <c r="B655" t="s">
        <v>7324</v>
      </c>
      <c r="C655" t="s">
        <v>7324</v>
      </c>
      <c r="D655">
        <v>0</v>
      </c>
    </row>
    <row r="656" spans="2:4" ht="15" customHeight="1">
      <c r="B656" t="s">
        <v>7251</v>
      </c>
      <c r="C656" t="s">
        <v>7251</v>
      </c>
      <c r="D656">
        <v>0</v>
      </c>
    </row>
    <row r="657" spans="2:4" ht="15" customHeight="1">
      <c r="B657" t="s">
        <v>7265</v>
      </c>
      <c r="C657" t="s">
        <v>7265</v>
      </c>
      <c r="D657">
        <v>0</v>
      </c>
    </row>
    <row r="658" spans="2:4" ht="15" customHeight="1">
      <c r="B658" t="s">
        <v>970</v>
      </c>
      <c r="C658" t="s">
        <v>970</v>
      </c>
      <c r="D658">
        <v>0</v>
      </c>
    </row>
    <row r="659" spans="2:4" ht="15" customHeight="1">
      <c r="B659" t="s">
        <v>7277</v>
      </c>
      <c r="C659" t="s">
        <v>7277</v>
      </c>
      <c r="D659">
        <v>0</v>
      </c>
    </row>
    <row r="660" spans="2:4" ht="15" customHeight="1">
      <c r="B660" t="s">
        <v>7287</v>
      </c>
      <c r="C660" t="s">
        <v>7287</v>
      </c>
      <c r="D660">
        <v>0</v>
      </c>
    </row>
    <row r="661" spans="2:4" ht="15" customHeight="1">
      <c r="B661">
        <v>30</v>
      </c>
      <c r="C661">
        <v>30</v>
      </c>
      <c r="D661">
        <v>0</v>
      </c>
    </row>
    <row r="662" spans="2:4" ht="15" customHeight="1">
      <c r="B662" t="s">
        <v>7290</v>
      </c>
      <c r="C662" t="s">
        <v>7290</v>
      </c>
      <c r="D662">
        <v>0</v>
      </c>
    </row>
    <row r="663" spans="2:4" ht="15" customHeight="1">
      <c r="B663" t="s">
        <v>754</v>
      </c>
      <c r="C663" t="s">
        <v>754</v>
      </c>
      <c r="D663">
        <v>0</v>
      </c>
    </row>
    <row r="664" spans="2:4" ht="15" customHeight="1">
      <c r="B664" t="s">
        <v>1102</v>
      </c>
      <c r="C664" t="s">
        <v>1102</v>
      </c>
      <c r="D664">
        <v>0</v>
      </c>
    </row>
    <row r="665" spans="2:4" ht="15" customHeight="1">
      <c r="B665" t="s">
        <v>7300</v>
      </c>
      <c r="C665" t="s">
        <v>7300</v>
      </c>
      <c r="D665">
        <v>0</v>
      </c>
    </row>
    <row r="666" spans="2:4" ht="15" customHeight="1">
      <c r="B666" t="s">
        <v>7302</v>
      </c>
      <c r="C666" t="s">
        <v>7302</v>
      </c>
      <c r="D666">
        <v>0</v>
      </c>
    </row>
    <row r="667" spans="2:4" ht="15" customHeight="1">
      <c r="B667" t="s">
        <v>7311</v>
      </c>
      <c r="C667" t="s">
        <v>7311</v>
      </c>
      <c r="D667">
        <v>0</v>
      </c>
    </row>
    <row r="668" spans="2:4" ht="15" customHeight="1">
      <c r="B668" t="s">
        <v>5630</v>
      </c>
      <c r="C668" t="s">
        <v>5630</v>
      </c>
      <c r="D668">
        <v>0</v>
      </c>
    </row>
    <row r="669" spans="2:4" ht="15" customHeight="1">
      <c r="B669" t="s">
        <v>5631</v>
      </c>
      <c r="C669" t="s">
        <v>5631</v>
      </c>
      <c r="D669">
        <v>0</v>
      </c>
    </row>
    <row r="670" spans="2:4" ht="15" customHeight="1">
      <c r="B670" t="s">
        <v>9982</v>
      </c>
      <c r="C670" t="s">
        <v>9982</v>
      </c>
      <c r="D670">
        <v>0</v>
      </c>
    </row>
    <row r="671" spans="2:4" ht="15" customHeight="1">
      <c r="B671" t="s">
        <v>5574</v>
      </c>
      <c r="C671" t="s">
        <v>5574</v>
      </c>
      <c r="D671">
        <v>0</v>
      </c>
    </row>
    <row r="672" spans="2:4" ht="15" customHeight="1">
      <c r="B672" t="s">
        <v>5632</v>
      </c>
      <c r="C672" t="s">
        <v>5632</v>
      </c>
      <c r="D672">
        <v>0</v>
      </c>
    </row>
    <row r="673" spans="2:4" ht="15" customHeight="1">
      <c r="B673" t="s">
        <v>9983</v>
      </c>
      <c r="C673" t="s">
        <v>9983</v>
      </c>
      <c r="D673">
        <v>0</v>
      </c>
    </row>
    <row r="674" spans="2:4" ht="15" customHeight="1">
      <c r="B674" t="s">
        <v>5633</v>
      </c>
      <c r="C674" t="s">
        <v>5633</v>
      </c>
      <c r="D674">
        <v>0</v>
      </c>
    </row>
    <row r="675" spans="2:4" ht="15" customHeight="1">
      <c r="B675" t="s">
        <v>5634</v>
      </c>
      <c r="C675" t="s">
        <v>5634</v>
      </c>
      <c r="D675">
        <v>0</v>
      </c>
    </row>
    <row r="676" spans="2:4" ht="15" customHeight="1">
      <c r="B676" t="s">
        <v>5841</v>
      </c>
      <c r="C676" t="s">
        <v>5841</v>
      </c>
      <c r="D676">
        <v>0</v>
      </c>
    </row>
    <row r="677" spans="2:4" ht="15" customHeight="1">
      <c r="B677" t="s">
        <v>7504</v>
      </c>
      <c r="C677" t="s">
        <v>7504</v>
      </c>
      <c r="D677">
        <v>0</v>
      </c>
    </row>
    <row r="678" spans="2:4" ht="15" customHeight="1">
      <c r="B678" t="s">
        <v>5627</v>
      </c>
      <c r="C678" t="s">
        <v>5627</v>
      </c>
      <c r="D678">
        <v>0</v>
      </c>
    </row>
    <row r="679" spans="2:4" ht="15" customHeight="1">
      <c r="B679" t="s">
        <v>7967</v>
      </c>
      <c r="C679" t="s">
        <v>7967</v>
      </c>
      <c r="D679">
        <v>0</v>
      </c>
    </row>
    <row r="680" spans="2:4" ht="15" customHeight="1">
      <c r="B680" t="s">
        <v>8410</v>
      </c>
      <c r="C680" t="s">
        <v>8410</v>
      </c>
      <c r="D680">
        <v>0</v>
      </c>
    </row>
    <row r="681" spans="2:4" ht="15" customHeight="1">
      <c r="B681" t="s">
        <v>6364</v>
      </c>
      <c r="C681" t="s">
        <v>6364</v>
      </c>
      <c r="D681">
        <v>0</v>
      </c>
    </row>
    <row r="682" spans="2:4" ht="15" customHeight="1">
      <c r="B682" t="s">
        <v>5628</v>
      </c>
      <c r="C682" t="s">
        <v>5628</v>
      </c>
      <c r="D682">
        <v>0</v>
      </c>
    </row>
    <row r="683" spans="2:4" ht="15" customHeight="1">
      <c r="B683" t="s">
        <v>7344</v>
      </c>
      <c r="C683" t="s">
        <v>7344</v>
      </c>
      <c r="D683">
        <v>0</v>
      </c>
    </row>
    <row r="684" spans="2:4" ht="15" customHeight="1">
      <c r="B684" t="s">
        <v>7346</v>
      </c>
      <c r="C684" t="s">
        <v>7346</v>
      </c>
      <c r="D684">
        <v>0</v>
      </c>
    </row>
    <row r="685" spans="2:4" ht="15" customHeight="1">
      <c r="B685" t="s">
        <v>7348</v>
      </c>
      <c r="C685" t="s">
        <v>7348</v>
      </c>
      <c r="D685">
        <v>0</v>
      </c>
    </row>
    <row r="686" spans="2:4" ht="15" customHeight="1">
      <c r="B686" t="s">
        <v>10023</v>
      </c>
      <c r="C686" t="s">
        <v>10023</v>
      </c>
      <c r="D686">
        <v>0</v>
      </c>
    </row>
    <row r="687" spans="2:4" ht="15" customHeight="1">
      <c r="B687" t="s">
        <v>7413</v>
      </c>
      <c r="C687" t="s">
        <v>7413</v>
      </c>
      <c r="D687">
        <v>0</v>
      </c>
    </row>
    <row r="688" spans="2:4" ht="15" customHeight="1">
      <c r="B688" t="s">
        <v>7471</v>
      </c>
      <c r="C688" t="s">
        <v>7471</v>
      </c>
      <c r="D688">
        <v>0</v>
      </c>
    </row>
    <row r="689" spans="2:4" ht="15" customHeight="1">
      <c r="B689" t="s">
        <v>7473</v>
      </c>
      <c r="C689" t="s">
        <v>7473</v>
      </c>
      <c r="D689">
        <v>0</v>
      </c>
    </row>
    <row r="690" spans="2:4" ht="15" customHeight="1">
      <c r="B690" t="s">
        <v>7488</v>
      </c>
      <c r="C690" t="s">
        <v>7488</v>
      </c>
      <c r="D690">
        <v>0</v>
      </c>
    </row>
    <row r="691" spans="2:4" ht="15" customHeight="1">
      <c r="B691" t="s">
        <v>7522</v>
      </c>
      <c r="C691" t="s">
        <v>7522</v>
      </c>
      <c r="D691">
        <v>0</v>
      </c>
    </row>
    <row r="692" spans="2:4" ht="15" customHeight="1">
      <c r="B692" t="s">
        <v>7524</v>
      </c>
      <c r="C692" t="s">
        <v>7524</v>
      </c>
      <c r="D692">
        <v>0</v>
      </c>
    </row>
    <row r="693" spans="2:4" ht="15" customHeight="1">
      <c r="B693" t="s">
        <v>7544</v>
      </c>
      <c r="C693" t="s">
        <v>7544</v>
      </c>
      <c r="D693">
        <v>0</v>
      </c>
    </row>
    <row r="694" spans="2:4" ht="15" customHeight="1">
      <c r="B694" t="s">
        <v>5575</v>
      </c>
      <c r="C694" t="s">
        <v>5575</v>
      </c>
      <c r="D694">
        <v>0</v>
      </c>
    </row>
    <row r="695" spans="2:4" ht="15" customHeight="1">
      <c r="B695" t="s">
        <v>7566</v>
      </c>
      <c r="C695" t="s">
        <v>7566</v>
      </c>
      <c r="D695">
        <v>0</v>
      </c>
    </row>
    <row r="696" spans="2:4" ht="15" customHeight="1">
      <c r="B696" t="s">
        <v>7590</v>
      </c>
      <c r="C696" t="s">
        <v>7590</v>
      </c>
      <c r="D696">
        <v>0</v>
      </c>
    </row>
    <row r="697" spans="2:4" ht="15" customHeight="1">
      <c r="B697" t="s">
        <v>7602</v>
      </c>
      <c r="C697" t="s">
        <v>7602</v>
      </c>
      <c r="D697">
        <v>0</v>
      </c>
    </row>
    <row r="698" spans="2:4" ht="15" customHeight="1">
      <c r="B698" t="s">
        <v>7624</v>
      </c>
      <c r="C698" t="s">
        <v>7624</v>
      </c>
      <c r="D698">
        <v>0</v>
      </c>
    </row>
    <row r="699" spans="2:4" ht="15" customHeight="1">
      <c r="B699" t="s">
        <v>7675</v>
      </c>
      <c r="C699" t="s">
        <v>7675</v>
      </c>
      <c r="D699">
        <v>0</v>
      </c>
    </row>
    <row r="700" spans="2:4" ht="15" customHeight="1">
      <c r="B700" t="s">
        <v>7773</v>
      </c>
      <c r="C700" t="s">
        <v>7773</v>
      </c>
      <c r="D700">
        <v>0</v>
      </c>
    </row>
    <row r="701" spans="2:4" ht="15" customHeight="1">
      <c r="B701" t="s">
        <v>7775</v>
      </c>
      <c r="C701" t="s">
        <v>7775</v>
      </c>
      <c r="D701">
        <v>0</v>
      </c>
    </row>
    <row r="702" spans="2:4" ht="15" customHeight="1">
      <c r="B702" t="s">
        <v>7890</v>
      </c>
      <c r="C702" t="s">
        <v>7890</v>
      </c>
      <c r="D702">
        <v>0</v>
      </c>
    </row>
    <row r="703" spans="2:4" ht="15" customHeight="1">
      <c r="B703" t="s">
        <v>7904</v>
      </c>
      <c r="C703" t="s">
        <v>7904</v>
      </c>
      <c r="D703">
        <v>0</v>
      </c>
    </row>
    <row r="704" spans="2:4" ht="15" customHeight="1">
      <c r="B704" t="s">
        <v>7928</v>
      </c>
      <c r="C704" t="s">
        <v>7928</v>
      </c>
      <c r="D704">
        <v>0</v>
      </c>
    </row>
    <row r="705" spans="2:4" ht="15" customHeight="1">
      <c r="B705" t="s">
        <v>7950</v>
      </c>
      <c r="C705" t="s">
        <v>7950</v>
      </c>
      <c r="D705">
        <v>0</v>
      </c>
    </row>
    <row r="706" spans="2:4" ht="15" customHeight="1">
      <c r="B706" t="s">
        <v>8031</v>
      </c>
      <c r="C706" t="s">
        <v>8031</v>
      </c>
      <c r="D706">
        <v>0</v>
      </c>
    </row>
    <row r="707" spans="2:4" ht="15" customHeight="1">
      <c r="B707" t="s">
        <v>7515</v>
      </c>
      <c r="C707" t="s">
        <v>7515</v>
      </c>
      <c r="D707">
        <v>0</v>
      </c>
    </row>
    <row r="708" spans="2:4" ht="15" customHeight="1">
      <c r="B708" t="s">
        <v>9990</v>
      </c>
      <c r="C708" t="s">
        <v>9990</v>
      </c>
      <c r="D708">
        <v>0</v>
      </c>
    </row>
    <row r="709" spans="2:4" ht="15" customHeight="1">
      <c r="B709" t="s">
        <v>8070</v>
      </c>
      <c r="C709" t="s">
        <v>8070</v>
      </c>
      <c r="D709">
        <v>0</v>
      </c>
    </row>
    <row r="710" spans="2:4" ht="15" customHeight="1">
      <c r="B710" t="s">
        <v>8136</v>
      </c>
      <c r="C710" t="s">
        <v>8136</v>
      </c>
      <c r="D710">
        <v>0</v>
      </c>
    </row>
    <row r="711" spans="2:4" ht="15" customHeight="1">
      <c r="B711" t="s">
        <v>8139</v>
      </c>
      <c r="C711" t="s">
        <v>8139</v>
      </c>
      <c r="D711">
        <v>0</v>
      </c>
    </row>
    <row r="712" spans="2:4" ht="15" customHeight="1">
      <c r="B712" t="s">
        <v>8151</v>
      </c>
      <c r="C712" t="s">
        <v>8151</v>
      </c>
      <c r="D712">
        <v>0</v>
      </c>
    </row>
    <row r="713" spans="2:4" ht="15" customHeight="1">
      <c r="B713" t="s">
        <v>7253</v>
      </c>
      <c r="C713" t="s">
        <v>7253</v>
      </c>
      <c r="D713">
        <v>0</v>
      </c>
    </row>
    <row r="714" spans="2:4" ht="15" customHeight="1">
      <c r="B714" t="s">
        <v>8184</v>
      </c>
      <c r="C714" t="s">
        <v>8184</v>
      </c>
      <c r="D714">
        <v>0</v>
      </c>
    </row>
    <row r="715" spans="2:4" ht="15" customHeight="1">
      <c r="B715" t="s">
        <v>8190</v>
      </c>
      <c r="C715" t="s">
        <v>8190</v>
      </c>
      <c r="D715">
        <v>0</v>
      </c>
    </row>
    <row r="716" spans="2:4" ht="15" customHeight="1">
      <c r="B716" t="s">
        <v>8283</v>
      </c>
      <c r="C716" t="s">
        <v>8283</v>
      </c>
      <c r="D716">
        <v>0</v>
      </c>
    </row>
    <row r="717" spans="2:4" ht="15" customHeight="1">
      <c r="B717" t="s">
        <v>8292</v>
      </c>
      <c r="C717" t="s">
        <v>8292</v>
      </c>
      <c r="D717">
        <v>0</v>
      </c>
    </row>
    <row r="718" spans="2:4" ht="15" customHeight="1">
      <c r="B718" t="s">
        <v>8294</v>
      </c>
      <c r="C718" t="s">
        <v>8294</v>
      </c>
      <c r="D718">
        <v>0</v>
      </c>
    </row>
    <row r="719" spans="2:4" ht="15" customHeight="1">
      <c r="B719" t="s">
        <v>8296</v>
      </c>
      <c r="C719" t="s">
        <v>8296</v>
      </c>
      <c r="D719">
        <v>0</v>
      </c>
    </row>
    <row r="720" spans="2:4" ht="15" customHeight="1">
      <c r="B720" t="s">
        <v>8319</v>
      </c>
      <c r="C720" t="s">
        <v>8319</v>
      </c>
      <c r="D720">
        <v>0</v>
      </c>
    </row>
    <row r="721" spans="2:4" ht="15" customHeight="1">
      <c r="B721" t="s">
        <v>8335</v>
      </c>
      <c r="C721" t="s">
        <v>8335</v>
      </c>
      <c r="D721">
        <v>0</v>
      </c>
    </row>
    <row r="722" spans="2:4" ht="15" customHeight="1">
      <c r="B722" t="s">
        <v>8452</v>
      </c>
      <c r="C722" t="s">
        <v>8452</v>
      </c>
      <c r="D722">
        <v>0</v>
      </c>
    </row>
    <row r="723" spans="2:4" ht="15" customHeight="1">
      <c r="B723" t="s">
        <v>10129</v>
      </c>
      <c r="C723" t="s">
        <v>10129</v>
      </c>
      <c r="D723">
        <v>0</v>
      </c>
    </row>
    <row r="724" spans="2:4" ht="15" customHeight="1">
      <c r="B724" t="s">
        <v>8457</v>
      </c>
      <c r="C724" t="s">
        <v>8457</v>
      </c>
      <c r="D724">
        <v>0</v>
      </c>
    </row>
    <row r="725" spans="2:4" ht="15" customHeight="1">
      <c r="B725" t="s">
        <v>8461</v>
      </c>
      <c r="C725" t="s">
        <v>8461</v>
      </c>
      <c r="D725">
        <v>0</v>
      </c>
    </row>
    <row r="726" spans="2:4" ht="15" customHeight="1">
      <c r="B726" t="s">
        <v>8564</v>
      </c>
      <c r="C726" t="s">
        <v>8564</v>
      </c>
      <c r="D726">
        <v>0</v>
      </c>
    </row>
    <row r="727" spans="2:4" ht="15" customHeight="1">
      <c r="B727" t="s">
        <v>8787</v>
      </c>
      <c r="C727" t="s">
        <v>8787</v>
      </c>
      <c r="D727">
        <v>0</v>
      </c>
    </row>
    <row r="728" spans="2:4" ht="15" customHeight="1">
      <c r="B728" t="s">
        <v>8035</v>
      </c>
      <c r="C728" t="s">
        <v>8035</v>
      </c>
      <c r="D728">
        <v>0</v>
      </c>
    </row>
    <row r="729" spans="2:4" ht="15" customHeight="1">
      <c r="B729" t="s">
        <v>9999</v>
      </c>
      <c r="C729" t="s">
        <v>9999</v>
      </c>
      <c r="D729">
        <v>0</v>
      </c>
    </row>
    <row r="730" spans="2:4" ht="15" customHeight="1">
      <c r="B730" t="s">
        <v>8886</v>
      </c>
      <c r="C730" t="s">
        <v>8886</v>
      </c>
      <c r="D730">
        <v>0</v>
      </c>
    </row>
    <row r="731" spans="2:4" ht="15" customHeight="1">
      <c r="B731" t="s">
        <v>8930</v>
      </c>
      <c r="C731" t="s">
        <v>8930</v>
      </c>
      <c r="D731">
        <v>0</v>
      </c>
    </row>
    <row r="732" spans="2:4" ht="15" customHeight="1">
      <c r="B732" t="s">
        <v>7388</v>
      </c>
      <c r="C732" t="s">
        <v>7388</v>
      </c>
      <c r="D732">
        <v>0</v>
      </c>
    </row>
    <row r="733" spans="2:4" ht="15" customHeight="1">
      <c r="B733" t="s">
        <v>9051</v>
      </c>
      <c r="C733" t="s">
        <v>9051</v>
      </c>
      <c r="D733">
        <v>0</v>
      </c>
    </row>
    <row r="734" spans="2:4" ht="15" customHeight="1">
      <c r="B734" t="s">
        <v>9139</v>
      </c>
      <c r="C734" t="s">
        <v>9139</v>
      </c>
      <c r="D734">
        <v>0</v>
      </c>
    </row>
    <row r="735" spans="2:4" ht="15" customHeight="1">
      <c r="B735" t="s">
        <v>7832</v>
      </c>
      <c r="C735" t="s">
        <v>7832</v>
      </c>
      <c r="D735">
        <v>0</v>
      </c>
    </row>
    <row r="736" spans="2:4" ht="15" customHeight="1">
      <c r="B736" t="s">
        <v>9146</v>
      </c>
      <c r="C736" t="s">
        <v>9146</v>
      </c>
      <c r="D736">
        <v>0</v>
      </c>
    </row>
    <row r="737" spans="2:4" ht="15" customHeight="1">
      <c r="B737" t="s">
        <v>10131</v>
      </c>
      <c r="C737" t="s">
        <v>10131</v>
      </c>
      <c r="D737">
        <v>0</v>
      </c>
    </row>
    <row r="738" spans="2:4" ht="15" customHeight="1">
      <c r="B738" t="s">
        <v>9274</v>
      </c>
      <c r="C738" t="s">
        <v>9274</v>
      </c>
      <c r="D738">
        <v>0</v>
      </c>
    </row>
    <row r="739" spans="2:4" ht="15" customHeight="1">
      <c r="B739" t="s">
        <v>9268</v>
      </c>
      <c r="C739" t="s">
        <v>9268</v>
      </c>
      <c r="D739">
        <v>0</v>
      </c>
    </row>
    <row r="740" spans="2:4" ht="15" customHeight="1">
      <c r="B740" t="s">
        <v>9291</v>
      </c>
      <c r="C740" t="s">
        <v>9291</v>
      </c>
      <c r="D740">
        <v>0</v>
      </c>
    </row>
    <row r="741" spans="2:4" ht="15" customHeight="1">
      <c r="B741" t="s">
        <v>9387</v>
      </c>
      <c r="C741" t="s">
        <v>9387</v>
      </c>
      <c r="D741">
        <v>0</v>
      </c>
    </row>
    <row r="742" spans="2:4" ht="15" customHeight="1">
      <c r="B742" t="s">
        <v>9405</v>
      </c>
      <c r="C742" t="s">
        <v>9405</v>
      </c>
      <c r="D742">
        <v>0</v>
      </c>
    </row>
    <row r="743" spans="2:4" ht="15" customHeight="1">
      <c r="B743" t="s">
        <v>10032</v>
      </c>
      <c r="C743" t="s">
        <v>10032</v>
      </c>
      <c r="D743">
        <v>0</v>
      </c>
    </row>
    <row r="744" spans="2:4" ht="15" customHeight="1">
      <c r="B744" t="s">
        <v>10033</v>
      </c>
      <c r="C744" t="s">
        <v>10033</v>
      </c>
      <c r="D744">
        <v>0</v>
      </c>
    </row>
    <row r="745" spans="2:4" ht="15" customHeight="1">
      <c r="B745" t="s">
        <v>8993</v>
      </c>
      <c r="C745" t="s">
        <v>8993</v>
      </c>
      <c r="D745">
        <v>0</v>
      </c>
    </row>
    <row r="746" spans="2:4" ht="15" customHeight="1">
      <c r="B746" t="s">
        <v>10037</v>
      </c>
      <c r="C746" t="s">
        <v>10037</v>
      </c>
      <c r="D746">
        <v>0</v>
      </c>
    </row>
    <row r="747" spans="2:4" ht="15" customHeight="1">
      <c r="B747" t="s">
        <v>10038</v>
      </c>
      <c r="C747" t="s">
        <v>10038</v>
      </c>
      <c r="D747">
        <v>0</v>
      </c>
    </row>
    <row r="748" spans="2:4" ht="15" customHeight="1">
      <c r="B748" t="s">
        <v>9494</v>
      </c>
      <c r="C748" t="s">
        <v>9494</v>
      </c>
      <c r="D748">
        <v>0</v>
      </c>
    </row>
    <row r="749" spans="2:4" ht="15" customHeight="1">
      <c r="B749" t="s">
        <v>9516</v>
      </c>
      <c r="C749" t="s">
        <v>9516</v>
      </c>
      <c r="D749">
        <v>0</v>
      </c>
    </row>
    <row r="750" spans="2:4" ht="15" customHeight="1">
      <c r="B750" t="s">
        <v>5576</v>
      </c>
      <c r="C750" t="s">
        <v>5576</v>
      </c>
      <c r="D750">
        <v>0</v>
      </c>
    </row>
    <row r="751" spans="2:4" ht="15" customHeight="1">
      <c r="B751" t="s">
        <v>8902</v>
      </c>
      <c r="C751" t="s">
        <v>8902</v>
      </c>
      <c r="D751">
        <v>0</v>
      </c>
    </row>
    <row r="752" spans="2:4" ht="15" customHeight="1">
      <c r="B752" t="s">
        <v>5577</v>
      </c>
      <c r="C752" t="s">
        <v>5577</v>
      </c>
      <c r="D752">
        <v>0</v>
      </c>
    </row>
    <row r="753" spans="2:4" ht="15" customHeight="1">
      <c r="B753" t="s">
        <v>5578</v>
      </c>
      <c r="C753" t="s">
        <v>5578</v>
      </c>
      <c r="D753">
        <v>0</v>
      </c>
    </row>
    <row r="754" spans="2:4" ht="15" customHeight="1">
      <c r="B754" t="s">
        <v>921</v>
      </c>
      <c r="C754" t="s">
        <v>921</v>
      </c>
      <c r="D754">
        <v>0</v>
      </c>
    </row>
    <row r="755" spans="2:4" ht="15" customHeight="1">
      <c r="B755" t="s">
        <v>8864</v>
      </c>
      <c r="C755" t="s">
        <v>8864</v>
      </c>
      <c r="D755">
        <v>0</v>
      </c>
    </row>
    <row r="756" spans="2:4" ht="15" customHeight="1">
      <c r="B756" t="e" vm="1">
        <v>#VALUE!</v>
      </c>
      <c r="C756" t="e" vm="1">
        <v>#VALUE!</v>
      </c>
      <c r="D756">
        <v>0</v>
      </c>
    </row>
    <row r="757" spans="2:4" ht="15" customHeight="1">
      <c r="B757" t="s">
        <v>7475</v>
      </c>
      <c r="C757" t="s">
        <v>7475</v>
      </c>
      <c r="D757">
        <v>0</v>
      </c>
    </row>
    <row r="758" spans="2:4" ht="15" customHeight="1">
      <c r="B758" t="s">
        <v>5579</v>
      </c>
      <c r="C758" t="s">
        <v>5579</v>
      </c>
      <c r="D758">
        <v>0</v>
      </c>
    </row>
    <row r="759" spans="2:4" ht="15" customHeight="1">
      <c r="B759" t="s">
        <v>7872</v>
      </c>
      <c r="C759" t="s">
        <v>7872</v>
      </c>
      <c r="D759">
        <v>0</v>
      </c>
    </row>
    <row r="760" spans="2:4" ht="15" customHeight="1">
      <c r="B760" t="s">
        <v>7875</v>
      </c>
      <c r="C760" t="s">
        <v>7875</v>
      </c>
      <c r="D760">
        <v>0</v>
      </c>
    </row>
    <row r="761" spans="2:4" ht="15" customHeight="1">
      <c r="B761" t="s">
        <v>7906</v>
      </c>
      <c r="C761" t="s">
        <v>7906</v>
      </c>
      <c r="D761">
        <v>0</v>
      </c>
    </row>
    <row r="762" spans="2:4" ht="15" customHeight="1">
      <c r="B762" t="s">
        <v>7401</v>
      </c>
      <c r="C762" t="s">
        <v>7401</v>
      </c>
      <c r="D762">
        <v>0</v>
      </c>
    </row>
    <row r="763" spans="2:4" ht="15" customHeight="1">
      <c r="B763" t="s">
        <v>9993</v>
      </c>
      <c r="C763" t="s">
        <v>9993</v>
      </c>
      <c r="D763">
        <v>0</v>
      </c>
    </row>
    <row r="764" spans="2:4" ht="15" customHeight="1">
      <c r="B764" t="s">
        <v>8497</v>
      </c>
      <c r="C764" t="s">
        <v>8497</v>
      </c>
      <c r="D764">
        <v>0</v>
      </c>
    </row>
    <row r="765" spans="2:4" ht="15" customHeight="1">
      <c r="B765" t="s">
        <v>8556</v>
      </c>
      <c r="C765" t="s">
        <v>8556</v>
      </c>
      <c r="D765">
        <v>0</v>
      </c>
    </row>
    <row r="766" spans="2:4" ht="15" customHeight="1">
      <c r="B766" t="s">
        <v>9997</v>
      </c>
      <c r="C766" t="s">
        <v>9997</v>
      </c>
      <c r="D766">
        <v>0</v>
      </c>
    </row>
    <row r="767" spans="2:4" ht="15" customHeight="1">
      <c r="B767" t="s">
        <v>6660</v>
      </c>
      <c r="C767" t="s">
        <v>6660</v>
      </c>
      <c r="D767">
        <v>0</v>
      </c>
    </row>
    <row r="768" spans="2:4" ht="15" customHeight="1">
      <c r="B768" t="s">
        <v>8798</v>
      </c>
      <c r="C768" t="s">
        <v>8798</v>
      </c>
      <c r="D768">
        <v>0</v>
      </c>
    </row>
    <row r="769" spans="2:4" ht="15" customHeight="1">
      <c r="B769" t="s">
        <v>10005</v>
      </c>
      <c r="C769" t="s">
        <v>10005</v>
      </c>
      <c r="D769">
        <v>0</v>
      </c>
    </row>
    <row r="770" spans="2:4" ht="15" customHeight="1">
      <c r="B770" t="s">
        <v>7403</v>
      </c>
      <c r="C770" t="s">
        <v>7403</v>
      </c>
      <c r="D770">
        <v>0</v>
      </c>
    </row>
    <row r="771" spans="2:4" ht="15" customHeight="1">
      <c r="B771" t="s">
        <v>6351</v>
      </c>
      <c r="C771" t="s">
        <v>6351</v>
      </c>
      <c r="D771">
        <v>0</v>
      </c>
    </row>
    <row r="772" spans="2:4" ht="15" customHeight="1">
      <c r="B772" t="s">
        <v>10017</v>
      </c>
      <c r="C772" t="s">
        <v>10017</v>
      </c>
      <c r="D772">
        <v>0</v>
      </c>
    </row>
    <row r="773" spans="2:4" ht="15" customHeight="1">
      <c r="B773" t="s">
        <v>9482</v>
      </c>
      <c r="C773" t="s">
        <v>9482</v>
      </c>
      <c r="D773">
        <v>0</v>
      </c>
    </row>
    <row r="774" spans="2:4" ht="15" customHeight="1">
      <c r="B774" t="s">
        <v>5580</v>
      </c>
      <c r="C774" t="s">
        <v>5580</v>
      </c>
      <c r="D774">
        <v>0</v>
      </c>
    </row>
    <row r="775" spans="2:4" ht="15" customHeight="1">
      <c r="B775" t="s">
        <v>5181</v>
      </c>
      <c r="C775" t="s">
        <v>5181</v>
      </c>
      <c r="D775">
        <v>0</v>
      </c>
    </row>
    <row r="776" spans="2:4" ht="15" customHeight="1">
      <c r="B776" t="s">
        <v>8328</v>
      </c>
      <c r="C776" t="s">
        <v>8328</v>
      </c>
      <c r="D776">
        <v>0</v>
      </c>
    </row>
    <row r="777" spans="2:4" ht="15" customHeight="1">
      <c r="B777" t="s">
        <v>8426</v>
      </c>
      <c r="C777" t="s">
        <v>8426</v>
      </c>
      <c r="D777">
        <v>0</v>
      </c>
    </row>
    <row r="778" spans="2:4" ht="15" customHeight="1">
      <c r="B778" t="s">
        <v>8904</v>
      </c>
      <c r="C778" t="s">
        <v>8904</v>
      </c>
      <c r="D778">
        <v>0</v>
      </c>
    </row>
    <row r="779" spans="2:4" ht="15" customHeight="1">
      <c r="B779" t="s">
        <v>10004</v>
      </c>
      <c r="C779" t="s">
        <v>10004</v>
      </c>
      <c r="D779">
        <v>0</v>
      </c>
    </row>
    <row r="780" spans="2:4" ht="15" customHeight="1">
      <c r="B780" t="s">
        <v>9303</v>
      </c>
      <c r="C780" t="s">
        <v>9303</v>
      </c>
      <c r="D780">
        <v>0</v>
      </c>
    </row>
    <row r="781" spans="2:4" ht="15" customHeight="1">
      <c r="B781" t="s">
        <v>5581</v>
      </c>
      <c r="C781" t="s">
        <v>5581</v>
      </c>
      <c r="D781">
        <v>0</v>
      </c>
    </row>
    <row r="782" spans="2:4" ht="15" customHeight="1">
      <c r="B782" t="s">
        <v>9984</v>
      </c>
      <c r="C782" t="s">
        <v>9984</v>
      </c>
      <c r="D782">
        <v>0</v>
      </c>
    </row>
    <row r="783" spans="2:4" ht="15" customHeight="1">
      <c r="B783" t="s">
        <v>7627</v>
      </c>
      <c r="C783" t="s">
        <v>7627</v>
      </c>
      <c r="D783">
        <v>0</v>
      </c>
    </row>
    <row r="784" spans="2:4" ht="15" customHeight="1">
      <c r="B784" t="s">
        <v>7879</v>
      </c>
      <c r="C784" t="s">
        <v>7879</v>
      </c>
      <c r="D784">
        <v>0</v>
      </c>
    </row>
    <row r="785" spans="2:4" ht="15" customHeight="1">
      <c r="B785" t="s">
        <v>7908</v>
      </c>
      <c r="C785" t="s">
        <v>7908</v>
      </c>
      <c r="D785">
        <v>0</v>
      </c>
    </row>
    <row r="786" spans="2:4" ht="15" customHeight="1">
      <c r="B786" t="s">
        <v>8499</v>
      </c>
      <c r="C786" t="s">
        <v>8499</v>
      </c>
      <c r="D786">
        <v>0</v>
      </c>
    </row>
    <row r="787" spans="2:4" ht="15" customHeight="1">
      <c r="B787" t="s">
        <v>9455</v>
      </c>
      <c r="C787" t="s">
        <v>9455</v>
      </c>
      <c r="D787">
        <v>0</v>
      </c>
    </row>
    <row r="788" spans="2:4" ht="15" customHeight="1">
      <c r="B788" t="s">
        <v>985</v>
      </c>
      <c r="C788" t="s">
        <v>985</v>
      </c>
      <c r="D788">
        <v>0</v>
      </c>
    </row>
    <row r="789" spans="2:4" ht="15" customHeight="1">
      <c r="B789" t="s">
        <v>9305</v>
      </c>
      <c r="C789" t="s">
        <v>9305</v>
      </c>
      <c r="D789">
        <v>0</v>
      </c>
    </row>
    <row r="790" spans="2:4" ht="15" customHeight="1">
      <c r="B790" t="s">
        <v>10013</v>
      </c>
      <c r="C790" t="s">
        <v>10013</v>
      </c>
      <c r="D790">
        <v>0</v>
      </c>
    </row>
    <row r="791" spans="2:4" ht="15" customHeight="1">
      <c r="B791" t="s">
        <v>10133</v>
      </c>
      <c r="C791" t="s">
        <v>10133</v>
      </c>
      <c r="D791">
        <v>0</v>
      </c>
    </row>
    <row r="792" spans="2:4" ht="15" customHeight="1">
      <c r="B792" t="s">
        <v>8995</v>
      </c>
      <c r="C792" t="s">
        <v>8995</v>
      </c>
      <c r="D792">
        <v>0</v>
      </c>
    </row>
    <row r="793" spans="2:4" ht="15" customHeight="1">
      <c r="B793" t="s">
        <v>5582</v>
      </c>
      <c r="C793" t="s">
        <v>5582</v>
      </c>
      <c r="D793">
        <v>0</v>
      </c>
    </row>
    <row r="794" spans="2:4" ht="15" customHeight="1">
      <c r="B794" t="s">
        <v>5635</v>
      </c>
      <c r="C794" t="s">
        <v>5635</v>
      </c>
      <c r="D794">
        <v>0</v>
      </c>
    </row>
    <row r="795" spans="2:4" ht="15" customHeight="1">
      <c r="B795" t="s">
        <v>5636</v>
      </c>
      <c r="C795" t="s">
        <v>5636</v>
      </c>
      <c r="D795">
        <v>0</v>
      </c>
    </row>
    <row r="796" spans="2:4" ht="15" customHeight="1">
      <c r="B796" t="s">
        <v>5637</v>
      </c>
      <c r="C796" t="s">
        <v>5637</v>
      </c>
      <c r="D796">
        <v>0</v>
      </c>
    </row>
    <row r="797" spans="2:4" ht="15" customHeight="1">
      <c r="B797" t="s">
        <v>5583</v>
      </c>
      <c r="C797" t="s">
        <v>5583</v>
      </c>
      <c r="D797">
        <v>0</v>
      </c>
    </row>
    <row r="798" spans="2:4" ht="15" customHeight="1">
      <c r="B798" t="s">
        <v>5842</v>
      </c>
      <c r="C798" t="s">
        <v>5842</v>
      </c>
      <c r="D798">
        <v>0</v>
      </c>
    </row>
    <row r="799" spans="2:4" ht="15" customHeight="1">
      <c r="B799" t="s">
        <v>5638</v>
      </c>
      <c r="C799" t="s">
        <v>5638</v>
      </c>
      <c r="D799">
        <v>0</v>
      </c>
    </row>
    <row r="800" spans="2:4" ht="15" customHeight="1">
      <c r="B800" t="s">
        <v>5639</v>
      </c>
      <c r="C800" t="s">
        <v>5639</v>
      </c>
      <c r="D800">
        <v>0</v>
      </c>
    </row>
    <row r="801" spans="2:4" ht="15" customHeight="1">
      <c r="B801" t="s">
        <v>5640</v>
      </c>
      <c r="C801" t="s">
        <v>5640</v>
      </c>
      <c r="D801">
        <v>0</v>
      </c>
    </row>
    <row r="802" spans="2:4" ht="15" customHeight="1">
      <c r="B802" t="s">
        <v>919</v>
      </c>
      <c r="C802" t="s">
        <v>919</v>
      </c>
      <c r="D802">
        <v>0</v>
      </c>
    </row>
    <row r="803" spans="2:4" ht="15" customHeight="1">
      <c r="B803" t="s">
        <v>7859</v>
      </c>
      <c r="C803" t="s">
        <v>7859</v>
      </c>
      <c r="D803">
        <v>0</v>
      </c>
    </row>
    <row r="804" spans="2:4" ht="15" customHeight="1">
      <c r="B804" t="s">
        <v>5641</v>
      </c>
      <c r="C804" t="s">
        <v>5641</v>
      </c>
      <c r="D804">
        <v>0</v>
      </c>
    </row>
    <row r="805" spans="2:4" ht="15" customHeight="1">
      <c r="B805" t="s">
        <v>5642</v>
      </c>
      <c r="C805" t="s">
        <v>5642</v>
      </c>
      <c r="D805">
        <v>0</v>
      </c>
    </row>
    <row r="806" spans="2:4" ht="15" customHeight="1">
      <c r="B806" t="s">
        <v>5643</v>
      </c>
      <c r="C806" t="s">
        <v>5643</v>
      </c>
      <c r="D806">
        <v>0</v>
      </c>
    </row>
    <row r="807" spans="2:4" ht="15" customHeight="1">
      <c r="B807" t="s">
        <v>5644</v>
      </c>
      <c r="C807" t="s">
        <v>5644</v>
      </c>
      <c r="D807">
        <v>0</v>
      </c>
    </row>
    <row r="808" spans="2:4" ht="15" customHeight="1">
      <c r="B808" t="s">
        <v>5645</v>
      </c>
      <c r="C808" t="s">
        <v>5645</v>
      </c>
      <c r="D808">
        <v>0</v>
      </c>
    </row>
    <row r="809" spans="2:4" ht="15" customHeight="1">
      <c r="B809" t="s">
        <v>5646</v>
      </c>
      <c r="C809" t="s">
        <v>5646</v>
      </c>
      <c r="D809">
        <v>0</v>
      </c>
    </row>
    <row r="810" spans="2:4" ht="15" customHeight="1">
      <c r="B810" t="s">
        <v>5584</v>
      </c>
      <c r="C810" t="s">
        <v>5584</v>
      </c>
      <c r="D810">
        <v>0</v>
      </c>
    </row>
    <row r="811" spans="2:4" ht="15" customHeight="1">
      <c r="B811" t="s">
        <v>5647</v>
      </c>
      <c r="C811" t="s">
        <v>5647</v>
      </c>
      <c r="D811">
        <v>0</v>
      </c>
    </row>
    <row r="812" spans="2:4" ht="15" customHeight="1">
      <c r="B812" t="s">
        <v>5648</v>
      </c>
      <c r="C812" t="s">
        <v>5648</v>
      </c>
      <c r="D812">
        <v>0</v>
      </c>
    </row>
    <row r="813" spans="2:4" ht="15" customHeight="1">
      <c r="B813" t="s">
        <v>5649</v>
      </c>
      <c r="C813" t="s">
        <v>5649</v>
      </c>
      <c r="D813">
        <v>0</v>
      </c>
    </row>
    <row r="814" spans="2:4" ht="15" customHeight="1">
      <c r="B814" t="s">
        <v>5650</v>
      </c>
      <c r="C814" t="s">
        <v>5650</v>
      </c>
      <c r="D814">
        <v>0</v>
      </c>
    </row>
    <row r="815" spans="2:4" ht="15" customHeight="1">
      <c r="B815" t="s">
        <v>9407</v>
      </c>
      <c r="C815" t="s">
        <v>9407</v>
      </c>
      <c r="D815">
        <v>0</v>
      </c>
    </row>
    <row r="816" spans="2:4" ht="15" customHeight="1">
      <c r="B816" t="s">
        <v>5651</v>
      </c>
      <c r="C816" t="s">
        <v>5651</v>
      </c>
      <c r="D816">
        <v>0</v>
      </c>
    </row>
    <row r="817" spans="2:4" ht="15" customHeight="1">
      <c r="B817" t="s">
        <v>5585</v>
      </c>
      <c r="C817" t="s">
        <v>5585</v>
      </c>
      <c r="D817">
        <v>0</v>
      </c>
    </row>
    <row r="818" spans="2:4" ht="15" customHeight="1">
      <c r="B818" t="s">
        <v>5586</v>
      </c>
      <c r="C818" t="s">
        <v>5586</v>
      </c>
      <c r="D818">
        <v>0</v>
      </c>
    </row>
    <row r="819" spans="2:4" ht="15" customHeight="1">
      <c r="B819" t="s">
        <v>10014</v>
      </c>
      <c r="C819" t="s">
        <v>10014</v>
      </c>
      <c r="D819">
        <v>0</v>
      </c>
    </row>
    <row r="820" spans="2:4" ht="15" customHeight="1">
      <c r="B820" t="s">
        <v>10015</v>
      </c>
      <c r="C820" t="s">
        <v>10015</v>
      </c>
      <c r="D820">
        <v>0</v>
      </c>
    </row>
    <row r="821" spans="2:4" ht="15" customHeight="1">
      <c r="B821" t="s">
        <v>5652</v>
      </c>
      <c r="C821" t="s">
        <v>5652</v>
      </c>
      <c r="D821">
        <v>0</v>
      </c>
    </row>
    <row r="822" spans="2:4" ht="15" customHeight="1">
      <c r="B822" t="s">
        <v>5653</v>
      </c>
      <c r="C822" t="s">
        <v>5653</v>
      </c>
      <c r="D822">
        <v>0</v>
      </c>
    </row>
    <row r="823" spans="2:4" ht="15" customHeight="1">
      <c r="B823" t="s">
        <v>5654</v>
      </c>
      <c r="C823" t="s">
        <v>5654</v>
      </c>
      <c r="D823">
        <v>0</v>
      </c>
    </row>
    <row r="824" spans="2:4" ht="15" customHeight="1">
      <c r="B824" t="s">
        <v>5655</v>
      </c>
      <c r="C824" t="s">
        <v>5655</v>
      </c>
      <c r="D824">
        <v>0</v>
      </c>
    </row>
    <row r="825" spans="2:4" ht="15" customHeight="1">
      <c r="B825" t="s">
        <v>5656</v>
      </c>
      <c r="C825" t="s">
        <v>5656</v>
      </c>
      <c r="D825">
        <v>0</v>
      </c>
    </row>
    <row r="826" spans="2:4" ht="15" customHeight="1">
      <c r="B826" t="s">
        <v>5657</v>
      </c>
      <c r="C826" t="s">
        <v>5657</v>
      </c>
      <c r="D826">
        <v>0</v>
      </c>
    </row>
    <row r="827" spans="2:4" ht="15" customHeight="1">
      <c r="B827" t="s">
        <v>5658</v>
      </c>
      <c r="C827" t="s">
        <v>5658</v>
      </c>
      <c r="D827">
        <v>0</v>
      </c>
    </row>
    <row r="828" spans="2:4" ht="15" customHeight="1">
      <c r="B828" t="s">
        <v>5659</v>
      </c>
      <c r="C828" t="s">
        <v>5659</v>
      </c>
      <c r="D828">
        <v>0</v>
      </c>
    </row>
    <row r="829" spans="2:4" ht="15" customHeight="1">
      <c r="B829" t="s">
        <v>5660</v>
      </c>
      <c r="C829" t="s">
        <v>5660</v>
      </c>
      <c r="D829">
        <v>0</v>
      </c>
    </row>
    <row r="830" spans="2:4" ht="15" customHeight="1">
      <c r="B830" t="s">
        <v>5661</v>
      </c>
      <c r="C830" t="s">
        <v>5661</v>
      </c>
      <c r="D830">
        <v>0</v>
      </c>
    </row>
    <row r="831" spans="2:4" ht="15" customHeight="1">
      <c r="B831" t="s">
        <v>5662</v>
      </c>
      <c r="C831" t="s">
        <v>5662</v>
      </c>
      <c r="D831">
        <v>0</v>
      </c>
    </row>
    <row r="832" spans="2:4" ht="15" customHeight="1">
      <c r="B832" t="s">
        <v>5587</v>
      </c>
      <c r="C832" t="s">
        <v>5587</v>
      </c>
      <c r="D832">
        <v>0</v>
      </c>
    </row>
    <row r="833" spans="2:4" ht="15" customHeight="1">
      <c r="B833" t="s">
        <v>5588</v>
      </c>
      <c r="C833" t="s">
        <v>5588</v>
      </c>
      <c r="D833">
        <v>0</v>
      </c>
    </row>
    <row r="834" spans="2:4" ht="15" customHeight="1">
      <c r="B834" t="s">
        <v>5663</v>
      </c>
      <c r="C834" t="s">
        <v>5663</v>
      </c>
      <c r="D834">
        <v>0</v>
      </c>
    </row>
    <row r="835" spans="2:4" ht="15" customHeight="1">
      <c r="B835" t="s">
        <v>5589</v>
      </c>
      <c r="C835" t="s">
        <v>5589</v>
      </c>
      <c r="D835">
        <v>0</v>
      </c>
    </row>
    <row r="836" spans="2:4" ht="15" customHeight="1">
      <c r="B836" t="s">
        <v>5664</v>
      </c>
      <c r="C836" t="s">
        <v>5664</v>
      </c>
      <c r="D836">
        <v>0</v>
      </c>
    </row>
    <row r="837" spans="2:4" ht="15" customHeight="1">
      <c r="B837" t="s">
        <v>5665</v>
      </c>
      <c r="C837" t="s">
        <v>5665</v>
      </c>
      <c r="D837">
        <v>0</v>
      </c>
    </row>
    <row r="838" spans="2:4" ht="15" customHeight="1">
      <c r="B838" t="s">
        <v>5666</v>
      </c>
      <c r="C838" t="s">
        <v>5666</v>
      </c>
      <c r="D838">
        <v>0</v>
      </c>
    </row>
    <row r="839" spans="2:4" ht="15" customHeight="1">
      <c r="B839" t="s">
        <v>6360</v>
      </c>
      <c r="C839" t="s">
        <v>6360</v>
      </c>
      <c r="D839">
        <v>0</v>
      </c>
    </row>
    <row r="840" spans="2:4" ht="15" customHeight="1">
      <c r="B840" t="s">
        <v>7498</v>
      </c>
      <c r="C840" t="s">
        <v>7498</v>
      </c>
      <c r="D840">
        <v>0</v>
      </c>
    </row>
    <row r="841" spans="2:4" ht="15" customHeight="1">
      <c r="B841" t="s">
        <v>5667</v>
      </c>
      <c r="C841" t="s">
        <v>5667</v>
      </c>
      <c r="D841">
        <v>0</v>
      </c>
    </row>
    <row r="842" spans="2:4" ht="15" customHeight="1">
      <c r="B842" t="s">
        <v>5668</v>
      </c>
      <c r="C842" t="s">
        <v>5668</v>
      </c>
      <c r="D842">
        <v>0</v>
      </c>
    </row>
    <row r="843" spans="2:4" ht="15" customHeight="1">
      <c r="B843" t="s">
        <v>5669</v>
      </c>
      <c r="C843" t="s">
        <v>5669</v>
      </c>
      <c r="D843">
        <v>0</v>
      </c>
    </row>
    <row r="844" spans="2:4" ht="15" customHeight="1">
      <c r="B844" t="s">
        <v>5670</v>
      </c>
      <c r="C844" t="s">
        <v>5670</v>
      </c>
      <c r="D844">
        <v>0</v>
      </c>
    </row>
    <row r="845" spans="2:4" ht="15" customHeight="1">
      <c r="B845" t="s">
        <v>5671</v>
      </c>
      <c r="C845" t="s">
        <v>5671</v>
      </c>
      <c r="D845">
        <v>0</v>
      </c>
    </row>
    <row r="846" spans="2:4" ht="15" customHeight="1">
      <c r="B846" t="s">
        <v>7500</v>
      </c>
      <c r="C846" t="s">
        <v>7500</v>
      </c>
      <c r="D846">
        <v>0</v>
      </c>
    </row>
    <row r="847" spans="2:4" ht="15" customHeight="1">
      <c r="B847" t="s">
        <v>7502</v>
      </c>
      <c r="C847" t="s">
        <v>7502</v>
      </c>
      <c r="D847">
        <v>0</v>
      </c>
    </row>
    <row r="848" spans="2:4" ht="15" customHeight="1">
      <c r="B848" t="s">
        <v>5672</v>
      </c>
      <c r="C848" t="s">
        <v>5672</v>
      </c>
      <c r="D848">
        <v>0</v>
      </c>
    </row>
    <row r="849" spans="2:4" ht="15" customHeight="1">
      <c r="B849" t="s">
        <v>7893</v>
      </c>
      <c r="C849" t="s">
        <v>7893</v>
      </c>
      <c r="D849">
        <v>0</v>
      </c>
    </row>
    <row r="850" spans="2:4" ht="15" customHeight="1">
      <c r="B850" t="s">
        <v>8579</v>
      </c>
      <c r="C850" t="s">
        <v>8579</v>
      </c>
      <c r="D850">
        <v>0</v>
      </c>
    </row>
    <row r="851" spans="2:4" ht="15" customHeight="1">
      <c r="B851" t="s">
        <v>8349</v>
      </c>
      <c r="C851" t="s">
        <v>8349</v>
      </c>
      <c r="D851">
        <v>0</v>
      </c>
    </row>
    <row r="852" spans="2:4" ht="15" customHeight="1">
      <c r="B852" t="s">
        <v>10019</v>
      </c>
      <c r="C852" t="s">
        <v>10019</v>
      </c>
      <c r="D852">
        <v>0</v>
      </c>
    </row>
    <row r="853" spans="2:4" ht="15" customHeight="1">
      <c r="B853" t="s">
        <v>5590</v>
      </c>
      <c r="C853" t="s">
        <v>5590</v>
      </c>
      <c r="D853">
        <v>0</v>
      </c>
    </row>
    <row r="854" spans="2:4" ht="15" customHeight="1">
      <c r="B854" t="s">
        <v>5591</v>
      </c>
      <c r="C854" t="s">
        <v>5591</v>
      </c>
      <c r="D854">
        <v>0</v>
      </c>
    </row>
    <row r="855" spans="2:4" ht="15" customHeight="1">
      <c r="B855" t="s">
        <v>5592</v>
      </c>
      <c r="C855" t="s">
        <v>5592</v>
      </c>
      <c r="D855">
        <v>0</v>
      </c>
    </row>
    <row r="856" spans="2:4" ht="15" customHeight="1">
      <c r="B856" t="s">
        <v>841</v>
      </c>
      <c r="C856" t="s">
        <v>841</v>
      </c>
      <c r="D856">
        <v>0</v>
      </c>
    </row>
    <row r="857" spans="2:4" ht="15" customHeight="1">
      <c r="B857" t="s">
        <v>5593</v>
      </c>
      <c r="C857" t="s">
        <v>5593</v>
      </c>
      <c r="D857">
        <v>0</v>
      </c>
    </row>
    <row r="858" spans="2:4" ht="15" customHeight="1">
      <c r="B858" t="s">
        <v>7594</v>
      </c>
      <c r="C858" t="s">
        <v>7594</v>
      </c>
      <c r="D858">
        <v>0</v>
      </c>
    </row>
    <row r="859" spans="2:4" ht="15" customHeight="1">
      <c r="B859" t="s">
        <v>7610</v>
      </c>
      <c r="C859" t="s">
        <v>7610</v>
      </c>
      <c r="D859">
        <v>0</v>
      </c>
    </row>
    <row r="860" spans="2:4" ht="15" customHeight="1">
      <c r="B860" t="s">
        <v>875</v>
      </c>
      <c r="C860" t="s">
        <v>875</v>
      </c>
      <c r="D860">
        <v>0</v>
      </c>
    </row>
    <row r="861" spans="2:4" ht="15" customHeight="1">
      <c r="B861" t="s">
        <v>8143</v>
      </c>
      <c r="C861" t="s">
        <v>8143</v>
      </c>
      <c r="D861">
        <v>0</v>
      </c>
    </row>
    <row r="862" spans="2:4" ht="15" customHeight="1">
      <c r="B862" t="s">
        <v>8192</v>
      </c>
      <c r="C862" t="s">
        <v>8192</v>
      </c>
      <c r="D862">
        <v>0</v>
      </c>
    </row>
    <row r="863" spans="2:4" ht="15" customHeight="1">
      <c r="B863" t="s">
        <v>5055</v>
      </c>
      <c r="C863" t="s">
        <v>5055</v>
      </c>
      <c r="D863">
        <v>0</v>
      </c>
    </row>
    <row r="864" spans="2:4" ht="15" customHeight="1">
      <c r="B864" t="s">
        <v>8308</v>
      </c>
      <c r="C864" t="s">
        <v>8308</v>
      </c>
      <c r="D864">
        <v>0</v>
      </c>
    </row>
    <row r="865" spans="2:4" ht="15" customHeight="1">
      <c r="B865" t="s">
        <v>8337</v>
      </c>
      <c r="C865" t="s">
        <v>8337</v>
      </c>
      <c r="D865">
        <v>0</v>
      </c>
    </row>
    <row r="866" spans="2:4" ht="15" customHeight="1">
      <c r="B866" t="s">
        <v>885</v>
      </c>
      <c r="C866" t="s">
        <v>885</v>
      </c>
      <c r="D866">
        <v>0</v>
      </c>
    </row>
    <row r="867" spans="2:4" ht="15" customHeight="1">
      <c r="B867" t="s">
        <v>9082</v>
      </c>
      <c r="C867" t="s">
        <v>9082</v>
      </c>
      <c r="D867">
        <v>0</v>
      </c>
    </row>
    <row r="868" spans="2:4" ht="15" customHeight="1">
      <c r="B868" t="s">
        <v>9119</v>
      </c>
      <c r="C868" t="s">
        <v>9119</v>
      </c>
      <c r="D868">
        <v>0</v>
      </c>
    </row>
    <row r="869" spans="2:4" ht="15" customHeight="1">
      <c r="B869" t="s">
        <v>9263</v>
      </c>
      <c r="C869" t="s">
        <v>9263</v>
      </c>
      <c r="D869">
        <v>0</v>
      </c>
    </row>
    <row r="870" spans="2:4" ht="15" customHeight="1">
      <c r="B870" t="s">
        <v>9389</v>
      </c>
      <c r="C870" t="s">
        <v>9389</v>
      </c>
      <c r="D870">
        <v>0</v>
      </c>
    </row>
    <row r="871" spans="2:4" ht="15" customHeight="1">
      <c r="B871" t="s">
        <v>9391</v>
      </c>
      <c r="C871" t="s">
        <v>9391</v>
      </c>
      <c r="D871">
        <v>0</v>
      </c>
    </row>
    <row r="872" spans="2:4" ht="15" customHeight="1">
      <c r="B872" t="s">
        <v>9428</v>
      </c>
      <c r="C872" t="s">
        <v>9428</v>
      </c>
      <c r="D872">
        <v>0</v>
      </c>
    </row>
    <row r="873" spans="2:4" ht="15" customHeight="1">
      <c r="B873" t="s">
        <v>10031</v>
      </c>
      <c r="C873" t="s">
        <v>10031</v>
      </c>
      <c r="D873">
        <v>0</v>
      </c>
    </row>
    <row r="874" spans="2:4" ht="15" customHeight="1">
      <c r="B874" t="s">
        <v>5183</v>
      </c>
      <c r="C874" t="s">
        <v>5183</v>
      </c>
      <c r="D874">
        <v>0</v>
      </c>
    </row>
    <row r="875" spans="2:4" ht="15" customHeight="1">
      <c r="B875" t="s">
        <v>5594</v>
      </c>
      <c r="C875" t="s">
        <v>5594</v>
      </c>
      <c r="D875">
        <v>0</v>
      </c>
    </row>
    <row r="876" spans="2:4" ht="15" customHeight="1">
      <c r="B876" t="s">
        <v>5673</v>
      </c>
      <c r="C876" t="s">
        <v>5673</v>
      </c>
      <c r="D876">
        <v>0</v>
      </c>
    </row>
    <row r="877" spans="2:4" ht="15" customHeight="1">
      <c r="B877" t="s">
        <v>5674</v>
      </c>
      <c r="C877" t="s">
        <v>5674</v>
      </c>
      <c r="D877">
        <v>0</v>
      </c>
    </row>
    <row r="878" spans="2:4" ht="15" customHeight="1">
      <c r="B878" t="s">
        <v>5675</v>
      </c>
      <c r="C878" t="s">
        <v>5675</v>
      </c>
      <c r="D878">
        <v>0</v>
      </c>
    </row>
    <row r="879" spans="2:4" ht="15" customHeight="1">
      <c r="B879" t="s">
        <v>5595</v>
      </c>
      <c r="C879" t="s">
        <v>5595</v>
      </c>
      <c r="D879">
        <v>0</v>
      </c>
    </row>
    <row r="880" spans="2:4" ht="15" customHeight="1">
      <c r="B880" t="s">
        <v>5596</v>
      </c>
      <c r="C880" t="s">
        <v>5596</v>
      </c>
      <c r="D880">
        <v>0</v>
      </c>
    </row>
    <row r="881" spans="2:4" ht="15" customHeight="1">
      <c r="B881" t="s">
        <v>5597</v>
      </c>
      <c r="C881" t="s">
        <v>5597</v>
      </c>
      <c r="D881">
        <v>0</v>
      </c>
    </row>
    <row r="882" spans="2:4" ht="15" customHeight="1">
      <c r="B882" t="s">
        <v>5598</v>
      </c>
      <c r="C882" t="s">
        <v>5598</v>
      </c>
      <c r="D882">
        <v>0</v>
      </c>
    </row>
    <row r="883" spans="2:4" ht="15" customHeight="1">
      <c r="B883" t="s">
        <v>5599</v>
      </c>
      <c r="C883" t="s">
        <v>5599</v>
      </c>
      <c r="D883">
        <v>0</v>
      </c>
    </row>
    <row r="884" spans="2:4" ht="15" customHeight="1">
      <c r="B884" t="s">
        <v>10135</v>
      </c>
      <c r="C884" t="s">
        <v>10135</v>
      </c>
      <c r="D884">
        <v>0</v>
      </c>
    </row>
    <row r="885" spans="2:4" ht="15" customHeight="1">
      <c r="B885" t="s">
        <v>5676</v>
      </c>
      <c r="C885" t="s">
        <v>5676</v>
      </c>
      <c r="D885">
        <v>0</v>
      </c>
    </row>
    <row r="886" spans="2:4" ht="15" customHeight="1">
      <c r="B886" t="s">
        <v>5677</v>
      </c>
      <c r="C886" t="s">
        <v>5677</v>
      </c>
      <c r="D886">
        <v>0</v>
      </c>
    </row>
    <row r="887" spans="2:4" ht="15" customHeight="1">
      <c r="B887" t="s">
        <v>5678</v>
      </c>
      <c r="C887" t="s">
        <v>5678</v>
      </c>
      <c r="D887">
        <v>0</v>
      </c>
    </row>
    <row r="888" spans="2:4" ht="15" customHeight="1">
      <c r="B888" t="s">
        <v>5679</v>
      </c>
      <c r="C888" t="s">
        <v>5679</v>
      </c>
      <c r="D888">
        <v>0</v>
      </c>
    </row>
    <row r="889" spans="2:4" ht="15" customHeight="1">
      <c r="B889" t="s">
        <v>5680</v>
      </c>
      <c r="C889" t="s">
        <v>5680</v>
      </c>
      <c r="D889">
        <v>0</v>
      </c>
    </row>
    <row r="890" spans="2:4" ht="15" customHeight="1">
      <c r="B890" t="s">
        <v>5681</v>
      </c>
      <c r="C890" t="s">
        <v>5681</v>
      </c>
      <c r="D890">
        <v>0</v>
      </c>
    </row>
    <row r="891" spans="2:4" ht="15" customHeight="1">
      <c r="B891" t="s">
        <v>5682</v>
      </c>
      <c r="C891" t="s">
        <v>5682</v>
      </c>
      <c r="D891">
        <v>0</v>
      </c>
    </row>
    <row r="892" spans="2:4" ht="15" customHeight="1">
      <c r="B892" t="s">
        <v>5683</v>
      </c>
      <c r="C892" t="s">
        <v>5683</v>
      </c>
      <c r="D892">
        <v>0</v>
      </c>
    </row>
    <row r="893" spans="2:4" ht="15" customHeight="1">
      <c r="B893" t="s">
        <v>5684</v>
      </c>
      <c r="C893" t="s">
        <v>5684</v>
      </c>
      <c r="D893">
        <v>0</v>
      </c>
    </row>
    <row r="894" spans="2:4" ht="15" customHeight="1">
      <c r="B894" t="s">
        <v>5685</v>
      </c>
      <c r="C894" t="s">
        <v>5685</v>
      </c>
      <c r="D894">
        <v>0</v>
      </c>
    </row>
    <row r="895" spans="2:4" ht="15" customHeight="1">
      <c r="B895" t="s">
        <v>5686</v>
      </c>
      <c r="C895" t="s">
        <v>5686</v>
      </c>
      <c r="D895">
        <v>0</v>
      </c>
    </row>
    <row r="896" spans="2:4" ht="15" customHeight="1">
      <c r="B896" t="s">
        <v>5687</v>
      </c>
      <c r="C896" t="s">
        <v>5687</v>
      </c>
      <c r="D896">
        <v>0</v>
      </c>
    </row>
    <row r="897" spans="2:4" ht="15" customHeight="1">
      <c r="B897" t="s">
        <v>5688</v>
      </c>
      <c r="C897" t="s">
        <v>5688</v>
      </c>
      <c r="D897">
        <v>0</v>
      </c>
    </row>
    <row r="898" spans="2:4" ht="15" customHeight="1">
      <c r="B898" t="s">
        <v>5689</v>
      </c>
      <c r="C898" t="s">
        <v>5689</v>
      </c>
      <c r="D898">
        <v>0</v>
      </c>
    </row>
    <row r="899" spans="2:4" ht="15" customHeight="1">
      <c r="B899" t="s">
        <v>5600</v>
      </c>
      <c r="C899" t="s">
        <v>5600</v>
      </c>
      <c r="D899">
        <v>0</v>
      </c>
    </row>
    <row r="900" spans="2:4" ht="15" customHeight="1">
      <c r="B900" t="s">
        <v>1479</v>
      </c>
      <c r="C900" t="s">
        <v>1479</v>
      </c>
      <c r="D900">
        <v>0</v>
      </c>
    </row>
    <row r="901" spans="2:4" ht="15" customHeight="1">
      <c r="B901" t="s">
        <v>5690</v>
      </c>
      <c r="C901" t="s">
        <v>5690</v>
      </c>
      <c r="D901">
        <v>0</v>
      </c>
    </row>
    <row r="902" spans="2:4" ht="15" customHeight="1">
      <c r="B902" t="s">
        <v>7853</v>
      </c>
      <c r="C902" t="s">
        <v>7853</v>
      </c>
      <c r="D902">
        <v>0</v>
      </c>
    </row>
    <row r="903" spans="2:4" ht="15" customHeight="1">
      <c r="B903" t="s">
        <v>8167</v>
      </c>
      <c r="C903" t="s">
        <v>8167</v>
      </c>
      <c r="D903">
        <v>0</v>
      </c>
    </row>
    <row r="904" spans="2:4" ht="15" customHeight="1">
      <c r="B904" t="s">
        <v>8232</v>
      </c>
      <c r="C904" t="s">
        <v>8232</v>
      </c>
      <c r="D904">
        <v>0</v>
      </c>
    </row>
    <row r="905" spans="2:4" ht="15" customHeight="1">
      <c r="B905" t="s">
        <v>8245</v>
      </c>
      <c r="C905" t="s">
        <v>8245</v>
      </c>
      <c r="D905">
        <v>0</v>
      </c>
    </row>
    <row r="906" spans="2:4" ht="15" customHeight="1">
      <c r="B906" t="s">
        <v>8321</v>
      </c>
      <c r="C906" t="s">
        <v>8321</v>
      </c>
      <c r="D906">
        <v>0</v>
      </c>
    </row>
    <row r="907" spans="2:4" ht="15" customHeight="1">
      <c r="B907" t="s">
        <v>8465</v>
      </c>
      <c r="C907" t="s">
        <v>8465</v>
      </c>
      <c r="D907">
        <v>0</v>
      </c>
    </row>
    <row r="908" spans="2:4" ht="15" customHeight="1">
      <c r="B908" t="s">
        <v>8488</v>
      </c>
      <c r="C908" t="s">
        <v>8488</v>
      </c>
      <c r="D908">
        <v>0</v>
      </c>
    </row>
    <row r="909" spans="2:4" ht="15" customHeight="1">
      <c r="B909" t="s">
        <v>7477</v>
      </c>
      <c r="C909" t="s">
        <v>7477</v>
      </c>
      <c r="D909">
        <v>0</v>
      </c>
    </row>
    <row r="910" spans="2:4" ht="15" customHeight="1">
      <c r="B910" t="s">
        <v>5691</v>
      </c>
      <c r="C910" t="s">
        <v>5691</v>
      </c>
      <c r="D910">
        <v>0</v>
      </c>
    </row>
    <row r="911" spans="2:4" ht="15" customHeight="1">
      <c r="B911" t="s">
        <v>7604</v>
      </c>
      <c r="C911" t="s">
        <v>7604</v>
      </c>
      <c r="D911">
        <v>0</v>
      </c>
    </row>
    <row r="912" spans="2:4" ht="15" customHeight="1">
      <c r="B912" t="s">
        <v>8060</v>
      </c>
      <c r="C912" t="s">
        <v>8060</v>
      </c>
      <c r="D912">
        <v>0</v>
      </c>
    </row>
    <row r="913" spans="2:4" ht="15" customHeight="1">
      <c r="B913" t="s">
        <v>8148</v>
      </c>
      <c r="C913" t="s">
        <v>8148</v>
      </c>
      <c r="D913">
        <v>0</v>
      </c>
    </row>
    <row r="914" spans="2:4" ht="15" customHeight="1">
      <c r="B914" t="s">
        <v>8764</v>
      </c>
      <c r="C914" t="s">
        <v>8764</v>
      </c>
      <c r="D914">
        <v>0</v>
      </c>
    </row>
    <row r="915" spans="2:4" ht="15" customHeight="1">
      <c r="B915" t="s">
        <v>9284</v>
      </c>
      <c r="C915" t="s">
        <v>9284</v>
      </c>
      <c r="D915">
        <v>0</v>
      </c>
    </row>
    <row r="916" spans="2:4" ht="15" customHeight="1">
      <c r="B916" t="s">
        <v>5692</v>
      </c>
      <c r="C916" t="s">
        <v>5692</v>
      </c>
      <c r="D916">
        <v>0</v>
      </c>
    </row>
    <row r="917" spans="2:4" ht="15" customHeight="1">
      <c r="B917" t="s">
        <v>5693</v>
      </c>
      <c r="C917" t="s">
        <v>5693</v>
      </c>
      <c r="D917">
        <v>0</v>
      </c>
    </row>
    <row r="918" spans="2:4" ht="15" customHeight="1">
      <c r="B918" t="s">
        <v>5694</v>
      </c>
      <c r="C918" t="s">
        <v>5694</v>
      </c>
      <c r="D918">
        <v>0</v>
      </c>
    </row>
    <row r="919" spans="2:4" ht="15" customHeight="1">
      <c r="B919" t="s">
        <v>5695</v>
      </c>
      <c r="C919" t="s">
        <v>5695</v>
      </c>
      <c r="D919">
        <v>0</v>
      </c>
    </row>
    <row r="920" spans="2:4" ht="15" customHeight="1">
      <c r="B920" t="s">
        <v>5696</v>
      </c>
      <c r="C920" t="s">
        <v>5696</v>
      </c>
      <c r="D920">
        <v>0</v>
      </c>
    </row>
    <row r="921" spans="2:4" ht="15" customHeight="1">
      <c r="B921" t="s">
        <v>5697</v>
      </c>
      <c r="C921" t="s">
        <v>5697</v>
      </c>
      <c r="D921">
        <v>0</v>
      </c>
    </row>
    <row r="922" spans="2:4" ht="15" customHeight="1">
      <c r="B922" t="s">
        <v>5698</v>
      </c>
      <c r="C922" t="s">
        <v>5698</v>
      </c>
      <c r="D922">
        <v>0</v>
      </c>
    </row>
    <row r="923" spans="2:4" ht="15" customHeight="1">
      <c r="B923" t="s">
        <v>5699</v>
      </c>
      <c r="C923" t="s">
        <v>5699</v>
      </c>
      <c r="D923">
        <v>0</v>
      </c>
    </row>
    <row r="924" spans="2:4" ht="15" customHeight="1">
      <c r="B924" t="s">
        <v>5700</v>
      </c>
      <c r="C924" t="s">
        <v>5700</v>
      </c>
      <c r="D924">
        <v>0</v>
      </c>
    </row>
    <row r="925" spans="2:4" ht="15" customHeight="1">
      <c r="B925" t="s">
        <v>8817</v>
      </c>
      <c r="C925" t="s">
        <v>8817</v>
      </c>
      <c r="D925">
        <v>0</v>
      </c>
    </row>
    <row r="926" spans="2:4" ht="15" customHeight="1">
      <c r="B926" t="s">
        <v>8813</v>
      </c>
      <c r="C926" t="s">
        <v>8813</v>
      </c>
      <c r="D926">
        <v>0</v>
      </c>
    </row>
    <row r="927" spans="2:4" ht="15" customHeight="1">
      <c r="B927" t="s">
        <v>220</v>
      </c>
      <c r="C927" t="s">
        <v>220</v>
      </c>
      <c r="D927">
        <v>0</v>
      </c>
    </row>
    <row r="928" spans="2:4" ht="15" customHeight="1">
      <c r="B928" t="s">
        <v>5701</v>
      </c>
      <c r="C928" t="s">
        <v>5701</v>
      </c>
      <c r="D928">
        <v>0</v>
      </c>
    </row>
    <row r="929" spans="2:4" ht="15" customHeight="1">
      <c r="B929" t="s">
        <v>10036</v>
      </c>
      <c r="C929" t="s">
        <v>10036</v>
      </c>
      <c r="D929">
        <v>0</v>
      </c>
    </row>
    <row r="930" spans="2:4" ht="15" customHeight="1">
      <c r="B930" t="s">
        <v>5702</v>
      </c>
      <c r="C930" t="s">
        <v>5702</v>
      </c>
      <c r="D930">
        <v>0</v>
      </c>
    </row>
    <row r="931" spans="2:4" ht="15" customHeight="1">
      <c r="B931" t="s">
        <v>5703</v>
      </c>
      <c r="C931" t="s">
        <v>5703</v>
      </c>
      <c r="D931">
        <v>0</v>
      </c>
    </row>
    <row r="932" spans="2:4" ht="15" customHeight="1">
      <c r="B932" t="s">
        <v>5704</v>
      </c>
      <c r="C932" t="s">
        <v>5704</v>
      </c>
      <c r="D932">
        <v>0</v>
      </c>
    </row>
    <row r="933" spans="2:4" ht="15" customHeight="1">
      <c r="B933" t="s">
        <v>5705</v>
      </c>
      <c r="C933" t="s">
        <v>5705</v>
      </c>
      <c r="D933">
        <v>0</v>
      </c>
    </row>
    <row r="934" spans="2:4" ht="15" customHeight="1">
      <c r="B934" t="s">
        <v>9994</v>
      </c>
      <c r="C934" t="s">
        <v>9994</v>
      </c>
      <c r="D934">
        <v>0</v>
      </c>
    </row>
    <row r="935" spans="2:4" ht="15" customHeight="1">
      <c r="B935" t="s">
        <v>5366</v>
      </c>
      <c r="C935" t="s">
        <v>5366</v>
      </c>
      <c r="D935">
        <v>0</v>
      </c>
    </row>
    <row r="936" spans="2:4" ht="15" customHeight="1">
      <c r="B936" t="s">
        <v>9376</v>
      </c>
      <c r="C936" t="s">
        <v>9376</v>
      </c>
      <c r="D936">
        <v>0</v>
      </c>
    </row>
    <row r="937" spans="2:4" ht="15" customHeight="1">
      <c r="B937" t="s">
        <v>5706</v>
      </c>
      <c r="C937" t="s">
        <v>5706</v>
      </c>
      <c r="D937">
        <v>0</v>
      </c>
    </row>
    <row r="938" spans="2:4" ht="15" customHeight="1">
      <c r="B938" t="s">
        <v>5707</v>
      </c>
      <c r="C938" t="s">
        <v>5707</v>
      </c>
      <c r="D938">
        <v>0</v>
      </c>
    </row>
    <row r="939" spans="2:4" ht="15" customHeight="1">
      <c r="B939" t="s">
        <v>7845</v>
      </c>
      <c r="C939" t="s">
        <v>7845</v>
      </c>
      <c r="D939">
        <v>0</v>
      </c>
    </row>
    <row r="940" spans="2:4" ht="15" customHeight="1">
      <c r="B940" t="s">
        <v>7849</v>
      </c>
      <c r="C940" t="s">
        <v>7849</v>
      </c>
      <c r="D940">
        <v>0</v>
      </c>
    </row>
    <row r="941" spans="2:4" ht="15" customHeight="1">
      <c r="B941" t="s">
        <v>8107</v>
      </c>
      <c r="C941" t="s">
        <v>8107</v>
      </c>
      <c r="D941">
        <v>0</v>
      </c>
    </row>
    <row r="942" spans="2:4" ht="15" customHeight="1">
      <c r="B942" t="s">
        <v>8490</v>
      </c>
      <c r="C942" t="s">
        <v>8490</v>
      </c>
      <c r="D942">
        <v>0</v>
      </c>
    </row>
    <row r="943" spans="2:4" ht="15" customHeight="1">
      <c r="B943" t="s">
        <v>6601</v>
      </c>
      <c r="C943" t="s">
        <v>6601</v>
      </c>
      <c r="D943">
        <v>0</v>
      </c>
    </row>
    <row r="944" spans="2:4" ht="15" customHeight="1">
      <c r="B944" t="s">
        <v>8493</v>
      </c>
      <c r="C944" t="s">
        <v>8493</v>
      </c>
      <c r="D944">
        <v>0</v>
      </c>
    </row>
    <row r="945" spans="2:4" ht="15" customHeight="1">
      <c r="B945" t="s">
        <v>8780</v>
      </c>
      <c r="C945" t="s">
        <v>8780</v>
      </c>
      <c r="D945">
        <v>0</v>
      </c>
    </row>
    <row r="946" spans="2:4" ht="15" customHeight="1">
      <c r="B946" t="s">
        <v>8782</v>
      </c>
      <c r="C946" t="s">
        <v>8782</v>
      </c>
      <c r="D946">
        <v>0</v>
      </c>
    </row>
    <row r="947" spans="2:4" ht="15" customHeight="1">
      <c r="B947" t="s">
        <v>8784</v>
      </c>
      <c r="C947" t="s">
        <v>8784</v>
      </c>
      <c r="D947">
        <v>0</v>
      </c>
    </row>
    <row r="948" spans="2:4" ht="15" customHeight="1">
      <c r="B948" t="s">
        <v>997</v>
      </c>
      <c r="C948" t="s">
        <v>997</v>
      </c>
      <c r="D948">
        <v>0</v>
      </c>
    </row>
    <row r="949" spans="2:4" ht="15" customHeight="1">
      <c r="B949" t="s">
        <v>10002</v>
      </c>
      <c r="C949" t="s">
        <v>10002</v>
      </c>
      <c r="D949">
        <v>0</v>
      </c>
    </row>
    <row r="950" spans="2:4" ht="15" customHeight="1">
      <c r="B950" t="s">
        <v>9115</v>
      </c>
      <c r="C950" t="s">
        <v>9115</v>
      </c>
      <c r="D950">
        <v>0</v>
      </c>
    </row>
    <row r="951" spans="2:4" ht="15" customHeight="1">
      <c r="B951" t="s">
        <v>5544</v>
      </c>
      <c r="C951" t="s">
        <v>5544</v>
      </c>
      <c r="D951">
        <v>0</v>
      </c>
    </row>
    <row r="952" spans="2:4" ht="15" customHeight="1">
      <c r="B952" t="s">
        <v>10136</v>
      </c>
      <c r="C952" t="s">
        <v>10136</v>
      </c>
      <c r="D952">
        <v>0</v>
      </c>
    </row>
    <row r="953" spans="2:4" ht="15" customHeight="1">
      <c r="B953" t="s">
        <v>10137</v>
      </c>
      <c r="C953" t="s">
        <v>10137</v>
      </c>
      <c r="D953">
        <v>0</v>
      </c>
    </row>
    <row r="954" spans="2:4" ht="15" customHeight="1">
      <c r="B954" t="s">
        <v>10138</v>
      </c>
      <c r="C954" t="s">
        <v>10138</v>
      </c>
      <c r="D954">
        <v>0</v>
      </c>
    </row>
    <row r="955" spans="2:4" ht="15" customHeight="1">
      <c r="B955" t="s">
        <v>10034</v>
      </c>
      <c r="C955" t="s">
        <v>10034</v>
      </c>
      <c r="D955">
        <v>0</v>
      </c>
    </row>
    <row r="956" spans="2:4" ht="15" customHeight="1">
      <c r="B956" t="s">
        <v>5708</v>
      </c>
      <c r="C956" t="s">
        <v>5708</v>
      </c>
      <c r="D956">
        <v>0</v>
      </c>
    </row>
    <row r="957" spans="2:4" ht="15" customHeight="1">
      <c r="B957" t="s">
        <v>5709</v>
      </c>
      <c r="C957" t="s">
        <v>5709</v>
      </c>
      <c r="D957">
        <v>0</v>
      </c>
    </row>
    <row r="958" spans="2:4" ht="15" customHeight="1">
      <c r="B958" t="s">
        <v>5710</v>
      </c>
      <c r="C958" t="s">
        <v>5710</v>
      </c>
      <c r="D958">
        <v>0</v>
      </c>
    </row>
    <row r="959" spans="2:4" ht="15" customHeight="1">
      <c r="B959" t="s">
        <v>5711</v>
      </c>
      <c r="C959" t="s">
        <v>5711</v>
      </c>
      <c r="D959">
        <v>0</v>
      </c>
    </row>
    <row r="960" spans="2:4" ht="15" customHeight="1">
      <c r="B960" t="s">
        <v>7847</v>
      </c>
      <c r="C960" t="s">
        <v>7847</v>
      </c>
      <c r="D960">
        <v>0</v>
      </c>
    </row>
    <row r="961" spans="2:4" ht="15" customHeight="1">
      <c r="B961" t="s">
        <v>7851</v>
      </c>
      <c r="C961" t="s">
        <v>7851</v>
      </c>
      <c r="D961">
        <v>0</v>
      </c>
    </row>
    <row r="962" spans="2:4" ht="15" customHeight="1">
      <c r="B962" t="s">
        <v>7855</v>
      </c>
      <c r="C962" t="s">
        <v>7855</v>
      </c>
      <c r="D962">
        <v>0</v>
      </c>
    </row>
    <row r="963" spans="2:4" ht="15" customHeight="1">
      <c r="B963" t="s">
        <v>8266</v>
      </c>
      <c r="C963" t="s">
        <v>8266</v>
      </c>
      <c r="D963">
        <v>0</v>
      </c>
    </row>
    <row r="964" spans="2:4" ht="15" customHeight="1">
      <c r="B964" t="s">
        <v>10139</v>
      </c>
      <c r="C964" t="s">
        <v>10139</v>
      </c>
      <c r="D964">
        <v>0</v>
      </c>
    </row>
    <row r="965" spans="2:4" ht="15" customHeight="1">
      <c r="B965" t="s">
        <v>8819</v>
      </c>
      <c r="C965" t="s">
        <v>8819</v>
      </c>
      <c r="D965">
        <v>0</v>
      </c>
    </row>
    <row r="966" spans="2:4" ht="15" customHeight="1">
      <c r="B966" t="s">
        <v>9435</v>
      </c>
      <c r="C966" t="s">
        <v>9435</v>
      </c>
      <c r="D966">
        <v>0</v>
      </c>
    </row>
    <row r="967" spans="2:4" ht="15" customHeight="1">
      <c r="B967" t="s">
        <v>5712</v>
      </c>
      <c r="C967" t="s">
        <v>5712</v>
      </c>
      <c r="D967">
        <v>0</v>
      </c>
    </row>
    <row r="968" spans="2:4" ht="15" customHeight="1">
      <c r="B968" t="s">
        <v>5713</v>
      </c>
      <c r="C968" t="s">
        <v>5713</v>
      </c>
      <c r="D968">
        <v>0</v>
      </c>
    </row>
    <row r="969" spans="2:4" ht="15" customHeight="1">
      <c r="B969" t="s">
        <v>5714</v>
      </c>
      <c r="C969" t="s">
        <v>5714</v>
      </c>
      <c r="D969">
        <v>0</v>
      </c>
    </row>
    <row r="970" spans="2:4" ht="15" customHeight="1">
      <c r="B970" t="s">
        <v>5715</v>
      </c>
      <c r="C970" t="s">
        <v>5715</v>
      </c>
      <c r="D970">
        <v>0</v>
      </c>
    </row>
    <row r="971" spans="2:4" ht="15" customHeight="1">
      <c r="B971" t="s">
        <v>5506</v>
      </c>
      <c r="C971" t="s">
        <v>5506</v>
      </c>
      <c r="D971">
        <v>0</v>
      </c>
    </row>
    <row r="972" spans="2:4" ht="15" customHeight="1">
      <c r="B972" t="s">
        <v>896</v>
      </c>
      <c r="C972" t="s">
        <v>896</v>
      </c>
      <c r="D972">
        <v>0</v>
      </c>
    </row>
    <row r="973" spans="2:4" ht="15" customHeight="1">
      <c r="B973" t="s">
        <v>5601</v>
      </c>
      <c r="C973" t="s">
        <v>5601</v>
      </c>
      <c r="D973">
        <v>0</v>
      </c>
    </row>
    <row r="974" spans="2:4" ht="15" customHeight="1">
      <c r="B974" t="s">
        <v>5602</v>
      </c>
      <c r="C974" t="s">
        <v>5602</v>
      </c>
      <c r="D974">
        <v>0</v>
      </c>
    </row>
    <row r="975" spans="2:4" ht="15" customHeight="1">
      <c r="B975" t="s">
        <v>1000</v>
      </c>
      <c r="C975" t="s">
        <v>1000</v>
      </c>
      <c r="D975">
        <v>0</v>
      </c>
    </row>
    <row r="976" spans="2:4" ht="15" customHeight="1">
      <c r="B976" t="s">
        <v>5603</v>
      </c>
      <c r="C976" t="s">
        <v>5603</v>
      </c>
      <c r="D976">
        <v>0</v>
      </c>
    </row>
    <row r="977" spans="2:4" ht="15" customHeight="1">
      <c r="B977" t="s">
        <v>5716</v>
      </c>
      <c r="C977" t="s">
        <v>5716</v>
      </c>
      <c r="D977">
        <v>0</v>
      </c>
    </row>
    <row r="978" spans="2:4" ht="15" customHeight="1">
      <c r="B978" t="s">
        <v>5717</v>
      </c>
      <c r="C978" t="s">
        <v>5717</v>
      </c>
      <c r="D978">
        <v>0</v>
      </c>
    </row>
    <row r="979" spans="2:4" ht="15" customHeight="1">
      <c r="B979" t="s">
        <v>8881</v>
      </c>
      <c r="C979" t="s">
        <v>8881</v>
      </c>
      <c r="D979">
        <v>0</v>
      </c>
    </row>
    <row r="980" spans="2:4" ht="15" customHeight="1">
      <c r="B980" t="s">
        <v>5718</v>
      </c>
      <c r="C980" t="s">
        <v>5718</v>
      </c>
      <c r="D980">
        <v>0</v>
      </c>
    </row>
    <row r="981" spans="2:4" ht="15" customHeight="1">
      <c r="B981" t="s">
        <v>5719</v>
      </c>
      <c r="C981" t="s">
        <v>5719</v>
      </c>
      <c r="D981">
        <v>0</v>
      </c>
    </row>
    <row r="982" spans="2:4" ht="15" customHeight="1">
      <c r="B982" t="s">
        <v>5720</v>
      </c>
      <c r="C982" t="s">
        <v>5720</v>
      </c>
      <c r="D982">
        <v>0</v>
      </c>
    </row>
    <row r="983" spans="2:4" ht="15" customHeight="1">
      <c r="B983" t="s">
        <v>5721</v>
      </c>
      <c r="C983" t="s">
        <v>5721</v>
      </c>
      <c r="D983">
        <v>0</v>
      </c>
    </row>
    <row r="984" spans="2:4" ht="15" customHeight="1">
      <c r="B984" t="s">
        <v>5722</v>
      </c>
      <c r="C984" t="s">
        <v>11997</v>
      </c>
      <c r="D984">
        <v>0</v>
      </c>
    </row>
    <row r="985" spans="2:4" ht="15" customHeight="1">
      <c r="B985" t="s">
        <v>5723</v>
      </c>
      <c r="C985" t="s">
        <v>5723</v>
      </c>
      <c r="D985">
        <v>0</v>
      </c>
    </row>
    <row r="986" spans="2:4" ht="15" customHeight="1">
      <c r="B986" t="s">
        <v>5724</v>
      </c>
      <c r="C986" t="s">
        <v>5724</v>
      </c>
      <c r="D986">
        <v>0</v>
      </c>
    </row>
    <row r="987" spans="2:4" ht="15" customHeight="1">
      <c r="B987" t="s">
        <v>5725</v>
      </c>
      <c r="C987" t="s">
        <v>5725</v>
      </c>
      <c r="D987">
        <v>0</v>
      </c>
    </row>
    <row r="988" spans="2:4" ht="15" customHeight="1">
      <c r="B988" t="s">
        <v>5726</v>
      </c>
      <c r="C988" t="s">
        <v>5726</v>
      </c>
      <c r="D988">
        <v>0</v>
      </c>
    </row>
    <row r="989" spans="2:4" ht="15" customHeight="1">
      <c r="B989" t="s">
        <v>5727</v>
      </c>
      <c r="C989" t="s">
        <v>5727</v>
      </c>
      <c r="D989">
        <v>0</v>
      </c>
    </row>
    <row r="990" spans="2:4" ht="15" customHeight="1">
      <c r="B990" t="s">
        <v>5728</v>
      </c>
      <c r="C990" t="s">
        <v>5728</v>
      </c>
      <c r="D990">
        <v>0</v>
      </c>
    </row>
    <row r="991" spans="2:4" ht="15" customHeight="1">
      <c r="B991" t="s">
        <v>5729</v>
      </c>
      <c r="C991" t="s">
        <v>5729</v>
      </c>
      <c r="D991">
        <v>0</v>
      </c>
    </row>
    <row r="992" spans="2:4" ht="15" customHeight="1">
      <c r="B992" t="s">
        <v>8225</v>
      </c>
      <c r="C992" t="s">
        <v>8225</v>
      </c>
      <c r="D992">
        <v>0</v>
      </c>
    </row>
    <row r="993" spans="2:4" ht="15" customHeight="1">
      <c r="B993" t="s">
        <v>8463</v>
      </c>
      <c r="C993" t="s">
        <v>8463</v>
      </c>
      <c r="D993">
        <v>0</v>
      </c>
    </row>
    <row r="994" spans="2:4" ht="15" customHeight="1">
      <c r="B994" t="s">
        <v>5730</v>
      </c>
      <c r="C994" t="s">
        <v>5730</v>
      </c>
      <c r="D994">
        <v>0</v>
      </c>
    </row>
    <row r="995" spans="2:4" ht="15" customHeight="1">
      <c r="B995" t="s">
        <v>9996</v>
      </c>
      <c r="C995" t="s">
        <v>9996</v>
      </c>
      <c r="D995">
        <v>0</v>
      </c>
    </row>
    <row r="996" spans="2:4" ht="15" customHeight="1">
      <c r="B996" t="s">
        <v>9382</v>
      </c>
      <c r="C996" t="s">
        <v>9382</v>
      </c>
      <c r="D996">
        <v>0</v>
      </c>
    </row>
    <row r="997" spans="2:4" ht="15" customHeight="1">
      <c r="B997" t="s">
        <v>10016</v>
      </c>
      <c r="C997" t="s">
        <v>10016</v>
      </c>
      <c r="D997">
        <v>0</v>
      </c>
    </row>
    <row r="998" spans="2:4" ht="15" customHeight="1">
      <c r="B998" t="s">
        <v>5731</v>
      </c>
      <c r="C998" t="s">
        <v>5731</v>
      </c>
      <c r="D998">
        <v>0</v>
      </c>
    </row>
    <row r="999" spans="2:4" ht="15" customHeight="1">
      <c r="B999" t="s">
        <v>5732</v>
      </c>
      <c r="C999" t="s">
        <v>5732</v>
      </c>
      <c r="D999">
        <v>0</v>
      </c>
    </row>
    <row r="1000" spans="2:4" ht="15" customHeight="1">
      <c r="B1000" t="s">
        <v>5733</v>
      </c>
      <c r="C1000" t="s">
        <v>5733</v>
      </c>
      <c r="D1000">
        <v>0</v>
      </c>
    </row>
    <row r="1001" spans="2:4" ht="15" customHeight="1">
      <c r="B1001" t="s">
        <v>945</v>
      </c>
      <c r="C1001" t="s">
        <v>945</v>
      </c>
      <c r="D1001">
        <v>0</v>
      </c>
    </row>
    <row r="1002" spans="2:4" ht="15" customHeight="1">
      <c r="B1002" t="s">
        <v>7377</v>
      </c>
      <c r="C1002" t="s">
        <v>7377</v>
      </c>
      <c r="D1002">
        <v>0</v>
      </c>
    </row>
    <row r="1003" spans="2:4" ht="15" customHeight="1">
      <c r="B1003" t="s">
        <v>5734</v>
      </c>
      <c r="C1003" t="s">
        <v>5734</v>
      </c>
      <c r="D1003">
        <v>0</v>
      </c>
    </row>
    <row r="1004" spans="2:4" ht="15" customHeight="1">
      <c r="B1004" t="s">
        <v>5735</v>
      </c>
      <c r="C1004" t="s">
        <v>5735</v>
      </c>
      <c r="D1004">
        <v>0</v>
      </c>
    </row>
    <row r="1005" spans="2:4" ht="15" customHeight="1">
      <c r="B1005" t="s">
        <v>5736</v>
      </c>
      <c r="C1005" t="s">
        <v>5736</v>
      </c>
      <c r="D1005">
        <v>0</v>
      </c>
    </row>
    <row r="1006" spans="2:4" ht="15" customHeight="1">
      <c r="B1006" t="s">
        <v>5737</v>
      </c>
      <c r="C1006" t="s">
        <v>5737</v>
      </c>
      <c r="D1006">
        <v>0</v>
      </c>
    </row>
    <row r="1007" spans="2:4" ht="15" customHeight="1">
      <c r="B1007" t="s">
        <v>5738</v>
      </c>
      <c r="C1007" t="s">
        <v>5738</v>
      </c>
      <c r="D1007">
        <v>0</v>
      </c>
    </row>
    <row r="1008" spans="2:4" ht="15" customHeight="1">
      <c r="B1008" t="s">
        <v>5739</v>
      </c>
      <c r="C1008" t="s">
        <v>5739</v>
      </c>
      <c r="D1008">
        <v>0</v>
      </c>
    </row>
    <row r="1009" spans="2:4" ht="15" customHeight="1">
      <c r="B1009" t="s">
        <v>869</v>
      </c>
      <c r="C1009" t="s">
        <v>869</v>
      </c>
      <c r="D1009">
        <v>0</v>
      </c>
    </row>
    <row r="1010" spans="2:4" ht="15" customHeight="1">
      <c r="B1010" t="s">
        <v>5740</v>
      </c>
      <c r="C1010" t="s">
        <v>5740</v>
      </c>
      <c r="D1010">
        <v>0</v>
      </c>
    </row>
    <row r="1011" spans="2:4" ht="15" customHeight="1">
      <c r="B1011" t="s">
        <v>5741</v>
      </c>
      <c r="C1011" t="s">
        <v>5741</v>
      </c>
      <c r="D1011">
        <v>0</v>
      </c>
    </row>
    <row r="1012" spans="2:4" ht="15" customHeight="1">
      <c r="B1012" t="s">
        <v>8045</v>
      </c>
      <c r="C1012" t="s">
        <v>8045</v>
      </c>
      <c r="D1012">
        <v>0</v>
      </c>
    </row>
    <row r="1013" spans="2:4" ht="15" customHeight="1">
      <c r="B1013" t="s">
        <v>10024</v>
      </c>
      <c r="C1013" t="s">
        <v>10024</v>
      </c>
      <c r="D1013">
        <v>0</v>
      </c>
    </row>
    <row r="1014" spans="2:4" ht="15" customHeight="1">
      <c r="B1014" t="s">
        <v>9095</v>
      </c>
      <c r="C1014" t="s">
        <v>9095</v>
      </c>
      <c r="D1014">
        <v>0</v>
      </c>
    </row>
    <row r="1015" spans="2:4" ht="15" customHeight="1">
      <c r="B1015" t="s">
        <v>10022</v>
      </c>
      <c r="C1015" t="s">
        <v>10022</v>
      </c>
      <c r="D1015">
        <v>0</v>
      </c>
    </row>
    <row r="1016" spans="2:4" ht="15" customHeight="1">
      <c r="B1016" t="s">
        <v>7419</v>
      </c>
      <c r="C1016" t="s">
        <v>7419</v>
      </c>
      <c r="D1016">
        <v>0</v>
      </c>
    </row>
    <row r="1017" spans="2:4" ht="15" customHeight="1">
      <c r="B1017" t="s">
        <v>5742</v>
      </c>
      <c r="C1017" t="s">
        <v>5742</v>
      </c>
      <c r="D1017">
        <v>0</v>
      </c>
    </row>
    <row r="1018" spans="2:4" ht="15" customHeight="1">
      <c r="B1018" t="s">
        <v>7781</v>
      </c>
      <c r="C1018" t="s">
        <v>7781</v>
      </c>
      <c r="D1018">
        <v>0</v>
      </c>
    </row>
    <row r="1019" spans="2:4" ht="15" customHeight="1">
      <c r="B1019" t="s">
        <v>7783</v>
      </c>
      <c r="C1019" t="s">
        <v>7783</v>
      </c>
      <c r="D1019">
        <v>0</v>
      </c>
    </row>
    <row r="1020" spans="2:4" ht="15" customHeight="1">
      <c r="B1020" t="s">
        <v>7785</v>
      </c>
      <c r="C1020" t="s">
        <v>7785</v>
      </c>
      <c r="D1020">
        <v>0</v>
      </c>
    </row>
    <row r="1021" spans="2:4" ht="15" customHeight="1">
      <c r="B1021" t="s">
        <v>7787</v>
      </c>
      <c r="C1021" t="s">
        <v>7787</v>
      </c>
      <c r="D1021">
        <v>0</v>
      </c>
    </row>
    <row r="1022" spans="2:4" ht="15" customHeight="1">
      <c r="B1022" t="s">
        <v>7789</v>
      </c>
      <c r="C1022" t="s">
        <v>7789</v>
      </c>
      <c r="D1022">
        <v>0</v>
      </c>
    </row>
    <row r="1023" spans="2:4" ht="15" customHeight="1">
      <c r="B1023" t="s">
        <v>7943</v>
      </c>
      <c r="C1023" t="s">
        <v>7943</v>
      </c>
      <c r="D1023">
        <v>0</v>
      </c>
    </row>
    <row r="1024" spans="2:4" ht="15" customHeight="1">
      <c r="B1024" t="s">
        <v>7945</v>
      </c>
      <c r="C1024" t="s">
        <v>7945</v>
      </c>
      <c r="D1024">
        <v>0</v>
      </c>
    </row>
    <row r="1025" spans="2:4" ht="15" customHeight="1">
      <c r="B1025" t="s">
        <v>866</v>
      </c>
      <c r="C1025" t="s">
        <v>866</v>
      </c>
      <c r="D1025">
        <v>0</v>
      </c>
    </row>
    <row r="1026" spans="2:4" ht="15" customHeight="1">
      <c r="B1026" t="s">
        <v>10026</v>
      </c>
      <c r="C1026" t="s">
        <v>10026</v>
      </c>
      <c r="D1026">
        <v>0</v>
      </c>
    </row>
    <row r="1027" spans="2:4" ht="15" customHeight="1">
      <c r="B1027" t="s">
        <v>10027</v>
      </c>
      <c r="C1027" t="s">
        <v>10027</v>
      </c>
      <c r="D1027">
        <v>0</v>
      </c>
    </row>
    <row r="1028" spans="2:4" ht="15" customHeight="1">
      <c r="B1028" t="s">
        <v>9239</v>
      </c>
      <c r="C1028" t="s">
        <v>9239</v>
      </c>
      <c r="D1028">
        <v>0</v>
      </c>
    </row>
    <row r="1029" spans="2:4" ht="15" customHeight="1">
      <c r="B1029" t="s">
        <v>5743</v>
      </c>
      <c r="C1029" t="s">
        <v>5743</v>
      </c>
      <c r="D1029">
        <v>0</v>
      </c>
    </row>
    <row r="1030" spans="2:4" ht="15" customHeight="1">
      <c r="B1030" t="s">
        <v>5744</v>
      </c>
      <c r="C1030" t="s">
        <v>5744</v>
      </c>
      <c r="D1030">
        <v>0</v>
      </c>
    </row>
    <row r="1031" spans="2:4" ht="15" customHeight="1">
      <c r="B1031" t="s">
        <v>5745</v>
      </c>
      <c r="C1031" t="s">
        <v>5745</v>
      </c>
      <c r="D1031">
        <v>0</v>
      </c>
    </row>
    <row r="1032" spans="2:4" ht="15" customHeight="1">
      <c r="B1032" t="s">
        <v>5604</v>
      </c>
      <c r="C1032" t="s">
        <v>5604</v>
      </c>
      <c r="D1032">
        <v>0</v>
      </c>
    </row>
    <row r="1033" spans="2:4" ht="15" customHeight="1">
      <c r="B1033" t="s">
        <v>5605</v>
      </c>
      <c r="C1033" t="s">
        <v>5605</v>
      </c>
      <c r="D1033">
        <v>0</v>
      </c>
    </row>
    <row r="1034" spans="2:4" ht="15" customHeight="1">
      <c r="B1034" t="s">
        <v>5606</v>
      </c>
      <c r="C1034" t="s">
        <v>5606</v>
      </c>
      <c r="D1034">
        <v>0</v>
      </c>
    </row>
    <row r="1035" spans="2:4" ht="15" customHeight="1">
      <c r="B1035" t="s">
        <v>5607</v>
      </c>
      <c r="C1035" t="s">
        <v>5607</v>
      </c>
      <c r="D1035">
        <v>0</v>
      </c>
    </row>
    <row r="1036" spans="2:4" ht="15" customHeight="1">
      <c r="B1036" t="s">
        <v>123</v>
      </c>
      <c r="C1036" t="s">
        <v>123</v>
      </c>
      <c r="D1036">
        <v>0</v>
      </c>
    </row>
    <row r="1037" spans="2:4" ht="15" customHeight="1">
      <c r="B1037" t="s">
        <v>5746</v>
      </c>
      <c r="C1037" t="s">
        <v>5746</v>
      </c>
      <c r="D1037">
        <v>0</v>
      </c>
    </row>
    <row r="1038" spans="2:4" ht="15" customHeight="1">
      <c r="B1038" t="s">
        <v>5747</v>
      </c>
      <c r="C1038" t="s">
        <v>5747</v>
      </c>
      <c r="D1038">
        <v>0</v>
      </c>
    </row>
    <row r="1039" spans="2:4" ht="15" customHeight="1">
      <c r="B1039" t="s">
        <v>5748</v>
      </c>
      <c r="C1039" t="s">
        <v>5748</v>
      </c>
      <c r="D1039">
        <v>0</v>
      </c>
    </row>
    <row r="1040" spans="2:4" ht="15" customHeight="1">
      <c r="B1040" t="s">
        <v>5749</v>
      </c>
      <c r="C1040" t="s">
        <v>5749</v>
      </c>
      <c r="D1040">
        <v>0</v>
      </c>
    </row>
    <row r="1041" spans="2:4" ht="15" customHeight="1">
      <c r="B1041" t="s">
        <v>5750</v>
      </c>
      <c r="C1041" t="s">
        <v>5750</v>
      </c>
      <c r="D1041">
        <v>0</v>
      </c>
    </row>
    <row r="1042" spans="2:4" ht="15" customHeight="1">
      <c r="B1042" t="s">
        <v>5751</v>
      </c>
      <c r="C1042" t="s">
        <v>5751</v>
      </c>
      <c r="D1042">
        <v>0</v>
      </c>
    </row>
    <row r="1043" spans="2:4" ht="15" customHeight="1">
      <c r="B1043" t="s">
        <v>5752</v>
      </c>
      <c r="C1043" t="s">
        <v>5752</v>
      </c>
      <c r="D1043">
        <v>0</v>
      </c>
    </row>
    <row r="1044" spans="2:4" ht="15" customHeight="1">
      <c r="B1044" t="s">
        <v>5753</v>
      </c>
      <c r="C1044" t="s">
        <v>5753</v>
      </c>
      <c r="D1044">
        <v>0</v>
      </c>
    </row>
    <row r="1045" spans="2:4" ht="15" customHeight="1">
      <c r="B1045" t="s">
        <v>5754</v>
      </c>
      <c r="C1045" t="s">
        <v>5754</v>
      </c>
      <c r="D1045">
        <v>0</v>
      </c>
    </row>
    <row r="1046" spans="2:4" ht="15" customHeight="1">
      <c r="B1046" t="s">
        <v>5755</v>
      </c>
      <c r="C1046" t="s">
        <v>5755</v>
      </c>
      <c r="D1046">
        <v>0</v>
      </c>
    </row>
    <row r="1047" spans="2:4" ht="15" customHeight="1">
      <c r="B1047" t="s">
        <v>5756</v>
      </c>
      <c r="C1047" t="s">
        <v>5756</v>
      </c>
      <c r="D1047">
        <v>0</v>
      </c>
    </row>
    <row r="1048" spans="2:4" ht="15" customHeight="1">
      <c r="B1048" t="s">
        <v>5757</v>
      </c>
      <c r="C1048" t="s">
        <v>5757</v>
      </c>
      <c r="D1048">
        <v>0</v>
      </c>
    </row>
    <row r="1049" spans="2:4" ht="15" customHeight="1">
      <c r="B1049" t="s">
        <v>5758</v>
      </c>
      <c r="C1049" t="s">
        <v>5758</v>
      </c>
      <c r="D1049">
        <v>0</v>
      </c>
    </row>
    <row r="1050" spans="2:4" ht="15" customHeight="1">
      <c r="B1050" t="s">
        <v>5608</v>
      </c>
      <c r="C1050" t="s">
        <v>5608</v>
      </c>
      <c r="D1050">
        <v>0</v>
      </c>
    </row>
    <row r="1051" spans="2:4" ht="15" customHeight="1">
      <c r="B1051" t="s">
        <v>5759</v>
      </c>
      <c r="C1051" t="s">
        <v>5759</v>
      </c>
      <c r="D1051">
        <v>0</v>
      </c>
    </row>
    <row r="1052" spans="2:4" ht="15" customHeight="1">
      <c r="B1052" t="s">
        <v>8774</v>
      </c>
      <c r="C1052" t="s">
        <v>8774</v>
      </c>
      <c r="D1052">
        <v>0</v>
      </c>
    </row>
    <row r="1053" spans="2:4" ht="15" customHeight="1">
      <c r="B1053" t="s">
        <v>8776</v>
      </c>
      <c r="C1053" t="s">
        <v>8776</v>
      </c>
      <c r="D1053">
        <v>0</v>
      </c>
    </row>
    <row r="1054" spans="2:4" ht="15" customHeight="1">
      <c r="B1054" t="s">
        <v>5760</v>
      </c>
      <c r="C1054" t="s">
        <v>5760</v>
      </c>
      <c r="D1054">
        <v>0</v>
      </c>
    </row>
    <row r="1055" spans="2:4" ht="15" customHeight="1">
      <c r="B1055" t="s">
        <v>5761</v>
      </c>
      <c r="C1055" t="s">
        <v>5761</v>
      </c>
      <c r="D1055">
        <v>0</v>
      </c>
    </row>
    <row r="1056" spans="2:4" ht="15" customHeight="1">
      <c r="B1056" t="s">
        <v>7573</v>
      </c>
      <c r="C1056" t="s">
        <v>7573</v>
      </c>
      <c r="D1056">
        <v>0</v>
      </c>
    </row>
    <row r="1057" spans="2:4" ht="15" customHeight="1">
      <c r="B1057" t="s">
        <v>7861</v>
      </c>
      <c r="C1057" t="s">
        <v>7861</v>
      </c>
      <c r="D1057">
        <v>0</v>
      </c>
    </row>
    <row r="1058" spans="2:4" ht="15" customHeight="1">
      <c r="B1058" t="s">
        <v>10142</v>
      </c>
      <c r="C1058" t="s">
        <v>10142</v>
      </c>
      <c r="D1058">
        <v>0</v>
      </c>
    </row>
    <row r="1059" spans="2:4" ht="15" customHeight="1">
      <c r="B1059" t="s">
        <v>8037</v>
      </c>
      <c r="C1059" t="s">
        <v>8037</v>
      </c>
      <c r="D1059">
        <v>0</v>
      </c>
    </row>
    <row r="1060" spans="2:4" ht="15" customHeight="1">
      <c r="B1060" t="s">
        <v>10025</v>
      </c>
      <c r="C1060" t="s">
        <v>10025</v>
      </c>
      <c r="D1060">
        <v>0</v>
      </c>
    </row>
    <row r="1061" spans="2:4" ht="15" customHeight="1">
      <c r="B1061" t="s">
        <v>998</v>
      </c>
      <c r="C1061" t="s">
        <v>998</v>
      </c>
      <c r="D1061">
        <v>0</v>
      </c>
    </row>
    <row r="1062" spans="2:4" ht="15" customHeight="1">
      <c r="B1062" t="s">
        <v>9532</v>
      </c>
      <c r="C1062" t="s">
        <v>9532</v>
      </c>
      <c r="D1062">
        <v>0</v>
      </c>
    </row>
    <row r="1063" spans="2:4" ht="15" customHeight="1">
      <c r="B1063" t="s">
        <v>9530</v>
      </c>
      <c r="C1063" t="s">
        <v>9530</v>
      </c>
      <c r="D1063">
        <v>0</v>
      </c>
    </row>
    <row r="1064" spans="2:4" ht="15" customHeight="1">
      <c r="B1064" t="s">
        <v>5762</v>
      </c>
      <c r="C1064" t="s">
        <v>5762</v>
      </c>
      <c r="D1064">
        <v>0</v>
      </c>
    </row>
    <row r="1065" spans="2:4" ht="15" customHeight="1">
      <c r="B1065" t="s">
        <v>5763</v>
      </c>
      <c r="C1065" t="s">
        <v>5763</v>
      </c>
      <c r="D1065">
        <v>0</v>
      </c>
    </row>
    <row r="1066" spans="2:4" ht="15" customHeight="1">
      <c r="B1066" t="s">
        <v>5764</v>
      </c>
      <c r="C1066" t="s">
        <v>5764</v>
      </c>
      <c r="D1066">
        <v>0</v>
      </c>
    </row>
    <row r="1067" spans="2:4" ht="15" customHeight="1">
      <c r="B1067" t="s">
        <v>5765</v>
      </c>
      <c r="C1067" t="s">
        <v>5765</v>
      </c>
      <c r="D1067">
        <v>0</v>
      </c>
    </row>
    <row r="1068" spans="2:4" ht="15" customHeight="1">
      <c r="B1068" t="s">
        <v>5766</v>
      </c>
      <c r="C1068" t="s">
        <v>5766</v>
      </c>
      <c r="D1068">
        <v>0</v>
      </c>
    </row>
    <row r="1069" spans="2:4" ht="15" customHeight="1">
      <c r="B1069" t="s">
        <v>5767</v>
      </c>
      <c r="C1069" t="s">
        <v>5767</v>
      </c>
      <c r="D1069">
        <v>0</v>
      </c>
    </row>
    <row r="1070" spans="2:4" ht="15" customHeight="1">
      <c r="B1070" t="s">
        <v>7881</v>
      </c>
      <c r="C1070" t="s">
        <v>7881</v>
      </c>
      <c r="D1070">
        <v>0</v>
      </c>
    </row>
    <row r="1071" spans="2:4" ht="15" customHeight="1">
      <c r="B1071" t="s">
        <v>8912</v>
      </c>
      <c r="C1071" t="s">
        <v>8912</v>
      </c>
      <c r="D1071">
        <v>0</v>
      </c>
    </row>
    <row r="1072" spans="2:4" ht="15" customHeight="1">
      <c r="B1072" t="s">
        <v>10028</v>
      </c>
      <c r="C1072" t="s">
        <v>10028</v>
      </c>
      <c r="D1072">
        <v>0</v>
      </c>
    </row>
    <row r="1073" spans="2:4" ht="15" customHeight="1">
      <c r="B1073" t="s">
        <v>9393</v>
      </c>
      <c r="C1073" t="s">
        <v>9393</v>
      </c>
      <c r="D1073">
        <v>0</v>
      </c>
    </row>
    <row r="1074" spans="2:4" ht="15" customHeight="1">
      <c r="B1074" t="s">
        <v>10021</v>
      </c>
      <c r="C1074" t="s">
        <v>10021</v>
      </c>
      <c r="D1074">
        <v>0</v>
      </c>
    </row>
    <row r="1075" spans="2:4" ht="15" customHeight="1">
      <c r="B1075" t="s">
        <v>5768</v>
      </c>
      <c r="C1075" t="s">
        <v>5768</v>
      </c>
      <c r="D1075">
        <v>0</v>
      </c>
    </row>
    <row r="1076" spans="2:4" ht="15" customHeight="1">
      <c r="B1076" t="s">
        <v>5769</v>
      </c>
      <c r="C1076" t="s">
        <v>5769</v>
      </c>
      <c r="D1076">
        <v>0</v>
      </c>
    </row>
    <row r="1077" spans="2:4" ht="15" customHeight="1">
      <c r="B1077" t="s">
        <v>5770</v>
      </c>
      <c r="C1077" t="s">
        <v>5770</v>
      </c>
      <c r="D1077">
        <v>0</v>
      </c>
    </row>
    <row r="1078" spans="2:4" ht="15" customHeight="1">
      <c r="B1078" t="s">
        <v>5771</v>
      </c>
      <c r="C1078" t="s">
        <v>5771</v>
      </c>
      <c r="D1078">
        <v>0</v>
      </c>
    </row>
    <row r="1079" spans="2:4" ht="15" customHeight="1">
      <c r="B1079" t="s">
        <v>5772</v>
      </c>
      <c r="C1079" t="s">
        <v>5772</v>
      </c>
      <c r="D1079">
        <v>0</v>
      </c>
    </row>
    <row r="1080" spans="2:4" ht="15" customHeight="1">
      <c r="B1080" t="s">
        <v>5773</v>
      </c>
      <c r="C1080" t="s">
        <v>5773</v>
      </c>
      <c r="D1080">
        <v>0</v>
      </c>
    </row>
    <row r="1081" spans="2:4" ht="15" customHeight="1">
      <c r="B1081" t="s">
        <v>5774</v>
      </c>
      <c r="C1081" t="s">
        <v>5774</v>
      </c>
      <c r="D1081">
        <v>0</v>
      </c>
    </row>
    <row r="1082" spans="2:4" ht="15" customHeight="1">
      <c r="B1082" t="s">
        <v>8063</v>
      </c>
      <c r="C1082" t="s">
        <v>8063</v>
      </c>
      <c r="D1082">
        <v>0</v>
      </c>
    </row>
    <row r="1083" spans="2:4" ht="15" customHeight="1">
      <c r="B1083" t="s">
        <v>8158</v>
      </c>
      <c r="C1083" t="s">
        <v>8158</v>
      </c>
      <c r="D1083">
        <v>0</v>
      </c>
    </row>
    <row r="1084" spans="2:4" ht="15" customHeight="1">
      <c r="B1084" t="s">
        <v>8314</v>
      </c>
      <c r="C1084" t="s">
        <v>8314</v>
      </c>
      <c r="D1084">
        <v>0</v>
      </c>
    </row>
    <row r="1085" spans="2:4" ht="15" customHeight="1">
      <c r="B1085" t="s">
        <v>5775</v>
      </c>
      <c r="C1085" t="s">
        <v>5775</v>
      </c>
      <c r="D1085">
        <v>0</v>
      </c>
    </row>
    <row r="1086" spans="2:4" ht="15" customHeight="1">
      <c r="B1086" t="s">
        <v>5776</v>
      </c>
      <c r="C1086" t="s">
        <v>5776</v>
      </c>
      <c r="D1086">
        <v>0</v>
      </c>
    </row>
    <row r="1087" spans="2:4" ht="15" customHeight="1">
      <c r="B1087" t="s">
        <v>5777</v>
      </c>
      <c r="C1087" t="s">
        <v>5777</v>
      </c>
      <c r="D1087">
        <v>0</v>
      </c>
    </row>
    <row r="1088" spans="2:4" ht="15" customHeight="1">
      <c r="B1088" t="s">
        <v>5778</v>
      </c>
      <c r="C1088" t="s">
        <v>5778</v>
      </c>
      <c r="D1088">
        <v>0</v>
      </c>
    </row>
    <row r="1089" spans="2:4" ht="15" customHeight="1">
      <c r="B1089" t="s">
        <v>5779</v>
      </c>
      <c r="C1089" t="s">
        <v>5779</v>
      </c>
      <c r="D1089">
        <v>0</v>
      </c>
    </row>
    <row r="1090" spans="2:4" ht="15" customHeight="1">
      <c r="B1090" t="s">
        <v>10000</v>
      </c>
      <c r="C1090" t="s">
        <v>10000</v>
      </c>
      <c r="D1090">
        <v>0</v>
      </c>
    </row>
    <row r="1091" spans="2:4" ht="15" customHeight="1">
      <c r="B1091" t="s">
        <v>5780</v>
      </c>
      <c r="C1091" t="s">
        <v>5780</v>
      </c>
      <c r="D1091">
        <v>0</v>
      </c>
    </row>
    <row r="1092" spans="2:4" ht="15" customHeight="1">
      <c r="B1092" t="s">
        <v>5781</v>
      </c>
      <c r="C1092" t="s">
        <v>5781</v>
      </c>
      <c r="D1092">
        <v>0</v>
      </c>
    </row>
    <row r="1093" spans="2:4" ht="15" customHeight="1">
      <c r="B1093" t="s">
        <v>5782</v>
      </c>
      <c r="C1093" t="s">
        <v>5782</v>
      </c>
      <c r="D1093">
        <v>0</v>
      </c>
    </row>
    <row r="1094" spans="2:4" ht="15" customHeight="1">
      <c r="B1094" t="s">
        <v>7556</v>
      </c>
      <c r="C1094" t="s">
        <v>7556</v>
      </c>
      <c r="D1094">
        <v>0</v>
      </c>
    </row>
    <row r="1095" spans="2:4" ht="15" customHeight="1">
      <c r="B1095" t="s">
        <v>5783</v>
      </c>
      <c r="C1095" t="s">
        <v>5783</v>
      </c>
      <c r="D1095">
        <v>0</v>
      </c>
    </row>
    <row r="1096" spans="2:4" ht="15" customHeight="1">
      <c r="B1096" t="s">
        <v>5609</v>
      </c>
      <c r="C1096" t="s">
        <v>5609</v>
      </c>
      <c r="D1096">
        <v>0</v>
      </c>
    </row>
    <row r="1097" spans="2:4" ht="15" customHeight="1">
      <c r="B1097" t="s">
        <v>5610</v>
      </c>
      <c r="C1097" t="s">
        <v>5610</v>
      </c>
      <c r="D1097">
        <v>0</v>
      </c>
    </row>
    <row r="1098" spans="2:4" ht="15" customHeight="1">
      <c r="B1098" t="s">
        <v>5784</v>
      </c>
      <c r="C1098" t="s">
        <v>5784</v>
      </c>
      <c r="D1098">
        <v>0</v>
      </c>
    </row>
    <row r="1099" spans="2:4" ht="15" customHeight="1">
      <c r="B1099" t="s">
        <v>5785</v>
      </c>
      <c r="C1099" t="s">
        <v>5785</v>
      </c>
      <c r="D1099">
        <v>0</v>
      </c>
    </row>
    <row r="1100" spans="2:4" ht="15" customHeight="1">
      <c r="B1100" t="s">
        <v>5786</v>
      </c>
      <c r="C1100" t="s">
        <v>5786</v>
      </c>
      <c r="D1100">
        <v>0</v>
      </c>
    </row>
    <row r="1101" spans="2:4" ht="15" customHeight="1">
      <c r="B1101" t="s">
        <v>5787</v>
      </c>
      <c r="C1101" t="s">
        <v>5787</v>
      </c>
      <c r="D1101">
        <v>0</v>
      </c>
    </row>
    <row r="1102" spans="2:4" ht="15" customHeight="1">
      <c r="B1102" t="s">
        <v>8796</v>
      </c>
      <c r="C1102" t="s">
        <v>8796</v>
      </c>
      <c r="D1102">
        <v>0</v>
      </c>
    </row>
    <row r="1103" spans="2:4" ht="15" customHeight="1">
      <c r="B1103" t="s">
        <v>5611</v>
      </c>
      <c r="C1103" t="s">
        <v>5611</v>
      </c>
      <c r="D1103">
        <v>0</v>
      </c>
    </row>
    <row r="1104" spans="2:4" ht="15" customHeight="1">
      <c r="B1104" t="s">
        <v>5612</v>
      </c>
      <c r="C1104" t="s">
        <v>5612</v>
      </c>
      <c r="D1104">
        <v>0</v>
      </c>
    </row>
    <row r="1105" spans="2:4" ht="15" customHeight="1">
      <c r="B1105" t="s">
        <v>5613</v>
      </c>
      <c r="C1105" t="s">
        <v>5613</v>
      </c>
      <c r="D1105">
        <v>0</v>
      </c>
    </row>
    <row r="1106" spans="2:4" ht="15" customHeight="1">
      <c r="B1106" t="s">
        <v>5614</v>
      </c>
      <c r="C1106" t="s">
        <v>5614</v>
      </c>
      <c r="D1106">
        <v>0</v>
      </c>
    </row>
    <row r="1107" spans="2:4" ht="15" customHeight="1">
      <c r="B1107" t="s">
        <v>1084</v>
      </c>
      <c r="C1107" t="s">
        <v>1084</v>
      </c>
      <c r="D1107">
        <v>0</v>
      </c>
    </row>
    <row r="1108" spans="2:4" ht="15" customHeight="1">
      <c r="B1108" t="s">
        <v>5615</v>
      </c>
      <c r="C1108" t="s">
        <v>5615</v>
      </c>
      <c r="D1108">
        <v>0</v>
      </c>
    </row>
    <row r="1109" spans="2:4" ht="15" customHeight="1">
      <c r="B1109" t="s">
        <v>5616</v>
      </c>
      <c r="C1109" t="s">
        <v>5616</v>
      </c>
      <c r="D1109">
        <v>0</v>
      </c>
    </row>
    <row r="1110" spans="2:4" ht="15" customHeight="1">
      <c r="B1110" t="s">
        <v>5617</v>
      </c>
      <c r="C1110" t="s">
        <v>5617</v>
      </c>
      <c r="D1110">
        <v>0</v>
      </c>
    </row>
    <row r="1111" spans="2:4" ht="15" customHeight="1">
      <c r="B1111" t="s">
        <v>5618</v>
      </c>
      <c r="C1111" t="s">
        <v>5618</v>
      </c>
      <c r="D1111">
        <v>0</v>
      </c>
    </row>
    <row r="1112" spans="2:4" ht="15" customHeight="1">
      <c r="B1112" t="s">
        <v>5619</v>
      </c>
      <c r="C1112" t="s">
        <v>5619</v>
      </c>
      <c r="D1112">
        <v>0</v>
      </c>
    </row>
    <row r="1113" spans="2:4" ht="15" customHeight="1">
      <c r="B1113" t="s">
        <v>5620</v>
      </c>
      <c r="C1113" t="s">
        <v>5620</v>
      </c>
      <c r="D1113">
        <v>0</v>
      </c>
    </row>
    <row r="1114" spans="2:4" ht="15" customHeight="1">
      <c r="B1114" t="s">
        <v>5788</v>
      </c>
      <c r="C1114" t="s">
        <v>5788</v>
      </c>
      <c r="D1114">
        <v>0</v>
      </c>
    </row>
    <row r="1115" spans="2:4" ht="15" customHeight="1">
      <c r="B1115" t="s">
        <v>5789</v>
      </c>
      <c r="C1115" t="s">
        <v>5789</v>
      </c>
      <c r="D1115">
        <v>0</v>
      </c>
    </row>
    <row r="1116" spans="2:4" ht="15" customHeight="1">
      <c r="B1116" t="s">
        <v>5790</v>
      </c>
      <c r="C1116" t="s">
        <v>5790</v>
      </c>
      <c r="D1116">
        <v>0</v>
      </c>
    </row>
    <row r="1117" spans="2:4" ht="15" customHeight="1">
      <c r="B1117" t="s">
        <v>5791</v>
      </c>
      <c r="C1117" t="s">
        <v>5791</v>
      </c>
      <c r="D1117">
        <v>0</v>
      </c>
    </row>
    <row r="1118" spans="2:4" ht="15" customHeight="1">
      <c r="B1118" t="s">
        <v>9378</v>
      </c>
      <c r="C1118" t="s">
        <v>9378</v>
      </c>
      <c r="D1118">
        <v>0</v>
      </c>
    </row>
    <row r="1119" spans="2:4" ht="15" customHeight="1">
      <c r="B1119" t="s">
        <v>5792</v>
      </c>
      <c r="C1119" t="s">
        <v>5792</v>
      </c>
      <c r="D1119">
        <v>0</v>
      </c>
    </row>
    <row r="1120" spans="2:4" ht="15" customHeight="1">
      <c r="B1120" t="s">
        <v>7923</v>
      </c>
      <c r="C1120" t="s">
        <v>7923</v>
      </c>
      <c r="D1120">
        <v>0</v>
      </c>
    </row>
    <row r="1121" spans="2:4" ht="15" customHeight="1">
      <c r="B1121" t="s">
        <v>8916</v>
      </c>
      <c r="C1121" t="s">
        <v>8916</v>
      </c>
      <c r="D1121">
        <v>0</v>
      </c>
    </row>
    <row r="1122" spans="2:4" ht="15" customHeight="1">
      <c r="B1122" t="s">
        <v>5793</v>
      </c>
      <c r="C1122" t="s">
        <v>5793</v>
      </c>
      <c r="D1122">
        <v>0</v>
      </c>
    </row>
    <row r="1123" spans="2:4" ht="15" customHeight="1">
      <c r="B1123" t="s">
        <v>5794</v>
      </c>
      <c r="C1123" t="s">
        <v>5794</v>
      </c>
      <c r="D1123">
        <v>0</v>
      </c>
    </row>
    <row r="1124" spans="2:4" ht="15" customHeight="1">
      <c r="B1124" t="s">
        <v>5795</v>
      </c>
      <c r="C1124" t="s">
        <v>5795</v>
      </c>
      <c r="D1124">
        <v>0</v>
      </c>
    </row>
    <row r="1125" spans="2:4" ht="15" customHeight="1">
      <c r="B1125" t="s">
        <v>7564</v>
      </c>
      <c r="C1125" t="s">
        <v>7564</v>
      </c>
      <c r="D1125">
        <v>0</v>
      </c>
    </row>
    <row r="1126" spans="2:4" ht="15" customHeight="1">
      <c r="B1126" t="s">
        <v>8418</v>
      </c>
      <c r="C1126" t="s">
        <v>8418</v>
      </c>
      <c r="D1126">
        <v>0</v>
      </c>
    </row>
    <row r="1127" spans="2:4" ht="15" customHeight="1">
      <c r="B1127" t="s">
        <v>8514</v>
      </c>
      <c r="C1127" t="s">
        <v>8514</v>
      </c>
      <c r="D1127">
        <v>0</v>
      </c>
    </row>
    <row r="1128" spans="2:4" ht="15" customHeight="1">
      <c r="B1128" t="s">
        <v>5796</v>
      </c>
      <c r="C1128" t="s">
        <v>5796</v>
      </c>
      <c r="D1128">
        <v>0</v>
      </c>
    </row>
    <row r="1129" spans="2:4" ht="15" customHeight="1">
      <c r="B1129" t="s">
        <v>5797</v>
      </c>
      <c r="C1129" t="s">
        <v>5797</v>
      </c>
      <c r="D1129">
        <v>0</v>
      </c>
    </row>
    <row r="1130" spans="2:4" ht="15" customHeight="1">
      <c r="B1130" t="s">
        <v>5798</v>
      </c>
      <c r="C1130" t="s">
        <v>5798</v>
      </c>
      <c r="D1130">
        <v>0</v>
      </c>
    </row>
    <row r="1131" spans="2:4" ht="15" customHeight="1">
      <c r="B1131" t="s">
        <v>5799</v>
      </c>
      <c r="C1131" t="s">
        <v>5799</v>
      </c>
      <c r="D1131">
        <v>0</v>
      </c>
    </row>
    <row r="1132" spans="2:4" ht="15" customHeight="1">
      <c r="B1132" t="s">
        <v>5621</v>
      </c>
      <c r="C1132" t="s">
        <v>5621</v>
      </c>
      <c r="D1132">
        <v>0</v>
      </c>
    </row>
    <row r="1133" spans="2:4" ht="15" customHeight="1">
      <c r="B1133" t="s">
        <v>5622</v>
      </c>
      <c r="C1133" t="s">
        <v>5622</v>
      </c>
      <c r="D1133">
        <v>0</v>
      </c>
    </row>
    <row r="1134" spans="2:4" ht="15" customHeight="1">
      <c r="B1134" t="s">
        <v>5629</v>
      </c>
      <c r="C1134" t="s">
        <v>5629</v>
      </c>
      <c r="D1134">
        <v>0</v>
      </c>
    </row>
    <row r="1135" spans="2:4" ht="15" customHeight="1">
      <c r="B1135" t="s">
        <v>8079</v>
      </c>
      <c r="C1135" t="s">
        <v>8079</v>
      </c>
      <c r="D1135">
        <v>0</v>
      </c>
    </row>
    <row r="1136" spans="2:4" ht="15" customHeight="1">
      <c r="B1136" t="s">
        <v>8326</v>
      </c>
      <c r="C1136" t="s">
        <v>8326</v>
      </c>
      <c r="D1136">
        <v>0</v>
      </c>
    </row>
    <row r="1137" spans="2:4" ht="15" customHeight="1">
      <c r="B1137" t="s">
        <v>5258</v>
      </c>
      <c r="C1137" t="s">
        <v>5258</v>
      </c>
      <c r="D1137">
        <v>0</v>
      </c>
    </row>
    <row r="1138" spans="2:4" ht="15" customHeight="1">
      <c r="B1138" t="s">
        <v>5800</v>
      </c>
      <c r="C1138" t="s">
        <v>5800</v>
      </c>
      <c r="D1138">
        <v>0</v>
      </c>
    </row>
    <row r="1139" spans="2:4" ht="15" customHeight="1">
      <c r="B1139" t="s">
        <v>7910</v>
      </c>
      <c r="C1139" t="s">
        <v>7910</v>
      </c>
      <c r="D1139">
        <v>0</v>
      </c>
    </row>
    <row r="1140" spans="2:4" ht="15" customHeight="1">
      <c r="B1140" t="s">
        <v>5801</v>
      </c>
      <c r="C1140" t="s">
        <v>5801</v>
      </c>
      <c r="D1140">
        <v>0</v>
      </c>
    </row>
    <row r="1141" spans="2:4" ht="15" customHeight="1">
      <c r="B1141" t="s">
        <v>5802</v>
      </c>
      <c r="C1141" t="s">
        <v>5802</v>
      </c>
      <c r="D1141">
        <v>0</v>
      </c>
    </row>
    <row r="1142" spans="2:4" ht="15" customHeight="1">
      <c r="B1142" t="s">
        <v>5803</v>
      </c>
      <c r="C1142" t="s">
        <v>5803</v>
      </c>
      <c r="D1142">
        <v>0</v>
      </c>
    </row>
    <row r="1143" spans="2:4" ht="15" customHeight="1">
      <c r="B1143" t="s">
        <v>5804</v>
      </c>
      <c r="C1143" t="s">
        <v>5804</v>
      </c>
      <c r="D1143">
        <v>0</v>
      </c>
    </row>
    <row r="1144" spans="2:4" ht="15" customHeight="1">
      <c r="B1144" t="s">
        <v>5805</v>
      </c>
      <c r="C1144" t="s">
        <v>5805</v>
      </c>
      <c r="D1144">
        <v>0</v>
      </c>
    </row>
    <row r="1145" spans="2:4" ht="15" customHeight="1">
      <c r="B1145" t="s">
        <v>10035</v>
      </c>
      <c r="C1145" t="s">
        <v>10035</v>
      </c>
      <c r="D1145">
        <v>0</v>
      </c>
    </row>
    <row r="1146" spans="2:4" ht="15" customHeight="1">
      <c r="B1146" t="s">
        <v>5806</v>
      </c>
      <c r="C1146" t="s">
        <v>5806</v>
      </c>
      <c r="D1146">
        <v>0</v>
      </c>
    </row>
    <row r="1147" spans="2:4" ht="15" customHeight="1">
      <c r="B1147" t="s">
        <v>5807</v>
      </c>
      <c r="C1147" t="s">
        <v>5807</v>
      </c>
      <c r="D1147">
        <v>0</v>
      </c>
    </row>
    <row r="1148" spans="2:4" ht="15" customHeight="1">
      <c r="B1148" t="s">
        <v>5808</v>
      </c>
      <c r="C1148" t="s">
        <v>5808</v>
      </c>
      <c r="D1148">
        <v>0</v>
      </c>
    </row>
    <row r="1149" spans="2:4" ht="15" customHeight="1">
      <c r="B1149" t="s">
        <v>5809</v>
      </c>
      <c r="C1149" t="s">
        <v>5809</v>
      </c>
      <c r="D1149">
        <v>0</v>
      </c>
    </row>
    <row r="1150" spans="2:4" ht="15" customHeight="1">
      <c r="B1150" t="s">
        <v>5810</v>
      </c>
      <c r="C1150" t="s">
        <v>5810</v>
      </c>
      <c r="D1150">
        <v>0</v>
      </c>
    </row>
    <row r="1151" spans="2:4" ht="15" customHeight="1">
      <c r="B1151" t="s">
        <v>5811</v>
      </c>
      <c r="C1151" t="s">
        <v>5811</v>
      </c>
      <c r="D1151">
        <v>0</v>
      </c>
    </row>
    <row r="1152" spans="2:4" ht="15" customHeight="1">
      <c r="B1152" t="s">
        <v>5812</v>
      </c>
      <c r="C1152" t="s">
        <v>5812</v>
      </c>
      <c r="D1152">
        <v>0</v>
      </c>
    </row>
    <row r="1153" spans="2:4" ht="15" customHeight="1">
      <c r="B1153" t="s">
        <v>5813</v>
      </c>
      <c r="C1153" t="s">
        <v>5813</v>
      </c>
      <c r="D1153">
        <v>0</v>
      </c>
    </row>
    <row r="1154" spans="2:4" ht="15" customHeight="1">
      <c r="B1154" t="s">
        <v>7548</v>
      </c>
      <c r="C1154" t="s">
        <v>7548</v>
      </c>
      <c r="D1154">
        <v>0</v>
      </c>
    </row>
    <row r="1155" spans="2:4" ht="15" customHeight="1">
      <c r="B1155" t="s">
        <v>5814</v>
      </c>
      <c r="C1155" t="s">
        <v>5814</v>
      </c>
      <c r="D1155">
        <v>0</v>
      </c>
    </row>
    <row r="1156" spans="2:4" ht="15" customHeight="1">
      <c r="B1156" t="s">
        <v>5815</v>
      </c>
      <c r="C1156" t="s">
        <v>5815</v>
      </c>
      <c r="D1156">
        <v>0</v>
      </c>
    </row>
    <row r="1157" spans="2:4" ht="15" customHeight="1">
      <c r="B1157" t="s">
        <v>5816</v>
      </c>
      <c r="C1157" t="s">
        <v>5816</v>
      </c>
      <c r="D1157">
        <v>0</v>
      </c>
    </row>
    <row r="1158" spans="2:4" ht="15" customHeight="1">
      <c r="B1158" t="s">
        <v>5817</v>
      </c>
      <c r="C1158" t="s">
        <v>5817</v>
      </c>
      <c r="D1158">
        <v>0</v>
      </c>
    </row>
    <row r="1159" spans="2:4" ht="15" customHeight="1">
      <c r="B1159" t="s">
        <v>5818</v>
      </c>
      <c r="C1159" t="s">
        <v>5818</v>
      </c>
      <c r="D1159">
        <v>0</v>
      </c>
    </row>
    <row r="1160" spans="2:4" ht="15" customHeight="1">
      <c r="B1160" t="s">
        <v>5819</v>
      </c>
      <c r="C1160" t="s">
        <v>5819</v>
      </c>
      <c r="D1160">
        <v>0</v>
      </c>
    </row>
    <row r="1161" spans="2:4" ht="15" customHeight="1">
      <c r="B1161" t="s">
        <v>5820</v>
      </c>
      <c r="C1161" t="s">
        <v>5820</v>
      </c>
      <c r="D1161">
        <v>0</v>
      </c>
    </row>
    <row r="1162" spans="2:4" ht="15" customHeight="1">
      <c r="B1162" t="s">
        <v>5821</v>
      </c>
      <c r="C1162" t="s">
        <v>5821</v>
      </c>
      <c r="D1162">
        <v>0</v>
      </c>
    </row>
    <row r="1163" spans="2:4" ht="15" customHeight="1">
      <c r="B1163" t="s">
        <v>5623</v>
      </c>
      <c r="C1163" t="s">
        <v>5623</v>
      </c>
      <c r="D1163">
        <v>0</v>
      </c>
    </row>
    <row r="1164" spans="2:4" ht="15" customHeight="1">
      <c r="B1164" t="s">
        <v>173</v>
      </c>
      <c r="C1164" t="s">
        <v>173</v>
      </c>
      <c r="D1164">
        <v>0</v>
      </c>
    </row>
    <row r="1165" spans="2:4" ht="15" customHeight="1">
      <c r="B1165" t="s">
        <v>5624</v>
      </c>
      <c r="C1165" t="s">
        <v>5624</v>
      </c>
      <c r="D1165">
        <v>0</v>
      </c>
    </row>
    <row r="1166" spans="2:4" ht="15" customHeight="1">
      <c r="B1166" t="s">
        <v>5822</v>
      </c>
      <c r="C1166" t="s">
        <v>5822</v>
      </c>
      <c r="D1166">
        <v>0</v>
      </c>
    </row>
    <row r="1167" spans="2:4" ht="15" customHeight="1">
      <c r="B1167" t="s">
        <v>5823</v>
      </c>
      <c r="C1167" t="s">
        <v>5823</v>
      </c>
      <c r="D1167">
        <v>0</v>
      </c>
    </row>
    <row r="1168" spans="2:4" ht="15" customHeight="1">
      <c r="B1168" t="s">
        <v>8301</v>
      </c>
      <c r="C1168" t="s">
        <v>8301</v>
      </c>
      <c r="D1168">
        <v>0</v>
      </c>
    </row>
    <row r="1169" spans="2:4" ht="15" customHeight="1">
      <c r="B1169" t="s">
        <v>5824</v>
      </c>
      <c r="C1169" t="s">
        <v>5824</v>
      </c>
      <c r="D1169">
        <v>0</v>
      </c>
    </row>
    <row r="1170" spans="2:4" ht="15" customHeight="1">
      <c r="B1170" t="s">
        <v>5825</v>
      </c>
      <c r="C1170" t="s">
        <v>5825</v>
      </c>
      <c r="D1170">
        <v>0</v>
      </c>
    </row>
    <row r="1171" spans="2:4" ht="15" customHeight="1">
      <c r="B1171" t="s">
        <v>8174</v>
      </c>
      <c r="C1171" t="s">
        <v>8174</v>
      </c>
      <c r="D1171">
        <v>0</v>
      </c>
    </row>
    <row r="1172" spans="2:4" ht="15" customHeight="1">
      <c r="B1172" t="s">
        <v>8177</v>
      </c>
      <c r="C1172" t="s">
        <v>8177</v>
      </c>
      <c r="D1172">
        <v>0</v>
      </c>
    </row>
    <row r="1173" spans="2:4" ht="15" customHeight="1">
      <c r="B1173" t="s">
        <v>8179</v>
      </c>
      <c r="C1173" t="s">
        <v>8179</v>
      </c>
      <c r="D1173">
        <v>0</v>
      </c>
    </row>
    <row r="1174" spans="2:4" ht="15" customHeight="1">
      <c r="B1174" t="s">
        <v>5826</v>
      </c>
      <c r="C1174" t="s">
        <v>5826</v>
      </c>
      <c r="D1174">
        <v>0</v>
      </c>
    </row>
    <row r="1175" spans="2:4" ht="15" customHeight="1">
      <c r="B1175" t="s">
        <v>5827</v>
      </c>
      <c r="C1175" t="s">
        <v>5827</v>
      </c>
      <c r="D1175">
        <v>0</v>
      </c>
    </row>
    <row r="1176" spans="2:4" ht="15" customHeight="1">
      <c r="B1176" t="s">
        <v>5828</v>
      </c>
      <c r="C1176" t="s">
        <v>5828</v>
      </c>
      <c r="D1176">
        <v>0</v>
      </c>
    </row>
    <row r="1177" spans="2:4" ht="15" customHeight="1">
      <c r="B1177" t="s">
        <v>8170</v>
      </c>
      <c r="C1177" t="s">
        <v>8170</v>
      </c>
      <c r="D1177">
        <v>0</v>
      </c>
    </row>
    <row r="1178" spans="2:4" ht="15" customHeight="1">
      <c r="B1178" t="s">
        <v>5829</v>
      </c>
      <c r="C1178" t="s">
        <v>5829</v>
      </c>
      <c r="D1178">
        <v>0</v>
      </c>
    </row>
    <row r="1179" spans="2:4" ht="15" customHeight="1">
      <c r="B1179" t="s">
        <v>5830</v>
      </c>
      <c r="C1179" t="s">
        <v>5830</v>
      </c>
      <c r="D1179">
        <v>0</v>
      </c>
    </row>
    <row r="1180" spans="2:4" ht="15" customHeight="1">
      <c r="B1180" t="s">
        <v>7424</v>
      </c>
      <c r="C1180" t="s">
        <v>7424</v>
      </c>
      <c r="D1180">
        <v>0</v>
      </c>
    </row>
    <row r="1181" spans="2:4" ht="15" customHeight="1">
      <c r="B1181" t="s">
        <v>5831</v>
      </c>
      <c r="C1181" t="s">
        <v>5831</v>
      </c>
      <c r="D1181">
        <v>0</v>
      </c>
    </row>
    <row r="1182" spans="2:4" ht="15" customHeight="1">
      <c r="B1182" t="s">
        <v>950</v>
      </c>
      <c r="C1182" t="s">
        <v>950</v>
      </c>
      <c r="D1182">
        <v>0</v>
      </c>
    </row>
    <row r="1183" spans="2:4" ht="15" customHeight="1">
      <c r="B1183" t="s">
        <v>7808</v>
      </c>
      <c r="C1183" t="s">
        <v>7808</v>
      </c>
      <c r="D1183">
        <v>0</v>
      </c>
    </row>
    <row r="1184" spans="2:4" ht="15" customHeight="1">
      <c r="B1184" t="s">
        <v>8172</v>
      </c>
      <c r="C1184" t="s">
        <v>8172</v>
      </c>
      <c r="D1184">
        <v>0</v>
      </c>
    </row>
    <row r="1185" spans="2:4" ht="15" customHeight="1">
      <c r="B1185" t="s">
        <v>8345</v>
      </c>
      <c r="C1185" t="s">
        <v>8345</v>
      </c>
      <c r="D1185">
        <v>0</v>
      </c>
    </row>
    <row r="1186" spans="2:4" ht="15" customHeight="1">
      <c r="B1186" t="s">
        <v>8421</v>
      </c>
      <c r="C1186" t="s">
        <v>8421</v>
      </c>
      <c r="D1186">
        <v>0</v>
      </c>
    </row>
    <row r="1187" spans="2:4" ht="15" customHeight="1">
      <c r="B1187" t="s">
        <v>8593</v>
      </c>
      <c r="C1187" t="s">
        <v>8593</v>
      </c>
      <c r="D1187">
        <v>0</v>
      </c>
    </row>
    <row r="1188" spans="2:4" ht="15" customHeight="1">
      <c r="B1188" t="s">
        <v>9102</v>
      </c>
      <c r="C1188" t="s">
        <v>9102</v>
      </c>
      <c r="D1188">
        <v>0</v>
      </c>
    </row>
    <row r="1189" spans="2:4" ht="15" customHeight="1">
      <c r="B1189" t="s">
        <v>10009</v>
      </c>
      <c r="C1189" t="s">
        <v>10009</v>
      </c>
      <c r="D1189">
        <v>0</v>
      </c>
    </row>
    <row r="1190" spans="2:4" ht="15" customHeight="1">
      <c r="B1190" t="s">
        <v>9286</v>
      </c>
      <c r="C1190" t="s">
        <v>9286</v>
      </c>
      <c r="D1190">
        <v>0</v>
      </c>
    </row>
    <row r="1191" spans="2:4" ht="15" customHeight="1">
      <c r="B1191" t="s">
        <v>10029</v>
      </c>
      <c r="C1191" t="s">
        <v>10029</v>
      </c>
      <c r="D1191">
        <v>0</v>
      </c>
    </row>
    <row r="1192" spans="2:4" ht="15" customHeight="1">
      <c r="B1192" t="s">
        <v>10030</v>
      </c>
      <c r="C1192" t="s">
        <v>10030</v>
      </c>
      <c r="D1192">
        <v>0</v>
      </c>
    </row>
    <row r="1193" spans="2:4" ht="15" customHeight="1">
      <c r="B1193" t="s">
        <v>5832</v>
      </c>
      <c r="C1193" t="s">
        <v>5832</v>
      </c>
      <c r="D1193">
        <v>0</v>
      </c>
    </row>
    <row r="1194" spans="2:4" ht="15" customHeight="1">
      <c r="B1194" t="s">
        <v>5833</v>
      </c>
      <c r="C1194" t="s">
        <v>5833</v>
      </c>
      <c r="D1194">
        <v>0</v>
      </c>
    </row>
    <row r="1195" spans="2:4" ht="15" customHeight="1">
      <c r="B1195" t="s">
        <v>7028</v>
      </c>
      <c r="C1195" t="s">
        <v>7028</v>
      </c>
      <c r="D1195">
        <v>0</v>
      </c>
    </row>
    <row r="1196" spans="2:4" ht="15" customHeight="1">
      <c r="B1196" t="s">
        <v>5625</v>
      </c>
      <c r="C1196" t="s">
        <v>5625</v>
      </c>
      <c r="D1196">
        <v>0</v>
      </c>
    </row>
    <row r="1197" spans="2:4" ht="15" customHeight="1">
      <c r="B1197" t="s">
        <v>5626</v>
      </c>
      <c r="C1197" t="s">
        <v>5626</v>
      </c>
      <c r="D1197">
        <v>0</v>
      </c>
    </row>
    <row r="1198" spans="2:4" ht="15" customHeight="1">
      <c r="B1198" t="s">
        <v>845</v>
      </c>
      <c r="C1198" t="s">
        <v>845</v>
      </c>
      <c r="D1198">
        <v>0</v>
      </c>
    </row>
    <row r="1199" spans="2:4" ht="15" customHeight="1">
      <c r="B1199" t="s">
        <v>5369</v>
      </c>
      <c r="C1199" t="s">
        <v>5369</v>
      </c>
      <c r="D1199">
        <v>0</v>
      </c>
    </row>
    <row r="1200" spans="2:4" ht="15" customHeight="1">
      <c r="B1200" t="s">
        <v>427</v>
      </c>
      <c r="C1200" t="s">
        <v>427</v>
      </c>
      <c r="D1200">
        <v>0</v>
      </c>
    </row>
    <row r="1201" spans="2:4" ht="15" customHeight="1">
      <c r="B1201" t="s">
        <v>5364</v>
      </c>
      <c r="C1201" t="s">
        <v>5364</v>
      </c>
      <c r="D1201">
        <v>0</v>
      </c>
    </row>
    <row r="1202" spans="2:4" ht="15" customHeight="1">
      <c r="B1202" t="s">
        <v>5179</v>
      </c>
      <c r="C1202" t="s">
        <v>5179</v>
      </c>
      <c r="D1202">
        <v>0</v>
      </c>
    </row>
    <row r="1203" spans="2:4" ht="15" customHeight="1">
      <c r="B1203" t="s">
        <v>5252</v>
      </c>
      <c r="C1203" t="s">
        <v>5252</v>
      </c>
      <c r="D1203">
        <v>0</v>
      </c>
    </row>
    <row r="1204" spans="2:4" ht="15" customHeight="1">
      <c r="B1204" t="s">
        <v>770</v>
      </c>
      <c r="C1204" t="s">
        <v>770</v>
      </c>
      <c r="D1204">
        <v>0</v>
      </c>
    </row>
    <row r="1205" spans="2:4" ht="15" customHeight="1">
      <c r="B1205" t="s">
        <v>10145</v>
      </c>
      <c r="C1205" t="s">
        <v>10145</v>
      </c>
      <c r="D1205">
        <v>0</v>
      </c>
    </row>
    <row r="1206" spans="2:4" ht="15" customHeight="1">
      <c r="B1206" t="s">
        <v>5296</v>
      </c>
      <c r="C1206" t="s">
        <v>5296</v>
      </c>
      <c r="D1206">
        <v>0</v>
      </c>
    </row>
    <row r="1207" spans="2:4" ht="15" customHeight="1">
      <c r="B1207" t="s">
        <v>7149</v>
      </c>
      <c r="C1207" t="s">
        <v>7149</v>
      </c>
      <c r="D1207">
        <v>0</v>
      </c>
    </row>
    <row r="1208" spans="2:4" ht="15" customHeight="1">
      <c r="B1208" t="s">
        <v>847</v>
      </c>
      <c r="C1208" t="s">
        <v>847</v>
      </c>
      <c r="D1208">
        <v>0</v>
      </c>
    </row>
    <row r="1209" spans="2:4" ht="15" customHeight="1">
      <c r="B1209" t="s">
        <v>506</v>
      </c>
      <c r="C1209" t="s">
        <v>506</v>
      </c>
      <c r="D1209">
        <v>0</v>
      </c>
    </row>
    <row r="1210" spans="2:4" ht="15" customHeight="1">
      <c r="B1210" t="s">
        <v>5337</v>
      </c>
      <c r="C1210" t="s">
        <v>5337</v>
      </c>
      <c r="D1210">
        <v>0</v>
      </c>
    </row>
    <row r="1211" spans="2:4" ht="15" customHeight="1">
      <c r="B1211" t="s">
        <v>5488</v>
      </c>
      <c r="C1211" t="s">
        <v>5488</v>
      </c>
      <c r="D1211">
        <v>0</v>
      </c>
    </row>
    <row r="1212" spans="2:4" ht="15" customHeight="1">
      <c r="B1212" t="s">
        <v>5283</v>
      </c>
      <c r="C1212" t="s">
        <v>5283</v>
      </c>
      <c r="D1212">
        <v>0</v>
      </c>
    </row>
    <row r="1213" spans="2:4" ht="15" customHeight="1">
      <c r="B1213" t="s">
        <v>5370</v>
      </c>
      <c r="C1213" t="s">
        <v>5370</v>
      </c>
      <c r="D1213">
        <v>0</v>
      </c>
    </row>
    <row r="1214" spans="2:4" ht="15" customHeight="1">
      <c r="B1214" t="s">
        <v>9491</v>
      </c>
      <c r="C1214" t="s">
        <v>9491</v>
      </c>
      <c r="D1214">
        <v>0</v>
      </c>
    </row>
    <row r="1215" spans="2:4" ht="15" customHeight="1">
      <c r="B1215" t="s">
        <v>7435</v>
      </c>
      <c r="C1215" t="s">
        <v>7435</v>
      </c>
      <c r="D1215">
        <v>0</v>
      </c>
    </row>
    <row r="1216" spans="2:4" ht="15" customHeight="1">
      <c r="B1216" t="s">
        <v>10130</v>
      </c>
      <c r="C1216" t="s">
        <v>10130</v>
      </c>
      <c r="D1216">
        <v>0</v>
      </c>
    </row>
    <row r="1217" spans="2:4" ht="15" customHeight="1">
      <c r="B1217" t="s">
        <v>6355</v>
      </c>
      <c r="C1217" t="s">
        <v>6355</v>
      </c>
      <c r="D1217">
        <v>0</v>
      </c>
    </row>
    <row r="1218" spans="2:4" ht="15" customHeight="1">
      <c r="B1218" t="s">
        <v>10132</v>
      </c>
      <c r="C1218" t="s">
        <v>10132</v>
      </c>
      <c r="D1218">
        <v>0</v>
      </c>
    </row>
    <row r="1219" spans="2:4" ht="15" customHeight="1">
      <c r="B1219" t="s">
        <v>6354</v>
      </c>
      <c r="C1219" t="s">
        <v>6354</v>
      </c>
      <c r="D1219">
        <v>0</v>
      </c>
    </row>
    <row r="1220" spans="2:4" ht="15" customHeight="1">
      <c r="B1220" t="s">
        <v>6353</v>
      </c>
      <c r="C1220" t="s">
        <v>6353</v>
      </c>
      <c r="D1220">
        <v>0</v>
      </c>
    </row>
    <row r="1221" spans="2:4" ht="15" customHeight="1">
      <c r="B1221" t="s">
        <v>6349</v>
      </c>
      <c r="C1221" t="s">
        <v>6349</v>
      </c>
      <c r="D1221">
        <v>0</v>
      </c>
    </row>
    <row r="1222" spans="2:4" ht="15" customHeight="1">
      <c r="B1222" t="s">
        <v>6350</v>
      </c>
      <c r="C1222" t="s">
        <v>6350</v>
      </c>
      <c r="D1222">
        <v>0</v>
      </c>
    </row>
    <row r="1223" spans="2:4" ht="15" customHeight="1">
      <c r="B1223" t="s">
        <v>10134</v>
      </c>
      <c r="C1223" t="s">
        <v>10134</v>
      </c>
      <c r="D1223">
        <v>0</v>
      </c>
    </row>
    <row r="1224" spans="2:4" ht="15" customHeight="1">
      <c r="B1224" t="s">
        <v>6932</v>
      </c>
      <c r="C1224" t="s">
        <v>6932</v>
      </c>
      <c r="D1224">
        <v>0</v>
      </c>
    </row>
    <row r="1225" spans="2:4" ht="15" customHeight="1">
      <c r="B1225" t="s">
        <v>6358</v>
      </c>
      <c r="C1225" t="s">
        <v>6358</v>
      </c>
      <c r="D1225">
        <v>0</v>
      </c>
    </row>
    <row r="1226" spans="2:4" ht="15" customHeight="1">
      <c r="B1226" t="s">
        <v>10140</v>
      </c>
      <c r="C1226" t="s">
        <v>10140</v>
      </c>
      <c r="D1226">
        <v>0</v>
      </c>
    </row>
    <row r="1227" spans="2:4" ht="15" customHeight="1">
      <c r="B1227" t="s">
        <v>10141</v>
      </c>
      <c r="C1227" t="s">
        <v>10141</v>
      </c>
      <c r="D1227">
        <v>0</v>
      </c>
    </row>
    <row r="1228" spans="2:4" ht="15" customHeight="1">
      <c r="B1228" t="s">
        <v>6359</v>
      </c>
      <c r="C1228" t="s">
        <v>6359</v>
      </c>
      <c r="D1228">
        <v>0</v>
      </c>
    </row>
    <row r="1229" spans="2:4" ht="15" customHeight="1">
      <c r="B1229" t="s">
        <v>10143</v>
      </c>
      <c r="C1229" t="s">
        <v>10143</v>
      </c>
      <c r="D1229">
        <v>0</v>
      </c>
    </row>
    <row r="1230" spans="2:4" ht="15" customHeight="1">
      <c r="B1230" t="s">
        <v>10144</v>
      </c>
      <c r="C1230" t="s">
        <v>10144</v>
      </c>
      <c r="D1230">
        <v>0</v>
      </c>
    </row>
    <row r="1231" spans="2:4" ht="15" customHeight="1">
      <c r="B1231" t="s">
        <v>6361</v>
      </c>
      <c r="C1231" t="s">
        <v>6361</v>
      </c>
      <c r="D1231">
        <v>0</v>
      </c>
    </row>
    <row r="1232" spans="2:4" ht="15" customHeight="1">
      <c r="B1232" t="s">
        <v>6362</v>
      </c>
      <c r="C1232" t="s">
        <v>6362</v>
      </c>
      <c r="D1232">
        <v>0</v>
      </c>
    </row>
    <row r="1233" spans="2:4" ht="15" customHeight="1">
      <c r="B1233" t="s">
        <v>6363</v>
      </c>
      <c r="C1233" t="s">
        <v>6363</v>
      </c>
      <c r="D1233">
        <v>0</v>
      </c>
    </row>
    <row r="1234" spans="2:4" ht="15" customHeight="1">
      <c r="B1234" t="s">
        <v>10146</v>
      </c>
      <c r="C1234" t="s">
        <v>10146</v>
      </c>
      <c r="D1234">
        <v>0</v>
      </c>
    </row>
    <row r="1235" spans="2:4" ht="15" customHeight="1">
      <c r="B1235" t="s">
        <v>1001</v>
      </c>
      <c r="C1235" t="s">
        <v>1001</v>
      </c>
      <c r="D1235">
        <v>0</v>
      </c>
    </row>
    <row r="1236" spans="2:4" ht="15" customHeight="1">
      <c r="B1236" t="s">
        <v>10148</v>
      </c>
      <c r="C1236" t="s">
        <v>10148</v>
      </c>
      <c r="D1236">
        <v>0</v>
      </c>
    </row>
    <row r="1237" spans="2:4" ht="15" customHeight="1">
      <c r="B1237" t="s">
        <v>10149</v>
      </c>
      <c r="C1237" t="s">
        <v>10149</v>
      </c>
      <c r="D1237">
        <v>0</v>
      </c>
    </row>
    <row r="1238" spans="2:4" ht="15" customHeight="1">
      <c r="B1238" t="s">
        <v>10150</v>
      </c>
      <c r="C1238" t="s">
        <v>10150</v>
      </c>
      <c r="D1238">
        <v>0</v>
      </c>
    </row>
    <row r="1239" spans="2:4" ht="15" customHeight="1">
      <c r="B1239" t="s">
        <v>6356</v>
      </c>
      <c r="C1239" t="s">
        <v>6356</v>
      </c>
      <c r="D1239">
        <v>0</v>
      </c>
    </row>
    <row r="1240" spans="2:4" ht="15" customHeight="1">
      <c r="B1240" t="s">
        <v>1059</v>
      </c>
      <c r="C1240" t="s">
        <v>1059</v>
      </c>
      <c r="D1240">
        <v>0</v>
      </c>
    </row>
    <row r="1241" spans="2:4" ht="15" customHeight="1">
      <c r="B1241" t="s">
        <v>6352</v>
      </c>
      <c r="C1241" t="s">
        <v>6352</v>
      </c>
      <c r="D1241">
        <v>0</v>
      </c>
    </row>
    <row r="1242" spans="2:4" ht="15" customHeight="1">
      <c r="B1242" t="s">
        <v>10147</v>
      </c>
      <c r="C1242" t="s">
        <v>10147</v>
      </c>
      <c r="D1242">
        <v>0</v>
      </c>
    </row>
    <row r="1243" spans="2:4" ht="15" customHeight="1">
      <c r="B1243" t="s">
        <v>10161</v>
      </c>
      <c r="C1243" t="s">
        <v>10161</v>
      </c>
      <c r="D1243">
        <v>0</v>
      </c>
    </row>
    <row r="1244" spans="2:4" ht="15" customHeight="1">
      <c r="B1244" t="s">
        <v>10164</v>
      </c>
      <c r="C1244" t="s">
        <v>10164</v>
      </c>
      <c r="D1244">
        <v>0</v>
      </c>
    </row>
    <row r="1245" spans="2:4" ht="15" customHeight="1">
      <c r="B1245" t="s">
        <v>10167</v>
      </c>
      <c r="C1245" t="s">
        <v>10167</v>
      </c>
      <c r="D1245">
        <v>0</v>
      </c>
    </row>
    <row r="1246" spans="2:4" ht="15" customHeight="1">
      <c r="B1246" t="s">
        <v>10181</v>
      </c>
      <c r="C1246" t="s">
        <v>10181</v>
      </c>
      <c r="D1246">
        <v>0</v>
      </c>
    </row>
    <row r="1247" spans="2:4" ht="15" customHeight="1">
      <c r="B1247" t="s">
        <v>10190</v>
      </c>
      <c r="C1247" t="s">
        <v>10190</v>
      </c>
      <c r="D1247">
        <v>0</v>
      </c>
    </row>
    <row r="1248" spans="2:4" ht="15" customHeight="1">
      <c r="B1248" t="s">
        <v>10199</v>
      </c>
      <c r="C1248" t="s">
        <v>10199</v>
      </c>
      <c r="D1248">
        <v>0</v>
      </c>
    </row>
    <row r="1249" spans="2:4" ht="15" customHeight="1">
      <c r="B1249" t="s">
        <v>10208</v>
      </c>
      <c r="C1249" t="s">
        <v>10208</v>
      </c>
      <c r="D1249">
        <v>0</v>
      </c>
    </row>
    <row r="1250" spans="2:4" ht="15" customHeight="1">
      <c r="B1250" t="s">
        <v>10212</v>
      </c>
      <c r="C1250" t="s">
        <v>10212</v>
      </c>
      <c r="D1250">
        <v>0</v>
      </c>
    </row>
    <row r="1251" spans="2:4" ht="15" customHeight="1">
      <c r="B1251" t="s">
        <v>10218</v>
      </c>
      <c r="C1251" t="s">
        <v>10218</v>
      </c>
      <c r="D1251">
        <v>0</v>
      </c>
    </row>
    <row r="1252" spans="2:4" ht="15" customHeight="1">
      <c r="B1252" t="s">
        <v>10221</v>
      </c>
      <c r="C1252" t="s">
        <v>10221</v>
      </c>
      <c r="D1252">
        <v>0</v>
      </c>
    </row>
    <row r="1253" spans="2:4" ht="15" customHeight="1">
      <c r="B1253" t="s">
        <v>10690</v>
      </c>
      <c r="C1253" t="s">
        <v>10690</v>
      </c>
      <c r="D1253">
        <v>0</v>
      </c>
    </row>
    <row r="1254" spans="2:4" ht="15" customHeight="1">
      <c r="B1254" t="s">
        <v>10157</v>
      </c>
      <c r="C1254" t="s">
        <v>10157</v>
      </c>
      <c r="D1254">
        <v>0</v>
      </c>
    </row>
    <row r="1255" spans="2:4" ht="15" customHeight="1">
      <c r="B1255" t="s">
        <v>10242</v>
      </c>
      <c r="C1255" t="s">
        <v>10242</v>
      </c>
      <c r="D1255">
        <v>0</v>
      </c>
    </row>
    <row r="1256" spans="2:4" ht="15" customHeight="1">
      <c r="B1256" t="s">
        <v>10243</v>
      </c>
      <c r="C1256" t="s">
        <v>10243</v>
      </c>
      <c r="D1256">
        <v>0</v>
      </c>
    </row>
    <row r="1257" spans="2:4" ht="15" customHeight="1">
      <c r="B1257" t="s">
        <v>10244</v>
      </c>
      <c r="C1257" t="s">
        <v>10244</v>
      </c>
      <c r="D1257">
        <v>0</v>
      </c>
    </row>
    <row r="1258" spans="2:4" ht="15" customHeight="1">
      <c r="B1258" t="s">
        <v>10266</v>
      </c>
      <c r="C1258" t="s">
        <v>10266</v>
      </c>
      <c r="D1258">
        <v>0</v>
      </c>
    </row>
    <row r="1259" spans="2:4" ht="15" customHeight="1">
      <c r="B1259" t="s">
        <v>10267</v>
      </c>
      <c r="C1259" t="s">
        <v>10267</v>
      </c>
      <c r="D1259">
        <v>0</v>
      </c>
    </row>
    <row r="1260" spans="2:4" ht="15" customHeight="1">
      <c r="B1260" t="s">
        <v>10268</v>
      </c>
      <c r="C1260" t="s">
        <v>10268</v>
      </c>
      <c r="D1260">
        <v>0</v>
      </c>
    </row>
    <row r="1261" spans="2:4" ht="15" customHeight="1">
      <c r="B1261" t="s">
        <v>10269</v>
      </c>
      <c r="C1261" t="s">
        <v>10269</v>
      </c>
      <c r="D1261">
        <v>0</v>
      </c>
    </row>
    <row r="1262" spans="2:4" ht="15" customHeight="1">
      <c r="B1262" t="s">
        <v>897</v>
      </c>
      <c r="C1262" t="s">
        <v>897</v>
      </c>
      <c r="D1262">
        <v>0</v>
      </c>
    </row>
    <row r="1263" spans="2:4" ht="15" customHeight="1">
      <c r="B1263" t="s">
        <v>898</v>
      </c>
      <c r="C1263" t="s">
        <v>898</v>
      </c>
      <c r="D1263">
        <v>0</v>
      </c>
    </row>
    <row r="1264" spans="2:4" ht="15" customHeight="1">
      <c r="B1264" t="s">
        <v>1513</v>
      </c>
      <c r="C1264" t="s">
        <v>1513</v>
      </c>
      <c r="D1264">
        <v>0</v>
      </c>
    </row>
    <row r="1265" spans="2:4" ht="15" customHeight="1">
      <c r="B1265" t="s">
        <v>1019</v>
      </c>
      <c r="C1265" t="s">
        <v>1019</v>
      </c>
      <c r="D1265">
        <v>0</v>
      </c>
    </row>
    <row r="1266" spans="2:4" ht="15" customHeight="1">
      <c r="B1266" t="s">
        <v>10745</v>
      </c>
      <c r="C1266" t="s">
        <v>10745</v>
      </c>
      <c r="D1266">
        <v>0</v>
      </c>
    </row>
    <row r="1267" spans="2:4" ht="15" customHeight="1">
      <c r="B1267" t="s">
        <v>10747</v>
      </c>
      <c r="C1267" t="s">
        <v>10747</v>
      </c>
      <c r="D1267">
        <v>0</v>
      </c>
    </row>
    <row r="1268" spans="2:4" ht="15" customHeight="1">
      <c r="B1268" t="s">
        <v>7845</v>
      </c>
      <c r="C1268" t="s">
        <v>7845</v>
      </c>
      <c r="D1268">
        <v>0</v>
      </c>
    </row>
    <row r="1269" spans="2:4" ht="15" customHeight="1">
      <c r="B1269" t="s">
        <v>10750</v>
      </c>
      <c r="C1269" t="s">
        <v>10750</v>
      </c>
      <c r="D1269">
        <v>0</v>
      </c>
    </row>
    <row r="1270" spans="2:4" ht="15" customHeight="1">
      <c r="B1270" t="s">
        <v>10752</v>
      </c>
      <c r="C1270" t="s">
        <v>10752</v>
      </c>
      <c r="D1270">
        <v>0</v>
      </c>
    </row>
    <row r="1271" spans="2:4" ht="15" customHeight="1">
      <c r="B1271" t="s">
        <v>7851</v>
      </c>
      <c r="C1271" t="s">
        <v>7851</v>
      </c>
      <c r="D1271">
        <v>0</v>
      </c>
    </row>
    <row r="1272" spans="2:4" ht="15" customHeight="1">
      <c r="B1272" t="s">
        <v>10754</v>
      </c>
      <c r="C1272" t="s">
        <v>10754</v>
      </c>
      <c r="D1272">
        <v>0</v>
      </c>
    </row>
    <row r="1273" spans="2:4" ht="15" customHeight="1">
      <c r="B1273" t="s">
        <v>10756</v>
      </c>
      <c r="C1273" t="s">
        <v>10756</v>
      </c>
      <c r="D1273">
        <v>0</v>
      </c>
    </row>
    <row r="1274" spans="2:4" ht="15" customHeight="1">
      <c r="B1274" t="s">
        <v>10758</v>
      </c>
      <c r="C1274" t="s">
        <v>10758</v>
      </c>
      <c r="D1274">
        <v>0</v>
      </c>
    </row>
    <row r="1275" spans="2:4" ht="15" customHeight="1">
      <c r="B1275" t="s">
        <v>9305</v>
      </c>
      <c r="C1275" t="s">
        <v>9305</v>
      </c>
      <c r="D1275">
        <v>0</v>
      </c>
    </row>
    <row r="1276" spans="2:4" ht="15" customHeight="1">
      <c r="B1276" t="s">
        <v>10761</v>
      </c>
      <c r="C1276" t="s">
        <v>10761</v>
      </c>
      <c r="D1276">
        <v>0</v>
      </c>
    </row>
    <row r="1277" spans="2:4" ht="15" customHeight="1">
      <c r="B1277" t="s">
        <v>10763</v>
      </c>
      <c r="C1277" t="s">
        <v>10763</v>
      </c>
      <c r="D1277">
        <v>0</v>
      </c>
    </row>
    <row r="1278" spans="2:4" ht="15" customHeight="1">
      <c r="B1278" t="s">
        <v>781</v>
      </c>
      <c r="C1278" t="s">
        <v>781</v>
      </c>
      <c r="D1278">
        <v>0</v>
      </c>
    </row>
    <row r="1279" spans="2:4" ht="15" customHeight="1">
      <c r="B1279" t="s">
        <v>776</v>
      </c>
      <c r="C1279" t="s">
        <v>776</v>
      </c>
      <c r="D1279">
        <v>0</v>
      </c>
    </row>
    <row r="1280" spans="2:4" ht="15" customHeight="1">
      <c r="B1280" t="s">
        <v>777</v>
      </c>
      <c r="C1280" t="s">
        <v>777</v>
      </c>
      <c r="D1280">
        <v>0</v>
      </c>
    </row>
    <row r="1281" spans="2:4" ht="15" customHeight="1">
      <c r="B1281" t="s">
        <v>5512</v>
      </c>
      <c r="C1281" t="s">
        <v>10856</v>
      </c>
      <c r="D1281">
        <v>0</v>
      </c>
    </row>
    <row r="1282" spans="2:4" ht="15" customHeight="1">
      <c r="B1282" t="s">
        <v>791</v>
      </c>
      <c r="C1282" t="s">
        <v>791</v>
      </c>
      <c r="D1282">
        <v>0</v>
      </c>
    </row>
    <row r="1283" spans="2:4" ht="15" customHeight="1">
      <c r="B1283" t="s">
        <v>742</v>
      </c>
      <c r="C1283" t="s">
        <v>742</v>
      </c>
      <c r="D1283">
        <v>0</v>
      </c>
    </row>
    <row r="1284" spans="2:4" ht="15" customHeight="1">
      <c r="B1284" t="s">
        <v>1438</v>
      </c>
      <c r="C1284" t="s">
        <v>1438</v>
      </c>
      <c r="D1284">
        <v>0</v>
      </c>
    </row>
    <row r="1285" spans="2:4" ht="15" customHeight="1">
      <c r="B1285" t="s">
        <v>10146</v>
      </c>
      <c r="C1285" t="s">
        <v>10146</v>
      </c>
      <c r="D1285">
        <v>0</v>
      </c>
    </row>
    <row r="1286" spans="2:4" ht="15" customHeight="1">
      <c r="B1286" t="s">
        <v>10777</v>
      </c>
      <c r="C1286" t="s">
        <v>10777</v>
      </c>
      <c r="D1286">
        <v>0</v>
      </c>
    </row>
    <row r="1287" spans="2:4" ht="15" customHeight="1">
      <c r="B1287" t="s">
        <v>534</v>
      </c>
      <c r="C1287" t="s">
        <v>534</v>
      </c>
      <c r="D1287">
        <v>0</v>
      </c>
    </row>
    <row r="1288" spans="2:4" ht="15" customHeight="1">
      <c r="B1288" t="s">
        <v>996</v>
      </c>
      <c r="C1288" t="s">
        <v>996</v>
      </c>
      <c r="D1288">
        <v>0</v>
      </c>
    </row>
    <row r="1289" spans="2:4" ht="15" customHeight="1">
      <c r="B1289" t="s">
        <v>761</v>
      </c>
      <c r="C1289" t="s">
        <v>761</v>
      </c>
      <c r="D1289">
        <v>0</v>
      </c>
    </row>
    <row r="1290" spans="2:4" ht="15" customHeight="1">
      <c r="B1290" t="s">
        <v>10164</v>
      </c>
      <c r="C1290" t="s">
        <v>10164</v>
      </c>
      <c r="D1290">
        <v>0</v>
      </c>
    </row>
    <row r="1291" spans="2:4" ht="15" customHeight="1">
      <c r="B1291" t="s">
        <v>913</v>
      </c>
      <c r="C1291" t="s">
        <v>913</v>
      </c>
      <c r="D1291">
        <v>0</v>
      </c>
    </row>
    <row r="1292" spans="2:4" ht="15" customHeight="1">
      <c r="B1292" t="s">
        <v>561</v>
      </c>
      <c r="C1292" t="s">
        <v>561</v>
      </c>
      <c r="D1292">
        <v>0</v>
      </c>
    </row>
    <row r="1293" spans="2:4" ht="15" customHeight="1">
      <c r="B1293" t="s">
        <v>10688</v>
      </c>
      <c r="C1293" t="s">
        <v>10688</v>
      </c>
      <c r="D1293">
        <v>0</v>
      </c>
    </row>
    <row r="1294" spans="2:4" ht="15" customHeight="1">
      <c r="B1294" t="s">
        <v>10687</v>
      </c>
      <c r="C1294" t="s">
        <v>10687</v>
      </c>
      <c r="D1294">
        <v>0</v>
      </c>
    </row>
    <row r="1295" spans="2:4" ht="15" customHeight="1">
      <c r="B1295" t="s">
        <v>930</v>
      </c>
      <c r="C1295" t="s">
        <v>930</v>
      </c>
      <c r="D1295">
        <v>0</v>
      </c>
    </row>
    <row r="1296" spans="2:4" ht="15" customHeight="1">
      <c r="B1296" t="s">
        <v>10788</v>
      </c>
      <c r="C1296" t="s">
        <v>10788</v>
      </c>
      <c r="D1296">
        <v>0</v>
      </c>
    </row>
    <row r="1297" spans="2:4" ht="15" customHeight="1">
      <c r="B1297" t="s">
        <v>10792</v>
      </c>
      <c r="C1297" t="s">
        <v>10792</v>
      </c>
      <c r="D1297">
        <v>0</v>
      </c>
    </row>
    <row r="1298" spans="2:4" ht="15" customHeight="1">
      <c r="B1298" t="s">
        <v>883</v>
      </c>
      <c r="C1298" t="s">
        <v>883</v>
      </c>
      <c r="D1298">
        <v>0</v>
      </c>
    </row>
    <row r="1299" spans="2:4" ht="15" customHeight="1">
      <c r="B1299" t="s">
        <v>10800</v>
      </c>
      <c r="C1299" t="s">
        <v>10800</v>
      </c>
      <c r="D1299">
        <v>0</v>
      </c>
    </row>
    <row r="1300" spans="2:4" ht="15" customHeight="1">
      <c r="B1300" t="s">
        <v>10802</v>
      </c>
      <c r="C1300" t="s">
        <v>10802</v>
      </c>
      <c r="D1300">
        <v>0</v>
      </c>
    </row>
    <row r="1301" spans="2:4" ht="15" customHeight="1">
      <c r="B1301" t="s">
        <v>10805</v>
      </c>
      <c r="C1301" t="s">
        <v>10805</v>
      </c>
      <c r="D1301">
        <v>0</v>
      </c>
    </row>
    <row r="1302" spans="2:4" ht="15" customHeight="1">
      <c r="B1302" t="s">
        <v>10809</v>
      </c>
      <c r="C1302" t="s">
        <v>10809</v>
      </c>
      <c r="D1302">
        <v>0</v>
      </c>
    </row>
    <row r="1303" spans="2:4" ht="15" customHeight="1">
      <c r="B1303" t="s">
        <v>10811</v>
      </c>
      <c r="C1303" t="s">
        <v>10811</v>
      </c>
      <c r="D1303">
        <v>0</v>
      </c>
    </row>
    <row r="1304" spans="2:4" ht="15" customHeight="1">
      <c r="B1304" t="s">
        <v>786</v>
      </c>
      <c r="C1304" t="s">
        <v>786</v>
      </c>
      <c r="D1304">
        <v>0</v>
      </c>
    </row>
    <row r="1305" spans="2:4" ht="15" customHeight="1">
      <c r="B1305" t="s">
        <v>1975</v>
      </c>
      <c r="C1305" t="s">
        <v>1975</v>
      </c>
      <c r="D1305">
        <v>0</v>
      </c>
    </row>
    <row r="1306" spans="2:4" ht="15" customHeight="1">
      <c r="B1306" t="s">
        <v>10815</v>
      </c>
      <c r="C1306" t="s">
        <v>10815</v>
      </c>
      <c r="D1306">
        <v>0</v>
      </c>
    </row>
    <row r="1307" spans="2:4" ht="15" customHeight="1">
      <c r="B1307" t="s">
        <v>5544</v>
      </c>
      <c r="C1307" t="s">
        <v>5544</v>
      </c>
      <c r="D1307">
        <v>0</v>
      </c>
    </row>
    <row r="1308" spans="2:4" ht="15" customHeight="1">
      <c r="B1308" t="s">
        <v>10819</v>
      </c>
      <c r="C1308" t="s">
        <v>10819</v>
      </c>
      <c r="D1308">
        <v>0</v>
      </c>
    </row>
    <row r="1309" spans="2:4" ht="15" customHeight="1">
      <c r="B1309" t="s">
        <v>6657</v>
      </c>
      <c r="C1309" t="s">
        <v>6657</v>
      </c>
      <c r="D1309">
        <v>0</v>
      </c>
    </row>
    <row r="1310" spans="2:4" ht="15" customHeight="1">
      <c r="B1310" t="s">
        <v>6629</v>
      </c>
      <c r="C1310" t="s">
        <v>6629</v>
      </c>
      <c r="D1310">
        <v>0</v>
      </c>
    </row>
    <row r="1311" spans="2:4" ht="15" customHeight="1">
      <c r="B1311" t="s">
        <v>536</v>
      </c>
      <c r="C1311" t="s">
        <v>536</v>
      </c>
      <c r="D1311">
        <v>0</v>
      </c>
    </row>
    <row r="1312" spans="2:4" ht="15" customHeight="1">
      <c r="B1312" t="s">
        <v>10829</v>
      </c>
      <c r="C1312" t="s">
        <v>10829</v>
      </c>
      <c r="D1312">
        <v>0</v>
      </c>
    </row>
    <row r="1313" spans="2:4" ht="15" customHeight="1">
      <c r="B1313" t="s">
        <v>10843</v>
      </c>
      <c r="C1313" t="s">
        <v>10843</v>
      </c>
      <c r="D1313">
        <v>0</v>
      </c>
    </row>
    <row r="1314" spans="2:4" ht="15" customHeight="1">
      <c r="B1314" t="s">
        <v>6631</v>
      </c>
      <c r="C1314" t="s">
        <v>10859</v>
      </c>
      <c r="D1314">
        <v>0</v>
      </c>
    </row>
    <row r="1315" spans="2:4" ht="15" customHeight="1">
      <c r="B1315" t="s">
        <v>753</v>
      </c>
      <c r="C1315" t="s">
        <v>753</v>
      </c>
      <c r="D1315">
        <v>0</v>
      </c>
    </row>
    <row r="1316" spans="2:4" ht="15" customHeight="1">
      <c r="B1316" t="s">
        <v>534</v>
      </c>
      <c r="C1316" t="s">
        <v>534</v>
      </c>
      <c r="D1316">
        <v>0</v>
      </c>
    </row>
    <row r="1317" spans="2:4" ht="15" customHeight="1">
      <c r="B1317" t="s">
        <v>655</v>
      </c>
      <c r="C1317" t="s">
        <v>655</v>
      </c>
      <c r="D1317">
        <v>0</v>
      </c>
    </row>
    <row r="1318" spans="2:4" ht="15" customHeight="1">
      <c r="B1318" t="s">
        <v>798</v>
      </c>
      <c r="C1318" t="s">
        <v>798</v>
      </c>
      <c r="D1318">
        <v>0</v>
      </c>
    </row>
    <row r="1319" spans="2:4" ht="15" customHeight="1">
      <c r="B1319" t="s">
        <v>1438</v>
      </c>
      <c r="C1319" t="s">
        <v>1438</v>
      </c>
      <c r="D1319">
        <v>0</v>
      </c>
    </row>
    <row r="1320" spans="2:4" ht="15" customHeight="1">
      <c r="B1320" t="s">
        <v>5046</v>
      </c>
      <c r="C1320" t="s">
        <v>5046</v>
      </c>
      <c r="D1320">
        <v>0</v>
      </c>
    </row>
    <row r="1321" spans="2:4" ht="15" customHeight="1">
      <c r="B1321" t="s">
        <v>776</v>
      </c>
      <c r="C1321" t="s">
        <v>776</v>
      </c>
      <c r="D1321">
        <v>0</v>
      </c>
    </row>
    <row r="1322" spans="2:4" ht="15" customHeight="1">
      <c r="B1322" t="s">
        <v>5334</v>
      </c>
      <c r="C1322" t="s">
        <v>5334</v>
      </c>
      <c r="D1322">
        <v>0</v>
      </c>
    </row>
    <row r="1323" spans="2:4" ht="15" customHeight="1">
      <c r="B1323" t="s">
        <v>536</v>
      </c>
      <c r="C1323" t="s">
        <v>536</v>
      </c>
      <c r="D1323">
        <v>0</v>
      </c>
    </row>
    <row r="1324" spans="2:4" ht="15" customHeight="1">
      <c r="B1324" t="s">
        <v>5328</v>
      </c>
      <c r="C1324" t="s">
        <v>5328</v>
      </c>
      <c r="D1324">
        <v>0</v>
      </c>
    </row>
    <row r="1325" spans="2:4" ht="15" customHeight="1">
      <c r="B1325" t="s">
        <v>911</v>
      </c>
      <c r="C1325" t="s">
        <v>911</v>
      </c>
      <c r="D1325">
        <v>0</v>
      </c>
    </row>
    <row r="1326" spans="2:4" ht="15" customHeight="1">
      <c r="B1326" t="s">
        <v>10865</v>
      </c>
      <c r="C1326" t="s">
        <v>10865</v>
      </c>
      <c r="D1326">
        <v>0</v>
      </c>
    </row>
    <row r="1327" spans="2:4" ht="15" customHeight="1">
      <c r="B1327" t="s">
        <v>536</v>
      </c>
      <c r="C1327" t="s">
        <v>536</v>
      </c>
      <c r="D1327">
        <v>0</v>
      </c>
    </row>
    <row r="1328" spans="2:4" ht="15" customHeight="1">
      <c r="B1328" t="s">
        <v>897</v>
      </c>
      <c r="C1328" t="s">
        <v>897</v>
      </c>
      <c r="D1328">
        <v>0</v>
      </c>
    </row>
    <row r="1329" spans="2:4" ht="15" customHeight="1">
      <c r="B1329" t="s">
        <v>775</v>
      </c>
      <c r="C1329" t="s">
        <v>775</v>
      </c>
      <c r="D1329">
        <v>0</v>
      </c>
    </row>
    <row r="1330" spans="2:4" ht="15" customHeight="1">
      <c r="B1330" t="s">
        <v>10866</v>
      </c>
      <c r="C1330" t="s">
        <v>10866</v>
      </c>
      <c r="D1330">
        <v>0</v>
      </c>
    </row>
    <row r="1331" spans="2:4" ht="15" customHeight="1">
      <c r="B1331" t="s">
        <v>862</v>
      </c>
      <c r="C1331" t="s">
        <v>862</v>
      </c>
      <c r="D1331">
        <v>0</v>
      </c>
    </row>
    <row r="1332" spans="2:4" ht="15" customHeight="1">
      <c r="B1332" t="s">
        <v>10868</v>
      </c>
      <c r="C1332" t="s">
        <v>10868</v>
      </c>
      <c r="D1332">
        <v>0</v>
      </c>
    </row>
    <row r="1333" spans="2:4" ht="15" customHeight="1">
      <c r="B1333" t="s">
        <v>10843</v>
      </c>
      <c r="C1333" t="s">
        <v>10843</v>
      </c>
      <c r="D1333">
        <v>0</v>
      </c>
    </row>
    <row r="1334" spans="2:4" ht="15" customHeight="1">
      <c r="B1334" t="s">
        <v>10869</v>
      </c>
      <c r="C1334" t="s">
        <v>10869</v>
      </c>
      <c r="D1334">
        <v>0</v>
      </c>
    </row>
    <row r="1335" spans="2:4" ht="15" customHeight="1">
      <c r="B1335" t="s">
        <v>10870</v>
      </c>
      <c r="C1335" t="s">
        <v>10870</v>
      </c>
      <c r="D1335">
        <v>0</v>
      </c>
    </row>
    <row r="1336" spans="2:4" ht="15" customHeight="1">
      <c r="B1336" t="s">
        <v>10871</v>
      </c>
      <c r="C1336" t="s">
        <v>10871</v>
      </c>
      <c r="D1336">
        <v>0</v>
      </c>
    </row>
    <row r="1337" spans="2:4" ht="15" customHeight="1">
      <c r="B1337" t="s">
        <v>6657</v>
      </c>
      <c r="C1337" t="s">
        <v>6657</v>
      </c>
      <c r="D1337">
        <v>0</v>
      </c>
    </row>
    <row r="1338" spans="2:4" ht="15" customHeight="1">
      <c r="B1338" t="s">
        <v>769</v>
      </c>
      <c r="C1338" t="s">
        <v>769</v>
      </c>
      <c r="D1338">
        <v>0</v>
      </c>
    </row>
    <row r="1339" spans="2:4" ht="15" customHeight="1">
      <c r="B1339" t="s">
        <v>788</v>
      </c>
      <c r="C1339" t="s">
        <v>788</v>
      </c>
      <c r="D1339">
        <v>0</v>
      </c>
    </row>
    <row r="1340" spans="2:4" ht="15" customHeight="1">
      <c r="B1340">
        <v>4</v>
      </c>
      <c r="C1340">
        <v>4</v>
      </c>
      <c r="D1340">
        <v>0</v>
      </c>
    </row>
    <row r="1341" spans="2:4" ht="15" customHeight="1">
      <c r="B1341" t="s">
        <v>10685</v>
      </c>
      <c r="C1341" t="s">
        <v>10685</v>
      </c>
      <c r="D1341">
        <v>0</v>
      </c>
    </row>
    <row r="1342" spans="2:4" ht="15" customHeight="1">
      <c r="B1342" t="s">
        <v>10872</v>
      </c>
      <c r="C1342" t="s">
        <v>10872</v>
      </c>
      <c r="D1342">
        <v>0</v>
      </c>
    </row>
    <row r="1343" spans="2:4" ht="15" customHeight="1">
      <c r="B1343" t="s">
        <v>888</v>
      </c>
      <c r="C1343" t="s">
        <v>888</v>
      </c>
      <c r="D1343">
        <v>0</v>
      </c>
    </row>
    <row r="1344" spans="2:4" ht="15" customHeight="1">
      <c r="B1344" t="s">
        <v>1438</v>
      </c>
      <c r="C1344" t="s">
        <v>1438</v>
      </c>
      <c r="D1344">
        <v>0</v>
      </c>
    </row>
    <row r="1345" spans="2:4" ht="15" customHeight="1">
      <c r="B1345" t="s">
        <v>6454</v>
      </c>
      <c r="C1345" t="s">
        <v>6454</v>
      </c>
      <c r="D1345">
        <v>0</v>
      </c>
    </row>
    <row r="1346" spans="2:4" ht="15" customHeight="1">
      <c r="B1346" t="s">
        <v>861</v>
      </c>
      <c r="C1346" t="s">
        <v>861</v>
      </c>
      <c r="D1346">
        <v>0</v>
      </c>
    </row>
    <row r="1347" spans="2:4" ht="15" customHeight="1">
      <c r="B1347" t="s">
        <v>862</v>
      </c>
      <c r="C1347" t="s">
        <v>862</v>
      </c>
      <c r="D1347">
        <v>0</v>
      </c>
    </row>
    <row r="1348" spans="2:4" ht="15" customHeight="1">
      <c r="B1348" t="s">
        <v>10957</v>
      </c>
      <c r="C1348" t="s">
        <v>10957</v>
      </c>
      <c r="D1348">
        <v>0</v>
      </c>
    </row>
    <row r="1349" spans="2:4" ht="15" customHeight="1">
      <c r="B1349" t="s">
        <v>777</v>
      </c>
      <c r="C1349" t="s">
        <v>777</v>
      </c>
      <c r="D1349">
        <v>0</v>
      </c>
    </row>
    <row r="1350" spans="2:4" ht="15" customHeight="1">
      <c r="B1350" t="s">
        <v>561</v>
      </c>
      <c r="C1350" t="s">
        <v>561</v>
      </c>
      <c r="D1350">
        <v>0</v>
      </c>
    </row>
    <row r="1351" spans="2:4" ht="15" customHeight="1">
      <c r="B1351" t="s">
        <v>10958</v>
      </c>
      <c r="C1351" t="s">
        <v>10958</v>
      </c>
      <c r="D1351">
        <v>0</v>
      </c>
    </row>
    <row r="1352" spans="2:4" ht="15" customHeight="1">
      <c r="B1352" t="s">
        <v>794</v>
      </c>
      <c r="C1352" t="s">
        <v>11975</v>
      </c>
      <c r="D1352">
        <v>0</v>
      </c>
    </row>
    <row r="1353" spans="2:4" ht="15" customHeight="1">
      <c r="B1353" t="s">
        <v>819</v>
      </c>
      <c r="C1353" t="s">
        <v>819</v>
      </c>
      <c r="D1353">
        <v>0</v>
      </c>
    </row>
    <row r="1354" spans="2:4" ht="15" customHeight="1">
      <c r="B1354" t="s">
        <v>745</v>
      </c>
      <c r="C1354" t="s">
        <v>745</v>
      </c>
      <c r="D1354">
        <v>0</v>
      </c>
    </row>
    <row r="1355" spans="2:4" ht="15" customHeight="1">
      <c r="B1355" t="s">
        <v>930</v>
      </c>
      <c r="C1355" t="s">
        <v>930</v>
      </c>
      <c r="D1355">
        <v>0</v>
      </c>
    </row>
    <row r="1356" spans="2:4" ht="15" customHeight="1">
      <c r="B1356" t="s">
        <v>742</v>
      </c>
      <c r="C1356" t="s">
        <v>742</v>
      </c>
      <c r="D1356">
        <v>0</v>
      </c>
    </row>
    <row r="1357" spans="2:4" ht="15" customHeight="1">
      <c r="B1357" t="s">
        <v>10959</v>
      </c>
      <c r="C1357" t="s">
        <v>10959</v>
      </c>
      <c r="D1357">
        <v>0</v>
      </c>
    </row>
    <row r="1358" spans="2:4" ht="15" customHeight="1">
      <c r="B1358" t="s">
        <v>769</v>
      </c>
      <c r="C1358" t="s">
        <v>769</v>
      </c>
      <c r="D1358">
        <v>0</v>
      </c>
    </row>
    <row r="1359" spans="2:4" ht="15" customHeight="1">
      <c r="B1359" t="s">
        <v>10960</v>
      </c>
      <c r="C1359" t="s">
        <v>10960</v>
      </c>
      <c r="D1359">
        <v>0</v>
      </c>
    </row>
    <row r="1360" spans="2:4" ht="15" customHeight="1">
      <c r="B1360" t="s">
        <v>10961</v>
      </c>
      <c r="C1360" t="s">
        <v>10961</v>
      </c>
      <c r="D1360">
        <v>0</v>
      </c>
    </row>
    <row r="1361" spans="2:4" ht="15" customHeight="1">
      <c r="B1361" t="s">
        <v>900</v>
      </c>
      <c r="C1361" t="s">
        <v>900</v>
      </c>
      <c r="D1361">
        <v>0</v>
      </c>
    </row>
    <row r="1362" spans="2:4" ht="15" customHeight="1">
      <c r="B1362" t="s">
        <v>10962</v>
      </c>
      <c r="C1362" t="s">
        <v>10962</v>
      </c>
      <c r="D1362">
        <v>0</v>
      </c>
    </row>
    <row r="1363" spans="2:4" ht="15" customHeight="1">
      <c r="B1363" t="s">
        <v>766</v>
      </c>
      <c r="C1363" t="s">
        <v>766</v>
      </c>
      <c r="D1363">
        <v>0</v>
      </c>
    </row>
    <row r="1364" spans="2:4" ht="15" customHeight="1">
      <c r="B1364" t="s">
        <v>6924</v>
      </c>
      <c r="C1364" t="s">
        <v>6924</v>
      </c>
      <c r="D1364">
        <v>0</v>
      </c>
    </row>
    <row r="1365" spans="2:4" ht="15" customHeight="1">
      <c r="B1365" t="s">
        <v>1019</v>
      </c>
      <c r="C1365" t="s">
        <v>1019</v>
      </c>
      <c r="D1365">
        <v>0</v>
      </c>
    </row>
    <row r="1366" spans="2:4" ht="15" customHeight="1">
      <c r="B1366" t="s">
        <v>795</v>
      </c>
      <c r="C1366" t="s">
        <v>11976</v>
      </c>
      <c r="D1366">
        <v>0</v>
      </c>
    </row>
    <row r="1367" spans="2:4" ht="15" customHeight="1">
      <c r="B1367" t="s">
        <v>1965</v>
      </c>
      <c r="C1367" t="s">
        <v>1965</v>
      </c>
      <c r="D1367">
        <v>0</v>
      </c>
    </row>
    <row r="1368" spans="2:4" ht="15" customHeight="1">
      <c r="B1368" t="s">
        <v>10963</v>
      </c>
      <c r="C1368" t="s">
        <v>10963</v>
      </c>
      <c r="D1368">
        <v>0</v>
      </c>
    </row>
    <row r="1369" spans="2:4" ht="15" customHeight="1">
      <c r="B1369" t="s">
        <v>897</v>
      </c>
      <c r="C1369" t="s">
        <v>897</v>
      </c>
      <c r="D1369">
        <v>0</v>
      </c>
    </row>
    <row r="1370" spans="2:4" ht="15" customHeight="1">
      <c r="B1370" t="s">
        <v>778</v>
      </c>
      <c r="C1370" t="s">
        <v>778</v>
      </c>
      <c r="D1370">
        <v>0</v>
      </c>
    </row>
    <row r="1371" spans="2:4" ht="15" customHeight="1">
      <c r="B1371" t="s">
        <v>764</v>
      </c>
      <c r="C1371" t="s">
        <v>764</v>
      </c>
      <c r="D1371">
        <v>0</v>
      </c>
    </row>
    <row r="1372" spans="2:4" ht="15" customHeight="1">
      <c r="B1372" t="s">
        <v>798</v>
      </c>
      <c r="C1372" t="s">
        <v>798</v>
      </c>
      <c r="D1372">
        <v>0</v>
      </c>
    </row>
    <row r="1373" spans="2:4" ht="15" customHeight="1">
      <c r="B1373" t="s">
        <v>761</v>
      </c>
      <c r="C1373" t="s">
        <v>761</v>
      </c>
      <c r="D1373">
        <v>0</v>
      </c>
    </row>
    <row r="1374" spans="2:4" ht="15" customHeight="1">
      <c r="B1374" t="s">
        <v>7265</v>
      </c>
      <c r="C1374" t="s">
        <v>7265</v>
      </c>
      <c r="D1374">
        <v>0</v>
      </c>
    </row>
    <row r="1375" spans="2:4" ht="15" customHeight="1">
      <c r="B1375" t="s">
        <v>8784</v>
      </c>
      <c r="C1375" t="s">
        <v>8784</v>
      </c>
      <c r="D1375">
        <v>0</v>
      </c>
    </row>
    <row r="1376" spans="2:4" ht="15" customHeight="1">
      <c r="B1376" t="s">
        <v>10964</v>
      </c>
      <c r="C1376" t="s">
        <v>10964</v>
      </c>
      <c r="D1376">
        <v>0</v>
      </c>
    </row>
    <row r="1377" spans="2:4" ht="15" customHeight="1">
      <c r="B1377" t="s">
        <v>1438</v>
      </c>
      <c r="C1377" t="s">
        <v>1438</v>
      </c>
      <c r="D1377">
        <v>0</v>
      </c>
    </row>
    <row r="1378" spans="2:4" ht="15" customHeight="1">
      <c r="B1378" t="s">
        <v>796</v>
      </c>
      <c r="C1378" t="s">
        <v>796</v>
      </c>
      <c r="D1378">
        <v>0</v>
      </c>
    </row>
    <row r="1379" spans="2:4" ht="15" customHeight="1">
      <c r="B1379" t="s">
        <v>996</v>
      </c>
      <c r="C1379" t="s">
        <v>996</v>
      </c>
      <c r="D1379">
        <v>0</v>
      </c>
    </row>
    <row r="1380" spans="2:4" ht="15" customHeight="1">
      <c r="B1380" t="s">
        <v>10965</v>
      </c>
      <c r="C1380" t="s">
        <v>10965</v>
      </c>
      <c r="D1380">
        <v>0</v>
      </c>
    </row>
    <row r="1381" spans="2:4" ht="15" customHeight="1">
      <c r="B1381" t="s">
        <v>10966</v>
      </c>
      <c r="C1381" t="s">
        <v>10966</v>
      </c>
      <c r="D1381">
        <v>0</v>
      </c>
    </row>
    <row r="1382" spans="2:4" ht="15" customHeight="1">
      <c r="B1382" t="s">
        <v>10967</v>
      </c>
      <c r="C1382" t="s">
        <v>10967</v>
      </c>
      <c r="D1382">
        <v>0</v>
      </c>
    </row>
    <row r="1383" spans="2:4" ht="15" customHeight="1">
      <c r="B1383" t="s">
        <v>6689</v>
      </c>
      <c r="C1383" t="s">
        <v>6689</v>
      </c>
      <c r="D1383">
        <v>0</v>
      </c>
    </row>
    <row r="1384" spans="2:4" ht="15" customHeight="1">
      <c r="B1384" t="s">
        <v>10968</v>
      </c>
      <c r="C1384" t="s">
        <v>10968</v>
      </c>
      <c r="D1384">
        <v>0</v>
      </c>
    </row>
    <row r="1385" spans="2:4" ht="15" customHeight="1">
      <c r="B1385" t="s">
        <v>10969</v>
      </c>
      <c r="C1385" t="s">
        <v>10969</v>
      </c>
      <c r="D1385">
        <v>0</v>
      </c>
    </row>
    <row r="1386" spans="2:4" ht="15" customHeight="1">
      <c r="B1386" t="s">
        <v>10970</v>
      </c>
      <c r="C1386" t="s">
        <v>10970</v>
      </c>
      <c r="D1386">
        <v>0</v>
      </c>
    </row>
    <row r="1387" spans="2:4" ht="15" customHeight="1">
      <c r="B1387" t="s">
        <v>10971</v>
      </c>
      <c r="C1387" t="s">
        <v>10971</v>
      </c>
      <c r="D1387">
        <v>0</v>
      </c>
    </row>
    <row r="1388" spans="2:4" ht="15" customHeight="1">
      <c r="B1388" t="s">
        <v>10972</v>
      </c>
      <c r="C1388" t="s">
        <v>10972</v>
      </c>
      <c r="D1388">
        <v>0</v>
      </c>
    </row>
    <row r="1389" spans="2:4" ht="15" customHeight="1">
      <c r="B1389" t="s">
        <v>10973</v>
      </c>
      <c r="C1389" t="s">
        <v>10973</v>
      </c>
      <c r="D1389">
        <v>0</v>
      </c>
    </row>
    <row r="1390" spans="2:4" ht="15" customHeight="1">
      <c r="B1390" t="s">
        <v>10974</v>
      </c>
      <c r="C1390" t="s">
        <v>10974</v>
      </c>
      <c r="D1390">
        <v>0</v>
      </c>
    </row>
    <row r="1391" spans="2:4" ht="15" customHeight="1">
      <c r="B1391" t="s">
        <v>10975</v>
      </c>
      <c r="C1391" t="s">
        <v>10975</v>
      </c>
      <c r="D1391">
        <v>0</v>
      </c>
    </row>
    <row r="1392" spans="2:4" ht="15" customHeight="1">
      <c r="B1392" t="s">
        <v>10976</v>
      </c>
      <c r="C1392" t="s">
        <v>10976</v>
      </c>
      <c r="D1392">
        <v>0</v>
      </c>
    </row>
    <row r="1393" spans="2:4" ht="15" customHeight="1">
      <c r="B1393" t="s">
        <v>10977</v>
      </c>
      <c r="C1393" t="s">
        <v>10977</v>
      </c>
      <c r="D1393">
        <v>0</v>
      </c>
    </row>
    <row r="1394" spans="2:4" ht="15" customHeight="1">
      <c r="B1394" t="s">
        <v>10978</v>
      </c>
      <c r="C1394" t="s">
        <v>10978</v>
      </c>
      <c r="D1394">
        <v>0</v>
      </c>
    </row>
    <row r="1395" spans="2:4" ht="15" customHeight="1">
      <c r="B1395" t="s">
        <v>10979</v>
      </c>
      <c r="C1395" t="s">
        <v>10979</v>
      </c>
      <c r="D1395">
        <v>0</v>
      </c>
    </row>
    <row r="1396" spans="2:4" ht="15" customHeight="1">
      <c r="B1396" t="s">
        <v>10980</v>
      </c>
      <c r="C1396" t="s">
        <v>10980</v>
      </c>
      <c r="D1396">
        <v>0</v>
      </c>
    </row>
    <row r="1397" spans="2:4" ht="15" customHeight="1">
      <c r="B1397" t="s">
        <v>770</v>
      </c>
      <c r="C1397" t="s">
        <v>770</v>
      </c>
      <c r="D1397">
        <v>0</v>
      </c>
    </row>
    <row r="1398" spans="2:4" ht="15" customHeight="1">
      <c r="B1398">
        <v>25</v>
      </c>
      <c r="C1398">
        <v>25</v>
      </c>
      <c r="D1398">
        <v>0</v>
      </c>
    </row>
    <row r="1399" spans="2:4" ht="15" customHeight="1">
      <c r="B1399" t="s">
        <v>10981</v>
      </c>
      <c r="C1399" t="s">
        <v>10981</v>
      </c>
      <c r="D1399">
        <v>0</v>
      </c>
    </row>
    <row r="1400" spans="2:4" ht="15" customHeight="1">
      <c r="B1400" t="s">
        <v>10982</v>
      </c>
      <c r="C1400" t="s">
        <v>10982</v>
      </c>
      <c r="D1400">
        <v>0</v>
      </c>
    </row>
    <row r="1401" spans="2:4" ht="15" customHeight="1">
      <c r="B1401" t="s">
        <v>6363</v>
      </c>
      <c r="C1401" t="s">
        <v>6363</v>
      </c>
      <c r="D1401">
        <v>0</v>
      </c>
    </row>
    <row r="1402" spans="2:4" ht="15" customHeight="1">
      <c r="B1402" t="s">
        <v>8902</v>
      </c>
      <c r="C1402" t="s">
        <v>8902</v>
      </c>
      <c r="D1402">
        <v>0</v>
      </c>
    </row>
    <row r="1403" spans="2:4" ht="15" customHeight="1">
      <c r="B1403" t="s">
        <v>10745</v>
      </c>
      <c r="C1403" t="s">
        <v>10745</v>
      </c>
      <c r="D1403">
        <v>0</v>
      </c>
    </row>
    <row r="1404" spans="2:4" ht="15" customHeight="1">
      <c r="B1404" t="s">
        <v>800</v>
      </c>
      <c r="C1404" t="s">
        <v>800</v>
      </c>
      <c r="D1404">
        <v>0</v>
      </c>
    </row>
    <row r="1405" spans="2:4" ht="15" customHeight="1">
      <c r="B1405" t="s">
        <v>10983</v>
      </c>
      <c r="C1405" t="s">
        <v>10983</v>
      </c>
      <c r="D1405">
        <v>0</v>
      </c>
    </row>
    <row r="1406" spans="2:4" ht="15" customHeight="1">
      <c r="B1406" t="s">
        <v>10984</v>
      </c>
      <c r="C1406" t="s">
        <v>10984</v>
      </c>
      <c r="D1406">
        <v>0</v>
      </c>
    </row>
    <row r="1407" spans="2:4" ht="15" customHeight="1">
      <c r="B1407" t="s">
        <v>10985</v>
      </c>
      <c r="C1407" t="s">
        <v>10985</v>
      </c>
      <c r="D1407">
        <v>0</v>
      </c>
    </row>
    <row r="1408" spans="2:4" ht="15" customHeight="1">
      <c r="B1408" t="s">
        <v>10986</v>
      </c>
      <c r="C1408" t="s">
        <v>10986</v>
      </c>
      <c r="D1408">
        <v>0</v>
      </c>
    </row>
    <row r="1409" spans="2:4" ht="15" customHeight="1">
      <c r="B1409" t="s">
        <v>10987</v>
      </c>
      <c r="C1409" t="s">
        <v>10987</v>
      </c>
      <c r="D1409">
        <v>0</v>
      </c>
    </row>
    <row r="1410" spans="2:4" ht="15" customHeight="1">
      <c r="B1410" t="s">
        <v>10988</v>
      </c>
      <c r="C1410" t="s">
        <v>10988</v>
      </c>
      <c r="D1410">
        <v>0</v>
      </c>
    </row>
    <row r="1411" spans="2:4" ht="15" customHeight="1">
      <c r="B1411" t="s">
        <v>10989</v>
      </c>
      <c r="C1411" t="s">
        <v>10989</v>
      </c>
      <c r="D1411">
        <v>0</v>
      </c>
    </row>
    <row r="1412" spans="2:4" ht="15" customHeight="1">
      <c r="B1412" t="s">
        <v>10990</v>
      </c>
      <c r="C1412" t="s">
        <v>10990</v>
      </c>
      <c r="D1412">
        <v>0</v>
      </c>
    </row>
    <row r="1413" spans="2:4" ht="15" customHeight="1">
      <c r="B1413" t="s">
        <v>10991</v>
      </c>
      <c r="C1413" t="s">
        <v>10991</v>
      </c>
      <c r="D1413">
        <v>0</v>
      </c>
    </row>
    <row r="1414" spans="2:4" ht="15" customHeight="1">
      <c r="B1414" t="s">
        <v>10992</v>
      </c>
      <c r="C1414" t="s">
        <v>10992</v>
      </c>
      <c r="D1414">
        <v>0</v>
      </c>
    </row>
    <row r="1415" spans="2:4" ht="15" customHeight="1">
      <c r="B1415" t="s">
        <v>10993</v>
      </c>
      <c r="C1415" t="s">
        <v>10993</v>
      </c>
      <c r="D1415">
        <v>0</v>
      </c>
    </row>
    <row r="1416" spans="2:4" ht="15" customHeight="1">
      <c r="B1416" t="s">
        <v>10994</v>
      </c>
      <c r="C1416" t="s">
        <v>10994</v>
      </c>
      <c r="D1416">
        <v>0</v>
      </c>
    </row>
    <row r="1417" spans="2:4" ht="15" customHeight="1">
      <c r="B1417" t="s">
        <v>10995</v>
      </c>
      <c r="C1417" t="s">
        <v>10995</v>
      </c>
      <c r="D1417">
        <v>0</v>
      </c>
    </row>
    <row r="1418" spans="2:4" ht="15" customHeight="1">
      <c r="B1418" t="s">
        <v>10996</v>
      </c>
      <c r="C1418" t="s">
        <v>10996</v>
      </c>
      <c r="D1418">
        <v>0</v>
      </c>
    </row>
    <row r="1419" spans="2:4" ht="15" customHeight="1">
      <c r="B1419" t="s">
        <v>10997</v>
      </c>
      <c r="C1419" t="s">
        <v>10997</v>
      </c>
      <c r="D1419">
        <v>0</v>
      </c>
    </row>
    <row r="1420" spans="2:4" ht="15" customHeight="1">
      <c r="B1420" t="s">
        <v>10998</v>
      </c>
      <c r="C1420" t="s">
        <v>10998</v>
      </c>
      <c r="D1420">
        <v>0</v>
      </c>
    </row>
    <row r="1421" spans="2:4" ht="15" customHeight="1">
      <c r="B1421" t="s">
        <v>10999</v>
      </c>
      <c r="C1421" t="s">
        <v>10999</v>
      </c>
      <c r="D1421">
        <v>0</v>
      </c>
    </row>
    <row r="1422" spans="2:4" ht="15" customHeight="1">
      <c r="B1422" t="s">
        <v>913</v>
      </c>
      <c r="C1422" t="s">
        <v>913</v>
      </c>
      <c r="D1422">
        <v>0</v>
      </c>
    </row>
    <row r="1423" spans="2:4" ht="15" customHeight="1">
      <c r="B1423" t="s">
        <v>11000</v>
      </c>
      <c r="C1423" t="s">
        <v>11000</v>
      </c>
      <c r="D1423">
        <v>0</v>
      </c>
    </row>
    <row r="1424" spans="2:4" ht="15" customHeight="1">
      <c r="B1424" t="s">
        <v>11001</v>
      </c>
      <c r="C1424" t="s">
        <v>11001</v>
      </c>
      <c r="D1424">
        <v>0</v>
      </c>
    </row>
    <row r="1425" spans="2:4" ht="15" customHeight="1">
      <c r="B1425" t="s">
        <v>911</v>
      </c>
      <c r="C1425" t="s">
        <v>911</v>
      </c>
      <c r="D1425">
        <v>0</v>
      </c>
    </row>
    <row r="1426" spans="2:4" ht="15" customHeight="1">
      <c r="B1426" t="s">
        <v>536</v>
      </c>
      <c r="C1426" t="s">
        <v>536</v>
      </c>
      <c r="D1426">
        <v>0</v>
      </c>
    </row>
    <row r="1427" spans="2:4" ht="15" customHeight="1">
      <c r="B1427" t="s">
        <v>11002</v>
      </c>
      <c r="C1427" t="s">
        <v>11002</v>
      </c>
      <c r="D1427">
        <v>0</v>
      </c>
    </row>
    <row r="1428" spans="2:4" ht="15" customHeight="1">
      <c r="B1428" t="s">
        <v>1999</v>
      </c>
      <c r="C1428" t="s">
        <v>1999</v>
      </c>
      <c r="D1428">
        <v>0</v>
      </c>
    </row>
    <row r="1429" spans="2:4" ht="15" customHeight="1">
      <c r="B1429" t="s">
        <v>933</v>
      </c>
      <c r="C1429" t="s">
        <v>933</v>
      </c>
      <c r="D1429">
        <v>0</v>
      </c>
    </row>
    <row r="1430" spans="2:4" ht="15" customHeight="1">
      <c r="B1430" t="s">
        <v>755</v>
      </c>
      <c r="C1430" t="s">
        <v>755</v>
      </c>
      <c r="D1430">
        <v>0</v>
      </c>
    </row>
    <row r="1431" spans="2:4" ht="15" customHeight="1">
      <c r="B1431" t="s">
        <v>11003</v>
      </c>
      <c r="C1431" t="s">
        <v>11003</v>
      </c>
      <c r="D1431">
        <v>0</v>
      </c>
    </row>
    <row r="1432" spans="2:4" ht="15" customHeight="1">
      <c r="B1432" t="s">
        <v>11004</v>
      </c>
      <c r="C1432" t="s">
        <v>11004</v>
      </c>
      <c r="D1432">
        <v>0</v>
      </c>
    </row>
    <row r="1433" spans="2:4" ht="15" customHeight="1">
      <c r="B1433" t="s">
        <v>6948</v>
      </c>
      <c r="C1433" t="s">
        <v>6948</v>
      </c>
      <c r="D1433">
        <v>0</v>
      </c>
    </row>
    <row r="1434" spans="2:4" ht="15" customHeight="1">
      <c r="B1434" t="s">
        <v>11005</v>
      </c>
      <c r="C1434" t="s">
        <v>11005</v>
      </c>
      <c r="D1434">
        <v>0</v>
      </c>
    </row>
    <row r="1435" spans="2:4" ht="15" customHeight="1">
      <c r="B1435" t="s">
        <v>11006</v>
      </c>
      <c r="C1435" t="s">
        <v>11006</v>
      </c>
      <c r="D1435">
        <v>0</v>
      </c>
    </row>
    <row r="1436" spans="2:4" ht="15" customHeight="1">
      <c r="B1436" t="s">
        <v>11007</v>
      </c>
      <c r="C1436" t="s">
        <v>11007</v>
      </c>
      <c r="D1436">
        <v>0</v>
      </c>
    </row>
    <row r="1437" spans="2:4" ht="15" customHeight="1">
      <c r="B1437" t="s">
        <v>11008</v>
      </c>
      <c r="C1437" t="s">
        <v>11008</v>
      </c>
      <c r="D1437">
        <v>0</v>
      </c>
    </row>
    <row r="1438" spans="2:4" ht="15" customHeight="1">
      <c r="B1438" t="s">
        <v>775</v>
      </c>
      <c r="C1438" t="s">
        <v>775</v>
      </c>
      <c r="D1438">
        <v>0</v>
      </c>
    </row>
    <row r="1439" spans="2:4" ht="15" customHeight="1">
      <c r="B1439" t="s">
        <v>11009</v>
      </c>
      <c r="C1439" t="s">
        <v>11009</v>
      </c>
      <c r="D1439">
        <v>0</v>
      </c>
    </row>
    <row r="1440" spans="2:4" ht="15" customHeight="1">
      <c r="B1440" t="s">
        <v>534</v>
      </c>
      <c r="C1440" t="s">
        <v>534</v>
      </c>
      <c r="D1440">
        <v>0</v>
      </c>
    </row>
    <row r="1441" spans="2:4" ht="15" customHeight="1">
      <c r="B1441" t="s">
        <v>899</v>
      </c>
      <c r="C1441" t="s">
        <v>899</v>
      </c>
      <c r="D1441">
        <v>0</v>
      </c>
    </row>
    <row r="1442" spans="2:4" ht="15" customHeight="1">
      <c r="B1442" t="s">
        <v>994</v>
      </c>
      <c r="C1442" t="s">
        <v>994</v>
      </c>
      <c r="D1442">
        <v>0</v>
      </c>
    </row>
    <row r="1443" spans="2:4" ht="15" customHeight="1">
      <c r="B1443" t="s">
        <v>11010</v>
      </c>
      <c r="C1443" t="s">
        <v>11010</v>
      </c>
      <c r="D1443">
        <v>0</v>
      </c>
    </row>
    <row r="1444" spans="2:4" ht="15" customHeight="1">
      <c r="B1444" t="s">
        <v>898</v>
      </c>
      <c r="C1444" t="s">
        <v>898</v>
      </c>
      <c r="D1444">
        <v>0</v>
      </c>
    </row>
    <row r="1445" spans="2:4" ht="15" customHeight="1">
      <c r="B1445" t="s">
        <v>10029</v>
      </c>
      <c r="C1445" t="s">
        <v>10029</v>
      </c>
      <c r="D1445">
        <v>0</v>
      </c>
    </row>
    <row r="1446" spans="2:4" ht="15" customHeight="1">
      <c r="B1446" t="s">
        <v>11011</v>
      </c>
      <c r="C1446" t="s">
        <v>11011</v>
      </c>
      <c r="D1446">
        <v>0</v>
      </c>
    </row>
    <row r="1447" spans="2:4" ht="15" customHeight="1">
      <c r="B1447" t="s">
        <v>11012</v>
      </c>
      <c r="C1447" t="s">
        <v>11012</v>
      </c>
      <c r="D1447">
        <v>0</v>
      </c>
    </row>
    <row r="1448" spans="2:4" ht="15" customHeight="1">
      <c r="B1448" t="s">
        <v>11013</v>
      </c>
      <c r="C1448" t="s">
        <v>11013</v>
      </c>
      <c r="D1448">
        <v>0</v>
      </c>
    </row>
    <row r="1449" spans="2:4" ht="15" customHeight="1">
      <c r="B1449" t="s">
        <v>11014</v>
      </c>
      <c r="C1449" t="s">
        <v>11014</v>
      </c>
      <c r="D1449">
        <v>0</v>
      </c>
    </row>
    <row r="1450" spans="2:4" ht="15" customHeight="1">
      <c r="B1450" t="s">
        <v>11015</v>
      </c>
      <c r="C1450" t="s">
        <v>11015</v>
      </c>
      <c r="D1450">
        <v>0</v>
      </c>
    </row>
    <row r="1451" spans="2:4" ht="15" customHeight="1">
      <c r="B1451" t="s">
        <v>11016</v>
      </c>
      <c r="C1451" t="s">
        <v>11016</v>
      </c>
      <c r="D1451">
        <v>0</v>
      </c>
    </row>
    <row r="1452" spans="2:4" ht="15" customHeight="1">
      <c r="B1452" t="s">
        <v>11017</v>
      </c>
      <c r="C1452" t="s">
        <v>11017</v>
      </c>
      <c r="D1452">
        <v>0</v>
      </c>
    </row>
    <row r="1453" spans="2:4" ht="15" customHeight="1">
      <c r="B1453" t="s">
        <v>11018</v>
      </c>
      <c r="C1453" t="s">
        <v>11018</v>
      </c>
      <c r="D1453">
        <v>0</v>
      </c>
    </row>
    <row r="1454" spans="2:4" ht="15" customHeight="1">
      <c r="B1454" t="s">
        <v>11019</v>
      </c>
      <c r="C1454" t="s">
        <v>11019</v>
      </c>
      <c r="D1454">
        <v>0</v>
      </c>
    </row>
    <row r="1455" spans="2:4" ht="15" customHeight="1">
      <c r="B1455" t="s">
        <v>11020</v>
      </c>
      <c r="C1455" t="s">
        <v>11020</v>
      </c>
      <c r="D1455">
        <v>0</v>
      </c>
    </row>
    <row r="1456" spans="2:4" ht="15" customHeight="1">
      <c r="B1456" t="s">
        <v>11021</v>
      </c>
      <c r="C1456" t="s">
        <v>11021</v>
      </c>
      <c r="D1456">
        <v>0</v>
      </c>
    </row>
    <row r="1457" spans="2:4" ht="15" customHeight="1">
      <c r="B1457" t="s">
        <v>840</v>
      </c>
      <c r="C1457" t="s">
        <v>840</v>
      </c>
      <c r="D1457">
        <v>0</v>
      </c>
    </row>
    <row r="1458" spans="2:4" ht="15" customHeight="1">
      <c r="B1458" t="s">
        <v>9470</v>
      </c>
      <c r="C1458" t="s">
        <v>9470</v>
      </c>
      <c r="D1458">
        <v>0</v>
      </c>
    </row>
    <row r="1459" spans="2:4" ht="15" customHeight="1">
      <c r="B1459" t="s">
        <v>658</v>
      </c>
      <c r="C1459" t="s">
        <v>658</v>
      </c>
      <c r="D1459">
        <v>0</v>
      </c>
    </row>
    <row r="1460" spans="2:4" ht="15" customHeight="1">
      <c r="B1460" t="s">
        <v>660</v>
      </c>
      <c r="C1460" t="s">
        <v>660</v>
      </c>
      <c r="D1460">
        <v>0</v>
      </c>
    </row>
    <row r="1461" spans="2:4" ht="15" customHeight="1">
      <c r="B1461" t="s">
        <v>11022</v>
      </c>
      <c r="C1461" t="s">
        <v>11022</v>
      </c>
      <c r="D1461">
        <v>0</v>
      </c>
    </row>
    <row r="1462" spans="2:4" ht="15" customHeight="1">
      <c r="B1462" t="s">
        <v>670</v>
      </c>
      <c r="C1462" t="s">
        <v>670</v>
      </c>
      <c r="D1462">
        <v>0</v>
      </c>
    </row>
    <row r="1463" spans="2:4" ht="15" customHeight="1">
      <c r="B1463" t="s">
        <v>11023</v>
      </c>
      <c r="C1463" t="s">
        <v>11023</v>
      </c>
      <c r="D1463">
        <v>0</v>
      </c>
    </row>
    <row r="1464" spans="2:4" ht="15" customHeight="1">
      <c r="B1464" t="s">
        <v>11024</v>
      </c>
      <c r="C1464" t="s">
        <v>11024</v>
      </c>
      <c r="D1464">
        <v>0</v>
      </c>
    </row>
    <row r="1465" spans="2:4" ht="15" customHeight="1">
      <c r="B1465" t="s">
        <v>11025</v>
      </c>
      <c r="C1465" t="s">
        <v>11025</v>
      </c>
      <c r="D1465">
        <v>0</v>
      </c>
    </row>
    <row r="1466" spans="2:4" ht="15" customHeight="1">
      <c r="B1466" t="s">
        <v>11026</v>
      </c>
      <c r="C1466" t="s">
        <v>11026</v>
      </c>
      <c r="D1466">
        <v>0</v>
      </c>
    </row>
    <row r="1467" spans="2:4" ht="15" customHeight="1">
      <c r="B1467" t="s">
        <v>11027</v>
      </c>
      <c r="C1467" t="s">
        <v>11027</v>
      </c>
      <c r="D1467">
        <v>0</v>
      </c>
    </row>
    <row r="1468" spans="2:4" ht="15" customHeight="1">
      <c r="B1468" t="s">
        <v>11028</v>
      </c>
      <c r="C1468" t="s">
        <v>11028</v>
      </c>
      <c r="D1468">
        <v>0</v>
      </c>
    </row>
    <row r="1469" spans="2:4" ht="15" customHeight="1">
      <c r="B1469" t="s">
        <v>11029</v>
      </c>
      <c r="C1469" t="s">
        <v>11029</v>
      </c>
      <c r="D1469">
        <v>0</v>
      </c>
    </row>
    <row r="1470" spans="2:4" ht="15" customHeight="1">
      <c r="B1470" t="s">
        <v>11030</v>
      </c>
      <c r="C1470" t="s">
        <v>11030</v>
      </c>
      <c r="D1470">
        <v>0</v>
      </c>
    </row>
    <row r="1471" spans="2:4" ht="15" customHeight="1">
      <c r="B1471" t="s">
        <v>11031</v>
      </c>
      <c r="C1471" t="s">
        <v>11031</v>
      </c>
      <c r="D1471">
        <v>0</v>
      </c>
    </row>
    <row r="1472" spans="2:4" ht="15" customHeight="1">
      <c r="B1472" t="s">
        <v>11032</v>
      </c>
      <c r="C1472" t="s">
        <v>11032</v>
      </c>
      <c r="D1472">
        <v>0</v>
      </c>
    </row>
    <row r="1473" spans="2:4" ht="15" customHeight="1">
      <c r="B1473" t="s">
        <v>11033</v>
      </c>
      <c r="C1473" t="s">
        <v>11033</v>
      </c>
      <c r="D1473">
        <v>0</v>
      </c>
    </row>
    <row r="1474" spans="2:4" ht="15" customHeight="1">
      <c r="B1474" t="s">
        <v>11034</v>
      </c>
      <c r="C1474" t="s">
        <v>11034</v>
      </c>
      <c r="D1474">
        <v>0</v>
      </c>
    </row>
    <row r="1475" spans="2:4" ht="15" customHeight="1">
      <c r="B1475" t="s">
        <v>11035</v>
      </c>
      <c r="C1475" t="s">
        <v>11035</v>
      </c>
      <c r="D1475">
        <v>0</v>
      </c>
    </row>
    <row r="1476" spans="2:4" ht="15" customHeight="1">
      <c r="B1476" t="s">
        <v>776</v>
      </c>
      <c r="C1476" t="s">
        <v>776</v>
      </c>
      <c r="D1476">
        <v>0</v>
      </c>
    </row>
    <row r="1477" spans="2:4" ht="15" customHeight="1">
      <c r="B1477" t="s">
        <v>8349</v>
      </c>
      <c r="C1477" t="s">
        <v>8349</v>
      </c>
      <c r="D1477">
        <v>0</v>
      </c>
    </row>
    <row r="1478" spans="2:4" ht="15" customHeight="1">
      <c r="B1478" t="s">
        <v>6364</v>
      </c>
      <c r="C1478" t="s">
        <v>6364</v>
      </c>
      <c r="D1478">
        <v>0</v>
      </c>
    </row>
    <row r="1479" spans="2:4" ht="15" customHeight="1">
      <c r="B1479" t="s">
        <v>6351</v>
      </c>
      <c r="C1479" t="s">
        <v>6351</v>
      </c>
      <c r="D1479">
        <v>0</v>
      </c>
    </row>
    <row r="1480" spans="2:4" ht="15" customHeight="1">
      <c r="B1480" t="s">
        <v>11036</v>
      </c>
      <c r="C1480" t="s">
        <v>11036</v>
      </c>
      <c r="D1480">
        <v>0</v>
      </c>
    </row>
    <row r="1481" spans="2:4" ht="15" customHeight="1">
      <c r="B1481" t="s">
        <v>8170</v>
      </c>
      <c r="C1481" t="s">
        <v>8170</v>
      </c>
      <c r="D1481">
        <v>0</v>
      </c>
    </row>
    <row r="1482" spans="2:4" ht="15" customHeight="1">
      <c r="B1482" t="s">
        <v>11037</v>
      </c>
      <c r="C1482" t="s">
        <v>11037</v>
      </c>
      <c r="D1482">
        <v>0</v>
      </c>
    </row>
    <row r="1483" spans="2:4" ht="15" customHeight="1">
      <c r="B1483" t="s">
        <v>11038</v>
      </c>
      <c r="C1483" t="s">
        <v>11038</v>
      </c>
      <c r="D1483">
        <v>0</v>
      </c>
    </row>
    <row r="1484" spans="2:4" ht="15" customHeight="1">
      <c r="B1484" t="s">
        <v>6349</v>
      </c>
      <c r="C1484" t="s">
        <v>6349</v>
      </c>
      <c r="D1484">
        <v>0</v>
      </c>
    </row>
    <row r="1485" spans="2:4" ht="15" customHeight="1">
      <c r="B1485" t="s">
        <v>11039</v>
      </c>
      <c r="C1485" t="s">
        <v>11039</v>
      </c>
      <c r="D1485">
        <v>0</v>
      </c>
    </row>
    <row r="1486" spans="2:4" ht="15" customHeight="1">
      <c r="B1486" t="s">
        <v>11040</v>
      </c>
      <c r="C1486" t="s">
        <v>11040</v>
      </c>
      <c r="D1486">
        <v>0</v>
      </c>
    </row>
    <row r="1487" spans="2:4" ht="15" customHeight="1">
      <c r="B1487" t="s">
        <v>9532</v>
      </c>
      <c r="C1487" t="s">
        <v>9532</v>
      </c>
      <c r="D1487">
        <v>0</v>
      </c>
    </row>
    <row r="1488" spans="2:4" ht="15" customHeight="1">
      <c r="B1488" t="s">
        <v>6361</v>
      </c>
      <c r="C1488" t="s">
        <v>6361</v>
      </c>
      <c r="D1488">
        <v>0</v>
      </c>
    </row>
    <row r="1489" spans="2:4" ht="15" customHeight="1">
      <c r="B1489" t="s">
        <v>506</v>
      </c>
      <c r="C1489" t="s">
        <v>506</v>
      </c>
      <c r="D1489">
        <v>0</v>
      </c>
    </row>
    <row r="1490" spans="2:4" ht="15" customHeight="1">
      <c r="B1490" t="s">
        <v>11041</v>
      </c>
      <c r="C1490" t="s">
        <v>11041</v>
      </c>
      <c r="D1490">
        <v>0</v>
      </c>
    </row>
    <row r="1491" spans="2:4" ht="15" customHeight="1">
      <c r="B1491" t="s">
        <v>11042</v>
      </c>
      <c r="C1491" t="s">
        <v>11042</v>
      </c>
      <c r="D1491">
        <v>0</v>
      </c>
    </row>
    <row r="1492" spans="2:4" ht="15" customHeight="1">
      <c r="B1492" t="s">
        <v>11043</v>
      </c>
      <c r="C1492" t="s">
        <v>11043</v>
      </c>
      <c r="D1492">
        <v>0</v>
      </c>
    </row>
    <row r="1493" spans="2:4" ht="15" customHeight="1">
      <c r="B1493" t="s">
        <v>11044</v>
      </c>
      <c r="C1493" t="s">
        <v>11044</v>
      </c>
      <c r="D1493">
        <v>0</v>
      </c>
    </row>
    <row r="1494" spans="2:4" ht="15" customHeight="1">
      <c r="B1494" t="s">
        <v>11045</v>
      </c>
      <c r="C1494" t="s">
        <v>11045</v>
      </c>
      <c r="D1494">
        <v>0</v>
      </c>
    </row>
    <row r="1495" spans="2:4" ht="15" customHeight="1">
      <c r="B1495" t="s">
        <v>11046</v>
      </c>
      <c r="C1495" t="s">
        <v>11046</v>
      </c>
      <c r="D1495">
        <v>0</v>
      </c>
    </row>
    <row r="1496" spans="2:4" ht="15" customHeight="1">
      <c r="B1496" t="s">
        <v>11047</v>
      </c>
      <c r="C1496" t="s">
        <v>11047</v>
      </c>
      <c r="D1496">
        <v>0</v>
      </c>
    </row>
    <row r="1497" spans="2:4" ht="15" customHeight="1">
      <c r="B1497" t="s">
        <v>11048</v>
      </c>
      <c r="C1497" t="s">
        <v>11048</v>
      </c>
      <c r="D1497">
        <v>0</v>
      </c>
    </row>
    <row r="1498" spans="2:4" ht="15" customHeight="1">
      <c r="B1498" t="s">
        <v>11049</v>
      </c>
      <c r="C1498" t="s">
        <v>11049</v>
      </c>
      <c r="D1498">
        <v>0</v>
      </c>
    </row>
    <row r="1499" spans="2:4" ht="15" customHeight="1">
      <c r="B1499" t="s">
        <v>11050</v>
      </c>
      <c r="C1499" t="s">
        <v>11050</v>
      </c>
      <c r="D1499">
        <v>0</v>
      </c>
    </row>
    <row r="1500" spans="2:4" ht="15" customHeight="1">
      <c r="B1500" t="s">
        <v>11051</v>
      </c>
      <c r="C1500" t="s">
        <v>11051</v>
      </c>
      <c r="D1500">
        <v>0</v>
      </c>
    </row>
    <row r="1501" spans="2:4" ht="15" customHeight="1">
      <c r="B1501" t="s">
        <v>11052</v>
      </c>
      <c r="C1501" t="s">
        <v>11052</v>
      </c>
      <c r="D1501">
        <v>0</v>
      </c>
    </row>
    <row r="1502" spans="2:4" ht="15" customHeight="1">
      <c r="B1502" t="s">
        <v>11053</v>
      </c>
      <c r="C1502" t="s">
        <v>11053</v>
      </c>
      <c r="D1502">
        <v>0</v>
      </c>
    </row>
    <row r="1503" spans="2:4" ht="15" customHeight="1">
      <c r="B1503" t="s">
        <v>11054</v>
      </c>
      <c r="C1503" t="s">
        <v>11054</v>
      </c>
      <c r="D1503">
        <v>0</v>
      </c>
    </row>
    <row r="1504" spans="2:4" ht="15" customHeight="1">
      <c r="B1504" t="s">
        <v>11055</v>
      </c>
      <c r="C1504" t="s">
        <v>11055</v>
      </c>
      <c r="D1504">
        <v>0</v>
      </c>
    </row>
    <row r="1505" spans="2:4" ht="15" customHeight="1">
      <c r="B1505" t="s">
        <v>11056</v>
      </c>
      <c r="C1505" t="s">
        <v>11056</v>
      </c>
      <c r="D1505">
        <v>0</v>
      </c>
    </row>
    <row r="1506" spans="2:4" ht="15" customHeight="1">
      <c r="B1506" t="s">
        <v>903</v>
      </c>
      <c r="C1506" t="s">
        <v>903</v>
      </c>
      <c r="D1506">
        <v>0</v>
      </c>
    </row>
    <row r="1507" spans="2:4" ht="15" customHeight="1">
      <c r="B1507" t="s">
        <v>11057</v>
      </c>
      <c r="C1507" t="s">
        <v>11057</v>
      </c>
      <c r="D1507">
        <v>0</v>
      </c>
    </row>
    <row r="1508" spans="2:4" ht="15" customHeight="1">
      <c r="B1508" t="s">
        <v>11058</v>
      </c>
      <c r="C1508" t="s">
        <v>11058</v>
      </c>
      <c r="D1508">
        <v>0</v>
      </c>
    </row>
    <row r="1509" spans="2:4" ht="15" customHeight="1">
      <c r="B1509" t="s">
        <v>11059</v>
      </c>
      <c r="C1509" t="s">
        <v>11059</v>
      </c>
      <c r="D1509">
        <v>0</v>
      </c>
    </row>
    <row r="1510" spans="2:4" ht="15" customHeight="1">
      <c r="B1510" t="s">
        <v>11060</v>
      </c>
      <c r="C1510" t="s">
        <v>11060</v>
      </c>
      <c r="D1510">
        <v>0</v>
      </c>
    </row>
    <row r="1511" spans="2:4" ht="15" customHeight="1">
      <c r="B1511" t="s">
        <v>11061</v>
      </c>
      <c r="C1511" t="s">
        <v>11061</v>
      </c>
      <c r="D1511">
        <v>0</v>
      </c>
    </row>
    <row r="1512" spans="2:4" ht="15" customHeight="1">
      <c r="B1512" t="s">
        <v>11062</v>
      </c>
      <c r="C1512" t="s">
        <v>11062</v>
      </c>
      <c r="D1512">
        <v>0</v>
      </c>
    </row>
    <row r="1513" spans="2:4" ht="15" customHeight="1">
      <c r="B1513" t="s">
        <v>11063</v>
      </c>
      <c r="C1513" t="s">
        <v>11063</v>
      </c>
      <c r="D1513">
        <v>0</v>
      </c>
    </row>
    <row r="1514" spans="2:4" ht="15" customHeight="1">
      <c r="B1514" t="s">
        <v>11064</v>
      </c>
      <c r="C1514" t="s">
        <v>11064</v>
      </c>
      <c r="D1514">
        <v>0</v>
      </c>
    </row>
    <row r="1515" spans="2:4" ht="15" customHeight="1">
      <c r="B1515" t="s">
        <v>11065</v>
      </c>
      <c r="C1515" t="s">
        <v>11065</v>
      </c>
      <c r="D1515">
        <v>0</v>
      </c>
    </row>
    <row r="1516" spans="2:4" ht="15" customHeight="1">
      <c r="B1516" t="s">
        <v>11066</v>
      </c>
      <c r="C1516" t="s">
        <v>11066</v>
      </c>
      <c r="D1516">
        <v>0</v>
      </c>
    </row>
    <row r="1517" spans="2:4" ht="15" customHeight="1">
      <c r="B1517" t="s">
        <v>11067</v>
      </c>
      <c r="C1517" t="s">
        <v>11067</v>
      </c>
      <c r="D1517">
        <v>0</v>
      </c>
    </row>
    <row r="1518" spans="2:4" ht="15" customHeight="1">
      <c r="B1518" t="s">
        <v>11068</v>
      </c>
      <c r="C1518" t="s">
        <v>11068</v>
      </c>
      <c r="D1518">
        <v>0</v>
      </c>
    </row>
    <row r="1519" spans="2:4" ht="15" customHeight="1">
      <c r="B1519" t="s">
        <v>11069</v>
      </c>
      <c r="C1519" t="s">
        <v>11069</v>
      </c>
      <c r="D1519">
        <v>0</v>
      </c>
    </row>
    <row r="1520" spans="2:4" ht="15" customHeight="1">
      <c r="B1520" t="s">
        <v>11070</v>
      </c>
      <c r="C1520" t="s">
        <v>11070</v>
      </c>
      <c r="D1520">
        <v>0</v>
      </c>
    </row>
    <row r="1521" spans="2:4" ht="15" customHeight="1">
      <c r="B1521" t="s">
        <v>11071</v>
      </c>
      <c r="C1521" t="s">
        <v>11071</v>
      </c>
      <c r="D1521">
        <v>0</v>
      </c>
    </row>
    <row r="1522" spans="2:4" ht="15" customHeight="1">
      <c r="B1522" t="s">
        <v>11072</v>
      </c>
      <c r="C1522" t="s">
        <v>11072</v>
      </c>
      <c r="D1522">
        <v>0</v>
      </c>
    </row>
    <row r="1523" spans="2:4" ht="15" customHeight="1">
      <c r="B1523" t="s">
        <v>11073</v>
      </c>
      <c r="C1523" t="s">
        <v>11073</v>
      </c>
      <c r="D1523">
        <v>0</v>
      </c>
    </row>
    <row r="1524" spans="2:4" ht="15" customHeight="1">
      <c r="B1524" t="s">
        <v>11074</v>
      </c>
      <c r="C1524" t="s">
        <v>11074</v>
      </c>
      <c r="D1524">
        <v>0</v>
      </c>
    </row>
    <row r="1525" spans="2:4" ht="15" customHeight="1">
      <c r="B1525" t="s">
        <v>11075</v>
      </c>
      <c r="C1525" t="s">
        <v>11075</v>
      </c>
      <c r="D1525">
        <v>0</v>
      </c>
    </row>
    <row r="1526" spans="2:4" ht="15" customHeight="1">
      <c r="B1526" t="s">
        <v>11076</v>
      </c>
      <c r="C1526" t="s">
        <v>11076</v>
      </c>
      <c r="D1526">
        <v>0</v>
      </c>
    </row>
    <row r="1527" spans="2:4" ht="15" customHeight="1">
      <c r="B1527" t="s">
        <v>11077</v>
      </c>
      <c r="C1527" t="s">
        <v>11077</v>
      </c>
      <c r="D1527">
        <v>0</v>
      </c>
    </row>
    <row r="1528" spans="2:4" ht="15" customHeight="1">
      <c r="B1528" t="s">
        <v>11078</v>
      </c>
      <c r="C1528" t="s">
        <v>11078</v>
      </c>
      <c r="D1528">
        <v>0</v>
      </c>
    </row>
    <row r="1529" spans="2:4" ht="15" customHeight="1">
      <c r="B1529" t="s">
        <v>11079</v>
      </c>
      <c r="C1529" t="s">
        <v>11079</v>
      </c>
      <c r="D1529">
        <v>0</v>
      </c>
    </row>
    <row r="1530" spans="2:4" ht="15" customHeight="1">
      <c r="B1530" t="s">
        <v>11080</v>
      </c>
      <c r="C1530" t="s">
        <v>11080</v>
      </c>
      <c r="D1530">
        <v>0</v>
      </c>
    </row>
    <row r="1531" spans="2:4" ht="15" customHeight="1">
      <c r="B1531" t="s">
        <v>11081</v>
      </c>
      <c r="C1531" t="s">
        <v>11081</v>
      </c>
      <c r="D1531">
        <v>0</v>
      </c>
    </row>
    <row r="1532" spans="2:4" ht="15" customHeight="1">
      <c r="B1532" t="s">
        <v>11082</v>
      </c>
      <c r="C1532" t="s">
        <v>11082</v>
      </c>
      <c r="D1532">
        <v>0</v>
      </c>
    </row>
    <row r="1533" spans="2:4" ht="15" customHeight="1">
      <c r="B1533" t="s">
        <v>11083</v>
      </c>
      <c r="C1533" t="s">
        <v>11083</v>
      </c>
      <c r="D1533">
        <v>0</v>
      </c>
    </row>
    <row r="1534" spans="2:4" ht="15" customHeight="1">
      <c r="B1534" t="s">
        <v>11084</v>
      </c>
      <c r="C1534" t="s">
        <v>11084</v>
      </c>
      <c r="D1534">
        <v>0</v>
      </c>
    </row>
    <row r="1535" spans="2:4" ht="15" customHeight="1">
      <c r="B1535" t="s">
        <v>10857</v>
      </c>
      <c r="C1535" t="s">
        <v>10857</v>
      </c>
      <c r="D1535">
        <v>0</v>
      </c>
    </row>
    <row r="1536" spans="2:4" ht="15" customHeight="1">
      <c r="B1536" t="s">
        <v>11085</v>
      </c>
      <c r="C1536" t="s">
        <v>11085</v>
      </c>
      <c r="D1536">
        <v>0</v>
      </c>
    </row>
    <row r="1537" spans="2:4" ht="15" customHeight="1">
      <c r="B1537" t="s">
        <v>11086</v>
      </c>
      <c r="C1537" t="s">
        <v>11086</v>
      </c>
      <c r="D1537">
        <v>0</v>
      </c>
    </row>
    <row r="1538" spans="2:4" ht="15" customHeight="1">
      <c r="B1538" t="s">
        <v>11087</v>
      </c>
      <c r="C1538" t="s">
        <v>11087</v>
      </c>
      <c r="D1538">
        <v>0</v>
      </c>
    </row>
    <row r="1539" spans="2:4" ht="15" customHeight="1">
      <c r="B1539" t="s">
        <v>11088</v>
      </c>
      <c r="C1539" t="s">
        <v>11088</v>
      </c>
      <c r="D1539">
        <v>0</v>
      </c>
    </row>
    <row r="1540" spans="2:4" ht="15" customHeight="1">
      <c r="B1540" t="s">
        <v>11089</v>
      </c>
      <c r="C1540" t="s">
        <v>11089</v>
      </c>
      <c r="D1540">
        <v>0</v>
      </c>
    </row>
    <row r="1541" spans="2:4" ht="15" customHeight="1">
      <c r="B1541" t="s">
        <v>11090</v>
      </c>
      <c r="C1541" t="s">
        <v>11090</v>
      </c>
      <c r="D1541">
        <v>0</v>
      </c>
    </row>
    <row r="1542" spans="2:4" ht="15" customHeight="1">
      <c r="B1542" t="s">
        <v>11091</v>
      </c>
      <c r="C1542" t="s">
        <v>11091</v>
      </c>
      <c r="D1542">
        <v>0</v>
      </c>
    </row>
    <row r="1543" spans="2:4" ht="15" customHeight="1">
      <c r="B1543" t="s">
        <v>11092</v>
      </c>
      <c r="C1543" t="s">
        <v>11092</v>
      </c>
      <c r="D1543">
        <v>0</v>
      </c>
    </row>
    <row r="1544" spans="2:4" ht="15" customHeight="1">
      <c r="B1544" t="s">
        <v>11093</v>
      </c>
      <c r="C1544" t="s">
        <v>11093</v>
      </c>
      <c r="D1544">
        <v>0</v>
      </c>
    </row>
    <row r="1545" spans="2:4" ht="15" customHeight="1">
      <c r="B1545" t="s">
        <v>11094</v>
      </c>
      <c r="C1545" t="s">
        <v>11094</v>
      </c>
      <c r="D1545">
        <v>0</v>
      </c>
    </row>
    <row r="1546" spans="2:4" ht="15" customHeight="1">
      <c r="B1546" t="s">
        <v>11095</v>
      </c>
      <c r="C1546" t="s">
        <v>11095</v>
      </c>
      <c r="D1546">
        <v>0</v>
      </c>
    </row>
    <row r="1547" spans="2:4" ht="15" customHeight="1">
      <c r="B1547" t="s">
        <v>11096</v>
      </c>
      <c r="C1547" t="s">
        <v>11096</v>
      </c>
      <c r="D1547">
        <v>0</v>
      </c>
    </row>
    <row r="1548" spans="2:4" ht="15" customHeight="1">
      <c r="B1548" t="s">
        <v>11097</v>
      </c>
      <c r="C1548" t="s">
        <v>11097</v>
      </c>
      <c r="D1548">
        <v>0</v>
      </c>
    </row>
    <row r="1549" spans="2:4" ht="15" customHeight="1">
      <c r="B1549" t="s">
        <v>11098</v>
      </c>
      <c r="C1549" t="s">
        <v>11098</v>
      </c>
      <c r="D1549">
        <v>0</v>
      </c>
    </row>
    <row r="1550" spans="2:4" ht="15" customHeight="1">
      <c r="B1550" t="s">
        <v>11099</v>
      </c>
      <c r="C1550" t="s">
        <v>11099</v>
      </c>
      <c r="D1550">
        <v>0</v>
      </c>
    </row>
    <row r="1551" spans="2:4" ht="15" customHeight="1">
      <c r="B1551" t="s">
        <v>11100</v>
      </c>
      <c r="C1551" t="s">
        <v>11100</v>
      </c>
      <c r="D1551">
        <v>0</v>
      </c>
    </row>
    <row r="1552" spans="2:4" ht="15" customHeight="1">
      <c r="B1552" t="s">
        <v>11101</v>
      </c>
      <c r="C1552" t="s">
        <v>11101</v>
      </c>
      <c r="D1552">
        <v>0</v>
      </c>
    </row>
    <row r="1553" spans="2:4" ht="15" customHeight="1">
      <c r="B1553" t="s">
        <v>11102</v>
      </c>
      <c r="C1553" t="s">
        <v>11102</v>
      </c>
      <c r="D1553">
        <v>0</v>
      </c>
    </row>
    <row r="1554" spans="2:4" ht="15" customHeight="1">
      <c r="B1554" t="s">
        <v>11103</v>
      </c>
      <c r="C1554" t="s">
        <v>11103</v>
      </c>
      <c r="D1554">
        <v>0</v>
      </c>
    </row>
    <row r="1555" spans="2:4" ht="15" customHeight="1">
      <c r="B1555" t="s">
        <v>11104</v>
      </c>
      <c r="C1555" t="s">
        <v>11104</v>
      </c>
      <c r="D1555">
        <v>0</v>
      </c>
    </row>
    <row r="1556" spans="2:4" ht="15" customHeight="1">
      <c r="B1556" t="s">
        <v>11105</v>
      </c>
      <c r="C1556" t="s">
        <v>11105</v>
      </c>
      <c r="D1556">
        <v>0</v>
      </c>
    </row>
    <row r="1557" spans="2:4" ht="15" customHeight="1">
      <c r="B1557" t="s">
        <v>11106</v>
      </c>
      <c r="C1557" t="s">
        <v>11106</v>
      </c>
      <c r="D1557">
        <v>0</v>
      </c>
    </row>
    <row r="1558" spans="2:4" ht="15" customHeight="1">
      <c r="B1558" t="s">
        <v>11107</v>
      </c>
      <c r="C1558" t="s">
        <v>11107</v>
      </c>
      <c r="D1558">
        <v>0</v>
      </c>
    </row>
    <row r="1559" spans="2:4" ht="15" customHeight="1">
      <c r="B1559" t="s">
        <v>11108</v>
      </c>
      <c r="C1559" t="s">
        <v>11108</v>
      </c>
      <c r="D1559">
        <v>0</v>
      </c>
    </row>
    <row r="1560" spans="2:4" ht="15" customHeight="1">
      <c r="B1560" t="s">
        <v>11109</v>
      </c>
      <c r="C1560" t="s">
        <v>11109</v>
      </c>
      <c r="D1560">
        <v>0</v>
      </c>
    </row>
    <row r="1561" spans="2:4" ht="15" customHeight="1">
      <c r="B1561" t="s">
        <v>11110</v>
      </c>
      <c r="C1561" t="s">
        <v>11110</v>
      </c>
      <c r="D1561">
        <v>0</v>
      </c>
    </row>
    <row r="1562" spans="2:4" ht="15" customHeight="1">
      <c r="B1562" t="s">
        <v>11111</v>
      </c>
      <c r="C1562" t="s">
        <v>11111</v>
      </c>
      <c r="D1562">
        <v>0</v>
      </c>
    </row>
    <row r="1563" spans="2:4" ht="15" customHeight="1">
      <c r="B1563" t="s">
        <v>11112</v>
      </c>
      <c r="C1563" t="s">
        <v>11112</v>
      </c>
      <c r="D1563">
        <v>0</v>
      </c>
    </row>
    <row r="1564" spans="2:4" ht="15" customHeight="1">
      <c r="B1564" t="s">
        <v>11113</v>
      </c>
      <c r="C1564" t="s">
        <v>11113</v>
      </c>
      <c r="D1564">
        <v>0</v>
      </c>
    </row>
    <row r="1565" spans="2:4" ht="15" customHeight="1">
      <c r="B1565" t="s">
        <v>11114</v>
      </c>
      <c r="C1565" t="s">
        <v>11114</v>
      </c>
      <c r="D1565">
        <v>0</v>
      </c>
    </row>
    <row r="1566" spans="2:4" ht="15" customHeight="1">
      <c r="B1566" t="s">
        <v>11115</v>
      </c>
      <c r="C1566" t="s">
        <v>11115</v>
      </c>
      <c r="D1566">
        <v>0</v>
      </c>
    </row>
    <row r="1567" spans="2:4" ht="15" customHeight="1">
      <c r="B1567" t="s">
        <v>11116</v>
      </c>
      <c r="C1567" t="s">
        <v>11116</v>
      </c>
      <c r="D1567">
        <v>0</v>
      </c>
    </row>
    <row r="1568" spans="2:4" ht="15" customHeight="1">
      <c r="B1568" t="s">
        <v>11117</v>
      </c>
      <c r="C1568" t="s">
        <v>11117</v>
      </c>
      <c r="D1568">
        <v>0</v>
      </c>
    </row>
    <row r="1569" spans="2:4" ht="15" customHeight="1">
      <c r="B1569" t="s">
        <v>11118</v>
      </c>
      <c r="C1569" t="s">
        <v>11118</v>
      </c>
      <c r="D1569">
        <v>0</v>
      </c>
    </row>
    <row r="1570" spans="2:4" ht="15" customHeight="1">
      <c r="B1570" t="s">
        <v>11119</v>
      </c>
      <c r="C1570" t="s">
        <v>11119</v>
      </c>
      <c r="D1570">
        <v>0</v>
      </c>
    </row>
    <row r="1571" spans="2:4" ht="15" customHeight="1">
      <c r="B1571" t="s">
        <v>11120</v>
      </c>
      <c r="C1571" t="s">
        <v>11120</v>
      </c>
      <c r="D1571">
        <v>0</v>
      </c>
    </row>
    <row r="1572" spans="2:4" ht="15" customHeight="1">
      <c r="B1572" t="s">
        <v>11121</v>
      </c>
      <c r="C1572" t="s">
        <v>11121</v>
      </c>
      <c r="D1572">
        <v>0</v>
      </c>
    </row>
    <row r="1573" spans="2:4" ht="15" customHeight="1">
      <c r="B1573" t="s">
        <v>11122</v>
      </c>
      <c r="C1573" t="s">
        <v>11122</v>
      </c>
      <c r="D1573">
        <v>0</v>
      </c>
    </row>
    <row r="1574" spans="2:4" ht="15" customHeight="1">
      <c r="B1574" t="s">
        <v>11123</v>
      </c>
      <c r="C1574" t="s">
        <v>11123</v>
      </c>
      <c r="D1574">
        <v>0</v>
      </c>
    </row>
    <row r="1575" spans="2:4" ht="15" customHeight="1">
      <c r="B1575" t="s">
        <v>7183</v>
      </c>
      <c r="C1575" t="s">
        <v>7183</v>
      </c>
      <c r="D1575">
        <v>0</v>
      </c>
    </row>
    <row r="1576" spans="2:4" ht="15" customHeight="1">
      <c r="B1576" t="s">
        <v>11124</v>
      </c>
      <c r="C1576" t="s">
        <v>11124</v>
      </c>
      <c r="D1576">
        <v>0</v>
      </c>
    </row>
    <row r="1577" spans="2:4" ht="15" customHeight="1">
      <c r="B1577" t="s">
        <v>11125</v>
      </c>
      <c r="C1577" t="s">
        <v>11125</v>
      </c>
      <c r="D1577">
        <v>0</v>
      </c>
    </row>
    <row r="1578" spans="2:4" ht="15" customHeight="1">
      <c r="B1578" t="s">
        <v>11126</v>
      </c>
      <c r="C1578" t="s">
        <v>11126</v>
      </c>
      <c r="D1578">
        <v>0</v>
      </c>
    </row>
    <row r="1579" spans="2:4" ht="15" customHeight="1">
      <c r="B1579" t="s">
        <v>11127</v>
      </c>
      <c r="C1579" t="s">
        <v>11127</v>
      </c>
      <c r="D1579">
        <v>0</v>
      </c>
    </row>
    <row r="1580" spans="2:4" ht="15" customHeight="1">
      <c r="B1580" t="s">
        <v>11128</v>
      </c>
      <c r="C1580" t="s">
        <v>11128</v>
      </c>
      <c r="D1580">
        <v>0</v>
      </c>
    </row>
    <row r="1581" spans="2:4" ht="15" customHeight="1">
      <c r="B1581" t="s">
        <v>11129</v>
      </c>
      <c r="C1581" t="s">
        <v>11129</v>
      </c>
      <c r="D1581">
        <v>0</v>
      </c>
    </row>
    <row r="1582" spans="2:4" ht="15" customHeight="1">
      <c r="B1582" t="s">
        <v>11130</v>
      </c>
      <c r="C1582" t="s">
        <v>11130</v>
      </c>
      <c r="D1582">
        <v>0</v>
      </c>
    </row>
    <row r="1583" spans="2:4" ht="15" customHeight="1">
      <c r="B1583" t="s">
        <v>9994</v>
      </c>
      <c r="C1583" t="s">
        <v>9994</v>
      </c>
      <c r="D1583">
        <v>0</v>
      </c>
    </row>
    <row r="1584" spans="2:4" ht="15" customHeight="1">
      <c r="B1584" t="s">
        <v>11131</v>
      </c>
      <c r="C1584" t="s">
        <v>11131</v>
      </c>
      <c r="D1584">
        <v>0</v>
      </c>
    </row>
    <row r="1585" spans="2:4" ht="15" customHeight="1">
      <c r="B1585" t="s">
        <v>8266</v>
      </c>
      <c r="C1585" t="s">
        <v>8266</v>
      </c>
      <c r="D1585">
        <v>0</v>
      </c>
    </row>
    <row r="1586" spans="2:4" ht="15" customHeight="1">
      <c r="B1586" t="s">
        <v>11132</v>
      </c>
      <c r="C1586" t="s">
        <v>11132</v>
      </c>
      <c r="D1586">
        <v>0</v>
      </c>
    </row>
    <row r="1587" spans="2:4" ht="15" customHeight="1">
      <c r="B1587" t="s">
        <v>11133</v>
      </c>
      <c r="C1587" t="s">
        <v>11133</v>
      </c>
      <c r="D1587">
        <v>0</v>
      </c>
    </row>
    <row r="1588" spans="2:4" ht="15" customHeight="1">
      <c r="B1588" t="s">
        <v>11134</v>
      </c>
      <c r="C1588" t="s">
        <v>11134</v>
      </c>
      <c r="D1588">
        <v>0</v>
      </c>
    </row>
    <row r="1589" spans="2:4" ht="15" customHeight="1">
      <c r="B1589" t="s">
        <v>11135</v>
      </c>
      <c r="C1589" t="s">
        <v>11135</v>
      </c>
      <c r="D1589">
        <v>0</v>
      </c>
    </row>
    <row r="1590" spans="2:4" ht="15" customHeight="1">
      <c r="B1590" t="s">
        <v>11136</v>
      </c>
      <c r="C1590" t="s">
        <v>11136</v>
      </c>
      <c r="D1590">
        <v>0</v>
      </c>
    </row>
    <row r="1591" spans="2:4" ht="15" customHeight="1">
      <c r="B1591" t="s">
        <v>11137</v>
      </c>
      <c r="C1591" t="s">
        <v>11998</v>
      </c>
      <c r="D1591">
        <v>0</v>
      </c>
    </row>
    <row r="1592" spans="2:4" ht="15" customHeight="1">
      <c r="B1592" t="s">
        <v>11138</v>
      </c>
      <c r="C1592" t="s">
        <v>11138</v>
      </c>
      <c r="D1592">
        <v>0</v>
      </c>
    </row>
    <row r="1593" spans="2:4" ht="15" customHeight="1">
      <c r="B1593" t="s">
        <v>11139</v>
      </c>
      <c r="C1593" t="s">
        <v>11139</v>
      </c>
      <c r="D1593">
        <v>0</v>
      </c>
    </row>
    <row r="1594" spans="2:4" ht="15" customHeight="1">
      <c r="B1594" t="s">
        <v>11140</v>
      </c>
      <c r="C1594" t="s">
        <v>11140</v>
      </c>
      <c r="D1594">
        <v>0</v>
      </c>
    </row>
    <row r="1595" spans="2:4" ht="15" customHeight="1">
      <c r="B1595" t="s">
        <v>11141</v>
      </c>
      <c r="C1595" t="s">
        <v>11141</v>
      </c>
      <c r="D1595">
        <v>0</v>
      </c>
    </row>
    <row r="1596" spans="2:4" ht="15" customHeight="1">
      <c r="B1596" t="s">
        <v>11142</v>
      </c>
      <c r="C1596" t="s">
        <v>11142</v>
      </c>
      <c r="D1596">
        <v>0</v>
      </c>
    </row>
    <row r="1597" spans="2:4" ht="15" customHeight="1">
      <c r="B1597" t="s">
        <v>11143</v>
      </c>
      <c r="C1597" t="s">
        <v>11143</v>
      </c>
      <c r="D1597">
        <v>0</v>
      </c>
    </row>
    <row r="1598" spans="2:4" ht="15" customHeight="1">
      <c r="B1598" t="s">
        <v>11144</v>
      </c>
      <c r="C1598" t="s">
        <v>11144</v>
      </c>
      <c r="D1598">
        <v>0</v>
      </c>
    </row>
    <row r="1599" spans="2:4" ht="15" customHeight="1">
      <c r="B1599" t="s">
        <v>11145</v>
      </c>
      <c r="C1599" t="s">
        <v>11145</v>
      </c>
      <c r="D1599">
        <v>0</v>
      </c>
    </row>
    <row r="1600" spans="2:4" ht="15" customHeight="1">
      <c r="B1600" t="s">
        <v>11146</v>
      </c>
      <c r="C1600" t="s">
        <v>11146</v>
      </c>
      <c r="D1600">
        <v>0</v>
      </c>
    </row>
    <row r="1601" spans="2:4" ht="15" customHeight="1">
      <c r="B1601" t="s">
        <v>11147</v>
      </c>
      <c r="C1601" t="s">
        <v>11147</v>
      </c>
      <c r="D1601">
        <v>0</v>
      </c>
    </row>
    <row r="1602" spans="2:4" ht="15" customHeight="1">
      <c r="B1602" t="s">
        <v>11148</v>
      </c>
      <c r="C1602" t="s">
        <v>11148</v>
      </c>
      <c r="D1602">
        <v>0</v>
      </c>
    </row>
    <row r="1603" spans="2:4" ht="15" customHeight="1">
      <c r="B1603" t="s">
        <v>11149</v>
      </c>
      <c r="C1603" t="s">
        <v>11149</v>
      </c>
      <c r="D1603">
        <v>0</v>
      </c>
    </row>
    <row r="1604" spans="2:4" ht="15" customHeight="1">
      <c r="B1604" t="s">
        <v>11150</v>
      </c>
      <c r="C1604" t="s">
        <v>11150</v>
      </c>
      <c r="D1604">
        <v>0</v>
      </c>
    </row>
    <row r="1605" spans="2:4" ht="15" customHeight="1">
      <c r="B1605" t="s">
        <v>11151</v>
      </c>
      <c r="C1605" t="s">
        <v>11151</v>
      </c>
      <c r="D1605">
        <v>0</v>
      </c>
    </row>
    <row r="1606" spans="2:4" ht="15" customHeight="1">
      <c r="B1606" t="s">
        <v>11152</v>
      </c>
      <c r="C1606" t="s">
        <v>11152</v>
      </c>
      <c r="D1606">
        <v>0</v>
      </c>
    </row>
    <row r="1607" spans="2:4" ht="15" customHeight="1">
      <c r="B1607" t="s">
        <v>11153</v>
      </c>
      <c r="C1607" t="s">
        <v>11153</v>
      </c>
      <c r="D1607">
        <v>0</v>
      </c>
    </row>
    <row r="1608" spans="2:4" ht="15" customHeight="1">
      <c r="B1608" t="s">
        <v>11154</v>
      </c>
      <c r="C1608" t="s">
        <v>11154</v>
      </c>
      <c r="D1608">
        <v>0</v>
      </c>
    </row>
    <row r="1609" spans="2:4" ht="15" customHeight="1">
      <c r="B1609" t="s">
        <v>11155</v>
      </c>
      <c r="C1609" t="s">
        <v>11155</v>
      </c>
      <c r="D1609">
        <v>0</v>
      </c>
    </row>
    <row r="1610" spans="2:4" ht="15" customHeight="1">
      <c r="B1610" t="s">
        <v>7424</v>
      </c>
      <c r="C1610" t="s">
        <v>7424</v>
      </c>
      <c r="D1610">
        <v>0</v>
      </c>
    </row>
    <row r="1611" spans="2:4" ht="15" customHeight="1">
      <c r="B1611" t="s">
        <v>11156</v>
      </c>
      <c r="C1611" t="s">
        <v>11156</v>
      </c>
      <c r="D1611">
        <v>0</v>
      </c>
    </row>
    <row r="1612" spans="2:4" ht="15" customHeight="1">
      <c r="B1612" t="s">
        <v>535</v>
      </c>
      <c r="C1612" t="s">
        <v>535</v>
      </c>
      <c r="D1612">
        <v>0</v>
      </c>
    </row>
    <row r="1613" spans="2:4" ht="15" customHeight="1">
      <c r="B1613" t="s">
        <v>11157</v>
      </c>
      <c r="C1613" t="s">
        <v>11157</v>
      </c>
      <c r="D1613">
        <v>0</v>
      </c>
    </row>
    <row r="1614" spans="2:4" ht="15" customHeight="1">
      <c r="B1614" t="s">
        <v>263</v>
      </c>
      <c r="C1614" t="s">
        <v>263</v>
      </c>
      <c r="D1614">
        <v>0</v>
      </c>
    </row>
    <row r="1615" spans="2:4" ht="15" customHeight="1">
      <c r="B1615" t="s">
        <v>7967</v>
      </c>
      <c r="C1615" t="s">
        <v>7967</v>
      </c>
      <c r="D1615">
        <v>0</v>
      </c>
    </row>
    <row r="1616" spans="2:4" ht="15" customHeight="1">
      <c r="B1616" t="s">
        <v>11158</v>
      </c>
      <c r="C1616" t="s">
        <v>11158</v>
      </c>
      <c r="D1616">
        <v>0</v>
      </c>
    </row>
    <row r="1617" spans="2:4" ht="15" customHeight="1">
      <c r="B1617" t="s">
        <v>11159</v>
      </c>
      <c r="C1617" t="s">
        <v>11159</v>
      </c>
      <c r="D1617">
        <v>0</v>
      </c>
    </row>
    <row r="1618" spans="2:4" ht="15" customHeight="1">
      <c r="B1618" t="s">
        <v>11160</v>
      </c>
      <c r="C1618" t="s">
        <v>11160</v>
      </c>
      <c r="D1618">
        <v>0</v>
      </c>
    </row>
    <row r="1619" spans="2:4" ht="15" customHeight="1">
      <c r="B1619" t="s">
        <v>11161</v>
      </c>
      <c r="C1619" t="s">
        <v>11161</v>
      </c>
      <c r="D1619">
        <v>0</v>
      </c>
    </row>
    <row r="1620" spans="2:4" ht="15" customHeight="1">
      <c r="B1620" t="s">
        <v>11162</v>
      </c>
      <c r="C1620" t="s">
        <v>11162</v>
      </c>
      <c r="D1620">
        <v>0</v>
      </c>
    </row>
    <row r="1621" spans="2:4" ht="15" customHeight="1">
      <c r="B1621" t="s">
        <v>11163</v>
      </c>
      <c r="C1621" t="s">
        <v>11163</v>
      </c>
      <c r="D1621">
        <v>0</v>
      </c>
    </row>
    <row r="1622" spans="2:4" ht="15" customHeight="1">
      <c r="B1622" t="s">
        <v>11164</v>
      </c>
      <c r="C1622" t="s">
        <v>11164</v>
      </c>
      <c r="D1622">
        <v>0</v>
      </c>
    </row>
    <row r="1623" spans="2:4" ht="15" customHeight="1">
      <c r="B1623" t="s">
        <v>11165</v>
      </c>
      <c r="C1623" t="s">
        <v>11165</v>
      </c>
      <c r="D1623">
        <v>0</v>
      </c>
    </row>
    <row r="1624" spans="2:4" ht="15" customHeight="1">
      <c r="B1624" t="s">
        <v>11166</v>
      </c>
      <c r="C1624" t="s">
        <v>11166</v>
      </c>
      <c r="D1624">
        <v>0</v>
      </c>
    </row>
    <row r="1625" spans="2:4" ht="15" customHeight="1">
      <c r="B1625" t="s">
        <v>11167</v>
      </c>
      <c r="C1625" t="s">
        <v>11167</v>
      </c>
      <c r="D1625">
        <v>0</v>
      </c>
    </row>
    <row r="1626" spans="2:4" ht="15" customHeight="1">
      <c r="B1626" t="s">
        <v>11168</v>
      </c>
      <c r="C1626" t="s">
        <v>11168</v>
      </c>
      <c r="D1626">
        <v>0</v>
      </c>
    </row>
    <row r="1627" spans="2:4" ht="15" customHeight="1">
      <c r="B1627" t="s">
        <v>11169</v>
      </c>
      <c r="C1627" t="s">
        <v>11169</v>
      </c>
      <c r="D1627">
        <v>0</v>
      </c>
    </row>
    <row r="1628" spans="2:4" ht="15" customHeight="1">
      <c r="B1628" t="s">
        <v>11170</v>
      </c>
      <c r="C1628" t="s">
        <v>11170</v>
      </c>
      <c r="D1628">
        <v>0</v>
      </c>
    </row>
    <row r="1629" spans="2:4" ht="15" customHeight="1">
      <c r="B1629" t="s">
        <v>11171</v>
      </c>
      <c r="C1629" t="s">
        <v>11977</v>
      </c>
      <c r="D1629">
        <v>0</v>
      </c>
    </row>
    <row r="1630" spans="2:4" ht="15" customHeight="1">
      <c r="B1630" t="s">
        <v>11172</v>
      </c>
      <c r="C1630" t="s">
        <v>11172</v>
      </c>
      <c r="D1630">
        <v>0</v>
      </c>
    </row>
    <row r="1631" spans="2:4" ht="15" customHeight="1">
      <c r="B1631" t="s">
        <v>11173</v>
      </c>
      <c r="C1631" t="s">
        <v>11978</v>
      </c>
      <c r="D1631">
        <v>0</v>
      </c>
    </row>
    <row r="1632" spans="2:4" ht="15" customHeight="1">
      <c r="B1632" t="s">
        <v>11174</v>
      </c>
      <c r="C1632" t="s">
        <v>11174</v>
      </c>
      <c r="D1632">
        <v>0</v>
      </c>
    </row>
    <row r="1633" spans="2:4" ht="15" customHeight="1">
      <c r="B1633" t="s">
        <v>11175</v>
      </c>
      <c r="C1633" t="s">
        <v>11175</v>
      </c>
      <c r="D1633">
        <v>0</v>
      </c>
    </row>
    <row r="1634" spans="2:4" ht="15" customHeight="1">
      <c r="B1634" t="s">
        <v>772</v>
      </c>
      <c r="C1634" t="s">
        <v>772</v>
      </c>
      <c r="D1634">
        <v>0</v>
      </c>
    </row>
    <row r="1635" spans="2:4" ht="15" customHeight="1">
      <c r="B1635" t="s">
        <v>1987</v>
      </c>
      <c r="C1635" t="s">
        <v>1987</v>
      </c>
      <c r="D1635">
        <v>0</v>
      </c>
    </row>
    <row r="1636" spans="2:4" ht="15" customHeight="1">
      <c r="B1636" t="s">
        <v>11176</v>
      </c>
      <c r="C1636" t="s">
        <v>11176</v>
      </c>
      <c r="D1636">
        <v>0</v>
      </c>
    </row>
    <row r="1637" spans="2:4" ht="15" customHeight="1">
      <c r="B1637" t="s">
        <v>11177</v>
      </c>
      <c r="C1637" t="s">
        <v>11177</v>
      </c>
      <c r="D1637">
        <v>0</v>
      </c>
    </row>
    <row r="1638" spans="2:4" ht="15" customHeight="1">
      <c r="B1638" t="s">
        <v>11178</v>
      </c>
      <c r="C1638" t="s">
        <v>11178</v>
      </c>
      <c r="D1638">
        <v>0</v>
      </c>
    </row>
    <row r="1639" spans="2:4" ht="15" customHeight="1">
      <c r="B1639" t="s">
        <v>11179</v>
      </c>
      <c r="C1639" t="s">
        <v>11179</v>
      </c>
      <c r="D1639">
        <v>0</v>
      </c>
    </row>
    <row r="1640" spans="2:4" ht="15" customHeight="1">
      <c r="B1640" t="s">
        <v>11180</v>
      </c>
      <c r="C1640" t="s">
        <v>11180</v>
      </c>
      <c r="D1640">
        <v>0</v>
      </c>
    </row>
    <row r="1641" spans="2:4" ht="15" customHeight="1">
      <c r="B1641" t="s">
        <v>11181</v>
      </c>
      <c r="C1641" t="s">
        <v>11181</v>
      </c>
      <c r="D1641">
        <v>0</v>
      </c>
    </row>
    <row r="1642" spans="2:4" ht="15" customHeight="1">
      <c r="B1642" t="s">
        <v>11182</v>
      </c>
      <c r="C1642" t="s">
        <v>11182</v>
      </c>
      <c r="D1642">
        <v>0</v>
      </c>
    </row>
    <row r="1643" spans="2:4" ht="15" customHeight="1">
      <c r="B1643" t="s">
        <v>11183</v>
      </c>
      <c r="C1643" t="s">
        <v>11183</v>
      </c>
      <c r="D1643">
        <v>0</v>
      </c>
    </row>
    <row r="1644" spans="2:4" ht="15" customHeight="1">
      <c r="B1644" t="s">
        <v>11184</v>
      </c>
      <c r="C1644" t="s">
        <v>11184</v>
      </c>
      <c r="D1644">
        <v>0</v>
      </c>
    </row>
    <row r="1645" spans="2:4" ht="15" customHeight="1">
      <c r="B1645" t="s">
        <v>11185</v>
      </c>
      <c r="C1645" t="s">
        <v>11185</v>
      </c>
      <c r="D1645">
        <v>0</v>
      </c>
    </row>
    <row r="1646" spans="2:4" ht="15" customHeight="1">
      <c r="B1646" t="s">
        <v>11186</v>
      </c>
      <c r="C1646" t="s">
        <v>11186</v>
      </c>
      <c r="D1646">
        <v>0</v>
      </c>
    </row>
    <row r="1647" spans="2:4" ht="15" customHeight="1">
      <c r="B1647" t="s">
        <v>11187</v>
      </c>
      <c r="C1647" t="s">
        <v>11187</v>
      </c>
      <c r="D1647">
        <v>0</v>
      </c>
    </row>
    <row r="1648" spans="2:4" ht="15" customHeight="1">
      <c r="B1648" t="s">
        <v>11188</v>
      </c>
      <c r="C1648" t="s">
        <v>11188</v>
      </c>
      <c r="D1648">
        <v>0</v>
      </c>
    </row>
    <row r="1649" spans="2:4" ht="15" customHeight="1">
      <c r="B1649" t="s">
        <v>11189</v>
      </c>
      <c r="C1649" t="s">
        <v>11189</v>
      </c>
      <c r="D1649">
        <v>0</v>
      </c>
    </row>
    <row r="1650" spans="2:4" ht="15" customHeight="1">
      <c r="B1650" t="s">
        <v>11190</v>
      </c>
      <c r="C1650" t="s">
        <v>11190</v>
      </c>
      <c r="D1650">
        <v>0</v>
      </c>
    </row>
    <row r="1651" spans="2:4" ht="15" customHeight="1">
      <c r="B1651" t="s">
        <v>11191</v>
      </c>
      <c r="C1651" t="s">
        <v>11191</v>
      </c>
      <c r="D1651">
        <v>0</v>
      </c>
    </row>
    <row r="1652" spans="2:4" ht="15" customHeight="1">
      <c r="B1652" t="s">
        <v>11192</v>
      </c>
      <c r="C1652" t="s">
        <v>11192</v>
      </c>
      <c r="D1652">
        <v>0</v>
      </c>
    </row>
    <row r="1653" spans="2:4" ht="15" customHeight="1">
      <c r="B1653" t="s">
        <v>11193</v>
      </c>
      <c r="C1653" t="s">
        <v>11193</v>
      </c>
      <c r="D1653">
        <v>0</v>
      </c>
    </row>
    <row r="1654" spans="2:4" ht="15" customHeight="1">
      <c r="B1654" t="s">
        <v>11194</v>
      </c>
      <c r="C1654" t="s">
        <v>11194</v>
      </c>
      <c r="D1654">
        <v>0</v>
      </c>
    </row>
    <row r="1655" spans="2:4" ht="15" customHeight="1">
      <c r="B1655" t="s">
        <v>11195</v>
      </c>
      <c r="C1655" t="s">
        <v>11195</v>
      </c>
      <c r="D1655">
        <v>0</v>
      </c>
    </row>
    <row r="1656" spans="2:4" ht="15" customHeight="1">
      <c r="B1656" t="s">
        <v>11196</v>
      </c>
      <c r="C1656" t="s">
        <v>11196</v>
      </c>
      <c r="D1656">
        <v>0</v>
      </c>
    </row>
    <row r="1657" spans="2:4" ht="15" customHeight="1">
      <c r="B1657" t="s">
        <v>11197</v>
      </c>
      <c r="C1657" t="s">
        <v>11197</v>
      </c>
      <c r="D1657">
        <v>0</v>
      </c>
    </row>
    <row r="1658" spans="2:4" ht="15" customHeight="1">
      <c r="B1658" t="s">
        <v>11198</v>
      </c>
      <c r="C1658" t="s">
        <v>11198</v>
      </c>
      <c r="D1658">
        <v>0</v>
      </c>
    </row>
    <row r="1659" spans="2:4" ht="15" customHeight="1">
      <c r="B1659" t="s">
        <v>11199</v>
      </c>
      <c r="C1659" t="s">
        <v>11199</v>
      </c>
      <c r="D1659">
        <v>0</v>
      </c>
    </row>
    <row r="1660" spans="2:4" ht="15" customHeight="1">
      <c r="B1660" t="s">
        <v>1967</v>
      </c>
      <c r="C1660" t="s">
        <v>1967</v>
      </c>
      <c r="D1660">
        <v>0</v>
      </c>
    </row>
    <row r="1661" spans="2:4" ht="15" customHeight="1">
      <c r="B1661" t="s">
        <v>11200</v>
      </c>
      <c r="C1661" t="s">
        <v>11200</v>
      </c>
      <c r="D1661">
        <v>0</v>
      </c>
    </row>
    <row r="1662" spans="2:4" ht="15" customHeight="1">
      <c r="B1662" t="s">
        <v>11201</v>
      </c>
      <c r="C1662" t="s">
        <v>11201</v>
      </c>
      <c r="D1662">
        <v>0</v>
      </c>
    </row>
    <row r="1663" spans="2:4" ht="15" customHeight="1">
      <c r="B1663" t="s">
        <v>11202</v>
      </c>
      <c r="C1663" t="s">
        <v>11202</v>
      </c>
      <c r="D1663">
        <v>0</v>
      </c>
    </row>
    <row r="1664" spans="2:4" ht="15" customHeight="1">
      <c r="B1664" t="s">
        <v>11203</v>
      </c>
      <c r="C1664" t="s">
        <v>11203</v>
      </c>
      <c r="D1664">
        <v>0</v>
      </c>
    </row>
    <row r="1665" spans="2:4" ht="15" customHeight="1">
      <c r="B1665" t="s">
        <v>11204</v>
      </c>
      <c r="C1665" t="s">
        <v>11204</v>
      </c>
      <c r="D1665">
        <v>0</v>
      </c>
    </row>
    <row r="1666" spans="2:4" ht="15" customHeight="1">
      <c r="B1666" t="s">
        <v>11205</v>
      </c>
      <c r="C1666" t="s">
        <v>11205</v>
      </c>
      <c r="D1666">
        <v>0</v>
      </c>
    </row>
    <row r="1667" spans="2:4" ht="15" customHeight="1">
      <c r="B1667" t="s">
        <v>11206</v>
      </c>
      <c r="C1667" t="s">
        <v>11206</v>
      </c>
      <c r="D1667">
        <v>0</v>
      </c>
    </row>
    <row r="1668" spans="2:4" ht="15" customHeight="1">
      <c r="B1668" t="s">
        <v>11207</v>
      </c>
      <c r="C1668" t="s">
        <v>11207</v>
      </c>
      <c r="D1668">
        <v>0</v>
      </c>
    </row>
    <row r="1669" spans="2:4" ht="15" customHeight="1">
      <c r="B1669" t="s">
        <v>11208</v>
      </c>
      <c r="C1669" t="s">
        <v>11208</v>
      </c>
      <c r="D1669">
        <v>0</v>
      </c>
    </row>
    <row r="1670" spans="2:4" ht="15" customHeight="1">
      <c r="B1670" t="s">
        <v>11209</v>
      </c>
      <c r="C1670" t="s">
        <v>11209</v>
      </c>
      <c r="D1670">
        <v>0</v>
      </c>
    </row>
    <row r="1671" spans="2:4" ht="15" customHeight="1">
      <c r="B1671" t="s">
        <v>11210</v>
      </c>
      <c r="C1671" t="s">
        <v>11210</v>
      </c>
      <c r="D1671">
        <v>0</v>
      </c>
    </row>
    <row r="1672" spans="2:4" ht="15" customHeight="1">
      <c r="B1672" t="s">
        <v>11211</v>
      </c>
      <c r="C1672" t="s">
        <v>11211</v>
      </c>
      <c r="D1672">
        <v>0</v>
      </c>
    </row>
    <row r="1673" spans="2:4" ht="15" customHeight="1">
      <c r="B1673" t="s">
        <v>11212</v>
      </c>
      <c r="C1673" t="s">
        <v>11212</v>
      </c>
      <c r="D1673">
        <v>0</v>
      </c>
    </row>
    <row r="1674" spans="2:4" ht="15" customHeight="1">
      <c r="B1674" t="s">
        <v>11213</v>
      </c>
      <c r="C1674" t="s">
        <v>11213</v>
      </c>
      <c r="D1674">
        <v>0</v>
      </c>
    </row>
    <row r="1675" spans="2:4" ht="15" customHeight="1">
      <c r="B1675" t="s">
        <v>11214</v>
      </c>
      <c r="C1675" t="s">
        <v>11214</v>
      </c>
      <c r="D1675">
        <v>0</v>
      </c>
    </row>
    <row r="1676" spans="2:4" ht="15" customHeight="1">
      <c r="B1676" t="s">
        <v>11215</v>
      </c>
      <c r="C1676" t="s">
        <v>11215</v>
      </c>
      <c r="D1676">
        <v>0</v>
      </c>
    </row>
    <row r="1677" spans="2:4" ht="15" customHeight="1">
      <c r="B1677" t="s">
        <v>11216</v>
      </c>
      <c r="C1677" t="s">
        <v>11216</v>
      </c>
      <c r="D1677">
        <v>0</v>
      </c>
    </row>
    <row r="1678" spans="2:4" ht="15" customHeight="1">
      <c r="B1678" t="s">
        <v>11217</v>
      </c>
      <c r="C1678" t="s">
        <v>11217</v>
      </c>
      <c r="D1678">
        <v>0</v>
      </c>
    </row>
    <row r="1679" spans="2:4" ht="15" customHeight="1">
      <c r="B1679" t="s">
        <v>11218</v>
      </c>
      <c r="C1679" t="s">
        <v>11218</v>
      </c>
      <c r="D1679">
        <v>0</v>
      </c>
    </row>
    <row r="1680" spans="2:4" ht="15" customHeight="1">
      <c r="B1680" t="s">
        <v>11219</v>
      </c>
      <c r="C1680" t="s">
        <v>11219</v>
      </c>
      <c r="D1680">
        <v>0</v>
      </c>
    </row>
    <row r="1681" spans="2:4" ht="15" customHeight="1">
      <c r="B1681" t="s">
        <v>7769</v>
      </c>
      <c r="C1681" t="s">
        <v>7769</v>
      </c>
      <c r="D1681">
        <v>0</v>
      </c>
    </row>
    <row r="1682" spans="2:4" ht="15" customHeight="1">
      <c r="B1682" t="s">
        <v>11220</v>
      </c>
      <c r="C1682" t="s">
        <v>11220</v>
      </c>
      <c r="D1682">
        <v>0</v>
      </c>
    </row>
    <row r="1683" spans="2:4" ht="15" customHeight="1">
      <c r="B1683" t="s">
        <v>11221</v>
      </c>
      <c r="C1683" t="s">
        <v>11221</v>
      </c>
      <c r="D1683">
        <v>0</v>
      </c>
    </row>
    <row r="1684" spans="2:4" ht="15" customHeight="1">
      <c r="B1684" t="s">
        <v>11222</v>
      </c>
      <c r="C1684" t="s">
        <v>11222</v>
      </c>
      <c r="D1684">
        <v>0</v>
      </c>
    </row>
    <row r="1685" spans="2:4" ht="15" customHeight="1">
      <c r="B1685" t="s">
        <v>11223</v>
      </c>
      <c r="C1685" t="s">
        <v>11223</v>
      </c>
      <c r="D1685">
        <v>0</v>
      </c>
    </row>
    <row r="1686" spans="2:4" ht="15" customHeight="1">
      <c r="B1686" t="s">
        <v>11224</v>
      </c>
      <c r="C1686" t="s">
        <v>11224</v>
      </c>
      <c r="D1686">
        <v>0</v>
      </c>
    </row>
    <row r="1687" spans="2:4" ht="15" customHeight="1">
      <c r="B1687" t="s">
        <v>11225</v>
      </c>
      <c r="C1687" t="s">
        <v>11225</v>
      </c>
      <c r="D1687">
        <v>0</v>
      </c>
    </row>
    <row r="1688" spans="2:4" ht="15" customHeight="1">
      <c r="B1688" t="s">
        <v>11226</v>
      </c>
      <c r="C1688" t="s">
        <v>11226</v>
      </c>
      <c r="D1688">
        <v>0</v>
      </c>
    </row>
    <row r="1689" spans="2:4" ht="15" customHeight="1">
      <c r="B1689" t="s">
        <v>11227</v>
      </c>
      <c r="C1689" t="s">
        <v>11227</v>
      </c>
      <c r="D1689">
        <v>0</v>
      </c>
    </row>
    <row r="1690" spans="2:4" ht="15" customHeight="1">
      <c r="B1690" t="s">
        <v>11228</v>
      </c>
      <c r="C1690" t="s">
        <v>11228</v>
      </c>
      <c r="D1690">
        <v>0</v>
      </c>
    </row>
    <row r="1691" spans="2:4" ht="15" customHeight="1">
      <c r="B1691" t="s">
        <v>11229</v>
      </c>
      <c r="C1691" t="s">
        <v>11229</v>
      </c>
      <c r="D1691">
        <v>0</v>
      </c>
    </row>
    <row r="1692" spans="2:4" ht="15" customHeight="1">
      <c r="B1692" t="s">
        <v>11230</v>
      </c>
      <c r="C1692" t="s">
        <v>11230</v>
      </c>
      <c r="D1692">
        <v>0</v>
      </c>
    </row>
    <row r="1693" spans="2:4" ht="15" customHeight="1">
      <c r="B1693" t="s">
        <v>11231</v>
      </c>
      <c r="C1693" t="s">
        <v>11231</v>
      </c>
      <c r="D1693">
        <v>0</v>
      </c>
    </row>
    <row r="1694" spans="2:4" ht="15" customHeight="1">
      <c r="B1694" t="s">
        <v>11232</v>
      </c>
      <c r="C1694" t="s">
        <v>11232</v>
      </c>
      <c r="D1694">
        <v>0</v>
      </c>
    </row>
    <row r="1695" spans="2:4" ht="15" customHeight="1">
      <c r="B1695" t="s">
        <v>11233</v>
      </c>
      <c r="C1695" t="s">
        <v>11233</v>
      </c>
      <c r="D1695">
        <v>0</v>
      </c>
    </row>
    <row r="1696" spans="2:4" ht="15" customHeight="1">
      <c r="B1696" t="s">
        <v>11234</v>
      </c>
      <c r="C1696" t="s">
        <v>11234</v>
      </c>
      <c r="D1696">
        <v>0</v>
      </c>
    </row>
    <row r="1697" spans="2:4" ht="15" customHeight="1">
      <c r="B1697" t="s">
        <v>10689</v>
      </c>
      <c r="C1697" t="s">
        <v>10689</v>
      </c>
      <c r="D1697">
        <v>0</v>
      </c>
    </row>
    <row r="1698" spans="2:4" ht="15" customHeight="1">
      <c r="B1698" t="s">
        <v>11235</v>
      </c>
      <c r="C1698" t="s">
        <v>11235</v>
      </c>
      <c r="D1698">
        <v>0</v>
      </c>
    </row>
    <row r="1699" spans="2:4" ht="15" customHeight="1">
      <c r="B1699" t="s">
        <v>11236</v>
      </c>
      <c r="C1699" t="s">
        <v>11236</v>
      </c>
      <c r="D1699">
        <v>0</v>
      </c>
    </row>
    <row r="1700" spans="2:4" ht="15" customHeight="1">
      <c r="B1700" t="s">
        <v>11237</v>
      </c>
      <c r="C1700" t="s">
        <v>11237</v>
      </c>
      <c r="D1700">
        <v>0</v>
      </c>
    </row>
    <row r="1701" spans="2:4" ht="15" customHeight="1">
      <c r="B1701" t="s">
        <v>11238</v>
      </c>
      <c r="C1701" t="s">
        <v>11238</v>
      </c>
      <c r="D1701">
        <v>0</v>
      </c>
    </row>
    <row r="1702" spans="2:4" ht="15" customHeight="1">
      <c r="B1702" t="s">
        <v>11239</v>
      </c>
      <c r="C1702" t="s">
        <v>11239</v>
      </c>
      <c r="D1702">
        <v>0</v>
      </c>
    </row>
    <row r="1703" spans="2:4" ht="15" customHeight="1">
      <c r="B1703" t="s">
        <v>11240</v>
      </c>
      <c r="C1703" t="s">
        <v>11240</v>
      </c>
      <c r="D1703">
        <v>0</v>
      </c>
    </row>
    <row r="1704" spans="2:4" ht="15" customHeight="1">
      <c r="B1704" t="s">
        <v>11241</v>
      </c>
      <c r="C1704" t="s">
        <v>11241</v>
      </c>
      <c r="D1704">
        <v>0</v>
      </c>
    </row>
    <row r="1705" spans="2:4" ht="15" customHeight="1">
      <c r="B1705" t="s">
        <v>11242</v>
      </c>
      <c r="C1705" t="s">
        <v>11242</v>
      </c>
      <c r="D1705">
        <v>0</v>
      </c>
    </row>
    <row r="1706" spans="2:4" ht="15" customHeight="1">
      <c r="B1706" t="s">
        <v>11243</v>
      </c>
      <c r="C1706" t="s">
        <v>11243</v>
      </c>
      <c r="D1706">
        <v>0</v>
      </c>
    </row>
    <row r="1707" spans="2:4" ht="15" customHeight="1">
      <c r="B1707" t="s">
        <v>7855</v>
      </c>
      <c r="C1707" t="s">
        <v>7855</v>
      </c>
      <c r="D1707">
        <v>0</v>
      </c>
    </row>
    <row r="1708" spans="2:4" ht="15" customHeight="1">
      <c r="B1708" t="s">
        <v>11244</v>
      </c>
      <c r="C1708" t="s">
        <v>11244</v>
      </c>
      <c r="D1708">
        <v>0</v>
      </c>
    </row>
    <row r="1709" spans="2:4" ht="15" customHeight="1">
      <c r="B1709" t="s">
        <v>11245</v>
      </c>
      <c r="C1709" t="s">
        <v>11245</v>
      </c>
      <c r="D1709">
        <v>0</v>
      </c>
    </row>
    <row r="1710" spans="2:4" ht="15" customHeight="1">
      <c r="B1710" t="s">
        <v>11246</v>
      </c>
      <c r="C1710" t="s">
        <v>11246</v>
      </c>
      <c r="D1710">
        <v>0</v>
      </c>
    </row>
    <row r="1711" spans="2:4" ht="15" customHeight="1">
      <c r="B1711" t="s">
        <v>11247</v>
      </c>
      <c r="C1711" t="s">
        <v>11247</v>
      </c>
      <c r="D1711">
        <v>0</v>
      </c>
    </row>
    <row r="1712" spans="2:4" ht="15" customHeight="1">
      <c r="B1712" t="s">
        <v>11248</v>
      </c>
      <c r="C1712" t="s">
        <v>11248</v>
      </c>
      <c r="D1712">
        <v>0</v>
      </c>
    </row>
    <row r="1713" spans="2:4" ht="15" customHeight="1">
      <c r="B1713" t="s">
        <v>11249</v>
      </c>
      <c r="C1713" t="s">
        <v>11249</v>
      </c>
      <c r="D1713">
        <v>0</v>
      </c>
    </row>
    <row r="1714" spans="2:4" ht="15" customHeight="1">
      <c r="B1714" t="s">
        <v>11250</v>
      </c>
      <c r="C1714" t="s">
        <v>11250</v>
      </c>
      <c r="D1714">
        <v>0</v>
      </c>
    </row>
    <row r="1715" spans="2:4" ht="15" customHeight="1">
      <c r="B1715" t="s">
        <v>11251</v>
      </c>
      <c r="C1715" t="s">
        <v>11251</v>
      </c>
      <c r="D1715">
        <v>0</v>
      </c>
    </row>
    <row r="1716" spans="2:4" ht="15" customHeight="1">
      <c r="B1716" t="s">
        <v>11252</v>
      </c>
      <c r="C1716" t="s">
        <v>11252</v>
      </c>
      <c r="D1716">
        <v>0</v>
      </c>
    </row>
    <row r="1717" spans="2:4" ht="15" customHeight="1">
      <c r="B1717" t="s">
        <v>11253</v>
      </c>
      <c r="C1717" t="s">
        <v>11253</v>
      </c>
      <c r="D1717">
        <v>0</v>
      </c>
    </row>
    <row r="1718" spans="2:4" ht="15" customHeight="1">
      <c r="B1718" t="s">
        <v>11254</v>
      </c>
      <c r="C1718" t="s">
        <v>11254</v>
      </c>
      <c r="D1718">
        <v>0</v>
      </c>
    </row>
    <row r="1719" spans="2:4" ht="15" customHeight="1">
      <c r="B1719" t="s">
        <v>11255</v>
      </c>
      <c r="C1719" t="s">
        <v>11255</v>
      </c>
      <c r="D1719">
        <v>0</v>
      </c>
    </row>
    <row r="1720" spans="2:4" ht="15" customHeight="1">
      <c r="B1720" t="s">
        <v>11256</v>
      </c>
      <c r="C1720" t="s">
        <v>11256</v>
      </c>
      <c r="D1720">
        <v>0</v>
      </c>
    </row>
    <row r="1721" spans="2:4" ht="15" customHeight="1">
      <c r="B1721" t="s">
        <v>11257</v>
      </c>
      <c r="C1721" t="s">
        <v>11257</v>
      </c>
      <c r="D1721">
        <v>0</v>
      </c>
    </row>
    <row r="1722" spans="2:4" ht="15" customHeight="1">
      <c r="B1722" t="s">
        <v>11258</v>
      </c>
      <c r="C1722" t="s">
        <v>11258</v>
      </c>
      <c r="D1722">
        <v>0</v>
      </c>
    </row>
    <row r="1723" spans="2:4" ht="15" customHeight="1">
      <c r="B1723" t="s">
        <v>11259</v>
      </c>
      <c r="C1723" t="s">
        <v>11259</v>
      </c>
      <c r="D1723">
        <v>0</v>
      </c>
    </row>
    <row r="1724" spans="2:4" ht="15" customHeight="1">
      <c r="B1724" t="s">
        <v>11260</v>
      </c>
      <c r="C1724" t="s">
        <v>11260</v>
      </c>
      <c r="D1724">
        <v>0</v>
      </c>
    </row>
    <row r="1725" spans="2:4" ht="15" customHeight="1">
      <c r="B1725" t="s">
        <v>11261</v>
      </c>
      <c r="C1725" t="s">
        <v>11261</v>
      </c>
      <c r="D1725">
        <v>0</v>
      </c>
    </row>
    <row r="1726" spans="2:4" ht="15" customHeight="1">
      <c r="B1726" t="s">
        <v>11262</v>
      </c>
      <c r="C1726" t="s">
        <v>11262</v>
      </c>
      <c r="D1726">
        <v>0</v>
      </c>
    </row>
    <row r="1727" spans="2:4" ht="15" customHeight="1">
      <c r="B1727" t="s">
        <v>11263</v>
      </c>
      <c r="C1727" t="s">
        <v>11263</v>
      </c>
      <c r="D1727">
        <v>0</v>
      </c>
    </row>
    <row r="1728" spans="2:4" ht="15" customHeight="1">
      <c r="B1728" t="s">
        <v>11264</v>
      </c>
      <c r="C1728" t="s">
        <v>11264</v>
      </c>
      <c r="D1728">
        <v>0</v>
      </c>
    </row>
    <row r="1729" spans="2:4" ht="15" customHeight="1">
      <c r="B1729" t="s">
        <v>11265</v>
      </c>
      <c r="C1729" t="s">
        <v>11265</v>
      </c>
      <c r="D1729">
        <v>0</v>
      </c>
    </row>
    <row r="1730" spans="2:4" ht="15" customHeight="1">
      <c r="B1730" t="s">
        <v>11266</v>
      </c>
      <c r="C1730" t="s">
        <v>11266</v>
      </c>
      <c r="D1730">
        <v>0</v>
      </c>
    </row>
    <row r="1731" spans="2:4" ht="15" customHeight="1">
      <c r="B1731" t="s">
        <v>11267</v>
      </c>
      <c r="C1731" t="s">
        <v>11267</v>
      </c>
      <c r="D1731">
        <v>0</v>
      </c>
    </row>
    <row r="1732" spans="2:4" ht="15" customHeight="1">
      <c r="B1732" t="s">
        <v>11268</v>
      </c>
      <c r="C1732" t="s">
        <v>11268</v>
      </c>
      <c r="D1732">
        <v>0</v>
      </c>
    </row>
    <row r="1733" spans="2:4" ht="15" customHeight="1">
      <c r="B1733" t="s">
        <v>11269</v>
      </c>
      <c r="C1733" t="s">
        <v>11269</v>
      </c>
      <c r="D1733">
        <v>0</v>
      </c>
    </row>
    <row r="1734" spans="2:4" ht="15" customHeight="1">
      <c r="B1734" t="s">
        <v>11270</v>
      </c>
      <c r="C1734" t="s">
        <v>11270</v>
      </c>
      <c r="D1734">
        <v>0</v>
      </c>
    </row>
    <row r="1735" spans="2:4" ht="15" customHeight="1">
      <c r="B1735" t="s">
        <v>11271</v>
      </c>
      <c r="C1735" t="s">
        <v>11271</v>
      </c>
      <c r="D1735">
        <v>0</v>
      </c>
    </row>
    <row r="1736" spans="2:4" ht="15" customHeight="1">
      <c r="B1736" t="s">
        <v>11272</v>
      </c>
      <c r="C1736" t="s">
        <v>11272</v>
      </c>
      <c r="D1736">
        <v>0</v>
      </c>
    </row>
    <row r="1737" spans="2:4" ht="15" customHeight="1">
      <c r="B1737" t="s">
        <v>11273</v>
      </c>
      <c r="C1737" t="s">
        <v>11273</v>
      </c>
      <c r="D1737">
        <v>0</v>
      </c>
    </row>
    <row r="1738" spans="2:4" ht="15" customHeight="1">
      <c r="B1738" t="s">
        <v>11274</v>
      </c>
      <c r="C1738" t="s">
        <v>11274</v>
      </c>
      <c r="D1738">
        <v>0</v>
      </c>
    </row>
    <row r="1739" spans="2:4" ht="15" customHeight="1">
      <c r="B1739" t="s">
        <v>11275</v>
      </c>
      <c r="C1739" t="s">
        <v>11275</v>
      </c>
      <c r="D1739">
        <v>0</v>
      </c>
    </row>
    <row r="1740" spans="2:4" ht="15" customHeight="1">
      <c r="B1740" t="s">
        <v>11276</v>
      </c>
      <c r="C1740" t="s">
        <v>11276</v>
      </c>
      <c r="D1740">
        <v>0</v>
      </c>
    </row>
    <row r="1741" spans="2:4" ht="15" customHeight="1">
      <c r="B1741" t="s">
        <v>11277</v>
      </c>
      <c r="C1741" t="s">
        <v>11277</v>
      </c>
      <c r="D1741">
        <v>0</v>
      </c>
    </row>
    <row r="1742" spans="2:4" ht="15" customHeight="1">
      <c r="B1742" t="s">
        <v>11278</v>
      </c>
      <c r="C1742" t="s">
        <v>11278</v>
      </c>
      <c r="D1742">
        <v>0</v>
      </c>
    </row>
    <row r="1743" spans="2:4" ht="15" customHeight="1">
      <c r="B1743" t="s">
        <v>11279</v>
      </c>
      <c r="C1743" t="s">
        <v>11279</v>
      </c>
      <c r="D1743">
        <v>0</v>
      </c>
    </row>
    <row r="1744" spans="2:4" ht="15" customHeight="1">
      <c r="B1744" t="s">
        <v>11280</v>
      </c>
      <c r="C1744" t="s">
        <v>11280</v>
      </c>
      <c r="D1744">
        <v>0</v>
      </c>
    </row>
    <row r="1745" spans="2:4" ht="15" customHeight="1">
      <c r="B1745" t="s">
        <v>11281</v>
      </c>
      <c r="C1745" t="s">
        <v>11281</v>
      </c>
      <c r="D1745">
        <v>0</v>
      </c>
    </row>
    <row r="1746" spans="2:4" ht="15" customHeight="1">
      <c r="B1746" t="s">
        <v>11282</v>
      </c>
      <c r="C1746" t="s">
        <v>11282</v>
      </c>
      <c r="D1746">
        <v>0</v>
      </c>
    </row>
    <row r="1747" spans="2:4" ht="15" customHeight="1">
      <c r="B1747" t="s">
        <v>11283</v>
      </c>
      <c r="C1747" t="s">
        <v>11283</v>
      </c>
      <c r="D1747">
        <v>0</v>
      </c>
    </row>
    <row r="1748" spans="2:4" ht="15" customHeight="1">
      <c r="B1748" t="s">
        <v>11284</v>
      </c>
      <c r="C1748" t="s">
        <v>11284</v>
      </c>
      <c r="D1748">
        <v>0</v>
      </c>
    </row>
    <row r="1749" spans="2:4" ht="15" customHeight="1">
      <c r="B1749" t="s">
        <v>11285</v>
      </c>
      <c r="C1749" t="s">
        <v>11285</v>
      </c>
      <c r="D1749">
        <v>0</v>
      </c>
    </row>
    <row r="1750" spans="2:4" ht="15" customHeight="1">
      <c r="B1750" t="s">
        <v>11286</v>
      </c>
      <c r="C1750" t="s">
        <v>11286</v>
      </c>
      <c r="D1750">
        <v>0</v>
      </c>
    </row>
    <row r="1751" spans="2:4" ht="15" customHeight="1">
      <c r="B1751" t="s">
        <v>11287</v>
      </c>
      <c r="C1751" t="s">
        <v>11287</v>
      </c>
      <c r="D1751">
        <v>0</v>
      </c>
    </row>
    <row r="1752" spans="2:4" ht="15" customHeight="1">
      <c r="B1752" t="s">
        <v>11288</v>
      </c>
      <c r="C1752" t="s">
        <v>11288</v>
      </c>
      <c r="D1752">
        <v>0</v>
      </c>
    </row>
    <row r="1753" spans="2:4" ht="15" customHeight="1">
      <c r="B1753" t="s">
        <v>11289</v>
      </c>
      <c r="C1753" t="s">
        <v>11289</v>
      </c>
      <c r="D1753">
        <v>0</v>
      </c>
    </row>
    <row r="1754" spans="2:4" ht="15" customHeight="1">
      <c r="B1754" t="s">
        <v>11290</v>
      </c>
      <c r="C1754" t="s">
        <v>11290</v>
      </c>
      <c r="D1754">
        <v>0</v>
      </c>
    </row>
    <row r="1755" spans="2:4" ht="15" customHeight="1">
      <c r="B1755" t="s">
        <v>11291</v>
      </c>
      <c r="C1755" t="s">
        <v>11291</v>
      </c>
      <c r="D1755">
        <v>0</v>
      </c>
    </row>
    <row r="1756" spans="2:4" ht="15" customHeight="1">
      <c r="B1756" t="s">
        <v>11292</v>
      </c>
      <c r="C1756" t="s">
        <v>11292</v>
      </c>
      <c r="D1756">
        <v>0</v>
      </c>
    </row>
    <row r="1757" spans="2:4" ht="15" customHeight="1">
      <c r="B1757" t="s">
        <v>11293</v>
      </c>
      <c r="C1757" t="s">
        <v>11293</v>
      </c>
      <c r="D1757">
        <v>0</v>
      </c>
    </row>
    <row r="1758" spans="2:4" ht="15" customHeight="1">
      <c r="B1758" t="s">
        <v>11294</v>
      </c>
      <c r="C1758" t="s">
        <v>11294</v>
      </c>
      <c r="D1758">
        <v>0</v>
      </c>
    </row>
    <row r="1759" spans="2:4" ht="15" customHeight="1">
      <c r="B1759" t="s">
        <v>11295</v>
      </c>
      <c r="C1759" t="s">
        <v>11295</v>
      </c>
      <c r="D1759">
        <v>0</v>
      </c>
    </row>
    <row r="1760" spans="2:4" ht="15" customHeight="1">
      <c r="B1760" t="s">
        <v>11296</v>
      </c>
      <c r="C1760" t="s">
        <v>11296</v>
      </c>
      <c r="D1760">
        <v>0</v>
      </c>
    </row>
    <row r="1761" spans="2:4" ht="15" customHeight="1">
      <c r="B1761" t="s">
        <v>11297</v>
      </c>
      <c r="C1761" t="s">
        <v>11297</v>
      </c>
      <c r="D1761">
        <v>0</v>
      </c>
    </row>
    <row r="1762" spans="2:4" ht="15" customHeight="1">
      <c r="B1762" t="s">
        <v>11298</v>
      </c>
      <c r="C1762" t="s">
        <v>11298</v>
      </c>
      <c r="D1762">
        <v>0</v>
      </c>
    </row>
    <row r="1763" spans="2:4" ht="15" customHeight="1">
      <c r="B1763" t="s">
        <v>11299</v>
      </c>
      <c r="C1763" t="s">
        <v>11299</v>
      </c>
      <c r="D1763">
        <v>0</v>
      </c>
    </row>
    <row r="1764" spans="2:4" ht="15" customHeight="1">
      <c r="B1764" t="s">
        <v>10353</v>
      </c>
      <c r="C1764" t="s">
        <v>10353</v>
      </c>
      <c r="D1764">
        <v>0</v>
      </c>
    </row>
    <row r="1765" spans="2:4" ht="15" customHeight="1">
      <c r="B1765" t="s">
        <v>10792</v>
      </c>
      <c r="C1765" t="s">
        <v>10792</v>
      </c>
      <c r="D1765">
        <v>0</v>
      </c>
    </row>
    <row r="1766" spans="2:4" ht="15" customHeight="1">
      <c r="B1766" t="s">
        <v>11300</v>
      </c>
      <c r="C1766" t="s">
        <v>11300</v>
      </c>
      <c r="D1766">
        <v>0</v>
      </c>
    </row>
    <row r="1767" spans="2:4" ht="15" customHeight="1">
      <c r="B1767" t="s">
        <v>11301</v>
      </c>
      <c r="C1767" t="s">
        <v>11301</v>
      </c>
      <c r="D1767">
        <v>0</v>
      </c>
    </row>
    <row r="1768" spans="2:4" ht="15" customHeight="1">
      <c r="B1768" t="s">
        <v>883</v>
      </c>
      <c r="C1768" t="s">
        <v>883</v>
      </c>
      <c r="D1768">
        <v>0</v>
      </c>
    </row>
    <row r="1769" spans="2:4" ht="15" customHeight="1">
      <c r="B1769" t="s">
        <v>1981</v>
      </c>
      <c r="C1769" t="s">
        <v>1981</v>
      </c>
      <c r="D1769">
        <v>0</v>
      </c>
    </row>
    <row r="1770" spans="2:4" ht="15" customHeight="1">
      <c r="B1770" t="s">
        <v>7808</v>
      </c>
      <c r="C1770" t="s">
        <v>7808</v>
      </c>
      <c r="D1770">
        <v>0</v>
      </c>
    </row>
    <row r="1771" spans="2:4" ht="15" customHeight="1">
      <c r="B1771" t="s">
        <v>11302</v>
      </c>
      <c r="C1771" t="s">
        <v>11302</v>
      </c>
      <c r="D1771">
        <v>0</v>
      </c>
    </row>
    <row r="1772" spans="2:4" ht="15" customHeight="1">
      <c r="B1772" t="s">
        <v>11303</v>
      </c>
      <c r="C1772" t="s">
        <v>11303</v>
      </c>
      <c r="D1772">
        <v>0</v>
      </c>
    </row>
    <row r="1773" spans="2:4" ht="15" customHeight="1">
      <c r="B1773" t="s">
        <v>15</v>
      </c>
      <c r="C1773" t="s">
        <v>15</v>
      </c>
      <c r="D1773">
        <v>0</v>
      </c>
    </row>
    <row r="1774" spans="2:4" ht="15" customHeight="1">
      <c r="B1774" t="s">
        <v>217</v>
      </c>
      <c r="C1774" t="s">
        <v>217</v>
      </c>
      <c r="D1774">
        <v>0</v>
      </c>
    </row>
    <row r="1775" spans="2:4" ht="15" customHeight="1">
      <c r="B1775" t="s">
        <v>11304</v>
      </c>
      <c r="C1775" t="s">
        <v>11304</v>
      </c>
      <c r="D1775">
        <v>0</v>
      </c>
    </row>
    <row r="1776" spans="2:4" ht="15" customHeight="1">
      <c r="B1776" t="s">
        <v>11305</v>
      </c>
      <c r="C1776" t="s">
        <v>11305</v>
      </c>
      <c r="D1776">
        <v>0</v>
      </c>
    </row>
    <row r="1777" spans="2:4" ht="15" customHeight="1">
      <c r="B1777" t="s">
        <v>11306</v>
      </c>
      <c r="C1777" t="s">
        <v>11306</v>
      </c>
      <c r="D1777">
        <v>0</v>
      </c>
    </row>
    <row r="1778" spans="2:4" ht="15" customHeight="1">
      <c r="B1778" t="s">
        <v>11307</v>
      </c>
      <c r="C1778" t="s">
        <v>11307</v>
      </c>
      <c r="D1778">
        <v>0</v>
      </c>
    </row>
    <row r="1779" spans="2:4" ht="15" customHeight="1">
      <c r="B1779" t="s">
        <v>11308</v>
      </c>
      <c r="C1779" t="s">
        <v>11308</v>
      </c>
      <c r="D1779">
        <v>0</v>
      </c>
    </row>
    <row r="1780" spans="2:4" ht="15" customHeight="1">
      <c r="B1780" t="s">
        <v>11309</v>
      </c>
      <c r="C1780" t="s">
        <v>11309</v>
      </c>
      <c r="D1780">
        <v>0</v>
      </c>
    </row>
    <row r="1781" spans="2:4" ht="15" customHeight="1">
      <c r="B1781" t="s">
        <v>11310</v>
      </c>
      <c r="C1781" t="s">
        <v>11310</v>
      </c>
      <c r="D1781">
        <v>0</v>
      </c>
    </row>
    <row r="1782" spans="2:4" ht="15" customHeight="1">
      <c r="B1782" t="s">
        <v>11311</v>
      </c>
      <c r="C1782" t="s">
        <v>11311</v>
      </c>
      <c r="D1782">
        <v>0</v>
      </c>
    </row>
    <row r="1783" spans="2:4" ht="15" customHeight="1">
      <c r="B1783" t="s">
        <v>11312</v>
      </c>
      <c r="C1783" t="s">
        <v>11312</v>
      </c>
      <c r="D1783">
        <v>0</v>
      </c>
    </row>
    <row r="1784" spans="2:4" ht="15" customHeight="1">
      <c r="B1784" t="s">
        <v>11313</v>
      </c>
      <c r="C1784" t="s">
        <v>11313</v>
      </c>
      <c r="D1784">
        <v>0</v>
      </c>
    </row>
    <row r="1785" spans="2:4" ht="15" customHeight="1">
      <c r="B1785" t="s">
        <v>11314</v>
      </c>
      <c r="C1785" t="s">
        <v>11314</v>
      </c>
      <c r="D1785">
        <v>0</v>
      </c>
    </row>
    <row r="1786" spans="2:4" ht="15" customHeight="1">
      <c r="B1786" t="s">
        <v>10797</v>
      </c>
      <c r="C1786" t="s">
        <v>10797</v>
      </c>
      <c r="D1786">
        <v>0</v>
      </c>
    </row>
    <row r="1787" spans="2:4" ht="15" customHeight="1">
      <c r="B1787" t="s">
        <v>1208</v>
      </c>
      <c r="C1787" t="s">
        <v>1208</v>
      </c>
      <c r="D1787">
        <v>0</v>
      </c>
    </row>
    <row r="1788" spans="2:4" ht="15" customHeight="1">
      <c r="B1788" t="s">
        <v>8277</v>
      </c>
      <c r="C1788" t="s">
        <v>8277</v>
      </c>
      <c r="D1788">
        <v>0</v>
      </c>
    </row>
    <row r="1789" spans="2:4" ht="15" customHeight="1">
      <c r="B1789" t="s">
        <v>11315</v>
      </c>
      <c r="C1789" t="s">
        <v>11315</v>
      </c>
      <c r="D1789">
        <v>0</v>
      </c>
    </row>
    <row r="1790" spans="2:4" ht="15" customHeight="1">
      <c r="B1790" t="s">
        <v>11316</v>
      </c>
      <c r="C1790" t="s">
        <v>11316</v>
      </c>
      <c r="D1790">
        <v>0</v>
      </c>
    </row>
    <row r="1791" spans="2:4" ht="15" customHeight="1">
      <c r="B1791" t="s">
        <v>11317</v>
      </c>
      <c r="C1791" t="s">
        <v>11317</v>
      </c>
      <c r="D1791">
        <v>0</v>
      </c>
    </row>
    <row r="1792" spans="2:4" ht="15" customHeight="1">
      <c r="B1792" t="s">
        <v>11318</v>
      </c>
      <c r="C1792" t="s">
        <v>11318</v>
      </c>
      <c r="D1792">
        <v>0</v>
      </c>
    </row>
    <row r="1793" spans="2:4" ht="15" customHeight="1">
      <c r="B1793" t="s">
        <v>11319</v>
      </c>
      <c r="C1793" t="s">
        <v>11319</v>
      </c>
      <c r="D1793">
        <v>0</v>
      </c>
    </row>
    <row r="1794" spans="2:4" ht="15" customHeight="1">
      <c r="B1794" t="s">
        <v>11320</v>
      </c>
      <c r="C1794" t="s">
        <v>11320</v>
      </c>
      <c r="D1794">
        <v>0</v>
      </c>
    </row>
    <row r="1795" spans="2:4" ht="15" customHeight="1">
      <c r="B1795" t="s">
        <v>11321</v>
      </c>
      <c r="C1795" t="s">
        <v>11321</v>
      </c>
      <c r="D1795">
        <v>0</v>
      </c>
    </row>
    <row r="1796" spans="2:4" ht="15" customHeight="1">
      <c r="B1796" t="s">
        <v>11322</v>
      </c>
      <c r="C1796" t="s">
        <v>11322</v>
      </c>
      <c r="D1796">
        <v>0</v>
      </c>
    </row>
    <row r="1797" spans="2:4" ht="15" customHeight="1">
      <c r="B1797" t="s">
        <v>11323</v>
      </c>
      <c r="C1797" t="s">
        <v>11323</v>
      </c>
      <c r="D1797">
        <v>0</v>
      </c>
    </row>
    <row r="1798" spans="2:4" ht="15" customHeight="1">
      <c r="B1798" t="s">
        <v>11324</v>
      </c>
      <c r="C1798" t="s">
        <v>11324</v>
      </c>
      <c r="D1798">
        <v>0</v>
      </c>
    </row>
    <row r="1799" spans="2:4" ht="15" customHeight="1">
      <c r="B1799" t="s">
        <v>11325</v>
      </c>
      <c r="C1799" t="s">
        <v>11325</v>
      </c>
      <c r="D1799">
        <v>0</v>
      </c>
    </row>
    <row r="1800" spans="2:4" ht="15" customHeight="1">
      <c r="B1800" t="s">
        <v>11326</v>
      </c>
      <c r="C1800" t="s">
        <v>11326</v>
      </c>
      <c r="D1800">
        <v>0</v>
      </c>
    </row>
    <row r="1801" spans="2:4" ht="15" customHeight="1">
      <c r="B1801" t="s">
        <v>11327</v>
      </c>
      <c r="C1801" t="s">
        <v>11327</v>
      </c>
      <c r="D1801">
        <v>0</v>
      </c>
    </row>
    <row r="1802" spans="2:4" ht="15" customHeight="1">
      <c r="B1802" t="s">
        <v>11328</v>
      </c>
      <c r="C1802" t="s">
        <v>11328</v>
      </c>
      <c r="D1802">
        <v>0</v>
      </c>
    </row>
    <row r="1803" spans="2:4" ht="15" customHeight="1">
      <c r="B1803" t="s">
        <v>11329</v>
      </c>
      <c r="C1803" t="s">
        <v>11329</v>
      </c>
      <c r="D1803">
        <v>0</v>
      </c>
    </row>
    <row r="1804" spans="2:4" ht="15" customHeight="1">
      <c r="B1804" t="s">
        <v>11330</v>
      </c>
      <c r="C1804" t="s">
        <v>11330</v>
      </c>
      <c r="D1804">
        <v>0</v>
      </c>
    </row>
    <row r="1805" spans="2:4" ht="15" customHeight="1">
      <c r="B1805" t="s">
        <v>11331</v>
      </c>
      <c r="C1805" t="s">
        <v>11331</v>
      </c>
      <c r="D1805">
        <v>0</v>
      </c>
    </row>
    <row r="1806" spans="2:4" ht="15" customHeight="1">
      <c r="B1806" t="s">
        <v>11332</v>
      </c>
      <c r="C1806" t="s">
        <v>11332</v>
      </c>
      <c r="D1806">
        <v>0</v>
      </c>
    </row>
    <row r="1807" spans="2:4" ht="15" customHeight="1">
      <c r="B1807" t="s">
        <v>11333</v>
      </c>
      <c r="C1807" t="s">
        <v>11333</v>
      </c>
      <c r="D1807">
        <v>0</v>
      </c>
    </row>
    <row r="1808" spans="2:4" ht="15" customHeight="1">
      <c r="B1808" t="s">
        <v>11334</v>
      </c>
      <c r="C1808" t="s">
        <v>11334</v>
      </c>
      <c r="D1808">
        <v>0</v>
      </c>
    </row>
    <row r="1809" spans="2:4" ht="15" customHeight="1">
      <c r="B1809" t="s">
        <v>11335</v>
      </c>
      <c r="C1809" t="s">
        <v>11335</v>
      </c>
      <c r="D1809">
        <v>0</v>
      </c>
    </row>
    <row r="1810" spans="2:4" ht="15" customHeight="1">
      <c r="B1810" t="s">
        <v>11336</v>
      </c>
      <c r="C1810" t="s">
        <v>11336</v>
      </c>
      <c r="D1810">
        <v>0</v>
      </c>
    </row>
    <row r="1811" spans="2:4" ht="15" customHeight="1">
      <c r="B1811" t="s">
        <v>11337</v>
      </c>
      <c r="C1811" t="s">
        <v>11337</v>
      </c>
      <c r="D1811">
        <v>0</v>
      </c>
    </row>
    <row r="1812" spans="2:4" ht="15" customHeight="1">
      <c r="B1812" t="s">
        <v>11338</v>
      </c>
      <c r="C1812" t="s">
        <v>11338</v>
      </c>
      <c r="D1812">
        <v>0</v>
      </c>
    </row>
    <row r="1813" spans="2:4" ht="15" customHeight="1">
      <c r="B1813" t="s">
        <v>11339</v>
      </c>
      <c r="C1813" t="s">
        <v>11339</v>
      </c>
      <c r="D1813">
        <v>0</v>
      </c>
    </row>
    <row r="1814" spans="2:4" ht="15" customHeight="1">
      <c r="B1814" t="s">
        <v>11340</v>
      </c>
      <c r="C1814" t="s">
        <v>11340</v>
      </c>
      <c r="D1814">
        <v>0</v>
      </c>
    </row>
    <row r="1815" spans="2:4" ht="15" customHeight="1">
      <c r="B1815" t="s">
        <v>11341</v>
      </c>
      <c r="C1815" t="s">
        <v>11341</v>
      </c>
      <c r="D1815">
        <v>0</v>
      </c>
    </row>
    <row r="1816" spans="2:4" ht="15" customHeight="1">
      <c r="B1816" t="s">
        <v>11342</v>
      </c>
      <c r="C1816" t="s">
        <v>11342</v>
      </c>
      <c r="D1816">
        <v>0</v>
      </c>
    </row>
    <row r="1817" spans="2:4" ht="15" customHeight="1">
      <c r="B1817" t="s">
        <v>11343</v>
      </c>
      <c r="C1817" t="s">
        <v>11343</v>
      </c>
      <c r="D1817">
        <v>0</v>
      </c>
    </row>
    <row r="1818" spans="2:4" ht="15" customHeight="1">
      <c r="B1818" t="s">
        <v>11344</v>
      </c>
      <c r="C1818" t="s">
        <v>11344</v>
      </c>
      <c r="D1818">
        <v>0</v>
      </c>
    </row>
    <row r="1819" spans="2:4" ht="15" customHeight="1">
      <c r="B1819" t="s">
        <v>11345</v>
      </c>
      <c r="C1819" t="s">
        <v>11345</v>
      </c>
      <c r="D1819">
        <v>0</v>
      </c>
    </row>
    <row r="1820" spans="2:4" ht="15" customHeight="1">
      <c r="B1820" t="s">
        <v>11346</v>
      </c>
      <c r="C1820" t="s">
        <v>11346</v>
      </c>
      <c r="D1820">
        <v>0</v>
      </c>
    </row>
    <row r="1821" spans="2:4" ht="15" customHeight="1">
      <c r="B1821" t="s">
        <v>11347</v>
      </c>
      <c r="C1821" t="s">
        <v>11347</v>
      </c>
      <c r="D1821">
        <v>0</v>
      </c>
    </row>
    <row r="1822" spans="2:4" ht="15" customHeight="1">
      <c r="B1822" t="s">
        <v>11348</v>
      </c>
      <c r="C1822" t="s">
        <v>11348</v>
      </c>
      <c r="D1822">
        <v>0</v>
      </c>
    </row>
    <row r="1823" spans="2:4" ht="15" customHeight="1">
      <c r="B1823" t="s">
        <v>11349</v>
      </c>
      <c r="C1823" t="s">
        <v>11349</v>
      </c>
      <c r="D1823">
        <v>0</v>
      </c>
    </row>
    <row r="1824" spans="2:4" ht="15" customHeight="1">
      <c r="B1824" t="s">
        <v>11350</v>
      </c>
      <c r="C1824" t="s">
        <v>11350</v>
      </c>
      <c r="D1824">
        <v>0</v>
      </c>
    </row>
    <row r="1825" spans="2:4" ht="15" customHeight="1">
      <c r="B1825" t="s">
        <v>11351</v>
      </c>
      <c r="C1825" t="s">
        <v>11351</v>
      </c>
      <c r="D1825">
        <v>0</v>
      </c>
    </row>
    <row r="1826" spans="2:4" ht="15" customHeight="1">
      <c r="B1826" t="s">
        <v>11352</v>
      </c>
      <c r="C1826" t="s">
        <v>11352</v>
      </c>
      <c r="D1826">
        <v>0</v>
      </c>
    </row>
    <row r="1827" spans="2:4" ht="15" customHeight="1">
      <c r="B1827" t="s">
        <v>11353</v>
      </c>
      <c r="C1827" t="s">
        <v>11353</v>
      </c>
      <c r="D1827">
        <v>0</v>
      </c>
    </row>
    <row r="1828" spans="2:4" ht="15" customHeight="1">
      <c r="B1828" t="s">
        <v>11354</v>
      </c>
      <c r="C1828" t="s">
        <v>11354</v>
      </c>
      <c r="D1828">
        <v>0</v>
      </c>
    </row>
    <row r="1829" spans="2:4" ht="15" customHeight="1">
      <c r="B1829" t="s">
        <v>11355</v>
      </c>
      <c r="C1829" t="s">
        <v>11355</v>
      </c>
      <c r="D1829">
        <v>0</v>
      </c>
    </row>
    <row r="1830" spans="2:4" ht="15" customHeight="1">
      <c r="B1830" t="s">
        <v>11356</v>
      </c>
      <c r="C1830" t="s">
        <v>11356</v>
      </c>
      <c r="D1830">
        <v>0</v>
      </c>
    </row>
    <row r="1831" spans="2:4" ht="15" customHeight="1">
      <c r="B1831" t="s">
        <v>11357</v>
      </c>
      <c r="C1831" t="s">
        <v>11357</v>
      </c>
      <c r="D1831">
        <v>0</v>
      </c>
    </row>
    <row r="1832" spans="2:4" ht="15" customHeight="1">
      <c r="B1832" t="s">
        <v>11358</v>
      </c>
      <c r="C1832" t="s">
        <v>11358</v>
      </c>
      <c r="D1832">
        <v>0</v>
      </c>
    </row>
    <row r="1833" spans="2:4" ht="15" customHeight="1">
      <c r="B1833" t="s">
        <v>11359</v>
      </c>
      <c r="C1833" t="s">
        <v>11359</v>
      </c>
      <c r="D1833">
        <v>0</v>
      </c>
    </row>
    <row r="1834" spans="2:4" ht="15" customHeight="1">
      <c r="B1834" t="s">
        <v>561</v>
      </c>
      <c r="C1834" t="s">
        <v>561</v>
      </c>
      <c r="D1834">
        <v>0</v>
      </c>
    </row>
    <row r="1835" spans="2:4" ht="15" customHeight="1">
      <c r="B1835" t="s">
        <v>745</v>
      </c>
      <c r="C1835" t="s">
        <v>745</v>
      </c>
      <c r="D1835">
        <v>0</v>
      </c>
    </row>
    <row r="1836" spans="2:4" ht="15" customHeight="1">
      <c r="B1836" t="s">
        <v>996</v>
      </c>
      <c r="C1836" t="s">
        <v>996</v>
      </c>
      <c r="D1836">
        <v>0</v>
      </c>
    </row>
    <row r="1837" spans="2:4" ht="15" customHeight="1">
      <c r="B1837" t="s">
        <v>742</v>
      </c>
      <c r="C1837" t="s">
        <v>742</v>
      </c>
      <c r="D1837">
        <v>0</v>
      </c>
    </row>
    <row r="1838" spans="2:4" ht="15" customHeight="1">
      <c r="B1838" t="s">
        <v>900</v>
      </c>
      <c r="C1838" t="s">
        <v>900</v>
      </c>
      <c r="D1838">
        <v>0</v>
      </c>
    </row>
    <row r="1839" spans="2:4" ht="15" customHeight="1">
      <c r="B1839" t="s">
        <v>6924</v>
      </c>
      <c r="C1839" t="s">
        <v>6924</v>
      </c>
      <c r="D1839">
        <v>0</v>
      </c>
    </row>
    <row r="1840" spans="2:4" ht="15" customHeight="1">
      <c r="B1840" t="s">
        <v>12070</v>
      </c>
      <c r="C1840" t="s">
        <v>12070</v>
      </c>
      <c r="D1840">
        <v>0</v>
      </c>
    </row>
    <row r="1841" spans="2:4" ht="15" customHeight="1">
      <c r="B1841" t="s">
        <v>795</v>
      </c>
      <c r="C1841" t="s">
        <v>795</v>
      </c>
      <c r="D1841">
        <v>0</v>
      </c>
    </row>
    <row r="1842" spans="2:4" ht="15" customHeight="1">
      <c r="B1842" t="s">
        <v>534</v>
      </c>
      <c r="C1842" t="s">
        <v>534</v>
      </c>
      <c r="D1842">
        <v>0</v>
      </c>
    </row>
    <row r="1843" spans="2:4" ht="15" customHeight="1">
      <c r="B1843" t="s">
        <v>1472</v>
      </c>
      <c r="C1843" t="s">
        <v>1472</v>
      </c>
      <c r="D1843">
        <v>0</v>
      </c>
    </row>
    <row r="1844" spans="2:4" ht="15" customHeight="1">
      <c r="B1844" t="s">
        <v>12075</v>
      </c>
      <c r="C1844" t="s">
        <v>12075</v>
      </c>
      <c r="D1844">
        <v>0</v>
      </c>
    </row>
    <row r="1845" spans="2:4" ht="15" customHeight="1">
      <c r="B1845" t="s">
        <v>12078</v>
      </c>
      <c r="C1845" t="s">
        <v>12078</v>
      </c>
      <c r="D1845">
        <v>0</v>
      </c>
    </row>
    <row r="1846" spans="2:4" ht="15" customHeight="1">
      <c r="B1846" t="s">
        <v>12081</v>
      </c>
      <c r="C1846" t="s">
        <v>12081</v>
      </c>
      <c r="D1846">
        <v>0</v>
      </c>
    </row>
    <row r="1847" spans="2:4" ht="15" customHeight="1">
      <c r="B1847" t="s">
        <v>12084</v>
      </c>
      <c r="C1847" t="s">
        <v>12084</v>
      </c>
      <c r="D1847">
        <v>0</v>
      </c>
    </row>
    <row r="1848" spans="2:4" ht="15" customHeight="1">
      <c r="B1848" t="s">
        <v>12086</v>
      </c>
      <c r="C1848" t="s">
        <v>12086</v>
      </c>
      <c r="D1848">
        <v>0</v>
      </c>
    </row>
    <row r="1849" spans="2:4" ht="15" customHeight="1">
      <c r="B1849" t="s">
        <v>6948</v>
      </c>
      <c r="C1849" t="s">
        <v>6948</v>
      </c>
      <c r="D1849">
        <v>0</v>
      </c>
    </row>
    <row r="1850" spans="2:4" ht="15" customHeight="1">
      <c r="B1850" t="s">
        <v>774</v>
      </c>
      <c r="C1850" t="s">
        <v>774</v>
      </c>
      <c r="D1850">
        <v>0</v>
      </c>
    </row>
    <row r="1851" spans="2:4" ht="15" customHeight="1">
      <c r="B1851" t="s">
        <v>12092</v>
      </c>
      <c r="C1851" t="s">
        <v>12092</v>
      </c>
      <c r="D1851">
        <v>0</v>
      </c>
    </row>
    <row r="1852" spans="2:4" ht="15" customHeight="1">
      <c r="B1852" t="s">
        <v>12094</v>
      </c>
      <c r="C1852" t="s">
        <v>12094</v>
      </c>
      <c r="D1852">
        <v>0</v>
      </c>
    </row>
    <row r="1853" spans="2:4" ht="15" customHeight="1">
      <c r="B1853" t="s">
        <v>772</v>
      </c>
      <c r="C1853" t="s">
        <v>772</v>
      </c>
      <c r="D1853">
        <v>0</v>
      </c>
    </row>
    <row r="1854" spans="2:4" ht="15" customHeight="1">
      <c r="B1854" t="s">
        <v>12099</v>
      </c>
      <c r="C1854" t="s">
        <v>12099</v>
      </c>
      <c r="D1854">
        <v>0</v>
      </c>
    </row>
    <row r="1855" spans="2:4" ht="15" customHeight="1">
      <c r="B1855" t="s">
        <v>12103</v>
      </c>
      <c r="C1855" t="s">
        <v>12103</v>
      </c>
      <c r="D1855">
        <v>0</v>
      </c>
    </row>
    <row r="1856" spans="2:4" ht="15" customHeight="1">
      <c r="B1856" t="s">
        <v>12106</v>
      </c>
      <c r="C1856" t="s">
        <v>12106</v>
      </c>
      <c r="D1856">
        <v>0</v>
      </c>
    </row>
    <row r="1857" spans="2:4" ht="15" customHeight="1">
      <c r="B1857" t="s">
        <v>371</v>
      </c>
      <c r="C1857" t="s">
        <v>371</v>
      </c>
      <c r="D1857">
        <v>0</v>
      </c>
    </row>
    <row r="1858" spans="2:4" ht="15" customHeight="1">
      <c r="B1858" t="s">
        <v>796</v>
      </c>
      <c r="C1858" t="s">
        <v>796</v>
      </c>
      <c r="D1858">
        <v>0</v>
      </c>
    </row>
    <row r="1859" spans="2:4" ht="15" customHeight="1">
      <c r="B1859" t="s">
        <v>12113</v>
      </c>
      <c r="C1859" t="s">
        <v>12113</v>
      </c>
      <c r="D1859">
        <v>0</v>
      </c>
    </row>
    <row r="1860" spans="2:4" ht="15" customHeight="1">
      <c r="B1860" t="s">
        <v>12116</v>
      </c>
      <c r="C1860" t="s">
        <v>12116</v>
      </c>
      <c r="D1860">
        <v>0</v>
      </c>
    </row>
    <row r="1861" spans="2:4" ht="15" customHeight="1">
      <c r="B1861" t="s">
        <v>12119</v>
      </c>
      <c r="C1861" t="s">
        <v>12119</v>
      </c>
      <c r="D1861">
        <v>0</v>
      </c>
    </row>
    <row r="1862" spans="2:4" ht="15" customHeight="1">
      <c r="B1862" t="s">
        <v>602</v>
      </c>
      <c r="C1862" t="s">
        <v>602</v>
      </c>
      <c r="D1862">
        <v>0</v>
      </c>
    </row>
    <row r="1863" spans="2:4" ht="15" customHeight="1">
      <c r="B1863" t="s">
        <v>12121</v>
      </c>
      <c r="C1863" t="s">
        <v>12121</v>
      </c>
      <c r="D1863">
        <v>0</v>
      </c>
    </row>
    <row r="1864" spans="2:4" ht="15" customHeight="1">
      <c r="B1864" t="s">
        <v>12122</v>
      </c>
      <c r="C1864" t="s">
        <v>12122</v>
      </c>
      <c r="D1864">
        <v>0</v>
      </c>
    </row>
    <row r="1865" spans="2:4" ht="15" customHeight="1">
      <c r="B1865" t="s">
        <v>12124</v>
      </c>
      <c r="C1865" t="s">
        <v>12124</v>
      </c>
      <c r="D1865">
        <v>0</v>
      </c>
    </row>
    <row r="1866" spans="2:4" ht="15" customHeight="1">
      <c r="B1866" t="s">
        <v>1033</v>
      </c>
      <c r="C1866" t="s">
        <v>1033</v>
      </c>
      <c r="D1866">
        <v>0</v>
      </c>
    </row>
    <row r="1867" spans="2:4" ht="15" customHeight="1">
      <c r="B1867" t="s">
        <v>12126</v>
      </c>
      <c r="C1867" t="s">
        <v>12126</v>
      </c>
      <c r="D1867">
        <v>0</v>
      </c>
    </row>
    <row r="1868" spans="2:4" ht="15" customHeight="1">
      <c r="B1868" t="s">
        <v>12127</v>
      </c>
      <c r="C1868" t="s">
        <v>12127</v>
      </c>
      <c r="D1868">
        <v>0</v>
      </c>
    </row>
    <row r="1869" spans="2:4" ht="15" customHeight="1">
      <c r="B1869" t="s">
        <v>6354</v>
      </c>
      <c r="C1869" t="s">
        <v>6354</v>
      </c>
      <c r="D1869">
        <v>0</v>
      </c>
    </row>
    <row r="1870" spans="2:4" ht="15" customHeight="1">
      <c r="B1870" t="s">
        <v>6451</v>
      </c>
      <c r="C1870" t="s">
        <v>6451</v>
      </c>
      <c r="D1870">
        <v>0</v>
      </c>
    </row>
    <row r="1871" spans="2:4" ht="15" customHeight="1">
      <c r="B1871" t="s">
        <v>12130</v>
      </c>
      <c r="C1871" t="s">
        <v>12130</v>
      </c>
      <c r="D1871">
        <v>0</v>
      </c>
    </row>
    <row r="1872" spans="2:4" ht="15" customHeight="1">
      <c r="B1872" t="s">
        <v>12131</v>
      </c>
      <c r="C1872" t="s">
        <v>12131</v>
      </c>
      <c r="D1872">
        <v>0</v>
      </c>
    </row>
    <row r="1873" spans="2:4" ht="15" customHeight="1">
      <c r="B1873" t="s">
        <v>788</v>
      </c>
      <c r="C1873" t="s">
        <v>788</v>
      </c>
      <c r="D1873">
        <v>0</v>
      </c>
    </row>
    <row r="1874" spans="2:4" ht="15" customHeight="1">
      <c r="B1874" t="s">
        <v>10815</v>
      </c>
      <c r="C1874" t="s">
        <v>10815</v>
      </c>
      <c r="D1874">
        <v>0</v>
      </c>
    </row>
    <row r="1875" spans="2:4" ht="15" customHeight="1">
      <c r="B1875" t="s">
        <v>12134</v>
      </c>
      <c r="C1875" t="s">
        <v>12134</v>
      </c>
      <c r="D1875">
        <v>0</v>
      </c>
    </row>
    <row r="1876" spans="2:4" ht="15" customHeight="1">
      <c r="B1876" t="s">
        <v>12136</v>
      </c>
      <c r="C1876" t="s">
        <v>12136</v>
      </c>
      <c r="D1876">
        <v>0</v>
      </c>
    </row>
    <row r="1877" spans="2:4" ht="15" customHeight="1">
      <c r="B1877" t="s">
        <v>1975</v>
      </c>
      <c r="C1877" t="s">
        <v>1975</v>
      </c>
      <c r="D1877">
        <v>0</v>
      </c>
    </row>
    <row r="1878" spans="2:4" ht="15" customHeight="1">
      <c r="B1878" t="s">
        <v>12139</v>
      </c>
      <c r="C1878" t="s">
        <v>12139</v>
      </c>
      <c r="D1878">
        <v>0</v>
      </c>
    </row>
    <row r="1879" spans="2:4" ht="15" customHeight="1">
      <c r="B1879" t="s">
        <v>12141</v>
      </c>
      <c r="C1879" t="s">
        <v>12141</v>
      </c>
      <c r="D1879">
        <v>0</v>
      </c>
    </row>
    <row r="1880" spans="2:4" ht="15" customHeight="1">
      <c r="B1880" t="s">
        <v>12143</v>
      </c>
      <c r="C1880" t="s">
        <v>12143</v>
      </c>
      <c r="D1880">
        <v>0</v>
      </c>
    </row>
    <row r="1881" spans="2:4" ht="15" customHeight="1">
      <c r="B1881" t="s">
        <v>12145</v>
      </c>
      <c r="C1881" t="s">
        <v>12145</v>
      </c>
      <c r="D1881">
        <v>0</v>
      </c>
    </row>
    <row r="1882" spans="2:4" ht="15" customHeight="1">
      <c r="B1882" t="s">
        <v>12146</v>
      </c>
      <c r="C1882" t="s">
        <v>12146</v>
      </c>
      <c r="D1882">
        <v>0</v>
      </c>
    </row>
    <row r="1883" spans="2:4" ht="15" customHeight="1">
      <c r="B1883" t="s">
        <v>12148</v>
      </c>
      <c r="C1883" t="s">
        <v>12148</v>
      </c>
      <c r="D1883">
        <v>0</v>
      </c>
    </row>
    <row r="1884" spans="2:4" ht="15" customHeight="1">
      <c r="B1884" t="s">
        <v>12150</v>
      </c>
      <c r="C1884" t="s">
        <v>12150</v>
      </c>
      <c r="D1884">
        <v>0</v>
      </c>
    </row>
    <row r="1885" spans="2:4" ht="15" customHeight="1">
      <c r="B1885" t="s">
        <v>12152</v>
      </c>
      <c r="C1885" t="s">
        <v>12152</v>
      </c>
      <c r="D1885">
        <v>0</v>
      </c>
    </row>
    <row r="1886" spans="2:4" ht="15" customHeight="1">
      <c r="B1886" t="s">
        <v>11000</v>
      </c>
      <c r="C1886" t="s">
        <v>11000</v>
      </c>
      <c r="D1886">
        <v>0</v>
      </c>
    </row>
    <row r="1887" spans="2:4" ht="15" customHeight="1">
      <c r="B1887" t="s">
        <v>154</v>
      </c>
      <c r="C1887" t="s">
        <v>154</v>
      </c>
      <c r="D1887">
        <v>0</v>
      </c>
    </row>
    <row r="1888" spans="2:4" ht="15" customHeight="1">
      <c r="B1888" t="s">
        <v>12156</v>
      </c>
      <c r="C1888" t="s">
        <v>12156</v>
      </c>
      <c r="D1888">
        <v>0</v>
      </c>
    </row>
    <row r="1889" spans="2:4" ht="15" customHeight="1">
      <c r="B1889" t="s">
        <v>12159</v>
      </c>
      <c r="C1889" t="s">
        <v>12159</v>
      </c>
      <c r="D1889">
        <v>0</v>
      </c>
    </row>
    <row r="1890" spans="2:4" ht="15" customHeight="1">
      <c r="B1890" t="s">
        <v>12162</v>
      </c>
      <c r="C1890" t="s">
        <v>12162</v>
      </c>
      <c r="D1890">
        <v>0</v>
      </c>
    </row>
    <row r="1891" spans="2:4" ht="15" customHeight="1">
      <c r="B1891" t="s">
        <v>12164</v>
      </c>
      <c r="C1891" t="s">
        <v>12164</v>
      </c>
      <c r="D1891">
        <v>0</v>
      </c>
    </row>
    <row r="1892" spans="2:4" ht="15" customHeight="1">
      <c r="B1892" t="s">
        <v>12166</v>
      </c>
      <c r="C1892" t="s">
        <v>12166</v>
      </c>
      <c r="D1892">
        <v>0</v>
      </c>
    </row>
    <row r="1893" spans="2:4" ht="15" customHeight="1">
      <c r="B1893" t="s">
        <v>12168</v>
      </c>
      <c r="C1893" t="s">
        <v>12168</v>
      </c>
      <c r="D1893">
        <v>0</v>
      </c>
    </row>
    <row r="1894" spans="2:4" ht="15" customHeight="1">
      <c r="B1894" t="s">
        <v>12605</v>
      </c>
      <c r="C1894" t="s">
        <v>12605</v>
      </c>
      <c r="D1894">
        <v>0</v>
      </c>
    </row>
    <row r="1895" spans="2:4" ht="15" customHeight="1">
      <c r="B1895" t="s">
        <v>12170</v>
      </c>
      <c r="C1895" t="s">
        <v>12170</v>
      </c>
      <c r="D1895">
        <v>0</v>
      </c>
    </row>
    <row r="1896" spans="2:4" ht="15" customHeight="1">
      <c r="B1896" t="s">
        <v>12172</v>
      </c>
      <c r="C1896" t="s">
        <v>12172</v>
      </c>
      <c r="D1896">
        <v>0</v>
      </c>
    </row>
    <row r="1897" spans="2:4" ht="15" customHeight="1">
      <c r="B1897" t="s">
        <v>12175</v>
      </c>
      <c r="C1897" t="s">
        <v>12175</v>
      </c>
      <c r="D1897">
        <v>0</v>
      </c>
    </row>
    <row r="1898" spans="2:4" ht="15" customHeight="1">
      <c r="B1898" t="s">
        <v>10870</v>
      </c>
      <c r="C1898" t="s">
        <v>10870</v>
      </c>
      <c r="D1898">
        <v>0</v>
      </c>
    </row>
    <row r="1899" spans="2:4" ht="15" customHeight="1">
      <c r="B1899" t="s">
        <v>761</v>
      </c>
      <c r="C1899" t="s">
        <v>761</v>
      </c>
      <c r="D1899">
        <v>0</v>
      </c>
    </row>
    <row r="1900" spans="2:4" ht="15" customHeight="1">
      <c r="B1900" t="s">
        <v>11002</v>
      </c>
      <c r="C1900" t="s">
        <v>11002</v>
      </c>
      <c r="D1900">
        <v>0</v>
      </c>
    </row>
    <row r="1901" spans="2:4" ht="15" customHeight="1">
      <c r="B1901" t="s">
        <v>1965</v>
      </c>
      <c r="C1901" t="s">
        <v>1965</v>
      </c>
      <c r="D1901">
        <v>0</v>
      </c>
    </row>
    <row r="1902" spans="2:4" ht="15" customHeight="1">
      <c r="B1902" t="s">
        <v>12186</v>
      </c>
      <c r="C1902" t="s">
        <v>12186</v>
      </c>
      <c r="D1902">
        <v>0</v>
      </c>
    </row>
    <row r="1903" spans="2:4" ht="15" customHeight="1">
      <c r="B1903" t="s">
        <v>12189</v>
      </c>
      <c r="C1903" t="s">
        <v>12189</v>
      </c>
      <c r="D1903">
        <v>0</v>
      </c>
    </row>
    <row r="1904" spans="2:4" ht="15" customHeight="1">
      <c r="B1904" t="s">
        <v>12192</v>
      </c>
      <c r="C1904" t="s">
        <v>12192</v>
      </c>
      <c r="D1904">
        <v>0</v>
      </c>
    </row>
    <row r="1905" spans="2:4" ht="15" customHeight="1">
      <c r="B1905" t="s">
        <v>12195</v>
      </c>
      <c r="C1905" t="s">
        <v>12195</v>
      </c>
      <c r="D1905">
        <v>0</v>
      </c>
    </row>
    <row r="1906" spans="2:4" ht="15" customHeight="1">
      <c r="B1906" t="s">
        <v>12198</v>
      </c>
      <c r="C1906" t="s">
        <v>12198</v>
      </c>
      <c r="D1906">
        <v>0</v>
      </c>
    </row>
    <row r="1907" spans="2:4" ht="15" customHeight="1">
      <c r="B1907" t="s">
        <v>12201</v>
      </c>
      <c r="C1907" t="s">
        <v>12201</v>
      </c>
      <c r="D1907">
        <v>0</v>
      </c>
    </row>
    <row r="1908" spans="2:4" ht="15" customHeight="1">
      <c r="B1908" t="s">
        <v>13578</v>
      </c>
      <c r="C1908" t="s">
        <v>13578</v>
      </c>
      <c r="D1908">
        <v>0</v>
      </c>
    </row>
    <row r="1909" spans="2:4" ht="15" customHeight="1">
      <c r="B1909" t="s">
        <v>6361</v>
      </c>
      <c r="C1909" t="s">
        <v>6361</v>
      </c>
      <c r="D1909">
        <v>0</v>
      </c>
    </row>
    <row r="1910" spans="2:4" ht="15" customHeight="1">
      <c r="B1910" t="s">
        <v>12206</v>
      </c>
      <c r="C1910" t="s">
        <v>12206</v>
      </c>
      <c r="D1910">
        <v>0</v>
      </c>
    </row>
    <row r="1911" spans="2:4" ht="15" customHeight="1">
      <c r="B1911" t="s">
        <v>5590</v>
      </c>
      <c r="C1911" t="s">
        <v>5590</v>
      </c>
      <c r="D1911">
        <v>0</v>
      </c>
    </row>
    <row r="1912" spans="2:4" ht="15" customHeight="1">
      <c r="B1912" t="s">
        <v>10745</v>
      </c>
      <c r="C1912" t="s">
        <v>10745</v>
      </c>
      <c r="D1912">
        <v>0</v>
      </c>
    </row>
    <row r="1913" spans="2:4" ht="15" customHeight="1">
      <c r="B1913" t="s">
        <v>899</v>
      </c>
      <c r="C1913" t="s">
        <v>899</v>
      </c>
      <c r="D1913">
        <v>0</v>
      </c>
    </row>
    <row r="1914" spans="2:4" ht="15" customHeight="1">
      <c r="B1914" t="s">
        <v>12212</v>
      </c>
      <c r="C1914" t="s">
        <v>12212</v>
      </c>
      <c r="D1914">
        <v>0</v>
      </c>
    </row>
    <row r="1915" spans="2:4" ht="15" customHeight="1">
      <c r="B1915" t="s">
        <v>6363</v>
      </c>
      <c r="C1915" t="s">
        <v>6363</v>
      </c>
      <c r="D1915">
        <v>0</v>
      </c>
    </row>
    <row r="1916" spans="2:4" ht="15" customHeight="1">
      <c r="B1916" t="s">
        <v>13579</v>
      </c>
      <c r="C1916" t="s">
        <v>13579</v>
      </c>
      <c r="D1916">
        <v>0</v>
      </c>
    </row>
    <row r="1917" spans="2:4" ht="15" customHeight="1">
      <c r="B1917" t="s">
        <v>777</v>
      </c>
      <c r="C1917" t="s">
        <v>777</v>
      </c>
      <c r="D1917">
        <v>0</v>
      </c>
    </row>
    <row r="1918" spans="2:4" ht="15" customHeight="1">
      <c r="B1918" t="s">
        <v>819</v>
      </c>
      <c r="C1918" t="s">
        <v>819</v>
      </c>
      <c r="D1918">
        <v>0</v>
      </c>
    </row>
    <row r="1919" spans="2:4" ht="15" customHeight="1">
      <c r="B1919" t="s">
        <v>919</v>
      </c>
      <c r="C1919" t="s">
        <v>919</v>
      </c>
      <c r="D1919">
        <v>0</v>
      </c>
    </row>
    <row r="1920" spans="2:4" ht="15" customHeight="1">
      <c r="B1920" t="s">
        <v>6364</v>
      </c>
      <c r="C1920" t="s">
        <v>6364</v>
      </c>
      <c r="D1920">
        <v>0</v>
      </c>
    </row>
    <row r="1921" spans="2:4" ht="15" customHeight="1">
      <c r="B1921" t="s">
        <v>12222</v>
      </c>
      <c r="C1921" t="s">
        <v>12222</v>
      </c>
      <c r="D1921">
        <v>0</v>
      </c>
    </row>
    <row r="1922" spans="2:4" ht="15" customHeight="1">
      <c r="B1922" t="s">
        <v>897</v>
      </c>
      <c r="C1922" t="s">
        <v>897</v>
      </c>
      <c r="D1922">
        <v>0</v>
      </c>
    </row>
    <row r="1923" spans="2:4" ht="15" customHeight="1">
      <c r="B1923" t="s">
        <v>994</v>
      </c>
      <c r="C1923" t="s">
        <v>994</v>
      </c>
      <c r="D1923">
        <v>0</v>
      </c>
    </row>
    <row r="1924" spans="2:4" ht="15" customHeight="1">
      <c r="B1924" t="s">
        <v>1483</v>
      </c>
      <c r="C1924" t="s">
        <v>1483</v>
      </c>
      <c r="D1924">
        <v>0</v>
      </c>
    </row>
    <row r="1925" spans="2:4" ht="15" customHeight="1">
      <c r="B1925" t="s">
        <v>12234</v>
      </c>
      <c r="C1925" t="s">
        <v>12234</v>
      </c>
      <c r="D1925">
        <v>0</v>
      </c>
    </row>
    <row r="1926" spans="2:4" ht="15" customHeight="1">
      <c r="B1926" t="s">
        <v>12236</v>
      </c>
      <c r="C1926" t="s">
        <v>12236</v>
      </c>
      <c r="D1926">
        <v>0</v>
      </c>
    </row>
    <row r="1927" spans="2:4" ht="15" customHeight="1">
      <c r="B1927" t="s">
        <v>12238</v>
      </c>
      <c r="C1927" t="s">
        <v>12238</v>
      </c>
      <c r="D1927">
        <v>0</v>
      </c>
    </row>
    <row r="1928" spans="2:4" ht="15" customHeight="1">
      <c r="B1928" t="s">
        <v>12240</v>
      </c>
      <c r="C1928" t="s">
        <v>12240</v>
      </c>
      <c r="D1928">
        <v>0</v>
      </c>
    </row>
    <row r="1929" spans="2:4" ht="15" customHeight="1">
      <c r="B1929" t="s">
        <v>6733</v>
      </c>
      <c r="C1929" t="s">
        <v>6733</v>
      </c>
      <c r="D1929">
        <v>0</v>
      </c>
    </row>
    <row r="1930" spans="2:4" ht="15" customHeight="1">
      <c r="B1930" t="s">
        <v>1983</v>
      </c>
      <c r="C1930" t="s">
        <v>1983</v>
      </c>
      <c r="D1930">
        <v>0</v>
      </c>
    </row>
    <row r="1931" spans="2:4" ht="15" customHeight="1">
      <c r="B1931" t="s">
        <v>5363</v>
      </c>
      <c r="C1931" t="s">
        <v>5363</v>
      </c>
      <c r="D1931">
        <v>0</v>
      </c>
    </row>
    <row r="1932" spans="2:4" ht="15" customHeight="1">
      <c r="B1932" t="s">
        <v>12247</v>
      </c>
      <c r="C1932" t="s">
        <v>12247</v>
      </c>
      <c r="D1932">
        <v>0</v>
      </c>
    </row>
    <row r="1933" spans="2:4" ht="15" customHeight="1">
      <c r="B1933" t="s">
        <v>12249</v>
      </c>
      <c r="C1933" t="s">
        <v>12249</v>
      </c>
      <c r="D1933">
        <v>0</v>
      </c>
    </row>
    <row r="1934" spans="2:4" ht="15" customHeight="1">
      <c r="B1934" t="s">
        <v>12251</v>
      </c>
      <c r="C1934" t="s">
        <v>12251</v>
      </c>
      <c r="D1934">
        <v>0</v>
      </c>
    </row>
    <row r="1935" spans="2:4" ht="15" customHeight="1">
      <c r="B1935" t="s">
        <v>11171</v>
      </c>
      <c r="C1935" t="s">
        <v>11171</v>
      </c>
      <c r="D1935">
        <v>0</v>
      </c>
    </row>
    <row r="1936" spans="2:4" ht="15" customHeight="1">
      <c r="B1936" t="s">
        <v>776</v>
      </c>
      <c r="C1936" t="s">
        <v>776</v>
      </c>
      <c r="D1936">
        <v>0</v>
      </c>
    </row>
    <row r="1937" spans="2:4" ht="15" customHeight="1">
      <c r="B1937" t="s">
        <v>1438</v>
      </c>
      <c r="C1937" t="s">
        <v>1438</v>
      </c>
      <c r="D1937">
        <v>0</v>
      </c>
    </row>
    <row r="1938" spans="2:4" ht="15" customHeight="1">
      <c r="B1938" t="s">
        <v>12262</v>
      </c>
      <c r="C1938" t="s">
        <v>12262</v>
      </c>
      <c r="D1938">
        <v>0</v>
      </c>
    </row>
    <row r="1939" spans="2:4" ht="15" customHeight="1">
      <c r="B1939" t="s">
        <v>12264</v>
      </c>
      <c r="C1939" t="s">
        <v>12264</v>
      </c>
      <c r="D1939">
        <v>0</v>
      </c>
    </row>
    <row r="1940" spans="2:4" ht="15" customHeight="1">
      <c r="B1940" t="s">
        <v>12266</v>
      </c>
      <c r="C1940" t="s">
        <v>12266</v>
      </c>
      <c r="D1940">
        <v>0</v>
      </c>
    </row>
    <row r="1941" spans="2:4" ht="15" customHeight="1">
      <c r="B1941" t="s">
        <v>12268</v>
      </c>
      <c r="C1941" t="s">
        <v>12268</v>
      </c>
      <c r="D1941">
        <v>0</v>
      </c>
    </row>
    <row r="1942" spans="2:4" ht="15" customHeight="1">
      <c r="B1942" t="s">
        <v>12270</v>
      </c>
      <c r="C1942" t="s">
        <v>12270</v>
      </c>
      <c r="D1942">
        <v>0</v>
      </c>
    </row>
    <row r="1943" spans="2:4" ht="15" customHeight="1">
      <c r="B1943" t="s">
        <v>7340</v>
      </c>
      <c r="C1943" t="s">
        <v>7340</v>
      </c>
      <c r="D1943">
        <v>0</v>
      </c>
    </row>
    <row r="1944" spans="2:4" ht="15" customHeight="1">
      <c r="B1944" t="s">
        <v>762</v>
      </c>
      <c r="C1944" t="s">
        <v>762</v>
      </c>
      <c r="D1944">
        <v>0</v>
      </c>
    </row>
    <row r="1945" spans="2:4" ht="15" customHeight="1">
      <c r="B1945" t="s">
        <v>12277</v>
      </c>
      <c r="C1945" t="s">
        <v>13624</v>
      </c>
      <c r="D1945">
        <v>0</v>
      </c>
    </row>
    <row r="1946" spans="2:4" ht="15" customHeight="1">
      <c r="B1946" t="s">
        <v>12279</v>
      </c>
      <c r="C1946" t="s">
        <v>12279</v>
      </c>
      <c r="D1946">
        <v>0</v>
      </c>
    </row>
    <row r="1947" spans="2:4" ht="15" customHeight="1">
      <c r="B1947" t="s">
        <v>3791</v>
      </c>
      <c r="C1947" t="s">
        <v>3791</v>
      </c>
      <c r="D1947">
        <v>0</v>
      </c>
    </row>
    <row r="1948" spans="2:4" ht="15" customHeight="1">
      <c r="B1948" t="s">
        <v>10004</v>
      </c>
      <c r="C1948" t="s">
        <v>10004</v>
      </c>
      <c r="D1948">
        <v>0</v>
      </c>
    </row>
    <row r="1949" spans="2:4" ht="15" customHeight="1">
      <c r="B1949" t="s">
        <v>13580</v>
      </c>
      <c r="C1949" t="s">
        <v>13580</v>
      </c>
      <c r="D1949">
        <v>0</v>
      </c>
    </row>
    <row r="1950" spans="2:4" ht="15" customHeight="1">
      <c r="B1950" t="s">
        <v>989</v>
      </c>
      <c r="C1950" t="s">
        <v>989</v>
      </c>
      <c r="D1950">
        <v>0</v>
      </c>
    </row>
    <row r="1951" spans="2:4" ht="15" customHeight="1">
      <c r="B1951" t="s">
        <v>13581</v>
      </c>
      <c r="C1951" t="s">
        <v>13581</v>
      </c>
      <c r="D1951">
        <v>0</v>
      </c>
    </row>
    <row r="1952" spans="2:4" ht="15" customHeight="1">
      <c r="B1952" t="s">
        <v>757</v>
      </c>
      <c r="C1952" t="s">
        <v>757</v>
      </c>
      <c r="D1952">
        <v>0</v>
      </c>
    </row>
    <row r="1953" spans="2:4" ht="15" customHeight="1">
      <c r="B1953" t="s">
        <v>13582</v>
      </c>
      <c r="C1953" t="s">
        <v>13582</v>
      </c>
      <c r="D1953">
        <v>0</v>
      </c>
    </row>
    <row r="1954" spans="2:4" ht="15" customHeight="1">
      <c r="B1954" t="s">
        <v>8070</v>
      </c>
      <c r="C1954" t="s">
        <v>8070</v>
      </c>
      <c r="D1954">
        <v>0</v>
      </c>
    </row>
    <row r="1955" spans="2:4" ht="15" customHeight="1">
      <c r="B1955" t="s">
        <v>13583</v>
      </c>
      <c r="C1955" t="s">
        <v>13583</v>
      </c>
      <c r="D1955">
        <v>0</v>
      </c>
    </row>
    <row r="1956" spans="2:4" ht="15" customHeight="1">
      <c r="B1956" t="s">
        <v>13584</v>
      </c>
      <c r="C1956" t="s">
        <v>13584</v>
      </c>
      <c r="D1956">
        <v>0</v>
      </c>
    </row>
    <row r="1957" spans="2:4" ht="15" customHeight="1">
      <c r="B1957" t="s">
        <v>12301</v>
      </c>
      <c r="C1957" t="s">
        <v>12301</v>
      </c>
      <c r="D1957">
        <v>0</v>
      </c>
    </row>
    <row r="1958" spans="2:4" ht="15" customHeight="1">
      <c r="B1958" t="s">
        <v>12304</v>
      </c>
      <c r="C1958" t="s">
        <v>12304</v>
      </c>
      <c r="D1958">
        <v>0</v>
      </c>
    </row>
    <row r="1959" spans="2:4" ht="15" customHeight="1">
      <c r="B1959" t="s">
        <v>759</v>
      </c>
      <c r="C1959" t="s">
        <v>759</v>
      </c>
      <c r="D1959">
        <v>0</v>
      </c>
    </row>
    <row r="1960" spans="2:4" ht="15" customHeight="1">
      <c r="B1960" t="s">
        <v>12308</v>
      </c>
      <c r="C1960" t="s">
        <v>12308</v>
      </c>
      <c r="D1960">
        <v>0</v>
      </c>
    </row>
    <row r="1961" spans="2:4" ht="15" customHeight="1">
      <c r="B1961" t="s">
        <v>12310</v>
      </c>
      <c r="C1961" t="s">
        <v>12310</v>
      </c>
      <c r="D1961">
        <v>0</v>
      </c>
    </row>
    <row r="1962" spans="2:4" ht="15" customHeight="1">
      <c r="B1962" t="s">
        <v>12314</v>
      </c>
      <c r="C1962" t="s">
        <v>12314</v>
      </c>
      <c r="D1962">
        <v>0</v>
      </c>
    </row>
    <row r="1963" spans="2:4" ht="15" customHeight="1">
      <c r="B1963" t="s">
        <v>881</v>
      </c>
      <c r="C1963" t="s">
        <v>881</v>
      </c>
      <c r="D1963">
        <v>0</v>
      </c>
    </row>
    <row r="1964" spans="2:4" ht="15" customHeight="1">
      <c r="B1964" t="s">
        <v>12318</v>
      </c>
      <c r="C1964" t="s">
        <v>12318</v>
      </c>
      <c r="D1964">
        <v>0</v>
      </c>
    </row>
    <row r="1965" spans="2:4" ht="15" customHeight="1">
      <c r="B1965" t="s">
        <v>12319</v>
      </c>
      <c r="C1965" t="s">
        <v>12319</v>
      </c>
      <c r="D1965">
        <v>0</v>
      </c>
    </row>
    <row r="1966" spans="2:4" ht="15" customHeight="1">
      <c r="B1966" t="s">
        <v>536</v>
      </c>
      <c r="C1966" t="s">
        <v>536</v>
      </c>
      <c r="D1966">
        <v>0</v>
      </c>
    </row>
    <row r="1967" spans="2:4" ht="15" customHeight="1">
      <c r="B1967" t="s">
        <v>12322</v>
      </c>
      <c r="C1967" t="s">
        <v>12322</v>
      </c>
      <c r="D1967">
        <v>0</v>
      </c>
    </row>
    <row r="1968" spans="2:4" ht="15" customHeight="1">
      <c r="B1968" t="s">
        <v>12324</v>
      </c>
      <c r="C1968" t="s">
        <v>12324</v>
      </c>
      <c r="D1968">
        <v>0</v>
      </c>
    </row>
    <row r="1969" spans="2:4" ht="15" customHeight="1">
      <c r="B1969" t="s">
        <v>12327</v>
      </c>
      <c r="C1969" t="s">
        <v>12327</v>
      </c>
      <c r="D1969">
        <v>0</v>
      </c>
    </row>
    <row r="1970" spans="2:4" ht="15" customHeight="1">
      <c r="B1970" t="s">
        <v>12330</v>
      </c>
      <c r="C1970" t="s">
        <v>12330</v>
      </c>
      <c r="D1970">
        <v>0</v>
      </c>
    </row>
    <row r="1971" spans="2:4" ht="15" customHeight="1">
      <c r="B1971" t="s">
        <v>12332</v>
      </c>
      <c r="C1971" t="s">
        <v>12332</v>
      </c>
      <c r="D1971">
        <v>0</v>
      </c>
    </row>
    <row r="1972" spans="2:4" ht="15" customHeight="1">
      <c r="B1972" t="s">
        <v>12334</v>
      </c>
      <c r="C1972" t="s">
        <v>12334</v>
      </c>
      <c r="D1972">
        <v>0</v>
      </c>
    </row>
    <row r="1973" spans="2:4" ht="15" customHeight="1">
      <c r="B1973" t="s">
        <v>755</v>
      </c>
      <c r="C1973" t="s">
        <v>755</v>
      </c>
      <c r="D1973">
        <v>0</v>
      </c>
    </row>
    <row r="1974" spans="2:4" ht="15" customHeight="1">
      <c r="B1974" t="s">
        <v>12338</v>
      </c>
      <c r="C1974" t="s">
        <v>12338</v>
      </c>
      <c r="D1974">
        <v>0</v>
      </c>
    </row>
    <row r="1975" spans="2:4" ht="15" customHeight="1">
      <c r="B1975" t="s">
        <v>12340</v>
      </c>
      <c r="C1975" t="s">
        <v>12340</v>
      </c>
      <c r="D1975">
        <v>0</v>
      </c>
    </row>
    <row r="1976" spans="2:4" ht="15" customHeight="1">
      <c r="B1976" t="s">
        <v>12342</v>
      </c>
      <c r="C1976" t="s">
        <v>12342</v>
      </c>
      <c r="D1976">
        <v>0</v>
      </c>
    </row>
    <row r="1977" spans="2:4" ht="15" customHeight="1">
      <c r="B1977" t="s">
        <v>12345</v>
      </c>
      <c r="C1977" t="s">
        <v>12345</v>
      </c>
      <c r="D1977">
        <v>0</v>
      </c>
    </row>
    <row r="1978" spans="2:4" ht="15" customHeight="1">
      <c r="B1978" t="s">
        <v>12347</v>
      </c>
      <c r="C1978" t="s">
        <v>12347</v>
      </c>
      <c r="D1978">
        <v>0</v>
      </c>
    </row>
    <row r="1979" spans="2:4" ht="15" customHeight="1">
      <c r="B1979" t="s">
        <v>12350</v>
      </c>
      <c r="C1979" t="s">
        <v>12350</v>
      </c>
      <c r="D1979">
        <v>0</v>
      </c>
    </row>
    <row r="1980" spans="2:4" ht="15" customHeight="1">
      <c r="B1980" t="s">
        <v>12352</v>
      </c>
      <c r="C1980" t="s">
        <v>12352</v>
      </c>
      <c r="D1980">
        <v>0</v>
      </c>
    </row>
    <row r="1981" spans="2:4" ht="15" customHeight="1">
      <c r="B1981" t="s">
        <v>12354</v>
      </c>
      <c r="C1981" t="s">
        <v>12354</v>
      </c>
      <c r="D1981">
        <v>0</v>
      </c>
    </row>
    <row r="1982" spans="2:4" ht="15" customHeight="1">
      <c r="B1982" t="s">
        <v>12356</v>
      </c>
      <c r="C1982" t="s">
        <v>12356</v>
      </c>
      <c r="D1982">
        <v>0</v>
      </c>
    </row>
    <row r="1983" spans="2:4" ht="15" customHeight="1">
      <c r="B1983" t="s">
        <v>12358</v>
      </c>
      <c r="C1983" t="s">
        <v>12358</v>
      </c>
      <c r="D1983">
        <v>0</v>
      </c>
    </row>
    <row r="1984" spans="2:4" ht="15" customHeight="1">
      <c r="B1984" t="s">
        <v>12360</v>
      </c>
      <c r="C1984" t="s">
        <v>12360</v>
      </c>
      <c r="D1984">
        <v>0</v>
      </c>
    </row>
    <row r="1985" spans="2:4" ht="15" customHeight="1">
      <c r="B1985" t="s">
        <v>12363</v>
      </c>
      <c r="C1985" t="s">
        <v>12363</v>
      </c>
      <c r="D1985">
        <v>0</v>
      </c>
    </row>
    <row r="1986" spans="2:4" ht="15" customHeight="1">
      <c r="B1986" t="s">
        <v>12365</v>
      </c>
      <c r="C1986" t="s">
        <v>12365</v>
      </c>
      <c r="D1986">
        <v>0</v>
      </c>
    </row>
    <row r="1987" spans="2:4" ht="15" customHeight="1">
      <c r="B1987" t="s">
        <v>12368</v>
      </c>
      <c r="C1987" t="s">
        <v>12368</v>
      </c>
      <c r="D1987">
        <v>0</v>
      </c>
    </row>
    <row r="1988" spans="2:4" ht="15" customHeight="1">
      <c r="B1988" t="s">
        <v>913</v>
      </c>
      <c r="C1988" t="s">
        <v>913</v>
      </c>
      <c r="D1988">
        <v>0</v>
      </c>
    </row>
    <row r="1989" spans="2:4" ht="15" customHeight="1">
      <c r="B1989" t="s">
        <v>12373</v>
      </c>
      <c r="C1989" t="s">
        <v>12373</v>
      </c>
      <c r="D1989">
        <v>0</v>
      </c>
    </row>
    <row r="1990" spans="2:4" ht="15" customHeight="1">
      <c r="B1990" t="s">
        <v>12376</v>
      </c>
      <c r="C1990" t="s">
        <v>12376</v>
      </c>
      <c r="D1990">
        <v>0</v>
      </c>
    </row>
    <row r="1991" spans="2:4" ht="15" customHeight="1">
      <c r="B1991" t="s">
        <v>12378</v>
      </c>
      <c r="C1991" t="s">
        <v>12378</v>
      </c>
      <c r="D1991">
        <v>0</v>
      </c>
    </row>
    <row r="1992" spans="2:4" ht="15" customHeight="1">
      <c r="B1992" t="s">
        <v>12381</v>
      </c>
      <c r="C1992" t="s">
        <v>12381</v>
      </c>
      <c r="D1992">
        <v>0</v>
      </c>
    </row>
    <row r="1993" spans="2:4" ht="15" customHeight="1">
      <c r="B1993" t="s">
        <v>12383</v>
      </c>
      <c r="C1993" t="s">
        <v>12383</v>
      </c>
      <c r="D1993">
        <v>0</v>
      </c>
    </row>
    <row r="1994" spans="2:4" ht="15" customHeight="1">
      <c r="B1994" t="s">
        <v>12385</v>
      </c>
      <c r="C1994" t="s">
        <v>12385</v>
      </c>
      <c r="D1994">
        <v>0</v>
      </c>
    </row>
    <row r="1995" spans="2:4" ht="15" customHeight="1">
      <c r="B1995" t="s">
        <v>12387</v>
      </c>
      <c r="C1995" t="s">
        <v>12387</v>
      </c>
      <c r="D1995">
        <v>0</v>
      </c>
    </row>
    <row r="1996" spans="2:4" ht="15" customHeight="1">
      <c r="B1996" t="s">
        <v>12389</v>
      </c>
      <c r="C1996" t="s">
        <v>12389</v>
      </c>
      <c r="D1996">
        <v>0</v>
      </c>
    </row>
    <row r="1997" spans="2:4" ht="15" customHeight="1">
      <c r="B1997" t="s">
        <v>12391</v>
      </c>
      <c r="C1997" t="s">
        <v>12391</v>
      </c>
      <c r="D1997">
        <v>0</v>
      </c>
    </row>
    <row r="1998" spans="2:4" ht="15" customHeight="1">
      <c r="B1998" t="s">
        <v>8349</v>
      </c>
      <c r="C1998" t="s">
        <v>8349</v>
      </c>
      <c r="D1998">
        <v>0</v>
      </c>
    </row>
    <row r="1999" spans="2:4" ht="15" customHeight="1">
      <c r="B1999" t="s">
        <v>12395</v>
      </c>
      <c r="C1999" t="s">
        <v>12395</v>
      </c>
      <c r="D1999">
        <v>0</v>
      </c>
    </row>
    <row r="2000" spans="2:4" ht="15" customHeight="1">
      <c r="B2000" t="s">
        <v>354</v>
      </c>
      <c r="C2000" t="s">
        <v>354</v>
      </c>
      <c r="D2000">
        <v>0</v>
      </c>
    </row>
    <row r="2001" spans="2:4" ht="15" customHeight="1">
      <c r="B2001" t="s">
        <v>12402</v>
      </c>
      <c r="C2001" t="s">
        <v>12402</v>
      </c>
      <c r="D2001">
        <v>0</v>
      </c>
    </row>
    <row r="2002" spans="2:4" ht="15" customHeight="1">
      <c r="B2002" t="s">
        <v>12405</v>
      </c>
      <c r="C2002" t="s">
        <v>12405</v>
      </c>
      <c r="D2002">
        <v>0</v>
      </c>
    </row>
    <row r="2003" spans="2:4" ht="15" customHeight="1">
      <c r="B2003" t="s">
        <v>12408</v>
      </c>
      <c r="C2003" t="s">
        <v>12408</v>
      </c>
      <c r="D2003">
        <v>0</v>
      </c>
    </row>
    <row r="2004" spans="2:4" ht="15" customHeight="1">
      <c r="B2004" t="s">
        <v>12411</v>
      </c>
      <c r="C2004" t="s">
        <v>12411</v>
      </c>
      <c r="D2004">
        <v>0</v>
      </c>
    </row>
    <row r="2005" spans="2:4" ht="15" customHeight="1">
      <c r="B2005" t="s">
        <v>12414</v>
      </c>
      <c r="C2005" t="s">
        <v>12414</v>
      </c>
      <c r="D2005">
        <v>0</v>
      </c>
    </row>
    <row r="2006" spans="2:4" ht="15" customHeight="1">
      <c r="B2006" t="s">
        <v>12416</v>
      </c>
      <c r="C2006" t="s">
        <v>12416</v>
      </c>
      <c r="D2006">
        <v>0</v>
      </c>
    </row>
    <row r="2007" spans="2:4" ht="15" customHeight="1">
      <c r="B2007" t="s">
        <v>12418</v>
      </c>
      <c r="C2007" t="s">
        <v>12418</v>
      </c>
      <c r="D2007">
        <v>0</v>
      </c>
    </row>
    <row r="2008" spans="2:4" ht="15" customHeight="1">
      <c r="B2008" t="s">
        <v>12421</v>
      </c>
      <c r="C2008" t="s">
        <v>12421</v>
      </c>
      <c r="D2008">
        <v>0</v>
      </c>
    </row>
    <row r="2009" spans="2:4" ht="15" customHeight="1">
      <c r="B2009" t="s">
        <v>8301</v>
      </c>
      <c r="C2009" t="s">
        <v>8301</v>
      </c>
      <c r="D2009">
        <v>0</v>
      </c>
    </row>
    <row r="2010" spans="2:4" ht="15" customHeight="1">
      <c r="B2010" t="s">
        <v>12424</v>
      </c>
      <c r="C2010" t="s">
        <v>12424</v>
      </c>
      <c r="D2010">
        <v>0</v>
      </c>
    </row>
    <row r="2011" spans="2:4" ht="15" customHeight="1">
      <c r="B2011" t="s">
        <v>12427</v>
      </c>
      <c r="C2011" t="s">
        <v>12427</v>
      </c>
      <c r="D2011">
        <v>0</v>
      </c>
    </row>
    <row r="2012" spans="2:4" ht="15" customHeight="1">
      <c r="B2012" t="s">
        <v>12430</v>
      </c>
      <c r="C2012" t="s">
        <v>12430</v>
      </c>
      <c r="D2012">
        <v>0</v>
      </c>
    </row>
    <row r="2013" spans="2:4" ht="15" customHeight="1">
      <c r="B2013" t="s">
        <v>12433</v>
      </c>
      <c r="C2013" t="s">
        <v>12433</v>
      </c>
      <c r="D2013">
        <v>0</v>
      </c>
    </row>
    <row r="2014" spans="2:4" ht="15" customHeight="1">
      <c r="B2014" t="s">
        <v>877</v>
      </c>
      <c r="C2014" t="s">
        <v>877</v>
      </c>
      <c r="D2014">
        <v>0</v>
      </c>
    </row>
    <row r="2015" spans="2:4" ht="15" customHeight="1">
      <c r="B2015" t="s">
        <v>12439</v>
      </c>
      <c r="C2015" t="s">
        <v>12439</v>
      </c>
      <c r="D2015">
        <v>0</v>
      </c>
    </row>
    <row r="2016" spans="2:4" ht="15" customHeight="1">
      <c r="B2016" t="s">
        <v>12444</v>
      </c>
      <c r="C2016" t="s">
        <v>12444</v>
      </c>
      <c r="D2016">
        <v>0</v>
      </c>
    </row>
    <row r="2017" spans="2:4" ht="15" customHeight="1">
      <c r="B2017" t="s">
        <v>12446</v>
      </c>
      <c r="C2017" t="s">
        <v>12446</v>
      </c>
      <c r="D2017">
        <v>0</v>
      </c>
    </row>
    <row r="2018" spans="2:4" ht="15" customHeight="1">
      <c r="B2018" t="s">
        <v>1999</v>
      </c>
      <c r="C2018" t="s">
        <v>1999</v>
      </c>
      <c r="D2018">
        <v>0</v>
      </c>
    </row>
    <row r="2019" spans="2:4" ht="15" customHeight="1">
      <c r="B2019" t="s">
        <v>13585</v>
      </c>
      <c r="C2019" t="s">
        <v>13585</v>
      </c>
      <c r="D2019">
        <v>0</v>
      </c>
    </row>
    <row r="2020" spans="2:4" ht="15" customHeight="1">
      <c r="B2020" t="s">
        <v>10990</v>
      </c>
      <c r="C2020" t="s">
        <v>10990</v>
      </c>
      <c r="D2020">
        <v>0</v>
      </c>
    </row>
    <row r="2021" spans="2:4" ht="15" customHeight="1">
      <c r="B2021" t="s">
        <v>7424</v>
      </c>
      <c r="C2021" t="s">
        <v>7424</v>
      </c>
      <c r="D2021">
        <v>0</v>
      </c>
    </row>
    <row r="2022" spans="2:4" ht="15" customHeight="1">
      <c r="B2022" t="s">
        <v>10353</v>
      </c>
      <c r="C2022" t="s">
        <v>10353</v>
      </c>
      <c r="D2022">
        <v>0</v>
      </c>
    </row>
    <row r="2023" spans="2:4" ht="15" customHeight="1">
      <c r="B2023" t="s">
        <v>12454</v>
      </c>
      <c r="C2023" t="s">
        <v>12454</v>
      </c>
      <c r="D2023">
        <v>0</v>
      </c>
    </row>
    <row r="2024" spans="2:4" ht="15" customHeight="1">
      <c r="B2024" t="s">
        <v>12456</v>
      </c>
      <c r="C2024" t="s">
        <v>12456</v>
      </c>
      <c r="D2024">
        <v>0</v>
      </c>
    </row>
    <row r="2025" spans="2:4" ht="15" customHeight="1">
      <c r="B2025" t="s">
        <v>12458</v>
      </c>
      <c r="C2025" t="s">
        <v>12458</v>
      </c>
      <c r="D2025">
        <v>0</v>
      </c>
    </row>
    <row r="2026" spans="2:4" ht="15" customHeight="1">
      <c r="B2026" t="s">
        <v>11182</v>
      </c>
      <c r="C2026" t="s">
        <v>11182</v>
      </c>
      <c r="D2026">
        <v>0</v>
      </c>
    </row>
    <row r="2027" spans="2:4" ht="15" customHeight="1">
      <c r="B2027" t="s">
        <v>12462</v>
      </c>
      <c r="C2027" t="s">
        <v>12462</v>
      </c>
      <c r="D2027">
        <v>0</v>
      </c>
    </row>
    <row r="2028" spans="2:4" ht="15" customHeight="1">
      <c r="B2028" t="s">
        <v>12464</v>
      </c>
      <c r="C2028" t="s">
        <v>12464</v>
      </c>
      <c r="D2028">
        <v>0</v>
      </c>
    </row>
    <row r="2029" spans="2:4" ht="15" customHeight="1">
      <c r="B2029" t="s">
        <v>11003</v>
      </c>
      <c r="C2029" t="s">
        <v>11003</v>
      </c>
      <c r="D2029">
        <v>0</v>
      </c>
    </row>
    <row r="2030" spans="2:4" ht="15" customHeight="1">
      <c r="B2030" t="s">
        <v>12467</v>
      </c>
      <c r="C2030" t="s">
        <v>12467</v>
      </c>
      <c r="D2030">
        <v>0</v>
      </c>
    </row>
    <row r="2031" spans="2:4" ht="15" customHeight="1">
      <c r="B2031" t="s">
        <v>775</v>
      </c>
      <c r="C2031" t="s">
        <v>775</v>
      </c>
      <c r="D2031">
        <v>0</v>
      </c>
    </row>
    <row r="2032" spans="2:4" ht="15" customHeight="1">
      <c r="B2032" t="s">
        <v>12471</v>
      </c>
      <c r="C2032" t="s">
        <v>12471</v>
      </c>
      <c r="D2032">
        <v>0</v>
      </c>
    </row>
    <row r="2033" spans="2:4" ht="15" customHeight="1">
      <c r="B2033" t="s">
        <v>12474</v>
      </c>
      <c r="C2033" t="s">
        <v>12474</v>
      </c>
      <c r="D2033">
        <v>0</v>
      </c>
    </row>
    <row r="2034" spans="2:4" ht="15" customHeight="1">
      <c r="B2034" t="s">
        <v>840</v>
      </c>
      <c r="C2034" t="s">
        <v>840</v>
      </c>
      <c r="D2034">
        <v>0</v>
      </c>
    </row>
    <row r="2035" spans="2:4" ht="15" customHeight="1">
      <c r="B2035" t="s">
        <v>746</v>
      </c>
      <c r="C2035" t="s">
        <v>746</v>
      </c>
      <c r="D2035">
        <v>0</v>
      </c>
    </row>
    <row r="2036" spans="2:4" ht="15" customHeight="1">
      <c r="B2036" t="s">
        <v>12025</v>
      </c>
      <c r="C2036" t="s">
        <v>12025</v>
      </c>
      <c r="D2036">
        <v>0</v>
      </c>
    </row>
    <row r="2037" spans="2:4" ht="15" customHeight="1">
      <c r="B2037" t="s">
        <v>10929</v>
      </c>
      <c r="C2037" t="s">
        <v>10929</v>
      </c>
      <c r="D2037">
        <v>0</v>
      </c>
    </row>
    <row r="2038" spans="2:4" ht="15" customHeight="1">
      <c r="B2038" t="s">
        <v>12491</v>
      </c>
      <c r="C2038" t="s">
        <v>12491</v>
      </c>
      <c r="D2038">
        <v>0</v>
      </c>
    </row>
    <row r="2039" spans="2:4" ht="15" customHeight="1">
      <c r="B2039" t="s">
        <v>12493</v>
      </c>
      <c r="C2039" t="s">
        <v>12493</v>
      </c>
      <c r="D2039">
        <v>0</v>
      </c>
    </row>
    <row r="2040" spans="2:4" ht="15" customHeight="1">
      <c r="B2040" t="s">
        <v>12495</v>
      </c>
      <c r="C2040" t="s">
        <v>12495</v>
      </c>
      <c r="D2040">
        <v>0</v>
      </c>
    </row>
    <row r="2041" spans="2:4" ht="15" customHeight="1">
      <c r="B2041" t="s">
        <v>12497</v>
      </c>
      <c r="C2041" t="s">
        <v>12497</v>
      </c>
      <c r="D2041">
        <v>0</v>
      </c>
    </row>
    <row r="2042" spans="2:4" ht="15" customHeight="1">
      <c r="B2042" t="s">
        <v>535</v>
      </c>
      <c r="C2042" t="s">
        <v>535</v>
      </c>
      <c r="D2042">
        <v>0</v>
      </c>
    </row>
    <row r="2043" spans="2:4" ht="15" customHeight="1">
      <c r="B2043" t="s">
        <v>12500</v>
      </c>
      <c r="C2043" t="s">
        <v>12500</v>
      </c>
      <c r="D2043">
        <v>0</v>
      </c>
    </row>
    <row r="2044" spans="2:4" ht="15" customHeight="1">
      <c r="B2044" t="s">
        <v>12502</v>
      </c>
      <c r="C2044" t="s">
        <v>12502</v>
      </c>
      <c r="D2044">
        <v>0</v>
      </c>
    </row>
    <row r="2045" spans="2:4" ht="15" customHeight="1">
      <c r="B2045" t="s">
        <v>12504</v>
      </c>
      <c r="C2045" t="s">
        <v>12504</v>
      </c>
      <c r="D2045">
        <v>0</v>
      </c>
    </row>
    <row r="2046" spans="2:4" ht="15" customHeight="1">
      <c r="B2046" t="s">
        <v>12506</v>
      </c>
      <c r="C2046" t="s">
        <v>12506</v>
      </c>
      <c r="D2046">
        <v>0</v>
      </c>
    </row>
    <row r="2047" spans="2:4" ht="15" customHeight="1">
      <c r="B2047" t="s">
        <v>12508</v>
      </c>
      <c r="C2047" t="s">
        <v>12508</v>
      </c>
      <c r="D2047">
        <v>0</v>
      </c>
    </row>
    <row r="2048" spans="2:4" ht="15" customHeight="1">
      <c r="B2048" t="s">
        <v>12510</v>
      </c>
      <c r="C2048" t="s">
        <v>12510</v>
      </c>
      <c r="D2048">
        <v>0</v>
      </c>
    </row>
    <row r="2049" spans="2:4" ht="15" customHeight="1">
      <c r="B2049" t="s">
        <v>10752</v>
      </c>
      <c r="C2049" t="s">
        <v>10752</v>
      </c>
      <c r="D2049">
        <v>0</v>
      </c>
    </row>
    <row r="2050" spans="2:4" ht="15" customHeight="1">
      <c r="B2050" t="s">
        <v>12515</v>
      </c>
      <c r="C2050" t="s">
        <v>12515</v>
      </c>
      <c r="D2050">
        <v>0</v>
      </c>
    </row>
    <row r="2051" spans="2:4" ht="15" customHeight="1">
      <c r="B2051" t="s">
        <v>12517</v>
      </c>
      <c r="C2051" t="s">
        <v>12517</v>
      </c>
      <c r="D2051">
        <v>0</v>
      </c>
    </row>
    <row r="2052" spans="2:4" ht="15" customHeight="1">
      <c r="B2052" t="s">
        <v>12520</v>
      </c>
      <c r="C2052" t="s">
        <v>12520</v>
      </c>
      <c r="D2052">
        <v>0</v>
      </c>
    </row>
    <row r="2053" spans="2:4" ht="15" customHeight="1">
      <c r="B2053" t="s">
        <v>12523</v>
      </c>
      <c r="C2053" t="s">
        <v>12523</v>
      </c>
      <c r="D2053">
        <v>0</v>
      </c>
    </row>
    <row r="2054" spans="2:4" ht="15" customHeight="1">
      <c r="B2054" t="s">
        <v>12525</v>
      </c>
      <c r="C2054" t="s">
        <v>12525</v>
      </c>
      <c r="D2054">
        <v>0</v>
      </c>
    </row>
    <row r="2055" spans="2:4" ht="15" customHeight="1">
      <c r="B2055" t="s">
        <v>12528</v>
      </c>
      <c r="C2055" t="s">
        <v>12528</v>
      </c>
      <c r="D2055">
        <v>0</v>
      </c>
    </row>
    <row r="2056" spans="2:4" ht="15" customHeight="1">
      <c r="B2056" t="s">
        <v>12530</v>
      </c>
      <c r="C2056" t="s">
        <v>12530</v>
      </c>
      <c r="D2056">
        <v>0</v>
      </c>
    </row>
    <row r="2057" spans="2:4" ht="15" customHeight="1">
      <c r="B2057" t="s">
        <v>12532</v>
      </c>
      <c r="C2057" t="s">
        <v>12532</v>
      </c>
      <c r="D2057">
        <v>0</v>
      </c>
    </row>
    <row r="2058" spans="2:4" ht="15" customHeight="1">
      <c r="B2058" t="s">
        <v>12535</v>
      </c>
      <c r="C2058" t="s">
        <v>12535</v>
      </c>
      <c r="D2058">
        <v>0</v>
      </c>
    </row>
    <row r="2059" spans="2:4" ht="15" customHeight="1">
      <c r="B2059" t="s">
        <v>12537</v>
      </c>
      <c r="C2059" t="s">
        <v>12537</v>
      </c>
      <c r="D2059">
        <v>0</v>
      </c>
    </row>
    <row r="2060" spans="2:4" ht="15" customHeight="1">
      <c r="B2060" t="s">
        <v>12539</v>
      </c>
      <c r="C2060" t="s">
        <v>12539</v>
      </c>
      <c r="D2060">
        <v>0</v>
      </c>
    </row>
    <row r="2061" spans="2:4" ht="15" customHeight="1">
      <c r="B2061" t="s">
        <v>12541</v>
      </c>
      <c r="C2061" t="s">
        <v>12541</v>
      </c>
      <c r="D2061">
        <v>0</v>
      </c>
    </row>
    <row r="2062" spans="2:4" ht="15" customHeight="1">
      <c r="B2062" t="s">
        <v>933</v>
      </c>
      <c r="C2062" t="s">
        <v>933</v>
      </c>
      <c r="D2062">
        <v>0</v>
      </c>
    </row>
    <row r="2063" spans="2:4" ht="15" customHeight="1">
      <c r="B2063" t="s">
        <v>12546</v>
      </c>
      <c r="C2063" t="s">
        <v>12546</v>
      </c>
      <c r="D2063">
        <v>0</v>
      </c>
    </row>
    <row r="2064" spans="2:4" ht="15" customHeight="1">
      <c r="B2064" t="s">
        <v>12548</v>
      </c>
      <c r="C2064" t="s">
        <v>12548</v>
      </c>
      <c r="D2064">
        <v>0</v>
      </c>
    </row>
    <row r="2065" spans="2:4" ht="15" customHeight="1">
      <c r="B2065" t="s">
        <v>657</v>
      </c>
      <c r="C2065" t="s">
        <v>657</v>
      </c>
      <c r="D2065">
        <v>0</v>
      </c>
    </row>
    <row r="2066" spans="2:4" ht="15" customHeight="1">
      <c r="B2066" t="s">
        <v>12551</v>
      </c>
      <c r="C2066" t="s">
        <v>12551</v>
      </c>
      <c r="D2066">
        <v>0</v>
      </c>
    </row>
    <row r="2067" spans="2:4" ht="15" customHeight="1">
      <c r="B2067" t="s">
        <v>12553</v>
      </c>
      <c r="C2067" t="s">
        <v>12553</v>
      </c>
      <c r="D2067">
        <v>0</v>
      </c>
    </row>
    <row r="2068" spans="2:4" ht="15" customHeight="1">
      <c r="B2068" t="s">
        <v>12555</v>
      </c>
      <c r="C2068" t="s">
        <v>12555</v>
      </c>
      <c r="D2068">
        <v>0</v>
      </c>
    </row>
    <row r="2069" spans="2:4" ht="15" customHeight="1">
      <c r="B2069" t="s">
        <v>12557</v>
      </c>
      <c r="C2069" t="s">
        <v>12557</v>
      </c>
      <c r="D2069">
        <v>0</v>
      </c>
    </row>
    <row r="2070" spans="2:4" ht="15" customHeight="1">
      <c r="B2070" t="s">
        <v>12559</v>
      </c>
      <c r="C2070" t="s">
        <v>12559</v>
      </c>
      <c r="D2070">
        <v>0</v>
      </c>
    </row>
    <row r="2071" spans="2:4" ht="15" customHeight="1">
      <c r="B2071" t="s">
        <v>7329</v>
      </c>
      <c r="C2071" t="s">
        <v>7329</v>
      </c>
      <c r="D2071">
        <v>0</v>
      </c>
    </row>
    <row r="2072" spans="2:4" ht="15" customHeight="1">
      <c r="B2072" t="s">
        <v>12562</v>
      </c>
      <c r="C2072" t="s">
        <v>12562</v>
      </c>
      <c r="D2072">
        <v>0</v>
      </c>
    </row>
    <row r="2073" spans="2:4" ht="15" customHeight="1">
      <c r="B2073" t="s">
        <v>12564</v>
      </c>
      <c r="C2073" t="s">
        <v>12564</v>
      </c>
      <c r="D2073">
        <v>0</v>
      </c>
    </row>
    <row r="2074" spans="2:4" ht="15" customHeight="1">
      <c r="B2074" t="s">
        <v>12566</v>
      </c>
      <c r="C2074" t="s">
        <v>12566</v>
      </c>
      <c r="D2074">
        <v>0</v>
      </c>
    </row>
    <row r="2075" spans="2:4" ht="15" customHeight="1">
      <c r="B2075" t="s">
        <v>12569</v>
      </c>
      <c r="C2075" t="s">
        <v>12569</v>
      </c>
      <c r="D2075">
        <v>0</v>
      </c>
    </row>
    <row r="2076" spans="2:4" ht="15" customHeight="1">
      <c r="B2076" t="s">
        <v>12572</v>
      </c>
      <c r="C2076" t="s">
        <v>12572</v>
      </c>
      <c r="D2076">
        <v>0</v>
      </c>
    </row>
    <row r="2077" spans="2:4" ht="15" customHeight="1">
      <c r="B2077" t="s">
        <v>12574</v>
      </c>
      <c r="C2077" t="s">
        <v>12574</v>
      </c>
      <c r="D2077">
        <v>0</v>
      </c>
    </row>
    <row r="2078" spans="2:4" ht="15" customHeight="1">
      <c r="B2078" t="s">
        <v>12576</v>
      </c>
      <c r="C2078" t="s">
        <v>12576</v>
      </c>
      <c r="D2078">
        <v>0</v>
      </c>
    </row>
    <row r="2079" spans="2:4" ht="15" customHeight="1">
      <c r="B2079" t="s">
        <v>12578</v>
      </c>
      <c r="C2079" t="s">
        <v>12578</v>
      </c>
      <c r="D2079">
        <v>0</v>
      </c>
    </row>
    <row r="2080" spans="2:4" ht="15" customHeight="1">
      <c r="B2080" t="s">
        <v>12580</v>
      </c>
      <c r="C2080" t="s">
        <v>12580</v>
      </c>
      <c r="D2080">
        <v>0</v>
      </c>
    </row>
    <row r="2081" spans="2:4" ht="15" customHeight="1">
      <c r="B2081" t="s">
        <v>778</v>
      </c>
      <c r="C2081" t="s">
        <v>778</v>
      </c>
      <c r="D2081">
        <v>0</v>
      </c>
    </row>
    <row r="2082" spans="2:4" ht="15" customHeight="1">
      <c r="B2082" t="s">
        <v>12583</v>
      </c>
      <c r="C2082" t="s">
        <v>12583</v>
      </c>
      <c r="D2082">
        <v>0</v>
      </c>
    </row>
    <row r="2083" spans="2:4" ht="15" customHeight="1">
      <c r="B2083" t="s">
        <v>12585</v>
      </c>
      <c r="C2083" t="s">
        <v>12585</v>
      </c>
      <c r="D2083">
        <v>0</v>
      </c>
    </row>
    <row r="2084" spans="2:4" ht="15" customHeight="1">
      <c r="B2084" t="s">
        <v>8179</v>
      </c>
      <c r="C2084" t="s">
        <v>8179</v>
      </c>
      <c r="D2084">
        <v>0</v>
      </c>
    </row>
    <row r="2085" spans="2:4" ht="15" customHeight="1">
      <c r="B2085" t="s">
        <v>11039</v>
      </c>
      <c r="C2085" t="s">
        <v>11039</v>
      </c>
      <c r="D2085">
        <v>0</v>
      </c>
    </row>
    <row r="2086" spans="2:4" ht="15" customHeight="1">
      <c r="B2086" t="s">
        <v>8172</v>
      </c>
      <c r="C2086" t="s">
        <v>8172</v>
      </c>
      <c r="D2086">
        <v>0</v>
      </c>
    </row>
    <row r="2087" spans="2:4" ht="15" customHeight="1">
      <c r="B2087" t="s">
        <v>8170</v>
      </c>
      <c r="C2087" t="s">
        <v>8170</v>
      </c>
      <c r="D2087">
        <v>0</v>
      </c>
    </row>
    <row r="2088" spans="2:4" ht="15" customHeight="1">
      <c r="B2088" t="s">
        <v>12590</v>
      </c>
      <c r="C2088" t="s">
        <v>12590</v>
      </c>
      <c r="D2088">
        <v>0</v>
      </c>
    </row>
    <row r="2089" spans="2:4" ht="15" customHeight="1">
      <c r="B2089" t="s">
        <v>12592</v>
      </c>
      <c r="C2089" t="s">
        <v>12592</v>
      </c>
      <c r="D2089">
        <v>0</v>
      </c>
    </row>
    <row r="2090" spans="2:4" ht="15" customHeight="1">
      <c r="B2090" t="s">
        <v>12594</v>
      </c>
      <c r="C2090" t="s">
        <v>12594</v>
      </c>
      <c r="D2090">
        <v>0</v>
      </c>
    </row>
    <row r="2091" spans="2:4" ht="15" customHeight="1">
      <c r="B2091" t="s">
        <v>13586</v>
      </c>
      <c r="C2091" t="s">
        <v>13586</v>
      </c>
      <c r="D2091">
        <v>0</v>
      </c>
    </row>
    <row r="2092" spans="2:4" ht="15" customHeight="1">
      <c r="B2092" t="s">
        <v>12600</v>
      </c>
      <c r="C2092" t="s">
        <v>12600</v>
      </c>
      <c r="D2092">
        <v>0</v>
      </c>
    </row>
    <row r="2093" spans="2:4" ht="15" customHeight="1">
      <c r="B2093" t="s">
        <v>12602</v>
      </c>
      <c r="C2093" t="s">
        <v>12602</v>
      </c>
      <c r="D2093">
        <v>0</v>
      </c>
    </row>
    <row r="2094" spans="2:4" ht="15" customHeight="1">
      <c r="B2094" t="s">
        <v>12607</v>
      </c>
      <c r="C2094" t="s">
        <v>12607</v>
      </c>
      <c r="D2094">
        <v>0</v>
      </c>
    </row>
    <row r="2095" spans="2:4" ht="15" customHeight="1">
      <c r="B2095" t="s">
        <v>12610</v>
      </c>
      <c r="C2095" t="s">
        <v>12610</v>
      </c>
      <c r="D2095">
        <v>0</v>
      </c>
    </row>
    <row r="2096" spans="2:4" ht="15" customHeight="1">
      <c r="B2096" t="s">
        <v>12613</v>
      </c>
      <c r="C2096" t="s">
        <v>12613</v>
      </c>
      <c r="D2096">
        <v>0</v>
      </c>
    </row>
    <row r="2097" spans="2:4" ht="15" customHeight="1">
      <c r="B2097" t="s">
        <v>12616</v>
      </c>
      <c r="C2097" t="s">
        <v>12616</v>
      </c>
      <c r="D2097">
        <v>0</v>
      </c>
    </row>
    <row r="2098" spans="2:4" ht="15" customHeight="1">
      <c r="B2098" t="s">
        <v>12619</v>
      </c>
      <c r="C2098" t="s">
        <v>12619</v>
      </c>
      <c r="D2098">
        <v>0</v>
      </c>
    </row>
    <row r="2099" spans="2:4" ht="15" customHeight="1">
      <c r="B2099" t="s">
        <v>12622</v>
      </c>
      <c r="C2099" t="s">
        <v>12622</v>
      </c>
      <c r="D2099">
        <v>0</v>
      </c>
    </row>
    <row r="2100" spans="2:4" ht="15" customHeight="1">
      <c r="B2100" t="s">
        <v>12625</v>
      </c>
      <c r="C2100" t="s">
        <v>12625</v>
      </c>
      <c r="D2100">
        <v>0</v>
      </c>
    </row>
    <row r="2101" spans="2:4" ht="15" customHeight="1">
      <c r="B2101" t="s">
        <v>12627</v>
      </c>
      <c r="C2101" t="s">
        <v>12627</v>
      </c>
      <c r="D2101">
        <v>0</v>
      </c>
    </row>
    <row r="2102" spans="2:4" ht="15" customHeight="1">
      <c r="B2102" t="s">
        <v>12632</v>
      </c>
      <c r="C2102" t="s">
        <v>12632</v>
      </c>
      <c r="D2102">
        <v>0</v>
      </c>
    </row>
    <row r="2103" spans="2:4" ht="15" customHeight="1">
      <c r="B2103" t="s">
        <v>12635</v>
      </c>
      <c r="C2103" t="s">
        <v>12635</v>
      </c>
      <c r="D2103">
        <v>0</v>
      </c>
    </row>
    <row r="2104" spans="2:4" ht="15" customHeight="1">
      <c r="B2104" t="s">
        <v>12638</v>
      </c>
      <c r="C2104" t="s">
        <v>12638</v>
      </c>
      <c r="D2104">
        <v>0</v>
      </c>
    </row>
    <row r="2105" spans="2:4" ht="15" customHeight="1">
      <c r="B2105" t="s">
        <v>12641</v>
      </c>
      <c r="C2105" t="s">
        <v>12641</v>
      </c>
      <c r="D2105">
        <v>0</v>
      </c>
    </row>
    <row r="2106" spans="2:4" ht="15" customHeight="1">
      <c r="B2106" t="s">
        <v>12643</v>
      </c>
      <c r="C2106" t="s">
        <v>12643</v>
      </c>
      <c r="D2106">
        <v>0</v>
      </c>
    </row>
    <row r="2107" spans="2:4" ht="15" customHeight="1">
      <c r="B2107" t="s">
        <v>9999</v>
      </c>
      <c r="C2107" t="s">
        <v>9999</v>
      </c>
      <c r="D2107">
        <v>0</v>
      </c>
    </row>
    <row r="2108" spans="2:4" ht="15" customHeight="1">
      <c r="B2108" t="s">
        <v>12647</v>
      </c>
      <c r="C2108" t="s">
        <v>12647</v>
      </c>
      <c r="D2108">
        <v>0</v>
      </c>
    </row>
    <row r="2109" spans="2:4" ht="15" customHeight="1">
      <c r="B2109" t="s">
        <v>12651</v>
      </c>
      <c r="C2109" t="s">
        <v>12651</v>
      </c>
      <c r="D2109">
        <v>0</v>
      </c>
    </row>
    <row r="2110" spans="2:4" ht="15" customHeight="1">
      <c r="B2110" t="s">
        <v>12652</v>
      </c>
      <c r="C2110" t="s">
        <v>12652</v>
      </c>
      <c r="D2110">
        <v>0</v>
      </c>
    </row>
    <row r="2111" spans="2:4" ht="15" customHeight="1">
      <c r="B2111" t="s">
        <v>12657</v>
      </c>
      <c r="C2111" t="s">
        <v>12657</v>
      </c>
      <c r="D2111">
        <v>0</v>
      </c>
    </row>
    <row r="2112" spans="2:4" ht="15" customHeight="1">
      <c r="B2112" t="s">
        <v>10023</v>
      </c>
      <c r="C2112" t="s">
        <v>10023</v>
      </c>
      <c r="D2112">
        <v>0</v>
      </c>
    </row>
    <row r="2113" spans="2:4" ht="15" customHeight="1">
      <c r="B2113" t="s">
        <v>8337</v>
      </c>
      <c r="C2113" t="s">
        <v>8337</v>
      </c>
      <c r="D2113">
        <v>0</v>
      </c>
    </row>
    <row r="2114" spans="2:4" ht="15" customHeight="1">
      <c r="B2114" t="s">
        <v>12667</v>
      </c>
      <c r="C2114" t="s">
        <v>12667</v>
      </c>
      <c r="D2114">
        <v>0</v>
      </c>
    </row>
    <row r="2115" spans="2:4" ht="15" customHeight="1">
      <c r="B2115" t="s">
        <v>10145</v>
      </c>
      <c r="C2115" t="s">
        <v>10145</v>
      </c>
      <c r="D2115">
        <v>0</v>
      </c>
    </row>
    <row r="2116" spans="2:4" ht="15" customHeight="1">
      <c r="B2116" t="s">
        <v>9305</v>
      </c>
      <c r="C2116" t="s">
        <v>9305</v>
      </c>
      <c r="D2116">
        <v>0</v>
      </c>
    </row>
    <row r="2117" spans="2:4" ht="15" customHeight="1">
      <c r="B2117" t="s">
        <v>12673</v>
      </c>
      <c r="C2117" t="s">
        <v>12673</v>
      </c>
      <c r="D2117">
        <v>0</v>
      </c>
    </row>
    <row r="2118" spans="2:4" ht="15" customHeight="1">
      <c r="B2118" t="s">
        <v>12676</v>
      </c>
      <c r="C2118" t="s">
        <v>12676</v>
      </c>
      <c r="D2118">
        <v>0</v>
      </c>
    </row>
    <row r="2119" spans="2:4" ht="15" customHeight="1">
      <c r="B2119" t="s">
        <v>13587</v>
      </c>
      <c r="C2119" t="s">
        <v>13587</v>
      </c>
      <c r="D2119">
        <v>0</v>
      </c>
    </row>
    <row r="2120" spans="2:4" ht="15" customHeight="1">
      <c r="B2120" t="s">
        <v>12685</v>
      </c>
      <c r="C2120" t="s">
        <v>12685</v>
      </c>
      <c r="D2120">
        <v>0</v>
      </c>
    </row>
    <row r="2121" spans="2:4" ht="15" customHeight="1">
      <c r="B2121" t="s">
        <v>12688</v>
      </c>
      <c r="C2121" t="s">
        <v>12688</v>
      </c>
      <c r="D2121">
        <v>0</v>
      </c>
    </row>
    <row r="2122" spans="2:4" ht="15" customHeight="1">
      <c r="B2122" t="s">
        <v>880</v>
      </c>
      <c r="C2122" t="s">
        <v>880</v>
      </c>
      <c r="D2122">
        <v>0</v>
      </c>
    </row>
    <row r="2123" spans="2:4" ht="15" customHeight="1">
      <c r="B2123" t="s">
        <v>995</v>
      </c>
      <c r="C2123" t="s">
        <v>995</v>
      </c>
      <c r="D2123">
        <v>0</v>
      </c>
    </row>
    <row r="2124" spans="2:4" ht="15" customHeight="1">
      <c r="B2124" t="s">
        <v>12694</v>
      </c>
      <c r="C2124" t="s">
        <v>12694</v>
      </c>
      <c r="D2124">
        <v>0</v>
      </c>
    </row>
    <row r="2125" spans="2:4" ht="15" customHeight="1">
      <c r="B2125" t="e">
        <v>#VALUE!</v>
      </c>
      <c r="C2125" t="e">
        <v>#VALUE!</v>
      </c>
      <c r="D2125">
        <v>0</v>
      </c>
    </row>
    <row r="2126" spans="2:4" ht="15" customHeight="1">
      <c r="B2126" t="s">
        <v>12698</v>
      </c>
      <c r="C2126" t="s">
        <v>12698</v>
      </c>
      <c r="D2126">
        <v>0</v>
      </c>
    </row>
    <row r="2127" spans="2:4" ht="15" customHeight="1">
      <c r="B2127" t="s">
        <v>12701</v>
      </c>
      <c r="C2127" t="s">
        <v>12701</v>
      </c>
      <c r="D2127">
        <v>0</v>
      </c>
    </row>
    <row r="2128" spans="2:4" ht="15" customHeight="1">
      <c r="B2128" t="s">
        <v>12704</v>
      </c>
      <c r="C2128" t="s">
        <v>12704</v>
      </c>
      <c r="D2128">
        <v>0</v>
      </c>
    </row>
    <row r="2129" spans="2:4" ht="15" customHeight="1">
      <c r="B2129" t="s">
        <v>12707</v>
      </c>
      <c r="C2129" t="s">
        <v>12707</v>
      </c>
      <c r="D2129">
        <v>0</v>
      </c>
    </row>
    <row r="2130" spans="2:4" ht="15" customHeight="1">
      <c r="B2130" t="s">
        <v>12712</v>
      </c>
      <c r="C2130" t="s">
        <v>12712</v>
      </c>
      <c r="D2130">
        <v>0</v>
      </c>
    </row>
    <row r="2131" spans="2:4" ht="15" customHeight="1">
      <c r="B2131" t="s">
        <v>12715</v>
      </c>
      <c r="C2131" t="s">
        <v>12715</v>
      </c>
      <c r="D2131">
        <v>0</v>
      </c>
    </row>
    <row r="2132" spans="2:4" ht="15" customHeight="1">
      <c r="B2132" t="s">
        <v>12718</v>
      </c>
      <c r="C2132" t="s">
        <v>12718</v>
      </c>
      <c r="D2132">
        <v>0</v>
      </c>
    </row>
    <row r="2133" spans="2:4" ht="15" customHeight="1">
      <c r="B2133" t="s">
        <v>12721</v>
      </c>
      <c r="C2133" t="s">
        <v>12721</v>
      </c>
      <c r="D2133">
        <v>0</v>
      </c>
    </row>
    <row r="2134" spans="2:4" ht="15" customHeight="1">
      <c r="B2134" t="s">
        <v>12726</v>
      </c>
      <c r="C2134" t="s">
        <v>12726</v>
      </c>
      <c r="D2134">
        <v>0</v>
      </c>
    </row>
    <row r="2135" spans="2:4" ht="15" customHeight="1">
      <c r="B2135" t="s">
        <v>12729</v>
      </c>
      <c r="C2135" t="s">
        <v>12729</v>
      </c>
      <c r="D2135">
        <v>0</v>
      </c>
    </row>
    <row r="2136" spans="2:4" ht="15" customHeight="1">
      <c r="B2136" t="s">
        <v>12732</v>
      </c>
      <c r="C2136" t="s">
        <v>12732</v>
      </c>
      <c r="D2136">
        <v>0</v>
      </c>
    </row>
    <row r="2137" spans="2:4" ht="15" customHeight="1">
      <c r="B2137" t="s">
        <v>12735</v>
      </c>
      <c r="C2137" t="s">
        <v>12735</v>
      </c>
      <c r="D2137">
        <v>0</v>
      </c>
    </row>
    <row r="2138" spans="2:4" ht="15" customHeight="1">
      <c r="B2138" t="s">
        <v>769</v>
      </c>
      <c r="C2138" t="s">
        <v>769</v>
      </c>
      <c r="D2138">
        <v>0</v>
      </c>
    </row>
    <row r="2139" spans="2:4" ht="15" customHeight="1">
      <c r="B2139" t="s">
        <v>1990</v>
      </c>
      <c r="C2139" t="s">
        <v>1990</v>
      </c>
      <c r="D2139">
        <v>0</v>
      </c>
    </row>
    <row r="2140" spans="2:4" ht="15" customHeight="1">
      <c r="B2140" t="s">
        <v>12743</v>
      </c>
      <c r="C2140" t="s">
        <v>12743</v>
      </c>
      <c r="D2140">
        <v>0</v>
      </c>
    </row>
    <row r="2141" spans="2:4" ht="15" customHeight="1">
      <c r="B2141" t="s">
        <v>12745</v>
      </c>
      <c r="C2141" t="s">
        <v>12745</v>
      </c>
      <c r="D2141">
        <v>0</v>
      </c>
    </row>
    <row r="2142" spans="2:4" ht="15" customHeight="1">
      <c r="B2142" t="s">
        <v>12748</v>
      </c>
      <c r="C2142" t="s">
        <v>12748</v>
      </c>
      <c r="D2142">
        <v>0</v>
      </c>
    </row>
    <row r="2143" spans="2:4" ht="15" customHeight="1">
      <c r="B2143" t="s">
        <v>891</v>
      </c>
      <c r="C2143" t="s">
        <v>891</v>
      </c>
      <c r="D2143">
        <v>0</v>
      </c>
    </row>
    <row r="2144" spans="2:4" ht="15" customHeight="1">
      <c r="B2144" t="s">
        <v>12752</v>
      </c>
      <c r="C2144" t="s">
        <v>12752</v>
      </c>
      <c r="D2144">
        <v>0</v>
      </c>
    </row>
    <row r="2145" spans="2:4" ht="15" customHeight="1">
      <c r="B2145" t="s">
        <v>12754</v>
      </c>
      <c r="C2145" t="s">
        <v>12754</v>
      </c>
      <c r="D2145">
        <v>0</v>
      </c>
    </row>
    <row r="2146" spans="2:4" ht="15" customHeight="1">
      <c r="B2146" t="s">
        <v>12760</v>
      </c>
      <c r="C2146" t="s">
        <v>12760</v>
      </c>
      <c r="D2146">
        <v>0</v>
      </c>
    </row>
    <row r="2147" spans="2:4" ht="15" customHeight="1">
      <c r="B2147" t="s">
        <v>12766</v>
      </c>
      <c r="C2147" t="s">
        <v>12766</v>
      </c>
      <c r="D2147">
        <v>0</v>
      </c>
    </row>
    <row r="2148" spans="2:4" ht="15" customHeight="1">
      <c r="B2148" t="s">
        <v>1513</v>
      </c>
      <c r="C2148" t="s">
        <v>1513</v>
      </c>
      <c r="D2148">
        <v>0</v>
      </c>
    </row>
    <row r="2149" spans="2:4" ht="15" customHeight="1">
      <c r="B2149" t="s">
        <v>12773</v>
      </c>
      <c r="C2149" t="s">
        <v>12773</v>
      </c>
      <c r="D2149">
        <v>0</v>
      </c>
    </row>
    <row r="2150" spans="2:4" ht="15" customHeight="1">
      <c r="B2150" t="s">
        <v>10164</v>
      </c>
      <c r="C2150" t="s">
        <v>10164</v>
      </c>
      <c r="D2150">
        <v>0</v>
      </c>
    </row>
    <row r="2151" spans="2:4" ht="15" customHeight="1">
      <c r="B2151" t="s">
        <v>910</v>
      </c>
      <c r="C2151" t="s">
        <v>910</v>
      </c>
      <c r="D2151">
        <v>0</v>
      </c>
    </row>
    <row r="2152" spans="2:4" ht="15" customHeight="1">
      <c r="B2152" t="s">
        <v>12779</v>
      </c>
      <c r="C2152" t="s">
        <v>12779</v>
      </c>
      <c r="D2152">
        <v>0</v>
      </c>
    </row>
    <row r="2153" spans="2:4" ht="15" customHeight="1">
      <c r="B2153" t="s">
        <v>12782</v>
      </c>
      <c r="C2153" t="s">
        <v>12782</v>
      </c>
      <c r="D2153">
        <v>0</v>
      </c>
    </row>
    <row r="2154" spans="2:4" ht="15" customHeight="1">
      <c r="B2154" t="s">
        <v>12785</v>
      </c>
      <c r="C2154" t="s">
        <v>12785</v>
      </c>
      <c r="D2154">
        <v>0</v>
      </c>
    </row>
    <row r="2155" spans="2:4" ht="15" customHeight="1">
      <c r="B2155" t="s">
        <v>12787</v>
      </c>
      <c r="C2155" t="s">
        <v>12787</v>
      </c>
      <c r="D2155">
        <v>0</v>
      </c>
    </row>
    <row r="2156" spans="2:4" ht="15" customHeight="1">
      <c r="B2156" t="s">
        <v>6925</v>
      </c>
      <c r="C2156" t="s">
        <v>6925</v>
      </c>
      <c r="D2156">
        <v>0</v>
      </c>
    </row>
    <row r="2157" spans="2:4" ht="15" customHeight="1">
      <c r="B2157" t="s">
        <v>10868</v>
      </c>
      <c r="C2157" t="s">
        <v>10868</v>
      </c>
      <c r="D2157">
        <v>0</v>
      </c>
    </row>
    <row r="2158" spans="2:4" ht="15" customHeight="1">
      <c r="B2158" t="s">
        <v>10843</v>
      </c>
      <c r="C2158" t="s">
        <v>10843</v>
      </c>
      <c r="D2158">
        <v>0</v>
      </c>
    </row>
    <row r="2159" spans="2:4" ht="15" customHeight="1">
      <c r="B2159" t="s">
        <v>10869</v>
      </c>
      <c r="C2159" t="s">
        <v>10869</v>
      </c>
      <c r="D2159">
        <v>0</v>
      </c>
    </row>
    <row r="2160" spans="2:4" ht="15" customHeight="1">
      <c r="B2160" t="s">
        <v>10871</v>
      </c>
      <c r="C2160" t="s">
        <v>10871</v>
      </c>
      <c r="D2160">
        <v>0</v>
      </c>
    </row>
    <row r="2161" spans="2:4" ht="15" customHeight="1">
      <c r="B2161" t="s">
        <v>6657</v>
      </c>
      <c r="C2161" t="s">
        <v>6657</v>
      </c>
      <c r="D2161">
        <v>0</v>
      </c>
    </row>
    <row r="2162" spans="2:4" ht="15" customHeight="1">
      <c r="B2162" t="s">
        <v>12803</v>
      </c>
      <c r="C2162" t="s">
        <v>12803</v>
      </c>
      <c r="D2162">
        <v>0</v>
      </c>
    </row>
    <row r="2163" spans="2:4" ht="15" customHeight="1">
      <c r="B2163" t="s">
        <v>12806</v>
      </c>
      <c r="C2163" t="s">
        <v>12806</v>
      </c>
      <c r="D2163">
        <v>0</v>
      </c>
    </row>
    <row r="2164" spans="2:4" ht="15" customHeight="1">
      <c r="B2164" t="s">
        <v>12809</v>
      </c>
      <c r="C2164" t="s">
        <v>12809</v>
      </c>
      <c r="D2164">
        <v>0</v>
      </c>
    </row>
    <row r="2165" spans="2:4" ht="15" customHeight="1">
      <c r="B2165" t="s">
        <v>12812</v>
      </c>
      <c r="C2165" t="s">
        <v>12812</v>
      </c>
      <c r="D2165">
        <v>0</v>
      </c>
    </row>
    <row r="2166" spans="2:4" ht="15" customHeight="1">
      <c r="B2166" t="s">
        <v>12815</v>
      </c>
      <c r="C2166" t="s">
        <v>12815</v>
      </c>
      <c r="D2166">
        <v>0</v>
      </c>
    </row>
    <row r="2167" spans="2:4" ht="15" customHeight="1">
      <c r="B2167" t="s">
        <v>12819</v>
      </c>
      <c r="C2167" t="s">
        <v>12819</v>
      </c>
      <c r="D2167">
        <v>0</v>
      </c>
    </row>
    <row r="2168" spans="2:4" ht="15" customHeight="1">
      <c r="B2168" t="s">
        <v>10811</v>
      </c>
      <c r="C2168" t="s">
        <v>10811</v>
      </c>
      <c r="D2168">
        <v>0</v>
      </c>
    </row>
    <row r="2169" spans="2:4" ht="15" customHeight="1">
      <c r="B2169" t="s">
        <v>12824</v>
      </c>
      <c r="C2169" t="s">
        <v>12824</v>
      </c>
      <c r="D2169">
        <v>0</v>
      </c>
    </row>
    <row r="2170" spans="2:4" ht="15" customHeight="1">
      <c r="B2170" t="s">
        <v>12826</v>
      </c>
      <c r="C2170" t="s">
        <v>12826</v>
      </c>
      <c r="D2170">
        <v>0</v>
      </c>
    </row>
    <row r="2171" spans="2:4" ht="15" customHeight="1">
      <c r="B2171" t="s">
        <v>8490</v>
      </c>
      <c r="C2171" t="s">
        <v>8490</v>
      </c>
      <c r="D2171">
        <v>0</v>
      </c>
    </row>
    <row r="2172" spans="2:4" ht="15" customHeight="1">
      <c r="B2172" t="s">
        <v>12834</v>
      </c>
      <c r="C2172" t="s">
        <v>12834</v>
      </c>
      <c r="D2172">
        <v>0</v>
      </c>
    </row>
    <row r="2173" spans="2:4" ht="15" customHeight="1">
      <c r="B2173" t="s">
        <v>12836</v>
      </c>
      <c r="C2173" t="s">
        <v>12836</v>
      </c>
      <c r="D2173">
        <v>0</v>
      </c>
    </row>
    <row r="2174" spans="2:4" ht="15" customHeight="1">
      <c r="B2174" t="s">
        <v>12839</v>
      </c>
      <c r="C2174" t="s">
        <v>12839</v>
      </c>
      <c r="D2174">
        <v>0</v>
      </c>
    </row>
    <row r="2175" spans="2:4" ht="15" customHeight="1">
      <c r="B2175" t="s">
        <v>12842</v>
      </c>
      <c r="C2175" t="s">
        <v>12842</v>
      </c>
      <c r="D2175">
        <v>0</v>
      </c>
    </row>
    <row r="2176" spans="2:4" ht="15" customHeight="1">
      <c r="B2176" t="s">
        <v>12845</v>
      </c>
      <c r="C2176" t="s">
        <v>12845</v>
      </c>
      <c r="D2176">
        <v>0</v>
      </c>
    </row>
    <row r="2177" spans="2:4" ht="15" customHeight="1">
      <c r="B2177" t="s">
        <v>12847</v>
      </c>
      <c r="C2177" t="s">
        <v>12847</v>
      </c>
      <c r="D2177">
        <v>0</v>
      </c>
    </row>
    <row r="2178" spans="2:4" ht="15" customHeight="1">
      <c r="B2178" t="s">
        <v>11234</v>
      </c>
      <c r="C2178" t="s">
        <v>11234</v>
      </c>
      <c r="D2178">
        <v>0</v>
      </c>
    </row>
    <row r="2179" spans="2:4" ht="15" customHeight="1">
      <c r="B2179" t="s">
        <v>12851</v>
      </c>
      <c r="C2179" t="s">
        <v>12851</v>
      </c>
      <c r="D2179">
        <v>0</v>
      </c>
    </row>
    <row r="2180" spans="2:4" ht="15" customHeight="1">
      <c r="B2180" t="s">
        <v>12855</v>
      </c>
      <c r="C2180" t="s">
        <v>12855</v>
      </c>
      <c r="D2180">
        <v>0</v>
      </c>
    </row>
    <row r="2181" spans="2:4" ht="15" customHeight="1">
      <c r="B2181" t="s">
        <v>12858</v>
      </c>
      <c r="C2181" t="s">
        <v>12858</v>
      </c>
      <c r="D2181">
        <v>0</v>
      </c>
    </row>
    <row r="2182" spans="2:4" ht="15" customHeight="1">
      <c r="B2182" t="s">
        <v>12861</v>
      </c>
      <c r="C2182" t="s">
        <v>12861</v>
      </c>
      <c r="D2182">
        <v>0</v>
      </c>
    </row>
    <row r="2183" spans="2:4" ht="15" customHeight="1">
      <c r="B2183" t="s">
        <v>847</v>
      </c>
      <c r="C2183" t="s">
        <v>847</v>
      </c>
      <c r="D2183">
        <v>0</v>
      </c>
    </row>
    <row r="2184" spans="2:4" ht="15" customHeight="1">
      <c r="B2184" t="s">
        <v>12865</v>
      </c>
      <c r="C2184" t="s">
        <v>12865</v>
      </c>
      <c r="D2184">
        <v>0</v>
      </c>
    </row>
    <row r="2185" spans="2:4" ht="15" customHeight="1">
      <c r="B2185" t="s">
        <v>12868</v>
      </c>
      <c r="C2185" t="s">
        <v>12868</v>
      </c>
      <c r="D2185">
        <v>0</v>
      </c>
    </row>
    <row r="2186" spans="2:4" ht="15" customHeight="1">
      <c r="B2186" t="s">
        <v>12871</v>
      </c>
      <c r="C2186" t="s">
        <v>12871</v>
      </c>
      <c r="D2186">
        <v>0</v>
      </c>
    </row>
    <row r="2187" spans="2:4" ht="15" customHeight="1">
      <c r="B2187" t="s">
        <v>12874</v>
      </c>
      <c r="C2187" t="s">
        <v>12874</v>
      </c>
      <c r="D2187">
        <v>0</v>
      </c>
    </row>
    <row r="2188" spans="2:4" ht="15" customHeight="1">
      <c r="B2188" t="s">
        <v>12877</v>
      </c>
      <c r="C2188" t="s">
        <v>12877</v>
      </c>
      <c r="D2188">
        <v>0</v>
      </c>
    </row>
    <row r="2189" spans="2:4" ht="15" customHeight="1">
      <c r="B2189" t="s">
        <v>12880</v>
      </c>
      <c r="C2189" t="s">
        <v>12880</v>
      </c>
      <c r="D2189">
        <v>0</v>
      </c>
    </row>
    <row r="2190" spans="2:4" ht="15" customHeight="1">
      <c r="B2190" t="s">
        <v>12882</v>
      </c>
      <c r="C2190" t="s">
        <v>12882</v>
      </c>
      <c r="D2190">
        <v>0</v>
      </c>
    </row>
    <row r="2191" spans="2:4" ht="15" customHeight="1">
      <c r="B2191" t="s">
        <v>12884</v>
      </c>
      <c r="C2191" t="s">
        <v>12884</v>
      </c>
      <c r="D2191">
        <v>0</v>
      </c>
    </row>
    <row r="2192" spans="2:4" ht="15" customHeight="1">
      <c r="B2192" t="s">
        <v>12887</v>
      </c>
      <c r="C2192" t="s">
        <v>12887</v>
      </c>
      <c r="D2192">
        <v>0</v>
      </c>
    </row>
    <row r="2193" spans="2:4" ht="15" customHeight="1">
      <c r="B2193" t="s">
        <v>12890</v>
      </c>
      <c r="C2193" t="s">
        <v>12890</v>
      </c>
      <c r="D2193">
        <v>0</v>
      </c>
    </row>
    <row r="2194" spans="2:4" ht="15" customHeight="1">
      <c r="B2194" t="s">
        <v>12893</v>
      </c>
      <c r="C2194" t="s">
        <v>12893</v>
      </c>
      <c r="D2194">
        <v>0</v>
      </c>
    </row>
    <row r="2195" spans="2:4" ht="15" customHeight="1">
      <c r="B2195" t="s">
        <v>12895</v>
      </c>
      <c r="C2195" t="s">
        <v>12895</v>
      </c>
      <c r="D2195">
        <v>0</v>
      </c>
    </row>
    <row r="2196" spans="2:4" ht="15" customHeight="1">
      <c r="B2196" t="s">
        <v>12897</v>
      </c>
      <c r="C2196" t="s">
        <v>12897</v>
      </c>
      <c r="D2196">
        <v>0</v>
      </c>
    </row>
    <row r="2197" spans="2:4" ht="15" customHeight="1">
      <c r="B2197" t="s">
        <v>12900</v>
      </c>
      <c r="C2197" t="s">
        <v>12900</v>
      </c>
      <c r="D2197">
        <v>0</v>
      </c>
    </row>
    <row r="2198" spans="2:4" ht="15" customHeight="1">
      <c r="B2198" t="s">
        <v>12903</v>
      </c>
      <c r="C2198" t="s">
        <v>12903</v>
      </c>
      <c r="D2198">
        <v>0</v>
      </c>
    </row>
    <row r="2199" spans="2:4" ht="15" customHeight="1">
      <c r="B2199" t="s">
        <v>175</v>
      </c>
      <c r="C2199" t="s">
        <v>175</v>
      </c>
      <c r="D2199">
        <v>0</v>
      </c>
    </row>
    <row r="2200" spans="2:4" ht="15" customHeight="1">
      <c r="B2200" t="s">
        <v>12908</v>
      </c>
      <c r="C2200" t="s">
        <v>12908</v>
      </c>
      <c r="D2200">
        <v>0</v>
      </c>
    </row>
    <row r="2201" spans="2:4" ht="15" customHeight="1">
      <c r="B2201" t="s">
        <v>12911</v>
      </c>
      <c r="C2201" t="s">
        <v>12911</v>
      </c>
      <c r="D2201">
        <v>0</v>
      </c>
    </row>
    <row r="2202" spans="2:4" ht="15" customHeight="1">
      <c r="B2202" t="s">
        <v>12914</v>
      </c>
      <c r="C2202" t="s">
        <v>12914</v>
      </c>
      <c r="D2202">
        <v>0</v>
      </c>
    </row>
    <row r="2203" spans="2:4" ht="15" customHeight="1">
      <c r="B2203" t="s">
        <v>12916</v>
      </c>
      <c r="C2203" t="s">
        <v>12916</v>
      </c>
      <c r="D2203">
        <v>0</v>
      </c>
    </row>
    <row r="2204" spans="2:4" ht="15" customHeight="1">
      <c r="B2204" t="s">
        <v>12921</v>
      </c>
      <c r="C2204" t="s">
        <v>12921</v>
      </c>
      <c r="D2204">
        <v>0</v>
      </c>
    </row>
    <row r="2205" spans="2:4" ht="15" customHeight="1">
      <c r="B2205" t="s">
        <v>12924</v>
      </c>
      <c r="C2205" t="s">
        <v>12924</v>
      </c>
      <c r="D2205">
        <v>0</v>
      </c>
    </row>
    <row r="2206" spans="2:4" ht="15" customHeight="1">
      <c r="B2206" t="s">
        <v>5366</v>
      </c>
      <c r="C2206" t="s">
        <v>5366</v>
      </c>
      <c r="D2206">
        <v>0</v>
      </c>
    </row>
    <row r="2207" spans="2:4" ht="15" customHeight="1">
      <c r="B2207" t="s">
        <v>12927</v>
      </c>
      <c r="C2207" t="s">
        <v>12927</v>
      </c>
      <c r="D2207">
        <v>0</v>
      </c>
    </row>
    <row r="2208" spans="2:4" ht="15" customHeight="1">
      <c r="B2208" t="s">
        <v>12929</v>
      </c>
      <c r="C2208" t="s">
        <v>12929</v>
      </c>
      <c r="D2208">
        <v>0</v>
      </c>
    </row>
    <row r="2209" spans="2:4" ht="15" customHeight="1">
      <c r="B2209" t="s">
        <v>12931</v>
      </c>
      <c r="C2209" t="s">
        <v>12931</v>
      </c>
      <c r="D2209">
        <v>0</v>
      </c>
    </row>
    <row r="2210" spans="2:4" ht="15" customHeight="1">
      <c r="B2210" t="s">
        <v>12934</v>
      </c>
      <c r="C2210" t="s">
        <v>12934</v>
      </c>
      <c r="D2210">
        <v>0</v>
      </c>
    </row>
    <row r="2211" spans="2:4" ht="15" customHeight="1">
      <c r="B2211" t="s">
        <v>12938</v>
      </c>
      <c r="C2211" t="s">
        <v>12938</v>
      </c>
      <c r="D2211">
        <v>0</v>
      </c>
    </row>
    <row r="2212" spans="2:4" ht="15" customHeight="1">
      <c r="B2212" t="s">
        <v>12941</v>
      </c>
      <c r="C2212" t="s">
        <v>12941</v>
      </c>
      <c r="D2212">
        <v>0</v>
      </c>
    </row>
    <row r="2213" spans="2:4" ht="15" customHeight="1">
      <c r="B2213" t="s">
        <v>12946</v>
      </c>
      <c r="C2213" t="s">
        <v>12946</v>
      </c>
      <c r="D2213">
        <v>0</v>
      </c>
    </row>
    <row r="2214" spans="2:4" ht="15" customHeight="1">
      <c r="B2214" t="s">
        <v>12953</v>
      </c>
      <c r="C2214" t="s">
        <v>12953</v>
      </c>
      <c r="D2214">
        <v>0</v>
      </c>
    </row>
    <row r="2215" spans="2:4" ht="15" customHeight="1">
      <c r="B2215" t="s">
        <v>12954</v>
      </c>
      <c r="C2215" t="s">
        <v>12954</v>
      </c>
      <c r="D2215">
        <v>0</v>
      </c>
    </row>
    <row r="2216" spans="2:4" ht="15" customHeight="1">
      <c r="B2216" t="s">
        <v>12956</v>
      </c>
      <c r="C2216" t="s">
        <v>12956</v>
      </c>
      <c r="D2216">
        <v>0</v>
      </c>
    </row>
    <row r="2217" spans="2:4" ht="15" customHeight="1">
      <c r="B2217" t="s">
        <v>12959</v>
      </c>
      <c r="C2217" t="s">
        <v>12959</v>
      </c>
      <c r="D2217">
        <v>0</v>
      </c>
    </row>
    <row r="2218" spans="2:4" ht="15" customHeight="1">
      <c r="B2218" t="s">
        <v>12962</v>
      </c>
      <c r="C2218" t="s">
        <v>12962</v>
      </c>
      <c r="D2218">
        <v>0</v>
      </c>
    </row>
    <row r="2219" spans="2:4" ht="15" customHeight="1">
      <c r="B2219" t="s">
        <v>12969</v>
      </c>
      <c r="C2219" t="s">
        <v>12969</v>
      </c>
      <c r="D2219">
        <v>0</v>
      </c>
    </row>
    <row r="2220" spans="2:4" ht="15" customHeight="1">
      <c r="B2220" t="s">
        <v>6362</v>
      </c>
      <c r="C2220" t="s">
        <v>6362</v>
      </c>
      <c r="D2220">
        <v>0</v>
      </c>
    </row>
    <row r="2221" spans="2:4" ht="15" customHeight="1">
      <c r="B2221" t="s">
        <v>6353</v>
      </c>
      <c r="C2221" t="s">
        <v>6353</v>
      </c>
      <c r="D2221">
        <v>0</v>
      </c>
    </row>
    <row r="2222" spans="2:4" ht="15" customHeight="1">
      <c r="B2222" t="s">
        <v>12973</v>
      </c>
      <c r="C2222" t="s">
        <v>12973</v>
      </c>
      <c r="D2222">
        <v>0</v>
      </c>
    </row>
    <row r="2223" spans="2:4" ht="15" customHeight="1">
      <c r="B2223" t="s">
        <v>12977</v>
      </c>
      <c r="C2223" t="s">
        <v>12977</v>
      </c>
      <c r="D2223">
        <v>0</v>
      </c>
    </row>
    <row r="2224" spans="2:4" ht="15" customHeight="1">
      <c r="B2224" t="s">
        <v>12980</v>
      </c>
      <c r="C2224" t="s">
        <v>13621</v>
      </c>
      <c r="D2224">
        <v>0</v>
      </c>
    </row>
    <row r="2225" spans="2:4" ht="15" customHeight="1">
      <c r="B2225" t="s">
        <v>12983</v>
      </c>
      <c r="C2225" t="s">
        <v>12983</v>
      </c>
      <c r="D2225">
        <v>0</v>
      </c>
    </row>
    <row r="2226" spans="2:4" ht="15" customHeight="1">
      <c r="B2226" t="s">
        <v>12987</v>
      </c>
      <c r="C2226" t="s">
        <v>12987</v>
      </c>
      <c r="D2226">
        <v>0</v>
      </c>
    </row>
    <row r="2227" spans="2:4" ht="15" customHeight="1">
      <c r="B2227" t="s">
        <v>12990</v>
      </c>
      <c r="C2227" t="s">
        <v>12990</v>
      </c>
      <c r="D2227">
        <v>0</v>
      </c>
    </row>
    <row r="2228" spans="2:4" ht="15" customHeight="1">
      <c r="B2228" t="s">
        <v>12993</v>
      </c>
      <c r="C2228" t="s">
        <v>12993</v>
      </c>
      <c r="D2228">
        <v>0</v>
      </c>
    </row>
    <row r="2229" spans="2:4" ht="15" customHeight="1">
      <c r="B2229" t="s">
        <v>12995</v>
      </c>
      <c r="C2229" t="s">
        <v>12995</v>
      </c>
      <c r="D2229">
        <v>0</v>
      </c>
    </row>
    <row r="2230" spans="2:4" ht="15" customHeight="1">
      <c r="B2230" t="s">
        <v>13000</v>
      </c>
      <c r="C2230" t="s">
        <v>13000</v>
      </c>
      <c r="D2230">
        <v>0</v>
      </c>
    </row>
    <row r="2231" spans="2:4" ht="15" customHeight="1">
      <c r="B2231" t="s">
        <v>13003</v>
      </c>
      <c r="C2231" t="s">
        <v>13003</v>
      </c>
      <c r="D2231">
        <v>0</v>
      </c>
    </row>
    <row r="2232" spans="2:4" ht="15" customHeight="1">
      <c r="B2232" t="s">
        <v>13005</v>
      </c>
      <c r="C2232" t="s">
        <v>13005</v>
      </c>
      <c r="D2232">
        <v>0</v>
      </c>
    </row>
    <row r="2233" spans="2:4" ht="15" customHeight="1">
      <c r="B2233" t="s">
        <v>13007</v>
      </c>
      <c r="C2233" t="s">
        <v>13007</v>
      </c>
      <c r="D2233">
        <v>0</v>
      </c>
    </row>
    <row r="2234" spans="2:4" ht="15" customHeight="1">
      <c r="B2234" t="s">
        <v>13009</v>
      </c>
      <c r="C2234" t="s">
        <v>13009</v>
      </c>
      <c r="D2234">
        <v>0</v>
      </c>
    </row>
    <row r="2235" spans="2:4" ht="15" customHeight="1">
      <c r="B2235" t="s">
        <v>13011</v>
      </c>
      <c r="C2235" t="s">
        <v>13011</v>
      </c>
      <c r="D2235">
        <v>0</v>
      </c>
    </row>
    <row r="2236" spans="2:4" ht="15" customHeight="1">
      <c r="B2236" t="s">
        <v>13013</v>
      </c>
      <c r="C2236" t="s">
        <v>13013</v>
      </c>
      <c r="D2236">
        <v>0</v>
      </c>
    </row>
    <row r="2237" spans="2:4" ht="15" customHeight="1">
      <c r="B2237" t="s">
        <v>13015</v>
      </c>
      <c r="C2237" t="s">
        <v>13015</v>
      </c>
      <c r="D2237">
        <v>0</v>
      </c>
    </row>
    <row r="2238" spans="2:4" ht="15" customHeight="1">
      <c r="B2238" t="s">
        <v>13018</v>
      </c>
      <c r="C2238" t="s">
        <v>13018</v>
      </c>
      <c r="D2238">
        <v>0</v>
      </c>
    </row>
    <row r="2239" spans="2:4" ht="15" customHeight="1">
      <c r="B2239" t="s">
        <v>988</v>
      </c>
      <c r="C2239" t="s">
        <v>988</v>
      </c>
      <c r="D2239">
        <v>0</v>
      </c>
    </row>
    <row r="2240" spans="2:4" ht="15" customHeight="1">
      <c r="B2240" t="s">
        <v>13024</v>
      </c>
      <c r="C2240" t="s">
        <v>13024</v>
      </c>
      <c r="D2240">
        <v>0</v>
      </c>
    </row>
    <row r="2241" spans="2:4" ht="15" customHeight="1">
      <c r="B2241" t="s">
        <v>911</v>
      </c>
      <c r="C2241" t="s">
        <v>911</v>
      </c>
      <c r="D2241">
        <v>0</v>
      </c>
    </row>
    <row r="2242" spans="2:4" ht="15" customHeight="1">
      <c r="B2242" t="s">
        <v>13027</v>
      </c>
      <c r="C2242" t="s">
        <v>13027</v>
      </c>
      <c r="D2242">
        <v>0</v>
      </c>
    </row>
    <row r="2243" spans="2:4" ht="15" customHeight="1">
      <c r="B2243" t="s">
        <v>13030</v>
      </c>
      <c r="C2243" t="s">
        <v>13030</v>
      </c>
      <c r="D2243">
        <v>0</v>
      </c>
    </row>
    <row r="2244" spans="2:4" ht="15" customHeight="1">
      <c r="B2244" t="s">
        <v>13032</v>
      </c>
      <c r="C2244" t="s">
        <v>13032</v>
      </c>
      <c r="D2244">
        <v>0</v>
      </c>
    </row>
    <row r="2245" spans="2:4" ht="15" customHeight="1">
      <c r="B2245" t="s">
        <v>13035</v>
      </c>
      <c r="C2245" t="s">
        <v>13035</v>
      </c>
      <c r="D2245">
        <v>0</v>
      </c>
    </row>
    <row r="2246" spans="2:4" ht="15" customHeight="1">
      <c r="B2246" t="s">
        <v>13038</v>
      </c>
      <c r="C2246" t="s">
        <v>13038</v>
      </c>
      <c r="D2246">
        <v>0</v>
      </c>
    </row>
    <row r="2247" spans="2:4" ht="15" customHeight="1">
      <c r="B2247" t="s">
        <v>13041</v>
      </c>
      <c r="C2247" t="s">
        <v>13041</v>
      </c>
      <c r="D2247">
        <v>0</v>
      </c>
    </row>
    <row r="2248" spans="2:4" ht="15" customHeight="1">
      <c r="B2248" t="s">
        <v>13044</v>
      </c>
      <c r="C2248" t="s">
        <v>13044</v>
      </c>
      <c r="D2248">
        <v>0</v>
      </c>
    </row>
    <row r="2249" spans="2:4" ht="15" customHeight="1">
      <c r="B2249" t="s">
        <v>13049</v>
      </c>
      <c r="C2249" t="s">
        <v>13049</v>
      </c>
      <c r="D2249">
        <v>0</v>
      </c>
    </row>
    <row r="2250" spans="2:4" ht="15" customHeight="1">
      <c r="B2250" t="s">
        <v>13052</v>
      </c>
      <c r="C2250" t="s">
        <v>13052</v>
      </c>
      <c r="D2250">
        <v>0</v>
      </c>
    </row>
    <row r="2251" spans="2:4" ht="15" customHeight="1">
      <c r="B2251" t="s">
        <v>13055</v>
      </c>
      <c r="C2251" t="s">
        <v>13055</v>
      </c>
      <c r="D2251">
        <v>0</v>
      </c>
    </row>
    <row r="2252" spans="2:4" ht="15" customHeight="1">
      <c r="B2252" t="s">
        <v>13057</v>
      </c>
      <c r="C2252" t="s">
        <v>13057</v>
      </c>
      <c r="D2252">
        <v>0</v>
      </c>
    </row>
    <row r="2253" spans="2:4" ht="15" customHeight="1">
      <c r="B2253" t="s">
        <v>13059</v>
      </c>
      <c r="C2253" t="s">
        <v>13059</v>
      </c>
      <c r="D2253">
        <v>0</v>
      </c>
    </row>
    <row r="2254" spans="2:4" ht="15" customHeight="1">
      <c r="B2254" t="s">
        <v>13061</v>
      </c>
      <c r="C2254" t="s">
        <v>13061</v>
      </c>
      <c r="D2254">
        <v>0</v>
      </c>
    </row>
    <row r="2255" spans="2:4" ht="15" customHeight="1">
      <c r="B2255" t="s">
        <v>13065</v>
      </c>
      <c r="C2255" t="s">
        <v>13065</v>
      </c>
      <c r="D2255">
        <v>0</v>
      </c>
    </row>
    <row r="2256" spans="2:4" ht="15" customHeight="1">
      <c r="B2256" t="s">
        <v>13067</v>
      </c>
      <c r="C2256" t="s">
        <v>13067</v>
      </c>
      <c r="D2256">
        <v>0</v>
      </c>
    </row>
    <row r="2257" spans="2:4" ht="15" customHeight="1">
      <c r="B2257" t="s">
        <v>10960</v>
      </c>
      <c r="C2257" t="s">
        <v>10960</v>
      </c>
      <c r="D2257">
        <v>0</v>
      </c>
    </row>
    <row r="2258" spans="2:4" ht="15" customHeight="1">
      <c r="B2258" t="s">
        <v>13072</v>
      </c>
      <c r="C2258" t="s">
        <v>13072</v>
      </c>
      <c r="D2258">
        <v>0</v>
      </c>
    </row>
    <row r="2259" spans="2:4" ht="15" customHeight="1">
      <c r="B2259" t="s">
        <v>13074</v>
      </c>
      <c r="C2259" t="s">
        <v>13074</v>
      </c>
      <c r="D2259">
        <v>0</v>
      </c>
    </row>
    <row r="2260" spans="2:4" ht="15" customHeight="1">
      <c r="B2260" t="s">
        <v>13077</v>
      </c>
      <c r="C2260" t="s">
        <v>13077</v>
      </c>
      <c r="D2260">
        <v>0</v>
      </c>
    </row>
    <row r="2261" spans="2:4" ht="15" customHeight="1">
      <c r="B2261" t="s">
        <v>13079</v>
      </c>
      <c r="C2261" t="s">
        <v>13079</v>
      </c>
      <c r="D2261">
        <v>0</v>
      </c>
    </row>
    <row r="2262" spans="2:4" ht="15" customHeight="1">
      <c r="B2262" t="s">
        <v>13086</v>
      </c>
      <c r="C2262" t="s">
        <v>13086</v>
      </c>
      <c r="D2262">
        <v>0</v>
      </c>
    </row>
    <row r="2263" spans="2:4" ht="15" customHeight="1">
      <c r="B2263" t="s">
        <v>13089</v>
      </c>
      <c r="C2263" t="s">
        <v>13089</v>
      </c>
      <c r="D2263">
        <v>0</v>
      </c>
    </row>
    <row r="2264" spans="2:4" ht="15" customHeight="1">
      <c r="B2264" t="s">
        <v>13092</v>
      </c>
      <c r="C2264" t="s">
        <v>13092</v>
      </c>
      <c r="D2264">
        <v>0</v>
      </c>
    </row>
    <row r="2265" spans="2:4" ht="15" customHeight="1">
      <c r="B2265" t="s">
        <v>13097</v>
      </c>
      <c r="C2265" t="s">
        <v>13097</v>
      </c>
      <c r="D2265">
        <v>0</v>
      </c>
    </row>
    <row r="2266" spans="2:4" ht="15" customHeight="1">
      <c r="B2266" t="s">
        <v>13100</v>
      </c>
      <c r="C2266" t="s">
        <v>13100</v>
      </c>
      <c r="D2266">
        <v>0</v>
      </c>
    </row>
    <row r="2267" spans="2:4" ht="15" customHeight="1">
      <c r="B2267" t="s">
        <v>13103</v>
      </c>
      <c r="C2267" t="s">
        <v>13103</v>
      </c>
      <c r="D2267">
        <v>0</v>
      </c>
    </row>
    <row r="2268" spans="2:4" ht="15" customHeight="1">
      <c r="B2268" t="s">
        <v>13106</v>
      </c>
      <c r="C2268" t="s">
        <v>13106</v>
      </c>
      <c r="D2268">
        <v>0</v>
      </c>
    </row>
    <row r="2269" spans="2:4" ht="15" customHeight="1">
      <c r="B2269" t="s">
        <v>13109</v>
      </c>
      <c r="C2269" t="s">
        <v>13109</v>
      </c>
      <c r="D2269">
        <v>0</v>
      </c>
    </row>
    <row r="2270" spans="2:4" ht="15" customHeight="1">
      <c r="B2270" t="s">
        <v>13112</v>
      </c>
      <c r="C2270" t="s">
        <v>13112</v>
      </c>
      <c r="D2270">
        <v>0</v>
      </c>
    </row>
    <row r="2271" spans="2:4" ht="15" customHeight="1">
      <c r="B2271" t="s">
        <v>13115</v>
      </c>
      <c r="C2271" t="s">
        <v>13115</v>
      </c>
      <c r="D2271">
        <v>0</v>
      </c>
    </row>
    <row r="2272" spans="2:4" ht="15" customHeight="1">
      <c r="B2272" t="s">
        <v>13588</v>
      </c>
      <c r="C2272" t="s">
        <v>13588</v>
      </c>
      <c r="D2272">
        <v>0</v>
      </c>
    </row>
    <row r="2273" spans="2:4" ht="15" customHeight="1">
      <c r="B2273" t="s">
        <v>1250</v>
      </c>
      <c r="C2273" t="s">
        <v>1250</v>
      </c>
      <c r="D2273">
        <v>0</v>
      </c>
    </row>
    <row r="2274" spans="2:4" ht="15" customHeight="1">
      <c r="B2274" t="s">
        <v>10968</v>
      </c>
      <c r="C2274" t="s">
        <v>10968</v>
      </c>
      <c r="D2274">
        <v>0</v>
      </c>
    </row>
    <row r="2275" spans="2:4" ht="15" customHeight="1">
      <c r="B2275" t="s">
        <v>13128</v>
      </c>
      <c r="C2275" t="s">
        <v>13128</v>
      </c>
      <c r="D2275">
        <v>0</v>
      </c>
    </row>
    <row r="2276" spans="2:4" ht="15" customHeight="1">
      <c r="B2276" t="s">
        <v>13134</v>
      </c>
      <c r="C2276" t="s">
        <v>13134</v>
      </c>
      <c r="D2276">
        <v>0</v>
      </c>
    </row>
    <row r="2277" spans="2:4" ht="15" customHeight="1">
      <c r="B2277" t="s">
        <v>11176</v>
      </c>
      <c r="C2277" t="s">
        <v>11176</v>
      </c>
      <c r="D2277">
        <v>0</v>
      </c>
    </row>
    <row r="2278" spans="2:4" ht="15" customHeight="1">
      <c r="B2278" t="s">
        <v>13139</v>
      </c>
      <c r="C2278" t="s">
        <v>13139</v>
      </c>
      <c r="D2278">
        <v>0</v>
      </c>
    </row>
    <row r="2279" spans="2:4" ht="15" customHeight="1">
      <c r="B2279" t="s">
        <v>13142</v>
      </c>
      <c r="C2279" t="s">
        <v>13142</v>
      </c>
      <c r="D2279">
        <v>0</v>
      </c>
    </row>
    <row r="2280" spans="2:4" ht="15" customHeight="1">
      <c r="B2280" t="s">
        <v>13589</v>
      </c>
      <c r="C2280" t="s">
        <v>13589</v>
      </c>
      <c r="D2280">
        <v>0</v>
      </c>
    </row>
    <row r="2281" spans="2:4" ht="15" customHeight="1">
      <c r="B2281" t="s">
        <v>13148</v>
      </c>
      <c r="C2281" t="s">
        <v>13148</v>
      </c>
      <c r="D2281">
        <v>0</v>
      </c>
    </row>
    <row r="2282" spans="2:4" ht="15" customHeight="1">
      <c r="B2282" t="s">
        <v>13151</v>
      </c>
      <c r="C2282" t="s">
        <v>13151</v>
      </c>
      <c r="D2282">
        <v>0</v>
      </c>
    </row>
    <row r="2283" spans="2:4" ht="15" customHeight="1">
      <c r="B2283" t="s">
        <v>13154</v>
      </c>
      <c r="C2283" t="s">
        <v>13154</v>
      </c>
      <c r="D2283">
        <v>0</v>
      </c>
    </row>
    <row r="2284" spans="2:4" ht="15" customHeight="1">
      <c r="B2284" t="s">
        <v>13590</v>
      </c>
      <c r="C2284" t="s">
        <v>13590</v>
      </c>
      <c r="D2284">
        <v>0</v>
      </c>
    </row>
    <row r="2285" spans="2:4" ht="15" customHeight="1">
      <c r="B2285" t="s">
        <v>13159</v>
      </c>
      <c r="C2285" t="s">
        <v>13159</v>
      </c>
      <c r="D2285">
        <v>0</v>
      </c>
    </row>
    <row r="2286" spans="2:4" ht="15" customHeight="1">
      <c r="B2286" t="s">
        <v>13162</v>
      </c>
      <c r="C2286" t="s">
        <v>13162</v>
      </c>
      <c r="D2286">
        <v>0</v>
      </c>
    </row>
    <row r="2287" spans="2:4" ht="15" customHeight="1">
      <c r="B2287" t="s">
        <v>13165</v>
      </c>
      <c r="C2287" t="s">
        <v>13165</v>
      </c>
      <c r="D2287">
        <v>0</v>
      </c>
    </row>
    <row r="2288" spans="2:4" ht="15" customHeight="1">
      <c r="B2288" t="s">
        <v>13170</v>
      </c>
      <c r="C2288" t="s">
        <v>13170</v>
      </c>
      <c r="D2288">
        <v>0</v>
      </c>
    </row>
    <row r="2289" spans="2:4" ht="15" customHeight="1">
      <c r="B2289" t="s">
        <v>9508</v>
      </c>
      <c r="C2289" t="s">
        <v>9508</v>
      </c>
      <c r="D2289">
        <v>0</v>
      </c>
    </row>
    <row r="2290" spans="2:4" ht="15" customHeight="1">
      <c r="B2290" t="s">
        <v>13177</v>
      </c>
      <c r="C2290" t="s">
        <v>13177</v>
      </c>
      <c r="D2290">
        <v>0</v>
      </c>
    </row>
    <row r="2291" spans="2:4" ht="15" customHeight="1">
      <c r="B2291" t="s">
        <v>13180</v>
      </c>
      <c r="C2291" t="s">
        <v>13180</v>
      </c>
      <c r="D2291">
        <v>0</v>
      </c>
    </row>
    <row r="2292" spans="2:4" ht="15" customHeight="1">
      <c r="B2292" t="s">
        <v>13185</v>
      </c>
      <c r="C2292" t="s">
        <v>13185</v>
      </c>
      <c r="D2292">
        <v>0</v>
      </c>
    </row>
    <row r="2293" spans="2:4" ht="15" customHeight="1">
      <c r="B2293" t="s">
        <v>13187</v>
      </c>
      <c r="C2293" t="s">
        <v>13187</v>
      </c>
      <c r="D2293">
        <v>0</v>
      </c>
    </row>
    <row r="2294" spans="2:4" ht="15" customHeight="1">
      <c r="B2294" t="s">
        <v>13189</v>
      </c>
      <c r="C2294" t="s">
        <v>13189</v>
      </c>
      <c r="D2294">
        <v>0</v>
      </c>
    </row>
    <row r="2295" spans="2:4" ht="15" customHeight="1">
      <c r="B2295" t="s">
        <v>13191</v>
      </c>
      <c r="C2295" t="s">
        <v>13191</v>
      </c>
      <c r="D2295">
        <v>0</v>
      </c>
    </row>
    <row r="2296" spans="2:4" ht="15" customHeight="1">
      <c r="B2296" t="s">
        <v>13193</v>
      </c>
      <c r="C2296" t="s">
        <v>13193</v>
      </c>
      <c r="D2296">
        <v>0</v>
      </c>
    </row>
    <row r="2297" spans="2:4" ht="15" customHeight="1">
      <c r="B2297" t="s">
        <v>13195</v>
      </c>
      <c r="C2297" t="s">
        <v>13195</v>
      </c>
      <c r="D2297">
        <v>0</v>
      </c>
    </row>
    <row r="2298" spans="2:4" ht="15" customHeight="1">
      <c r="B2298" t="s">
        <v>13202</v>
      </c>
      <c r="C2298" t="s">
        <v>13202</v>
      </c>
      <c r="D2298">
        <v>0</v>
      </c>
    </row>
    <row r="2299" spans="2:4" ht="15" customHeight="1">
      <c r="B2299" t="s">
        <v>6616</v>
      </c>
      <c r="C2299" t="s">
        <v>6616</v>
      </c>
      <c r="D2299">
        <v>0</v>
      </c>
    </row>
    <row r="2300" spans="2:4" ht="15" customHeight="1">
      <c r="B2300" t="s">
        <v>13207</v>
      </c>
      <c r="C2300" t="s">
        <v>13207</v>
      </c>
      <c r="D2300">
        <v>0</v>
      </c>
    </row>
    <row r="2301" spans="2:4" ht="15" customHeight="1">
      <c r="B2301" t="s">
        <v>13210</v>
      </c>
      <c r="C2301" t="s">
        <v>13210</v>
      </c>
      <c r="D2301">
        <v>0</v>
      </c>
    </row>
    <row r="2302" spans="2:4" ht="15" customHeight="1">
      <c r="B2302" t="s">
        <v>13213</v>
      </c>
      <c r="C2302" t="s">
        <v>13213</v>
      </c>
      <c r="D2302">
        <v>0</v>
      </c>
    </row>
    <row r="2303" spans="2:4" ht="15" customHeight="1">
      <c r="B2303" t="s">
        <v>13216</v>
      </c>
      <c r="C2303" t="s">
        <v>13216</v>
      </c>
      <c r="D2303">
        <v>0</v>
      </c>
    </row>
    <row r="2304" spans="2:4" ht="15" customHeight="1">
      <c r="B2304" t="s">
        <v>13221</v>
      </c>
      <c r="C2304" t="s">
        <v>13221</v>
      </c>
      <c r="D2304">
        <v>0</v>
      </c>
    </row>
    <row r="2305" spans="2:4" ht="15" customHeight="1">
      <c r="B2305" t="s">
        <v>13224</v>
      </c>
      <c r="C2305" t="s">
        <v>13224</v>
      </c>
      <c r="D2305">
        <v>0</v>
      </c>
    </row>
    <row r="2306" spans="2:4" ht="15" customHeight="1">
      <c r="B2306" t="s">
        <v>941</v>
      </c>
      <c r="C2306" t="s">
        <v>941</v>
      </c>
      <c r="D2306">
        <v>0</v>
      </c>
    </row>
    <row r="2307" spans="2:4" ht="15" customHeight="1">
      <c r="B2307" t="s">
        <v>763</v>
      </c>
      <c r="C2307" t="s">
        <v>763</v>
      </c>
      <c r="D2307">
        <v>0</v>
      </c>
    </row>
    <row r="2308" spans="2:4" ht="15" customHeight="1">
      <c r="B2308" t="s">
        <v>13591</v>
      </c>
      <c r="C2308" t="s">
        <v>13591</v>
      </c>
      <c r="D2308">
        <v>0</v>
      </c>
    </row>
    <row r="2309" spans="2:4" ht="15" customHeight="1">
      <c r="B2309" t="s">
        <v>13233</v>
      </c>
      <c r="C2309" t="s">
        <v>13233</v>
      </c>
      <c r="D2309">
        <v>0</v>
      </c>
    </row>
    <row r="2310" spans="2:4" ht="15" customHeight="1">
      <c r="B2310" t="s">
        <v>13235</v>
      </c>
      <c r="C2310" t="s">
        <v>13235</v>
      </c>
      <c r="D2310">
        <v>0</v>
      </c>
    </row>
    <row r="2311" spans="2:4" ht="15" customHeight="1">
      <c r="B2311" t="s">
        <v>13237</v>
      </c>
      <c r="C2311" t="s">
        <v>13237</v>
      </c>
      <c r="D2311">
        <v>0</v>
      </c>
    </row>
    <row r="2312" spans="2:4" ht="15" customHeight="1">
      <c r="B2312" t="s">
        <v>13240</v>
      </c>
      <c r="C2312" t="s">
        <v>13240</v>
      </c>
      <c r="D2312">
        <v>0</v>
      </c>
    </row>
    <row r="2313" spans="2:4" ht="15" customHeight="1">
      <c r="B2313" t="s">
        <v>13243</v>
      </c>
      <c r="C2313" t="s">
        <v>13243</v>
      </c>
      <c r="D2313">
        <v>0</v>
      </c>
    </row>
    <row r="2314" spans="2:4" ht="15" customHeight="1">
      <c r="B2314" t="s">
        <v>13245</v>
      </c>
      <c r="C2314" t="s">
        <v>13245</v>
      </c>
      <c r="D2314">
        <v>0</v>
      </c>
    </row>
    <row r="2315" spans="2:4" ht="15" customHeight="1">
      <c r="B2315" t="s">
        <v>13248</v>
      </c>
      <c r="C2315" t="s">
        <v>13248</v>
      </c>
      <c r="D2315">
        <v>0</v>
      </c>
    </row>
    <row r="2316" spans="2:4" ht="15" customHeight="1">
      <c r="B2316" t="s">
        <v>13251</v>
      </c>
      <c r="C2316" t="s">
        <v>13251</v>
      </c>
      <c r="D2316">
        <v>0</v>
      </c>
    </row>
    <row r="2317" spans="2:4" ht="15" customHeight="1">
      <c r="B2317" t="s">
        <v>13254</v>
      </c>
      <c r="C2317" t="s">
        <v>13254</v>
      </c>
      <c r="D2317">
        <v>0</v>
      </c>
    </row>
    <row r="2318" spans="2:4" ht="15" customHeight="1">
      <c r="B2318" t="s">
        <v>1080</v>
      </c>
      <c r="C2318" t="s">
        <v>1080</v>
      </c>
      <c r="D2318">
        <v>0</v>
      </c>
    </row>
    <row r="2319" spans="2:4" ht="15" customHeight="1">
      <c r="B2319" t="s">
        <v>13259</v>
      </c>
      <c r="C2319" t="s">
        <v>13259</v>
      </c>
      <c r="D2319">
        <v>0</v>
      </c>
    </row>
    <row r="2320" spans="2:4" ht="15" customHeight="1">
      <c r="B2320" t="s">
        <v>13262</v>
      </c>
      <c r="C2320" t="s">
        <v>13262</v>
      </c>
      <c r="D2320">
        <v>0</v>
      </c>
    </row>
    <row r="2321" spans="2:4" ht="15" customHeight="1">
      <c r="B2321" t="s">
        <v>13265</v>
      </c>
      <c r="C2321" t="s">
        <v>13265</v>
      </c>
      <c r="D2321">
        <v>0</v>
      </c>
    </row>
    <row r="2322" spans="2:4" ht="15" customHeight="1">
      <c r="B2322" t="s">
        <v>13272</v>
      </c>
      <c r="C2322" t="s">
        <v>13272</v>
      </c>
      <c r="D2322">
        <v>0</v>
      </c>
    </row>
    <row r="2323" spans="2:4" ht="15" customHeight="1">
      <c r="B2323" t="s">
        <v>13274</v>
      </c>
      <c r="C2323" t="s">
        <v>13274</v>
      </c>
      <c r="D2323">
        <v>0</v>
      </c>
    </row>
    <row r="2324" spans="2:4" ht="15" customHeight="1">
      <c r="B2324" t="s">
        <v>13276</v>
      </c>
      <c r="C2324" t="s">
        <v>13276</v>
      </c>
      <c r="D2324">
        <v>0</v>
      </c>
    </row>
    <row r="2325" spans="2:4" ht="15" customHeight="1">
      <c r="B2325" t="s">
        <v>13279</v>
      </c>
      <c r="C2325" t="s">
        <v>13279</v>
      </c>
      <c r="D2325">
        <v>0</v>
      </c>
    </row>
    <row r="2326" spans="2:4" ht="15" customHeight="1">
      <c r="B2326" t="s">
        <v>13282</v>
      </c>
      <c r="C2326" t="s">
        <v>13282</v>
      </c>
      <c r="D2326">
        <v>0</v>
      </c>
    </row>
    <row r="2327" spans="2:4" ht="15" customHeight="1">
      <c r="B2327" t="s">
        <v>13285</v>
      </c>
      <c r="C2327" t="s">
        <v>13285</v>
      </c>
      <c r="D2327">
        <v>0</v>
      </c>
    </row>
    <row r="2328" spans="2:4" ht="15" customHeight="1">
      <c r="B2328" t="s">
        <v>13288</v>
      </c>
      <c r="C2328" t="s">
        <v>13288</v>
      </c>
      <c r="D2328">
        <v>0</v>
      </c>
    </row>
    <row r="2329" spans="2:4" ht="15" customHeight="1">
      <c r="B2329" t="s">
        <v>13290</v>
      </c>
      <c r="C2329" t="s">
        <v>13290</v>
      </c>
      <c r="D2329">
        <v>0</v>
      </c>
    </row>
    <row r="2330" spans="2:4" ht="15" customHeight="1">
      <c r="B2330" t="s">
        <v>13295</v>
      </c>
      <c r="C2330" t="s">
        <v>13295</v>
      </c>
      <c r="D2330">
        <v>0</v>
      </c>
    </row>
    <row r="2331" spans="2:4" ht="15" customHeight="1">
      <c r="B2331" t="s">
        <v>13302</v>
      </c>
      <c r="C2331" t="s">
        <v>13302</v>
      </c>
      <c r="D2331">
        <v>0</v>
      </c>
    </row>
    <row r="2332" spans="2:4" ht="15" customHeight="1">
      <c r="B2332" t="s">
        <v>13305</v>
      </c>
      <c r="C2332" t="s">
        <v>13305</v>
      </c>
      <c r="D2332">
        <v>0</v>
      </c>
    </row>
    <row r="2333" spans="2:4" ht="15" customHeight="1">
      <c r="B2333" t="s">
        <v>13308</v>
      </c>
      <c r="C2333" t="s">
        <v>13308</v>
      </c>
      <c r="D2333">
        <v>0</v>
      </c>
    </row>
    <row r="2334" spans="2:4" ht="15" customHeight="1">
      <c r="B2334" t="s">
        <v>8094</v>
      </c>
      <c r="C2334" t="s">
        <v>8094</v>
      </c>
      <c r="D2334">
        <v>0</v>
      </c>
    </row>
    <row r="2335" spans="2:4" ht="15" customHeight="1">
      <c r="B2335" t="s">
        <v>13311</v>
      </c>
      <c r="C2335" t="s">
        <v>13311</v>
      </c>
      <c r="D2335">
        <v>0</v>
      </c>
    </row>
    <row r="2336" spans="2:4" ht="15" customHeight="1">
      <c r="B2336" t="s">
        <v>9016</v>
      </c>
      <c r="C2336" t="s">
        <v>9016</v>
      </c>
      <c r="D2336">
        <v>0</v>
      </c>
    </row>
    <row r="2337" spans="2:4" ht="15" customHeight="1">
      <c r="B2337" t="s">
        <v>13314</v>
      </c>
      <c r="C2337" t="s">
        <v>13314</v>
      </c>
      <c r="D2337">
        <v>0</v>
      </c>
    </row>
    <row r="2338" spans="2:4" ht="15" customHeight="1">
      <c r="B2338" t="s">
        <v>13316</v>
      </c>
      <c r="C2338" t="s">
        <v>13316</v>
      </c>
      <c r="D2338">
        <v>0</v>
      </c>
    </row>
    <row r="2339" spans="2:4" ht="15" customHeight="1">
      <c r="B2339" t="s">
        <v>13318</v>
      </c>
      <c r="C2339" t="s">
        <v>13318</v>
      </c>
      <c r="D2339">
        <v>0</v>
      </c>
    </row>
    <row r="2340" spans="2:4" ht="15" customHeight="1">
      <c r="B2340" t="s">
        <v>13321</v>
      </c>
      <c r="C2340" t="s">
        <v>13321</v>
      </c>
      <c r="D2340">
        <v>0</v>
      </c>
    </row>
    <row r="2341" spans="2:4" ht="15" customHeight="1">
      <c r="B2341" t="s">
        <v>13323</v>
      </c>
      <c r="C2341" t="s">
        <v>13323</v>
      </c>
      <c r="D2341">
        <v>0</v>
      </c>
    </row>
    <row r="2342" spans="2:4" ht="15" customHeight="1">
      <c r="B2342" t="s">
        <v>13326</v>
      </c>
      <c r="C2342" t="s">
        <v>13326</v>
      </c>
      <c r="D2342">
        <v>0</v>
      </c>
    </row>
    <row r="2343" spans="2:4" ht="15" customHeight="1">
      <c r="B2343" t="s">
        <v>13328</v>
      </c>
      <c r="C2343" t="s">
        <v>13328</v>
      </c>
      <c r="D2343">
        <v>0</v>
      </c>
    </row>
    <row r="2344" spans="2:4" ht="15" customHeight="1">
      <c r="B2344" t="s">
        <v>13330</v>
      </c>
      <c r="C2344" t="s">
        <v>13330</v>
      </c>
      <c r="D2344">
        <v>0</v>
      </c>
    </row>
    <row r="2345" spans="2:4" ht="15" customHeight="1">
      <c r="B2345" t="s">
        <v>13333</v>
      </c>
      <c r="C2345" t="s">
        <v>13333</v>
      </c>
      <c r="D2345">
        <v>0</v>
      </c>
    </row>
    <row r="2346" spans="2:4" ht="15" customHeight="1">
      <c r="B2346" t="s">
        <v>13336</v>
      </c>
      <c r="C2346" t="s">
        <v>13336</v>
      </c>
      <c r="D2346">
        <v>0</v>
      </c>
    </row>
    <row r="2347" spans="2:4" ht="15" customHeight="1">
      <c r="B2347" t="s">
        <v>8495</v>
      </c>
      <c r="C2347" t="s">
        <v>8495</v>
      </c>
      <c r="D2347">
        <v>0</v>
      </c>
    </row>
    <row r="2348" spans="2:4" ht="15" customHeight="1">
      <c r="B2348" t="s">
        <v>13343</v>
      </c>
      <c r="C2348" t="s">
        <v>13343</v>
      </c>
      <c r="D2348">
        <v>0</v>
      </c>
    </row>
    <row r="2349" spans="2:4" ht="15" customHeight="1">
      <c r="B2349" t="s">
        <v>13345</v>
      </c>
      <c r="C2349" t="s">
        <v>13345</v>
      </c>
      <c r="D2349">
        <v>0</v>
      </c>
    </row>
    <row r="2350" spans="2:4" ht="15" customHeight="1">
      <c r="B2350" t="s">
        <v>13348</v>
      </c>
      <c r="C2350" t="s">
        <v>13348</v>
      </c>
      <c r="D2350">
        <v>0</v>
      </c>
    </row>
    <row r="2351" spans="2:4" ht="15" customHeight="1">
      <c r="B2351" t="s">
        <v>13350</v>
      </c>
      <c r="C2351" t="s">
        <v>13350</v>
      </c>
      <c r="D2351">
        <v>0</v>
      </c>
    </row>
    <row r="2352" spans="2:4" ht="15" customHeight="1">
      <c r="B2352" t="s">
        <v>13353</v>
      </c>
      <c r="C2352" t="s">
        <v>13353</v>
      </c>
      <c r="D2352">
        <v>0</v>
      </c>
    </row>
    <row r="2353" spans="2:4" ht="15" customHeight="1">
      <c r="B2353" t="s">
        <v>13356</v>
      </c>
      <c r="C2353" t="s">
        <v>13356</v>
      </c>
      <c r="D2353">
        <v>0</v>
      </c>
    </row>
    <row r="2354" spans="2:4" ht="15" customHeight="1">
      <c r="B2354" t="s">
        <v>13359</v>
      </c>
      <c r="C2354" t="s">
        <v>13359</v>
      </c>
      <c r="D2354">
        <v>0</v>
      </c>
    </row>
    <row r="2355" spans="2:4" ht="15" customHeight="1">
      <c r="B2355" t="s">
        <v>13362</v>
      </c>
      <c r="C2355" t="s">
        <v>13362</v>
      </c>
      <c r="D2355">
        <v>0</v>
      </c>
    </row>
    <row r="2356" spans="2:4" ht="15" customHeight="1">
      <c r="B2356" t="s">
        <v>10975</v>
      </c>
      <c r="C2356" t="s">
        <v>10975</v>
      </c>
      <c r="D2356">
        <v>0</v>
      </c>
    </row>
    <row r="2357" spans="2:4" ht="15" customHeight="1">
      <c r="B2357" t="s">
        <v>13367</v>
      </c>
      <c r="C2357" t="s">
        <v>13367</v>
      </c>
      <c r="D2357">
        <v>0</v>
      </c>
    </row>
    <row r="2358" spans="2:4" ht="15" customHeight="1">
      <c r="B2358" t="s">
        <v>13370</v>
      </c>
      <c r="C2358" t="s">
        <v>13370</v>
      </c>
      <c r="D2358">
        <v>0</v>
      </c>
    </row>
    <row r="2359" spans="2:4" ht="15" customHeight="1">
      <c r="B2359" t="s">
        <v>13372</v>
      </c>
      <c r="C2359" t="s">
        <v>13372</v>
      </c>
      <c r="D2359">
        <v>0</v>
      </c>
    </row>
    <row r="2360" spans="2:4" ht="15" customHeight="1">
      <c r="B2360" t="s">
        <v>13375</v>
      </c>
      <c r="C2360" t="s">
        <v>13375</v>
      </c>
      <c r="D2360">
        <v>0</v>
      </c>
    </row>
    <row r="2361" spans="2:4" ht="15" customHeight="1">
      <c r="B2361" t="s">
        <v>13377</v>
      </c>
      <c r="C2361" t="s">
        <v>13377</v>
      </c>
      <c r="D2361">
        <v>0</v>
      </c>
    </row>
    <row r="2362" spans="2:4" ht="15" customHeight="1">
      <c r="B2362" t="s">
        <v>13380</v>
      </c>
      <c r="C2362" t="s">
        <v>13380</v>
      </c>
      <c r="D2362">
        <v>0</v>
      </c>
    </row>
    <row r="2363" spans="2:4" ht="15" customHeight="1">
      <c r="B2363" t="s">
        <v>13383</v>
      </c>
      <c r="C2363" t="s">
        <v>13383</v>
      </c>
      <c r="D2363">
        <v>0</v>
      </c>
    </row>
    <row r="2364" spans="2:4" ht="15" customHeight="1">
      <c r="B2364" t="s">
        <v>13385</v>
      </c>
      <c r="C2364" t="s">
        <v>13385</v>
      </c>
      <c r="D2364">
        <v>0</v>
      </c>
    </row>
    <row r="2365" spans="2:4" ht="15" customHeight="1">
      <c r="B2365" t="s">
        <v>13388</v>
      </c>
      <c r="C2365" t="s">
        <v>13388</v>
      </c>
      <c r="D2365">
        <v>0</v>
      </c>
    </row>
    <row r="2366" spans="2:4" ht="15" customHeight="1">
      <c r="B2366" t="s">
        <v>13391</v>
      </c>
      <c r="C2366" t="s">
        <v>13391</v>
      </c>
      <c r="D2366">
        <v>0</v>
      </c>
    </row>
    <row r="2367" spans="2:4" ht="15" customHeight="1">
      <c r="B2367" t="s">
        <v>13393</v>
      </c>
      <c r="C2367" t="s">
        <v>13393</v>
      </c>
      <c r="D2367">
        <v>0</v>
      </c>
    </row>
    <row r="2368" spans="2:4" ht="15" customHeight="1">
      <c r="B2368" t="s">
        <v>13396</v>
      </c>
      <c r="C2368" t="s">
        <v>13396</v>
      </c>
      <c r="D2368">
        <v>0</v>
      </c>
    </row>
    <row r="2369" spans="2:4" ht="15" customHeight="1">
      <c r="B2369" t="s">
        <v>13399</v>
      </c>
      <c r="C2369" t="s">
        <v>13399</v>
      </c>
      <c r="D2369">
        <v>0</v>
      </c>
    </row>
    <row r="2370" spans="2:4" ht="15" customHeight="1">
      <c r="B2370" t="s">
        <v>13402</v>
      </c>
      <c r="C2370" t="s">
        <v>13402</v>
      </c>
      <c r="D2370">
        <v>0</v>
      </c>
    </row>
    <row r="2371" spans="2:4" ht="15" customHeight="1">
      <c r="B2371" t="s">
        <v>13406</v>
      </c>
      <c r="C2371" t="s">
        <v>13406</v>
      </c>
      <c r="D2371">
        <v>0</v>
      </c>
    </row>
    <row r="2372" spans="2:4" ht="15" customHeight="1">
      <c r="B2372" t="s">
        <v>13408</v>
      </c>
      <c r="C2372" t="s">
        <v>13408</v>
      </c>
      <c r="D2372">
        <v>0</v>
      </c>
    </row>
    <row r="2373" spans="2:4" ht="15" customHeight="1">
      <c r="B2373" t="s">
        <v>13417</v>
      </c>
      <c r="C2373" t="s">
        <v>13417</v>
      </c>
      <c r="D2373">
        <v>0</v>
      </c>
    </row>
    <row r="2374" spans="2:4" ht="15" customHeight="1">
      <c r="B2374" t="s">
        <v>13592</v>
      </c>
      <c r="C2374" t="s">
        <v>13592</v>
      </c>
      <c r="D2374">
        <v>0</v>
      </c>
    </row>
    <row r="2375" spans="2:4" ht="15" customHeight="1">
      <c r="B2375" t="s">
        <v>13426</v>
      </c>
      <c r="C2375" t="s">
        <v>13426</v>
      </c>
      <c r="D2375">
        <v>0</v>
      </c>
    </row>
    <row r="2376" spans="2:4" ht="15" customHeight="1">
      <c r="B2376" t="s">
        <v>1979</v>
      </c>
      <c r="C2376" t="s">
        <v>1979</v>
      </c>
      <c r="D2376">
        <v>0</v>
      </c>
    </row>
    <row r="2377" spans="2:4" ht="15" customHeight="1">
      <c r="B2377" t="s">
        <v>13432</v>
      </c>
      <c r="C2377" t="s">
        <v>13432</v>
      </c>
      <c r="D2377">
        <v>0</v>
      </c>
    </row>
    <row r="2378" spans="2:4" ht="15" customHeight="1">
      <c r="B2378" t="s">
        <v>13438</v>
      </c>
      <c r="C2378" t="s">
        <v>13438</v>
      </c>
      <c r="D2378">
        <v>0</v>
      </c>
    </row>
    <row r="2379" spans="2:4" ht="15" customHeight="1">
      <c r="B2379" t="s">
        <v>13440</v>
      </c>
      <c r="C2379" t="s">
        <v>13440</v>
      </c>
      <c r="D2379">
        <v>0</v>
      </c>
    </row>
    <row r="2380" spans="2:4" ht="15" customHeight="1">
      <c r="B2380" t="s">
        <v>13443</v>
      </c>
      <c r="C2380" t="s">
        <v>13443</v>
      </c>
      <c r="D2380">
        <v>0</v>
      </c>
    </row>
    <row r="2381" spans="2:4" ht="15" customHeight="1">
      <c r="B2381" t="s">
        <v>13446</v>
      </c>
      <c r="C2381" t="s">
        <v>13446</v>
      </c>
      <c r="D2381">
        <v>0</v>
      </c>
    </row>
    <row r="2382" spans="2:4" ht="15" customHeight="1">
      <c r="B2382" t="s">
        <v>13449</v>
      </c>
      <c r="C2382" t="s">
        <v>13449</v>
      </c>
      <c r="D2382">
        <v>0</v>
      </c>
    </row>
    <row r="2383" spans="2:4" ht="15" customHeight="1">
      <c r="B2383" t="s">
        <v>11178</v>
      </c>
      <c r="C2383" t="s">
        <v>11178</v>
      </c>
      <c r="D2383">
        <v>0</v>
      </c>
    </row>
    <row r="2384" spans="2:4" ht="15" customHeight="1">
      <c r="B2384" t="s">
        <v>13454</v>
      </c>
      <c r="C2384" t="s">
        <v>13454</v>
      </c>
      <c r="D2384">
        <v>0</v>
      </c>
    </row>
    <row r="2385" spans="2:4" ht="15" customHeight="1">
      <c r="B2385" t="s">
        <v>13457</v>
      </c>
      <c r="C2385" t="s">
        <v>13457</v>
      </c>
      <c r="D2385">
        <v>0</v>
      </c>
    </row>
    <row r="2386" spans="2:4" ht="15" customHeight="1">
      <c r="B2386" t="s">
        <v>13460</v>
      </c>
      <c r="C2386" t="s">
        <v>13460</v>
      </c>
      <c r="D2386">
        <v>0</v>
      </c>
    </row>
    <row r="2387" spans="2:4" ht="15" customHeight="1">
      <c r="B2387" t="s">
        <v>13463</v>
      </c>
      <c r="C2387" t="s">
        <v>13463</v>
      </c>
      <c r="D2387">
        <v>0</v>
      </c>
    </row>
    <row r="2388" spans="2:4" ht="15" customHeight="1">
      <c r="B2388" t="s">
        <v>13466</v>
      </c>
      <c r="C2388" t="s">
        <v>13466</v>
      </c>
      <c r="D2388">
        <v>0</v>
      </c>
    </row>
    <row r="2389" spans="2:4" ht="15" customHeight="1">
      <c r="B2389" t="s">
        <v>13469</v>
      </c>
      <c r="C2389" t="s">
        <v>13469</v>
      </c>
      <c r="D2389">
        <v>0</v>
      </c>
    </row>
    <row r="2390" spans="2:4" ht="15" customHeight="1">
      <c r="B2390" t="s">
        <v>13474</v>
      </c>
      <c r="C2390" t="s">
        <v>13474</v>
      </c>
      <c r="D2390">
        <v>0</v>
      </c>
    </row>
    <row r="2391" spans="2:4" ht="15" customHeight="1">
      <c r="B2391" t="s">
        <v>13476</v>
      </c>
      <c r="C2391" t="s">
        <v>13476</v>
      </c>
      <c r="D2391">
        <v>0</v>
      </c>
    </row>
    <row r="2392" spans="2:4" ht="15" customHeight="1">
      <c r="B2392" t="s">
        <v>1987</v>
      </c>
      <c r="C2392" t="s">
        <v>1987</v>
      </c>
      <c r="D2392">
        <v>0</v>
      </c>
    </row>
    <row r="2393" spans="2:4" ht="15" customHeight="1">
      <c r="B2393" t="s">
        <v>13481</v>
      </c>
      <c r="C2393" t="s">
        <v>13481</v>
      </c>
      <c r="D2393">
        <v>0</v>
      </c>
    </row>
    <row r="2394" spans="2:4" ht="15" customHeight="1">
      <c r="B2394" t="s">
        <v>13484</v>
      </c>
      <c r="C2394" t="s">
        <v>13484</v>
      </c>
      <c r="D2394">
        <v>0</v>
      </c>
    </row>
    <row r="2395" spans="2:4" ht="15" customHeight="1">
      <c r="B2395" t="s">
        <v>13487</v>
      </c>
      <c r="C2395" t="s">
        <v>13487</v>
      </c>
      <c r="D2395">
        <v>0</v>
      </c>
    </row>
    <row r="2396" spans="2:4" ht="15" customHeight="1">
      <c r="B2396" t="s">
        <v>13490</v>
      </c>
      <c r="C2396" t="s">
        <v>13490</v>
      </c>
      <c r="D2396">
        <v>0</v>
      </c>
    </row>
    <row r="2397" spans="2:4" ht="15" customHeight="1">
      <c r="B2397" t="s">
        <v>13493</v>
      </c>
      <c r="C2397" t="s">
        <v>13493</v>
      </c>
      <c r="D2397">
        <v>0</v>
      </c>
    </row>
    <row r="2398" spans="2:4" ht="15" customHeight="1">
      <c r="B2398" t="s">
        <v>13496</v>
      </c>
      <c r="C2398" t="s">
        <v>13496</v>
      </c>
      <c r="D2398">
        <v>0</v>
      </c>
    </row>
    <row r="2399" spans="2:4" ht="15" customHeight="1">
      <c r="B2399" t="s">
        <v>10150</v>
      </c>
      <c r="C2399" t="s">
        <v>10150</v>
      </c>
      <c r="D2399">
        <v>0</v>
      </c>
    </row>
    <row r="2400" spans="2:4" ht="15" customHeight="1">
      <c r="B2400" t="s">
        <v>13501</v>
      </c>
      <c r="C2400" t="s">
        <v>13501</v>
      </c>
      <c r="D2400">
        <v>0</v>
      </c>
    </row>
    <row r="2401" spans="2:4" ht="15" customHeight="1">
      <c r="B2401" t="s">
        <v>13504</v>
      </c>
      <c r="C2401" t="s">
        <v>13504</v>
      </c>
      <c r="D2401">
        <v>0</v>
      </c>
    </row>
    <row r="2402" spans="2:4" ht="15" customHeight="1">
      <c r="B2402" t="s">
        <v>13507</v>
      </c>
      <c r="C2402" t="s">
        <v>13507</v>
      </c>
      <c r="D2402">
        <v>0</v>
      </c>
    </row>
    <row r="2403" spans="2:4" ht="15" customHeight="1">
      <c r="B2403" t="s">
        <v>13510</v>
      </c>
      <c r="C2403" t="s">
        <v>13510</v>
      </c>
      <c r="D2403">
        <v>0</v>
      </c>
    </row>
    <row r="2404" spans="2:4" ht="15" customHeight="1">
      <c r="B2404" t="s">
        <v>13513</v>
      </c>
      <c r="C2404" t="s">
        <v>13513</v>
      </c>
      <c r="D2404">
        <v>0</v>
      </c>
    </row>
    <row r="2405" spans="2:4" ht="15" customHeight="1">
      <c r="B2405" t="s">
        <v>13515</v>
      </c>
      <c r="C2405" t="s">
        <v>13515</v>
      </c>
      <c r="D2405">
        <v>0</v>
      </c>
    </row>
    <row r="2406" spans="2:4" ht="15" customHeight="1">
      <c r="B2406" t="s">
        <v>13518</v>
      </c>
      <c r="C2406" t="s">
        <v>13518</v>
      </c>
      <c r="D2406">
        <v>0</v>
      </c>
    </row>
    <row r="2407" spans="2:4" ht="15" customHeight="1">
      <c r="B2407" t="s">
        <v>216</v>
      </c>
      <c r="C2407" t="s">
        <v>216</v>
      </c>
      <c r="D2407">
        <v>0</v>
      </c>
    </row>
    <row r="2408" spans="2:4" ht="15" customHeight="1">
      <c r="B2408" t="s">
        <v>13522</v>
      </c>
      <c r="C2408" t="s">
        <v>13522</v>
      </c>
      <c r="D2408">
        <v>0</v>
      </c>
    </row>
    <row r="2409" spans="2:4" ht="15" customHeight="1">
      <c r="B2409" t="s">
        <v>13527</v>
      </c>
      <c r="C2409" t="s">
        <v>13527</v>
      </c>
      <c r="D2409">
        <v>0</v>
      </c>
    </row>
    <row r="2410" spans="2:4" ht="15" customHeight="1">
      <c r="B2410" t="s">
        <v>13530</v>
      </c>
      <c r="C2410" t="s">
        <v>13530</v>
      </c>
      <c r="D2410">
        <v>0</v>
      </c>
    </row>
    <row r="2411" spans="2:4" ht="15" customHeight="1">
      <c r="B2411" t="s">
        <v>13533</v>
      </c>
      <c r="C2411" t="s">
        <v>13533</v>
      </c>
      <c r="D2411">
        <v>0</v>
      </c>
    </row>
    <row r="2412" spans="2:4" ht="15" customHeight="1">
      <c r="B2412" t="s">
        <v>13538</v>
      </c>
      <c r="C2412" t="s">
        <v>13538</v>
      </c>
      <c r="D2412">
        <v>0</v>
      </c>
    </row>
    <row r="2413" spans="2:4" ht="15" customHeight="1">
      <c r="B2413" t="s">
        <v>13540</v>
      </c>
      <c r="C2413" t="s">
        <v>13540</v>
      </c>
      <c r="D2413">
        <v>0</v>
      </c>
    </row>
    <row r="2414" spans="2:4" ht="15" customHeight="1">
      <c r="B2414" t="s">
        <v>13543</v>
      </c>
      <c r="C2414" t="s">
        <v>13543</v>
      </c>
      <c r="D2414">
        <v>0</v>
      </c>
    </row>
    <row r="2415" spans="2:4" ht="15" customHeight="1">
      <c r="B2415" t="s">
        <v>13548</v>
      </c>
      <c r="C2415" t="s">
        <v>13548</v>
      </c>
      <c r="D2415">
        <v>0</v>
      </c>
    </row>
    <row r="2416" spans="2:4" ht="15" customHeight="1">
      <c r="B2416" t="s">
        <v>13551</v>
      </c>
      <c r="C2416" t="s">
        <v>13551</v>
      </c>
      <c r="D2416">
        <v>0</v>
      </c>
    </row>
    <row r="2417" spans="2:4" ht="15" customHeight="1">
      <c r="B2417" t="s">
        <v>13553</v>
      </c>
      <c r="C2417" t="s">
        <v>13553</v>
      </c>
      <c r="D2417">
        <v>0</v>
      </c>
    </row>
    <row r="2418" spans="2:4" ht="15" customHeight="1">
      <c r="B2418" t="s">
        <v>13556</v>
      </c>
      <c r="C2418" t="s">
        <v>13556</v>
      </c>
      <c r="D2418">
        <v>0</v>
      </c>
    </row>
    <row r="2419" spans="2:4" ht="15" customHeight="1">
      <c r="B2419" t="s">
        <v>896</v>
      </c>
      <c r="C2419" t="s">
        <v>896</v>
      </c>
      <c r="D2419">
        <v>0</v>
      </c>
    </row>
    <row r="2420" spans="2:4" ht="15" customHeight="1">
      <c r="B2420" t="s">
        <v>13561</v>
      </c>
      <c r="C2420" t="s">
        <v>13561</v>
      </c>
      <c r="D2420">
        <v>0</v>
      </c>
    </row>
    <row r="2421" spans="2:4" ht="15" customHeight="1">
      <c r="B2421" t="s">
        <v>13564</v>
      </c>
      <c r="C2421" t="s">
        <v>13564</v>
      </c>
      <c r="D2421">
        <v>0</v>
      </c>
    </row>
    <row r="2422" spans="2:4" ht="15" customHeight="1">
      <c r="B2422" t="s">
        <v>7928</v>
      </c>
      <c r="C2422" t="s">
        <v>7928</v>
      </c>
      <c r="D2422">
        <v>0</v>
      </c>
    </row>
    <row r="2423" spans="2:4" ht="15" customHeight="1">
      <c r="B2423" t="s">
        <v>13569</v>
      </c>
      <c r="C2423" t="s">
        <v>13569</v>
      </c>
      <c r="D2423">
        <v>0</v>
      </c>
    </row>
    <row r="2424" spans="2:4" ht="15" customHeight="1">
      <c r="B2424" t="s">
        <v>13572</v>
      </c>
      <c r="C2424" t="s">
        <v>13572</v>
      </c>
      <c r="D2424">
        <v>0</v>
      </c>
    </row>
    <row r="2425" spans="2:4" ht="15" customHeight="1">
      <c r="B2425" t="s">
        <v>13593</v>
      </c>
      <c r="C2425" t="s">
        <v>13593</v>
      </c>
      <c r="D2425">
        <v>0</v>
      </c>
    </row>
    <row r="2426" spans="2:4" ht="15" customHeight="1">
      <c r="B2426" t="s">
        <v>13594</v>
      </c>
      <c r="C2426" t="s">
        <v>13594</v>
      </c>
      <c r="D2426">
        <v>0</v>
      </c>
    </row>
    <row r="2427" spans="2:4" ht="15" customHeight="1">
      <c r="B2427">
        <v>1930</v>
      </c>
      <c r="C2427">
        <v>1930</v>
      </c>
      <c r="D2427">
        <v>0</v>
      </c>
    </row>
    <row r="2428" spans="2:4" ht="15" customHeight="1">
      <c r="B2428" s="34" t="s">
        <v>10777</v>
      </c>
      <c r="C2428" s="34" t="s">
        <v>10777</v>
      </c>
    </row>
    <row r="2429" spans="2:4" ht="15" customHeight="1">
      <c r="B2429" s="34" t="s">
        <v>13654</v>
      </c>
      <c r="C2429" s="34" t="s">
        <v>13654</v>
      </c>
    </row>
    <row r="2430" spans="2:4" ht="15" customHeight="1">
      <c r="B2430" s="34" t="s">
        <v>1446</v>
      </c>
      <c r="C2430" s="34" t="s">
        <v>1446</v>
      </c>
    </row>
    <row r="2431" spans="2:4" ht="15" customHeight="1">
      <c r="B2431" s="34" t="s">
        <v>11223</v>
      </c>
      <c r="C2431" s="34" t="s">
        <v>11223</v>
      </c>
    </row>
    <row r="2432" spans="2:4" ht="15" customHeight="1">
      <c r="B2432" s="34" t="s">
        <v>13649</v>
      </c>
      <c r="C2432" s="34" t="s">
        <v>13649</v>
      </c>
    </row>
    <row r="2433" spans="2:3" ht="15" customHeight="1">
      <c r="B2433" s="34" t="s">
        <v>11225</v>
      </c>
      <c r="C2433" s="34" t="s">
        <v>11225</v>
      </c>
    </row>
    <row r="2434" spans="2:3" ht="15" customHeight="1">
      <c r="B2434" s="34" t="s">
        <v>13650</v>
      </c>
      <c r="C2434" s="34" t="s">
        <v>13650</v>
      </c>
    </row>
    <row r="2435" spans="2:3" ht="15" customHeight="1">
      <c r="B2435" s="34" t="s">
        <v>11227</v>
      </c>
      <c r="C2435" s="34" t="s">
        <v>11227</v>
      </c>
    </row>
    <row r="2436" spans="2:3" ht="15" customHeight="1">
      <c r="B2436" s="34" t="s">
        <v>13651</v>
      </c>
      <c r="C2436" s="34" t="s">
        <v>13651</v>
      </c>
    </row>
    <row r="2437" spans="2:3" ht="15" customHeight="1">
      <c r="B2437" s="34" t="s">
        <v>11229</v>
      </c>
      <c r="C2437" s="34" t="s">
        <v>11229</v>
      </c>
    </row>
    <row r="2438" spans="2:3" ht="15" customHeight="1">
      <c r="B2438" s="34" t="s">
        <v>11230</v>
      </c>
      <c r="C2438" s="34" t="s">
        <v>11230</v>
      </c>
    </row>
    <row r="2439" spans="2:3" ht="15" customHeight="1">
      <c r="B2439" s="34" t="s">
        <v>11231</v>
      </c>
      <c r="C2439" s="34" t="s">
        <v>11231</v>
      </c>
    </row>
    <row r="2440" spans="2:3" ht="15" customHeight="1">
      <c r="B2440" s="34" t="s">
        <v>11232</v>
      </c>
      <c r="C2440" s="34" t="s">
        <v>11232</v>
      </c>
    </row>
    <row r="2441" spans="2:3" ht="15" customHeight="1">
      <c r="B2441" s="34" t="s">
        <v>11233</v>
      </c>
      <c r="C2441" s="34" t="s">
        <v>11233</v>
      </c>
    </row>
    <row r="2442" spans="2:3" ht="15" customHeight="1">
      <c r="B2442" s="34" t="s">
        <v>11234</v>
      </c>
      <c r="C2442" s="34" t="s">
        <v>11234</v>
      </c>
    </row>
    <row r="2443" spans="2:3" ht="15" customHeight="1">
      <c r="B2443" s="34" t="s">
        <v>13653</v>
      </c>
      <c r="C2443" s="34" t="s">
        <v>13653</v>
      </c>
    </row>
    <row r="2444" spans="2:3" ht="15" customHeight="1">
      <c r="B2444" s="34" t="s">
        <v>11235</v>
      </c>
      <c r="C2444" s="34" t="s">
        <v>11235</v>
      </c>
    </row>
    <row r="2445" spans="2:3" ht="15" customHeight="1">
      <c r="B2445" s="34" t="s">
        <v>2000</v>
      </c>
      <c r="C2445" s="34" t="s">
        <v>2000</v>
      </c>
    </row>
    <row r="2446" spans="2:3" ht="15" customHeight="1">
      <c r="B2446" s="34" t="s">
        <v>11237</v>
      </c>
      <c r="C2446" s="34" t="s">
        <v>11237</v>
      </c>
    </row>
    <row r="2447" spans="2:3" ht="15" customHeight="1">
      <c r="B2447" s="34" t="s">
        <v>536</v>
      </c>
      <c r="C2447" s="34" t="s">
        <v>536</v>
      </c>
    </row>
    <row r="2448" spans="2:3" ht="15" customHeight="1">
      <c r="B2448" s="34" t="s">
        <v>11238</v>
      </c>
      <c r="C2448" s="34" t="s">
        <v>11238</v>
      </c>
    </row>
    <row r="2449" spans="2:3" ht="15" customHeight="1">
      <c r="B2449" s="34" t="s">
        <v>11239</v>
      </c>
      <c r="C2449" s="34" t="s">
        <v>11239</v>
      </c>
    </row>
    <row r="2450" spans="2:3" ht="15" customHeight="1">
      <c r="B2450" s="34" t="s">
        <v>13671</v>
      </c>
      <c r="C2450" s="34" t="s">
        <v>13671</v>
      </c>
    </row>
    <row r="2451" spans="2:3" ht="15" customHeight="1">
      <c r="B2451" t="s">
        <v>961</v>
      </c>
      <c r="C2451" t="s">
        <v>961</v>
      </c>
    </row>
    <row r="2452" spans="2:3" ht="15" customHeight="1">
      <c r="B2452" t="s">
        <v>13679</v>
      </c>
      <c r="C2452" t="s">
        <v>13679</v>
      </c>
    </row>
    <row r="2453" spans="2:3" ht="15" customHeight="1">
      <c r="B2453" t="s">
        <v>13681</v>
      </c>
      <c r="C2453" t="s">
        <v>13681</v>
      </c>
    </row>
    <row r="2454" spans="2:3" ht="15" customHeight="1">
      <c r="B2454" t="s">
        <v>777</v>
      </c>
      <c r="C2454" t="s">
        <v>777</v>
      </c>
    </row>
    <row r="2455" spans="2:3" ht="15" customHeight="1">
      <c r="B2455" t="s">
        <v>10745</v>
      </c>
      <c r="C2455" t="s">
        <v>10745</v>
      </c>
    </row>
    <row r="2456" spans="2:3" ht="15" customHeight="1">
      <c r="B2456" t="s">
        <v>5607</v>
      </c>
      <c r="C2456" t="s">
        <v>5607</v>
      </c>
    </row>
    <row r="2457" spans="2:3" ht="15" customHeight="1">
      <c r="B2457" t="s">
        <v>14830</v>
      </c>
      <c r="C2457" t="s">
        <v>14830</v>
      </c>
    </row>
    <row r="2458" spans="2:3" ht="15" customHeight="1">
      <c r="B2458" t="s">
        <v>781</v>
      </c>
      <c r="C2458" t="s">
        <v>781</v>
      </c>
    </row>
    <row r="2459" spans="2:3" ht="15" customHeight="1">
      <c r="B2459" t="s">
        <v>13691</v>
      </c>
      <c r="C2459" t="s">
        <v>13691</v>
      </c>
    </row>
    <row r="2460" spans="2:3" ht="15" customHeight="1">
      <c r="B2460" t="s">
        <v>742</v>
      </c>
      <c r="C2460" t="s">
        <v>742</v>
      </c>
    </row>
    <row r="2461" spans="2:3" ht="15" customHeight="1">
      <c r="B2461" t="s">
        <v>1965</v>
      </c>
      <c r="C2461" t="s">
        <v>1965</v>
      </c>
    </row>
    <row r="2462" spans="2:3" ht="15" customHeight="1">
      <c r="B2462" t="s">
        <v>791</v>
      </c>
      <c r="C2462" t="s">
        <v>791</v>
      </c>
    </row>
    <row r="2463" spans="2:3" ht="15" customHeight="1">
      <c r="B2463" t="s">
        <v>5512</v>
      </c>
      <c r="C2463" t="s">
        <v>5512</v>
      </c>
    </row>
    <row r="2464" spans="2:3" ht="15" customHeight="1">
      <c r="B2464" t="s">
        <v>13699</v>
      </c>
      <c r="C2464" t="s">
        <v>13699</v>
      </c>
    </row>
    <row r="2465" spans="2:3" ht="15" customHeight="1">
      <c r="B2465" t="s">
        <v>7556</v>
      </c>
      <c r="C2465" t="s">
        <v>7556</v>
      </c>
    </row>
    <row r="2466" spans="2:3" ht="15" customHeight="1">
      <c r="B2466" t="s">
        <v>13701</v>
      </c>
      <c r="C2466" t="s">
        <v>13701</v>
      </c>
    </row>
    <row r="2467" spans="2:3" ht="15" customHeight="1">
      <c r="B2467" t="s">
        <v>13704</v>
      </c>
      <c r="C2467" t="s">
        <v>13704</v>
      </c>
    </row>
    <row r="2468" spans="2:3" ht="15" customHeight="1">
      <c r="B2468" t="s">
        <v>13706</v>
      </c>
      <c r="C2468" t="s">
        <v>13706</v>
      </c>
    </row>
    <row r="2469" spans="2:3" ht="15" customHeight="1">
      <c r="B2469" t="s">
        <v>13709</v>
      </c>
      <c r="C2469" t="s">
        <v>13709</v>
      </c>
    </row>
    <row r="2470" spans="2:3" ht="15" customHeight="1">
      <c r="B2470" t="s">
        <v>13712</v>
      </c>
      <c r="C2470" t="s">
        <v>13712</v>
      </c>
    </row>
    <row r="2471" spans="2:3" ht="15" customHeight="1">
      <c r="B2471" t="s">
        <v>13714</v>
      </c>
      <c r="C2471" t="s">
        <v>13714</v>
      </c>
    </row>
    <row r="2472" spans="2:3" ht="15" customHeight="1">
      <c r="B2472" t="s">
        <v>13717</v>
      </c>
      <c r="C2472" t="s">
        <v>13717</v>
      </c>
    </row>
    <row r="2473" spans="2:3" ht="15" customHeight="1">
      <c r="B2473" t="s">
        <v>14831</v>
      </c>
      <c r="C2473" t="s">
        <v>14831</v>
      </c>
    </row>
    <row r="2474" spans="2:3" ht="15" customHeight="1">
      <c r="B2474" t="s">
        <v>13336</v>
      </c>
      <c r="C2474" t="s">
        <v>13336</v>
      </c>
    </row>
    <row r="2475" spans="2:3" ht="15" customHeight="1">
      <c r="B2475" t="s">
        <v>13723</v>
      </c>
      <c r="C2475" t="s">
        <v>13723</v>
      </c>
    </row>
    <row r="2476" spans="2:3" ht="15" customHeight="1">
      <c r="B2476" t="s">
        <v>13726</v>
      </c>
      <c r="C2476" t="s">
        <v>13726</v>
      </c>
    </row>
    <row r="2477" spans="2:3" ht="15" customHeight="1">
      <c r="B2477" t="s">
        <v>14832</v>
      </c>
      <c r="C2477" t="s">
        <v>14832</v>
      </c>
    </row>
    <row r="2478" spans="2:3" ht="15" customHeight="1">
      <c r="B2478" t="s">
        <v>13731</v>
      </c>
      <c r="C2478" t="s">
        <v>13731</v>
      </c>
    </row>
    <row r="2479" spans="2:3" ht="15" customHeight="1">
      <c r="B2479" t="s">
        <v>13734</v>
      </c>
      <c r="C2479" t="s">
        <v>13734</v>
      </c>
    </row>
    <row r="2480" spans="2:3" ht="15" customHeight="1">
      <c r="B2480" t="s">
        <v>14833</v>
      </c>
      <c r="C2480" t="s">
        <v>14833</v>
      </c>
    </row>
    <row r="2481" spans="2:3" ht="15" customHeight="1">
      <c r="B2481" t="s">
        <v>14834</v>
      </c>
      <c r="C2481" t="s">
        <v>14834</v>
      </c>
    </row>
    <row r="2482" spans="2:3" ht="15" customHeight="1">
      <c r="B2482" t="s">
        <v>14835</v>
      </c>
      <c r="C2482" t="s">
        <v>14835</v>
      </c>
    </row>
    <row r="2483" spans="2:3" ht="15" customHeight="1">
      <c r="B2483" t="s">
        <v>14836</v>
      </c>
      <c r="C2483" t="s">
        <v>14836</v>
      </c>
    </row>
    <row r="2484" spans="2:3" ht="15" customHeight="1">
      <c r="B2484" t="s">
        <v>14837</v>
      </c>
      <c r="C2484" t="s">
        <v>14837</v>
      </c>
    </row>
    <row r="2485" spans="2:3" ht="15" customHeight="1">
      <c r="B2485" t="s">
        <v>6937</v>
      </c>
      <c r="C2485" t="s">
        <v>6937</v>
      </c>
    </row>
    <row r="2486" spans="2:3" ht="15" customHeight="1">
      <c r="B2486" t="s">
        <v>13749</v>
      </c>
      <c r="C2486" t="s">
        <v>13749</v>
      </c>
    </row>
    <row r="2487" spans="2:3" ht="15" customHeight="1">
      <c r="B2487" t="s">
        <v>14838</v>
      </c>
      <c r="C2487" t="s">
        <v>14838</v>
      </c>
    </row>
    <row r="2488" spans="2:3" ht="15" customHeight="1">
      <c r="B2488" t="s">
        <v>13754</v>
      </c>
      <c r="C2488" t="s">
        <v>13754</v>
      </c>
    </row>
    <row r="2489" spans="2:3" ht="15" customHeight="1">
      <c r="B2489" t="s">
        <v>14839</v>
      </c>
      <c r="C2489" t="s">
        <v>14839</v>
      </c>
    </row>
    <row r="2490" spans="2:3" ht="15" customHeight="1">
      <c r="B2490" t="s">
        <v>900</v>
      </c>
      <c r="C2490" t="s">
        <v>900</v>
      </c>
    </row>
    <row r="2491" spans="2:3" ht="15" customHeight="1">
      <c r="B2491" t="s">
        <v>11171</v>
      </c>
      <c r="C2491" t="s">
        <v>11171</v>
      </c>
    </row>
    <row r="2492" spans="2:3" ht="15" customHeight="1">
      <c r="B2492" t="s">
        <v>795</v>
      </c>
      <c r="C2492" t="s">
        <v>795</v>
      </c>
    </row>
    <row r="2493" spans="2:3" ht="15" customHeight="1">
      <c r="B2493" t="s">
        <v>534</v>
      </c>
      <c r="C2493" t="s">
        <v>534</v>
      </c>
    </row>
    <row r="2494" spans="2:3" ht="15" customHeight="1">
      <c r="B2494" t="s">
        <v>794</v>
      </c>
      <c r="C2494" t="s">
        <v>794</v>
      </c>
    </row>
    <row r="2495" spans="2:3" ht="15" customHeight="1">
      <c r="B2495" t="s">
        <v>561</v>
      </c>
      <c r="C2495" t="s">
        <v>561</v>
      </c>
    </row>
    <row r="2496" spans="2:3" ht="15" customHeight="1">
      <c r="B2496" t="s">
        <v>11173</v>
      </c>
      <c r="C2496" t="s">
        <v>11173</v>
      </c>
    </row>
    <row r="2497" spans="2:3" ht="15" customHeight="1">
      <c r="B2497" t="s">
        <v>6349</v>
      </c>
      <c r="C2497" t="s">
        <v>6349</v>
      </c>
    </row>
    <row r="2498" spans="2:3" ht="15" customHeight="1">
      <c r="B2498" t="s">
        <v>996</v>
      </c>
      <c r="C2498" t="s">
        <v>996</v>
      </c>
    </row>
    <row r="2499" spans="2:3" ht="15" customHeight="1">
      <c r="B2499" t="s">
        <v>772</v>
      </c>
      <c r="C2499" t="s">
        <v>772</v>
      </c>
    </row>
    <row r="2500" spans="2:3" ht="15" customHeight="1">
      <c r="B2500" t="s">
        <v>13764</v>
      </c>
      <c r="C2500" t="s">
        <v>13764</v>
      </c>
    </row>
    <row r="2501" spans="2:3" ht="15" customHeight="1">
      <c r="B2501" t="s">
        <v>13766</v>
      </c>
      <c r="C2501" t="s">
        <v>13766</v>
      </c>
    </row>
    <row r="2502" spans="2:3" ht="15" customHeight="1">
      <c r="B2502" t="s">
        <v>535</v>
      </c>
      <c r="C2502" t="s">
        <v>535</v>
      </c>
    </row>
    <row r="2503" spans="2:3" ht="15" customHeight="1">
      <c r="B2503" t="s">
        <v>13768</v>
      </c>
      <c r="C2503" t="s">
        <v>13768</v>
      </c>
    </row>
    <row r="2504" spans="2:3" ht="15" customHeight="1">
      <c r="B2504" t="s">
        <v>13770</v>
      </c>
      <c r="C2504" t="s">
        <v>13770</v>
      </c>
    </row>
    <row r="2505" spans="2:3" ht="15" customHeight="1">
      <c r="B2505" t="s">
        <v>11000</v>
      </c>
      <c r="C2505" t="s">
        <v>11000</v>
      </c>
    </row>
    <row r="2506" spans="2:3" ht="15" customHeight="1">
      <c r="B2506" t="s">
        <v>11001</v>
      </c>
      <c r="C2506" t="s">
        <v>11001</v>
      </c>
    </row>
    <row r="2507" spans="2:3" ht="15" customHeight="1">
      <c r="B2507" t="s">
        <v>766</v>
      </c>
      <c r="C2507" t="s">
        <v>766</v>
      </c>
    </row>
    <row r="2508" spans="2:3" ht="15" customHeight="1">
      <c r="B2508" t="s">
        <v>14840</v>
      </c>
      <c r="C2508" t="s">
        <v>14840</v>
      </c>
    </row>
    <row r="2509" spans="2:3" ht="15" customHeight="1">
      <c r="B2509" t="s">
        <v>13782</v>
      </c>
      <c r="C2509" t="s">
        <v>13782</v>
      </c>
    </row>
    <row r="2510" spans="2:3" ht="15" customHeight="1">
      <c r="B2510" t="s">
        <v>1999</v>
      </c>
      <c r="C2510" t="s">
        <v>1999</v>
      </c>
    </row>
    <row r="2511" spans="2:3" ht="15" customHeight="1">
      <c r="B2511" t="s">
        <v>941</v>
      </c>
      <c r="C2511" t="s">
        <v>941</v>
      </c>
    </row>
    <row r="2512" spans="2:3" ht="15" customHeight="1">
      <c r="B2512" t="s">
        <v>755</v>
      </c>
      <c r="C2512" t="s">
        <v>755</v>
      </c>
    </row>
    <row r="2513" spans="2:3" ht="15" customHeight="1">
      <c r="B2513" t="s">
        <v>11003</v>
      </c>
      <c r="C2513" t="s">
        <v>11003</v>
      </c>
    </row>
    <row r="2514" spans="2:3" ht="15" customHeight="1">
      <c r="B2514" t="s">
        <v>11004</v>
      </c>
      <c r="C2514" t="s">
        <v>11004</v>
      </c>
    </row>
    <row r="2515" spans="2:3" ht="15" customHeight="1">
      <c r="B2515" t="s">
        <v>6948</v>
      </c>
      <c r="C2515" t="s">
        <v>6948</v>
      </c>
    </row>
    <row r="2516" spans="2:3" ht="15" customHeight="1">
      <c r="B2516" t="s">
        <v>867</v>
      </c>
      <c r="C2516" t="s">
        <v>867</v>
      </c>
    </row>
    <row r="2517" spans="2:3" ht="15" customHeight="1">
      <c r="B2517" t="s">
        <v>11005</v>
      </c>
      <c r="C2517" t="s">
        <v>11005</v>
      </c>
    </row>
    <row r="2518" spans="2:3" ht="15" customHeight="1">
      <c r="B2518" t="s">
        <v>11006</v>
      </c>
      <c r="C2518" t="s">
        <v>11006</v>
      </c>
    </row>
    <row r="2519" spans="2:3" ht="15" customHeight="1">
      <c r="B2519" t="s">
        <v>13796</v>
      </c>
      <c r="C2519" t="s">
        <v>13796</v>
      </c>
    </row>
    <row r="2520" spans="2:3" ht="15" customHeight="1">
      <c r="B2520" t="s">
        <v>8245</v>
      </c>
      <c r="C2520" t="s">
        <v>8245</v>
      </c>
    </row>
    <row r="2521" spans="2:3" ht="15" customHeight="1">
      <c r="B2521" t="s">
        <v>13801</v>
      </c>
      <c r="C2521" t="s">
        <v>13801</v>
      </c>
    </row>
    <row r="2522" spans="2:3" ht="15" customHeight="1">
      <c r="B2522" t="s">
        <v>13804</v>
      </c>
      <c r="C2522" t="s">
        <v>13804</v>
      </c>
    </row>
    <row r="2523" spans="2:3" ht="15" customHeight="1">
      <c r="B2523" t="s">
        <v>13807</v>
      </c>
      <c r="C2523" t="s">
        <v>13807</v>
      </c>
    </row>
    <row r="2524" spans="2:3" ht="15" customHeight="1">
      <c r="B2524" t="s">
        <v>13810</v>
      </c>
      <c r="C2524" t="s">
        <v>13810</v>
      </c>
    </row>
    <row r="2525" spans="2:3" ht="15" customHeight="1">
      <c r="B2525" t="s">
        <v>13813</v>
      </c>
      <c r="C2525" t="s">
        <v>13813</v>
      </c>
    </row>
    <row r="2526" spans="2:3" ht="15" customHeight="1">
      <c r="B2526" t="s">
        <v>13816</v>
      </c>
      <c r="C2526" t="s">
        <v>13816</v>
      </c>
    </row>
    <row r="2527" spans="2:3" ht="15" customHeight="1">
      <c r="B2527" t="s">
        <v>13440</v>
      </c>
      <c r="C2527" t="s">
        <v>13440</v>
      </c>
    </row>
    <row r="2528" spans="2:3" ht="15" customHeight="1">
      <c r="B2528" t="s">
        <v>13820</v>
      </c>
      <c r="C2528" t="s">
        <v>13820</v>
      </c>
    </row>
    <row r="2529" spans="2:3" ht="15" customHeight="1">
      <c r="B2529" t="s">
        <v>13822</v>
      </c>
      <c r="C2529" t="s">
        <v>13822</v>
      </c>
    </row>
    <row r="2530" spans="2:3" ht="15" customHeight="1">
      <c r="B2530" t="s">
        <v>13825</v>
      </c>
      <c r="C2530" t="s">
        <v>13825</v>
      </c>
    </row>
    <row r="2531" spans="2:3" ht="15" customHeight="1">
      <c r="B2531" t="s">
        <v>13828</v>
      </c>
      <c r="C2531" t="s">
        <v>13828</v>
      </c>
    </row>
    <row r="2532" spans="2:3" ht="15" customHeight="1">
      <c r="B2532" t="s">
        <v>13831</v>
      </c>
      <c r="C2532" t="s">
        <v>13831</v>
      </c>
    </row>
    <row r="2533" spans="2:3" ht="15" customHeight="1">
      <c r="B2533" t="s">
        <v>13833</v>
      </c>
      <c r="C2533" t="s">
        <v>13833</v>
      </c>
    </row>
    <row r="2534" spans="2:3" ht="15" customHeight="1">
      <c r="B2534" t="s">
        <v>13836</v>
      </c>
      <c r="C2534" t="s">
        <v>13836</v>
      </c>
    </row>
    <row r="2535" spans="2:3" ht="15" customHeight="1">
      <c r="B2535" t="s">
        <v>6925</v>
      </c>
      <c r="C2535" t="s">
        <v>6925</v>
      </c>
    </row>
    <row r="2536" spans="2:3" ht="15" customHeight="1">
      <c r="B2536" t="s">
        <v>13841</v>
      </c>
      <c r="C2536" t="s">
        <v>13841</v>
      </c>
    </row>
    <row r="2537" spans="2:3" ht="15" customHeight="1">
      <c r="B2537" t="s">
        <v>11160</v>
      </c>
      <c r="C2537" t="s">
        <v>11160</v>
      </c>
    </row>
    <row r="2538" spans="2:3" ht="15" customHeight="1">
      <c r="B2538" t="s">
        <v>13845</v>
      </c>
      <c r="C2538" t="s">
        <v>13845</v>
      </c>
    </row>
    <row r="2539" spans="2:3" ht="15" customHeight="1">
      <c r="B2539" t="s">
        <v>6352</v>
      </c>
      <c r="C2539" t="s">
        <v>6352</v>
      </c>
    </row>
    <row r="2540" spans="2:3" ht="15" customHeight="1">
      <c r="B2540" t="s">
        <v>1489</v>
      </c>
      <c r="C2540" t="s">
        <v>1489</v>
      </c>
    </row>
    <row r="2541" spans="2:3" ht="15" customHeight="1">
      <c r="B2541" t="s">
        <v>13851</v>
      </c>
      <c r="C2541" t="s">
        <v>13851</v>
      </c>
    </row>
    <row r="2542" spans="2:3" ht="15" customHeight="1">
      <c r="B2542" t="s">
        <v>788</v>
      </c>
      <c r="C2542" t="s">
        <v>788</v>
      </c>
    </row>
    <row r="2543" spans="2:3" ht="15" customHeight="1">
      <c r="B2543" t="s">
        <v>13856</v>
      </c>
      <c r="C2543" t="s">
        <v>13856</v>
      </c>
    </row>
    <row r="2544" spans="2:3" ht="15" customHeight="1">
      <c r="B2544" t="s">
        <v>13859</v>
      </c>
      <c r="C2544" t="s">
        <v>13859</v>
      </c>
    </row>
    <row r="2545" spans="2:3" ht="15" customHeight="1">
      <c r="B2545" t="s">
        <v>13861</v>
      </c>
      <c r="C2545" t="s">
        <v>13861</v>
      </c>
    </row>
    <row r="2546" spans="2:3" ht="15" customHeight="1">
      <c r="B2546" t="s">
        <v>13864</v>
      </c>
      <c r="C2546" t="s">
        <v>13864</v>
      </c>
    </row>
    <row r="2547" spans="2:3" ht="15" customHeight="1">
      <c r="B2547" t="s">
        <v>13867</v>
      </c>
      <c r="C2547" t="s">
        <v>13867</v>
      </c>
    </row>
    <row r="2548" spans="2:3" ht="15" customHeight="1">
      <c r="B2548" t="s">
        <v>13870</v>
      </c>
      <c r="C2548" t="s">
        <v>13870</v>
      </c>
    </row>
    <row r="2549" spans="2:3" ht="15" customHeight="1">
      <c r="B2549" t="s">
        <v>13873</v>
      </c>
      <c r="C2549" t="s">
        <v>13873</v>
      </c>
    </row>
    <row r="2550" spans="2:3" ht="15" customHeight="1">
      <c r="B2550" t="s">
        <v>13875</v>
      </c>
      <c r="C2550" t="s">
        <v>13875</v>
      </c>
    </row>
    <row r="2551" spans="2:3" ht="15" customHeight="1">
      <c r="B2551" t="s">
        <v>753</v>
      </c>
      <c r="C2551" t="s">
        <v>753</v>
      </c>
    </row>
    <row r="2552" spans="2:3" ht="15" customHeight="1">
      <c r="B2552" t="s">
        <v>930</v>
      </c>
      <c r="C2552" t="s">
        <v>930</v>
      </c>
    </row>
    <row r="2553" spans="2:3" ht="15" customHeight="1">
      <c r="B2553" t="s">
        <v>13880</v>
      </c>
      <c r="C2553" t="s">
        <v>13880</v>
      </c>
    </row>
    <row r="2554" spans="2:3" ht="15" customHeight="1">
      <c r="B2554" t="s">
        <v>891</v>
      </c>
      <c r="C2554" t="s">
        <v>891</v>
      </c>
    </row>
    <row r="2555" spans="2:3" ht="15" customHeight="1">
      <c r="B2555" t="s">
        <v>776</v>
      </c>
      <c r="C2555" t="s">
        <v>776</v>
      </c>
    </row>
    <row r="2556" spans="2:3" ht="15" customHeight="1">
      <c r="B2556" t="s">
        <v>775</v>
      </c>
      <c r="C2556" t="s">
        <v>775</v>
      </c>
    </row>
    <row r="2557" spans="2:3" ht="15" customHeight="1">
      <c r="B2557" t="s">
        <v>13888</v>
      </c>
      <c r="C2557" t="s">
        <v>13888</v>
      </c>
    </row>
    <row r="2558" spans="2:3" ht="15" customHeight="1">
      <c r="B2558" t="s">
        <v>13890</v>
      </c>
      <c r="C2558" t="s">
        <v>13890</v>
      </c>
    </row>
    <row r="2559" spans="2:3" ht="15" customHeight="1">
      <c r="B2559" t="s">
        <v>371</v>
      </c>
      <c r="C2559" t="s">
        <v>371</v>
      </c>
    </row>
    <row r="2560" spans="2:3" ht="15" customHeight="1">
      <c r="B2560" t="s">
        <v>9119</v>
      </c>
      <c r="C2560" t="s">
        <v>9119</v>
      </c>
    </row>
    <row r="2561" spans="2:3" ht="15" customHeight="1">
      <c r="B2561" t="s">
        <v>880</v>
      </c>
      <c r="C2561" t="s">
        <v>880</v>
      </c>
    </row>
    <row r="2562" spans="2:3" ht="15" customHeight="1">
      <c r="B2562" t="s">
        <v>765</v>
      </c>
      <c r="C2562" t="s">
        <v>765</v>
      </c>
    </row>
    <row r="2563" spans="2:3" ht="15" customHeight="1">
      <c r="B2563" t="s">
        <v>952</v>
      </c>
      <c r="C2563" t="s">
        <v>952</v>
      </c>
    </row>
    <row r="2564" spans="2:3" ht="15" customHeight="1">
      <c r="B2564" t="s">
        <v>1992</v>
      </c>
      <c r="C2564" t="s">
        <v>1992</v>
      </c>
    </row>
    <row r="2565" spans="2:3" ht="15" customHeight="1">
      <c r="B2565" t="s">
        <v>875</v>
      </c>
      <c r="C2565" t="s">
        <v>875</v>
      </c>
    </row>
    <row r="2566" spans="2:3" ht="15" customHeight="1">
      <c r="B2566" t="s">
        <v>904</v>
      </c>
      <c r="C2566" t="s">
        <v>904</v>
      </c>
    </row>
    <row r="2567" spans="2:3" ht="15" customHeight="1">
      <c r="B2567" t="s">
        <v>1438</v>
      </c>
      <c r="C2567" t="s">
        <v>1438</v>
      </c>
    </row>
    <row r="2568" spans="2:3" ht="15" customHeight="1">
      <c r="B2568" t="s">
        <v>763</v>
      </c>
      <c r="C2568" t="s">
        <v>763</v>
      </c>
    </row>
    <row r="2569" spans="2:3" ht="15" customHeight="1">
      <c r="B2569" t="s">
        <v>764</v>
      </c>
      <c r="C2569" t="s">
        <v>764</v>
      </c>
    </row>
    <row r="2570" spans="2:3" ht="15" customHeight="1">
      <c r="B2570" t="s">
        <v>13923</v>
      </c>
      <c r="C2570" t="s">
        <v>13923</v>
      </c>
    </row>
    <row r="2571" spans="2:3" ht="15" customHeight="1">
      <c r="B2571" t="s">
        <v>13925</v>
      </c>
      <c r="C2571" t="s">
        <v>13925</v>
      </c>
    </row>
    <row r="2572" spans="2:3" ht="15" customHeight="1">
      <c r="B2572" t="s">
        <v>13929</v>
      </c>
      <c r="C2572" t="s">
        <v>13929</v>
      </c>
    </row>
    <row r="2573" spans="2:3" ht="15" customHeight="1">
      <c r="B2573" t="s">
        <v>10023</v>
      </c>
      <c r="C2573" t="s">
        <v>10023</v>
      </c>
    </row>
    <row r="2574" spans="2:3" ht="15" customHeight="1">
      <c r="B2574" t="s">
        <v>536</v>
      </c>
      <c r="C2574" t="s">
        <v>536</v>
      </c>
    </row>
    <row r="2575" spans="2:3" ht="15" customHeight="1">
      <c r="B2575" t="s">
        <v>11176</v>
      </c>
      <c r="C2575" t="s">
        <v>11176</v>
      </c>
    </row>
    <row r="2576" spans="2:3" ht="15" customHeight="1">
      <c r="B2576" t="s">
        <v>13940</v>
      </c>
      <c r="C2576" t="s">
        <v>13940</v>
      </c>
    </row>
    <row r="2577" spans="2:3" ht="15" customHeight="1">
      <c r="B2577" t="s">
        <v>13943</v>
      </c>
      <c r="C2577" t="s">
        <v>13943</v>
      </c>
    </row>
    <row r="2578" spans="2:3" ht="15" customHeight="1">
      <c r="B2578" t="s">
        <v>13946</v>
      </c>
      <c r="C2578" t="s">
        <v>13946</v>
      </c>
    </row>
    <row r="2579" spans="2:3" ht="15" customHeight="1">
      <c r="B2579" t="s">
        <v>997</v>
      </c>
      <c r="C2579" t="s">
        <v>997</v>
      </c>
    </row>
    <row r="2580" spans="2:3" ht="15" customHeight="1">
      <c r="B2580" t="s">
        <v>13951</v>
      </c>
      <c r="C2580" t="s">
        <v>13951</v>
      </c>
    </row>
    <row r="2581" spans="2:3" ht="15" customHeight="1">
      <c r="B2581" t="s">
        <v>13954</v>
      </c>
      <c r="C2581" t="s">
        <v>13954</v>
      </c>
    </row>
    <row r="2582" spans="2:3" ht="15" customHeight="1">
      <c r="B2582" t="s">
        <v>13957</v>
      </c>
      <c r="C2582" t="s">
        <v>13957</v>
      </c>
    </row>
    <row r="2583" spans="2:3" ht="15" customHeight="1">
      <c r="B2583" t="s">
        <v>13960</v>
      </c>
      <c r="C2583" t="s">
        <v>13960</v>
      </c>
    </row>
    <row r="2584" spans="2:3" ht="15" customHeight="1">
      <c r="B2584" t="s">
        <v>6364</v>
      </c>
      <c r="C2584" t="s">
        <v>6364</v>
      </c>
    </row>
    <row r="2585" spans="2:3" ht="15" customHeight="1">
      <c r="B2585" t="s">
        <v>745</v>
      </c>
      <c r="C2585" t="s">
        <v>745</v>
      </c>
    </row>
    <row r="2586" spans="2:3" ht="15" customHeight="1">
      <c r="B2586" t="s">
        <v>842</v>
      </c>
      <c r="C2586" t="s">
        <v>842</v>
      </c>
    </row>
    <row r="2587" spans="2:3" ht="15" customHeight="1">
      <c r="B2587" t="s">
        <v>13968</v>
      </c>
      <c r="C2587" t="s">
        <v>13968</v>
      </c>
    </row>
    <row r="2588" spans="2:3" ht="15" customHeight="1">
      <c r="B2588" t="s">
        <v>13971</v>
      </c>
      <c r="C2588" t="s">
        <v>13971</v>
      </c>
    </row>
    <row r="2589" spans="2:3" ht="15" customHeight="1">
      <c r="B2589" t="s">
        <v>13973</v>
      </c>
      <c r="C2589" t="s">
        <v>13973</v>
      </c>
    </row>
    <row r="2590" spans="2:3" ht="15" customHeight="1">
      <c r="B2590" t="s">
        <v>13976</v>
      </c>
      <c r="C2590" t="s">
        <v>13976</v>
      </c>
    </row>
    <row r="2591" spans="2:3" ht="15" customHeight="1">
      <c r="B2591" t="s">
        <v>13979</v>
      </c>
      <c r="C2591" t="s">
        <v>13979</v>
      </c>
    </row>
    <row r="2592" spans="2:3" ht="15" customHeight="1">
      <c r="B2592" t="s">
        <v>13981</v>
      </c>
      <c r="C2592" t="s">
        <v>13981</v>
      </c>
    </row>
    <row r="2593" spans="2:3" ht="15" customHeight="1">
      <c r="B2593" t="s">
        <v>13983</v>
      </c>
      <c r="C2593" t="s">
        <v>13983</v>
      </c>
    </row>
    <row r="2594" spans="2:3" ht="15" customHeight="1">
      <c r="B2594" t="s">
        <v>13986</v>
      </c>
      <c r="C2594" t="s">
        <v>13986</v>
      </c>
    </row>
    <row r="2595" spans="2:3" ht="15" customHeight="1">
      <c r="B2595" t="s">
        <v>749</v>
      </c>
      <c r="C2595" t="s">
        <v>749</v>
      </c>
    </row>
    <row r="2596" spans="2:3" ht="15" customHeight="1">
      <c r="B2596" t="s">
        <v>13990</v>
      </c>
      <c r="C2596" t="s">
        <v>13990</v>
      </c>
    </row>
    <row r="2597" spans="2:3" ht="15" customHeight="1">
      <c r="B2597" t="s">
        <v>13992</v>
      </c>
      <c r="C2597" t="s">
        <v>13992</v>
      </c>
    </row>
    <row r="2598" spans="2:3" ht="15" customHeight="1">
      <c r="B2598" t="s">
        <v>13995</v>
      </c>
      <c r="C2598" t="s">
        <v>13995</v>
      </c>
    </row>
    <row r="2599" spans="2:3" ht="15" customHeight="1">
      <c r="B2599" t="s">
        <v>14000</v>
      </c>
      <c r="C2599" t="s">
        <v>14000</v>
      </c>
    </row>
    <row r="2600" spans="2:3" ht="15" customHeight="1">
      <c r="B2600" t="s">
        <v>14003</v>
      </c>
      <c r="C2600" t="s">
        <v>14003</v>
      </c>
    </row>
    <row r="2601" spans="2:3" ht="15" customHeight="1">
      <c r="B2601" t="s">
        <v>14006</v>
      </c>
      <c r="C2601" t="s">
        <v>14006</v>
      </c>
    </row>
    <row r="2602" spans="2:3" ht="15" customHeight="1">
      <c r="B2602" t="s">
        <v>14009</v>
      </c>
      <c r="C2602" t="s">
        <v>14009</v>
      </c>
    </row>
    <row r="2603" spans="2:3" ht="15" customHeight="1">
      <c r="B2603" t="s">
        <v>798</v>
      </c>
      <c r="C2603" t="s">
        <v>798</v>
      </c>
    </row>
    <row r="2604" spans="2:3" ht="15" customHeight="1">
      <c r="B2604" t="s">
        <v>14013</v>
      </c>
      <c r="C2604" t="s">
        <v>14013</v>
      </c>
    </row>
    <row r="2605" spans="2:3" ht="15" customHeight="1">
      <c r="B2605" t="s">
        <v>761</v>
      </c>
      <c r="C2605" t="s">
        <v>761</v>
      </c>
    </row>
    <row r="2606" spans="2:3" ht="15" customHeight="1">
      <c r="B2606" t="s">
        <v>14017</v>
      </c>
      <c r="C2606" t="s">
        <v>14017</v>
      </c>
    </row>
    <row r="2607" spans="2:3" ht="15" customHeight="1">
      <c r="B2607" t="s">
        <v>14020</v>
      </c>
      <c r="C2607" t="s">
        <v>14020</v>
      </c>
    </row>
    <row r="2608" spans="2:3" ht="15" customHeight="1">
      <c r="B2608" t="s">
        <v>14023</v>
      </c>
      <c r="C2608" t="s">
        <v>14023</v>
      </c>
    </row>
    <row r="2609" spans="2:3" ht="15" customHeight="1">
      <c r="B2609" t="s">
        <v>14026</v>
      </c>
      <c r="C2609" t="s">
        <v>14026</v>
      </c>
    </row>
    <row r="2610" spans="2:3" ht="15" customHeight="1">
      <c r="B2610" t="s">
        <v>14028</v>
      </c>
      <c r="C2610" t="s">
        <v>14028</v>
      </c>
    </row>
    <row r="2611" spans="2:3" ht="15" customHeight="1">
      <c r="B2611" t="s">
        <v>14031</v>
      </c>
      <c r="C2611" t="s">
        <v>14031</v>
      </c>
    </row>
    <row r="2612" spans="2:3" ht="15" customHeight="1">
      <c r="B2612" t="s">
        <v>14034</v>
      </c>
      <c r="C2612" t="s">
        <v>14034</v>
      </c>
    </row>
    <row r="2613" spans="2:3" ht="15" customHeight="1">
      <c r="B2613" t="s">
        <v>14037</v>
      </c>
      <c r="C2613" t="s">
        <v>14037</v>
      </c>
    </row>
    <row r="2614" spans="2:3" ht="15" customHeight="1">
      <c r="B2614" t="s">
        <v>14040</v>
      </c>
      <c r="C2614" t="s">
        <v>14040</v>
      </c>
    </row>
    <row r="2615" spans="2:3" ht="15" customHeight="1">
      <c r="B2615" t="s">
        <v>14043</v>
      </c>
      <c r="C2615" t="s">
        <v>14043</v>
      </c>
    </row>
    <row r="2616" spans="2:3" ht="15" customHeight="1">
      <c r="B2616" t="s">
        <v>14047</v>
      </c>
      <c r="C2616" t="s">
        <v>14047</v>
      </c>
    </row>
    <row r="2617" spans="2:3" ht="15" customHeight="1">
      <c r="B2617" t="s">
        <v>14049</v>
      </c>
      <c r="C2617" t="s">
        <v>14049</v>
      </c>
    </row>
    <row r="2618" spans="2:3" ht="15" customHeight="1">
      <c r="B2618" t="s">
        <v>14051</v>
      </c>
      <c r="C2618" t="s">
        <v>14051</v>
      </c>
    </row>
    <row r="2619" spans="2:3" ht="15" customHeight="1">
      <c r="B2619" t="s">
        <v>14053</v>
      </c>
      <c r="C2619" t="s">
        <v>14053</v>
      </c>
    </row>
    <row r="2620" spans="2:3" ht="15" customHeight="1">
      <c r="B2620" t="s">
        <v>14055</v>
      </c>
      <c r="C2620" t="s">
        <v>14891</v>
      </c>
    </row>
    <row r="2621" spans="2:3" ht="15" customHeight="1">
      <c r="B2621" t="s">
        <v>14057</v>
      </c>
      <c r="C2621" t="s">
        <v>14057</v>
      </c>
    </row>
    <row r="2622" spans="2:3" ht="15" customHeight="1">
      <c r="B2622" t="s">
        <v>7015</v>
      </c>
      <c r="C2622" t="s">
        <v>7015</v>
      </c>
    </row>
    <row r="2623" spans="2:3" ht="15" customHeight="1">
      <c r="B2623" t="s">
        <v>14060</v>
      </c>
      <c r="C2623" t="s">
        <v>14060</v>
      </c>
    </row>
    <row r="2624" spans="2:3" ht="15" customHeight="1">
      <c r="B2624" t="s">
        <v>14062</v>
      </c>
      <c r="C2624" t="s">
        <v>14062</v>
      </c>
    </row>
    <row r="2625" spans="2:3" ht="15" customHeight="1">
      <c r="B2625" t="s">
        <v>14064</v>
      </c>
      <c r="C2625" t="s">
        <v>14064</v>
      </c>
    </row>
    <row r="2626" spans="2:3" ht="15" customHeight="1">
      <c r="B2626" t="s">
        <v>14066</v>
      </c>
      <c r="C2626" t="s">
        <v>14066</v>
      </c>
    </row>
    <row r="2627" spans="2:3" ht="15" customHeight="1">
      <c r="B2627" t="s">
        <v>14068</v>
      </c>
      <c r="C2627" t="s">
        <v>14068</v>
      </c>
    </row>
    <row r="2628" spans="2:3" ht="15" customHeight="1">
      <c r="B2628" t="s">
        <v>14070</v>
      </c>
      <c r="C2628" t="s">
        <v>14070</v>
      </c>
    </row>
    <row r="2629" spans="2:3" ht="15" customHeight="1">
      <c r="B2629" t="s">
        <v>14072</v>
      </c>
      <c r="C2629" t="s">
        <v>14072</v>
      </c>
    </row>
    <row r="2630" spans="2:3" ht="15" customHeight="1">
      <c r="B2630" t="s">
        <v>14074</v>
      </c>
      <c r="C2630" t="s">
        <v>14074</v>
      </c>
    </row>
    <row r="2631" spans="2:3" ht="15" customHeight="1">
      <c r="B2631" t="s">
        <v>14076</v>
      </c>
      <c r="C2631" t="s">
        <v>14076</v>
      </c>
    </row>
    <row r="2632" spans="2:3" ht="15" customHeight="1">
      <c r="B2632" t="s">
        <v>14078</v>
      </c>
      <c r="C2632" t="s">
        <v>14078</v>
      </c>
    </row>
    <row r="2633" spans="2:3" ht="15" customHeight="1">
      <c r="B2633" t="s">
        <v>14080</v>
      </c>
      <c r="C2633" t="s">
        <v>14080</v>
      </c>
    </row>
    <row r="2634" spans="2:3" ht="15" customHeight="1">
      <c r="B2634" t="s">
        <v>14082</v>
      </c>
      <c r="C2634" t="s">
        <v>14082</v>
      </c>
    </row>
    <row r="2635" spans="2:3" ht="15" customHeight="1">
      <c r="B2635" t="s">
        <v>859</v>
      </c>
      <c r="C2635" t="s">
        <v>859</v>
      </c>
    </row>
    <row r="2636" spans="2:3" ht="15" customHeight="1">
      <c r="B2636" t="s">
        <v>14085</v>
      </c>
      <c r="C2636" t="s">
        <v>14085</v>
      </c>
    </row>
    <row r="2637" spans="2:3" ht="15" customHeight="1">
      <c r="B2637" t="s">
        <v>14087</v>
      </c>
      <c r="C2637" t="s">
        <v>14087</v>
      </c>
    </row>
    <row r="2638" spans="2:3" ht="15" customHeight="1">
      <c r="B2638" t="s">
        <v>11159</v>
      </c>
      <c r="C2638" t="s">
        <v>11159</v>
      </c>
    </row>
    <row r="2639" spans="2:3" ht="15" customHeight="1">
      <c r="B2639" t="s">
        <v>868</v>
      </c>
      <c r="C2639" t="s">
        <v>868</v>
      </c>
    </row>
    <row r="2640" spans="2:3" ht="15" customHeight="1">
      <c r="B2640" t="s">
        <v>3791</v>
      </c>
      <c r="C2640" t="s">
        <v>3791</v>
      </c>
    </row>
    <row r="2641" spans="2:3" ht="15" customHeight="1">
      <c r="B2641" t="s">
        <v>898</v>
      </c>
      <c r="C2641" t="s">
        <v>898</v>
      </c>
    </row>
    <row r="2642" spans="2:3" ht="15" customHeight="1">
      <c r="B2642" t="s">
        <v>879</v>
      </c>
      <c r="C2642" t="s">
        <v>879</v>
      </c>
    </row>
    <row r="2643" spans="2:3" ht="15" customHeight="1">
      <c r="B2643" t="s">
        <v>14107</v>
      </c>
      <c r="C2643" t="s">
        <v>14107</v>
      </c>
    </row>
    <row r="2644" spans="2:3" ht="15" customHeight="1">
      <c r="B2644" t="s">
        <v>14111</v>
      </c>
      <c r="C2644" t="s">
        <v>14111</v>
      </c>
    </row>
    <row r="2645" spans="2:3" ht="15" customHeight="1">
      <c r="B2645" t="s">
        <v>12474</v>
      </c>
      <c r="C2645" t="s">
        <v>12474</v>
      </c>
    </row>
    <row r="2646" spans="2:3" ht="15" customHeight="1">
      <c r="B2646" t="s">
        <v>14118</v>
      </c>
      <c r="C2646" t="s">
        <v>14118</v>
      </c>
    </row>
    <row r="2647" spans="2:3" ht="15" customHeight="1">
      <c r="B2647" t="s">
        <v>14122</v>
      </c>
      <c r="C2647" t="s">
        <v>14122</v>
      </c>
    </row>
    <row r="2648" spans="2:3" ht="15" customHeight="1">
      <c r="B2648" t="s">
        <v>933</v>
      </c>
      <c r="C2648" t="s">
        <v>933</v>
      </c>
    </row>
    <row r="2649" spans="2:3" ht="15" customHeight="1">
      <c r="B2649" t="s">
        <v>14133</v>
      </c>
      <c r="C2649" t="s">
        <v>14133</v>
      </c>
    </row>
    <row r="2650" spans="2:3" ht="15" customHeight="1">
      <c r="B2650" t="s">
        <v>14135</v>
      </c>
      <c r="C2650" t="s">
        <v>14135</v>
      </c>
    </row>
    <row r="2651" spans="2:3" ht="15" customHeight="1">
      <c r="B2651" t="s">
        <v>786</v>
      </c>
      <c r="C2651" t="s">
        <v>15546</v>
      </c>
    </row>
    <row r="2652" spans="2:3" ht="15" customHeight="1">
      <c r="B2652" t="s">
        <v>14152</v>
      </c>
      <c r="C2652" t="s">
        <v>14152</v>
      </c>
    </row>
    <row r="2653" spans="2:3" ht="15" customHeight="1">
      <c r="B2653" t="s">
        <v>14155</v>
      </c>
      <c r="C2653" t="s">
        <v>14155</v>
      </c>
    </row>
    <row r="2654" spans="2:3" ht="15" customHeight="1">
      <c r="B2654" t="s">
        <v>14158</v>
      </c>
      <c r="C2654" t="s">
        <v>14158</v>
      </c>
    </row>
    <row r="2655" spans="2:3" ht="15" customHeight="1">
      <c r="B2655" t="s">
        <v>14161</v>
      </c>
      <c r="C2655" t="s">
        <v>14161</v>
      </c>
    </row>
    <row r="2656" spans="2:3" ht="15" customHeight="1">
      <c r="B2656" t="s">
        <v>14164</v>
      </c>
      <c r="C2656" t="s">
        <v>14164</v>
      </c>
    </row>
    <row r="2657" spans="2:3" ht="15" customHeight="1">
      <c r="B2657" t="s">
        <v>14169</v>
      </c>
      <c r="C2657" t="s">
        <v>14169</v>
      </c>
    </row>
    <row r="2658" spans="2:3" ht="15" customHeight="1">
      <c r="B2658" t="s">
        <v>14172</v>
      </c>
      <c r="C2658" t="s">
        <v>14172</v>
      </c>
    </row>
    <row r="2659" spans="2:3" ht="15" customHeight="1">
      <c r="B2659" t="s">
        <v>14174</v>
      </c>
      <c r="C2659" t="s">
        <v>14174</v>
      </c>
    </row>
    <row r="2660" spans="2:3" ht="15" customHeight="1">
      <c r="B2660" t="s">
        <v>14177</v>
      </c>
      <c r="C2660" t="s">
        <v>14177</v>
      </c>
    </row>
    <row r="2661" spans="2:3" ht="15" customHeight="1">
      <c r="B2661" t="s">
        <v>14180</v>
      </c>
      <c r="C2661" t="s">
        <v>14180</v>
      </c>
    </row>
    <row r="2662" spans="2:3" ht="15" customHeight="1">
      <c r="B2662" t="s">
        <v>14182</v>
      </c>
      <c r="C2662" t="s">
        <v>14182</v>
      </c>
    </row>
    <row r="2663" spans="2:3" ht="15" customHeight="1">
      <c r="B2663" t="s">
        <v>14186</v>
      </c>
      <c r="C2663" t="s">
        <v>14186</v>
      </c>
    </row>
    <row r="2664" spans="2:3" ht="15" customHeight="1">
      <c r="B2664" t="s">
        <v>913</v>
      </c>
      <c r="C2664" t="s">
        <v>913</v>
      </c>
    </row>
    <row r="2665" spans="2:3" ht="15" customHeight="1">
      <c r="B2665" t="s">
        <v>14190</v>
      </c>
      <c r="C2665" t="s">
        <v>14190</v>
      </c>
    </row>
    <row r="2666" spans="2:3" ht="15" customHeight="1">
      <c r="B2666" t="s">
        <v>6360</v>
      </c>
      <c r="C2666" t="s">
        <v>6360</v>
      </c>
    </row>
    <row r="2667" spans="2:3" ht="15" customHeight="1">
      <c r="B2667" t="s">
        <v>13279</v>
      </c>
      <c r="C2667" t="s">
        <v>13279</v>
      </c>
    </row>
    <row r="2668" spans="2:3" ht="15" customHeight="1">
      <c r="B2668" t="s">
        <v>14204</v>
      </c>
      <c r="C2668" t="s">
        <v>14204</v>
      </c>
    </row>
    <row r="2669" spans="2:3" ht="15" customHeight="1">
      <c r="B2669" t="s">
        <v>14207</v>
      </c>
      <c r="C2669" t="s">
        <v>14207</v>
      </c>
    </row>
    <row r="2670" spans="2:3" ht="15" customHeight="1">
      <c r="B2670" t="s">
        <v>852</v>
      </c>
      <c r="C2670" t="s">
        <v>852</v>
      </c>
    </row>
    <row r="2671" spans="2:3" ht="15" customHeight="1">
      <c r="B2671" t="s">
        <v>14215</v>
      </c>
      <c r="C2671" t="s">
        <v>14215</v>
      </c>
    </row>
    <row r="2672" spans="2:3" ht="15" customHeight="1">
      <c r="B2672" t="s">
        <v>799</v>
      </c>
      <c r="C2672" t="s">
        <v>799</v>
      </c>
    </row>
    <row r="2673" spans="2:3" ht="15" customHeight="1">
      <c r="B2673" t="s">
        <v>782</v>
      </c>
      <c r="C2673" t="s">
        <v>782</v>
      </c>
    </row>
    <row r="2674" spans="2:3" ht="15" customHeight="1">
      <c r="B2674" t="s">
        <v>14224</v>
      </c>
      <c r="C2674" t="s">
        <v>14224</v>
      </c>
    </row>
    <row r="2675" spans="2:3" ht="15" customHeight="1">
      <c r="B2675" t="s">
        <v>14227</v>
      </c>
      <c r="C2675" t="s">
        <v>14227</v>
      </c>
    </row>
    <row r="2676" spans="2:3" ht="15" customHeight="1">
      <c r="B2676" t="s">
        <v>14235</v>
      </c>
      <c r="C2676" t="s">
        <v>14235</v>
      </c>
    </row>
    <row r="2677" spans="2:3" ht="15" customHeight="1">
      <c r="B2677" t="s">
        <v>14237</v>
      </c>
      <c r="C2677" t="s">
        <v>14237</v>
      </c>
    </row>
    <row r="2678" spans="2:3" ht="15" customHeight="1">
      <c r="B2678" t="s">
        <v>8449</v>
      </c>
      <c r="C2678" t="s">
        <v>8449</v>
      </c>
    </row>
    <row r="2679" spans="2:3" ht="15" customHeight="1">
      <c r="B2679" t="s">
        <v>14248</v>
      </c>
      <c r="C2679" t="s">
        <v>14248</v>
      </c>
    </row>
    <row r="2680" spans="2:3" ht="15" customHeight="1">
      <c r="B2680" t="s">
        <v>8904</v>
      </c>
      <c r="C2680" t="s">
        <v>8904</v>
      </c>
    </row>
    <row r="2681" spans="2:3" ht="15" customHeight="1">
      <c r="B2681" t="s">
        <v>14261</v>
      </c>
      <c r="C2681" t="s">
        <v>14261</v>
      </c>
    </row>
    <row r="2682" spans="2:3" ht="15" customHeight="1">
      <c r="B2682" t="s">
        <v>14264</v>
      </c>
      <c r="C2682" t="s">
        <v>14264</v>
      </c>
    </row>
    <row r="2683" spans="2:3" ht="15" customHeight="1">
      <c r="B2683" t="s">
        <v>8148</v>
      </c>
      <c r="C2683" t="s">
        <v>8148</v>
      </c>
    </row>
    <row r="2684" spans="2:3" ht="15" customHeight="1">
      <c r="B2684" t="s">
        <v>12408</v>
      </c>
      <c r="C2684" t="s">
        <v>12408</v>
      </c>
    </row>
    <row r="2685" spans="2:3" ht="15" customHeight="1">
      <c r="B2685" t="s">
        <v>14271</v>
      </c>
      <c r="C2685" t="s">
        <v>14271</v>
      </c>
    </row>
    <row r="2686" spans="2:3" ht="15" customHeight="1">
      <c r="B2686" t="s">
        <v>14841</v>
      </c>
      <c r="C2686" t="s">
        <v>14841</v>
      </c>
    </row>
    <row r="2687" spans="2:3" ht="15" customHeight="1">
      <c r="B2687" t="s">
        <v>14277</v>
      </c>
      <c r="C2687" t="s">
        <v>14277</v>
      </c>
    </row>
    <row r="2688" spans="2:3" ht="15" customHeight="1">
      <c r="B2688" t="s">
        <v>14280</v>
      </c>
      <c r="C2688" t="s">
        <v>14280</v>
      </c>
    </row>
    <row r="2689" spans="2:3" ht="15" customHeight="1">
      <c r="B2689" t="s">
        <v>14283</v>
      </c>
      <c r="C2689" t="s">
        <v>14283</v>
      </c>
    </row>
    <row r="2690" spans="2:3" ht="15" customHeight="1">
      <c r="B2690" t="s">
        <v>14286</v>
      </c>
      <c r="C2690" t="s">
        <v>14286</v>
      </c>
    </row>
    <row r="2691" spans="2:3" ht="15" customHeight="1">
      <c r="B2691" t="s">
        <v>14289</v>
      </c>
      <c r="C2691" t="s">
        <v>14289</v>
      </c>
    </row>
    <row r="2692" spans="2:3" ht="15" customHeight="1">
      <c r="B2692" t="s">
        <v>903</v>
      </c>
      <c r="C2692" t="s">
        <v>903</v>
      </c>
    </row>
    <row r="2693" spans="2:3" ht="15" customHeight="1">
      <c r="B2693" t="s">
        <v>14294</v>
      </c>
      <c r="C2693" t="s">
        <v>14294</v>
      </c>
    </row>
    <row r="2694" spans="2:3" ht="15" customHeight="1">
      <c r="B2694" t="s">
        <v>8784</v>
      </c>
      <c r="C2694" t="s">
        <v>8784</v>
      </c>
    </row>
    <row r="2695" spans="2:3" ht="15" customHeight="1">
      <c r="B2695" t="s">
        <v>14299</v>
      </c>
      <c r="C2695" t="s">
        <v>14299</v>
      </c>
    </row>
    <row r="2696" spans="2:3" ht="15" customHeight="1">
      <c r="B2696" t="s">
        <v>14302</v>
      </c>
      <c r="C2696" t="s">
        <v>14302</v>
      </c>
    </row>
    <row r="2697" spans="2:3" ht="15" customHeight="1">
      <c r="B2697" t="s">
        <v>14305</v>
      </c>
      <c r="C2697" t="s">
        <v>14305</v>
      </c>
    </row>
    <row r="2698" spans="2:3" ht="15" customHeight="1">
      <c r="B2698" t="s">
        <v>14308</v>
      </c>
      <c r="C2698" t="s">
        <v>14308</v>
      </c>
    </row>
    <row r="2699" spans="2:3" ht="15" customHeight="1">
      <c r="B2699" t="s">
        <v>14311</v>
      </c>
      <c r="C2699" t="s">
        <v>14311</v>
      </c>
    </row>
    <row r="2700" spans="2:3" ht="15" customHeight="1">
      <c r="B2700" t="s">
        <v>14314</v>
      </c>
      <c r="C2700" t="s">
        <v>14314</v>
      </c>
    </row>
    <row r="2701" spans="2:3" ht="15" customHeight="1">
      <c r="B2701" t="s">
        <v>14317</v>
      </c>
      <c r="C2701" t="s">
        <v>14317</v>
      </c>
    </row>
    <row r="2702" spans="2:3" ht="15" customHeight="1">
      <c r="B2702" t="s">
        <v>14320</v>
      </c>
      <c r="C2702" t="s">
        <v>14320</v>
      </c>
    </row>
    <row r="2703" spans="2:3" ht="15" customHeight="1">
      <c r="B2703" t="s">
        <v>12855</v>
      </c>
      <c r="C2703" t="s">
        <v>12855</v>
      </c>
    </row>
    <row r="2704" spans="2:3" ht="15" customHeight="1">
      <c r="B2704" t="s">
        <v>14327</v>
      </c>
      <c r="C2704" t="s">
        <v>14327</v>
      </c>
    </row>
    <row r="2705" spans="2:3" ht="15" customHeight="1">
      <c r="B2705" t="s">
        <v>14332</v>
      </c>
      <c r="C2705" t="s">
        <v>14332</v>
      </c>
    </row>
    <row r="2706" spans="2:3" ht="15" customHeight="1">
      <c r="B2706" t="s">
        <v>378</v>
      </c>
      <c r="C2706" t="s">
        <v>378</v>
      </c>
    </row>
    <row r="2707" spans="2:3" ht="15" customHeight="1">
      <c r="B2707" t="s">
        <v>14339</v>
      </c>
      <c r="C2707" t="s">
        <v>14339</v>
      </c>
    </row>
    <row r="2708" spans="2:3" ht="15" customHeight="1">
      <c r="B2708" t="s">
        <v>14342</v>
      </c>
      <c r="C2708" t="s">
        <v>14342</v>
      </c>
    </row>
    <row r="2709" spans="2:3" ht="15" customHeight="1">
      <c r="B2709" t="s">
        <v>8174</v>
      </c>
      <c r="C2709" t="s">
        <v>8174</v>
      </c>
    </row>
    <row r="2710" spans="2:3" ht="15" customHeight="1">
      <c r="B2710" t="s">
        <v>14346</v>
      </c>
      <c r="C2710" t="s">
        <v>14346</v>
      </c>
    </row>
    <row r="2711" spans="2:3" ht="15" customHeight="1">
      <c r="B2711" t="s">
        <v>10415</v>
      </c>
      <c r="C2711" t="s">
        <v>10415</v>
      </c>
    </row>
    <row r="2712" spans="2:3" ht="15" customHeight="1">
      <c r="B2712" t="s">
        <v>14349</v>
      </c>
      <c r="C2712" t="s">
        <v>14349</v>
      </c>
    </row>
    <row r="2713" spans="2:3" ht="15" customHeight="1">
      <c r="B2713" t="s">
        <v>14351</v>
      </c>
      <c r="C2713" t="s">
        <v>14351</v>
      </c>
    </row>
    <row r="2714" spans="2:3" ht="15" customHeight="1">
      <c r="B2714" t="s">
        <v>14354</v>
      </c>
      <c r="C2714" t="s">
        <v>14354</v>
      </c>
    </row>
    <row r="2715" spans="2:3" ht="15" customHeight="1">
      <c r="B2715" t="s">
        <v>14357</v>
      </c>
      <c r="C2715" t="s">
        <v>14357</v>
      </c>
    </row>
    <row r="2716" spans="2:3" ht="15" customHeight="1">
      <c r="B2716" t="s">
        <v>14361</v>
      </c>
      <c r="C2716" t="s">
        <v>14361</v>
      </c>
    </row>
    <row r="2717" spans="2:3" ht="15" customHeight="1">
      <c r="B2717" t="s">
        <v>14364</v>
      </c>
      <c r="C2717" t="s">
        <v>14364</v>
      </c>
    </row>
    <row r="2718" spans="2:3" ht="15" customHeight="1">
      <c r="B2718" t="s">
        <v>14367</v>
      </c>
      <c r="C2718" t="s">
        <v>14367</v>
      </c>
    </row>
    <row r="2719" spans="2:3" ht="15" customHeight="1">
      <c r="B2719" t="s">
        <v>14842</v>
      </c>
      <c r="C2719" t="s">
        <v>14842</v>
      </c>
    </row>
    <row r="2720" spans="2:3" ht="15" customHeight="1">
      <c r="B2720" t="s">
        <v>14385</v>
      </c>
      <c r="C2720" t="s">
        <v>14385</v>
      </c>
    </row>
    <row r="2721" spans="2:3" ht="15" customHeight="1">
      <c r="B2721" t="s">
        <v>14390</v>
      </c>
      <c r="C2721" t="s">
        <v>14390</v>
      </c>
    </row>
    <row r="2722" spans="2:3" ht="15" customHeight="1">
      <c r="B2722" t="s">
        <v>14393</v>
      </c>
      <c r="C2722" t="s">
        <v>14393</v>
      </c>
    </row>
    <row r="2723" spans="2:3" ht="15" customHeight="1">
      <c r="B2723" t="s">
        <v>897</v>
      </c>
      <c r="C2723" t="s">
        <v>897</v>
      </c>
    </row>
    <row r="2724" spans="2:3" ht="15" customHeight="1">
      <c r="B2724" t="s">
        <v>14398</v>
      </c>
      <c r="C2724" t="s">
        <v>14398</v>
      </c>
    </row>
    <row r="2725" spans="2:3" ht="15" customHeight="1">
      <c r="B2725" t="s">
        <v>14404</v>
      </c>
      <c r="C2725" t="s">
        <v>14404</v>
      </c>
    </row>
    <row r="2726" spans="2:3" ht="15" customHeight="1">
      <c r="B2726" t="s">
        <v>770</v>
      </c>
      <c r="C2726" t="s">
        <v>770</v>
      </c>
    </row>
    <row r="2727" spans="2:3" ht="15" customHeight="1">
      <c r="B2727" t="s">
        <v>6605</v>
      </c>
      <c r="C2727" t="s">
        <v>6605</v>
      </c>
    </row>
    <row r="2728" spans="2:3" ht="15" customHeight="1">
      <c r="B2728" t="s">
        <v>5370</v>
      </c>
      <c r="C2728" t="s">
        <v>5370</v>
      </c>
    </row>
    <row r="2729" spans="2:3" ht="15" customHeight="1">
      <c r="B2729" t="s">
        <v>14429</v>
      </c>
      <c r="C2729" t="s">
        <v>14429</v>
      </c>
    </row>
    <row r="2730" spans="2:3" ht="15" customHeight="1">
      <c r="B2730" t="s">
        <v>792</v>
      </c>
      <c r="C2730" t="s">
        <v>792</v>
      </c>
    </row>
    <row r="2731" spans="2:3" ht="15" customHeight="1">
      <c r="B2731" t="s">
        <v>6689</v>
      </c>
      <c r="C2731" t="s">
        <v>6689</v>
      </c>
    </row>
    <row r="2732" spans="2:3" ht="15" customHeight="1">
      <c r="B2732" t="s">
        <v>14464</v>
      </c>
      <c r="C2732" t="s">
        <v>14464</v>
      </c>
    </row>
    <row r="2733" spans="2:3" ht="15" customHeight="1">
      <c r="B2733" t="s">
        <v>14470</v>
      </c>
      <c r="C2733" t="s">
        <v>14470</v>
      </c>
    </row>
    <row r="2734" spans="2:3" ht="15" customHeight="1">
      <c r="B2734" t="s">
        <v>14472</v>
      </c>
      <c r="C2734" t="s">
        <v>14472</v>
      </c>
    </row>
    <row r="2735" spans="2:3" ht="15" customHeight="1">
      <c r="B2735" t="s">
        <v>14474</v>
      </c>
      <c r="C2735" t="s">
        <v>14474</v>
      </c>
    </row>
    <row r="2736" spans="2:3" ht="15" customHeight="1">
      <c r="B2736" t="s">
        <v>14476</v>
      </c>
      <c r="C2736" t="s">
        <v>14476</v>
      </c>
    </row>
    <row r="2737" spans="2:3" ht="15" customHeight="1">
      <c r="B2737" t="s">
        <v>14478</v>
      </c>
      <c r="C2737" t="s">
        <v>14478</v>
      </c>
    </row>
    <row r="2738" spans="2:3" ht="15" customHeight="1">
      <c r="B2738" t="s">
        <v>14480</v>
      </c>
      <c r="C2738" t="s">
        <v>14480</v>
      </c>
    </row>
    <row r="2739" spans="2:3" ht="15" customHeight="1">
      <c r="B2739" t="s">
        <v>14486</v>
      </c>
      <c r="C2739" t="s">
        <v>14486</v>
      </c>
    </row>
    <row r="2740" spans="2:3" ht="15" customHeight="1">
      <c r="B2740" t="s">
        <v>14490</v>
      </c>
      <c r="C2740" t="s">
        <v>14490</v>
      </c>
    </row>
    <row r="2741" spans="2:3" ht="15" customHeight="1">
      <c r="B2741" t="s">
        <v>10164</v>
      </c>
      <c r="C2741" t="s">
        <v>10164</v>
      </c>
    </row>
    <row r="2742" spans="2:3" ht="15" customHeight="1">
      <c r="B2742" t="s">
        <v>14508</v>
      </c>
      <c r="C2742" t="s">
        <v>14508</v>
      </c>
    </row>
    <row r="2743" spans="2:3" ht="15" customHeight="1">
      <c r="B2743" t="s">
        <v>14511</v>
      </c>
      <c r="C2743" t="s">
        <v>14511</v>
      </c>
    </row>
    <row r="2744" spans="2:3" ht="15" customHeight="1">
      <c r="B2744" t="s">
        <v>872</v>
      </c>
      <c r="C2744" t="s">
        <v>872</v>
      </c>
    </row>
    <row r="2745" spans="2:3" ht="15" customHeight="1">
      <c r="B2745" t="s">
        <v>6616</v>
      </c>
      <c r="C2745" t="s">
        <v>6616</v>
      </c>
    </row>
    <row r="2746" spans="2:3" ht="15" customHeight="1">
      <c r="B2746" t="s">
        <v>8921</v>
      </c>
      <c r="C2746" t="s">
        <v>8921</v>
      </c>
    </row>
    <row r="2747" spans="2:3" ht="15" customHeight="1">
      <c r="B2747" t="s">
        <v>14529</v>
      </c>
      <c r="C2747" t="s">
        <v>14529</v>
      </c>
    </row>
    <row r="2748" spans="2:3" ht="15" customHeight="1">
      <c r="B2748" t="s">
        <v>14531</v>
      </c>
      <c r="C2748" t="s">
        <v>14531</v>
      </c>
    </row>
    <row r="2749" spans="2:3" ht="15" customHeight="1">
      <c r="B2749" t="s">
        <v>14533</v>
      </c>
      <c r="C2749" t="s">
        <v>14533</v>
      </c>
    </row>
    <row r="2750" spans="2:3" ht="15" customHeight="1">
      <c r="B2750" t="s">
        <v>14535</v>
      </c>
      <c r="C2750" t="s">
        <v>14535</v>
      </c>
    </row>
    <row r="2751" spans="2:3" ht="15" customHeight="1">
      <c r="B2751" t="s">
        <v>14537</v>
      </c>
      <c r="C2751" t="s">
        <v>14537</v>
      </c>
    </row>
    <row r="2752" spans="2:3" ht="15" customHeight="1">
      <c r="B2752" t="s">
        <v>14542</v>
      </c>
      <c r="C2752" t="s">
        <v>14542</v>
      </c>
    </row>
    <row r="2753" spans="2:3" ht="15" customHeight="1">
      <c r="B2753" t="s">
        <v>746</v>
      </c>
      <c r="C2753" t="s">
        <v>746</v>
      </c>
    </row>
    <row r="2754" spans="2:3" ht="15" customHeight="1">
      <c r="B2754" t="s">
        <v>14128</v>
      </c>
      <c r="C2754" t="s">
        <v>14128</v>
      </c>
    </row>
    <row r="2755" spans="2:3" ht="15" customHeight="1">
      <c r="B2755" t="s">
        <v>14562</v>
      </c>
      <c r="C2755" t="s">
        <v>14562</v>
      </c>
    </row>
    <row r="2756" spans="2:3" ht="15" customHeight="1">
      <c r="B2756" t="s">
        <v>14566</v>
      </c>
      <c r="C2756" t="s">
        <v>14566</v>
      </c>
    </row>
    <row r="2757" spans="2:3" ht="15" customHeight="1">
      <c r="B2757" t="s">
        <v>1513</v>
      </c>
      <c r="C2757" t="s">
        <v>1513</v>
      </c>
    </row>
    <row r="2758" spans="2:3" ht="15" customHeight="1">
      <c r="B2758" t="s">
        <v>1493</v>
      </c>
      <c r="C2758" t="s">
        <v>1493</v>
      </c>
    </row>
    <row r="2759" spans="2:3" ht="15" customHeight="1">
      <c r="B2759" t="s">
        <v>6862</v>
      </c>
      <c r="C2759" t="s">
        <v>6862</v>
      </c>
    </row>
    <row r="2760" spans="2:3" ht="15" customHeight="1">
      <c r="B2760" t="s">
        <v>881</v>
      </c>
      <c r="C2760" t="s">
        <v>881</v>
      </c>
    </row>
    <row r="2761" spans="2:3" ht="15" customHeight="1">
      <c r="B2761" t="s">
        <v>14584</v>
      </c>
      <c r="C2761" t="s">
        <v>14584</v>
      </c>
    </row>
    <row r="2762" spans="2:3" ht="15" customHeight="1">
      <c r="B2762" t="s">
        <v>995</v>
      </c>
      <c r="C2762" t="s">
        <v>995</v>
      </c>
    </row>
    <row r="2763" spans="2:3" ht="15" customHeight="1">
      <c r="B2763" t="s">
        <v>994</v>
      </c>
      <c r="C2763" t="s">
        <v>994</v>
      </c>
    </row>
    <row r="2764" spans="2:3" ht="15" customHeight="1">
      <c r="B2764" t="s">
        <v>14591</v>
      </c>
      <c r="C2764" t="s">
        <v>14591</v>
      </c>
    </row>
    <row r="2765" spans="2:3" ht="15" customHeight="1">
      <c r="B2765" t="s">
        <v>14593</v>
      </c>
      <c r="C2765" t="s">
        <v>14593</v>
      </c>
    </row>
    <row r="2766" spans="2:3" ht="15" customHeight="1">
      <c r="B2766" t="s">
        <v>882</v>
      </c>
      <c r="C2766" t="s">
        <v>14872</v>
      </c>
    </row>
    <row r="2767" spans="2:3" ht="15" customHeight="1">
      <c r="B2767" t="s">
        <v>14596</v>
      </c>
      <c r="C2767" t="s">
        <v>14596</v>
      </c>
    </row>
    <row r="2768" spans="2:3" ht="15" customHeight="1">
      <c r="B2768" t="s">
        <v>14598</v>
      </c>
      <c r="C2768" t="s">
        <v>14598</v>
      </c>
    </row>
    <row r="2769" spans="2:3" ht="15" customHeight="1">
      <c r="B2769" t="s">
        <v>14600</v>
      </c>
      <c r="C2769" t="s">
        <v>14600</v>
      </c>
    </row>
    <row r="2770" spans="2:3" ht="15" customHeight="1">
      <c r="B2770" t="s">
        <v>129</v>
      </c>
      <c r="C2770" t="s">
        <v>129</v>
      </c>
    </row>
    <row r="2771" spans="2:3" ht="15" customHeight="1">
      <c r="B2771" t="s">
        <v>14603</v>
      </c>
      <c r="C2771" t="s">
        <v>14603</v>
      </c>
    </row>
    <row r="2772" spans="2:3" ht="15" customHeight="1">
      <c r="B2772" t="s">
        <v>14605</v>
      </c>
      <c r="C2772" t="s">
        <v>14605</v>
      </c>
    </row>
    <row r="2773" spans="2:3" ht="15" customHeight="1">
      <c r="B2773" t="s">
        <v>14607</v>
      </c>
      <c r="C2773" t="s">
        <v>14607</v>
      </c>
    </row>
    <row r="2774" spans="2:3" ht="15" customHeight="1">
      <c r="B2774" t="s">
        <v>8337</v>
      </c>
      <c r="C2774" t="s">
        <v>8337</v>
      </c>
    </row>
    <row r="2775" spans="2:3" ht="15" customHeight="1">
      <c r="B2775" t="s">
        <v>14625</v>
      </c>
      <c r="C2775" t="s">
        <v>14625</v>
      </c>
    </row>
    <row r="2776" spans="2:3" ht="15" customHeight="1">
      <c r="B2776" t="s">
        <v>14633</v>
      </c>
      <c r="C2776" t="s">
        <v>14633</v>
      </c>
    </row>
    <row r="2777" spans="2:3" ht="15" customHeight="1">
      <c r="B2777" t="s">
        <v>14635</v>
      </c>
      <c r="C2777" t="s">
        <v>14635</v>
      </c>
    </row>
    <row r="2778" spans="2:3" ht="15" customHeight="1">
      <c r="B2778" t="s">
        <v>14636</v>
      </c>
      <c r="C2778" t="s">
        <v>14636</v>
      </c>
    </row>
    <row r="2779" spans="2:3" ht="15" customHeight="1">
      <c r="B2779" t="s">
        <v>14638</v>
      </c>
      <c r="C2779" t="s">
        <v>14638</v>
      </c>
    </row>
    <row r="2780" spans="2:3" ht="15" customHeight="1">
      <c r="B2780" t="s">
        <v>14643</v>
      </c>
      <c r="C2780" t="s">
        <v>14643</v>
      </c>
    </row>
    <row r="2781" spans="2:3" ht="15" customHeight="1">
      <c r="B2781" t="s">
        <v>14645</v>
      </c>
      <c r="C2781" t="s">
        <v>14645</v>
      </c>
    </row>
    <row r="2782" spans="2:3" ht="15" customHeight="1">
      <c r="B2782" t="s">
        <v>10161</v>
      </c>
      <c r="C2782" t="s">
        <v>10161</v>
      </c>
    </row>
    <row r="2783" spans="2:3" ht="15" customHeight="1">
      <c r="B2783" t="s">
        <v>14649</v>
      </c>
      <c r="C2783" t="s">
        <v>14649</v>
      </c>
    </row>
    <row r="2784" spans="2:3" ht="15" customHeight="1">
      <c r="B2784" t="s">
        <v>6933</v>
      </c>
      <c r="C2784" t="s">
        <v>6933</v>
      </c>
    </row>
    <row r="2785" spans="2:3" ht="15" customHeight="1">
      <c r="B2785" t="s">
        <v>14655</v>
      </c>
      <c r="C2785" t="s">
        <v>14655</v>
      </c>
    </row>
    <row r="2786" spans="2:3" ht="15" customHeight="1">
      <c r="B2786" t="s">
        <v>14657</v>
      </c>
      <c r="C2786" t="s">
        <v>14657</v>
      </c>
    </row>
    <row r="2787" spans="2:3" ht="15" customHeight="1">
      <c r="B2787" t="s">
        <v>977</v>
      </c>
      <c r="C2787" t="s">
        <v>977</v>
      </c>
    </row>
    <row r="2788" spans="2:3" ht="15" customHeight="1">
      <c r="B2788" t="s">
        <v>14661</v>
      </c>
      <c r="C2788" t="s">
        <v>14661</v>
      </c>
    </row>
    <row r="2789" spans="2:3" ht="15" customHeight="1">
      <c r="B2789" t="s">
        <v>14664</v>
      </c>
      <c r="C2789" t="s">
        <v>14664</v>
      </c>
    </row>
    <row r="2790" spans="2:3" ht="15" customHeight="1">
      <c r="B2790" t="s">
        <v>841</v>
      </c>
      <c r="C2790" t="s">
        <v>841</v>
      </c>
    </row>
    <row r="2791" spans="2:3" ht="15" customHeight="1">
      <c r="B2791" t="s">
        <v>14677</v>
      </c>
      <c r="C2791" t="s">
        <v>14677</v>
      </c>
    </row>
    <row r="2792" spans="2:3" ht="15" customHeight="1">
      <c r="B2792" t="s">
        <v>14683</v>
      </c>
      <c r="C2792" t="s">
        <v>14683</v>
      </c>
    </row>
    <row r="2793" spans="2:3" ht="15" customHeight="1">
      <c r="B2793" t="s">
        <v>14688</v>
      </c>
      <c r="C2793" t="s">
        <v>14688</v>
      </c>
    </row>
    <row r="2794" spans="2:3" ht="15" customHeight="1">
      <c r="B2794" t="s">
        <v>1922</v>
      </c>
      <c r="C2794" t="s">
        <v>1922</v>
      </c>
    </row>
    <row r="2795" spans="2:3" ht="15" customHeight="1">
      <c r="B2795" t="s">
        <v>1458</v>
      </c>
      <c r="C2795" t="s">
        <v>1458</v>
      </c>
    </row>
    <row r="2796" spans="2:3" ht="15" customHeight="1">
      <c r="B2796" t="s">
        <v>14700</v>
      </c>
      <c r="C2796" t="s">
        <v>14700</v>
      </c>
    </row>
    <row r="2797" spans="2:3" ht="15" customHeight="1">
      <c r="B2797" t="s">
        <v>8495</v>
      </c>
      <c r="C2797" t="s">
        <v>8495</v>
      </c>
    </row>
    <row r="2798" spans="2:3" ht="15" customHeight="1">
      <c r="B2798" t="s">
        <v>14705</v>
      </c>
      <c r="C2798" t="s">
        <v>14705</v>
      </c>
    </row>
    <row r="2799" spans="2:3" ht="15" customHeight="1">
      <c r="B2799" t="s">
        <v>14708</v>
      </c>
      <c r="C2799" t="s">
        <v>14708</v>
      </c>
    </row>
    <row r="2800" spans="2:3" ht="15" customHeight="1">
      <c r="B2800" t="s">
        <v>13893</v>
      </c>
      <c r="C2800" t="s">
        <v>13893</v>
      </c>
    </row>
    <row r="2801" spans="2:3" ht="15" customHeight="1">
      <c r="B2801" t="s">
        <v>14712</v>
      </c>
      <c r="C2801" t="s">
        <v>14712</v>
      </c>
    </row>
    <row r="2802" spans="2:3" ht="15" customHeight="1">
      <c r="B2802" t="s">
        <v>14714</v>
      </c>
      <c r="C2802" t="s">
        <v>14714</v>
      </c>
    </row>
    <row r="2803" spans="2:3" ht="15" customHeight="1">
      <c r="B2803" t="s">
        <v>9405</v>
      </c>
      <c r="C2803" t="s">
        <v>9405</v>
      </c>
    </row>
    <row r="2804" spans="2:3" ht="15" customHeight="1">
      <c r="B2804" t="s">
        <v>14719</v>
      </c>
      <c r="C2804" t="s">
        <v>14719</v>
      </c>
    </row>
    <row r="2805" spans="2:3" ht="15" customHeight="1">
      <c r="B2805" t="s">
        <v>14722</v>
      </c>
      <c r="C2805" t="s">
        <v>14722</v>
      </c>
    </row>
    <row r="2806" spans="2:3" ht="15" customHeight="1">
      <c r="B2806" t="s">
        <v>14725</v>
      </c>
      <c r="C2806" t="s">
        <v>14725</v>
      </c>
    </row>
    <row r="2807" spans="2:3" ht="15" customHeight="1">
      <c r="B2807" t="s">
        <v>14728</v>
      </c>
      <c r="C2807" t="s">
        <v>14728</v>
      </c>
    </row>
    <row r="2808" spans="2:3" ht="15" customHeight="1">
      <c r="B2808" t="s">
        <v>14731</v>
      </c>
      <c r="C2808" t="s">
        <v>14731</v>
      </c>
    </row>
    <row r="2809" spans="2:3" ht="15" customHeight="1">
      <c r="B2809" t="s">
        <v>14735</v>
      </c>
      <c r="C2809" t="s">
        <v>14735</v>
      </c>
    </row>
    <row r="2810" spans="2:3" ht="15" customHeight="1">
      <c r="B2810" t="s">
        <v>14738</v>
      </c>
      <c r="C2810" t="s">
        <v>14738</v>
      </c>
    </row>
    <row r="2811" spans="2:3" ht="15" customHeight="1">
      <c r="B2811" t="s">
        <v>14740</v>
      </c>
      <c r="C2811" t="s">
        <v>14740</v>
      </c>
    </row>
    <row r="2812" spans="2:3" ht="15" customHeight="1">
      <c r="B2812" t="s">
        <v>14743</v>
      </c>
      <c r="C2812" t="s">
        <v>14743</v>
      </c>
    </row>
    <row r="2813" spans="2:3" ht="15" customHeight="1">
      <c r="B2813" t="s">
        <v>751</v>
      </c>
      <c r="C2813" t="s">
        <v>751</v>
      </c>
    </row>
    <row r="2814" spans="2:3" ht="15" customHeight="1">
      <c r="B2814" t="s">
        <v>14762</v>
      </c>
      <c r="C2814" t="s">
        <v>14762</v>
      </c>
    </row>
    <row r="2815" spans="2:3" ht="15" customHeight="1">
      <c r="B2815" t="s">
        <v>14761</v>
      </c>
      <c r="C2815" t="s">
        <v>14761</v>
      </c>
    </row>
    <row r="2816" spans="2:3" ht="15" customHeight="1">
      <c r="B2816" t="s">
        <v>14765</v>
      </c>
      <c r="C2816" t="s">
        <v>14765</v>
      </c>
    </row>
    <row r="2817" spans="2:3" ht="15" customHeight="1">
      <c r="B2817" t="s">
        <v>14768</v>
      </c>
      <c r="C2817" t="s">
        <v>14768</v>
      </c>
    </row>
    <row r="2818" spans="2:3" ht="15" customHeight="1">
      <c r="B2818" t="s">
        <v>14771</v>
      </c>
      <c r="C2818" t="s">
        <v>14771</v>
      </c>
    </row>
    <row r="2819" spans="2:3" ht="15" customHeight="1">
      <c r="B2819" t="s">
        <v>357</v>
      </c>
      <c r="C2819" t="s">
        <v>357</v>
      </c>
    </row>
    <row r="2820" spans="2:3" ht="15" customHeight="1">
      <c r="B2820" t="s">
        <v>14776</v>
      </c>
      <c r="C2820" t="s">
        <v>14776</v>
      </c>
    </row>
    <row r="2821" spans="2:3" ht="15" customHeight="1">
      <c r="B2821" t="s">
        <v>14779</v>
      </c>
      <c r="C2821" t="s">
        <v>14779</v>
      </c>
    </row>
    <row r="2822" spans="2:3" ht="15" customHeight="1">
      <c r="B2822" t="s">
        <v>14781</v>
      </c>
      <c r="C2822" t="s">
        <v>14781</v>
      </c>
    </row>
    <row r="2823" spans="2:3" ht="15" customHeight="1">
      <c r="B2823" t="s">
        <v>14784</v>
      </c>
      <c r="C2823" t="s">
        <v>14784</v>
      </c>
    </row>
    <row r="2824" spans="2:3" ht="15" customHeight="1">
      <c r="B2824" t="s">
        <v>13653</v>
      </c>
      <c r="C2824" t="s">
        <v>13653</v>
      </c>
    </row>
    <row r="2825" spans="2:3" ht="15" customHeight="1">
      <c r="B2825" t="s">
        <v>14789</v>
      </c>
      <c r="C2825" t="s">
        <v>14789</v>
      </c>
    </row>
    <row r="2826" spans="2:3" ht="15" customHeight="1">
      <c r="B2826" t="s">
        <v>14799</v>
      </c>
      <c r="C2826" t="s">
        <v>14799</v>
      </c>
    </row>
    <row r="2827" spans="2:3" ht="15" customHeight="1">
      <c r="B2827" t="s">
        <v>6361</v>
      </c>
      <c r="C2827" t="s">
        <v>6361</v>
      </c>
    </row>
    <row r="2828" spans="2:3" ht="15" customHeight="1">
      <c r="B2828" t="s">
        <v>14805</v>
      </c>
      <c r="C2828" t="s">
        <v>14805</v>
      </c>
    </row>
    <row r="2829" spans="2:3" ht="15" customHeight="1">
      <c r="B2829" t="s">
        <v>14815</v>
      </c>
      <c r="C2829" t="s">
        <v>14815</v>
      </c>
    </row>
    <row r="2830" spans="2:3" ht="15" customHeight="1">
      <c r="B2830" t="s">
        <v>1323</v>
      </c>
      <c r="C2830" t="s">
        <v>1323</v>
      </c>
    </row>
    <row r="2831" spans="2:3" ht="15" customHeight="1">
      <c r="B2831" t="s">
        <v>883</v>
      </c>
      <c r="C2831" t="s">
        <v>883</v>
      </c>
    </row>
    <row r="2832" spans="2:3" ht="15" customHeight="1">
      <c r="B2832" t="s">
        <v>1979</v>
      </c>
      <c r="C2832" t="s">
        <v>1979</v>
      </c>
    </row>
    <row r="2833" spans="2:3" ht="15" customHeight="1">
      <c r="B2833" t="s">
        <v>1438</v>
      </c>
      <c r="C2833" t="s">
        <v>1438</v>
      </c>
    </row>
    <row r="2834" spans="2:3" ht="15" customHeight="1">
      <c r="B2834" s="34" t="s">
        <v>10023</v>
      </c>
      <c r="C2834" s="34" t="s">
        <v>10023</v>
      </c>
    </row>
    <row r="2835" spans="2:3" ht="15" customHeight="1">
      <c r="B2835" s="34" t="s">
        <v>14898</v>
      </c>
      <c r="C2835" s="34" t="s">
        <v>14898</v>
      </c>
    </row>
    <row r="2836" spans="2:3" ht="15" customHeight="1">
      <c r="B2836" s="34" t="s">
        <v>561</v>
      </c>
      <c r="C2836" s="34" t="s">
        <v>561</v>
      </c>
    </row>
    <row r="2837" spans="2:3" ht="15" customHeight="1">
      <c r="B2837" s="34" t="s">
        <v>14901</v>
      </c>
      <c r="C2837" s="34" t="s">
        <v>14901</v>
      </c>
    </row>
    <row r="2838" spans="2:3" ht="15" customHeight="1">
      <c r="B2838" s="34" t="s">
        <v>777</v>
      </c>
      <c r="C2838" s="34" t="s">
        <v>777</v>
      </c>
    </row>
    <row r="2839" spans="2:3" ht="15" customHeight="1">
      <c r="B2839" s="34" t="s">
        <v>11306</v>
      </c>
      <c r="C2839" s="34" t="s">
        <v>11306</v>
      </c>
    </row>
    <row r="2840" spans="2:3" ht="15" customHeight="1">
      <c r="B2840" s="34" t="s">
        <v>753</v>
      </c>
      <c r="C2840" s="34" t="s">
        <v>753</v>
      </c>
    </row>
    <row r="2841" spans="2:3" ht="15" customHeight="1">
      <c r="B2841" s="34" t="s">
        <v>536</v>
      </c>
      <c r="C2841" s="34" t="s">
        <v>536</v>
      </c>
    </row>
    <row r="2842" spans="2:3" ht="15" customHeight="1">
      <c r="B2842" s="34" t="s">
        <v>14911</v>
      </c>
      <c r="C2842" s="34" t="s">
        <v>14911</v>
      </c>
    </row>
    <row r="2843" spans="2:3" ht="15" customHeight="1">
      <c r="B2843" s="34" t="s">
        <v>952</v>
      </c>
      <c r="C2843" s="34" t="s">
        <v>952</v>
      </c>
    </row>
    <row r="2844" spans="2:3" ht="15" customHeight="1">
      <c r="B2844" s="34" t="s">
        <v>14914</v>
      </c>
      <c r="C2844" s="34" t="s">
        <v>14914</v>
      </c>
    </row>
    <row r="2845" spans="2:3" ht="15" customHeight="1">
      <c r="B2845" s="34" t="s">
        <v>6650</v>
      </c>
      <c r="C2845" s="34" t="s">
        <v>6650</v>
      </c>
    </row>
    <row r="2846" spans="2:3" ht="15" customHeight="1">
      <c r="B2846" s="34" t="s">
        <v>788</v>
      </c>
      <c r="C2846" s="34" t="s">
        <v>788</v>
      </c>
    </row>
    <row r="2847" spans="2:3" ht="15" customHeight="1">
      <c r="B2847" s="34" t="s">
        <v>534</v>
      </c>
      <c r="C2847" s="34" t="s">
        <v>534</v>
      </c>
    </row>
    <row r="2848" spans="2:3" ht="15" customHeight="1">
      <c r="B2848" s="34" t="s">
        <v>776</v>
      </c>
      <c r="C2848" s="34" t="s">
        <v>776</v>
      </c>
    </row>
    <row r="2849" spans="2:3" ht="15" customHeight="1">
      <c r="B2849" s="34" t="s">
        <v>842</v>
      </c>
      <c r="C2849" s="34" t="s">
        <v>842</v>
      </c>
    </row>
    <row r="2850" spans="2:3" ht="15" customHeight="1">
      <c r="B2850" s="34" t="s">
        <v>6948</v>
      </c>
      <c r="C2850" s="34" t="s">
        <v>6948</v>
      </c>
    </row>
    <row r="2851" spans="2:3" ht="15" customHeight="1">
      <c r="B2851" s="34" t="s">
        <v>14925</v>
      </c>
      <c r="C2851" s="34" t="s">
        <v>14925</v>
      </c>
    </row>
    <row r="2852" spans="2:3" ht="15" customHeight="1">
      <c r="B2852" s="34" t="s">
        <v>8225</v>
      </c>
      <c r="C2852" s="34" t="s">
        <v>8225</v>
      </c>
    </row>
    <row r="2853" spans="2:3" ht="15" customHeight="1">
      <c r="B2853" s="34" t="s">
        <v>7377</v>
      </c>
      <c r="C2853" s="34" t="s">
        <v>7377</v>
      </c>
    </row>
    <row r="2854" spans="2:3" ht="15" customHeight="1">
      <c r="B2854" s="34">
        <v>10</v>
      </c>
      <c r="C2854" s="34">
        <v>10</v>
      </c>
    </row>
    <row r="2855" spans="2:3" ht="15" customHeight="1">
      <c r="B2855" s="34" t="s">
        <v>742</v>
      </c>
      <c r="C2855" s="34" t="s">
        <v>742</v>
      </c>
    </row>
    <row r="2856" spans="2:3" ht="15" customHeight="1">
      <c r="B2856" s="34" t="s">
        <v>1965</v>
      </c>
      <c r="C2856" s="34" t="s">
        <v>1965</v>
      </c>
    </row>
    <row r="2857" spans="2:3" ht="15" customHeight="1">
      <c r="B2857" s="34" t="s">
        <v>881</v>
      </c>
      <c r="C2857" s="34" t="s">
        <v>881</v>
      </c>
    </row>
    <row r="2858" spans="2:3" ht="15" customHeight="1">
      <c r="B2858" s="34" t="s">
        <v>1274</v>
      </c>
      <c r="C2858" s="34" t="s">
        <v>1274</v>
      </c>
    </row>
    <row r="2859" spans="2:3" ht="15" customHeight="1">
      <c r="B2859" s="34" t="s">
        <v>913</v>
      </c>
      <c r="C2859" s="34" t="s">
        <v>913</v>
      </c>
    </row>
    <row r="2860" spans="2:3" ht="15" customHeight="1">
      <c r="B2860" s="34" t="s">
        <v>6643</v>
      </c>
      <c r="C2860" s="34" t="s">
        <v>6643</v>
      </c>
    </row>
    <row r="2861" spans="2:3" ht="15" customHeight="1">
      <c r="B2861" s="34" t="s">
        <v>1438</v>
      </c>
      <c r="C2861" s="34" t="s">
        <v>1438</v>
      </c>
    </row>
    <row r="2862" spans="2:3" ht="15" customHeight="1">
      <c r="B2862" s="34" t="s">
        <v>6645</v>
      </c>
      <c r="C2862" s="34" t="s">
        <v>6645</v>
      </c>
    </row>
    <row r="2863" spans="2:3" ht="15" customHeight="1">
      <c r="B2863" s="34" t="s">
        <v>14943</v>
      </c>
      <c r="C2863" s="34" t="s">
        <v>14943</v>
      </c>
    </row>
    <row r="2864" spans="2:3" ht="15" customHeight="1">
      <c r="B2864" s="34" t="s">
        <v>1207</v>
      </c>
      <c r="C2864" s="34" t="s">
        <v>1207</v>
      </c>
    </row>
    <row r="2865" spans="2:3" ht="15" customHeight="1">
      <c r="B2865" s="34" t="s">
        <v>762</v>
      </c>
      <c r="C2865" s="34" t="s">
        <v>762</v>
      </c>
    </row>
    <row r="2866" spans="2:3" ht="15" customHeight="1">
      <c r="B2866" s="34" t="s">
        <v>757</v>
      </c>
      <c r="C2866" s="34" t="s">
        <v>757</v>
      </c>
    </row>
    <row r="2867" spans="2:3" ht="15" customHeight="1">
      <c r="B2867" s="34" t="s">
        <v>758</v>
      </c>
      <c r="C2867" s="34" t="s">
        <v>758</v>
      </c>
    </row>
    <row r="2868" spans="2:3" ht="15" customHeight="1">
      <c r="B2868" s="34" t="s">
        <v>14952</v>
      </c>
      <c r="C2868" s="34" t="s">
        <v>14952</v>
      </c>
    </row>
    <row r="2869" spans="2:3" ht="15" customHeight="1">
      <c r="B2869" s="34" t="s">
        <v>13581</v>
      </c>
      <c r="C2869" s="34" t="s">
        <v>13581</v>
      </c>
    </row>
    <row r="2870" spans="2:3" ht="15" customHeight="1">
      <c r="B2870" s="34" t="s">
        <v>14955</v>
      </c>
      <c r="C2870" s="34" t="s">
        <v>14955</v>
      </c>
    </row>
    <row r="2871" spans="2:3" ht="15" customHeight="1">
      <c r="B2871" s="34" t="s">
        <v>781</v>
      </c>
      <c r="C2871" s="34" t="s">
        <v>781</v>
      </c>
    </row>
    <row r="2872" spans="2:3" ht="15" customHeight="1">
      <c r="B2872" s="34" t="s">
        <v>763</v>
      </c>
      <c r="C2872" s="34" t="s">
        <v>763</v>
      </c>
    </row>
    <row r="2873" spans="2:3" ht="15" customHeight="1">
      <c r="B2873" s="34" t="s">
        <v>775</v>
      </c>
      <c r="C2873" s="34" t="s">
        <v>775</v>
      </c>
    </row>
    <row r="2874" spans="2:3" ht="15" customHeight="1">
      <c r="B2874" s="34" t="s">
        <v>6602</v>
      </c>
      <c r="C2874" s="34" t="s">
        <v>6602</v>
      </c>
    </row>
    <row r="2875" spans="2:3" ht="15" customHeight="1">
      <c r="B2875" s="34" t="s">
        <v>6361</v>
      </c>
      <c r="C2875" s="34" t="s">
        <v>6361</v>
      </c>
    </row>
    <row r="2876" spans="2:3" ht="15" customHeight="1">
      <c r="B2876" s="34" t="s">
        <v>14968</v>
      </c>
      <c r="C2876" s="34" t="s">
        <v>14968</v>
      </c>
    </row>
    <row r="2877" spans="2:3" ht="15" customHeight="1">
      <c r="B2877" s="34" t="s">
        <v>14972</v>
      </c>
      <c r="C2877" s="34" t="s">
        <v>14972</v>
      </c>
    </row>
    <row r="2878" spans="2:3" ht="15" customHeight="1">
      <c r="B2878" s="34" t="s">
        <v>933</v>
      </c>
      <c r="C2878" s="34" t="s">
        <v>933</v>
      </c>
    </row>
    <row r="2879" spans="2:3" ht="15" customHeight="1">
      <c r="B2879" s="34" t="s">
        <v>6629</v>
      </c>
      <c r="C2879" s="34" t="s">
        <v>6629</v>
      </c>
    </row>
    <row r="2880" spans="2:3" ht="15" customHeight="1">
      <c r="B2880" s="34" t="s">
        <v>7775</v>
      </c>
      <c r="C2880" s="34" t="s">
        <v>7775</v>
      </c>
    </row>
    <row r="2881" spans="2:3" ht="15" customHeight="1">
      <c r="B2881" s="34" t="s">
        <v>8921</v>
      </c>
      <c r="C2881" s="34" t="s">
        <v>8921</v>
      </c>
    </row>
    <row r="2882" spans="2:3" ht="15" customHeight="1">
      <c r="B2882" s="34" t="s">
        <v>755</v>
      </c>
      <c r="C2882" s="34" t="s">
        <v>755</v>
      </c>
    </row>
    <row r="2883" spans="2:3" ht="15" customHeight="1">
      <c r="B2883" s="34" t="s">
        <v>1999</v>
      </c>
      <c r="C2883" s="34" t="s">
        <v>1999</v>
      </c>
    </row>
    <row r="2884" spans="2:3" ht="15" customHeight="1">
      <c r="B2884" s="34" t="s">
        <v>786</v>
      </c>
      <c r="C2884" s="34" t="s">
        <v>786</v>
      </c>
    </row>
    <row r="2885" spans="2:3" ht="15" customHeight="1">
      <c r="B2885" s="34" t="s">
        <v>7855</v>
      </c>
      <c r="C2885" s="34" t="s">
        <v>7855</v>
      </c>
    </row>
    <row r="2886" spans="2:3" ht="15" customHeight="1">
      <c r="B2886" s="34" t="s">
        <v>745</v>
      </c>
      <c r="C2886" s="34" t="s">
        <v>745</v>
      </c>
    </row>
    <row r="2887" spans="2:3" ht="15" customHeight="1">
      <c r="B2887" s="34" t="s">
        <v>12474</v>
      </c>
      <c r="C2887" s="34" t="s">
        <v>12474</v>
      </c>
    </row>
    <row r="2888" spans="2:3" ht="15" customHeight="1">
      <c r="B2888" s="34" t="s">
        <v>772</v>
      </c>
      <c r="C2888" s="34" t="s">
        <v>772</v>
      </c>
    </row>
    <row r="2889" spans="2:3" ht="15" customHeight="1">
      <c r="B2889" s="34" t="s">
        <v>14638</v>
      </c>
      <c r="C2889" s="34" t="s">
        <v>14638</v>
      </c>
    </row>
    <row r="2890" spans="2:3" ht="15" customHeight="1">
      <c r="B2890" s="34" t="s">
        <v>15017</v>
      </c>
      <c r="C2890" s="34" t="s">
        <v>15017</v>
      </c>
    </row>
    <row r="2891" spans="2:3" ht="15" customHeight="1">
      <c r="B2891" s="34" t="s">
        <v>1513</v>
      </c>
      <c r="C2891" s="34" t="s">
        <v>1513</v>
      </c>
    </row>
    <row r="2892" spans="2:3" ht="15" customHeight="1">
      <c r="B2892" s="34" t="s">
        <v>840</v>
      </c>
      <c r="C2892" s="34" t="s">
        <v>840</v>
      </c>
    </row>
    <row r="2893" spans="2:3" ht="15" customHeight="1">
      <c r="B2893" s="34" t="s">
        <v>841</v>
      </c>
      <c r="C2893" s="34" t="s">
        <v>841</v>
      </c>
    </row>
    <row r="2894" spans="2:3" ht="15" customHeight="1">
      <c r="B2894" s="34" t="s">
        <v>872</v>
      </c>
      <c r="C2894" s="34" t="s">
        <v>872</v>
      </c>
    </row>
    <row r="2895" spans="2:3" ht="15" customHeight="1">
      <c r="B2895" s="34" t="s">
        <v>15033</v>
      </c>
      <c r="C2895" s="34" t="s">
        <v>15033</v>
      </c>
    </row>
    <row r="2896" spans="2:3" ht="15" customHeight="1">
      <c r="B2896" s="34" t="s">
        <v>15041</v>
      </c>
      <c r="C2896" s="34" t="s">
        <v>15041</v>
      </c>
    </row>
    <row r="2897" spans="2:3" ht="15" customHeight="1">
      <c r="B2897" s="34" t="s">
        <v>764</v>
      </c>
      <c r="C2897" s="34" t="s">
        <v>764</v>
      </c>
    </row>
    <row r="2898" spans="2:3" ht="15" customHeight="1">
      <c r="B2898" s="34" t="s">
        <v>898</v>
      </c>
      <c r="C2898" s="34" t="s">
        <v>898</v>
      </c>
    </row>
    <row r="2899" spans="2:3" ht="15" customHeight="1">
      <c r="B2899" s="34" t="s">
        <v>1979</v>
      </c>
      <c r="C2899" s="34" t="s">
        <v>1979</v>
      </c>
    </row>
    <row r="2900" spans="2:3" ht="15" customHeight="1">
      <c r="B2900" s="34" t="s">
        <v>15050</v>
      </c>
      <c r="C2900" s="34" t="s">
        <v>15050</v>
      </c>
    </row>
    <row r="2901" spans="2:3" ht="15" customHeight="1">
      <c r="B2901" s="34" t="s">
        <v>852</v>
      </c>
      <c r="C2901" s="34" t="s">
        <v>852</v>
      </c>
    </row>
    <row r="2902" spans="2:3" ht="15" customHeight="1">
      <c r="B2902" s="34" t="s">
        <v>7028</v>
      </c>
      <c r="C2902" s="34" t="s">
        <v>7028</v>
      </c>
    </row>
    <row r="2903" spans="2:3" ht="15" customHeight="1">
      <c r="B2903" s="34" t="s">
        <v>770</v>
      </c>
      <c r="C2903" s="34" t="s">
        <v>770</v>
      </c>
    </row>
    <row r="2904" spans="2:3" ht="15" customHeight="1">
      <c r="B2904" s="34" t="s">
        <v>15081</v>
      </c>
      <c r="C2904" s="34" t="s">
        <v>15081</v>
      </c>
    </row>
    <row r="2905" spans="2:3" ht="15" customHeight="1">
      <c r="B2905" s="34" t="s">
        <v>15084</v>
      </c>
      <c r="C2905" s="34" t="s">
        <v>15084</v>
      </c>
    </row>
    <row r="2906" spans="2:3" ht="15" customHeight="1">
      <c r="B2906" s="34" t="s">
        <v>15087</v>
      </c>
      <c r="C2906" s="34" t="s">
        <v>15087</v>
      </c>
    </row>
    <row r="2907" spans="2:3" ht="15" customHeight="1">
      <c r="B2907" s="34" t="s">
        <v>15090</v>
      </c>
      <c r="C2907" s="34" t="s">
        <v>15090</v>
      </c>
    </row>
    <row r="2908" spans="2:3" ht="15" customHeight="1">
      <c r="B2908" s="34" t="s">
        <v>15093</v>
      </c>
      <c r="C2908" s="34" t="s">
        <v>15093</v>
      </c>
    </row>
    <row r="2909" spans="2:3" ht="15" customHeight="1">
      <c r="B2909" s="34" t="s">
        <v>11004</v>
      </c>
      <c r="C2909" s="34" t="s">
        <v>11004</v>
      </c>
    </row>
    <row r="2910" spans="2:3" ht="15" customHeight="1">
      <c r="B2910" s="34" t="s">
        <v>13170</v>
      </c>
      <c r="C2910" s="34" t="s">
        <v>13170</v>
      </c>
    </row>
    <row r="2911" spans="2:3" ht="15" customHeight="1">
      <c r="B2911" s="34" t="s">
        <v>900</v>
      </c>
      <c r="C2911" s="34" t="s">
        <v>900</v>
      </c>
    </row>
    <row r="2912" spans="2:3" ht="15" customHeight="1">
      <c r="B2912" s="34" t="s">
        <v>535</v>
      </c>
      <c r="C2912" s="34" t="s">
        <v>535</v>
      </c>
    </row>
    <row r="2913" spans="2:3" ht="15" customHeight="1">
      <c r="B2913" s="34" t="s">
        <v>15118</v>
      </c>
      <c r="C2913" s="34" t="s">
        <v>15118</v>
      </c>
    </row>
    <row r="2914" spans="2:3" ht="15" customHeight="1">
      <c r="B2914" s="34" t="s">
        <v>15120</v>
      </c>
      <c r="C2914" s="34" t="s">
        <v>15120</v>
      </c>
    </row>
    <row r="2915" spans="2:3" ht="15" customHeight="1">
      <c r="B2915" s="34" t="s">
        <v>15122</v>
      </c>
      <c r="C2915" s="34" t="s">
        <v>15122</v>
      </c>
    </row>
    <row r="2916" spans="2:3" ht="15" customHeight="1">
      <c r="B2916" s="34" t="s">
        <v>15130</v>
      </c>
      <c r="C2916" s="34" t="s">
        <v>15130</v>
      </c>
    </row>
    <row r="2917" spans="2:3" ht="15" customHeight="1">
      <c r="B2917" s="34" t="s">
        <v>15132</v>
      </c>
      <c r="C2917" s="34" t="s">
        <v>15132</v>
      </c>
    </row>
    <row r="2918" spans="2:3" ht="15" customHeight="1">
      <c r="B2918" s="34" t="s">
        <v>15135</v>
      </c>
      <c r="C2918" s="34" t="s">
        <v>15135</v>
      </c>
    </row>
    <row r="2919" spans="2:3" ht="15" customHeight="1">
      <c r="B2919" s="34" t="s">
        <v>15138</v>
      </c>
      <c r="C2919" s="34" t="s">
        <v>15138</v>
      </c>
    </row>
    <row r="2920" spans="2:3" ht="15" customHeight="1">
      <c r="B2920" s="34" t="s">
        <v>13311</v>
      </c>
      <c r="C2920" s="34" t="s">
        <v>13311</v>
      </c>
    </row>
    <row r="2921" spans="2:3" ht="15" customHeight="1">
      <c r="B2921" s="34" t="s">
        <v>12931</v>
      </c>
      <c r="C2921" s="34" t="s">
        <v>12931</v>
      </c>
    </row>
    <row r="2922" spans="2:3" ht="15" customHeight="1">
      <c r="B2922" s="34" t="s">
        <v>15146</v>
      </c>
      <c r="C2922" s="34" t="s">
        <v>15146</v>
      </c>
    </row>
    <row r="2923" spans="2:3" ht="15" customHeight="1">
      <c r="B2923" s="34" t="s">
        <v>15149</v>
      </c>
      <c r="C2923" s="34" t="s">
        <v>15149</v>
      </c>
    </row>
    <row r="2924" spans="2:3" ht="15" customHeight="1">
      <c r="B2924" s="34" t="s">
        <v>15151</v>
      </c>
      <c r="C2924" s="34" t="s">
        <v>15151</v>
      </c>
    </row>
    <row r="2925" spans="2:3" ht="15" customHeight="1">
      <c r="B2925" s="34" t="s">
        <v>15154</v>
      </c>
      <c r="C2925" s="34" t="s">
        <v>15154</v>
      </c>
    </row>
    <row r="2926" spans="2:3" ht="15" customHeight="1">
      <c r="B2926" s="34" t="s">
        <v>15157</v>
      </c>
      <c r="C2926" s="34" t="s">
        <v>15157</v>
      </c>
    </row>
    <row r="2927" spans="2:3" ht="15" customHeight="1">
      <c r="B2927" s="34" t="s">
        <v>15160</v>
      </c>
      <c r="C2927" s="34" t="s">
        <v>15160</v>
      </c>
    </row>
    <row r="2928" spans="2:3" ht="15" customHeight="1">
      <c r="B2928" s="34" t="s">
        <v>371</v>
      </c>
      <c r="C2928" s="34" t="s">
        <v>371</v>
      </c>
    </row>
    <row r="2929" spans="2:3" ht="15" customHeight="1">
      <c r="B2929" s="34" t="s">
        <v>15167</v>
      </c>
      <c r="C2929" s="34" t="s">
        <v>15167</v>
      </c>
    </row>
    <row r="2930" spans="2:3" ht="15" customHeight="1">
      <c r="B2930" s="34" t="s">
        <v>15170</v>
      </c>
      <c r="C2930" s="34" t="s">
        <v>15170</v>
      </c>
    </row>
    <row r="2931" spans="2:3" ht="15" customHeight="1">
      <c r="B2931" s="34" t="s">
        <v>15172</v>
      </c>
      <c r="C2931" s="34" t="s">
        <v>15172</v>
      </c>
    </row>
    <row r="2932" spans="2:3" ht="15" customHeight="1">
      <c r="B2932" s="34" t="s">
        <v>15174</v>
      </c>
      <c r="C2932" s="34" t="s">
        <v>15174</v>
      </c>
    </row>
    <row r="2933" spans="2:3" ht="15" customHeight="1">
      <c r="B2933" s="34" t="s">
        <v>15176</v>
      </c>
      <c r="C2933" s="34" t="s">
        <v>15176</v>
      </c>
    </row>
    <row r="2934" spans="2:3" ht="15" customHeight="1">
      <c r="B2934" s="34" t="s">
        <v>15178</v>
      </c>
      <c r="C2934" s="34" t="s">
        <v>15178</v>
      </c>
    </row>
    <row r="2935" spans="2:3" ht="15" customHeight="1">
      <c r="B2935" s="34" t="s">
        <v>15180</v>
      </c>
      <c r="C2935" s="34" t="s">
        <v>15180</v>
      </c>
    </row>
    <row r="2936" spans="2:3" ht="15" customHeight="1">
      <c r="B2936" s="34" t="s">
        <v>15182</v>
      </c>
      <c r="C2936" s="34" t="s">
        <v>15182</v>
      </c>
    </row>
    <row r="2937" spans="2:3" ht="15" customHeight="1">
      <c r="B2937" s="34" t="s">
        <v>15184</v>
      </c>
      <c r="C2937" s="34" t="s">
        <v>15184</v>
      </c>
    </row>
    <row r="2938" spans="2:3" ht="15" customHeight="1">
      <c r="B2938" s="34" t="s">
        <v>15186</v>
      </c>
      <c r="C2938" s="34" t="s">
        <v>15186</v>
      </c>
    </row>
    <row r="2939" spans="2:3" ht="15" customHeight="1">
      <c r="B2939" s="34" t="s">
        <v>15189</v>
      </c>
      <c r="C2939" s="34" t="s">
        <v>15189</v>
      </c>
    </row>
    <row r="2940" spans="2:3" ht="15" customHeight="1">
      <c r="B2940" s="34" t="s">
        <v>15191</v>
      </c>
      <c r="C2940" s="34" t="s">
        <v>15191</v>
      </c>
    </row>
    <row r="2941" spans="2:3" ht="15" customHeight="1">
      <c r="B2941" s="34" t="s">
        <v>15193</v>
      </c>
      <c r="C2941" s="34" t="s">
        <v>15193</v>
      </c>
    </row>
    <row r="2942" spans="2:3" ht="15" customHeight="1">
      <c r="B2942" s="34" t="s">
        <v>15019</v>
      </c>
      <c r="C2942" s="34" t="s">
        <v>15019</v>
      </c>
    </row>
    <row r="2943" spans="2:3" ht="15" customHeight="1">
      <c r="B2943" s="34" t="s">
        <v>15197</v>
      </c>
      <c r="C2943" s="34" t="s">
        <v>15197</v>
      </c>
    </row>
    <row r="2944" spans="2:3" ht="15" customHeight="1">
      <c r="B2944" s="34" t="s">
        <v>15199</v>
      </c>
      <c r="C2944" s="34" t="s">
        <v>15199</v>
      </c>
    </row>
    <row r="2945" spans="2:3" ht="15" customHeight="1">
      <c r="B2945" s="34" t="s">
        <v>15201</v>
      </c>
      <c r="C2945" s="34" t="s">
        <v>15201</v>
      </c>
    </row>
    <row r="2946" spans="2:3" ht="15" customHeight="1">
      <c r="B2946" s="34" t="s">
        <v>15203</v>
      </c>
      <c r="C2946" s="34" t="s">
        <v>15203</v>
      </c>
    </row>
    <row r="2947" spans="2:3" ht="15" customHeight="1">
      <c r="B2947" s="34" t="s">
        <v>15205</v>
      </c>
      <c r="C2947" s="34" t="s">
        <v>15205</v>
      </c>
    </row>
    <row r="2948" spans="2:3" ht="15" customHeight="1">
      <c r="B2948" s="34" t="s">
        <v>15207</v>
      </c>
      <c r="C2948" s="34" t="s">
        <v>15207</v>
      </c>
    </row>
    <row r="2949" spans="2:3" ht="15" customHeight="1">
      <c r="B2949" s="34" t="s">
        <v>15209</v>
      </c>
      <c r="C2949" s="34" t="s">
        <v>15209</v>
      </c>
    </row>
    <row r="2950" spans="2:3" ht="15" customHeight="1">
      <c r="B2950" s="34" t="s">
        <v>15211</v>
      </c>
      <c r="C2950" s="34" t="s">
        <v>15211</v>
      </c>
    </row>
    <row r="2951" spans="2:3" ht="15" customHeight="1">
      <c r="B2951" s="34" t="s">
        <v>13890</v>
      </c>
      <c r="C2951" s="34" t="s">
        <v>13890</v>
      </c>
    </row>
    <row r="2952" spans="2:3" ht="15" customHeight="1">
      <c r="B2952" s="34" t="s">
        <v>15214</v>
      </c>
      <c r="C2952" s="34" t="s">
        <v>15214</v>
      </c>
    </row>
    <row r="2953" spans="2:3" ht="15" customHeight="1">
      <c r="B2953" s="34" t="s">
        <v>15215</v>
      </c>
      <c r="C2953" s="34" t="s">
        <v>15215</v>
      </c>
    </row>
    <row r="2954" spans="2:3" ht="15" customHeight="1">
      <c r="B2954" s="34" t="s">
        <v>15216</v>
      </c>
      <c r="C2954" s="34" t="s">
        <v>15216</v>
      </c>
    </row>
    <row r="2955" spans="2:3" ht="15" customHeight="1">
      <c r="B2955" s="34" t="s">
        <v>15217</v>
      </c>
      <c r="C2955" s="34" t="s">
        <v>15217</v>
      </c>
    </row>
    <row r="2956" spans="2:3" ht="15" customHeight="1">
      <c r="B2956" s="34" t="s">
        <v>15218</v>
      </c>
      <c r="C2956" s="34" t="s">
        <v>15218</v>
      </c>
    </row>
    <row r="2957" spans="2:3" ht="15" customHeight="1">
      <c r="B2957" s="34" t="s">
        <v>15219</v>
      </c>
      <c r="C2957" s="34" t="s">
        <v>15219</v>
      </c>
    </row>
    <row r="2958" spans="2:3" ht="15" customHeight="1">
      <c r="B2958" s="34" t="s">
        <v>15220</v>
      </c>
      <c r="C2958" s="34" t="s">
        <v>15220</v>
      </c>
    </row>
    <row r="2959" spans="2:3" ht="15" customHeight="1">
      <c r="B2959" s="34" t="s">
        <v>15221</v>
      </c>
      <c r="C2959" s="34" t="s">
        <v>15221</v>
      </c>
    </row>
    <row r="2960" spans="2:3" ht="15" customHeight="1">
      <c r="B2960" s="34" t="s">
        <v>15222</v>
      </c>
      <c r="C2960" s="34" t="s">
        <v>15222</v>
      </c>
    </row>
    <row r="2961" spans="2:3" ht="15" customHeight="1">
      <c r="B2961" s="34" t="s">
        <v>15223</v>
      </c>
      <c r="C2961" s="34" t="s">
        <v>15223</v>
      </c>
    </row>
    <row r="2962" spans="2:3" ht="15" customHeight="1">
      <c r="B2962" s="34" t="s">
        <v>15224</v>
      </c>
      <c r="C2962" s="34" t="s">
        <v>15224</v>
      </c>
    </row>
    <row r="2963" spans="2:3" ht="15" customHeight="1">
      <c r="B2963" s="34" t="s">
        <v>15226</v>
      </c>
      <c r="C2963" s="34" t="s">
        <v>15226</v>
      </c>
    </row>
    <row r="2964" spans="2:3" ht="15" customHeight="1">
      <c r="B2964" s="34" t="s">
        <v>15227</v>
      </c>
      <c r="C2964" s="34" t="s">
        <v>15227</v>
      </c>
    </row>
    <row r="2965" spans="2:3" ht="15" customHeight="1">
      <c r="B2965" s="34" t="s">
        <v>15228</v>
      </c>
      <c r="C2965" s="34" t="s">
        <v>15228</v>
      </c>
    </row>
    <row r="2966" spans="2:3" ht="15" customHeight="1">
      <c r="B2966" s="34" t="s">
        <v>15229</v>
      </c>
      <c r="C2966" s="34" t="s">
        <v>15229</v>
      </c>
    </row>
    <row r="2967" spans="2:3" ht="15" customHeight="1">
      <c r="B2967" s="34" t="s">
        <v>15230</v>
      </c>
      <c r="C2967" s="34" t="s">
        <v>15230</v>
      </c>
    </row>
    <row r="2968" spans="2:3" ht="15" customHeight="1">
      <c r="B2968" s="34" t="s">
        <v>15231</v>
      </c>
      <c r="C2968" s="34" t="s">
        <v>15231</v>
      </c>
    </row>
    <row r="2969" spans="2:3" ht="15" customHeight="1">
      <c r="B2969" s="34" t="s">
        <v>15234</v>
      </c>
      <c r="C2969" s="34" t="s">
        <v>15234</v>
      </c>
    </row>
    <row r="2970" spans="2:3" ht="15" customHeight="1">
      <c r="B2970" s="34" t="s">
        <v>15235</v>
      </c>
      <c r="C2970" s="34" t="s">
        <v>15235</v>
      </c>
    </row>
    <row r="2971" spans="2:3" ht="15" customHeight="1">
      <c r="B2971" s="34" t="s">
        <v>15236</v>
      </c>
      <c r="C2971" s="34" t="s">
        <v>15236</v>
      </c>
    </row>
    <row r="2972" spans="2:3" ht="15" customHeight="1">
      <c r="B2972" s="34" t="s">
        <v>15237</v>
      </c>
      <c r="C2972" s="34" t="s">
        <v>15237</v>
      </c>
    </row>
    <row r="2973" spans="2:3" ht="15" customHeight="1">
      <c r="B2973" s="34" t="s">
        <v>15238</v>
      </c>
      <c r="C2973" s="34" t="s">
        <v>15238</v>
      </c>
    </row>
    <row r="2974" spans="2:3" ht="15" customHeight="1">
      <c r="B2974" s="34" t="s">
        <v>15239</v>
      </c>
      <c r="C2974" s="34" t="s">
        <v>15239</v>
      </c>
    </row>
    <row r="2975" spans="2:3" ht="15" customHeight="1">
      <c r="B2975" s="34" t="s">
        <v>15241</v>
      </c>
      <c r="C2975" s="34" t="s">
        <v>15241</v>
      </c>
    </row>
    <row r="2976" spans="2:3" ht="15" customHeight="1">
      <c r="B2976" s="34" t="s">
        <v>15245</v>
      </c>
      <c r="C2976" s="34" t="s">
        <v>15245</v>
      </c>
    </row>
    <row r="2977" spans="2:3" ht="15" customHeight="1">
      <c r="B2977" s="34" t="s">
        <v>14128</v>
      </c>
      <c r="C2977" s="34" t="s">
        <v>14128</v>
      </c>
    </row>
    <row r="2978" spans="2:3" ht="15" customHeight="1">
      <c r="B2978" s="34" t="s">
        <v>15251</v>
      </c>
      <c r="C2978" s="34" t="s">
        <v>15251</v>
      </c>
    </row>
    <row r="2979" spans="2:3" ht="15" customHeight="1">
      <c r="B2979" s="34" t="s">
        <v>1284</v>
      </c>
      <c r="C2979" s="34" t="s">
        <v>1284</v>
      </c>
    </row>
    <row r="2980" spans="2:3" ht="15" customHeight="1">
      <c r="B2980" s="34" t="s">
        <v>15257</v>
      </c>
      <c r="C2980" s="34" t="s">
        <v>15257</v>
      </c>
    </row>
    <row r="2981" spans="2:3" ht="15" customHeight="1">
      <c r="B2981" s="34" t="s">
        <v>15260</v>
      </c>
      <c r="C2981" s="34" t="s">
        <v>15260</v>
      </c>
    </row>
    <row r="2982" spans="2:3" ht="15" customHeight="1">
      <c r="B2982" s="34" t="s">
        <v>15263</v>
      </c>
      <c r="C2982" s="34" t="s">
        <v>15263</v>
      </c>
    </row>
    <row r="2983" spans="2:3" ht="15" customHeight="1">
      <c r="B2983" s="34" t="s">
        <v>751</v>
      </c>
      <c r="C2983" s="34" t="s">
        <v>751</v>
      </c>
    </row>
    <row r="2984" spans="2:3" ht="15" customHeight="1">
      <c r="B2984" s="34" t="s">
        <v>15266</v>
      </c>
      <c r="C2984" s="34" t="s">
        <v>15266</v>
      </c>
    </row>
    <row r="2985" spans="2:3" ht="15" customHeight="1">
      <c r="B2985" s="34" t="s">
        <v>15269</v>
      </c>
      <c r="C2985" s="34" t="s">
        <v>15269</v>
      </c>
    </row>
    <row r="2986" spans="2:3" ht="15" customHeight="1">
      <c r="B2986" s="34" t="s">
        <v>15273</v>
      </c>
      <c r="C2986" s="34" t="s">
        <v>15273</v>
      </c>
    </row>
    <row r="2987" spans="2:3" ht="15" customHeight="1">
      <c r="B2987" s="34" t="s">
        <v>15275</v>
      </c>
      <c r="C2987" s="34" t="s">
        <v>15275</v>
      </c>
    </row>
    <row r="2988" spans="2:3" ht="15" customHeight="1">
      <c r="B2988" s="34" t="s">
        <v>15277</v>
      </c>
      <c r="C2988" s="34" t="s">
        <v>15277</v>
      </c>
    </row>
    <row r="2989" spans="2:3" ht="15" customHeight="1">
      <c r="B2989" s="34" t="s">
        <v>15279</v>
      </c>
      <c r="C2989" s="34" t="s">
        <v>15279</v>
      </c>
    </row>
    <row r="2990" spans="2:3" ht="15" customHeight="1">
      <c r="B2990" s="34" t="s">
        <v>7594</v>
      </c>
      <c r="C2990" s="34" t="s">
        <v>7594</v>
      </c>
    </row>
    <row r="2991" spans="2:3" ht="15" customHeight="1">
      <c r="B2991" s="34" t="s">
        <v>15295</v>
      </c>
      <c r="C2991" s="34" t="s">
        <v>15295</v>
      </c>
    </row>
    <row r="2992" spans="2:3" ht="15" customHeight="1">
      <c r="B2992" s="34" t="s">
        <v>15302</v>
      </c>
      <c r="C2992" s="34" t="s">
        <v>15302</v>
      </c>
    </row>
    <row r="2993" spans="2:3" ht="15" customHeight="1">
      <c r="B2993" s="34" t="s">
        <v>13202</v>
      </c>
      <c r="C2993" s="34" t="s">
        <v>13202</v>
      </c>
    </row>
    <row r="2994" spans="2:3" ht="15" customHeight="1">
      <c r="B2994" s="34" t="s">
        <v>15307</v>
      </c>
      <c r="C2994" s="34" t="s">
        <v>15307</v>
      </c>
    </row>
    <row r="2995" spans="2:3" ht="15" customHeight="1">
      <c r="B2995" s="34" t="s">
        <v>15310</v>
      </c>
      <c r="C2995" s="34" t="s">
        <v>15310</v>
      </c>
    </row>
    <row r="2996" spans="2:3" ht="15" customHeight="1">
      <c r="B2996" s="34" t="s">
        <v>15313</v>
      </c>
      <c r="C2996" s="34" t="s">
        <v>15313</v>
      </c>
    </row>
    <row r="2997" spans="2:3" ht="15" customHeight="1">
      <c r="B2997" s="34" t="s">
        <v>15316</v>
      </c>
      <c r="C2997" s="34" t="s">
        <v>15316</v>
      </c>
    </row>
    <row r="2998" spans="2:3" ht="15" customHeight="1">
      <c r="B2998" s="34" t="s">
        <v>15319</v>
      </c>
      <c r="C2998" s="34" t="s">
        <v>15319</v>
      </c>
    </row>
    <row r="2999" spans="2:3" ht="15" customHeight="1">
      <c r="B2999" s="34" t="s">
        <v>15321</v>
      </c>
      <c r="C2999" s="34" t="s">
        <v>15321</v>
      </c>
    </row>
    <row r="3000" spans="2:3" ht="15" customHeight="1">
      <c r="B3000" s="34" t="s">
        <v>15323</v>
      </c>
      <c r="C3000" s="34" t="s">
        <v>15323</v>
      </c>
    </row>
    <row r="3001" spans="2:3" ht="15" customHeight="1">
      <c r="B3001" s="34" t="s">
        <v>15326</v>
      </c>
      <c r="C3001" s="34" t="s">
        <v>15326</v>
      </c>
    </row>
    <row r="3002" spans="2:3" ht="15" customHeight="1">
      <c r="B3002" s="34" t="s">
        <v>15330</v>
      </c>
      <c r="C3002" s="34" t="s">
        <v>15330</v>
      </c>
    </row>
    <row r="3003" spans="2:3" ht="15" customHeight="1">
      <c r="B3003" s="34" t="s">
        <v>13527</v>
      </c>
      <c r="C3003" s="34" t="s">
        <v>13527</v>
      </c>
    </row>
    <row r="3004" spans="2:3" ht="15" customHeight="1">
      <c r="B3004" s="34" t="s">
        <v>819</v>
      </c>
      <c r="C3004" s="34" t="s">
        <v>819</v>
      </c>
    </row>
    <row r="3005" spans="2:3" ht="15" customHeight="1">
      <c r="B3005" s="34" t="s">
        <v>15337</v>
      </c>
      <c r="C3005" s="34" t="s">
        <v>15337</v>
      </c>
    </row>
    <row r="3006" spans="2:3" ht="15" customHeight="1">
      <c r="B3006" s="34" t="s">
        <v>15340</v>
      </c>
      <c r="C3006" s="34" t="s">
        <v>15340</v>
      </c>
    </row>
    <row r="3007" spans="2:3" ht="15" customHeight="1">
      <c r="B3007" s="34" t="s">
        <v>15342</v>
      </c>
      <c r="C3007" s="34" t="s">
        <v>15342</v>
      </c>
    </row>
    <row r="3008" spans="2:3" ht="15" customHeight="1">
      <c r="B3008" s="34" t="s">
        <v>8070</v>
      </c>
      <c r="C3008" s="34" t="s">
        <v>8070</v>
      </c>
    </row>
    <row r="3009" spans="2:3" ht="15" customHeight="1">
      <c r="B3009" s="34" t="s">
        <v>15348</v>
      </c>
      <c r="C3009" s="34" t="s">
        <v>15348</v>
      </c>
    </row>
    <row r="3010" spans="2:3" ht="15" customHeight="1">
      <c r="B3010" s="34" t="s">
        <v>15351</v>
      </c>
      <c r="C3010" s="34" t="s">
        <v>15351</v>
      </c>
    </row>
    <row r="3011" spans="2:3" ht="15" customHeight="1">
      <c r="B3011" s="34" t="s">
        <v>5366</v>
      </c>
      <c r="C3011" s="34" t="s">
        <v>5366</v>
      </c>
    </row>
    <row r="3012" spans="2:3" ht="15" customHeight="1">
      <c r="B3012" s="34" t="s">
        <v>9059</v>
      </c>
      <c r="C3012" s="34" t="s">
        <v>9059</v>
      </c>
    </row>
    <row r="3013" spans="2:3" ht="15" customHeight="1">
      <c r="B3013" s="34" t="s">
        <v>15357</v>
      </c>
      <c r="C3013" s="34" t="s">
        <v>15357</v>
      </c>
    </row>
    <row r="3014" spans="2:3" ht="15" customHeight="1">
      <c r="B3014" s="34" t="s">
        <v>15359</v>
      </c>
      <c r="C3014" s="34" t="s">
        <v>15359</v>
      </c>
    </row>
    <row r="3015" spans="2:3" ht="15" customHeight="1">
      <c r="B3015" s="34" t="s">
        <v>15362</v>
      </c>
      <c r="C3015" s="34" t="s">
        <v>15362</v>
      </c>
    </row>
    <row r="3016" spans="2:3" ht="15" customHeight="1">
      <c r="B3016" s="34" t="s">
        <v>15365</v>
      </c>
      <c r="C3016" s="34" t="s">
        <v>15365</v>
      </c>
    </row>
    <row r="3017" spans="2:3" ht="15" customHeight="1">
      <c r="B3017" s="34" t="s">
        <v>15366</v>
      </c>
      <c r="C3017" s="34" t="s">
        <v>15366</v>
      </c>
    </row>
    <row r="3018" spans="2:3" ht="15" customHeight="1">
      <c r="B3018" s="34" t="s">
        <v>15368</v>
      </c>
      <c r="C3018" s="34" t="s">
        <v>15368</v>
      </c>
    </row>
    <row r="3019" spans="2:3" ht="15" customHeight="1">
      <c r="B3019" s="34" t="s">
        <v>15373</v>
      </c>
      <c r="C3019" s="34" t="s">
        <v>15373</v>
      </c>
    </row>
    <row r="3020" spans="2:3" ht="15" customHeight="1">
      <c r="B3020" s="34" t="s">
        <v>15378</v>
      </c>
      <c r="C3020" s="34" t="s">
        <v>15378</v>
      </c>
    </row>
    <row r="3021" spans="2:3" ht="15" customHeight="1">
      <c r="B3021" s="34" t="s">
        <v>15381</v>
      </c>
      <c r="C3021" s="34" t="s">
        <v>15381</v>
      </c>
    </row>
    <row r="3022" spans="2:3" ht="15" customHeight="1">
      <c r="B3022" s="34" t="s">
        <v>15384</v>
      </c>
      <c r="C3022" s="34" t="s">
        <v>15384</v>
      </c>
    </row>
    <row r="3023" spans="2:3" ht="15" customHeight="1">
      <c r="B3023" s="34" t="s">
        <v>15387</v>
      </c>
      <c r="C3023" s="34" t="s">
        <v>15387</v>
      </c>
    </row>
    <row r="3024" spans="2:3" ht="15" customHeight="1">
      <c r="B3024" s="34" t="s">
        <v>15389</v>
      </c>
      <c r="C3024" s="34" t="s">
        <v>15389</v>
      </c>
    </row>
    <row r="3025" spans="2:3" ht="15" customHeight="1">
      <c r="B3025" s="34" t="s">
        <v>15392</v>
      </c>
      <c r="C3025" s="34" t="s">
        <v>15392</v>
      </c>
    </row>
    <row r="3026" spans="2:3" ht="15" customHeight="1">
      <c r="B3026" s="34" t="s">
        <v>15395</v>
      </c>
      <c r="C3026" s="34" t="s">
        <v>15395</v>
      </c>
    </row>
    <row r="3027" spans="2:3" ht="15" customHeight="1">
      <c r="B3027" s="34" t="s">
        <v>15398</v>
      </c>
      <c r="C3027" s="34" t="s">
        <v>15398</v>
      </c>
    </row>
    <row r="3028" spans="2:3" ht="15" customHeight="1">
      <c r="B3028" s="34" t="s">
        <v>175</v>
      </c>
      <c r="C3028" s="34" t="s">
        <v>175</v>
      </c>
    </row>
    <row r="3029" spans="2:3" ht="15" customHeight="1">
      <c r="B3029" s="34" t="s">
        <v>15402</v>
      </c>
      <c r="C3029" s="34" t="s">
        <v>15402</v>
      </c>
    </row>
    <row r="3030" spans="2:3" ht="15" customHeight="1">
      <c r="B3030" s="34" t="s">
        <v>15404</v>
      </c>
      <c r="C3030" s="34" t="s">
        <v>15404</v>
      </c>
    </row>
    <row r="3031" spans="2:3" ht="15" customHeight="1">
      <c r="B3031" s="34" t="s">
        <v>15406</v>
      </c>
      <c r="C3031" s="34" t="s">
        <v>15406</v>
      </c>
    </row>
    <row r="3032" spans="2:3" ht="15" customHeight="1">
      <c r="B3032" s="34" t="s">
        <v>15408</v>
      </c>
      <c r="C3032" s="34" t="s">
        <v>15408</v>
      </c>
    </row>
    <row r="3033" spans="2:3" ht="15" customHeight="1">
      <c r="B3033" s="34" t="s">
        <v>15410</v>
      </c>
      <c r="C3033" s="34" t="s">
        <v>15410</v>
      </c>
    </row>
    <row r="3034" spans="2:3" ht="15" customHeight="1">
      <c r="B3034" s="34" t="s">
        <v>15415</v>
      </c>
      <c r="C3034" s="34" t="s">
        <v>15415</v>
      </c>
    </row>
    <row r="3035" spans="2:3" ht="15" customHeight="1">
      <c r="B3035" s="34" t="s">
        <v>15418</v>
      </c>
      <c r="C3035" s="34" t="s">
        <v>15418</v>
      </c>
    </row>
    <row r="3036" spans="2:3" ht="15" customHeight="1">
      <c r="B3036" s="34" t="s">
        <v>15428</v>
      </c>
      <c r="C3036" s="34" t="s">
        <v>15428</v>
      </c>
    </row>
    <row r="3037" spans="2:3" ht="15" customHeight="1">
      <c r="B3037" s="34" t="s">
        <v>11000</v>
      </c>
      <c r="C3037" s="34" t="s">
        <v>11000</v>
      </c>
    </row>
    <row r="3038" spans="2:3" ht="15" customHeight="1">
      <c r="B3038" s="34" t="s">
        <v>13248</v>
      </c>
      <c r="C3038" s="34" t="s">
        <v>13248</v>
      </c>
    </row>
    <row r="3039" spans="2:3" ht="15" customHeight="1">
      <c r="B3039" s="34" t="s">
        <v>13290</v>
      </c>
      <c r="C3039" s="34" t="s">
        <v>13290</v>
      </c>
    </row>
    <row r="3040" spans="2:3" ht="15" customHeight="1">
      <c r="B3040" s="34" t="s">
        <v>15446</v>
      </c>
      <c r="C3040" s="34" t="s">
        <v>15446</v>
      </c>
    </row>
    <row r="3041" spans="2:3" ht="15" customHeight="1">
      <c r="B3041" s="34" t="s">
        <v>12139</v>
      </c>
      <c r="C3041" s="34" t="s">
        <v>12139</v>
      </c>
    </row>
    <row r="3042" spans="2:3" ht="15" customHeight="1">
      <c r="B3042" s="34" t="s">
        <v>15450</v>
      </c>
      <c r="C3042" s="34" t="s">
        <v>15450</v>
      </c>
    </row>
    <row r="3043" spans="2:3" ht="15" customHeight="1">
      <c r="B3043" s="34" t="s">
        <v>15453</v>
      </c>
      <c r="C3043" s="34" t="s">
        <v>15453</v>
      </c>
    </row>
    <row r="3044" spans="2:3" ht="15" customHeight="1">
      <c r="B3044" s="34" t="s">
        <v>15455</v>
      </c>
      <c r="C3044" s="34" t="s">
        <v>15455</v>
      </c>
    </row>
    <row r="3045" spans="2:3" ht="15" customHeight="1">
      <c r="B3045" s="34" t="s">
        <v>761</v>
      </c>
      <c r="C3045" s="34" t="s">
        <v>761</v>
      </c>
    </row>
    <row r="3046" spans="2:3" ht="15" customHeight="1">
      <c r="B3046" s="34" t="s">
        <v>749</v>
      </c>
      <c r="C3046" s="34" t="s">
        <v>749</v>
      </c>
    </row>
  </sheetData>
  <sortState xmlns:xlrd2="http://schemas.microsoft.com/office/spreadsheetml/2017/richdata2" ref="A2:C985">
    <sortCondition ref="A2:A985"/>
  </sortState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3F9E-35CF-41FF-B06A-9298193E897C}">
  <dimension ref="A1:F12"/>
  <sheetViews>
    <sheetView workbookViewId="0">
      <selection activeCell="C3" sqref="C3"/>
    </sheetView>
  </sheetViews>
  <sheetFormatPr defaultRowHeight="16"/>
  <cols>
    <col min="2" max="2" width="20.33203125" customWidth="1"/>
  </cols>
  <sheetData>
    <row r="1" spans="1:6">
      <c r="A1" t="s">
        <v>806</v>
      </c>
      <c r="B1" t="s">
        <v>805</v>
      </c>
      <c r="C1" t="s">
        <v>807</v>
      </c>
    </row>
    <row r="2" spans="1:6">
      <c r="B2" t="s">
        <v>801</v>
      </c>
      <c r="C2" s="2" t="s">
        <v>15533</v>
      </c>
    </row>
    <row r="3" spans="1:6">
      <c r="B3" t="s">
        <v>801</v>
      </c>
      <c r="C3" s="2" t="s">
        <v>6567</v>
      </c>
    </row>
    <row r="4" spans="1:6">
      <c r="B4" t="s">
        <v>802</v>
      </c>
      <c r="C4" t="s">
        <v>10675</v>
      </c>
    </row>
    <row r="5" spans="1:6">
      <c r="B5" t="s">
        <v>5473</v>
      </c>
      <c r="C5" t="s">
        <v>6564</v>
      </c>
    </row>
    <row r="6" spans="1:6">
      <c r="B6" t="s">
        <v>5512</v>
      </c>
      <c r="C6" t="s">
        <v>6565</v>
      </c>
    </row>
    <row r="7" spans="1:6">
      <c r="B7" t="s">
        <v>2000</v>
      </c>
      <c r="C7" t="s">
        <v>10414</v>
      </c>
    </row>
    <row r="8" spans="1:6">
      <c r="B8" t="s">
        <v>5511</v>
      </c>
      <c r="C8" t="s">
        <v>6570</v>
      </c>
    </row>
    <row r="12" spans="1:6">
      <c r="F12" t="s">
        <v>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BD01-5F5D-4E97-A7F3-2BC0A34FAEFC}">
  <dimension ref="A1:M9311"/>
  <sheetViews>
    <sheetView tabSelected="1" zoomScale="85" zoomScaleNormal="85" workbookViewId="0">
      <pane ySplit="1" topLeftCell="A101" activePane="bottomLeft" state="frozen"/>
      <selection pane="bottomLeft" activeCell="E130" sqref="E130"/>
    </sheetView>
  </sheetViews>
  <sheetFormatPr defaultRowHeight="16"/>
  <cols>
    <col min="1" max="1" width="53.25" customWidth="1"/>
    <col min="2" max="2" width="18.83203125" customWidth="1"/>
    <col min="3" max="3" width="32.5" style="34" customWidth="1"/>
    <col min="4" max="5" width="32.5" customWidth="1"/>
    <col min="6" max="6" width="28.75" customWidth="1"/>
    <col min="7" max="7" width="14.08203125" customWidth="1"/>
    <col min="10" max="10" width="8.25" customWidth="1"/>
    <col min="11" max="11" width="19.08203125" customWidth="1"/>
  </cols>
  <sheetData>
    <row r="1" spans="1:13" ht="15" customHeight="1">
      <c r="A1" s="27" t="s">
        <v>1002</v>
      </c>
      <c r="B1" s="27" t="s">
        <v>236</v>
      </c>
      <c r="C1" s="33" t="s">
        <v>1003</v>
      </c>
      <c r="D1" s="27" t="s">
        <v>10350</v>
      </c>
      <c r="E1" s="27" t="s">
        <v>10351</v>
      </c>
      <c r="F1" s="27" t="s">
        <v>1006</v>
      </c>
      <c r="G1" s="30" t="s">
        <v>801</v>
      </c>
      <c r="H1" s="8" t="s">
        <v>806</v>
      </c>
      <c r="I1" s="8" t="s">
        <v>10247</v>
      </c>
      <c r="J1" s="27" t="s">
        <v>1433</v>
      </c>
      <c r="K1" s="27" t="s">
        <v>830</v>
      </c>
      <c r="L1" t="s">
        <v>7127</v>
      </c>
      <c r="M1" t="s">
        <v>10128</v>
      </c>
    </row>
    <row r="2" spans="1:13">
      <c r="A2" t="s">
        <v>9546</v>
      </c>
      <c r="B2" t="s">
        <v>7340</v>
      </c>
      <c r="C2" s="34" t="s">
        <v>777</v>
      </c>
      <c r="F2" t="s">
        <v>777</v>
      </c>
      <c r="G2" t="s">
        <v>6932</v>
      </c>
      <c r="H2">
        <v>5</v>
      </c>
      <c r="I2">
        <f>VLOOKUP(B2,BRAND!B:D,3,FALSE)</f>
        <v>5.5</v>
      </c>
      <c r="J2">
        <v>7</v>
      </c>
      <c r="M2">
        <v>1</v>
      </c>
    </row>
    <row r="3" spans="1:13">
      <c r="A3" t="s">
        <v>7339</v>
      </c>
      <c r="B3" t="s">
        <v>7340</v>
      </c>
      <c r="C3" s="34" t="s">
        <v>766</v>
      </c>
      <c r="F3" t="s">
        <v>766</v>
      </c>
      <c r="G3" t="s">
        <v>6932</v>
      </c>
      <c r="H3">
        <v>5</v>
      </c>
      <c r="I3">
        <f>VLOOKUP(B3,BRAND!B:D,3,FALSE)</f>
        <v>5.5</v>
      </c>
      <c r="J3">
        <v>6</v>
      </c>
      <c r="M3">
        <v>1</v>
      </c>
    </row>
    <row r="4" spans="1:13">
      <c r="A4" t="s">
        <v>7218</v>
      </c>
      <c r="B4">
        <v>13</v>
      </c>
      <c r="C4" s="34" t="s">
        <v>786</v>
      </c>
      <c r="F4" t="s">
        <v>786</v>
      </c>
      <c r="H4">
        <v>5</v>
      </c>
      <c r="I4">
        <f>VLOOKUP(B4,BRAND!B:D,3,FALSE)</f>
        <v>15</v>
      </c>
      <c r="M4">
        <v>1</v>
      </c>
    </row>
    <row r="5" spans="1:13">
      <c r="A5" t="s">
        <v>10048</v>
      </c>
      <c r="B5" t="s">
        <v>5368</v>
      </c>
      <c r="C5" s="34" t="s">
        <v>845</v>
      </c>
      <c r="F5" t="s">
        <v>845</v>
      </c>
      <c r="H5">
        <v>5</v>
      </c>
      <c r="I5">
        <f>VLOOKUP(B5,BRAND!B:D,3,FALSE)</f>
        <v>5.5</v>
      </c>
      <c r="J5">
        <v>9</v>
      </c>
      <c r="K5" t="e">
        <v>#N/A</v>
      </c>
      <c r="M5">
        <v>0</v>
      </c>
    </row>
    <row r="6" spans="1:13">
      <c r="A6" t="s">
        <v>10049</v>
      </c>
      <c r="B6" t="s">
        <v>5368</v>
      </c>
      <c r="C6" s="34" t="s">
        <v>5369</v>
      </c>
      <c r="F6" t="s">
        <v>5369</v>
      </c>
      <c r="H6">
        <v>5</v>
      </c>
      <c r="I6">
        <f>VLOOKUP(B6,BRAND!B:D,3,FALSE)</f>
        <v>5.5</v>
      </c>
      <c r="J6">
        <v>9</v>
      </c>
      <c r="K6" t="e">
        <v>#N/A</v>
      </c>
      <c r="M6">
        <v>0</v>
      </c>
    </row>
    <row r="7" spans="1:13">
      <c r="A7" t="s">
        <v>10050</v>
      </c>
      <c r="B7" t="s">
        <v>5368</v>
      </c>
      <c r="C7" s="34" t="s">
        <v>840</v>
      </c>
      <c r="F7" t="s">
        <v>840</v>
      </c>
      <c r="H7">
        <v>5</v>
      </c>
      <c r="I7">
        <f>VLOOKUP(B7,BRAND!B:D,3,FALSE)</f>
        <v>5.5</v>
      </c>
      <c r="J7">
        <v>9</v>
      </c>
      <c r="K7" t="e">
        <v>#N/A</v>
      </c>
      <c r="M7">
        <v>0</v>
      </c>
    </row>
    <row r="8" spans="1:13">
      <c r="A8" t="s">
        <v>13886</v>
      </c>
      <c r="B8" s="26" t="s">
        <v>5367</v>
      </c>
      <c r="C8" s="34" t="s">
        <v>781</v>
      </c>
      <c r="F8" t="s">
        <v>781</v>
      </c>
      <c r="G8" t="s">
        <v>6932</v>
      </c>
      <c r="H8">
        <v>4</v>
      </c>
      <c r="I8">
        <f>VLOOKUP(B8,BRAND!B:D,3,FALSE)</f>
        <v>3</v>
      </c>
      <c r="J8">
        <f t="shared" ref="J8:J16" si="0">LEN(F8)</f>
        <v>4</v>
      </c>
      <c r="K8" t="s">
        <v>821</v>
      </c>
      <c r="L8">
        <v>0</v>
      </c>
      <c r="M8">
        <v>1</v>
      </c>
    </row>
    <row r="9" spans="1:13">
      <c r="A9" s="28" t="s">
        <v>13892</v>
      </c>
      <c r="B9" s="26" t="s">
        <v>5367</v>
      </c>
      <c r="C9" s="35" t="s">
        <v>561</v>
      </c>
      <c r="D9" s="28"/>
      <c r="E9" s="28"/>
      <c r="F9" s="28" t="s">
        <v>13893</v>
      </c>
      <c r="G9" t="s">
        <v>6932</v>
      </c>
      <c r="H9">
        <v>5</v>
      </c>
      <c r="I9">
        <f>VLOOKUP(B9,BRAND!B:D,3,FALSE)</f>
        <v>3</v>
      </c>
      <c r="J9">
        <f t="shared" si="0"/>
        <v>10</v>
      </c>
      <c r="K9" t="s">
        <v>821</v>
      </c>
      <c r="L9">
        <v>0</v>
      </c>
      <c r="M9">
        <v>1</v>
      </c>
    </row>
    <row r="10" spans="1:13">
      <c r="A10" t="s">
        <v>13887</v>
      </c>
      <c r="B10" s="26" t="s">
        <v>5367</v>
      </c>
      <c r="C10" s="34" t="s">
        <v>13888</v>
      </c>
      <c r="F10" t="s">
        <v>13888</v>
      </c>
      <c r="G10" t="s">
        <v>6932</v>
      </c>
      <c r="H10">
        <v>5</v>
      </c>
      <c r="I10">
        <f>VLOOKUP(B10,BRAND!B:D,3,FALSE)</f>
        <v>3</v>
      </c>
      <c r="J10">
        <f t="shared" si="0"/>
        <v>9</v>
      </c>
      <c r="K10" t="s">
        <v>821</v>
      </c>
      <c r="L10">
        <v>0</v>
      </c>
      <c r="M10">
        <v>1</v>
      </c>
    </row>
    <row r="11" spans="1:13">
      <c r="A11" t="s">
        <v>13900</v>
      </c>
      <c r="B11" s="26" t="s">
        <v>5367</v>
      </c>
      <c r="C11" s="34" t="s">
        <v>904</v>
      </c>
      <c r="F11" t="s">
        <v>904</v>
      </c>
      <c r="G11" t="s">
        <v>6932</v>
      </c>
      <c r="H11">
        <v>5</v>
      </c>
      <c r="I11">
        <f>VLOOKUP(B11,BRAND!B:D,3,FALSE)</f>
        <v>3</v>
      </c>
      <c r="J11">
        <f t="shared" si="0"/>
        <v>8</v>
      </c>
      <c r="K11" t="s">
        <v>821</v>
      </c>
      <c r="L11">
        <v>0</v>
      </c>
      <c r="M11">
        <v>1</v>
      </c>
    </row>
    <row r="12" spans="1:13">
      <c r="A12" t="s">
        <v>13894</v>
      </c>
      <c r="B12" s="26" t="s">
        <v>5367</v>
      </c>
      <c r="C12" s="34" t="s">
        <v>9119</v>
      </c>
      <c r="F12" t="s">
        <v>9119</v>
      </c>
      <c r="G12" t="s">
        <v>6932</v>
      </c>
      <c r="H12">
        <v>5</v>
      </c>
      <c r="I12">
        <f>VLOOKUP(B12,BRAND!B:D,3,FALSE)</f>
        <v>3</v>
      </c>
      <c r="J12">
        <f t="shared" si="0"/>
        <v>8</v>
      </c>
      <c r="K12" t="s">
        <v>821</v>
      </c>
      <c r="L12">
        <v>0</v>
      </c>
      <c r="M12">
        <v>1</v>
      </c>
    </row>
    <row r="13" spans="1:13">
      <c r="A13" t="s">
        <v>13895</v>
      </c>
      <c r="B13" s="26" t="s">
        <v>5367</v>
      </c>
      <c r="C13" s="34" t="s">
        <v>880</v>
      </c>
      <c r="F13" t="s">
        <v>880</v>
      </c>
      <c r="G13" t="s">
        <v>6932</v>
      </c>
      <c r="H13">
        <v>5</v>
      </c>
      <c r="I13">
        <f>VLOOKUP(B13,BRAND!B:D,3,FALSE)</f>
        <v>3</v>
      </c>
      <c r="J13">
        <f t="shared" si="0"/>
        <v>7</v>
      </c>
      <c r="K13" t="s">
        <v>821</v>
      </c>
      <c r="L13">
        <v>0</v>
      </c>
      <c r="M13">
        <v>1</v>
      </c>
    </row>
    <row r="14" spans="1:13">
      <c r="A14" t="s">
        <v>13897</v>
      </c>
      <c r="B14" s="26" t="s">
        <v>5367</v>
      </c>
      <c r="C14" s="34" t="s">
        <v>952</v>
      </c>
      <c r="F14" t="s">
        <v>952</v>
      </c>
      <c r="G14" t="s">
        <v>6932</v>
      </c>
      <c r="H14">
        <v>5</v>
      </c>
      <c r="I14">
        <f>VLOOKUP(B14,BRAND!B:D,3,FALSE)</f>
        <v>3</v>
      </c>
      <c r="J14">
        <f t="shared" si="0"/>
        <v>7</v>
      </c>
      <c r="K14" t="s">
        <v>821</v>
      </c>
      <c r="L14">
        <v>0</v>
      </c>
      <c r="M14">
        <v>1</v>
      </c>
    </row>
    <row r="15" spans="1:13">
      <c r="A15" t="s">
        <v>13889</v>
      </c>
      <c r="B15" s="26" t="s">
        <v>5367</v>
      </c>
      <c r="C15" s="34" t="s">
        <v>15534</v>
      </c>
      <c r="F15" t="s">
        <v>13890</v>
      </c>
      <c r="G15" t="s">
        <v>801</v>
      </c>
      <c r="H15">
        <v>5</v>
      </c>
      <c r="I15">
        <f>VLOOKUP(B15,BRAND!B:D,3,FALSE)</f>
        <v>3</v>
      </c>
      <c r="J15">
        <f t="shared" si="0"/>
        <v>6</v>
      </c>
      <c r="K15" t="s">
        <v>821</v>
      </c>
      <c r="L15">
        <v>0</v>
      </c>
      <c r="M15">
        <v>1</v>
      </c>
    </row>
    <row r="16" spans="1:13">
      <c r="A16" t="s">
        <v>13883</v>
      </c>
      <c r="B16" s="26" t="s">
        <v>5367</v>
      </c>
      <c r="C16" s="34" t="s">
        <v>900</v>
      </c>
      <c r="F16" t="s">
        <v>900</v>
      </c>
      <c r="G16" t="s">
        <v>6932</v>
      </c>
      <c r="H16">
        <v>5</v>
      </c>
      <c r="I16">
        <f>VLOOKUP(B16,BRAND!B:D,3,FALSE)</f>
        <v>3</v>
      </c>
      <c r="J16">
        <f t="shared" si="0"/>
        <v>5</v>
      </c>
      <c r="K16" t="s">
        <v>821</v>
      </c>
      <c r="L16">
        <v>0</v>
      </c>
      <c r="M16">
        <v>1</v>
      </c>
    </row>
    <row r="17" spans="1:13">
      <c r="A17" t="s">
        <v>10051</v>
      </c>
      <c r="B17" s="26" t="s">
        <v>5367</v>
      </c>
      <c r="C17" s="34" t="s">
        <v>536</v>
      </c>
      <c r="F17" t="s">
        <v>536</v>
      </c>
      <c r="H17">
        <v>5</v>
      </c>
      <c r="I17">
        <f>VLOOKUP(B17,BRAND!B:D,3,FALSE)</f>
        <v>3</v>
      </c>
      <c r="J17">
        <v>5</v>
      </c>
      <c r="K17" t="e">
        <v>#N/A</v>
      </c>
      <c r="M17">
        <v>0</v>
      </c>
    </row>
    <row r="18" spans="1:13">
      <c r="A18" t="s">
        <v>10052</v>
      </c>
      <c r="B18" s="26" t="s">
        <v>5367</v>
      </c>
      <c r="C18" s="34" t="s">
        <v>776</v>
      </c>
      <c r="F18" t="s">
        <v>776</v>
      </c>
      <c r="H18">
        <v>5</v>
      </c>
      <c r="I18">
        <f>VLOOKUP(B18,BRAND!B:D,3,FALSE)</f>
        <v>3</v>
      </c>
      <c r="J18">
        <v>5</v>
      </c>
      <c r="K18" t="e">
        <v>#N/A</v>
      </c>
      <c r="M18">
        <v>0</v>
      </c>
    </row>
    <row r="19" spans="1:13">
      <c r="A19" t="s">
        <v>13899</v>
      </c>
      <c r="B19" s="26" t="s">
        <v>5367</v>
      </c>
      <c r="C19" s="34" t="s">
        <v>875</v>
      </c>
      <c r="F19" t="s">
        <v>875</v>
      </c>
      <c r="G19" t="s">
        <v>6932</v>
      </c>
      <c r="H19">
        <v>5</v>
      </c>
      <c r="I19">
        <f>VLOOKUP(B19,BRAND!B:D,3,FALSE)</f>
        <v>3</v>
      </c>
      <c r="J19">
        <f>LEN(F19)</f>
        <v>5</v>
      </c>
      <c r="K19" t="s">
        <v>821</v>
      </c>
      <c r="L19">
        <v>0</v>
      </c>
      <c r="M19">
        <v>1</v>
      </c>
    </row>
    <row r="20" spans="1:13">
      <c r="A20" t="s">
        <v>13884</v>
      </c>
      <c r="B20" s="26" t="s">
        <v>5367</v>
      </c>
      <c r="C20" s="34" t="s">
        <v>776</v>
      </c>
      <c r="F20" t="s">
        <v>776</v>
      </c>
      <c r="G20" t="s">
        <v>801</v>
      </c>
      <c r="H20">
        <v>5</v>
      </c>
      <c r="I20">
        <f>VLOOKUP(B20,BRAND!B:D,3,FALSE)</f>
        <v>3</v>
      </c>
      <c r="J20">
        <f>LEN(F20)</f>
        <v>5</v>
      </c>
      <c r="K20" t="s">
        <v>821</v>
      </c>
      <c r="L20">
        <v>0</v>
      </c>
      <c r="M20">
        <v>1</v>
      </c>
    </row>
    <row r="21" spans="1:13">
      <c r="A21" t="s">
        <v>13883</v>
      </c>
      <c r="B21" s="26" t="s">
        <v>5367</v>
      </c>
      <c r="C21" s="34" t="s">
        <v>900</v>
      </c>
      <c r="F21" t="s">
        <v>900</v>
      </c>
      <c r="G21" t="s">
        <v>6932</v>
      </c>
      <c r="H21">
        <v>5</v>
      </c>
      <c r="I21">
        <f>VLOOKUP(B21,BRAND!B:D,3,FALSE)</f>
        <v>3</v>
      </c>
      <c r="J21">
        <f>LEN(F21)</f>
        <v>5</v>
      </c>
      <c r="K21" t="s">
        <v>821</v>
      </c>
      <c r="L21">
        <v>0</v>
      </c>
      <c r="M21">
        <v>1</v>
      </c>
    </row>
    <row r="22" spans="1:13">
      <c r="A22" t="s">
        <v>10052</v>
      </c>
      <c r="B22" s="26" t="s">
        <v>5367</v>
      </c>
      <c r="C22" s="34" t="s">
        <v>776</v>
      </c>
      <c r="F22" t="s">
        <v>776</v>
      </c>
      <c r="G22" t="s">
        <v>6932</v>
      </c>
      <c r="H22">
        <v>5</v>
      </c>
      <c r="I22">
        <f>VLOOKUP(B22,BRAND!B:D,3,FALSE)</f>
        <v>3</v>
      </c>
      <c r="J22">
        <f>LEN(F22)</f>
        <v>5</v>
      </c>
      <c r="K22" t="s">
        <v>821</v>
      </c>
      <c r="L22">
        <v>0</v>
      </c>
      <c r="M22">
        <v>1</v>
      </c>
    </row>
    <row r="23" spans="1:13">
      <c r="A23" t="s">
        <v>13891</v>
      </c>
      <c r="B23" s="26" t="s">
        <v>5367</v>
      </c>
      <c r="C23" s="34" t="s">
        <v>371</v>
      </c>
      <c r="F23" t="s">
        <v>371</v>
      </c>
      <c r="G23" t="s">
        <v>6932</v>
      </c>
      <c r="H23">
        <v>5</v>
      </c>
      <c r="I23">
        <f>VLOOKUP(B23,BRAND!B:D,3,FALSE)</f>
        <v>3</v>
      </c>
      <c r="J23">
        <f>LEN(F23)</f>
        <v>5</v>
      </c>
      <c r="K23" t="s">
        <v>821</v>
      </c>
      <c r="L23">
        <v>0</v>
      </c>
      <c r="M23">
        <v>1</v>
      </c>
    </row>
    <row r="24" spans="1:13">
      <c r="A24" t="s">
        <v>10053</v>
      </c>
      <c r="B24" s="26" t="s">
        <v>5367</v>
      </c>
      <c r="C24" s="34" t="s">
        <v>897</v>
      </c>
      <c r="F24" t="s">
        <v>897</v>
      </c>
      <c r="H24">
        <v>5</v>
      </c>
      <c r="I24">
        <f>VLOOKUP(B24,BRAND!B:D,3,FALSE)</f>
        <v>3</v>
      </c>
      <c r="J24">
        <v>4</v>
      </c>
      <c r="K24" t="e">
        <v>#N/A</v>
      </c>
      <c r="M24">
        <v>0</v>
      </c>
    </row>
    <row r="25" spans="1:13">
      <c r="A25" t="s">
        <v>13896</v>
      </c>
      <c r="B25" s="26" t="s">
        <v>5367</v>
      </c>
      <c r="C25" s="34" t="s">
        <v>765</v>
      </c>
      <c r="F25" t="s">
        <v>765</v>
      </c>
      <c r="G25" t="s">
        <v>6932</v>
      </c>
      <c r="H25">
        <v>5</v>
      </c>
      <c r="I25">
        <f>VLOOKUP(B25,BRAND!B:D,3,FALSE)</f>
        <v>3</v>
      </c>
      <c r="J25">
        <f>LEN(F25)</f>
        <v>4</v>
      </c>
      <c r="K25" t="s">
        <v>821</v>
      </c>
      <c r="L25">
        <v>0</v>
      </c>
      <c r="M25">
        <v>1</v>
      </c>
    </row>
    <row r="26" spans="1:13">
      <c r="A26" t="s">
        <v>13898</v>
      </c>
      <c r="B26" s="26" t="s">
        <v>5367</v>
      </c>
      <c r="C26" s="34" t="s">
        <v>1992</v>
      </c>
      <c r="F26" t="s">
        <v>1992</v>
      </c>
      <c r="G26" t="s">
        <v>6932</v>
      </c>
      <c r="H26">
        <v>5</v>
      </c>
      <c r="I26">
        <f>VLOOKUP(B26,BRAND!B:D,3,FALSE)</f>
        <v>3</v>
      </c>
      <c r="J26">
        <f>LEN(F26)</f>
        <v>3</v>
      </c>
      <c r="K26" t="s">
        <v>821</v>
      </c>
      <c r="L26">
        <v>0</v>
      </c>
      <c r="M26">
        <v>1</v>
      </c>
    </row>
    <row r="27" spans="1:13">
      <c r="A27" t="s">
        <v>13885</v>
      </c>
      <c r="B27" s="26" t="s">
        <v>5367</v>
      </c>
      <c r="C27" s="34" t="s">
        <v>775</v>
      </c>
      <c r="F27" t="s">
        <v>775</v>
      </c>
      <c r="G27" t="s">
        <v>6932</v>
      </c>
      <c r="H27">
        <v>5</v>
      </c>
      <c r="I27">
        <f>VLOOKUP(B27,BRAND!B:D,3,FALSE)</f>
        <v>3</v>
      </c>
      <c r="J27">
        <f>LEN(F27)</f>
        <v>3</v>
      </c>
      <c r="K27" t="s">
        <v>821</v>
      </c>
      <c r="L27">
        <v>0</v>
      </c>
      <c r="M27">
        <v>1</v>
      </c>
    </row>
    <row r="28" spans="1:13">
      <c r="A28" t="s">
        <v>9547</v>
      </c>
      <c r="B28" t="s">
        <v>9980</v>
      </c>
      <c r="C28" s="34" t="s">
        <v>535</v>
      </c>
      <c r="F28" t="s">
        <v>535</v>
      </c>
      <c r="G28" t="s">
        <v>6932</v>
      </c>
      <c r="H28">
        <v>5</v>
      </c>
      <c r="I28">
        <f>VLOOKUP(B28,BRAND!B:D,3,FALSE)</f>
        <v>5.5</v>
      </c>
      <c r="J28">
        <v>6</v>
      </c>
      <c r="M28">
        <v>1</v>
      </c>
    </row>
    <row r="29" spans="1:13">
      <c r="A29" t="s">
        <v>7343</v>
      </c>
      <c r="B29" t="s">
        <v>7342</v>
      </c>
      <c r="C29" s="34" t="s">
        <v>7344</v>
      </c>
      <c r="F29" t="s">
        <v>7344</v>
      </c>
      <c r="G29" t="s">
        <v>6932</v>
      </c>
      <c r="H29">
        <v>5</v>
      </c>
      <c r="I29">
        <f>VLOOKUP(B29,BRAND!B:D,3,FALSE)</f>
        <v>5.5</v>
      </c>
      <c r="J29">
        <v>7</v>
      </c>
      <c r="M29">
        <v>1</v>
      </c>
    </row>
    <row r="30" spans="1:13">
      <c r="A30" t="s">
        <v>7341</v>
      </c>
      <c r="B30" t="s">
        <v>7342</v>
      </c>
      <c r="C30" s="34" t="s">
        <v>5232</v>
      </c>
      <c r="F30" t="s">
        <v>536</v>
      </c>
      <c r="G30" t="s">
        <v>6932</v>
      </c>
      <c r="H30">
        <v>5</v>
      </c>
      <c r="I30">
        <f>VLOOKUP(B30,BRAND!B:D,3,FALSE)</f>
        <v>5.5</v>
      </c>
      <c r="J30">
        <v>5</v>
      </c>
      <c r="M30">
        <v>1</v>
      </c>
    </row>
    <row r="31" spans="1:13">
      <c r="A31" t="s">
        <v>7345</v>
      </c>
      <c r="B31" t="s">
        <v>7342</v>
      </c>
      <c r="C31" s="34" t="s">
        <v>7346</v>
      </c>
      <c r="F31" t="s">
        <v>7346</v>
      </c>
      <c r="G31" t="s">
        <v>6932</v>
      </c>
      <c r="H31">
        <v>5</v>
      </c>
      <c r="I31">
        <f>VLOOKUP(B31,BRAND!B:D,3,FALSE)</f>
        <v>5.5</v>
      </c>
      <c r="J31">
        <v>3</v>
      </c>
      <c r="M31">
        <v>1</v>
      </c>
    </row>
    <row r="32" spans="1:13">
      <c r="A32" t="s">
        <v>7347</v>
      </c>
      <c r="B32" s="26" t="s">
        <v>7342</v>
      </c>
      <c r="C32" s="34" t="s">
        <v>7348</v>
      </c>
      <c r="F32" t="s">
        <v>7348</v>
      </c>
      <c r="G32" t="s">
        <v>6932</v>
      </c>
      <c r="H32">
        <v>5</v>
      </c>
      <c r="I32">
        <f>VLOOKUP(B32,BRAND!B:D,3,FALSE)</f>
        <v>5.5</v>
      </c>
      <c r="J32">
        <v>3</v>
      </c>
      <c r="M32">
        <v>1</v>
      </c>
    </row>
    <row r="33" spans="1:13">
      <c r="A33" t="s">
        <v>9552</v>
      </c>
      <c r="B33" s="26" t="s">
        <v>15535</v>
      </c>
      <c r="C33" s="34" t="s">
        <v>6584</v>
      </c>
      <c r="F33" t="s">
        <v>6584</v>
      </c>
      <c r="H33">
        <v>5</v>
      </c>
      <c r="I33" t="e">
        <f>VLOOKUP(B33,BRAND!B:D,3,FALSE)</f>
        <v>#N/A</v>
      </c>
      <c r="J33">
        <v>8</v>
      </c>
      <c r="M33">
        <v>1</v>
      </c>
    </row>
    <row r="34" spans="1:13">
      <c r="A34" t="s">
        <v>9548</v>
      </c>
      <c r="B34" s="26" t="s">
        <v>15536</v>
      </c>
      <c r="C34" s="34" t="s">
        <v>763</v>
      </c>
      <c r="F34" t="s">
        <v>763</v>
      </c>
      <c r="H34">
        <v>5</v>
      </c>
      <c r="I34" t="e">
        <f>VLOOKUP(B34,BRAND!B:D,3,FALSE)</f>
        <v>#N/A</v>
      </c>
      <c r="J34">
        <v>5</v>
      </c>
      <c r="M34">
        <v>1</v>
      </c>
    </row>
    <row r="35" spans="1:13">
      <c r="A35" t="s">
        <v>9551</v>
      </c>
      <c r="B35" s="26" t="s">
        <v>15537</v>
      </c>
      <c r="C35" s="34" t="s">
        <v>6585</v>
      </c>
      <c r="F35" t="s">
        <v>6585</v>
      </c>
      <c r="H35">
        <v>5</v>
      </c>
      <c r="I35" t="e">
        <f>VLOOKUP(B35,BRAND!B:D,3,FALSE)</f>
        <v>#N/A</v>
      </c>
      <c r="J35">
        <v>5</v>
      </c>
      <c r="M35">
        <v>1</v>
      </c>
    </row>
    <row r="36" spans="1:13">
      <c r="A36" t="s">
        <v>9549</v>
      </c>
      <c r="B36" s="26" t="s">
        <v>15538</v>
      </c>
      <c r="C36" s="34" t="s">
        <v>1438</v>
      </c>
      <c r="F36" t="s">
        <v>1438</v>
      </c>
      <c r="G36" t="s">
        <v>802</v>
      </c>
      <c r="H36">
        <v>5</v>
      </c>
      <c r="I36" t="e">
        <f>VLOOKUP(B36,BRAND!B:D,3,FALSE)</f>
        <v>#N/A</v>
      </c>
      <c r="J36">
        <v>4</v>
      </c>
      <c r="M36">
        <v>1</v>
      </c>
    </row>
    <row r="37" spans="1:13">
      <c r="A37" t="s">
        <v>9550</v>
      </c>
      <c r="B37" s="26" t="s">
        <v>15539</v>
      </c>
      <c r="C37" s="34" t="s">
        <v>1438</v>
      </c>
      <c r="F37" t="s">
        <v>1438</v>
      </c>
      <c r="G37" t="s">
        <v>801</v>
      </c>
      <c r="H37">
        <v>5</v>
      </c>
      <c r="I37" t="e">
        <f>VLOOKUP(B37,BRAND!B:D,3,FALSE)</f>
        <v>#N/A</v>
      </c>
      <c r="J37">
        <v>4</v>
      </c>
      <c r="M37">
        <v>1</v>
      </c>
    </row>
    <row r="38" spans="1:13">
      <c r="A38" t="s">
        <v>9553</v>
      </c>
      <c r="B38" s="26" t="s">
        <v>15540</v>
      </c>
      <c r="C38" s="34" t="s">
        <v>775</v>
      </c>
      <c r="F38" t="s">
        <v>775</v>
      </c>
      <c r="H38">
        <v>5</v>
      </c>
      <c r="I38" t="e">
        <f>VLOOKUP(B38,BRAND!B:D,3,FALSE)</f>
        <v>#N/A</v>
      </c>
      <c r="J38">
        <v>3</v>
      </c>
      <c r="M38">
        <v>1</v>
      </c>
    </row>
    <row r="39" spans="1:13">
      <c r="A39" t="s">
        <v>7349</v>
      </c>
      <c r="B39" t="s">
        <v>7350</v>
      </c>
      <c r="C39" s="34" t="s">
        <v>5250</v>
      </c>
      <c r="F39" t="s">
        <v>561</v>
      </c>
      <c r="G39" t="s">
        <v>6932</v>
      </c>
      <c r="H39">
        <v>5</v>
      </c>
      <c r="I39">
        <f>VLOOKUP(B39,BRAND!B:D,3,FALSE)</f>
        <v>5.5</v>
      </c>
      <c r="J39">
        <v>3</v>
      </c>
      <c r="L39">
        <v>1</v>
      </c>
      <c r="M39">
        <v>1</v>
      </c>
    </row>
    <row r="40" spans="1:13">
      <c r="A40" t="s">
        <v>7353</v>
      </c>
      <c r="B40" t="s">
        <v>7352</v>
      </c>
      <c r="C40" s="34" t="s">
        <v>903</v>
      </c>
      <c r="F40" t="s">
        <v>903</v>
      </c>
      <c r="G40" t="s">
        <v>6932</v>
      </c>
      <c r="H40">
        <v>5</v>
      </c>
      <c r="I40">
        <f>VLOOKUP(B40,BRAND!B:D,3,FALSE)</f>
        <v>5.5</v>
      </c>
      <c r="J40">
        <v>4</v>
      </c>
      <c r="M40">
        <v>1</v>
      </c>
    </row>
    <row r="41" spans="1:13">
      <c r="A41" t="s">
        <v>7351</v>
      </c>
      <c r="B41" t="s">
        <v>7352</v>
      </c>
      <c r="C41" s="34" t="s">
        <v>5232</v>
      </c>
      <c r="F41" t="s">
        <v>561</v>
      </c>
      <c r="G41" t="s">
        <v>6932</v>
      </c>
      <c r="H41">
        <v>5</v>
      </c>
      <c r="I41">
        <f>VLOOKUP(B41,BRAND!B:D,3,FALSE)</f>
        <v>5.5</v>
      </c>
      <c r="J41">
        <v>3</v>
      </c>
      <c r="M41">
        <v>1</v>
      </c>
    </row>
    <row r="42" spans="1:13">
      <c r="A42" t="s">
        <v>9954</v>
      </c>
      <c r="B42" t="s">
        <v>10020</v>
      </c>
      <c r="C42" s="34" t="s">
        <v>751</v>
      </c>
      <c r="G42" t="s">
        <v>6932</v>
      </c>
      <c r="H42">
        <v>5</v>
      </c>
      <c r="I42">
        <f>VLOOKUP(B42,BRAND!B:D,3,FALSE)</f>
        <v>5.5</v>
      </c>
      <c r="J42">
        <f>LEN(F42)</f>
        <v>0</v>
      </c>
      <c r="L42">
        <v>0</v>
      </c>
      <c r="M42">
        <v>0</v>
      </c>
    </row>
    <row r="43" spans="1:13">
      <c r="A43" t="s">
        <v>9954</v>
      </c>
      <c r="B43" t="s">
        <v>10020</v>
      </c>
      <c r="C43" s="34" t="s">
        <v>751</v>
      </c>
      <c r="G43" t="s">
        <v>6932</v>
      </c>
      <c r="H43">
        <v>5</v>
      </c>
      <c r="I43">
        <f>VLOOKUP(B43,BRAND!B:D,3,FALSE)</f>
        <v>5.5</v>
      </c>
      <c r="J43">
        <v>0</v>
      </c>
      <c r="M43">
        <v>1</v>
      </c>
    </row>
    <row r="44" spans="1:13">
      <c r="A44" t="s">
        <v>9545</v>
      </c>
      <c r="B44" t="s">
        <v>6586</v>
      </c>
      <c r="C44" s="34" t="s">
        <v>1438</v>
      </c>
      <c r="F44" t="s">
        <v>1438</v>
      </c>
      <c r="H44">
        <v>5</v>
      </c>
      <c r="I44">
        <f>VLOOKUP(B44,BRAND!B:D,3,FALSE)</f>
        <v>5</v>
      </c>
      <c r="J44">
        <v>4</v>
      </c>
      <c r="M44">
        <v>1</v>
      </c>
    </row>
    <row r="45" spans="1:13">
      <c r="A45" t="s">
        <v>11562</v>
      </c>
      <c r="B45" t="s">
        <v>10925</v>
      </c>
      <c r="C45" s="34" t="s">
        <v>11041</v>
      </c>
      <c r="F45" t="s">
        <v>11041</v>
      </c>
      <c r="G45" t="s">
        <v>6932</v>
      </c>
      <c r="H45">
        <v>5</v>
      </c>
    </row>
    <row r="46" spans="1:13">
      <c r="A46" t="s">
        <v>11563</v>
      </c>
      <c r="B46" t="s">
        <v>10925</v>
      </c>
      <c r="C46" s="34" t="s">
        <v>11042</v>
      </c>
      <c r="F46" t="s">
        <v>11042</v>
      </c>
      <c r="G46" t="s">
        <v>6932</v>
      </c>
      <c r="H46">
        <v>5</v>
      </c>
    </row>
    <row r="47" spans="1:13">
      <c r="A47" t="s">
        <v>11564</v>
      </c>
      <c r="B47" t="s">
        <v>10925</v>
      </c>
      <c r="C47" s="34" t="s">
        <v>11043</v>
      </c>
      <c r="F47" t="s">
        <v>11043</v>
      </c>
      <c r="G47" t="s">
        <v>6932</v>
      </c>
      <c r="H47">
        <v>5</v>
      </c>
    </row>
    <row r="48" spans="1:13">
      <c r="A48" t="s">
        <v>11565</v>
      </c>
      <c r="B48" t="s">
        <v>10925</v>
      </c>
      <c r="C48" s="34" t="s">
        <v>11044</v>
      </c>
      <c r="F48" t="s">
        <v>11044</v>
      </c>
      <c r="G48" t="s">
        <v>6932</v>
      </c>
      <c r="H48">
        <v>5</v>
      </c>
    </row>
    <row r="49" spans="1:13">
      <c r="A49" t="s">
        <v>11566</v>
      </c>
      <c r="B49" t="s">
        <v>10925</v>
      </c>
      <c r="C49" s="34" t="s">
        <v>11045</v>
      </c>
      <c r="F49" t="s">
        <v>11045</v>
      </c>
      <c r="G49" t="s">
        <v>6932</v>
      </c>
      <c r="H49">
        <v>5</v>
      </c>
    </row>
    <row r="50" spans="1:13">
      <c r="A50" t="s">
        <v>11567</v>
      </c>
      <c r="B50" t="s">
        <v>10925</v>
      </c>
      <c r="C50" s="34" t="s">
        <v>11046</v>
      </c>
      <c r="F50" t="s">
        <v>11046</v>
      </c>
      <c r="G50" t="s">
        <v>6932</v>
      </c>
      <c r="H50">
        <v>5</v>
      </c>
    </row>
    <row r="51" spans="1:13">
      <c r="A51" t="s">
        <v>11568</v>
      </c>
      <c r="B51" t="s">
        <v>10925</v>
      </c>
      <c r="C51" s="34" t="s">
        <v>11047</v>
      </c>
      <c r="F51" t="s">
        <v>11047</v>
      </c>
      <c r="G51" t="s">
        <v>6932</v>
      </c>
      <c r="H51">
        <v>5</v>
      </c>
    </row>
    <row r="52" spans="1:13">
      <c r="A52" t="s">
        <v>11569</v>
      </c>
      <c r="B52" t="s">
        <v>10925</v>
      </c>
      <c r="C52" s="34" t="s">
        <v>11048</v>
      </c>
      <c r="F52" t="s">
        <v>11048</v>
      </c>
      <c r="G52" t="s">
        <v>6932</v>
      </c>
      <c r="H52">
        <v>5</v>
      </c>
    </row>
    <row r="53" spans="1:13">
      <c r="A53" t="s">
        <v>11570</v>
      </c>
      <c r="B53" t="s">
        <v>10925</v>
      </c>
      <c r="C53" s="34" t="s">
        <v>11049</v>
      </c>
      <c r="F53" t="s">
        <v>11049</v>
      </c>
      <c r="G53" t="s">
        <v>6932</v>
      </c>
      <c r="H53">
        <v>5</v>
      </c>
    </row>
    <row r="54" spans="1:13">
      <c r="A54" t="s">
        <v>11571</v>
      </c>
      <c r="B54" t="s">
        <v>10925</v>
      </c>
      <c r="C54" s="34" t="s">
        <v>11050</v>
      </c>
      <c r="F54" t="s">
        <v>11050</v>
      </c>
      <c r="G54" t="s">
        <v>6932</v>
      </c>
      <c r="H54">
        <v>5</v>
      </c>
    </row>
    <row r="55" spans="1:13">
      <c r="A55" t="s">
        <v>11572</v>
      </c>
      <c r="B55" t="s">
        <v>10925</v>
      </c>
      <c r="C55" s="34" t="s">
        <v>11051</v>
      </c>
      <c r="F55" t="s">
        <v>11051</v>
      </c>
      <c r="G55" t="s">
        <v>6932</v>
      </c>
      <c r="H55">
        <v>5</v>
      </c>
    </row>
    <row r="56" spans="1:13">
      <c r="A56" t="s">
        <v>11573</v>
      </c>
      <c r="B56" t="s">
        <v>10925</v>
      </c>
      <c r="C56" s="34" t="s">
        <v>11052</v>
      </c>
      <c r="F56" t="s">
        <v>11052</v>
      </c>
      <c r="G56" t="s">
        <v>6932</v>
      </c>
      <c r="H56">
        <v>5</v>
      </c>
    </row>
    <row r="57" spans="1:13">
      <c r="A57" t="s">
        <v>11574</v>
      </c>
      <c r="B57" t="s">
        <v>10925</v>
      </c>
      <c r="C57" s="34" t="s">
        <v>11053</v>
      </c>
      <c r="F57" t="s">
        <v>11053</v>
      </c>
      <c r="G57" t="s">
        <v>6932</v>
      </c>
      <c r="H57">
        <v>5</v>
      </c>
    </row>
    <row r="58" spans="1:13">
      <c r="A58" t="s">
        <v>11575</v>
      </c>
      <c r="B58" t="s">
        <v>10925</v>
      </c>
      <c r="C58" s="34" t="s">
        <v>11054</v>
      </c>
      <c r="F58" t="s">
        <v>11054</v>
      </c>
      <c r="G58" t="s">
        <v>6932</v>
      </c>
      <c r="H58">
        <v>5</v>
      </c>
    </row>
    <row r="59" spans="1:13">
      <c r="A59" t="s">
        <v>11576</v>
      </c>
      <c r="B59" t="s">
        <v>10925</v>
      </c>
      <c r="C59" s="34" t="s">
        <v>11055</v>
      </c>
      <c r="F59" t="s">
        <v>11055</v>
      </c>
      <c r="G59" t="s">
        <v>6932</v>
      </c>
      <c r="H59">
        <v>5</v>
      </c>
    </row>
    <row r="60" spans="1:13">
      <c r="A60" t="s">
        <v>11577</v>
      </c>
      <c r="B60" t="s">
        <v>10925</v>
      </c>
      <c r="C60" s="34" t="s">
        <v>11056</v>
      </c>
      <c r="F60" t="s">
        <v>11056</v>
      </c>
      <c r="G60" t="s">
        <v>6932</v>
      </c>
      <c r="H60">
        <v>5</v>
      </c>
    </row>
    <row r="61" spans="1:13">
      <c r="A61" t="s">
        <v>13924</v>
      </c>
      <c r="B61" t="s">
        <v>13902</v>
      </c>
      <c r="C61" s="34" t="s">
        <v>13925</v>
      </c>
      <c r="F61" t="s">
        <v>13925</v>
      </c>
      <c r="G61" t="s">
        <v>6932</v>
      </c>
      <c r="H61">
        <v>5</v>
      </c>
      <c r="I61">
        <f>VLOOKUP(B61,BRAND!B:D,3,FALSE)</f>
        <v>0</v>
      </c>
      <c r="J61">
        <f t="shared" ref="J61:J66" si="1">LEN(F61)</f>
        <v>29</v>
      </c>
      <c r="K61" t="s">
        <v>821</v>
      </c>
      <c r="L61">
        <v>0</v>
      </c>
      <c r="M61">
        <v>1</v>
      </c>
    </row>
    <row r="62" spans="1:13">
      <c r="A62" t="s">
        <v>13922</v>
      </c>
      <c r="B62" t="s">
        <v>13902</v>
      </c>
      <c r="C62" s="34" t="s">
        <v>13923</v>
      </c>
      <c r="F62" t="s">
        <v>13923</v>
      </c>
      <c r="G62" t="s">
        <v>6932</v>
      </c>
      <c r="H62">
        <v>5</v>
      </c>
      <c r="I62">
        <f>VLOOKUP(B62,BRAND!B:D,3,FALSE)</f>
        <v>0</v>
      </c>
      <c r="J62">
        <f t="shared" si="1"/>
        <v>20</v>
      </c>
      <c r="K62" t="s">
        <v>821</v>
      </c>
      <c r="L62">
        <v>0</v>
      </c>
      <c r="M62">
        <v>1</v>
      </c>
    </row>
    <row r="63" spans="1:13">
      <c r="A63" t="s">
        <v>13901</v>
      </c>
      <c r="B63" t="s">
        <v>13902</v>
      </c>
      <c r="C63" s="34" t="s">
        <v>13890</v>
      </c>
      <c r="F63" t="s">
        <v>13890</v>
      </c>
      <c r="G63" t="s">
        <v>6932</v>
      </c>
      <c r="H63">
        <v>5</v>
      </c>
      <c r="I63">
        <f>VLOOKUP(B63,BRAND!B:D,3,FALSE)</f>
        <v>0</v>
      </c>
      <c r="J63">
        <f t="shared" si="1"/>
        <v>6</v>
      </c>
      <c r="K63" t="s">
        <v>821</v>
      </c>
      <c r="L63">
        <v>0</v>
      </c>
      <c r="M63">
        <v>1</v>
      </c>
    </row>
    <row r="64" spans="1:13">
      <c r="A64" t="s">
        <v>3958</v>
      </c>
      <c r="B64" t="s">
        <v>604</v>
      </c>
      <c r="C64" s="34" t="s">
        <v>6941</v>
      </c>
      <c r="F64" t="s">
        <v>861</v>
      </c>
      <c r="H64">
        <v>3</v>
      </c>
      <c r="I64">
        <f>VLOOKUP(B64,BRAND!B:D,3,FALSE)</f>
        <v>9</v>
      </c>
      <c r="J64">
        <f t="shared" si="1"/>
        <v>11</v>
      </c>
      <c r="K64" t="s">
        <v>821</v>
      </c>
      <c r="M64">
        <v>1</v>
      </c>
    </row>
    <row r="65" spans="1:13">
      <c r="A65" t="s">
        <v>3806</v>
      </c>
      <c r="B65" t="s">
        <v>604</v>
      </c>
      <c r="C65" s="34" t="s">
        <v>6542</v>
      </c>
      <c r="F65" t="s">
        <v>862</v>
      </c>
      <c r="H65">
        <v>4</v>
      </c>
      <c r="I65">
        <f>VLOOKUP(B65,BRAND!B:D,3,FALSE)</f>
        <v>9</v>
      </c>
      <c r="J65">
        <f t="shared" si="1"/>
        <v>10</v>
      </c>
      <c r="K65" t="s">
        <v>821</v>
      </c>
      <c r="M65">
        <v>1</v>
      </c>
    </row>
    <row r="66" spans="1:13">
      <c r="A66" t="s">
        <v>9554</v>
      </c>
      <c r="B66" t="s">
        <v>604</v>
      </c>
      <c r="C66" s="34" t="s">
        <v>10022</v>
      </c>
      <c r="F66" t="s">
        <v>10022</v>
      </c>
      <c r="H66">
        <v>5</v>
      </c>
      <c r="I66">
        <f>VLOOKUP(B66,BRAND!B:D,3,FALSE)</f>
        <v>9</v>
      </c>
      <c r="J66">
        <f t="shared" si="1"/>
        <v>19</v>
      </c>
      <c r="M66">
        <v>1</v>
      </c>
    </row>
    <row r="67" spans="1:13">
      <c r="A67" t="s">
        <v>7024</v>
      </c>
      <c r="B67" t="s">
        <v>604</v>
      </c>
      <c r="C67" s="34" t="s">
        <v>6429</v>
      </c>
      <c r="F67" t="s">
        <v>6429</v>
      </c>
      <c r="H67">
        <v>5</v>
      </c>
      <c r="I67">
        <f>VLOOKUP(B67,BRAND!B:D,3,FALSE)</f>
        <v>9</v>
      </c>
      <c r="J67">
        <v>4</v>
      </c>
      <c r="M67">
        <v>1</v>
      </c>
    </row>
    <row r="68" spans="1:13">
      <c r="A68" t="s">
        <v>9555</v>
      </c>
      <c r="B68" t="s">
        <v>604</v>
      </c>
      <c r="C68" s="34" t="s">
        <v>775</v>
      </c>
      <c r="F68" t="s">
        <v>775</v>
      </c>
      <c r="H68">
        <v>5</v>
      </c>
      <c r="I68">
        <f>VLOOKUP(B68,BRAND!B:D,3,FALSE)</f>
        <v>9</v>
      </c>
      <c r="J68">
        <v>3</v>
      </c>
      <c r="M68">
        <v>1</v>
      </c>
    </row>
    <row r="69" spans="1:13">
      <c r="A69" t="s">
        <v>7361</v>
      </c>
      <c r="B69" t="s">
        <v>7362</v>
      </c>
      <c r="C69" s="34" t="s">
        <v>1438</v>
      </c>
      <c r="F69" t="s">
        <v>1438</v>
      </c>
      <c r="G69" t="s">
        <v>801</v>
      </c>
      <c r="H69">
        <v>5</v>
      </c>
      <c r="I69">
        <f>VLOOKUP(B69,BRAND!B:D,3,FALSE)</f>
        <v>5.5</v>
      </c>
      <c r="J69">
        <v>4</v>
      </c>
      <c r="M69">
        <v>1</v>
      </c>
    </row>
    <row r="70" spans="1:13">
      <c r="A70" t="s">
        <v>7366</v>
      </c>
      <c r="B70" t="s">
        <v>516</v>
      </c>
      <c r="C70" s="34" t="s">
        <v>7367</v>
      </c>
      <c r="F70" t="s">
        <v>7368</v>
      </c>
      <c r="G70" t="s">
        <v>6932</v>
      </c>
      <c r="H70">
        <v>5</v>
      </c>
      <c r="I70">
        <f>VLOOKUP(B70,BRAND!B:D,3,FALSE)</f>
        <v>0</v>
      </c>
      <c r="J70">
        <f>LEN(F70)</f>
        <v>13</v>
      </c>
      <c r="M70">
        <v>1</v>
      </c>
    </row>
    <row r="71" spans="1:13">
      <c r="A71" t="s">
        <v>13928</v>
      </c>
      <c r="B71" t="s">
        <v>516</v>
      </c>
      <c r="C71" s="34" t="s">
        <v>13929</v>
      </c>
      <c r="F71" t="s">
        <v>13929</v>
      </c>
      <c r="G71" t="s">
        <v>6932</v>
      </c>
      <c r="H71">
        <v>5</v>
      </c>
      <c r="I71">
        <f>VLOOKUP(B71,BRAND!B:D,3,FALSE)</f>
        <v>0</v>
      </c>
      <c r="J71">
        <f>LEN(F71)</f>
        <v>8</v>
      </c>
      <c r="K71" t="s">
        <v>821</v>
      </c>
      <c r="L71">
        <v>0</v>
      </c>
      <c r="M71">
        <v>1</v>
      </c>
    </row>
    <row r="72" spans="1:13">
      <c r="A72" t="s">
        <v>13927</v>
      </c>
      <c r="B72" t="s">
        <v>516</v>
      </c>
      <c r="C72" s="34" t="s">
        <v>534</v>
      </c>
      <c r="F72" t="s">
        <v>534</v>
      </c>
      <c r="G72" t="s">
        <v>6932</v>
      </c>
      <c r="H72">
        <v>5</v>
      </c>
      <c r="I72">
        <f>VLOOKUP(B72,BRAND!B:D,3,FALSE)</f>
        <v>0</v>
      </c>
      <c r="J72">
        <f>LEN(F72)</f>
        <v>6</v>
      </c>
      <c r="K72" t="s">
        <v>821</v>
      </c>
      <c r="L72">
        <v>0</v>
      </c>
      <c r="M72">
        <v>1</v>
      </c>
    </row>
    <row r="73" spans="1:13">
      <c r="A73" t="s">
        <v>9556</v>
      </c>
      <c r="B73" t="s">
        <v>516</v>
      </c>
      <c r="C73" s="34" t="s">
        <v>10023</v>
      </c>
      <c r="F73" t="s">
        <v>10023</v>
      </c>
      <c r="H73">
        <v>5</v>
      </c>
      <c r="I73">
        <f>VLOOKUP(B73,BRAND!B:D,3,FALSE)</f>
        <v>0</v>
      </c>
      <c r="J73">
        <v>6</v>
      </c>
      <c r="M73">
        <v>1</v>
      </c>
    </row>
    <row r="74" spans="1:13">
      <c r="A74" t="s">
        <v>7369</v>
      </c>
      <c r="B74" t="s">
        <v>516</v>
      </c>
      <c r="C74" s="34" t="s">
        <v>535</v>
      </c>
      <c r="F74" t="s">
        <v>535</v>
      </c>
      <c r="G74" t="s">
        <v>6932</v>
      </c>
      <c r="H74">
        <v>5</v>
      </c>
      <c r="I74">
        <f>VLOOKUP(B74,BRAND!B:D,3,FALSE)</f>
        <v>0</v>
      </c>
      <c r="J74">
        <v>6</v>
      </c>
      <c r="M74">
        <v>1</v>
      </c>
    </row>
    <row r="75" spans="1:13">
      <c r="A75" t="s">
        <v>13926</v>
      </c>
      <c r="B75" t="s">
        <v>516</v>
      </c>
      <c r="C75" s="34" t="s">
        <v>13890</v>
      </c>
      <c r="F75" t="s">
        <v>13890</v>
      </c>
      <c r="G75" t="s">
        <v>6932</v>
      </c>
      <c r="H75">
        <v>5</v>
      </c>
      <c r="I75">
        <f>VLOOKUP(B75,BRAND!B:D,3,FALSE)</f>
        <v>0</v>
      </c>
      <c r="J75">
        <f>LEN(F75)</f>
        <v>6</v>
      </c>
      <c r="K75" t="s">
        <v>821</v>
      </c>
      <c r="L75">
        <v>0</v>
      </c>
      <c r="M75">
        <v>1</v>
      </c>
    </row>
    <row r="76" spans="1:13">
      <c r="A76" t="s">
        <v>7369</v>
      </c>
      <c r="B76" t="s">
        <v>516</v>
      </c>
      <c r="C76" s="34" t="s">
        <v>535</v>
      </c>
      <c r="F76" t="s">
        <v>535</v>
      </c>
      <c r="G76" t="s">
        <v>6932</v>
      </c>
      <c r="H76">
        <v>5</v>
      </c>
      <c r="I76">
        <f>VLOOKUP(B76,BRAND!B:D,3,FALSE)</f>
        <v>0</v>
      </c>
      <c r="J76">
        <f>LEN(F76)</f>
        <v>6</v>
      </c>
      <c r="K76" t="s">
        <v>821</v>
      </c>
      <c r="L76">
        <v>0</v>
      </c>
      <c r="M76">
        <v>1</v>
      </c>
    </row>
    <row r="77" spans="1:13">
      <c r="A77" t="s">
        <v>13930</v>
      </c>
      <c r="B77" t="s">
        <v>516</v>
      </c>
      <c r="C77" s="34" t="s">
        <v>10023</v>
      </c>
      <c r="F77" t="s">
        <v>10023</v>
      </c>
      <c r="G77" t="s">
        <v>6932</v>
      </c>
      <c r="H77">
        <v>5</v>
      </c>
      <c r="I77">
        <f>VLOOKUP(B77,BRAND!B:D,3,FALSE)</f>
        <v>0</v>
      </c>
      <c r="J77">
        <f>LEN(F77)</f>
        <v>6</v>
      </c>
      <c r="K77" t="s">
        <v>821</v>
      </c>
      <c r="L77">
        <v>0</v>
      </c>
      <c r="M77">
        <v>1</v>
      </c>
    </row>
    <row r="78" spans="1:13">
      <c r="A78" t="s">
        <v>7365</v>
      </c>
      <c r="B78" t="s">
        <v>516</v>
      </c>
      <c r="C78" s="34" t="s">
        <v>1438</v>
      </c>
      <c r="F78" t="s">
        <v>1438</v>
      </c>
      <c r="G78" t="s">
        <v>6932</v>
      </c>
      <c r="H78">
        <v>5</v>
      </c>
      <c r="I78">
        <f>VLOOKUP(B78,BRAND!B:D,3,FALSE)</f>
        <v>0</v>
      </c>
      <c r="J78">
        <v>4</v>
      </c>
      <c r="M78">
        <v>1</v>
      </c>
    </row>
    <row r="79" spans="1:13">
      <c r="A79" t="s">
        <v>14977</v>
      </c>
      <c r="B79" t="s">
        <v>516</v>
      </c>
      <c r="C79" s="34" t="s">
        <v>7775</v>
      </c>
      <c r="D79" t="s">
        <v>536</v>
      </c>
      <c r="F79" t="s">
        <v>14978</v>
      </c>
      <c r="G79" t="s">
        <v>6932</v>
      </c>
      <c r="H79">
        <v>5</v>
      </c>
      <c r="I79">
        <f>VLOOKUP(B79,BRAND!B:D,3,FALSE)</f>
        <v>0</v>
      </c>
      <c r="J79">
        <v>0</v>
      </c>
      <c r="K79" t="s">
        <v>821</v>
      </c>
      <c r="L79">
        <v>0</v>
      </c>
      <c r="M79">
        <v>0</v>
      </c>
    </row>
    <row r="80" spans="1:13">
      <c r="A80" t="s">
        <v>14979</v>
      </c>
      <c r="B80" t="s">
        <v>516</v>
      </c>
      <c r="C80" s="34" t="s">
        <v>7775</v>
      </c>
      <c r="D80" t="s">
        <v>534</v>
      </c>
      <c r="F80" t="s">
        <v>14980</v>
      </c>
      <c r="G80" t="s">
        <v>6932</v>
      </c>
      <c r="H80">
        <v>5</v>
      </c>
      <c r="I80">
        <f>VLOOKUP(B80,BRAND!B:D,3,FALSE)</f>
        <v>0</v>
      </c>
      <c r="J80">
        <v>0</v>
      </c>
      <c r="K80" t="s">
        <v>821</v>
      </c>
      <c r="L80">
        <v>0</v>
      </c>
      <c r="M80">
        <v>0</v>
      </c>
    </row>
    <row r="81" spans="1:13">
      <c r="A81" t="s">
        <v>7363</v>
      </c>
      <c r="B81" t="s">
        <v>7364</v>
      </c>
      <c r="C81" s="34" t="s">
        <v>1438</v>
      </c>
      <c r="F81" t="s">
        <v>1438</v>
      </c>
      <c r="G81" t="s">
        <v>6932</v>
      </c>
      <c r="H81">
        <v>5</v>
      </c>
      <c r="I81">
        <f>VLOOKUP(B81,BRAND!B:D,3,FALSE)</f>
        <v>5.5</v>
      </c>
      <c r="J81">
        <v>4</v>
      </c>
      <c r="M81">
        <v>1</v>
      </c>
    </row>
    <row r="82" spans="1:13">
      <c r="A82" t="s">
        <v>7370</v>
      </c>
      <c r="B82" t="s">
        <v>7371</v>
      </c>
      <c r="C82" s="34" t="s">
        <v>1438</v>
      </c>
      <c r="F82" t="s">
        <v>1438</v>
      </c>
      <c r="G82" t="s">
        <v>6932</v>
      </c>
      <c r="H82">
        <v>5</v>
      </c>
      <c r="I82">
        <f>VLOOKUP(B82,BRAND!B:D,3,FALSE)</f>
        <v>5.5</v>
      </c>
      <c r="J82">
        <v>4</v>
      </c>
      <c r="M82">
        <v>1</v>
      </c>
    </row>
    <row r="83" spans="1:13">
      <c r="A83" t="s">
        <v>4169</v>
      </c>
      <c r="B83" t="s">
        <v>1900</v>
      </c>
      <c r="C83" s="34" t="s">
        <v>534</v>
      </c>
      <c r="F83" t="s">
        <v>534</v>
      </c>
      <c r="H83">
        <v>5</v>
      </c>
      <c r="I83">
        <f>VLOOKUP(B83,BRAND!B:D,3,FALSE)</f>
        <v>9</v>
      </c>
      <c r="J83">
        <v>6</v>
      </c>
      <c r="K83" t="s">
        <v>821</v>
      </c>
      <c r="M83">
        <v>0</v>
      </c>
    </row>
    <row r="84" spans="1:13">
      <c r="A84" t="s">
        <v>7372</v>
      </c>
      <c r="B84" t="s">
        <v>7373</v>
      </c>
      <c r="C84" s="34" t="s">
        <v>1438</v>
      </c>
      <c r="F84" t="s">
        <v>1438</v>
      </c>
      <c r="G84" t="s">
        <v>6932</v>
      </c>
      <c r="H84">
        <v>5</v>
      </c>
      <c r="I84">
        <f>VLOOKUP(B84,BRAND!B:D,3,FALSE)</f>
        <v>5.5</v>
      </c>
      <c r="J84">
        <v>4</v>
      </c>
      <c r="M84">
        <v>1</v>
      </c>
    </row>
    <row r="85" spans="1:13">
      <c r="A85" t="s">
        <v>5030</v>
      </c>
      <c r="B85" t="s">
        <v>1866</v>
      </c>
      <c r="C85" s="34" t="s">
        <v>897</v>
      </c>
      <c r="F85" t="s">
        <v>897</v>
      </c>
      <c r="G85" t="s">
        <v>801</v>
      </c>
      <c r="H85">
        <v>6</v>
      </c>
      <c r="I85">
        <f>VLOOKUP(B85,BRAND!B:D,3,FALSE)</f>
        <v>9</v>
      </c>
      <c r="J85">
        <v>4</v>
      </c>
      <c r="K85" t="s">
        <v>821</v>
      </c>
      <c r="M85">
        <v>0</v>
      </c>
    </row>
    <row r="86" spans="1:13">
      <c r="A86" t="s">
        <v>14154</v>
      </c>
      <c r="B86" t="s">
        <v>14151</v>
      </c>
      <c r="C86" s="34" t="s">
        <v>14155</v>
      </c>
      <c r="F86" t="s">
        <v>14156</v>
      </c>
      <c r="G86" t="s">
        <v>6932</v>
      </c>
      <c r="H86">
        <v>5</v>
      </c>
      <c r="I86">
        <f>VLOOKUP(B86,BRAND!B:D,3,FALSE)</f>
        <v>0</v>
      </c>
      <c r="J86">
        <f>LEN(F86)</f>
        <v>13</v>
      </c>
      <c r="K86" t="s">
        <v>821</v>
      </c>
      <c r="L86">
        <v>0</v>
      </c>
      <c r="M86">
        <v>1</v>
      </c>
    </row>
    <row r="87" spans="1:13">
      <c r="A87" t="s">
        <v>14157</v>
      </c>
      <c r="B87" t="s">
        <v>14151</v>
      </c>
      <c r="C87" s="34" t="s">
        <v>14158</v>
      </c>
      <c r="F87" t="s">
        <v>14159</v>
      </c>
      <c r="G87" t="s">
        <v>6932</v>
      </c>
      <c r="H87">
        <v>5</v>
      </c>
      <c r="I87">
        <f>VLOOKUP(B87,BRAND!B:D,3,FALSE)</f>
        <v>0</v>
      </c>
      <c r="J87">
        <f>LEN(F87)</f>
        <v>12</v>
      </c>
      <c r="K87" t="s">
        <v>821</v>
      </c>
      <c r="L87">
        <v>0</v>
      </c>
      <c r="M87">
        <v>1</v>
      </c>
    </row>
    <row r="88" spans="1:13">
      <c r="A88" t="s">
        <v>14160</v>
      </c>
      <c r="B88" t="s">
        <v>14151</v>
      </c>
      <c r="C88" s="34" t="s">
        <v>14161</v>
      </c>
      <c r="F88" t="s">
        <v>14162</v>
      </c>
      <c r="G88" t="s">
        <v>6932</v>
      </c>
      <c r="H88">
        <v>5</v>
      </c>
      <c r="I88">
        <f>VLOOKUP(B88,BRAND!B:D,3,FALSE)</f>
        <v>0</v>
      </c>
      <c r="J88">
        <f>LEN(F88)</f>
        <v>11</v>
      </c>
      <c r="K88" t="s">
        <v>821</v>
      </c>
      <c r="L88">
        <v>0</v>
      </c>
      <c r="M88">
        <v>1</v>
      </c>
    </row>
    <row r="89" spans="1:13">
      <c r="A89" t="s">
        <v>14150</v>
      </c>
      <c r="B89" t="s">
        <v>14151</v>
      </c>
      <c r="C89" s="34" t="s">
        <v>14152</v>
      </c>
      <c r="F89" t="s">
        <v>14153</v>
      </c>
      <c r="G89" t="s">
        <v>6932</v>
      </c>
      <c r="H89">
        <v>5</v>
      </c>
      <c r="I89">
        <f>VLOOKUP(B89,BRAND!B:D,3,FALSE)</f>
        <v>0</v>
      </c>
      <c r="J89">
        <f>LEN(F89)</f>
        <v>11</v>
      </c>
      <c r="K89" t="s">
        <v>821</v>
      </c>
      <c r="L89">
        <v>0</v>
      </c>
      <c r="M89">
        <v>1</v>
      </c>
    </row>
    <row r="90" spans="1:13">
      <c r="A90" t="s">
        <v>14163</v>
      </c>
      <c r="B90" t="s">
        <v>14151</v>
      </c>
      <c r="C90" s="34" t="s">
        <v>14164</v>
      </c>
      <c r="F90" t="s">
        <v>14164</v>
      </c>
      <c r="G90" t="s">
        <v>6932</v>
      </c>
      <c r="H90">
        <v>5</v>
      </c>
      <c r="I90">
        <f>VLOOKUP(B90,BRAND!B:D,3,FALSE)</f>
        <v>0</v>
      </c>
      <c r="J90">
        <f>LEN(F90)</f>
        <v>7</v>
      </c>
      <c r="K90" t="s">
        <v>821</v>
      </c>
      <c r="L90">
        <v>0</v>
      </c>
      <c r="M90">
        <v>1</v>
      </c>
    </row>
    <row r="91" spans="1:13">
      <c r="A91" t="s">
        <v>7374</v>
      </c>
      <c r="B91" t="s">
        <v>7375</v>
      </c>
      <c r="C91" s="34" t="s">
        <v>1438</v>
      </c>
      <c r="F91" t="s">
        <v>1438</v>
      </c>
      <c r="G91" t="s">
        <v>6932</v>
      </c>
      <c r="H91">
        <v>5</v>
      </c>
      <c r="I91">
        <f>VLOOKUP(B91,BRAND!B:D,3,FALSE)</f>
        <v>5.5</v>
      </c>
      <c r="J91">
        <v>4</v>
      </c>
      <c r="M91">
        <v>1</v>
      </c>
    </row>
    <row r="92" spans="1:13">
      <c r="A92" t="s">
        <v>4801</v>
      </c>
      <c r="B92" t="s">
        <v>0</v>
      </c>
      <c r="C92" s="34" t="s">
        <v>1470</v>
      </c>
      <c r="F92" t="s">
        <v>1470</v>
      </c>
      <c r="H92">
        <v>5</v>
      </c>
      <c r="I92">
        <f>VLOOKUP(B92,BRAND!B:D,3,FALSE)</f>
        <v>5</v>
      </c>
      <c r="J92">
        <f>LEN(F92)</f>
        <v>12</v>
      </c>
      <c r="K92" t="s">
        <v>822</v>
      </c>
      <c r="M92">
        <v>1</v>
      </c>
    </row>
    <row r="93" spans="1:13">
      <c r="A93" t="s">
        <v>4667</v>
      </c>
      <c r="B93" t="s">
        <v>0</v>
      </c>
      <c r="C93" s="34" t="s">
        <v>1476</v>
      </c>
      <c r="F93" t="s">
        <v>1476</v>
      </c>
      <c r="H93">
        <v>5</v>
      </c>
      <c r="I93">
        <f>VLOOKUP(B93,BRAND!B:D,3,FALSE)</f>
        <v>5</v>
      </c>
      <c r="J93">
        <f>LEN(F93)</f>
        <v>11</v>
      </c>
      <c r="K93" t="s">
        <v>822</v>
      </c>
      <c r="M93">
        <v>1</v>
      </c>
    </row>
    <row r="94" spans="1:13">
      <c r="A94" t="s">
        <v>4643</v>
      </c>
      <c r="B94" t="s">
        <v>0</v>
      </c>
      <c r="C94" s="34" t="s">
        <v>1513</v>
      </c>
      <c r="F94" t="s">
        <v>1513</v>
      </c>
      <c r="H94">
        <v>5</v>
      </c>
      <c r="I94">
        <f>VLOOKUP(B94,BRAND!B:D,3,FALSE)</f>
        <v>5</v>
      </c>
      <c r="J94">
        <v>5</v>
      </c>
      <c r="K94" t="s">
        <v>822</v>
      </c>
      <c r="M94">
        <v>1</v>
      </c>
    </row>
    <row r="95" spans="1:13">
      <c r="A95" t="s">
        <v>10394</v>
      </c>
      <c r="B95" t="s">
        <v>0</v>
      </c>
      <c r="C95" s="34" t="s">
        <v>10393</v>
      </c>
      <c r="F95" t="s">
        <v>1438</v>
      </c>
      <c r="G95" t="s">
        <v>801</v>
      </c>
      <c r="H95">
        <v>6</v>
      </c>
      <c r="I95">
        <f>VLOOKUP(B95,BRAND!B:D,3,FALSE)</f>
        <v>5</v>
      </c>
      <c r="J95">
        <v>4</v>
      </c>
      <c r="K95" t="s">
        <v>822</v>
      </c>
      <c r="M95">
        <v>1</v>
      </c>
    </row>
    <row r="96" spans="1:13">
      <c r="A96" t="s">
        <v>1579</v>
      </c>
      <c r="B96" t="s">
        <v>0</v>
      </c>
      <c r="C96" s="34" t="s">
        <v>1438</v>
      </c>
      <c r="F96" t="s">
        <v>1438</v>
      </c>
      <c r="H96">
        <v>15</v>
      </c>
      <c r="I96">
        <f>VLOOKUP(B96,BRAND!B:D,3,FALSE)</f>
        <v>5</v>
      </c>
      <c r="J96">
        <v>4</v>
      </c>
      <c r="K96" t="s">
        <v>822</v>
      </c>
      <c r="M96">
        <v>1</v>
      </c>
    </row>
    <row r="97" spans="1:13">
      <c r="A97" t="s">
        <v>7379</v>
      </c>
      <c r="B97" t="s">
        <v>7377</v>
      </c>
      <c r="C97" s="34" t="s">
        <v>6652</v>
      </c>
      <c r="F97" t="s">
        <v>899</v>
      </c>
      <c r="G97" t="s">
        <v>6932</v>
      </c>
      <c r="H97">
        <v>5</v>
      </c>
      <c r="I97">
        <f>VLOOKUP(B97,BRAND!B:D,3,FALSE)</f>
        <v>5</v>
      </c>
      <c r="J97">
        <v>8</v>
      </c>
      <c r="M97">
        <v>1</v>
      </c>
    </row>
    <row r="98" spans="1:13">
      <c r="A98" t="s">
        <v>7376</v>
      </c>
      <c r="B98" t="s">
        <v>7377</v>
      </c>
      <c r="C98" s="34" t="s">
        <v>945</v>
      </c>
      <c r="F98" t="s">
        <v>945</v>
      </c>
      <c r="G98" t="s">
        <v>6932</v>
      </c>
      <c r="H98">
        <v>5</v>
      </c>
      <c r="I98">
        <f>VLOOKUP(B98,BRAND!B:D,3,FALSE)</f>
        <v>5</v>
      </c>
      <c r="J98">
        <v>7</v>
      </c>
      <c r="M98">
        <v>1</v>
      </c>
    </row>
    <row r="99" spans="1:13">
      <c r="A99" t="s">
        <v>7378</v>
      </c>
      <c r="B99" t="s">
        <v>7377</v>
      </c>
      <c r="C99" s="34" t="s">
        <v>6531</v>
      </c>
      <c r="F99" t="s">
        <v>746</v>
      </c>
      <c r="G99" t="s">
        <v>6932</v>
      </c>
      <c r="H99">
        <v>5</v>
      </c>
      <c r="I99">
        <f>VLOOKUP(B99,BRAND!B:D,3,FALSE)</f>
        <v>5</v>
      </c>
      <c r="J99">
        <v>6</v>
      </c>
      <c r="M99">
        <v>1</v>
      </c>
    </row>
    <row r="100" spans="1:13">
      <c r="A100" t="s">
        <v>15544</v>
      </c>
      <c r="B100" t="s">
        <v>7377</v>
      </c>
      <c r="C100" s="34" t="s">
        <v>15543</v>
      </c>
      <c r="F100" t="s">
        <v>1438</v>
      </c>
      <c r="G100" t="s">
        <v>6932</v>
      </c>
      <c r="H100">
        <v>5</v>
      </c>
      <c r="I100">
        <f>VLOOKUP(B100,BRAND!B:D,3,FALSE)</f>
        <v>5</v>
      </c>
      <c r="J100">
        <v>4</v>
      </c>
      <c r="M100">
        <v>1</v>
      </c>
    </row>
    <row r="101" spans="1:13">
      <c r="A101" t="s">
        <v>14958</v>
      </c>
      <c r="B101" t="s">
        <v>7377</v>
      </c>
      <c r="C101" s="34" t="s">
        <v>781</v>
      </c>
      <c r="F101" t="s">
        <v>781</v>
      </c>
      <c r="G101" t="s">
        <v>6932</v>
      </c>
      <c r="H101">
        <v>5</v>
      </c>
      <c r="I101">
        <f>VLOOKUP(B101,BRAND!B:D,3,FALSE)</f>
        <v>5</v>
      </c>
      <c r="J101">
        <v>0</v>
      </c>
      <c r="K101" t="s">
        <v>821</v>
      </c>
      <c r="L101">
        <v>0</v>
      </c>
      <c r="M101">
        <v>0</v>
      </c>
    </row>
    <row r="102" spans="1:13">
      <c r="A102" t="s">
        <v>15477</v>
      </c>
      <c r="B102" t="s">
        <v>7377</v>
      </c>
      <c r="C102" s="34" t="s">
        <v>763</v>
      </c>
      <c r="F102" t="s">
        <v>763</v>
      </c>
      <c r="G102" t="s">
        <v>6932</v>
      </c>
      <c r="H102">
        <v>5</v>
      </c>
      <c r="I102">
        <f>VLOOKUP(B102,BRAND!B:D,3,FALSE)</f>
        <v>5</v>
      </c>
      <c r="J102">
        <v>0</v>
      </c>
      <c r="K102" t="s">
        <v>821</v>
      </c>
      <c r="L102">
        <v>0</v>
      </c>
      <c r="M102">
        <v>0</v>
      </c>
    </row>
    <row r="103" spans="1:13">
      <c r="A103" t="s">
        <v>15478</v>
      </c>
      <c r="B103" t="s">
        <v>7377</v>
      </c>
      <c r="C103" s="34" t="s">
        <v>561</v>
      </c>
      <c r="F103" t="s">
        <v>561</v>
      </c>
      <c r="G103" t="s">
        <v>6932</v>
      </c>
      <c r="H103">
        <v>5</v>
      </c>
      <c r="I103">
        <f>VLOOKUP(B103,BRAND!B:D,3,FALSE)</f>
        <v>5</v>
      </c>
      <c r="J103">
        <v>0</v>
      </c>
      <c r="K103" t="s">
        <v>821</v>
      </c>
      <c r="L103">
        <v>0</v>
      </c>
      <c r="M103">
        <v>0</v>
      </c>
    </row>
    <row r="104" spans="1:13">
      <c r="A104" t="s">
        <v>3333</v>
      </c>
      <c r="B104" t="s">
        <v>517</v>
      </c>
      <c r="C104" s="34" t="s">
        <v>534</v>
      </c>
      <c r="F104" t="s">
        <v>534</v>
      </c>
      <c r="H104">
        <v>5</v>
      </c>
      <c r="I104">
        <f>VLOOKUP(B104,BRAND!B:D,3,FALSE)</f>
        <v>9</v>
      </c>
      <c r="J104">
        <v>6</v>
      </c>
      <c r="K104" t="s">
        <v>822</v>
      </c>
      <c r="M104">
        <v>1</v>
      </c>
    </row>
    <row r="105" spans="1:13">
      <c r="A105" t="s">
        <v>4577</v>
      </c>
      <c r="B105" t="s">
        <v>1874</v>
      </c>
      <c r="C105" s="34" t="s">
        <v>1438</v>
      </c>
      <c r="F105" t="s">
        <v>1438</v>
      </c>
      <c r="H105">
        <v>15</v>
      </c>
      <c r="I105">
        <f>VLOOKUP(B105,BRAND!B:D,3,FALSE)</f>
        <v>9</v>
      </c>
      <c r="J105">
        <v>4</v>
      </c>
      <c r="K105" t="s">
        <v>821</v>
      </c>
      <c r="M105">
        <v>1</v>
      </c>
    </row>
    <row r="106" spans="1:13">
      <c r="A106" t="s">
        <v>10418</v>
      </c>
      <c r="B106" t="s">
        <v>6568</v>
      </c>
      <c r="C106" s="34" t="s">
        <v>1513</v>
      </c>
      <c r="F106" t="s">
        <v>1513</v>
      </c>
      <c r="G106" t="s">
        <v>6932</v>
      </c>
      <c r="H106">
        <v>5</v>
      </c>
      <c r="I106">
        <f>VLOOKUP(B106,BRAND!B:D,3,FALSE)</f>
        <v>9</v>
      </c>
      <c r="J106">
        <f>LEN(F106)</f>
        <v>5</v>
      </c>
      <c r="L106">
        <v>0</v>
      </c>
    </row>
    <row r="107" spans="1:13">
      <c r="A107" t="s">
        <v>5259</v>
      </c>
      <c r="B107" t="s">
        <v>5258</v>
      </c>
      <c r="C107" s="34" t="s">
        <v>5258</v>
      </c>
      <c r="F107" t="s">
        <v>1438</v>
      </c>
      <c r="H107">
        <v>5</v>
      </c>
      <c r="I107">
        <f>VLOOKUP(B107,BRAND!B:D,3,FALSE)</f>
        <v>5.5</v>
      </c>
      <c r="J107">
        <v>4</v>
      </c>
      <c r="K107" t="e">
        <v>#N/A</v>
      </c>
      <c r="M107">
        <v>1</v>
      </c>
    </row>
    <row r="108" spans="1:13">
      <c r="A108" t="s">
        <v>7272</v>
      </c>
      <c r="B108" t="s">
        <v>7273</v>
      </c>
      <c r="C108" s="34" t="s">
        <v>1438</v>
      </c>
      <c r="F108" t="s">
        <v>1438</v>
      </c>
      <c r="H108">
        <v>5</v>
      </c>
      <c r="I108">
        <f>VLOOKUP(B108,BRAND!B:D,3,FALSE)</f>
        <v>5.5</v>
      </c>
      <c r="M108">
        <v>1</v>
      </c>
    </row>
    <row r="109" spans="1:13">
      <c r="A109" t="s">
        <v>2575</v>
      </c>
      <c r="B109" t="s">
        <v>1418</v>
      </c>
      <c r="C109" s="34" t="s">
        <v>1438</v>
      </c>
      <c r="F109" t="s">
        <v>1438</v>
      </c>
      <c r="H109">
        <v>15</v>
      </c>
      <c r="I109">
        <f>VLOOKUP(B109,BRAND!B:D,3,FALSE)</f>
        <v>9</v>
      </c>
      <c r="J109">
        <v>4</v>
      </c>
      <c r="K109" t="s">
        <v>821</v>
      </c>
      <c r="M109">
        <v>1</v>
      </c>
    </row>
    <row r="110" spans="1:13">
      <c r="A110" t="s">
        <v>3149</v>
      </c>
      <c r="B110" t="s">
        <v>301</v>
      </c>
      <c r="C110" s="34" t="s">
        <v>536</v>
      </c>
      <c r="F110" t="s">
        <v>536</v>
      </c>
      <c r="H110">
        <v>5</v>
      </c>
      <c r="I110">
        <f>VLOOKUP(B110,BRAND!B:D,3,FALSE)</f>
        <v>9</v>
      </c>
      <c r="J110">
        <v>5</v>
      </c>
      <c r="K110" t="s">
        <v>821</v>
      </c>
      <c r="M110">
        <v>1</v>
      </c>
    </row>
    <row r="111" spans="1:13">
      <c r="A111" t="s">
        <v>2323</v>
      </c>
      <c r="B111" t="s">
        <v>301</v>
      </c>
      <c r="C111" s="34" t="s">
        <v>842</v>
      </c>
      <c r="F111" t="s">
        <v>842</v>
      </c>
      <c r="H111">
        <v>5</v>
      </c>
      <c r="I111">
        <f>VLOOKUP(B111,BRAND!B:D,3,FALSE)</f>
        <v>9</v>
      </c>
      <c r="J111">
        <v>5</v>
      </c>
      <c r="K111" t="s">
        <v>821</v>
      </c>
      <c r="M111">
        <v>1</v>
      </c>
    </row>
    <row r="112" spans="1:13">
      <c r="A112" t="s">
        <v>13931</v>
      </c>
      <c r="B112" t="s">
        <v>13932</v>
      </c>
      <c r="C112" s="34" t="s">
        <v>534</v>
      </c>
      <c r="F112" t="s">
        <v>534</v>
      </c>
      <c r="G112" t="s">
        <v>6932</v>
      </c>
      <c r="H112">
        <v>5</v>
      </c>
      <c r="I112">
        <f>VLOOKUP(B112,BRAND!B:D,3,FALSE)</f>
        <v>0</v>
      </c>
      <c r="J112">
        <f>LEN(F112)</f>
        <v>6</v>
      </c>
      <c r="K112" t="s">
        <v>821</v>
      </c>
      <c r="L112">
        <v>0</v>
      </c>
      <c r="M112">
        <v>1</v>
      </c>
    </row>
    <row r="113" spans="1:13">
      <c r="A113" t="s">
        <v>3923</v>
      </c>
      <c r="B113" t="s">
        <v>237</v>
      </c>
      <c r="C113" s="34" t="s">
        <v>534</v>
      </c>
      <c r="F113" t="s">
        <v>534</v>
      </c>
      <c r="H113">
        <v>1</v>
      </c>
      <c r="I113">
        <f>VLOOKUP(B113,BRAND!B:D,3,FALSE)</f>
        <v>9</v>
      </c>
      <c r="J113">
        <v>6</v>
      </c>
      <c r="K113" t="s">
        <v>821</v>
      </c>
      <c r="M113">
        <v>1</v>
      </c>
    </row>
    <row r="114" spans="1:13">
      <c r="A114" t="s">
        <v>7027</v>
      </c>
      <c r="B114" t="s">
        <v>237</v>
      </c>
      <c r="C114" s="34" t="s">
        <v>7028</v>
      </c>
      <c r="F114" t="s">
        <v>7028</v>
      </c>
      <c r="H114">
        <v>5</v>
      </c>
      <c r="I114">
        <f>VLOOKUP(B114,BRAND!B:D,3,FALSE)</f>
        <v>9</v>
      </c>
      <c r="J114">
        <f>LEN(F114)</f>
        <v>10</v>
      </c>
      <c r="M114">
        <v>1</v>
      </c>
    </row>
    <row r="115" spans="1:13">
      <c r="A115" t="s">
        <v>7412</v>
      </c>
      <c r="B115" t="s">
        <v>237</v>
      </c>
      <c r="C115" s="34" t="s">
        <v>7413</v>
      </c>
      <c r="F115" t="s">
        <v>7413</v>
      </c>
      <c r="G115" t="s">
        <v>6932</v>
      </c>
      <c r="H115">
        <v>5</v>
      </c>
      <c r="I115">
        <f>VLOOKUP(B115,BRAND!B:D,3,FALSE)</f>
        <v>9</v>
      </c>
      <c r="J115">
        <v>8</v>
      </c>
      <c r="M115">
        <v>1</v>
      </c>
    </row>
    <row r="116" spans="1:13">
      <c r="A116" t="s">
        <v>7030</v>
      </c>
      <c r="B116" t="s">
        <v>237</v>
      </c>
      <c r="C116" s="34" t="s">
        <v>7031</v>
      </c>
      <c r="F116" t="s">
        <v>7032</v>
      </c>
      <c r="H116">
        <v>5</v>
      </c>
      <c r="I116">
        <f>VLOOKUP(B116,BRAND!B:D,3,FALSE)</f>
        <v>9</v>
      </c>
      <c r="J116">
        <v>7</v>
      </c>
      <c r="M116">
        <v>1</v>
      </c>
    </row>
    <row r="117" spans="1:13">
      <c r="A117" t="s">
        <v>7030</v>
      </c>
      <c r="B117" t="s">
        <v>237</v>
      </c>
      <c r="C117" s="34" t="s">
        <v>7032</v>
      </c>
      <c r="F117" t="s">
        <v>7032</v>
      </c>
      <c r="G117" t="s">
        <v>6932</v>
      </c>
      <c r="H117">
        <v>5</v>
      </c>
      <c r="I117">
        <f>VLOOKUP(B117,BRAND!B:D,3,FALSE)</f>
        <v>9</v>
      </c>
      <c r="J117">
        <v>7</v>
      </c>
      <c r="M117">
        <v>1</v>
      </c>
    </row>
    <row r="118" spans="1:13">
      <c r="A118" t="s">
        <v>7026</v>
      </c>
      <c r="B118" t="s">
        <v>237</v>
      </c>
      <c r="C118" s="34" t="s">
        <v>444</v>
      </c>
      <c r="F118" t="s">
        <v>444</v>
      </c>
      <c r="H118">
        <v>5</v>
      </c>
      <c r="I118">
        <f>VLOOKUP(B118,BRAND!B:D,3,FALSE)</f>
        <v>9</v>
      </c>
      <c r="J118">
        <v>6</v>
      </c>
      <c r="M118">
        <v>1</v>
      </c>
    </row>
    <row r="119" spans="1:13">
      <c r="A119" t="s">
        <v>3401</v>
      </c>
      <c r="B119" t="s">
        <v>237</v>
      </c>
      <c r="C119" s="34" t="s">
        <v>5251</v>
      </c>
      <c r="F119" t="s">
        <v>772</v>
      </c>
      <c r="H119">
        <v>5</v>
      </c>
      <c r="I119">
        <f>VLOOKUP(B119,BRAND!B:D,3,FALSE)</f>
        <v>9</v>
      </c>
      <c r="J119">
        <v>6</v>
      </c>
      <c r="K119" t="s">
        <v>821</v>
      </c>
      <c r="M119">
        <v>1</v>
      </c>
    </row>
    <row r="120" spans="1:13">
      <c r="A120" t="s">
        <v>3971</v>
      </c>
      <c r="B120" t="s">
        <v>237</v>
      </c>
      <c r="C120" s="34" t="s">
        <v>536</v>
      </c>
      <c r="F120" t="s">
        <v>536</v>
      </c>
      <c r="H120">
        <v>5</v>
      </c>
      <c r="I120">
        <f>VLOOKUP(B120,BRAND!B:D,3,FALSE)</f>
        <v>9</v>
      </c>
      <c r="J120">
        <v>5</v>
      </c>
      <c r="K120" t="s">
        <v>821</v>
      </c>
      <c r="M120">
        <v>1</v>
      </c>
    </row>
    <row r="121" spans="1:13">
      <c r="A121" t="s">
        <v>7029</v>
      </c>
      <c r="B121" t="s">
        <v>237</v>
      </c>
      <c r="C121" s="34" t="s">
        <v>841</v>
      </c>
      <c r="F121" t="s">
        <v>841</v>
      </c>
      <c r="H121">
        <v>5</v>
      </c>
      <c r="I121">
        <f>VLOOKUP(B121,BRAND!B:D,3,FALSE)</f>
        <v>9</v>
      </c>
      <c r="J121">
        <v>5</v>
      </c>
      <c r="M121">
        <v>1</v>
      </c>
    </row>
    <row r="122" spans="1:13">
      <c r="A122" t="s">
        <v>7025</v>
      </c>
      <c r="B122" t="s">
        <v>237</v>
      </c>
      <c r="C122" s="34" t="s">
        <v>903</v>
      </c>
      <c r="F122" t="s">
        <v>903</v>
      </c>
      <c r="H122">
        <v>5</v>
      </c>
      <c r="I122">
        <f>VLOOKUP(B122,BRAND!B:D,3,FALSE)</f>
        <v>9</v>
      </c>
      <c r="J122">
        <v>4</v>
      </c>
      <c r="M122">
        <v>1</v>
      </c>
    </row>
    <row r="123" spans="1:13">
      <c r="A123" t="s">
        <v>13933</v>
      </c>
      <c r="B123" t="s">
        <v>13934</v>
      </c>
      <c r="C123" s="34" t="s">
        <v>534</v>
      </c>
      <c r="F123" t="s">
        <v>534</v>
      </c>
      <c r="G123" t="s">
        <v>6932</v>
      </c>
      <c r="H123">
        <v>5</v>
      </c>
      <c r="I123">
        <f>VLOOKUP(B123,BRAND!B:D,3,FALSE)</f>
        <v>0</v>
      </c>
      <c r="J123">
        <f>LEN(F123)</f>
        <v>6</v>
      </c>
      <c r="K123" t="s">
        <v>821</v>
      </c>
      <c r="L123">
        <v>0</v>
      </c>
      <c r="M123">
        <v>1</v>
      </c>
    </row>
    <row r="124" spans="1:13">
      <c r="A124" t="s">
        <v>13935</v>
      </c>
      <c r="B124" t="s">
        <v>13934</v>
      </c>
      <c r="C124" s="34" t="s">
        <v>536</v>
      </c>
      <c r="F124" t="s">
        <v>536</v>
      </c>
      <c r="G124" t="s">
        <v>6932</v>
      </c>
      <c r="H124">
        <v>5</v>
      </c>
      <c r="I124">
        <f>VLOOKUP(B124,BRAND!B:D,3,FALSE)</f>
        <v>0</v>
      </c>
      <c r="J124">
        <f>LEN(F124)</f>
        <v>5</v>
      </c>
      <c r="K124" t="s">
        <v>821</v>
      </c>
      <c r="L124">
        <v>0</v>
      </c>
      <c r="M124">
        <v>1</v>
      </c>
    </row>
    <row r="125" spans="1:13">
      <c r="A125" t="s">
        <v>13936</v>
      </c>
      <c r="B125" t="s">
        <v>13934</v>
      </c>
      <c r="C125" s="34" t="s">
        <v>561</v>
      </c>
      <c r="F125" t="s">
        <v>561</v>
      </c>
      <c r="G125" t="s">
        <v>6932</v>
      </c>
      <c r="H125">
        <v>5</v>
      </c>
      <c r="I125">
        <f>VLOOKUP(B125,BRAND!B:D,3,FALSE)</f>
        <v>0</v>
      </c>
      <c r="J125">
        <f>LEN(F125)</f>
        <v>3</v>
      </c>
      <c r="K125" t="s">
        <v>821</v>
      </c>
      <c r="L125">
        <v>0</v>
      </c>
      <c r="M125">
        <v>1</v>
      </c>
    </row>
    <row r="126" spans="1:13">
      <c r="A126" t="s">
        <v>7416</v>
      </c>
      <c r="B126" t="s">
        <v>7415</v>
      </c>
      <c r="C126" s="34" t="s">
        <v>534</v>
      </c>
      <c r="F126" t="s">
        <v>534</v>
      </c>
      <c r="G126" t="s">
        <v>6932</v>
      </c>
      <c r="H126">
        <v>5</v>
      </c>
      <c r="I126">
        <f>VLOOKUP(B126,BRAND!B:D,3,FALSE)</f>
        <v>5.5</v>
      </c>
      <c r="J126">
        <v>6</v>
      </c>
      <c r="M126">
        <v>1</v>
      </c>
    </row>
    <row r="127" spans="1:13">
      <c r="A127" t="s">
        <v>7414</v>
      </c>
      <c r="B127" t="s">
        <v>7415</v>
      </c>
      <c r="C127" s="34" t="s">
        <v>5232</v>
      </c>
      <c r="F127" t="s">
        <v>536</v>
      </c>
      <c r="G127" t="s">
        <v>6932</v>
      </c>
      <c r="H127">
        <v>5</v>
      </c>
      <c r="I127">
        <f>VLOOKUP(B127,BRAND!B:D,3,FALSE)</f>
        <v>5.5</v>
      </c>
      <c r="J127">
        <v>5</v>
      </c>
      <c r="M127">
        <v>1</v>
      </c>
    </row>
    <row r="128" spans="1:13">
      <c r="A128" t="s">
        <v>7417</v>
      </c>
      <c r="B128" t="s">
        <v>7418</v>
      </c>
      <c r="C128" s="34" t="s">
        <v>7419</v>
      </c>
      <c r="F128" t="s">
        <v>7419</v>
      </c>
      <c r="G128" t="s">
        <v>6932</v>
      </c>
      <c r="H128">
        <v>5</v>
      </c>
      <c r="I128">
        <f>VLOOKUP(B128,BRAND!B:D,3,FALSE)</f>
        <v>5.5</v>
      </c>
      <c r="J128">
        <f>LEN(F128)</f>
        <v>10</v>
      </c>
      <c r="M128">
        <v>1</v>
      </c>
    </row>
    <row r="129" spans="1:13">
      <c r="A129" t="s">
        <v>3348</v>
      </c>
      <c r="B129" t="s">
        <v>353</v>
      </c>
      <c r="C129" s="34" t="s">
        <v>772</v>
      </c>
      <c r="F129" t="s">
        <v>772</v>
      </c>
      <c r="H129">
        <v>5</v>
      </c>
      <c r="I129">
        <f>VLOOKUP(B129,BRAND!B:D,3,FALSE)</f>
        <v>9</v>
      </c>
      <c r="J129">
        <v>6</v>
      </c>
      <c r="K129" t="s">
        <v>821</v>
      </c>
      <c r="M129">
        <v>0</v>
      </c>
    </row>
    <row r="130" spans="1:13">
      <c r="A130" t="s">
        <v>2597</v>
      </c>
      <c r="B130" t="s">
        <v>353</v>
      </c>
      <c r="C130" s="34" t="s">
        <v>534</v>
      </c>
      <c r="F130" t="s">
        <v>534</v>
      </c>
      <c r="H130">
        <v>5</v>
      </c>
      <c r="I130">
        <f>VLOOKUP(B130,BRAND!B:D,3,FALSE)</f>
        <v>9</v>
      </c>
      <c r="J130">
        <v>6</v>
      </c>
      <c r="K130" t="s">
        <v>821</v>
      </c>
      <c r="M130">
        <v>1</v>
      </c>
    </row>
    <row r="131" spans="1:13">
      <c r="A131" t="s">
        <v>3161</v>
      </c>
      <c r="B131" t="s">
        <v>353</v>
      </c>
      <c r="C131" s="34" t="s">
        <v>536</v>
      </c>
      <c r="F131" t="s">
        <v>536</v>
      </c>
      <c r="H131">
        <v>5</v>
      </c>
      <c r="I131">
        <f>VLOOKUP(B131,BRAND!B:D,3,FALSE)</f>
        <v>9</v>
      </c>
      <c r="J131">
        <v>5</v>
      </c>
      <c r="K131" t="s">
        <v>821</v>
      </c>
      <c r="M131">
        <v>0</v>
      </c>
    </row>
    <row r="132" spans="1:13">
      <c r="A132" t="s">
        <v>7420</v>
      </c>
      <c r="B132" t="s">
        <v>1</v>
      </c>
      <c r="C132" s="34" t="s">
        <v>534</v>
      </c>
      <c r="F132" t="s">
        <v>534</v>
      </c>
      <c r="G132" t="s">
        <v>801</v>
      </c>
      <c r="H132">
        <v>5</v>
      </c>
      <c r="I132">
        <f>VLOOKUP(B132,BRAND!B:D,3,FALSE)</f>
        <v>9</v>
      </c>
      <c r="J132">
        <v>6</v>
      </c>
      <c r="M132">
        <v>1</v>
      </c>
    </row>
    <row r="133" spans="1:13">
      <c r="A133" t="s">
        <v>3081</v>
      </c>
      <c r="B133" t="s">
        <v>2</v>
      </c>
      <c r="C133" s="34" t="s">
        <v>1438</v>
      </c>
      <c r="F133" t="s">
        <v>1438</v>
      </c>
      <c r="H133">
        <v>15</v>
      </c>
      <c r="I133">
        <f>VLOOKUP(B133,BRAND!B:D,3,FALSE)</f>
        <v>9</v>
      </c>
      <c r="J133">
        <v>4</v>
      </c>
      <c r="K133" t="s">
        <v>821</v>
      </c>
      <c r="M133">
        <v>1</v>
      </c>
    </row>
    <row r="134" spans="1:13">
      <c r="A134" t="s">
        <v>7421</v>
      </c>
      <c r="B134" t="s">
        <v>3</v>
      </c>
      <c r="C134" s="34" t="s">
        <v>7422</v>
      </c>
      <c r="F134" t="s">
        <v>7423</v>
      </c>
      <c r="G134" t="s">
        <v>6932</v>
      </c>
      <c r="H134">
        <v>5</v>
      </c>
      <c r="I134">
        <f>VLOOKUP(B134,BRAND!B:D,3,FALSE)</f>
        <v>9</v>
      </c>
      <c r="J134">
        <v>9</v>
      </c>
      <c r="M134">
        <v>1</v>
      </c>
    </row>
    <row r="135" spans="1:13">
      <c r="A135" t="s">
        <v>3585</v>
      </c>
      <c r="B135" t="s">
        <v>3</v>
      </c>
      <c r="C135" s="34" t="s">
        <v>772</v>
      </c>
      <c r="F135" t="s">
        <v>772</v>
      </c>
      <c r="H135">
        <v>5</v>
      </c>
      <c r="I135">
        <f>VLOOKUP(B135,BRAND!B:D,3,FALSE)</f>
        <v>9</v>
      </c>
      <c r="J135">
        <v>6</v>
      </c>
      <c r="K135" t="s">
        <v>821</v>
      </c>
      <c r="M135">
        <v>1</v>
      </c>
    </row>
    <row r="136" spans="1:13">
      <c r="A136" t="s">
        <v>3462</v>
      </c>
      <c r="B136" t="s">
        <v>3</v>
      </c>
      <c r="C136" s="34" t="s">
        <v>534</v>
      </c>
      <c r="F136" t="s">
        <v>534</v>
      </c>
      <c r="H136">
        <v>5</v>
      </c>
      <c r="I136">
        <f>VLOOKUP(B136,BRAND!B:D,3,FALSE)</f>
        <v>9</v>
      </c>
      <c r="J136">
        <v>6</v>
      </c>
      <c r="K136" t="s">
        <v>821</v>
      </c>
      <c r="M136">
        <v>1</v>
      </c>
    </row>
    <row r="137" spans="1:13">
      <c r="A137" t="s">
        <v>3332</v>
      </c>
      <c r="B137" t="s">
        <v>3</v>
      </c>
      <c r="C137" s="34" t="s">
        <v>842</v>
      </c>
      <c r="F137" t="s">
        <v>842</v>
      </c>
      <c r="H137">
        <v>5</v>
      </c>
      <c r="I137">
        <f>VLOOKUP(B137,BRAND!B:D,3,FALSE)</f>
        <v>9</v>
      </c>
      <c r="J137">
        <v>5</v>
      </c>
      <c r="K137" t="s">
        <v>821</v>
      </c>
      <c r="M137">
        <v>0</v>
      </c>
    </row>
    <row r="138" spans="1:13">
      <c r="A138" t="s">
        <v>3317</v>
      </c>
      <c r="B138" t="s">
        <v>3</v>
      </c>
      <c r="C138" s="34" t="s">
        <v>5232</v>
      </c>
      <c r="F138" t="s">
        <v>536</v>
      </c>
      <c r="H138">
        <v>5</v>
      </c>
      <c r="I138">
        <f>VLOOKUP(B138,BRAND!B:D,3,FALSE)</f>
        <v>9</v>
      </c>
      <c r="J138">
        <v>5</v>
      </c>
      <c r="K138" t="s">
        <v>821</v>
      </c>
      <c r="M138">
        <v>1</v>
      </c>
    </row>
    <row r="139" spans="1:13">
      <c r="A139" t="s">
        <v>3463</v>
      </c>
      <c r="B139" t="s">
        <v>3</v>
      </c>
      <c r="C139" s="34" t="s">
        <v>797</v>
      </c>
      <c r="F139" t="s">
        <v>797</v>
      </c>
      <c r="H139">
        <v>5</v>
      </c>
      <c r="I139">
        <f>VLOOKUP(B139,BRAND!B:D,3,FALSE)</f>
        <v>9</v>
      </c>
      <c r="J139">
        <v>5</v>
      </c>
      <c r="K139" t="s">
        <v>821</v>
      </c>
      <c r="M139">
        <v>1</v>
      </c>
    </row>
    <row r="140" spans="1:13">
      <c r="A140" t="s">
        <v>4863</v>
      </c>
      <c r="B140" t="s">
        <v>3</v>
      </c>
      <c r="C140" s="34" t="s">
        <v>775</v>
      </c>
      <c r="F140" t="s">
        <v>775</v>
      </c>
      <c r="H140">
        <v>5</v>
      </c>
      <c r="I140">
        <f>VLOOKUP(B140,BRAND!B:D,3,FALSE)</f>
        <v>9</v>
      </c>
      <c r="J140">
        <v>3</v>
      </c>
      <c r="K140" t="s">
        <v>821</v>
      </c>
      <c r="M140">
        <v>0</v>
      </c>
    </row>
    <row r="141" spans="1:13">
      <c r="A141" t="s">
        <v>2631</v>
      </c>
      <c r="B141" t="s">
        <v>386</v>
      </c>
      <c r="C141" s="34" t="s">
        <v>781</v>
      </c>
      <c r="F141" t="s">
        <v>781</v>
      </c>
      <c r="H141">
        <v>5</v>
      </c>
      <c r="I141">
        <f>VLOOKUP(B141,BRAND!B:D,3,FALSE)</f>
        <v>9</v>
      </c>
      <c r="J141">
        <v>4</v>
      </c>
      <c r="K141" t="s">
        <v>821</v>
      </c>
      <c r="M141">
        <v>1</v>
      </c>
    </row>
    <row r="142" spans="1:13">
      <c r="A142" t="s">
        <v>14667</v>
      </c>
      <c r="B142" t="s">
        <v>238</v>
      </c>
      <c r="C142" s="34" t="s">
        <v>10023</v>
      </c>
      <c r="F142" t="s">
        <v>10023</v>
      </c>
      <c r="G142" t="s">
        <v>6932</v>
      </c>
      <c r="H142">
        <v>5</v>
      </c>
      <c r="I142">
        <f>VLOOKUP(B142,BRAND!B:D,3,FALSE)</f>
        <v>0</v>
      </c>
      <c r="J142">
        <f>LEN(F142)</f>
        <v>6</v>
      </c>
      <c r="K142" t="s">
        <v>821</v>
      </c>
      <c r="L142">
        <v>0</v>
      </c>
      <c r="M142">
        <v>1</v>
      </c>
    </row>
    <row r="143" spans="1:13">
      <c r="A143" t="s">
        <v>14665</v>
      </c>
      <c r="B143" t="s">
        <v>238</v>
      </c>
      <c r="C143" s="34" t="s">
        <v>6948</v>
      </c>
      <c r="F143" t="s">
        <v>6948</v>
      </c>
      <c r="G143" t="s">
        <v>6932</v>
      </c>
      <c r="H143">
        <v>5</v>
      </c>
      <c r="I143">
        <f>VLOOKUP(B143,BRAND!B:D,3,FALSE)</f>
        <v>0</v>
      </c>
      <c r="J143">
        <f>LEN(F143)</f>
        <v>6</v>
      </c>
      <c r="K143" t="s">
        <v>821</v>
      </c>
      <c r="L143">
        <v>0</v>
      </c>
      <c r="M143">
        <v>1</v>
      </c>
    </row>
    <row r="144" spans="1:13">
      <c r="A144" t="s">
        <v>3892</v>
      </c>
      <c r="B144" t="s">
        <v>238</v>
      </c>
      <c r="C144" s="34" t="s">
        <v>5251</v>
      </c>
      <c r="F144" t="s">
        <v>772</v>
      </c>
      <c r="H144">
        <v>5</v>
      </c>
      <c r="I144">
        <f>VLOOKUP(B144,BRAND!B:D,3,FALSE)</f>
        <v>0</v>
      </c>
      <c r="J144">
        <v>6</v>
      </c>
      <c r="K144" t="s">
        <v>821</v>
      </c>
      <c r="M144">
        <v>1</v>
      </c>
    </row>
    <row r="145" spans="1:13">
      <c r="A145" t="s">
        <v>3397</v>
      </c>
      <c r="B145" t="s">
        <v>238</v>
      </c>
      <c r="C145" s="34" t="s">
        <v>534</v>
      </c>
      <c r="F145" t="s">
        <v>534</v>
      </c>
      <c r="H145">
        <v>5</v>
      </c>
      <c r="I145">
        <f>VLOOKUP(B145,BRAND!B:D,3,FALSE)</f>
        <v>0</v>
      </c>
      <c r="J145">
        <v>6</v>
      </c>
      <c r="K145" t="s">
        <v>821</v>
      </c>
      <c r="M145">
        <v>1</v>
      </c>
    </row>
    <row r="146" spans="1:13">
      <c r="A146" t="s">
        <v>14660</v>
      </c>
      <c r="B146" t="s">
        <v>238</v>
      </c>
      <c r="C146" s="34" t="s">
        <v>14661</v>
      </c>
      <c r="F146" t="s">
        <v>14661</v>
      </c>
      <c r="G146" t="s">
        <v>6932</v>
      </c>
      <c r="H146">
        <v>5</v>
      </c>
      <c r="I146">
        <f>VLOOKUP(B146,BRAND!B:D,3,FALSE)</f>
        <v>0</v>
      </c>
      <c r="J146">
        <f>LEN(F146)</f>
        <v>6</v>
      </c>
      <c r="K146" t="s">
        <v>821</v>
      </c>
      <c r="L146">
        <v>0</v>
      </c>
      <c r="M146">
        <v>1</v>
      </c>
    </row>
    <row r="147" spans="1:13">
      <c r="A147" t="s">
        <v>14663</v>
      </c>
      <c r="B147" t="s">
        <v>238</v>
      </c>
      <c r="C147" s="34" t="s">
        <v>14664</v>
      </c>
      <c r="F147" t="s">
        <v>14664</v>
      </c>
      <c r="G147" t="s">
        <v>6932</v>
      </c>
      <c r="H147">
        <v>5</v>
      </c>
      <c r="I147">
        <f>VLOOKUP(B147,BRAND!B:D,3,FALSE)</f>
        <v>0</v>
      </c>
      <c r="J147">
        <f>LEN(F147)</f>
        <v>6</v>
      </c>
      <c r="K147" t="s">
        <v>821</v>
      </c>
      <c r="L147">
        <v>0</v>
      </c>
      <c r="M147">
        <v>1</v>
      </c>
    </row>
    <row r="148" spans="1:13">
      <c r="A148" t="s">
        <v>14666</v>
      </c>
      <c r="B148" t="s">
        <v>238</v>
      </c>
      <c r="C148" s="34" t="s">
        <v>5232</v>
      </c>
      <c r="F148" t="s">
        <v>536</v>
      </c>
      <c r="G148" t="s">
        <v>2000</v>
      </c>
      <c r="H148">
        <v>5</v>
      </c>
      <c r="I148">
        <f>VLOOKUP(B148,BRAND!B:D,3,FALSE)</f>
        <v>0</v>
      </c>
      <c r="J148">
        <f>LEN(F148)</f>
        <v>5</v>
      </c>
      <c r="K148" t="s">
        <v>821</v>
      </c>
      <c r="L148">
        <v>0</v>
      </c>
      <c r="M148">
        <v>1</v>
      </c>
    </row>
    <row r="149" spans="1:13">
      <c r="A149" t="s">
        <v>14662</v>
      </c>
      <c r="B149" t="s">
        <v>238</v>
      </c>
      <c r="C149" s="34" t="s">
        <v>788</v>
      </c>
      <c r="F149" t="s">
        <v>788</v>
      </c>
      <c r="G149" t="s">
        <v>6932</v>
      </c>
      <c r="H149">
        <v>5</v>
      </c>
      <c r="I149">
        <f>VLOOKUP(B149,BRAND!B:D,3,FALSE)</f>
        <v>0</v>
      </c>
      <c r="J149">
        <f>LEN(F149)</f>
        <v>4</v>
      </c>
      <c r="K149" t="s">
        <v>821</v>
      </c>
      <c r="L149">
        <v>0</v>
      </c>
      <c r="M149">
        <v>1</v>
      </c>
    </row>
    <row r="150" spans="1:13">
      <c r="A150" t="s">
        <v>7426</v>
      </c>
      <c r="B150" t="s">
        <v>238</v>
      </c>
      <c r="C150" s="34" t="s">
        <v>765</v>
      </c>
      <c r="F150" t="s">
        <v>765</v>
      </c>
      <c r="G150" t="s">
        <v>6932</v>
      </c>
      <c r="H150">
        <v>5</v>
      </c>
      <c r="I150">
        <f>VLOOKUP(B150,BRAND!B:D,3,FALSE)</f>
        <v>0</v>
      </c>
      <c r="J150">
        <v>4</v>
      </c>
      <c r="M150">
        <v>1</v>
      </c>
    </row>
    <row r="151" spans="1:13">
      <c r="A151" t="s">
        <v>7425</v>
      </c>
      <c r="B151" t="s">
        <v>238</v>
      </c>
      <c r="C151" s="34" t="s">
        <v>7424</v>
      </c>
      <c r="F151" t="s">
        <v>7424</v>
      </c>
      <c r="G151" t="s">
        <v>801</v>
      </c>
      <c r="H151">
        <v>5</v>
      </c>
      <c r="I151">
        <f>VLOOKUP(B151,BRAND!B:D,3,FALSE)</f>
        <v>0</v>
      </c>
      <c r="J151">
        <v>3</v>
      </c>
      <c r="M151">
        <v>1</v>
      </c>
    </row>
    <row r="152" spans="1:13">
      <c r="A152" t="s">
        <v>7261</v>
      </c>
      <c r="B152" t="s">
        <v>238</v>
      </c>
      <c r="C152" s="34" t="s">
        <v>776</v>
      </c>
      <c r="F152" t="s">
        <v>776</v>
      </c>
      <c r="H152">
        <v>5</v>
      </c>
      <c r="I152">
        <f>VLOOKUP(B152,BRAND!B:D,3,FALSE)</f>
        <v>0</v>
      </c>
      <c r="M152">
        <v>1</v>
      </c>
    </row>
    <row r="153" spans="1:13">
      <c r="A153" t="s">
        <v>5308</v>
      </c>
      <c r="B153" t="s">
        <v>238</v>
      </c>
      <c r="C153" s="34" t="s">
        <v>5235</v>
      </c>
      <c r="F153" t="s">
        <v>1438</v>
      </c>
      <c r="G153" t="s">
        <v>801</v>
      </c>
      <c r="H153">
        <v>7</v>
      </c>
      <c r="I153">
        <f>VLOOKUP(B153,BRAND!B:D,3,FALSE)</f>
        <v>0</v>
      </c>
      <c r="J153">
        <v>4</v>
      </c>
      <c r="K153" t="s">
        <v>821</v>
      </c>
      <c r="M153">
        <v>1</v>
      </c>
    </row>
    <row r="154" spans="1:13">
      <c r="A154" t="s">
        <v>4030</v>
      </c>
      <c r="B154" t="s">
        <v>238</v>
      </c>
      <c r="C154" s="34" t="s">
        <v>5235</v>
      </c>
      <c r="F154" t="s">
        <v>1438</v>
      </c>
      <c r="H154">
        <v>15</v>
      </c>
      <c r="I154">
        <f>VLOOKUP(B154,BRAND!B:D,3,FALSE)</f>
        <v>0</v>
      </c>
      <c r="J154">
        <v>4</v>
      </c>
      <c r="K154" t="s">
        <v>821</v>
      </c>
      <c r="M154">
        <v>1</v>
      </c>
    </row>
    <row r="155" spans="1:13">
      <c r="A155" t="s">
        <v>5041</v>
      </c>
      <c r="B155" t="s">
        <v>1899</v>
      </c>
      <c r="C155" s="34" t="s">
        <v>1438</v>
      </c>
      <c r="F155" t="s">
        <v>1438</v>
      </c>
      <c r="G155" t="s">
        <v>801</v>
      </c>
      <c r="H155">
        <v>6</v>
      </c>
      <c r="I155">
        <f>VLOOKUP(B155,BRAND!B:D,3,FALSE)</f>
        <v>9</v>
      </c>
      <c r="J155">
        <v>4</v>
      </c>
      <c r="K155" t="s">
        <v>821</v>
      </c>
      <c r="M155">
        <v>0</v>
      </c>
    </row>
    <row r="156" spans="1:13">
      <c r="A156" t="s">
        <v>4269</v>
      </c>
      <c r="B156" t="s">
        <v>1899</v>
      </c>
      <c r="C156" s="34" t="s">
        <v>1438</v>
      </c>
      <c r="F156" t="s">
        <v>1438</v>
      </c>
      <c r="H156">
        <v>15</v>
      </c>
      <c r="I156">
        <f>VLOOKUP(B156,BRAND!B:D,3,FALSE)</f>
        <v>9</v>
      </c>
      <c r="J156">
        <v>4</v>
      </c>
      <c r="K156" t="s">
        <v>821</v>
      </c>
      <c r="M156">
        <v>0</v>
      </c>
    </row>
    <row r="157" spans="1:13">
      <c r="A157" t="s">
        <v>7427</v>
      </c>
      <c r="B157" t="s">
        <v>7275</v>
      </c>
      <c r="C157" s="34" t="s">
        <v>5232</v>
      </c>
      <c r="F157" t="s">
        <v>536</v>
      </c>
      <c r="G157" t="s">
        <v>6932</v>
      </c>
      <c r="H157">
        <v>5</v>
      </c>
      <c r="I157">
        <f>VLOOKUP(B157,BRAND!B:D,3,FALSE)</f>
        <v>5.5</v>
      </c>
      <c r="J157">
        <v>5</v>
      </c>
      <c r="M157">
        <v>1</v>
      </c>
    </row>
    <row r="158" spans="1:13">
      <c r="A158" t="s">
        <v>7274</v>
      </c>
      <c r="B158" t="s">
        <v>7275</v>
      </c>
      <c r="C158" s="34" t="s">
        <v>1438</v>
      </c>
      <c r="F158" t="s">
        <v>1438</v>
      </c>
      <c r="H158">
        <v>5</v>
      </c>
      <c r="I158">
        <f>VLOOKUP(B158,BRAND!B:D,3,FALSE)</f>
        <v>5.5</v>
      </c>
      <c r="M158">
        <v>1</v>
      </c>
    </row>
    <row r="159" spans="1:13">
      <c r="A159" t="s">
        <v>7428</v>
      </c>
      <c r="B159" t="s">
        <v>7429</v>
      </c>
      <c r="C159" s="34" t="s">
        <v>1438</v>
      </c>
      <c r="F159" t="s">
        <v>1438</v>
      </c>
      <c r="G159" t="s">
        <v>6932</v>
      </c>
      <c r="H159">
        <v>5</v>
      </c>
      <c r="I159">
        <f>VLOOKUP(B159,BRAND!B:D,3,FALSE)</f>
        <v>5.5</v>
      </c>
      <c r="J159">
        <v>4</v>
      </c>
      <c r="M159">
        <v>1</v>
      </c>
    </row>
    <row r="160" spans="1:13">
      <c r="A160" t="s">
        <v>7430</v>
      </c>
      <c r="B160" t="s">
        <v>387</v>
      </c>
      <c r="C160" s="34" t="s">
        <v>5442</v>
      </c>
      <c r="F160" t="s">
        <v>534</v>
      </c>
      <c r="G160" t="s">
        <v>6932</v>
      </c>
      <c r="H160">
        <v>5</v>
      </c>
      <c r="I160">
        <f>VLOOKUP(B160,BRAND!B:D,3,FALSE)</f>
        <v>9</v>
      </c>
      <c r="J160">
        <v>6</v>
      </c>
      <c r="M160">
        <v>1</v>
      </c>
    </row>
    <row r="161" spans="1:13">
      <c r="A161" t="s">
        <v>9558</v>
      </c>
      <c r="B161" t="s">
        <v>387</v>
      </c>
      <c r="C161" s="34" t="s">
        <v>536</v>
      </c>
      <c r="F161" t="s">
        <v>536</v>
      </c>
      <c r="H161">
        <v>5</v>
      </c>
      <c r="I161">
        <f>VLOOKUP(B161,BRAND!B:D,3,FALSE)</f>
        <v>9</v>
      </c>
      <c r="J161">
        <v>5</v>
      </c>
      <c r="M161">
        <v>1</v>
      </c>
    </row>
    <row r="162" spans="1:13">
      <c r="A162" t="s">
        <v>7431</v>
      </c>
      <c r="B162" t="s">
        <v>387</v>
      </c>
      <c r="C162" s="34" t="s">
        <v>842</v>
      </c>
      <c r="F162" t="s">
        <v>842</v>
      </c>
      <c r="G162" t="s">
        <v>6932</v>
      </c>
      <c r="H162">
        <v>5</v>
      </c>
      <c r="I162">
        <f>VLOOKUP(B162,BRAND!B:D,3,FALSE)</f>
        <v>9</v>
      </c>
      <c r="J162">
        <v>5</v>
      </c>
      <c r="M162">
        <v>1</v>
      </c>
    </row>
    <row r="163" spans="1:13">
      <c r="A163" t="s">
        <v>7432</v>
      </c>
      <c r="B163" t="s">
        <v>7433</v>
      </c>
      <c r="C163" s="34" t="s">
        <v>7434</v>
      </c>
      <c r="F163" t="s">
        <v>7435</v>
      </c>
      <c r="G163" t="s">
        <v>6932</v>
      </c>
      <c r="H163">
        <v>5</v>
      </c>
      <c r="I163">
        <f>VLOOKUP(B163,BRAND!B:D,3,FALSE)</f>
        <v>5.5</v>
      </c>
      <c r="J163">
        <v>7</v>
      </c>
      <c r="M163">
        <v>1</v>
      </c>
    </row>
    <row r="164" spans="1:13">
      <c r="A164" t="s">
        <v>9559</v>
      </c>
      <c r="B164" t="s">
        <v>6590</v>
      </c>
      <c r="C164" s="34" t="s">
        <v>1438</v>
      </c>
      <c r="F164" t="s">
        <v>1438</v>
      </c>
      <c r="H164">
        <v>5</v>
      </c>
      <c r="I164">
        <f>VLOOKUP(B164,BRAND!B:D,3,FALSE)</f>
        <v>5</v>
      </c>
      <c r="J164">
        <v>4</v>
      </c>
      <c r="M164">
        <v>1</v>
      </c>
    </row>
    <row r="165" spans="1:13">
      <c r="A165" t="s">
        <v>7354</v>
      </c>
      <c r="B165" t="s">
        <v>7355</v>
      </c>
      <c r="C165" s="34" t="s">
        <v>1438</v>
      </c>
      <c r="F165" t="s">
        <v>1438</v>
      </c>
      <c r="G165" t="s">
        <v>6932</v>
      </c>
      <c r="H165">
        <v>5</v>
      </c>
      <c r="I165">
        <f>VLOOKUP(B165,BRAND!B:D,3,FALSE)</f>
        <v>5.5</v>
      </c>
      <c r="J165">
        <v>4</v>
      </c>
      <c r="M165">
        <v>1</v>
      </c>
    </row>
    <row r="166" spans="1:13">
      <c r="A166" t="s">
        <v>11578</v>
      </c>
      <c r="B166" t="s">
        <v>1214</v>
      </c>
      <c r="C166" s="34" t="s">
        <v>11579</v>
      </c>
      <c r="F166" t="s">
        <v>903</v>
      </c>
      <c r="G166" t="s">
        <v>6932</v>
      </c>
      <c r="H166">
        <v>5</v>
      </c>
    </row>
    <row r="167" spans="1:13">
      <c r="A167" t="s">
        <v>11580</v>
      </c>
      <c r="B167" t="s">
        <v>1214</v>
      </c>
      <c r="C167" s="34" t="s">
        <v>5374</v>
      </c>
      <c r="F167" t="s">
        <v>777</v>
      </c>
      <c r="G167" t="s">
        <v>6932</v>
      </c>
      <c r="H167">
        <v>5</v>
      </c>
    </row>
    <row r="168" spans="1:13">
      <c r="A168" t="s">
        <v>11581</v>
      </c>
      <c r="B168" t="s">
        <v>1214</v>
      </c>
      <c r="C168" s="34" t="s">
        <v>6948</v>
      </c>
      <c r="F168" t="s">
        <v>6948</v>
      </c>
      <c r="G168" t="s">
        <v>6932</v>
      </c>
      <c r="H168">
        <v>5</v>
      </c>
    </row>
    <row r="169" spans="1:13">
      <c r="A169" t="s">
        <v>11582</v>
      </c>
      <c r="B169" t="s">
        <v>1214</v>
      </c>
      <c r="C169" s="34" t="s">
        <v>8349</v>
      </c>
      <c r="F169" t="s">
        <v>8349</v>
      </c>
      <c r="G169" t="s">
        <v>6932</v>
      </c>
      <c r="H169">
        <v>5</v>
      </c>
    </row>
    <row r="170" spans="1:13">
      <c r="A170" t="s">
        <v>11583</v>
      </c>
      <c r="B170" t="s">
        <v>1214</v>
      </c>
      <c r="C170" s="34" t="s">
        <v>10965</v>
      </c>
      <c r="F170" t="s">
        <v>10965</v>
      </c>
      <c r="G170" t="s">
        <v>6932</v>
      </c>
      <c r="H170">
        <v>5</v>
      </c>
    </row>
    <row r="171" spans="1:13">
      <c r="A171" t="s">
        <v>11584</v>
      </c>
      <c r="B171" t="s">
        <v>1214</v>
      </c>
      <c r="C171" s="34" t="s">
        <v>8784</v>
      </c>
      <c r="F171" t="s">
        <v>8784</v>
      </c>
      <c r="G171" t="s">
        <v>6932</v>
      </c>
      <c r="H171">
        <v>5</v>
      </c>
    </row>
    <row r="172" spans="1:13">
      <c r="A172" t="s">
        <v>11585</v>
      </c>
      <c r="B172" t="s">
        <v>1214</v>
      </c>
      <c r="C172" s="34" t="s">
        <v>1438</v>
      </c>
      <c r="F172" t="s">
        <v>1438</v>
      </c>
      <c r="G172" t="s">
        <v>1996</v>
      </c>
      <c r="H172">
        <v>5</v>
      </c>
    </row>
    <row r="173" spans="1:13">
      <c r="A173" t="s">
        <v>2104</v>
      </c>
      <c r="B173" t="s">
        <v>500</v>
      </c>
      <c r="C173" s="34" t="s">
        <v>1438</v>
      </c>
      <c r="F173" t="s">
        <v>1438</v>
      </c>
      <c r="H173">
        <v>15</v>
      </c>
      <c r="I173">
        <f>VLOOKUP(B173,BRAND!B:D,3,FALSE)</f>
        <v>9</v>
      </c>
      <c r="J173">
        <v>4</v>
      </c>
      <c r="K173" t="s">
        <v>821</v>
      </c>
      <c r="M173">
        <v>1</v>
      </c>
    </row>
    <row r="174" spans="1:13">
      <c r="A174" t="s">
        <v>1533</v>
      </c>
      <c r="B174" t="s">
        <v>4</v>
      </c>
      <c r="C174" s="34" t="s">
        <v>1438</v>
      </c>
      <c r="F174" t="s">
        <v>1438</v>
      </c>
      <c r="H174">
        <v>15</v>
      </c>
      <c r="I174">
        <f>VLOOKUP(B174,BRAND!B:D,3,FALSE)</f>
        <v>9</v>
      </c>
      <c r="J174">
        <v>4</v>
      </c>
      <c r="K174" t="s">
        <v>822</v>
      </c>
      <c r="M174">
        <v>1</v>
      </c>
    </row>
    <row r="175" spans="1:13">
      <c r="A175" t="s">
        <v>3306</v>
      </c>
      <c r="B175" t="s">
        <v>1389</v>
      </c>
      <c r="C175" s="34" t="s">
        <v>777</v>
      </c>
      <c r="F175" t="s">
        <v>777</v>
      </c>
      <c r="H175">
        <v>5</v>
      </c>
      <c r="I175">
        <f>VLOOKUP(B175,BRAND!B:D,3,FALSE)</f>
        <v>9</v>
      </c>
      <c r="J175">
        <v>7</v>
      </c>
      <c r="K175" t="s">
        <v>821</v>
      </c>
      <c r="M175">
        <v>0</v>
      </c>
    </row>
    <row r="176" spans="1:13">
      <c r="A176" t="s">
        <v>3305</v>
      </c>
      <c r="B176" t="s">
        <v>1389</v>
      </c>
      <c r="C176" s="34" t="s">
        <v>772</v>
      </c>
      <c r="F176" t="s">
        <v>772</v>
      </c>
      <c r="H176">
        <v>5</v>
      </c>
      <c r="I176">
        <f>VLOOKUP(B176,BRAND!B:D,3,FALSE)</f>
        <v>9</v>
      </c>
      <c r="J176">
        <v>6</v>
      </c>
      <c r="K176" t="s">
        <v>821</v>
      </c>
      <c r="M176">
        <v>0</v>
      </c>
    </row>
    <row r="177" spans="1:13">
      <c r="A177" t="s">
        <v>3304</v>
      </c>
      <c r="B177" t="s">
        <v>1389</v>
      </c>
      <c r="C177" s="34" t="s">
        <v>900</v>
      </c>
      <c r="F177" t="s">
        <v>900</v>
      </c>
      <c r="H177">
        <v>5</v>
      </c>
      <c r="I177">
        <f>VLOOKUP(B177,BRAND!B:D,3,FALSE)</f>
        <v>9</v>
      </c>
      <c r="J177">
        <v>5</v>
      </c>
      <c r="K177" t="s">
        <v>821</v>
      </c>
      <c r="M177">
        <v>0</v>
      </c>
    </row>
    <row r="178" spans="1:13">
      <c r="A178" t="s">
        <v>4423</v>
      </c>
      <c r="B178" t="s">
        <v>1389</v>
      </c>
      <c r="C178" s="34" t="s">
        <v>776</v>
      </c>
      <c r="F178" t="s">
        <v>776</v>
      </c>
      <c r="H178">
        <v>5</v>
      </c>
      <c r="I178">
        <f>VLOOKUP(B178,BRAND!B:D,3,FALSE)</f>
        <v>9</v>
      </c>
      <c r="J178">
        <v>5</v>
      </c>
      <c r="K178" t="s">
        <v>821</v>
      </c>
      <c r="M178">
        <v>0</v>
      </c>
    </row>
    <row r="179" spans="1:13">
      <c r="A179" t="s">
        <v>2780</v>
      </c>
      <c r="B179" t="s">
        <v>1389</v>
      </c>
      <c r="C179" s="34" t="s">
        <v>1438</v>
      </c>
      <c r="F179" t="s">
        <v>1438</v>
      </c>
      <c r="H179">
        <v>15</v>
      </c>
      <c r="I179">
        <f>VLOOKUP(B179,BRAND!B:D,3,FALSE)</f>
        <v>9</v>
      </c>
      <c r="J179">
        <v>4</v>
      </c>
      <c r="K179" t="s">
        <v>821</v>
      </c>
      <c r="M179">
        <v>0</v>
      </c>
    </row>
    <row r="180" spans="1:13">
      <c r="A180" t="s">
        <v>2987</v>
      </c>
      <c r="B180" t="s">
        <v>1140</v>
      </c>
      <c r="C180" s="34" t="s">
        <v>772</v>
      </c>
      <c r="F180" t="s">
        <v>772</v>
      </c>
      <c r="H180">
        <v>5</v>
      </c>
      <c r="I180">
        <f>VLOOKUP(B180,BRAND!B:D,3,FALSE)</f>
        <v>9</v>
      </c>
      <c r="J180">
        <v>6</v>
      </c>
      <c r="K180" t="s">
        <v>821</v>
      </c>
      <c r="M180">
        <v>0</v>
      </c>
    </row>
    <row r="181" spans="1:13">
      <c r="A181" t="s">
        <v>4524</v>
      </c>
      <c r="B181" t="s">
        <v>1140</v>
      </c>
      <c r="C181" s="34" t="s">
        <v>775</v>
      </c>
      <c r="F181" t="s">
        <v>775</v>
      </c>
      <c r="H181">
        <v>5</v>
      </c>
      <c r="I181">
        <f>VLOOKUP(B181,BRAND!B:D,3,FALSE)</f>
        <v>9</v>
      </c>
      <c r="J181">
        <v>3</v>
      </c>
      <c r="K181" t="s">
        <v>821</v>
      </c>
      <c r="M181">
        <v>0</v>
      </c>
    </row>
    <row r="182" spans="1:13">
      <c r="A182" t="s">
        <v>2786</v>
      </c>
      <c r="B182" t="s">
        <v>1140</v>
      </c>
      <c r="C182" s="34" t="s">
        <v>1438</v>
      </c>
      <c r="F182" t="s">
        <v>1438</v>
      </c>
      <c r="H182">
        <v>15</v>
      </c>
      <c r="I182">
        <f>VLOOKUP(B182,BRAND!B:D,3,FALSE)</f>
        <v>9</v>
      </c>
      <c r="J182">
        <v>4</v>
      </c>
      <c r="K182" t="s">
        <v>821</v>
      </c>
      <c r="M182">
        <v>0</v>
      </c>
    </row>
    <row r="183" spans="1:13">
      <c r="A183" t="s">
        <v>2734</v>
      </c>
      <c r="B183" t="s">
        <v>1141</v>
      </c>
      <c r="C183" s="34" t="s">
        <v>1438</v>
      </c>
      <c r="F183" t="s">
        <v>1438</v>
      </c>
      <c r="H183">
        <v>15</v>
      </c>
      <c r="I183">
        <f>VLOOKUP(B183,BRAND!B:D,3,FALSE)</f>
        <v>9</v>
      </c>
      <c r="J183">
        <v>4</v>
      </c>
      <c r="K183" t="s">
        <v>821</v>
      </c>
      <c r="M183">
        <v>0</v>
      </c>
    </row>
    <row r="184" spans="1:13">
      <c r="A184" t="s">
        <v>7436</v>
      </c>
      <c r="B184" t="s">
        <v>7437</v>
      </c>
      <c r="C184" s="34" t="s">
        <v>5232</v>
      </c>
      <c r="F184" t="s">
        <v>536</v>
      </c>
      <c r="G184" t="s">
        <v>6932</v>
      </c>
      <c r="H184">
        <v>5</v>
      </c>
      <c r="I184">
        <f>VLOOKUP(B184,BRAND!B:D,3,FALSE)</f>
        <v>5.5</v>
      </c>
      <c r="J184">
        <v>5</v>
      </c>
      <c r="M184">
        <v>1</v>
      </c>
    </row>
    <row r="185" spans="1:13">
      <c r="A185" t="s">
        <v>4339</v>
      </c>
      <c r="B185" t="s">
        <v>1215</v>
      </c>
      <c r="C185" s="34" t="s">
        <v>775</v>
      </c>
      <c r="F185" t="s">
        <v>775</v>
      </c>
      <c r="H185">
        <v>5</v>
      </c>
      <c r="I185">
        <f>VLOOKUP(B185,BRAND!B:D,3,FALSE)</f>
        <v>9</v>
      </c>
      <c r="J185">
        <v>3</v>
      </c>
      <c r="K185" t="s">
        <v>821</v>
      </c>
      <c r="M185">
        <v>0</v>
      </c>
    </row>
    <row r="186" spans="1:13">
      <c r="A186" t="s">
        <v>2238</v>
      </c>
      <c r="B186" t="s">
        <v>1215</v>
      </c>
      <c r="C186" s="34" t="s">
        <v>1438</v>
      </c>
      <c r="F186" t="s">
        <v>1438</v>
      </c>
      <c r="H186">
        <v>15</v>
      </c>
      <c r="I186">
        <f>VLOOKUP(B186,BRAND!B:D,3,FALSE)</f>
        <v>9</v>
      </c>
      <c r="J186">
        <v>4</v>
      </c>
      <c r="K186" t="s">
        <v>821</v>
      </c>
      <c r="M186">
        <v>0</v>
      </c>
    </row>
    <row r="187" spans="1:13">
      <c r="A187" t="s">
        <v>7438</v>
      </c>
      <c r="B187" t="s">
        <v>7439</v>
      </c>
      <c r="C187" s="34" t="s">
        <v>1438</v>
      </c>
      <c r="F187" t="s">
        <v>1438</v>
      </c>
      <c r="G187" t="s">
        <v>6932</v>
      </c>
      <c r="H187">
        <v>5</v>
      </c>
      <c r="I187">
        <f>VLOOKUP(B187,BRAND!B:D,3,FALSE)</f>
        <v>5.5</v>
      </c>
      <c r="J187">
        <v>4</v>
      </c>
      <c r="M187">
        <v>1</v>
      </c>
    </row>
    <row r="188" spans="1:13">
      <c r="A188" t="s">
        <v>7440</v>
      </c>
      <c r="B188" t="s">
        <v>7441</v>
      </c>
      <c r="C188" s="34" t="s">
        <v>1438</v>
      </c>
      <c r="F188" t="s">
        <v>1438</v>
      </c>
      <c r="G188" t="s">
        <v>6932</v>
      </c>
      <c r="H188">
        <v>5</v>
      </c>
      <c r="I188">
        <f>VLOOKUP(B188,BRAND!B:D,3,FALSE)</f>
        <v>5.5</v>
      </c>
      <c r="J188">
        <v>4</v>
      </c>
      <c r="M188">
        <v>1</v>
      </c>
    </row>
    <row r="189" spans="1:13">
      <c r="A189" t="s">
        <v>2447</v>
      </c>
      <c r="B189" t="s">
        <v>938</v>
      </c>
      <c r="C189" s="34" t="s">
        <v>1438</v>
      </c>
      <c r="F189" t="s">
        <v>1438</v>
      </c>
      <c r="H189">
        <v>15</v>
      </c>
      <c r="I189">
        <f>VLOOKUP(B189,BRAND!B:D,3,FALSE)</f>
        <v>9</v>
      </c>
      <c r="J189">
        <v>4</v>
      </c>
      <c r="K189" t="s">
        <v>821</v>
      </c>
      <c r="M189">
        <v>0</v>
      </c>
    </row>
    <row r="190" spans="1:13">
      <c r="A190" t="s">
        <v>2923</v>
      </c>
      <c r="B190" t="s">
        <v>239</v>
      </c>
      <c r="C190" s="34" t="s">
        <v>5374</v>
      </c>
      <c r="F190" t="s">
        <v>777</v>
      </c>
      <c r="H190">
        <v>5</v>
      </c>
      <c r="I190">
        <f>VLOOKUP(B190,BRAND!B:D,3,FALSE)</f>
        <v>5</v>
      </c>
      <c r="J190">
        <v>7</v>
      </c>
      <c r="K190" t="s">
        <v>821</v>
      </c>
      <c r="M190">
        <v>1</v>
      </c>
    </row>
    <row r="191" spans="1:13">
      <c r="A191" t="s">
        <v>9561</v>
      </c>
      <c r="B191" t="s">
        <v>239</v>
      </c>
      <c r="C191" s="34" t="s">
        <v>5374</v>
      </c>
      <c r="F191" t="s">
        <v>777</v>
      </c>
      <c r="G191" t="s">
        <v>801</v>
      </c>
      <c r="H191">
        <v>5</v>
      </c>
      <c r="I191">
        <f>VLOOKUP(B191,BRAND!B:D,3,FALSE)</f>
        <v>5</v>
      </c>
      <c r="J191">
        <v>7</v>
      </c>
      <c r="M191">
        <v>1</v>
      </c>
    </row>
    <row r="192" spans="1:13">
      <c r="A192" t="s">
        <v>2924</v>
      </c>
      <c r="B192" t="s">
        <v>239</v>
      </c>
      <c r="C192" s="34" t="s">
        <v>742</v>
      </c>
      <c r="F192" t="s">
        <v>742</v>
      </c>
      <c r="H192">
        <v>5</v>
      </c>
      <c r="I192">
        <f>VLOOKUP(B192,BRAND!B:D,3,FALSE)</f>
        <v>5</v>
      </c>
      <c r="J192">
        <v>6</v>
      </c>
      <c r="K192" t="s">
        <v>821</v>
      </c>
      <c r="M192">
        <v>1</v>
      </c>
    </row>
    <row r="193" spans="1:13">
      <c r="A193" t="s">
        <v>9560</v>
      </c>
      <c r="B193" t="s">
        <v>239</v>
      </c>
      <c r="C193" s="34" t="s">
        <v>536</v>
      </c>
      <c r="F193" t="s">
        <v>536</v>
      </c>
      <c r="H193">
        <v>5</v>
      </c>
      <c r="I193">
        <f>VLOOKUP(B193,BRAND!B:D,3,FALSE)</f>
        <v>5</v>
      </c>
      <c r="J193">
        <v>5</v>
      </c>
      <c r="M193">
        <v>1</v>
      </c>
    </row>
    <row r="194" spans="1:13">
      <c r="A194" t="s">
        <v>9562</v>
      </c>
      <c r="B194" t="s">
        <v>239</v>
      </c>
      <c r="C194" s="34" t="s">
        <v>1513</v>
      </c>
      <c r="F194" t="s">
        <v>1513</v>
      </c>
      <c r="G194" t="s">
        <v>6932</v>
      </c>
      <c r="H194">
        <v>5</v>
      </c>
      <c r="I194">
        <f>VLOOKUP(B194,BRAND!B:D,3,FALSE)</f>
        <v>5</v>
      </c>
      <c r="J194">
        <v>5</v>
      </c>
      <c r="M194">
        <v>1</v>
      </c>
    </row>
    <row r="195" spans="1:13">
      <c r="A195" t="s">
        <v>9563</v>
      </c>
      <c r="B195" t="s">
        <v>239</v>
      </c>
      <c r="C195" s="34" t="s">
        <v>778</v>
      </c>
      <c r="F195" t="s">
        <v>778</v>
      </c>
      <c r="G195" t="s">
        <v>6932</v>
      </c>
      <c r="H195">
        <v>5</v>
      </c>
      <c r="I195">
        <f>VLOOKUP(B195,BRAND!B:D,3,FALSE)</f>
        <v>5</v>
      </c>
      <c r="J195">
        <v>4</v>
      </c>
      <c r="M195">
        <v>1</v>
      </c>
    </row>
    <row r="196" spans="1:13">
      <c r="A196" t="s">
        <v>9564</v>
      </c>
      <c r="B196" t="s">
        <v>239</v>
      </c>
      <c r="C196" s="34" t="s">
        <v>897</v>
      </c>
      <c r="F196" t="s">
        <v>897</v>
      </c>
      <c r="G196" t="s">
        <v>6932</v>
      </c>
      <c r="H196">
        <v>5</v>
      </c>
      <c r="I196">
        <f>VLOOKUP(B196,BRAND!B:D,3,FALSE)</f>
        <v>5</v>
      </c>
      <c r="J196">
        <v>4</v>
      </c>
      <c r="M196">
        <v>1</v>
      </c>
    </row>
    <row r="197" spans="1:13">
      <c r="A197" t="s">
        <v>11389</v>
      </c>
      <c r="B197" t="s">
        <v>239</v>
      </c>
      <c r="C197" s="34" t="s">
        <v>900</v>
      </c>
      <c r="F197" t="s">
        <v>900</v>
      </c>
      <c r="G197" t="s">
        <v>2000</v>
      </c>
      <c r="H197">
        <v>5</v>
      </c>
    </row>
    <row r="198" spans="1:13">
      <c r="A198" t="s">
        <v>11390</v>
      </c>
      <c r="B198" t="s">
        <v>239</v>
      </c>
      <c r="C198" s="34" t="s">
        <v>897</v>
      </c>
      <c r="F198" t="s">
        <v>897</v>
      </c>
      <c r="G198" t="s">
        <v>801</v>
      </c>
      <c r="H198">
        <v>5</v>
      </c>
    </row>
    <row r="199" spans="1:13">
      <c r="A199" t="s">
        <v>9563</v>
      </c>
      <c r="B199" t="s">
        <v>239</v>
      </c>
      <c r="C199" s="34" t="s">
        <v>778</v>
      </c>
      <c r="F199" t="s">
        <v>778</v>
      </c>
      <c r="G199" t="s">
        <v>6932</v>
      </c>
      <c r="H199">
        <v>5</v>
      </c>
    </row>
    <row r="200" spans="1:13">
      <c r="A200" t="s">
        <v>4979</v>
      </c>
      <c r="B200" t="s">
        <v>239</v>
      </c>
      <c r="C200" s="34" t="s">
        <v>742</v>
      </c>
      <c r="F200" t="s">
        <v>742</v>
      </c>
      <c r="G200" t="s">
        <v>801</v>
      </c>
      <c r="H200">
        <v>6</v>
      </c>
      <c r="I200">
        <f>VLOOKUP(B200,BRAND!B:D,3,FALSE)</f>
        <v>5</v>
      </c>
      <c r="J200">
        <v>6</v>
      </c>
      <c r="K200" t="s">
        <v>821</v>
      </c>
      <c r="M200">
        <v>1</v>
      </c>
    </row>
    <row r="201" spans="1:13">
      <c r="A201" t="s">
        <v>13948</v>
      </c>
      <c r="B201" t="s">
        <v>12347</v>
      </c>
      <c r="C201" s="34" t="s">
        <v>997</v>
      </c>
      <c r="F201" t="s">
        <v>13949</v>
      </c>
      <c r="G201" t="s">
        <v>6932</v>
      </c>
      <c r="H201">
        <v>5</v>
      </c>
      <c r="I201">
        <f>VLOOKUP(B201,BRAND!B:D,3,FALSE)</f>
        <v>0</v>
      </c>
      <c r="J201">
        <f t="shared" ref="J201:J210" si="2">LEN(F201)</f>
        <v>21</v>
      </c>
      <c r="K201" t="s">
        <v>821</v>
      </c>
      <c r="L201">
        <v>0</v>
      </c>
      <c r="M201">
        <v>1</v>
      </c>
    </row>
    <row r="202" spans="1:13">
      <c r="A202" t="s">
        <v>13950</v>
      </c>
      <c r="B202" t="s">
        <v>12347</v>
      </c>
      <c r="C202" s="34" t="s">
        <v>13951</v>
      </c>
      <c r="F202" t="s">
        <v>13952</v>
      </c>
      <c r="G202" t="s">
        <v>6932</v>
      </c>
      <c r="H202">
        <v>5</v>
      </c>
      <c r="I202">
        <f>VLOOKUP(B202,BRAND!B:D,3,FALSE)</f>
        <v>0</v>
      </c>
      <c r="J202">
        <f t="shared" si="2"/>
        <v>20</v>
      </c>
      <c r="K202" t="s">
        <v>821</v>
      </c>
      <c r="L202">
        <v>0</v>
      </c>
      <c r="M202">
        <v>1</v>
      </c>
    </row>
    <row r="203" spans="1:13">
      <c r="A203" t="s">
        <v>13956</v>
      </c>
      <c r="B203" t="s">
        <v>12347</v>
      </c>
      <c r="C203" s="34" t="s">
        <v>13957</v>
      </c>
      <c r="F203" t="s">
        <v>13958</v>
      </c>
      <c r="G203" t="s">
        <v>6932</v>
      </c>
      <c r="H203">
        <v>5</v>
      </c>
      <c r="I203">
        <f>VLOOKUP(B203,BRAND!B:D,3,FALSE)</f>
        <v>0</v>
      </c>
      <c r="J203">
        <f t="shared" si="2"/>
        <v>20</v>
      </c>
      <c r="K203" t="s">
        <v>821</v>
      </c>
      <c r="L203">
        <v>0</v>
      </c>
      <c r="M203">
        <v>1</v>
      </c>
    </row>
    <row r="204" spans="1:13">
      <c r="A204" t="s">
        <v>13959</v>
      </c>
      <c r="B204" t="s">
        <v>12347</v>
      </c>
      <c r="C204" s="34" t="s">
        <v>13960</v>
      </c>
      <c r="F204" t="s">
        <v>13961</v>
      </c>
      <c r="G204" t="s">
        <v>6932</v>
      </c>
      <c r="H204">
        <v>5</v>
      </c>
      <c r="I204">
        <f>VLOOKUP(B204,BRAND!B:D,3,FALSE)</f>
        <v>0</v>
      </c>
      <c r="J204">
        <f t="shared" si="2"/>
        <v>19</v>
      </c>
      <c r="K204" t="s">
        <v>821</v>
      </c>
      <c r="L204">
        <v>0</v>
      </c>
      <c r="M204">
        <v>1</v>
      </c>
    </row>
    <row r="205" spans="1:13">
      <c r="A205" t="s">
        <v>13942</v>
      </c>
      <c r="B205" t="s">
        <v>12347</v>
      </c>
      <c r="C205" s="34" t="s">
        <v>13943</v>
      </c>
      <c r="F205" t="s">
        <v>13944</v>
      </c>
      <c r="G205" t="s">
        <v>6932</v>
      </c>
      <c r="H205">
        <v>5</v>
      </c>
      <c r="I205">
        <f>VLOOKUP(B205,BRAND!B:D,3,FALSE)</f>
        <v>0</v>
      </c>
      <c r="J205">
        <f t="shared" si="2"/>
        <v>19</v>
      </c>
      <c r="K205" t="s">
        <v>821</v>
      </c>
      <c r="L205">
        <v>0</v>
      </c>
      <c r="M205">
        <v>1</v>
      </c>
    </row>
    <row r="206" spans="1:13">
      <c r="A206" t="s">
        <v>13937</v>
      </c>
      <c r="B206" t="s">
        <v>12347</v>
      </c>
      <c r="C206" s="34" t="s">
        <v>11176</v>
      </c>
      <c r="F206" t="s">
        <v>13938</v>
      </c>
      <c r="G206" t="s">
        <v>6932</v>
      </c>
      <c r="H206">
        <v>5</v>
      </c>
      <c r="I206">
        <f>VLOOKUP(B206,BRAND!B:D,3,FALSE)</f>
        <v>0</v>
      </c>
      <c r="J206">
        <f t="shared" si="2"/>
        <v>19</v>
      </c>
      <c r="K206" t="s">
        <v>821</v>
      </c>
      <c r="L206">
        <v>0</v>
      </c>
      <c r="M206">
        <v>1</v>
      </c>
    </row>
    <row r="207" spans="1:13">
      <c r="A207" t="s">
        <v>13939</v>
      </c>
      <c r="B207" t="s">
        <v>12347</v>
      </c>
      <c r="C207" s="34" t="s">
        <v>13940</v>
      </c>
      <c r="F207" t="s">
        <v>13941</v>
      </c>
      <c r="G207" t="s">
        <v>6932</v>
      </c>
      <c r="H207">
        <v>5</v>
      </c>
      <c r="I207">
        <f>VLOOKUP(B207,BRAND!B:D,3,FALSE)</f>
        <v>0</v>
      </c>
      <c r="J207">
        <f t="shared" si="2"/>
        <v>19</v>
      </c>
      <c r="K207" t="s">
        <v>821</v>
      </c>
      <c r="L207">
        <v>0</v>
      </c>
      <c r="M207">
        <v>1</v>
      </c>
    </row>
    <row r="208" spans="1:13">
      <c r="A208" t="s">
        <v>13962</v>
      </c>
      <c r="B208" t="s">
        <v>12347</v>
      </c>
      <c r="C208" s="34" t="s">
        <v>13960</v>
      </c>
      <c r="F208" t="s">
        <v>13961</v>
      </c>
      <c r="G208" t="s">
        <v>801</v>
      </c>
      <c r="H208">
        <v>5</v>
      </c>
      <c r="I208">
        <f>VLOOKUP(B208,BRAND!B:D,3,FALSE)</f>
        <v>0</v>
      </c>
      <c r="J208">
        <f t="shared" si="2"/>
        <v>19</v>
      </c>
      <c r="K208" t="s">
        <v>821</v>
      </c>
      <c r="L208">
        <v>0</v>
      </c>
      <c r="M208">
        <v>1</v>
      </c>
    </row>
    <row r="209" spans="1:13">
      <c r="A209" t="s">
        <v>13945</v>
      </c>
      <c r="B209" t="s">
        <v>12347</v>
      </c>
      <c r="C209" s="34" t="s">
        <v>13946</v>
      </c>
      <c r="F209" t="s">
        <v>13947</v>
      </c>
      <c r="G209" t="s">
        <v>6932</v>
      </c>
      <c r="H209">
        <v>5</v>
      </c>
      <c r="I209">
        <f>VLOOKUP(B209,BRAND!B:D,3,FALSE)</f>
        <v>0</v>
      </c>
      <c r="J209">
        <f t="shared" si="2"/>
        <v>17</v>
      </c>
      <c r="K209" t="s">
        <v>821</v>
      </c>
      <c r="L209">
        <v>0</v>
      </c>
      <c r="M209">
        <v>1</v>
      </c>
    </row>
    <row r="210" spans="1:13">
      <c r="A210" t="s">
        <v>13953</v>
      </c>
      <c r="B210" t="s">
        <v>12347</v>
      </c>
      <c r="C210" s="34" t="s">
        <v>13954</v>
      </c>
      <c r="F210" t="s">
        <v>13955</v>
      </c>
      <c r="G210" t="s">
        <v>6932</v>
      </c>
      <c r="H210">
        <v>5</v>
      </c>
      <c r="I210">
        <f>VLOOKUP(B210,BRAND!B:D,3,FALSE)</f>
        <v>0</v>
      </c>
      <c r="J210">
        <f t="shared" si="2"/>
        <v>16</v>
      </c>
      <c r="K210" t="s">
        <v>821</v>
      </c>
      <c r="L210">
        <v>0</v>
      </c>
      <c r="M210">
        <v>1</v>
      </c>
    </row>
    <row r="211" spans="1:13">
      <c r="A211" t="s">
        <v>10258</v>
      </c>
      <c r="B211" t="s">
        <v>5492</v>
      </c>
      <c r="C211" s="34" t="s">
        <v>10252</v>
      </c>
      <c r="F211" t="s">
        <v>1438</v>
      </c>
      <c r="G211" t="s">
        <v>801</v>
      </c>
      <c r="H211">
        <v>5</v>
      </c>
      <c r="I211">
        <f>VLOOKUP(B211,BRAND!B:D,3,FALSE)</f>
        <v>5</v>
      </c>
      <c r="J211">
        <v>4</v>
      </c>
      <c r="K211" t="s">
        <v>821</v>
      </c>
      <c r="L211">
        <v>1</v>
      </c>
      <c r="M211">
        <v>1</v>
      </c>
    </row>
    <row r="212" spans="1:13">
      <c r="A212" t="s">
        <v>7442</v>
      </c>
      <c r="B212" t="s">
        <v>7443</v>
      </c>
      <c r="C212" s="34" t="s">
        <v>842</v>
      </c>
      <c r="F212" t="s">
        <v>842</v>
      </c>
      <c r="G212" t="s">
        <v>6932</v>
      </c>
      <c r="H212">
        <v>5</v>
      </c>
      <c r="I212">
        <f>VLOOKUP(B212,BRAND!B:D,3,FALSE)</f>
        <v>5.5</v>
      </c>
      <c r="J212">
        <v>5</v>
      </c>
      <c r="M212">
        <v>1</v>
      </c>
    </row>
    <row r="213" spans="1:13">
      <c r="A213" t="s">
        <v>2690</v>
      </c>
      <c r="B213" t="s">
        <v>354</v>
      </c>
      <c r="C213" s="34" t="s">
        <v>1438</v>
      </c>
      <c r="F213" t="s">
        <v>1438</v>
      </c>
      <c r="H213">
        <v>15</v>
      </c>
      <c r="I213">
        <f>VLOOKUP(B213,BRAND!B:D,3,FALSE)</f>
        <v>9</v>
      </c>
      <c r="J213">
        <v>4</v>
      </c>
      <c r="K213" t="s">
        <v>821</v>
      </c>
      <c r="M213">
        <v>1</v>
      </c>
    </row>
    <row r="214" spans="1:13">
      <c r="A214" t="s">
        <v>7444</v>
      </c>
      <c r="B214" t="s">
        <v>7445</v>
      </c>
      <c r="C214" s="34" t="s">
        <v>6945</v>
      </c>
      <c r="F214" t="s">
        <v>751</v>
      </c>
      <c r="G214" t="s">
        <v>6932</v>
      </c>
      <c r="H214">
        <v>5</v>
      </c>
      <c r="I214">
        <f>VLOOKUP(B214,BRAND!B:D,3,FALSE)</f>
        <v>5.5</v>
      </c>
      <c r="J214">
        <v>5</v>
      </c>
      <c r="M214">
        <v>1</v>
      </c>
    </row>
    <row r="215" spans="1:13">
      <c r="A215" t="s">
        <v>13964</v>
      </c>
      <c r="B215" t="s">
        <v>388</v>
      </c>
      <c r="C215" s="34" t="s">
        <v>745</v>
      </c>
      <c r="F215" t="s">
        <v>745</v>
      </c>
      <c r="G215" t="s">
        <v>6932</v>
      </c>
      <c r="H215">
        <v>4</v>
      </c>
      <c r="I215">
        <f>VLOOKUP(B215,BRAND!B:D,3,FALSE)</f>
        <v>0</v>
      </c>
      <c r="J215">
        <f>LEN(F215)</f>
        <v>5</v>
      </c>
      <c r="K215" t="s">
        <v>821</v>
      </c>
      <c r="L215">
        <v>0</v>
      </c>
      <c r="M215">
        <v>1</v>
      </c>
    </row>
    <row r="216" spans="1:13">
      <c r="A216" t="s">
        <v>3686</v>
      </c>
      <c r="B216" t="s">
        <v>388</v>
      </c>
      <c r="C216" s="34" t="s">
        <v>561</v>
      </c>
      <c r="F216" t="s">
        <v>561</v>
      </c>
      <c r="H216">
        <v>4</v>
      </c>
      <c r="I216">
        <f>VLOOKUP(B216,BRAND!B:D,3,FALSE)</f>
        <v>0</v>
      </c>
      <c r="J216">
        <v>3</v>
      </c>
      <c r="K216" t="s">
        <v>821</v>
      </c>
      <c r="M216">
        <v>1</v>
      </c>
    </row>
    <row r="217" spans="1:13">
      <c r="A217" t="s">
        <v>13967</v>
      </c>
      <c r="B217" t="s">
        <v>388</v>
      </c>
      <c r="C217" s="34" t="s">
        <v>13968</v>
      </c>
      <c r="F217" t="s">
        <v>13968</v>
      </c>
      <c r="G217" t="s">
        <v>6932</v>
      </c>
      <c r="H217">
        <v>5</v>
      </c>
      <c r="I217">
        <f>VLOOKUP(B217,BRAND!B:D,3,FALSE)</f>
        <v>0</v>
      </c>
      <c r="J217">
        <f>LEN(F217)</f>
        <v>9</v>
      </c>
      <c r="K217" t="s">
        <v>821</v>
      </c>
      <c r="L217">
        <v>0</v>
      </c>
      <c r="M217">
        <v>1</v>
      </c>
    </row>
    <row r="218" spans="1:13">
      <c r="A218" t="s">
        <v>7447</v>
      </c>
      <c r="B218" t="s">
        <v>388</v>
      </c>
      <c r="C218" s="34" t="s">
        <v>904</v>
      </c>
      <c r="F218" t="s">
        <v>904</v>
      </c>
      <c r="G218" t="s">
        <v>6932</v>
      </c>
      <c r="H218">
        <v>5</v>
      </c>
      <c r="I218">
        <f>VLOOKUP(B218,BRAND!B:D,3,FALSE)</f>
        <v>0</v>
      </c>
      <c r="J218">
        <f>LEN(F218)</f>
        <v>8</v>
      </c>
      <c r="K218" t="s">
        <v>821</v>
      </c>
      <c r="L218">
        <v>0</v>
      </c>
      <c r="M218">
        <v>1</v>
      </c>
    </row>
    <row r="219" spans="1:13">
      <c r="A219" t="s">
        <v>7446</v>
      </c>
      <c r="B219" t="s">
        <v>388</v>
      </c>
      <c r="C219" s="34" t="s">
        <v>6364</v>
      </c>
      <c r="F219" t="s">
        <v>6364</v>
      </c>
      <c r="G219" t="s">
        <v>6932</v>
      </c>
      <c r="H219">
        <v>5</v>
      </c>
      <c r="I219">
        <f>VLOOKUP(B219,BRAND!B:D,3,FALSE)</f>
        <v>0</v>
      </c>
      <c r="J219">
        <f>LEN(F219)</f>
        <v>6</v>
      </c>
      <c r="K219" t="s">
        <v>821</v>
      </c>
      <c r="L219">
        <v>0</v>
      </c>
      <c r="M219">
        <v>1</v>
      </c>
    </row>
    <row r="220" spans="1:13">
      <c r="A220" t="s">
        <v>13963</v>
      </c>
      <c r="B220" t="s">
        <v>388</v>
      </c>
      <c r="C220" s="34" t="s">
        <v>535</v>
      </c>
      <c r="F220" t="s">
        <v>535</v>
      </c>
      <c r="G220" t="s">
        <v>6932</v>
      </c>
      <c r="H220">
        <v>5</v>
      </c>
      <c r="I220">
        <f>VLOOKUP(B220,BRAND!B:D,3,FALSE)</f>
        <v>0</v>
      </c>
      <c r="J220">
        <f>LEN(F220)</f>
        <v>6</v>
      </c>
      <c r="K220" t="s">
        <v>821</v>
      </c>
      <c r="L220">
        <v>0</v>
      </c>
      <c r="M220">
        <v>1</v>
      </c>
    </row>
    <row r="221" spans="1:13">
      <c r="A221" t="s">
        <v>7446</v>
      </c>
      <c r="B221" t="s">
        <v>388</v>
      </c>
      <c r="C221" s="34" t="s">
        <v>6364</v>
      </c>
      <c r="F221" t="s">
        <v>6364</v>
      </c>
      <c r="G221" t="s">
        <v>6932</v>
      </c>
      <c r="H221">
        <v>5</v>
      </c>
      <c r="I221">
        <f>VLOOKUP(B221,BRAND!B:D,3,FALSE)</f>
        <v>0</v>
      </c>
      <c r="J221">
        <v>6</v>
      </c>
      <c r="M221">
        <v>1</v>
      </c>
    </row>
    <row r="222" spans="1:13">
      <c r="A222" t="s">
        <v>13965</v>
      </c>
      <c r="B222" t="s">
        <v>388</v>
      </c>
      <c r="C222" s="34" t="s">
        <v>842</v>
      </c>
      <c r="F222" t="s">
        <v>842</v>
      </c>
      <c r="G222" t="s">
        <v>6932</v>
      </c>
      <c r="H222">
        <v>5</v>
      </c>
      <c r="I222">
        <f>VLOOKUP(B222,BRAND!B:D,3,FALSE)</f>
        <v>0</v>
      </c>
      <c r="J222">
        <f>LEN(F222)</f>
        <v>5</v>
      </c>
      <c r="K222" t="s">
        <v>821</v>
      </c>
      <c r="L222">
        <v>0</v>
      </c>
      <c r="M222">
        <v>1</v>
      </c>
    </row>
    <row r="223" spans="1:13">
      <c r="A223" t="s">
        <v>13966</v>
      </c>
      <c r="B223" t="s">
        <v>388</v>
      </c>
      <c r="C223" s="34" t="s">
        <v>941</v>
      </c>
      <c r="F223" t="s">
        <v>941</v>
      </c>
      <c r="G223" t="s">
        <v>6932</v>
      </c>
      <c r="H223">
        <v>5</v>
      </c>
      <c r="I223">
        <f>VLOOKUP(B223,BRAND!B:D,3,FALSE)</f>
        <v>0</v>
      </c>
      <c r="J223">
        <f>LEN(F223)</f>
        <v>5</v>
      </c>
      <c r="K223" t="s">
        <v>821</v>
      </c>
      <c r="L223">
        <v>0</v>
      </c>
      <c r="M223">
        <v>1</v>
      </c>
    </row>
    <row r="224" spans="1:13">
      <c r="A224" t="s">
        <v>7448</v>
      </c>
      <c r="B224" t="s">
        <v>388</v>
      </c>
      <c r="C224" s="34" t="s">
        <v>5232</v>
      </c>
      <c r="F224" t="s">
        <v>536</v>
      </c>
      <c r="G224" t="s">
        <v>6932</v>
      </c>
      <c r="H224">
        <v>6</v>
      </c>
      <c r="I224">
        <f>VLOOKUP(B224,BRAND!B:D,3,FALSE)</f>
        <v>0</v>
      </c>
      <c r="J224">
        <v>5</v>
      </c>
      <c r="M224">
        <v>1</v>
      </c>
    </row>
    <row r="225" spans="1:13">
      <c r="A225" t="s">
        <v>2700</v>
      </c>
      <c r="B225" t="s">
        <v>388</v>
      </c>
      <c r="C225" s="34" t="s">
        <v>1438</v>
      </c>
      <c r="F225" t="s">
        <v>1438</v>
      </c>
      <c r="H225">
        <v>15</v>
      </c>
      <c r="I225">
        <f>VLOOKUP(B225,BRAND!B:D,3,FALSE)</f>
        <v>0</v>
      </c>
      <c r="J225">
        <v>4</v>
      </c>
      <c r="K225" t="s">
        <v>821</v>
      </c>
      <c r="M225">
        <v>1</v>
      </c>
    </row>
    <row r="226" spans="1:13">
      <c r="A226" t="s">
        <v>7125</v>
      </c>
      <c r="B226" t="s">
        <v>1142</v>
      </c>
      <c r="C226" s="34" t="s">
        <v>6441</v>
      </c>
      <c r="F226" t="s">
        <v>561</v>
      </c>
      <c r="H226">
        <v>5</v>
      </c>
      <c r="I226">
        <f>VLOOKUP(B226,BRAND!B:D,3,FALSE)</f>
        <v>9</v>
      </c>
      <c r="J226">
        <v>3</v>
      </c>
      <c r="M226">
        <v>1</v>
      </c>
    </row>
    <row r="227" spans="1:13">
      <c r="A227" t="s">
        <v>4932</v>
      </c>
      <c r="B227" t="s">
        <v>1142</v>
      </c>
      <c r="C227" s="34" t="s">
        <v>1438</v>
      </c>
      <c r="F227" t="s">
        <v>1438</v>
      </c>
      <c r="G227" t="s">
        <v>801</v>
      </c>
      <c r="H227">
        <v>6</v>
      </c>
      <c r="I227">
        <f>VLOOKUP(B227,BRAND!B:D,3,FALSE)</f>
        <v>9</v>
      </c>
      <c r="J227">
        <v>4</v>
      </c>
      <c r="K227" t="s">
        <v>821</v>
      </c>
      <c r="M227">
        <v>0</v>
      </c>
    </row>
    <row r="228" spans="1:13">
      <c r="A228" t="s">
        <v>7449</v>
      </c>
      <c r="B228" t="s">
        <v>7450</v>
      </c>
      <c r="C228" s="34" t="s">
        <v>1438</v>
      </c>
      <c r="F228" t="s">
        <v>1438</v>
      </c>
      <c r="G228" t="s">
        <v>6932</v>
      </c>
      <c r="H228">
        <v>5</v>
      </c>
      <c r="I228">
        <f>VLOOKUP(B228,BRAND!B:D,3,FALSE)</f>
        <v>5.5</v>
      </c>
      <c r="J228">
        <v>4</v>
      </c>
      <c r="M228">
        <v>1</v>
      </c>
    </row>
    <row r="229" spans="1:13">
      <c r="A229" t="s">
        <v>3086</v>
      </c>
      <c r="B229" t="s">
        <v>1216</v>
      </c>
      <c r="C229" s="34" t="s">
        <v>1438</v>
      </c>
      <c r="F229" t="s">
        <v>1438</v>
      </c>
      <c r="H229">
        <v>15</v>
      </c>
      <c r="I229">
        <f>VLOOKUP(B229,BRAND!B:D,3,FALSE)</f>
        <v>9</v>
      </c>
      <c r="J229">
        <v>4</v>
      </c>
      <c r="K229" t="s">
        <v>821</v>
      </c>
      <c r="M229">
        <v>0</v>
      </c>
    </row>
    <row r="230" spans="1:13">
      <c r="A230" t="s">
        <v>7451</v>
      </c>
      <c r="B230" t="s">
        <v>7452</v>
      </c>
      <c r="C230" s="34" t="s">
        <v>1438</v>
      </c>
      <c r="F230" t="s">
        <v>1438</v>
      </c>
      <c r="G230" t="s">
        <v>6932</v>
      </c>
      <c r="H230">
        <v>5</v>
      </c>
      <c r="I230">
        <f>VLOOKUP(B230,BRAND!B:D,3,FALSE)</f>
        <v>5.5</v>
      </c>
      <c r="J230">
        <v>4</v>
      </c>
      <c r="M230">
        <v>1</v>
      </c>
    </row>
    <row r="231" spans="1:13">
      <c r="A231" t="s">
        <v>7453</v>
      </c>
      <c r="B231" t="s">
        <v>7454</v>
      </c>
      <c r="C231" s="34" t="s">
        <v>1438</v>
      </c>
      <c r="F231" t="s">
        <v>1438</v>
      </c>
      <c r="G231" t="s">
        <v>6932</v>
      </c>
      <c r="H231">
        <v>5</v>
      </c>
      <c r="I231">
        <f>VLOOKUP(B231,BRAND!B:D,3,FALSE)</f>
        <v>5.5</v>
      </c>
      <c r="J231">
        <v>4</v>
      </c>
      <c r="M231">
        <v>1</v>
      </c>
    </row>
    <row r="232" spans="1:13">
      <c r="A232" t="s">
        <v>4439</v>
      </c>
      <c r="B232" t="s">
        <v>1770</v>
      </c>
      <c r="C232" s="34" t="s">
        <v>534</v>
      </c>
      <c r="F232" t="s">
        <v>534</v>
      </c>
      <c r="H232">
        <v>5</v>
      </c>
      <c r="I232">
        <f>VLOOKUP(B232,BRAND!B:D,3,FALSE)</f>
        <v>9</v>
      </c>
      <c r="J232">
        <v>6</v>
      </c>
      <c r="K232" t="s">
        <v>821</v>
      </c>
      <c r="M232">
        <v>0</v>
      </c>
    </row>
    <row r="233" spans="1:13">
      <c r="A233" t="s">
        <v>2791</v>
      </c>
      <c r="B233" t="s">
        <v>1770</v>
      </c>
      <c r="C233" s="34" t="s">
        <v>1438</v>
      </c>
      <c r="F233" t="s">
        <v>1438</v>
      </c>
      <c r="H233">
        <v>15</v>
      </c>
      <c r="I233">
        <f>VLOOKUP(B233,BRAND!B:D,3,FALSE)</f>
        <v>9</v>
      </c>
      <c r="J233">
        <v>4</v>
      </c>
      <c r="K233" t="s">
        <v>821</v>
      </c>
      <c r="M233">
        <v>0</v>
      </c>
    </row>
    <row r="234" spans="1:13">
      <c r="A234" t="s">
        <v>7455</v>
      </c>
      <c r="B234" t="s">
        <v>7456</v>
      </c>
      <c r="C234" s="34" t="s">
        <v>1438</v>
      </c>
      <c r="F234" t="s">
        <v>1438</v>
      </c>
      <c r="G234" t="s">
        <v>6932</v>
      </c>
      <c r="H234">
        <v>5</v>
      </c>
      <c r="I234">
        <f>VLOOKUP(B234,BRAND!B:D,3,FALSE)</f>
        <v>5.5</v>
      </c>
      <c r="J234">
        <v>4</v>
      </c>
      <c r="M234">
        <v>1</v>
      </c>
    </row>
    <row r="235" spans="1:13">
      <c r="A235" t="s">
        <v>1531</v>
      </c>
      <c r="B235" t="s">
        <v>1441</v>
      </c>
      <c r="C235" s="34" t="s">
        <v>995</v>
      </c>
      <c r="F235" t="s">
        <v>995</v>
      </c>
      <c r="H235">
        <v>5</v>
      </c>
      <c r="I235">
        <f>VLOOKUP(B235,BRAND!B:D,3,FALSE)</f>
        <v>9</v>
      </c>
      <c r="J235">
        <v>6</v>
      </c>
      <c r="K235" t="s">
        <v>821</v>
      </c>
      <c r="M235">
        <v>1</v>
      </c>
    </row>
    <row r="236" spans="1:13">
      <c r="A236" t="s">
        <v>1585</v>
      </c>
      <c r="B236" t="s">
        <v>1441</v>
      </c>
      <c r="C236" s="34" t="s">
        <v>5237</v>
      </c>
      <c r="F236" t="s">
        <v>1438</v>
      </c>
      <c r="H236">
        <v>15</v>
      </c>
      <c r="I236">
        <f>VLOOKUP(B236,BRAND!B:D,3,FALSE)</f>
        <v>9</v>
      </c>
      <c r="J236">
        <v>4</v>
      </c>
      <c r="K236" t="s">
        <v>821</v>
      </c>
      <c r="M236">
        <v>1</v>
      </c>
    </row>
    <row r="237" spans="1:13">
      <c r="A237" t="s">
        <v>11392</v>
      </c>
      <c r="B237" t="s">
        <v>10897</v>
      </c>
      <c r="C237" s="34" t="s">
        <v>10960</v>
      </c>
      <c r="F237" t="s">
        <v>10960</v>
      </c>
      <c r="G237" t="s">
        <v>6932</v>
      </c>
      <c r="H237">
        <v>5</v>
      </c>
    </row>
    <row r="238" spans="1:13">
      <c r="A238" t="s">
        <v>11393</v>
      </c>
      <c r="B238" t="s">
        <v>10897</v>
      </c>
      <c r="C238" s="34" t="s">
        <v>798</v>
      </c>
      <c r="F238" t="s">
        <v>798</v>
      </c>
      <c r="G238" t="s">
        <v>6932</v>
      </c>
      <c r="H238">
        <v>5</v>
      </c>
    </row>
    <row r="239" spans="1:13">
      <c r="A239" t="s">
        <v>11394</v>
      </c>
      <c r="B239" t="s">
        <v>10897</v>
      </c>
      <c r="C239" s="34" t="s">
        <v>764</v>
      </c>
      <c r="F239" t="s">
        <v>764</v>
      </c>
      <c r="G239" t="s">
        <v>801</v>
      </c>
      <c r="H239">
        <v>5</v>
      </c>
    </row>
    <row r="240" spans="1:13">
      <c r="A240" t="s">
        <v>11395</v>
      </c>
      <c r="B240" t="s">
        <v>10897</v>
      </c>
      <c r="C240" s="34" t="s">
        <v>798</v>
      </c>
      <c r="F240" t="s">
        <v>798</v>
      </c>
      <c r="G240" t="s">
        <v>801</v>
      </c>
      <c r="H240">
        <v>5</v>
      </c>
    </row>
    <row r="241" spans="1:13">
      <c r="A241" t="s">
        <v>11396</v>
      </c>
      <c r="B241" t="s">
        <v>10897</v>
      </c>
      <c r="C241" s="34" t="s">
        <v>761</v>
      </c>
      <c r="F241" t="s">
        <v>761</v>
      </c>
      <c r="G241" t="s">
        <v>6932</v>
      </c>
      <c r="H241">
        <v>5</v>
      </c>
    </row>
    <row r="242" spans="1:13">
      <c r="A242" t="s">
        <v>11391</v>
      </c>
      <c r="B242" t="s">
        <v>10897</v>
      </c>
      <c r="C242" s="34" t="s">
        <v>764</v>
      </c>
      <c r="F242" t="s">
        <v>764</v>
      </c>
      <c r="G242" t="s">
        <v>6932</v>
      </c>
      <c r="H242">
        <v>6</v>
      </c>
    </row>
    <row r="243" spans="1:13">
      <c r="A243" t="s">
        <v>7457</v>
      </c>
      <c r="B243" t="s">
        <v>7458</v>
      </c>
      <c r="C243" s="34" t="s">
        <v>1438</v>
      </c>
      <c r="F243" t="s">
        <v>1438</v>
      </c>
      <c r="G243" t="s">
        <v>6932</v>
      </c>
      <c r="H243">
        <v>5</v>
      </c>
      <c r="I243">
        <f>VLOOKUP(B243,BRAND!B:D,3,FALSE)</f>
        <v>5.5</v>
      </c>
      <c r="J243">
        <v>4</v>
      </c>
      <c r="M243">
        <v>1</v>
      </c>
    </row>
    <row r="244" spans="1:13">
      <c r="A244" t="s">
        <v>1558</v>
      </c>
      <c r="B244" t="s">
        <v>5</v>
      </c>
      <c r="C244" s="34" t="s">
        <v>5237</v>
      </c>
      <c r="F244" t="s">
        <v>1438</v>
      </c>
      <c r="H244">
        <v>15</v>
      </c>
      <c r="I244">
        <f>VLOOKUP(B244,BRAND!B:D,3,FALSE)</f>
        <v>9</v>
      </c>
      <c r="J244">
        <v>4</v>
      </c>
      <c r="K244" t="s">
        <v>822</v>
      </c>
      <c r="M244">
        <v>1</v>
      </c>
    </row>
    <row r="245" spans="1:13">
      <c r="A245" t="s">
        <v>4607</v>
      </c>
      <c r="B245" t="s">
        <v>6</v>
      </c>
      <c r="C245" s="34" t="s">
        <v>880</v>
      </c>
      <c r="F245" t="s">
        <v>880</v>
      </c>
      <c r="H245">
        <v>5</v>
      </c>
      <c r="I245">
        <f>VLOOKUP(B245,BRAND!B:D,3,FALSE)</f>
        <v>5</v>
      </c>
      <c r="J245">
        <v>7</v>
      </c>
      <c r="K245" t="s">
        <v>822</v>
      </c>
      <c r="M245">
        <v>1</v>
      </c>
    </row>
    <row r="246" spans="1:13">
      <c r="A246" t="s">
        <v>1583</v>
      </c>
      <c r="B246" t="s">
        <v>6</v>
      </c>
      <c r="C246" s="34" t="s">
        <v>995</v>
      </c>
      <c r="F246" t="s">
        <v>995</v>
      </c>
      <c r="H246">
        <v>5</v>
      </c>
      <c r="I246">
        <f>VLOOKUP(B246,BRAND!B:D,3,FALSE)</f>
        <v>5</v>
      </c>
      <c r="J246">
        <v>6</v>
      </c>
      <c r="K246" t="s">
        <v>822</v>
      </c>
      <c r="M246">
        <v>1</v>
      </c>
    </row>
    <row r="247" spans="1:13">
      <c r="A247" t="s">
        <v>10046</v>
      </c>
      <c r="B247" t="s">
        <v>6</v>
      </c>
      <c r="C247" s="34" t="s">
        <v>881</v>
      </c>
      <c r="F247" t="s">
        <v>881</v>
      </c>
      <c r="G247" t="s">
        <v>801</v>
      </c>
      <c r="H247">
        <v>5</v>
      </c>
      <c r="I247">
        <f>VLOOKUP(B247,BRAND!B:D,3,FALSE)</f>
        <v>5</v>
      </c>
      <c r="J247">
        <f>LEN(F247)</f>
        <v>5</v>
      </c>
      <c r="L247">
        <v>0</v>
      </c>
    </row>
    <row r="248" spans="1:13">
      <c r="A248" t="s">
        <v>10456</v>
      </c>
      <c r="B248" t="s">
        <v>6</v>
      </c>
      <c r="C248" s="34" t="s">
        <v>881</v>
      </c>
      <c r="F248" t="s">
        <v>881</v>
      </c>
      <c r="G248" t="s">
        <v>6932</v>
      </c>
      <c r="H248">
        <v>5</v>
      </c>
      <c r="I248">
        <f>VLOOKUP(B248,BRAND!B:D,3,FALSE)</f>
        <v>5</v>
      </c>
      <c r="J248">
        <f>LEN(F248)</f>
        <v>5</v>
      </c>
      <c r="L248">
        <v>0</v>
      </c>
    </row>
    <row r="249" spans="1:13">
      <c r="A249" t="s">
        <v>10455</v>
      </c>
      <c r="B249" t="s">
        <v>6</v>
      </c>
      <c r="C249" s="34" t="s">
        <v>1513</v>
      </c>
      <c r="F249" t="s">
        <v>1513</v>
      </c>
      <c r="G249" t="s">
        <v>6932</v>
      </c>
      <c r="H249">
        <v>5</v>
      </c>
      <c r="I249">
        <f>VLOOKUP(B249,BRAND!B:D,3,FALSE)</f>
        <v>5</v>
      </c>
      <c r="J249">
        <f>LEN(F249)</f>
        <v>5</v>
      </c>
      <c r="L249">
        <v>0</v>
      </c>
    </row>
    <row r="250" spans="1:13">
      <c r="A250" t="s">
        <v>1635</v>
      </c>
      <c r="B250" t="s">
        <v>6</v>
      </c>
      <c r="C250" s="34" t="s">
        <v>5373</v>
      </c>
      <c r="F250" t="s">
        <v>881</v>
      </c>
      <c r="H250">
        <v>5</v>
      </c>
      <c r="I250">
        <f>VLOOKUP(B250,BRAND!B:D,3,FALSE)</f>
        <v>5</v>
      </c>
      <c r="J250">
        <v>5</v>
      </c>
      <c r="K250" t="s">
        <v>822</v>
      </c>
      <c r="M250">
        <v>1</v>
      </c>
    </row>
    <row r="251" spans="1:13">
      <c r="A251" t="s">
        <v>1590</v>
      </c>
      <c r="B251" t="s">
        <v>6</v>
      </c>
      <c r="C251" s="34" t="s">
        <v>5372</v>
      </c>
      <c r="F251" t="s">
        <v>1513</v>
      </c>
      <c r="H251">
        <v>5</v>
      </c>
      <c r="I251">
        <f>VLOOKUP(B251,BRAND!B:D,3,FALSE)</f>
        <v>5</v>
      </c>
      <c r="J251">
        <v>5</v>
      </c>
      <c r="K251" t="s">
        <v>822</v>
      </c>
      <c r="M251">
        <v>1</v>
      </c>
    </row>
    <row r="252" spans="1:13">
      <c r="A252" t="s">
        <v>4071</v>
      </c>
      <c r="B252" t="s">
        <v>6</v>
      </c>
      <c r="C252" s="34" t="s">
        <v>5371</v>
      </c>
      <c r="F252" t="s">
        <v>782</v>
      </c>
      <c r="H252">
        <v>5</v>
      </c>
      <c r="I252">
        <f>VLOOKUP(B252,BRAND!B:D,3,FALSE)</f>
        <v>5</v>
      </c>
      <c r="J252">
        <v>4</v>
      </c>
      <c r="K252" t="s">
        <v>822</v>
      </c>
      <c r="M252">
        <v>1</v>
      </c>
    </row>
    <row r="253" spans="1:13">
      <c r="A253" t="s">
        <v>10046</v>
      </c>
      <c r="B253" t="s">
        <v>6</v>
      </c>
      <c r="C253" s="38" t="s">
        <v>5373</v>
      </c>
      <c r="D253" s="31"/>
      <c r="E253" s="31"/>
      <c r="F253" s="31" t="s">
        <v>881</v>
      </c>
      <c r="G253" t="s">
        <v>801</v>
      </c>
      <c r="H253">
        <v>6</v>
      </c>
      <c r="I253">
        <f>VLOOKUP(B253,BRAND!B:D,3,FALSE)</f>
        <v>5</v>
      </c>
      <c r="J253">
        <v>5</v>
      </c>
      <c r="K253" t="s">
        <v>822</v>
      </c>
      <c r="M253">
        <v>1</v>
      </c>
    </row>
    <row r="254" spans="1:13">
      <c r="A254" t="s">
        <v>10047</v>
      </c>
      <c r="B254" t="s">
        <v>6</v>
      </c>
      <c r="C254" s="34" t="s">
        <v>5372</v>
      </c>
      <c r="F254" t="s">
        <v>1513</v>
      </c>
      <c r="G254" t="s">
        <v>801</v>
      </c>
      <c r="H254">
        <v>6</v>
      </c>
      <c r="I254">
        <f>VLOOKUP(B254,BRAND!B:D,3,FALSE)</f>
        <v>5</v>
      </c>
      <c r="J254">
        <v>5</v>
      </c>
      <c r="K254" t="s">
        <v>822</v>
      </c>
      <c r="M254">
        <v>1</v>
      </c>
    </row>
    <row r="255" spans="1:13">
      <c r="A255" t="s">
        <v>1622</v>
      </c>
      <c r="B255" t="s">
        <v>1445</v>
      </c>
      <c r="C255" s="34" t="s">
        <v>1438</v>
      </c>
      <c r="F255" t="s">
        <v>1438</v>
      </c>
      <c r="H255">
        <v>15</v>
      </c>
      <c r="I255">
        <f>VLOOKUP(B255,BRAND!B:D,3,FALSE)</f>
        <v>9</v>
      </c>
      <c r="J255">
        <v>4</v>
      </c>
      <c r="K255" t="s">
        <v>821</v>
      </c>
      <c r="M255">
        <v>0</v>
      </c>
    </row>
    <row r="256" spans="1:13">
      <c r="A256" t="s">
        <v>7459</v>
      </c>
      <c r="B256" t="s">
        <v>389</v>
      </c>
      <c r="C256" s="34" t="s">
        <v>911</v>
      </c>
      <c r="F256" t="s">
        <v>911</v>
      </c>
      <c r="G256" t="s">
        <v>6932</v>
      </c>
      <c r="H256">
        <v>5</v>
      </c>
      <c r="I256">
        <f>VLOOKUP(B256,BRAND!B:D,3,FALSE)</f>
        <v>9</v>
      </c>
      <c r="J256">
        <v>6</v>
      </c>
      <c r="M256">
        <v>1</v>
      </c>
    </row>
    <row r="257" spans="1:13">
      <c r="A257" t="s">
        <v>7460</v>
      </c>
      <c r="B257" t="s">
        <v>389</v>
      </c>
      <c r="C257" s="34" t="s">
        <v>6360</v>
      </c>
      <c r="F257" t="s">
        <v>6360</v>
      </c>
      <c r="G257" t="s">
        <v>6932</v>
      </c>
      <c r="H257">
        <v>5</v>
      </c>
      <c r="I257">
        <f>VLOOKUP(B257,BRAND!B:D,3,FALSE)</f>
        <v>9</v>
      </c>
      <c r="J257">
        <v>3</v>
      </c>
      <c r="M257">
        <v>1</v>
      </c>
    </row>
    <row r="258" spans="1:13">
      <c r="A258" t="s">
        <v>2549</v>
      </c>
      <c r="B258" t="s">
        <v>389</v>
      </c>
      <c r="C258" s="34" t="s">
        <v>1438</v>
      </c>
      <c r="F258" t="s">
        <v>1438</v>
      </c>
      <c r="H258">
        <v>15</v>
      </c>
      <c r="I258">
        <f>VLOOKUP(B258,BRAND!B:D,3,FALSE)</f>
        <v>9</v>
      </c>
      <c r="J258">
        <v>4</v>
      </c>
      <c r="K258" t="s">
        <v>821</v>
      </c>
      <c r="M258">
        <v>0</v>
      </c>
    </row>
    <row r="259" spans="1:13">
      <c r="A259" t="s">
        <v>7461</v>
      </c>
      <c r="B259" t="s">
        <v>7462</v>
      </c>
      <c r="C259" s="34" t="s">
        <v>561</v>
      </c>
      <c r="F259" t="s">
        <v>561</v>
      </c>
      <c r="G259" t="s">
        <v>6932</v>
      </c>
      <c r="H259">
        <v>5</v>
      </c>
      <c r="I259">
        <f>VLOOKUP(B259,BRAND!B:D,3,FALSE)</f>
        <v>5.5</v>
      </c>
      <c r="J259">
        <v>3</v>
      </c>
      <c r="M259">
        <v>1</v>
      </c>
    </row>
    <row r="260" spans="1:13">
      <c r="A260" t="s">
        <v>7110</v>
      </c>
      <c r="B260" t="s">
        <v>6639</v>
      </c>
      <c r="F260" t="s">
        <v>1438</v>
      </c>
      <c r="H260">
        <v>5</v>
      </c>
      <c r="I260">
        <f>VLOOKUP(B260,BRAND!B:D,3,FALSE)</f>
        <v>5</v>
      </c>
      <c r="J260">
        <v>4</v>
      </c>
      <c r="K260">
        <v>0</v>
      </c>
      <c r="M260">
        <v>1</v>
      </c>
    </row>
    <row r="261" spans="1:13">
      <c r="A261" t="s">
        <v>7110</v>
      </c>
      <c r="B261" t="s">
        <v>6639</v>
      </c>
      <c r="F261" t="s">
        <v>1438</v>
      </c>
      <c r="H261">
        <v>5</v>
      </c>
      <c r="I261">
        <f>VLOOKUP(B261,BRAND!B:D,3,FALSE)</f>
        <v>5</v>
      </c>
      <c r="J261">
        <v>4</v>
      </c>
      <c r="M261">
        <v>1</v>
      </c>
    </row>
    <row r="262" spans="1:13">
      <c r="A262" t="s">
        <v>7111</v>
      </c>
      <c r="B262" t="s">
        <v>6639</v>
      </c>
      <c r="C262" s="34" t="s">
        <v>6640</v>
      </c>
      <c r="F262" t="s">
        <v>6640</v>
      </c>
      <c r="H262">
        <v>5</v>
      </c>
      <c r="I262">
        <f>VLOOKUP(B262,BRAND!B:D,3,FALSE)</f>
        <v>5</v>
      </c>
      <c r="J262">
        <v>4</v>
      </c>
      <c r="K262">
        <v>0</v>
      </c>
      <c r="M262">
        <v>1</v>
      </c>
    </row>
    <row r="263" spans="1:13">
      <c r="A263" t="s">
        <v>7111</v>
      </c>
      <c r="B263" t="s">
        <v>6639</v>
      </c>
      <c r="C263" s="34" t="s">
        <v>6640</v>
      </c>
      <c r="F263" t="s">
        <v>6640</v>
      </c>
      <c r="H263">
        <v>5</v>
      </c>
      <c r="I263">
        <f>VLOOKUP(B263,BRAND!B:D,3,FALSE)</f>
        <v>5</v>
      </c>
      <c r="J263">
        <v>4</v>
      </c>
      <c r="M263">
        <v>1</v>
      </c>
    </row>
    <row r="264" spans="1:13">
      <c r="A264" t="s">
        <v>7463</v>
      </c>
      <c r="B264" t="s">
        <v>7464</v>
      </c>
      <c r="C264" s="34" t="s">
        <v>933</v>
      </c>
      <c r="F264" t="s">
        <v>933</v>
      </c>
      <c r="G264" t="s">
        <v>6932</v>
      </c>
      <c r="H264">
        <v>5</v>
      </c>
      <c r="I264">
        <f>VLOOKUP(B264,BRAND!B:D,3,FALSE)</f>
        <v>5.5</v>
      </c>
      <c r="J264">
        <v>8</v>
      </c>
      <c r="M264">
        <v>1</v>
      </c>
    </row>
    <row r="265" spans="1:13">
      <c r="A265" t="s">
        <v>7465</v>
      </c>
      <c r="B265" t="s">
        <v>7464</v>
      </c>
      <c r="C265" s="34" t="s">
        <v>5232</v>
      </c>
      <c r="F265" t="s">
        <v>536</v>
      </c>
      <c r="G265" t="s">
        <v>6932</v>
      </c>
      <c r="H265">
        <v>5</v>
      </c>
      <c r="I265">
        <f>VLOOKUP(B265,BRAND!B:D,3,FALSE)</f>
        <v>5.5</v>
      </c>
      <c r="J265">
        <v>5</v>
      </c>
      <c r="M265">
        <v>1</v>
      </c>
    </row>
    <row r="266" spans="1:13">
      <c r="A266" t="s">
        <v>4452</v>
      </c>
      <c r="B266" t="s">
        <v>318</v>
      </c>
      <c r="C266" s="34" t="s">
        <v>799</v>
      </c>
      <c r="F266" t="s">
        <v>799</v>
      </c>
      <c r="H266">
        <v>5</v>
      </c>
      <c r="I266">
        <f>VLOOKUP(B266,BRAND!B:D,3,FALSE)</f>
        <v>9</v>
      </c>
      <c r="J266">
        <v>5</v>
      </c>
      <c r="K266" t="s">
        <v>821</v>
      </c>
      <c r="M266">
        <v>0</v>
      </c>
    </row>
    <row r="267" spans="1:13">
      <c r="A267" t="s">
        <v>3101</v>
      </c>
      <c r="B267" t="s">
        <v>318</v>
      </c>
      <c r="C267" s="34" t="s">
        <v>776</v>
      </c>
      <c r="F267" t="s">
        <v>776</v>
      </c>
      <c r="H267">
        <v>5</v>
      </c>
      <c r="I267">
        <f>VLOOKUP(B267,BRAND!B:D,3,FALSE)</f>
        <v>9</v>
      </c>
      <c r="J267">
        <v>5</v>
      </c>
      <c r="K267" t="s">
        <v>821</v>
      </c>
      <c r="M267">
        <v>0</v>
      </c>
    </row>
    <row r="268" spans="1:13">
      <c r="A268" t="s">
        <v>2509</v>
      </c>
      <c r="B268" t="s">
        <v>318</v>
      </c>
      <c r="C268" s="34" t="s">
        <v>1438</v>
      </c>
      <c r="F268" t="s">
        <v>1438</v>
      </c>
      <c r="H268">
        <v>15</v>
      </c>
      <c r="I268">
        <f>VLOOKUP(B268,BRAND!B:D,3,FALSE)</f>
        <v>9</v>
      </c>
      <c r="J268">
        <v>4</v>
      </c>
      <c r="K268" t="s">
        <v>821</v>
      </c>
      <c r="M268">
        <v>1</v>
      </c>
    </row>
    <row r="269" spans="1:13">
      <c r="A269" t="s">
        <v>7466</v>
      </c>
      <c r="B269" t="s">
        <v>7467</v>
      </c>
      <c r="C269" s="34" t="s">
        <v>1438</v>
      </c>
      <c r="F269" t="s">
        <v>1438</v>
      </c>
      <c r="G269" t="s">
        <v>6932</v>
      </c>
      <c r="H269">
        <v>5</v>
      </c>
      <c r="I269">
        <f>VLOOKUP(B269,BRAND!B:D,3,FALSE)</f>
        <v>5.5</v>
      </c>
      <c r="J269">
        <v>4</v>
      </c>
      <c r="M269">
        <v>1</v>
      </c>
    </row>
    <row r="270" spans="1:13">
      <c r="A270" t="s">
        <v>7470</v>
      </c>
      <c r="B270" t="s">
        <v>355</v>
      </c>
      <c r="C270" s="34" t="s">
        <v>7471</v>
      </c>
      <c r="F270" t="s">
        <v>7471</v>
      </c>
      <c r="G270" t="s">
        <v>6932</v>
      </c>
      <c r="H270">
        <v>5</v>
      </c>
      <c r="I270">
        <f>VLOOKUP(B270,BRAND!B:D,3,FALSE)</f>
        <v>9</v>
      </c>
      <c r="J270">
        <v>8</v>
      </c>
      <c r="M270">
        <v>1</v>
      </c>
    </row>
    <row r="271" spans="1:13">
      <c r="A271" t="s">
        <v>7474</v>
      </c>
      <c r="B271" t="s">
        <v>355</v>
      </c>
      <c r="C271" s="34" t="s">
        <v>7475</v>
      </c>
      <c r="F271" t="s">
        <v>7475</v>
      </c>
      <c r="G271" t="s">
        <v>6932</v>
      </c>
      <c r="H271">
        <v>5</v>
      </c>
      <c r="I271">
        <f>VLOOKUP(B271,BRAND!B:D,3,FALSE)</f>
        <v>9</v>
      </c>
      <c r="J271">
        <v>7</v>
      </c>
      <c r="M271">
        <v>1</v>
      </c>
    </row>
    <row r="272" spans="1:13">
      <c r="A272" t="s">
        <v>7472</v>
      </c>
      <c r="B272" t="s">
        <v>355</v>
      </c>
      <c r="C272" s="34" t="s">
        <v>7473</v>
      </c>
      <c r="F272" t="s">
        <v>7473</v>
      </c>
      <c r="G272" t="s">
        <v>6932</v>
      </c>
      <c r="H272">
        <v>5</v>
      </c>
      <c r="I272">
        <f>VLOOKUP(B272,BRAND!B:D,3,FALSE)</f>
        <v>9</v>
      </c>
      <c r="J272">
        <v>6</v>
      </c>
      <c r="M272">
        <v>1</v>
      </c>
    </row>
    <row r="273" spans="1:13">
      <c r="A273" t="s">
        <v>2324</v>
      </c>
      <c r="B273" t="s">
        <v>355</v>
      </c>
      <c r="C273" s="34" t="s">
        <v>534</v>
      </c>
      <c r="F273" t="s">
        <v>534</v>
      </c>
      <c r="H273">
        <v>5</v>
      </c>
      <c r="I273">
        <f>VLOOKUP(B273,BRAND!B:D,3,FALSE)</f>
        <v>9</v>
      </c>
      <c r="J273">
        <v>6</v>
      </c>
      <c r="K273" t="s">
        <v>821</v>
      </c>
      <c r="M273">
        <v>1</v>
      </c>
    </row>
    <row r="274" spans="1:13">
      <c r="A274" t="s">
        <v>9565</v>
      </c>
      <c r="B274" t="s">
        <v>355</v>
      </c>
      <c r="C274" s="34" t="s">
        <v>535</v>
      </c>
      <c r="F274" t="s">
        <v>535</v>
      </c>
      <c r="G274" t="s">
        <v>6932</v>
      </c>
      <c r="H274">
        <v>5</v>
      </c>
      <c r="I274">
        <f>VLOOKUP(B274,BRAND!B:D,3,FALSE)</f>
        <v>9</v>
      </c>
      <c r="J274">
        <v>6</v>
      </c>
      <c r="M274">
        <v>1</v>
      </c>
    </row>
    <row r="275" spans="1:13">
      <c r="A275" t="s">
        <v>7469</v>
      </c>
      <c r="B275" t="s">
        <v>355</v>
      </c>
      <c r="C275" s="34" t="s">
        <v>905</v>
      </c>
      <c r="F275" t="s">
        <v>905</v>
      </c>
      <c r="G275" t="s">
        <v>6932</v>
      </c>
      <c r="H275">
        <v>5</v>
      </c>
      <c r="I275">
        <f>VLOOKUP(B275,BRAND!B:D,3,FALSE)</f>
        <v>9</v>
      </c>
      <c r="J275">
        <v>6</v>
      </c>
      <c r="M275">
        <v>1</v>
      </c>
    </row>
    <row r="276" spans="1:13">
      <c r="A276" t="s">
        <v>3514</v>
      </c>
      <c r="B276" t="s">
        <v>355</v>
      </c>
      <c r="C276" s="34" t="s">
        <v>913</v>
      </c>
      <c r="F276" t="s">
        <v>913</v>
      </c>
      <c r="H276">
        <v>5</v>
      </c>
      <c r="I276">
        <f>VLOOKUP(B276,BRAND!B:D,3,FALSE)</f>
        <v>9</v>
      </c>
      <c r="J276">
        <v>5</v>
      </c>
      <c r="K276" t="s">
        <v>821</v>
      </c>
      <c r="M276">
        <v>1</v>
      </c>
    </row>
    <row r="277" spans="1:13">
      <c r="A277" t="s">
        <v>7468</v>
      </c>
      <c r="B277" t="s">
        <v>355</v>
      </c>
      <c r="C277" s="34" t="s">
        <v>776</v>
      </c>
      <c r="F277" t="s">
        <v>776</v>
      </c>
      <c r="G277" t="s">
        <v>6932</v>
      </c>
      <c r="H277">
        <v>5</v>
      </c>
      <c r="I277">
        <f>VLOOKUP(B277,BRAND!B:D,3,FALSE)</f>
        <v>9</v>
      </c>
      <c r="J277">
        <v>5</v>
      </c>
      <c r="M277">
        <v>1</v>
      </c>
    </row>
    <row r="278" spans="1:13">
      <c r="A278" t="s">
        <v>7476</v>
      </c>
      <c r="B278" t="s">
        <v>355</v>
      </c>
      <c r="C278" s="34" t="s">
        <v>7477</v>
      </c>
      <c r="F278" t="s">
        <v>7477</v>
      </c>
      <c r="G278" t="s">
        <v>6932</v>
      </c>
      <c r="H278">
        <v>5</v>
      </c>
      <c r="I278">
        <f>VLOOKUP(B278,BRAND!B:D,3,FALSE)</f>
        <v>9</v>
      </c>
      <c r="J278">
        <v>4</v>
      </c>
      <c r="M278">
        <v>1</v>
      </c>
    </row>
    <row r="279" spans="1:13">
      <c r="A279" t="s">
        <v>2828</v>
      </c>
      <c r="B279" t="s">
        <v>355</v>
      </c>
      <c r="C279" s="34" t="s">
        <v>775</v>
      </c>
      <c r="F279" t="s">
        <v>775</v>
      </c>
      <c r="H279">
        <v>5</v>
      </c>
      <c r="I279">
        <f>VLOOKUP(B279,BRAND!B:D,3,FALSE)</f>
        <v>9</v>
      </c>
      <c r="J279">
        <v>3</v>
      </c>
      <c r="K279" t="s">
        <v>821</v>
      </c>
      <c r="M279">
        <v>1</v>
      </c>
    </row>
    <row r="280" spans="1:13">
      <c r="A280" t="s">
        <v>2771</v>
      </c>
      <c r="B280" t="s">
        <v>355</v>
      </c>
      <c r="C280" s="34" t="s">
        <v>1438</v>
      </c>
      <c r="F280" t="s">
        <v>1438</v>
      </c>
      <c r="H280">
        <v>15</v>
      </c>
      <c r="I280">
        <f>VLOOKUP(B280,BRAND!B:D,3,FALSE)</f>
        <v>9</v>
      </c>
      <c r="J280">
        <v>4</v>
      </c>
      <c r="K280" t="s">
        <v>821</v>
      </c>
      <c r="M280">
        <v>0</v>
      </c>
    </row>
    <row r="281" spans="1:13">
      <c r="A281" t="s">
        <v>7480</v>
      </c>
      <c r="B281" t="s">
        <v>390</v>
      </c>
      <c r="C281" s="34" t="s">
        <v>772</v>
      </c>
      <c r="F281" t="s">
        <v>772</v>
      </c>
      <c r="G281" t="s">
        <v>6932</v>
      </c>
      <c r="H281">
        <v>5</v>
      </c>
      <c r="I281">
        <f>VLOOKUP(B281,BRAND!B:D,3,FALSE)</f>
        <v>9</v>
      </c>
      <c r="J281">
        <v>6</v>
      </c>
      <c r="M281">
        <v>1</v>
      </c>
    </row>
    <row r="282" spans="1:13">
      <c r="A282" t="s">
        <v>3370</v>
      </c>
      <c r="B282" t="s">
        <v>390</v>
      </c>
      <c r="C282" s="34" t="s">
        <v>534</v>
      </c>
      <c r="F282" t="s">
        <v>534</v>
      </c>
      <c r="H282">
        <v>5</v>
      </c>
      <c r="I282">
        <f>VLOOKUP(B282,BRAND!B:D,3,FALSE)</f>
        <v>9</v>
      </c>
      <c r="J282">
        <v>6</v>
      </c>
      <c r="K282" t="s">
        <v>821</v>
      </c>
      <c r="M282">
        <v>1</v>
      </c>
    </row>
    <row r="283" spans="1:13">
      <c r="A283" t="s">
        <v>7478</v>
      </c>
      <c r="B283" t="s">
        <v>390</v>
      </c>
      <c r="C283" s="34" t="s">
        <v>6364</v>
      </c>
      <c r="F283" t="s">
        <v>6364</v>
      </c>
      <c r="G283" t="s">
        <v>6932</v>
      </c>
      <c r="H283">
        <v>5</v>
      </c>
      <c r="I283">
        <f>VLOOKUP(B283,BRAND!B:D,3,FALSE)</f>
        <v>9</v>
      </c>
      <c r="J283">
        <v>6</v>
      </c>
      <c r="M283">
        <v>1</v>
      </c>
    </row>
    <row r="284" spans="1:13">
      <c r="A284" t="s">
        <v>3714</v>
      </c>
      <c r="B284" t="s">
        <v>390</v>
      </c>
      <c r="C284" s="34" t="s">
        <v>536</v>
      </c>
      <c r="F284" t="s">
        <v>536</v>
      </c>
      <c r="H284">
        <v>5</v>
      </c>
      <c r="I284">
        <f>VLOOKUP(B284,BRAND!B:D,3,FALSE)</f>
        <v>9</v>
      </c>
      <c r="J284">
        <v>5</v>
      </c>
      <c r="K284" t="s">
        <v>821</v>
      </c>
      <c r="M284">
        <v>1</v>
      </c>
    </row>
    <row r="285" spans="1:13">
      <c r="A285" t="s">
        <v>4224</v>
      </c>
      <c r="B285" t="s">
        <v>390</v>
      </c>
      <c r="C285" s="34" t="s">
        <v>781</v>
      </c>
      <c r="F285" t="s">
        <v>781</v>
      </c>
      <c r="H285">
        <v>5</v>
      </c>
      <c r="I285">
        <f>VLOOKUP(B285,BRAND!B:D,3,FALSE)</f>
        <v>9</v>
      </c>
      <c r="J285">
        <v>4</v>
      </c>
      <c r="K285" t="s">
        <v>821</v>
      </c>
      <c r="M285">
        <v>0</v>
      </c>
    </row>
    <row r="286" spans="1:13">
      <c r="A286" t="s">
        <v>7479</v>
      </c>
      <c r="B286" t="s">
        <v>390</v>
      </c>
      <c r="C286" s="34" t="s">
        <v>1438</v>
      </c>
      <c r="F286" t="s">
        <v>1438</v>
      </c>
      <c r="G286" t="s">
        <v>6932</v>
      </c>
      <c r="H286">
        <v>5</v>
      </c>
      <c r="I286">
        <f>VLOOKUP(B286,BRAND!B:D,3,FALSE)</f>
        <v>9</v>
      </c>
      <c r="J286">
        <v>4</v>
      </c>
      <c r="M286">
        <v>1</v>
      </c>
    </row>
    <row r="287" spans="1:13">
      <c r="A287" t="s">
        <v>2299</v>
      </c>
      <c r="B287" t="s">
        <v>390</v>
      </c>
      <c r="C287" s="34" t="s">
        <v>1438</v>
      </c>
      <c r="F287" t="s">
        <v>1438</v>
      </c>
      <c r="H287">
        <v>15</v>
      </c>
      <c r="I287">
        <f>VLOOKUP(B287,BRAND!B:D,3,FALSE)</f>
        <v>9</v>
      </c>
      <c r="J287">
        <v>4</v>
      </c>
      <c r="K287" t="s">
        <v>821</v>
      </c>
      <c r="M287">
        <v>0</v>
      </c>
    </row>
    <row r="288" spans="1:13">
      <c r="A288" t="s">
        <v>10667</v>
      </c>
      <c r="B288" t="s">
        <v>10323</v>
      </c>
      <c r="C288" s="34" t="s">
        <v>10668</v>
      </c>
      <c r="D288" t="s">
        <v>881</v>
      </c>
      <c r="F288" t="s">
        <v>10457</v>
      </c>
      <c r="G288" t="s">
        <v>6932</v>
      </c>
      <c r="H288">
        <v>5</v>
      </c>
      <c r="I288">
        <f>VLOOKUP(B288,BRAND!B:D,3,FALSE)</f>
        <v>5</v>
      </c>
      <c r="J288">
        <f>LEN(F288)</f>
        <v>23</v>
      </c>
      <c r="L288">
        <v>0</v>
      </c>
    </row>
    <row r="289" spans="1:13">
      <c r="A289" t="s">
        <v>10458</v>
      </c>
      <c r="B289" t="s">
        <v>10323</v>
      </c>
      <c r="C289" s="34" t="s">
        <v>10669</v>
      </c>
      <c r="D289" t="s">
        <v>799</v>
      </c>
      <c r="F289" t="s">
        <v>10459</v>
      </c>
      <c r="G289" t="s">
        <v>6932</v>
      </c>
      <c r="H289">
        <v>5</v>
      </c>
      <c r="I289">
        <f>VLOOKUP(B289,BRAND!B:D,3,FALSE)</f>
        <v>5</v>
      </c>
      <c r="J289">
        <f>LEN(F289)</f>
        <v>17</v>
      </c>
      <c r="L289">
        <v>0</v>
      </c>
    </row>
    <row r="290" spans="1:13">
      <c r="A290" t="s">
        <v>10460</v>
      </c>
      <c r="B290" t="s">
        <v>10323</v>
      </c>
      <c r="C290" s="34" t="s">
        <v>798</v>
      </c>
      <c r="F290" t="s">
        <v>798</v>
      </c>
      <c r="G290" t="s">
        <v>6932</v>
      </c>
      <c r="H290">
        <v>5</v>
      </c>
      <c r="I290">
        <f>VLOOKUP(B290,BRAND!B:D,3,FALSE)</f>
        <v>5</v>
      </c>
      <c r="J290">
        <f>LEN(F290)</f>
        <v>9</v>
      </c>
      <c r="L290">
        <v>0</v>
      </c>
    </row>
    <row r="291" spans="1:13">
      <c r="A291" t="s">
        <v>10461</v>
      </c>
      <c r="B291" t="s">
        <v>10462</v>
      </c>
      <c r="C291" s="34" t="s">
        <v>1438</v>
      </c>
      <c r="F291" t="s">
        <v>1438</v>
      </c>
      <c r="G291" t="s">
        <v>802</v>
      </c>
      <c r="H291">
        <v>5</v>
      </c>
      <c r="I291" t="e">
        <f>VLOOKUP(B291,BRAND!B:D,3,FALSE)</f>
        <v>#N/A</v>
      </c>
      <c r="J291">
        <f>LEN(F291)</f>
        <v>4</v>
      </c>
      <c r="L291">
        <v>0</v>
      </c>
    </row>
    <row r="292" spans="1:13">
      <c r="A292" t="s">
        <v>3300</v>
      </c>
      <c r="B292" t="s">
        <v>1217</v>
      </c>
      <c r="C292" s="34" t="s">
        <v>1438</v>
      </c>
      <c r="F292" t="s">
        <v>1438</v>
      </c>
      <c r="H292">
        <v>15</v>
      </c>
      <c r="I292">
        <f>VLOOKUP(B292,BRAND!B:D,3,FALSE)</f>
        <v>9</v>
      </c>
      <c r="J292">
        <v>4</v>
      </c>
      <c r="K292" t="s">
        <v>821</v>
      </c>
      <c r="M292">
        <v>0</v>
      </c>
    </row>
    <row r="293" spans="1:13">
      <c r="A293" t="s">
        <v>3713</v>
      </c>
      <c r="B293" t="s">
        <v>1014</v>
      </c>
      <c r="C293" s="34" t="s">
        <v>780</v>
      </c>
      <c r="F293" t="s">
        <v>780</v>
      </c>
      <c r="H293">
        <v>5</v>
      </c>
      <c r="I293">
        <f>VLOOKUP(B293,BRAND!B:D,3,FALSE)</f>
        <v>9</v>
      </c>
      <c r="J293">
        <v>6</v>
      </c>
      <c r="K293" t="s">
        <v>821</v>
      </c>
      <c r="M293">
        <v>0</v>
      </c>
    </row>
    <row r="294" spans="1:13">
      <c r="A294" t="s">
        <v>7644</v>
      </c>
      <c r="B294" t="s">
        <v>7645</v>
      </c>
      <c r="C294" s="34" t="s">
        <v>1438</v>
      </c>
      <c r="F294" t="s">
        <v>1438</v>
      </c>
      <c r="G294" t="s">
        <v>6932</v>
      </c>
      <c r="H294">
        <v>5</v>
      </c>
      <c r="I294">
        <f>VLOOKUP(B294,BRAND!B:D,3,FALSE)</f>
        <v>5.5</v>
      </c>
      <c r="J294">
        <v>4</v>
      </c>
      <c r="M294">
        <v>1</v>
      </c>
    </row>
    <row r="295" spans="1:13">
      <c r="A295" t="s">
        <v>12233</v>
      </c>
      <c r="B295" t="s">
        <v>12007</v>
      </c>
      <c r="C295" s="34" t="s">
        <v>12234</v>
      </c>
      <c r="F295" t="s">
        <v>12234</v>
      </c>
      <c r="G295" t="s">
        <v>6932</v>
      </c>
      <c r="H295">
        <v>5</v>
      </c>
    </row>
    <row r="296" spans="1:13">
      <c r="A296" t="s">
        <v>12235</v>
      </c>
      <c r="B296" t="s">
        <v>12007</v>
      </c>
      <c r="C296" s="34" t="s">
        <v>12236</v>
      </c>
      <c r="F296" t="s">
        <v>12236</v>
      </c>
      <c r="G296" t="s">
        <v>6932</v>
      </c>
      <c r="H296">
        <v>5</v>
      </c>
    </row>
    <row r="297" spans="1:13">
      <c r="A297" t="s">
        <v>12237</v>
      </c>
      <c r="B297" t="s">
        <v>12007</v>
      </c>
      <c r="C297" s="34" t="s">
        <v>12238</v>
      </c>
      <c r="F297" t="s">
        <v>12238</v>
      </c>
      <c r="G297" t="s">
        <v>6932</v>
      </c>
      <c r="H297">
        <v>5</v>
      </c>
    </row>
    <row r="298" spans="1:13">
      <c r="A298" t="s">
        <v>12239</v>
      </c>
      <c r="B298" t="s">
        <v>12007</v>
      </c>
      <c r="C298" s="34" t="s">
        <v>12240</v>
      </c>
      <c r="F298" t="s">
        <v>12240</v>
      </c>
      <c r="G298" t="s">
        <v>6932</v>
      </c>
      <c r="H298">
        <v>5</v>
      </c>
    </row>
    <row r="299" spans="1:13">
      <c r="A299" t="s">
        <v>12241</v>
      </c>
      <c r="B299" t="s">
        <v>12007</v>
      </c>
      <c r="C299" s="34" t="s">
        <v>6733</v>
      </c>
      <c r="F299" t="s">
        <v>6733</v>
      </c>
      <c r="G299" t="s">
        <v>6932</v>
      </c>
      <c r="H299">
        <v>5</v>
      </c>
    </row>
    <row r="300" spans="1:13">
      <c r="A300" t="s">
        <v>12242</v>
      </c>
      <c r="B300" t="s">
        <v>12007</v>
      </c>
      <c r="C300" s="34" t="s">
        <v>761</v>
      </c>
      <c r="F300" t="s">
        <v>761</v>
      </c>
      <c r="G300" t="s">
        <v>6932</v>
      </c>
      <c r="H300">
        <v>5</v>
      </c>
    </row>
    <row r="301" spans="1:13">
      <c r="A301" t="s">
        <v>12243</v>
      </c>
      <c r="B301" t="s">
        <v>12007</v>
      </c>
      <c r="C301" s="34" t="s">
        <v>1983</v>
      </c>
      <c r="F301" t="s">
        <v>12244</v>
      </c>
      <c r="G301" t="s">
        <v>6932</v>
      </c>
      <c r="H301">
        <v>5</v>
      </c>
    </row>
    <row r="302" spans="1:13">
      <c r="A302" t="s">
        <v>12245</v>
      </c>
      <c r="B302" t="s">
        <v>12007</v>
      </c>
      <c r="C302" s="34" t="s">
        <v>5363</v>
      </c>
      <c r="F302" t="s">
        <v>5363</v>
      </c>
      <c r="G302" t="s">
        <v>6932</v>
      </c>
      <c r="H302">
        <v>5</v>
      </c>
    </row>
    <row r="303" spans="1:13">
      <c r="A303" t="s">
        <v>12246</v>
      </c>
      <c r="B303" t="s">
        <v>12007</v>
      </c>
      <c r="C303" s="34" t="s">
        <v>12247</v>
      </c>
      <c r="F303" t="s">
        <v>12247</v>
      </c>
      <c r="G303" t="s">
        <v>6932</v>
      </c>
      <c r="H303">
        <v>5</v>
      </c>
    </row>
    <row r="304" spans="1:13">
      <c r="A304" t="s">
        <v>12248</v>
      </c>
      <c r="B304" t="s">
        <v>12007</v>
      </c>
      <c r="C304" s="34" t="s">
        <v>12249</v>
      </c>
      <c r="F304" t="s">
        <v>12249</v>
      </c>
      <c r="G304" t="s">
        <v>6932</v>
      </c>
      <c r="H304">
        <v>5</v>
      </c>
    </row>
    <row r="305" spans="1:13">
      <c r="A305" t="s">
        <v>12250</v>
      </c>
      <c r="B305" t="s">
        <v>12007</v>
      </c>
      <c r="C305" s="34" t="s">
        <v>12251</v>
      </c>
      <c r="F305" t="s">
        <v>12251</v>
      </c>
      <c r="G305" t="s">
        <v>6932</v>
      </c>
      <c r="H305">
        <v>5</v>
      </c>
    </row>
    <row r="306" spans="1:13">
      <c r="A306" t="s">
        <v>7481</v>
      </c>
      <c r="B306" t="s">
        <v>7482</v>
      </c>
      <c r="C306" s="34" t="s">
        <v>776</v>
      </c>
      <c r="F306" t="s">
        <v>776</v>
      </c>
      <c r="G306" t="s">
        <v>6932</v>
      </c>
      <c r="H306">
        <v>5</v>
      </c>
      <c r="I306">
        <f>VLOOKUP(B306,BRAND!B:D,3,FALSE)</f>
        <v>5.5</v>
      </c>
      <c r="J306">
        <v>5</v>
      </c>
      <c r="M306">
        <v>1</v>
      </c>
    </row>
    <row r="307" spans="1:13">
      <c r="A307" t="s">
        <v>13975</v>
      </c>
      <c r="B307" t="s">
        <v>13970</v>
      </c>
      <c r="C307" s="34" t="s">
        <v>13976</v>
      </c>
      <c r="F307" t="s">
        <v>13977</v>
      </c>
      <c r="G307" t="s">
        <v>6932</v>
      </c>
      <c r="H307">
        <v>5</v>
      </c>
      <c r="I307">
        <f>VLOOKUP(B307,BRAND!B:D,3,FALSE)</f>
        <v>0</v>
      </c>
      <c r="J307">
        <f t="shared" ref="J307:J325" si="3">LEN(F307)</f>
        <v>22</v>
      </c>
      <c r="K307" t="s">
        <v>821</v>
      </c>
      <c r="L307">
        <v>0</v>
      </c>
      <c r="M307">
        <v>1</v>
      </c>
    </row>
    <row r="308" spans="1:13">
      <c r="A308" t="s">
        <v>13987</v>
      </c>
      <c r="B308" t="s">
        <v>13970</v>
      </c>
      <c r="C308" s="34" t="s">
        <v>749</v>
      </c>
      <c r="F308" t="s">
        <v>13988</v>
      </c>
      <c r="G308" t="s">
        <v>6932</v>
      </c>
      <c r="H308">
        <v>5</v>
      </c>
      <c r="I308">
        <f>VLOOKUP(B308,BRAND!B:D,3,FALSE)</f>
        <v>0</v>
      </c>
      <c r="J308">
        <f t="shared" si="3"/>
        <v>19</v>
      </c>
      <c r="K308" t="s">
        <v>821</v>
      </c>
      <c r="L308">
        <v>0</v>
      </c>
      <c r="M308">
        <v>1</v>
      </c>
    </row>
    <row r="309" spans="1:13">
      <c r="A309" t="s">
        <v>13999</v>
      </c>
      <c r="B309" t="s">
        <v>13970</v>
      </c>
      <c r="C309" s="34" t="s">
        <v>14000</v>
      </c>
      <c r="F309" t="s">
        <v>14001</v>
      </c>
      <c r="G309" t="s">
        <v>6932</v>
      </c>
      <c r="H309">
        <v>5</v>
      </c>
      <c r="I309">
        <f>VLOOKUP(B309,BRAND!B:D,3,FALSE)</f>
        <v>0</v>
      </c>
      <c r="J309">
        <f t="shared" si="3"/>
        <v>16</v>
      </c>
      <c r="K309" t="s">
        <v>821</v>
      </c>
      <c r="L309">
        <v>0</v>
      </c>
      <c r="M309">
        <v>1</v>
      </c>
    </row>
    <row r="310" spans="1:13">
      <c r="A310" t="s">
        <v>13994</v>
      </c>
      <c r="B310" t="s">
        <v>13970</v>
      </c>
      <c r="C310" s="34" t="s">
        <v>13995</v>
      </c>
      <c r="F310" t="s">
        <v>13996</v>
      </c>
      <c r="G310" t="s">
        <v>6932</v>
      </c>
      <c r="H310">
        <v>5</v>
      </c>
      <c r="I310">
        <f>VLOOKUP(B310,BRAND!B:D,3,FALSE)</f>
        <v>0</v>
      </c>
      <c r="J310">
        <f t="shared" si="3"/>
        <v>14</v>
      </c>
      <c r="K310" t="s">
        <v>821</v>
      </c>
      <c r="L310">
        <v>0</v>
      </c>
      <c r="M310">
        <v>1</v>
      </c>
    </row>
    <row r="311" spans="1:13">
      <c r="A311" t="s">
        <v>14008</v>
      </c>
      <c r="B311" t="s">
        <v>13970</v>
      </c>
      <c r="C311" s="34" t="s">
        <v>14009</v>
      </c>
      <c r="F311" t="s">
        <v>14010</v>
      </c>
      <c r="G311" t="s">
        <v>6932</v>
      </c>
      <c r="H311">
        <v>5</v>
      </c>
      <c r="I311">
        <f>VLOOKUP(B311,BRAND!B:D,3,FALSE)</f>
        <v>0</v>
      </c>
      <c r="J311">
        <f t="shared" si="3"/>
        <v>12</v>
      </c>
      <c r="K311" t="s">
        <v>821</v>
      </c>
      <c r="L311">
        <v>0</v>
      </c>
      <c r="M311">
        <v>1</v>
      </c>
    </row>
    <row r="312" spans="1:13">
      <c r="A312" t="s">
        <v>13991</v>
      </c>
      <c r="B312" t="s">
        <v>13970</v>
      </c>
      <c r="C312" s="34" t="s">
        <v>13992</v>
      </c>
      <c r="F312" t="s">
        <v>13993</v>
      </c>
      <c r="G312" t="s">
        <v>6932</v>
      </c>
      <c r="H312">
        <v>5</v>
      </c>
      <c r="I312">
        <f>VLOOKUP(B312,BRAND!B:D,3,FALSE)</f>
        <v>0</v>
      </c>
      <c r="J312">
        <f t="shared" si="3"/>
        <v>12</v>
      </c>
      <c r="K312" t="s">
        <v>821</v>
      </c>
      <c r="L312">
        <v>0</v>
      </c>
      <c r="M312">
        <v>1</v>
      </c>
    </row>
    <row r="313" spans="1:13">
      <c r="A313" t="s">
        <v>14005</v>
      </c>
      <c r="B313" t="s">
        <v>13970</v>
      </c>
      <c r="C313" s="34" t="s">
        <v>14006</v>
      </c>
      <c r="F313" t="s">
        <v>14007</v>
      </c>
      <c r="G313" t="s">
        <v>6932</v>
      </c>
      <c r="H313">
        <v>5</v>
      </c>
      <c r="I313">
        <f>VLOOKUP(B313,BRAND!B:D,3,FALSE)</f>
        <v>0</v>
      </c>
      <c r="J313">
        <f t="shared" si="3"/>
        <v>11</v>
      </c>
      <c r="K313" t="s">
        <v>821</v>
      </c>
      <c r="L313">
        <v>0</v>
      </c>
      <c r="M313">
        <v>1</v>
      </c>
    </row>
    <row r="314" spans="1:13">
      <c r="A314" t="s">
        <v>13997</v>
      </c>
      <c r="B314" t="s">
        <v>13970</v>
      </c>
      <c r="C314" s="34" t="s">
        <v>755</v>
      </c>
      <c r="F314" t="s">
        <v>13998</v>
      </c>
      <c r="G314" t="s">
        <v>6932</v>
      </c>
      <c r="H314">
        <v>5</v>
      </c>
      <c r="I314">
        <f>VLOOKUP(B314,BRAND!B:D,3,FALSE)</f>
        <v>0</v>
      </c>
      <c r="J314">
        <f t="shared" si="3"/>
        <v>10</v>
      </c>
      <c r="K314" t="s">
        <v>821</v>
      </c>
      <c r="L314">
        <v>0</v>
      </c>
      <c r="M314">
        <v>1</v>
      </c>
    </row>
    <row r="315" spans="1:13">
      <c r="A315" t="s">
        <v>13982</v>
      </c>
      <c r="B315" t="s">
        <v>13970</v>
      </c>
      <c r="C315" s="34" t="s">
        <v>13983</v>
      </c>
      <c r="F315" t="s">
        <v>13984</v>
      </c>
      <c r="G315" t="s">
        <v>6932</v>
      </c>
      <c r="H315">
        <v>5</v>
      </c>
      <c r="I315">
        <f>VLOOKUP(B315,BRAND!B:D,3,FALSE)</f>
        <v>0</v>
      </c>
      <c r="J315">
        <f t="shared" si="3"/>
        <v>10</v>
      </c>
      <c r="K315" t="s">
        <v>821</v>
      </c>
      <c r="L315">
        <v>0</v>
      </c>
      <c r="M315">
        <v>1</v>
      </c>
    </row>
    <row r="316" spans="1:13">
      <c r="A316" t="s">
        <v>14002</v>
      </c>
      <c r="B316" t="s">
        <v>13970</v>
      </c>
      <c r="C316" s="34" t="s">
        <v>14003</v>
      </c>
      <c r="F316" t="s">
        <v>14004</v>
      </c>
      <c r="G316" t="s">
        <v>6932</v>
      </c>
      <c r="H316">
        <v>5</v>
      </c>
      <c r="I316">
        <f>VLOOKUP(B316,BRAND!B:D,3,FALSE)</f>
        <v>0</v>
      </c>
      <c r="J316">
        <f t="shared" si="3"/>
        <v>9</v>
      </c>
      <c r="K316" t="s">
        <v>821</v>
      </c>
      <c r="L316">
        <v>0</v>
      </c>
      <c r="M316">
        <v>1</v>
      </c>
    </row>
    <row r="317" spans="1:13">
      <c r="A317" t="s">
        <v>14011</v>
      </c>
      <c r="B317" t="s">
        <v>13970</v>
      </c>
      <c r="C317" s="34" t="s">
        <v>798</v>
      </c>
      <c r="F317" t="s">
        <v>798</v>
      </c>
      <c r="G317" t="s">
        <v>6932</v>
      </c>
      <c r="H317">
        <v>5</v>
      </c>
      <c r="I317">
        <f>VLOOKUP(B317,BRAND!B:D,3,FALSE)</f>
        <v>0</v>
      </c>
      <c r="J317">
        <f t="shared" si="3"/>
        <v>9</v>
      </c>
      <c r="K317" t="s">
        <v>821</v>
      </c>
      <c r="L317">
        <v>0</v>
      </c>
      <c r="M317">
        <v>1</v>
      </c>
    </row>
    <row r="318" spans="1:13">
      <c r="A318" t="s">
        <v>14012</v>
      </c>
      <c r="B318" t="s">
        <v>13970</v>
      </c>
      <c r="C318" s="34" t="s">
        <v>14013</v>
      </c>
      <c r="F318" t="s">
        <v>14013</v>
      </c>
      <c r="G318" t="s">
        <v>6932</v>
      </c>
      <c r="H318">
        <v>5</v>
      </c>
      <c r="I318">
        <f>VLOOKUP(B318,BRAND!B:D,3,FALSE)</f>
        <v>0</v>
      </c>
      <c r="J318">
        <f t="shared" si="3"/>
        <v>8</v>
      </c>
      <c r="K318" t="s">
        <v>821</v>
      </c>
      <c r="L318">
        <v>0</v>
      </c>
      <c r="M318">
        <v>1</v>
      </c>
    </row>
    <row r="319" spans="1:13">
      <c r="A319" t="s">
        <v>13972</v>
      </c>
      <c r="B319" t="s">
        <v>13970</v>
      </c>
      <c r="C319" s="34" t="s">
        <v>13973</v>
      </c>
      <c r="F319" t="s">
        <v>13974</v>
      </c>
      <c r="G319" t="s">
        <v>6932</v>
      </c>
      <c r="H319">
        <v>5</v>
      </c>
      <c r="I319">
        <f>VLOOKUP(B319,BRAND!B:D,3,FALSE)</f>
        <v>0</v>
      </c>
      <c r="J319">
        <f t="shared" si="3"/>
        <v>8</v>
      </c>
      <c r="K319" t="s">
        <v>821</v>
      </c>
      <c r="L319">
        <v>0</v>
      </c>
      <c r="M319">
        <v>1</v>
      </c>
    </row>
    <row r="320" spans="1:13">
      <c r="A320" t="s">
        <v>13989</v>
      </c>
      <c r="B320" t="s">
        <v>13970</v>
      </c>
      <c r="C320" s="34" t="s">
        <v>13990</v>
      </c>
      <c r="F320" t="s">
        <v>13990</v>
      </c>
      <c r="G320" t="s">
        <v>6932</v>
      </c>
      <c r="H320">
        <v>5</v>
      </c>
      <c r="I320">
        <f>VLOOKUP(B320,BRAND!B:D,3,FALSE)</f>
        <v>0</v>
      </c>
      <c r="J320">
        <f t="shared" si="3"/>
        <v>8</v>
      </c>
      <c r="K320" t="s">
        <v>821</v>
      </c>
      <c r="L320">
        <v>0</v>
      </c>
      <c r="M320">
        <v>1</v>
      </c>
    </row>
    <row r="321" spans="1:13">
      <c r="A321" t="s">
        <v>13978</v>
      </c>
      <c r="B321" t="s">
        <v>13970</v>
      </c>
      <c r="C321" s="34" t="s">
        <v>14887</v>
      </c>
      <c r="F321" t="s">
        <v>13979</v>
      </c>
      <c r="G321" t="s">
        <v>6932</v>
      </c>
      <c r="H321">
        <v>5</v>
      </c>
      <c r="I321">
        <f>VLOOKUP(B321,BRAND!B:D,3,FALSE)</f>
        <v>0</v>
      </c>
      <c r="J321">
        <f t="shared" si="3"/>
        <v>7</v>
      </c>
      <c r="K321" t="s">
        <v>821</v>
      </c>
      <c r="L321">
        <v>0</v>
      </c>
      <c r="M321">
        <v>1</v>
      </c>
    </row>
    <row r="322" spans="1:13">
      <c r="A322" t="s">
        <v>13969</v>
      </c>
      <c r="B322" t="s">
        <v>13970</v>
      </c>
      <c r="C322" s="34" t="s">
        <v>13971</v>
      </c>
      <c r="F322" t="s">
        <v>13971</v>
      </c>
      <c r="G322" t="s">
        <v>6932</v>
      </c>
      <c r="H322">
        <v>5</v>
      </c>
      <c r="I322">
        <f>VLOOKUP(B322,BRAND!B:D,3,FALSE)</f>
        <v>0</v>
      </c>
      <c r="J322">
        <f t="shared" si="3"/>
        <v>7</v>
      </c>
      <c r="K322" t="s">
        <v>821</v>
      </c>
      <c r="L322">
        <v>0</v>
      </c>
      <c r="M322">
        <v>1</v>
      </c>
    </row>
    <row r="323" spans="1:13">
      <c r="A323" t="s">
        <v>13980</v>
      </c>
      <c r="B323" t="s">
        <v>13970</v>
      </c>
      <c r="C323" s="34" t="s">
        <v>13981</v>
      </c>
      <c r="F323" t="s">
        <v>13981</v>
      </c>
      <c r="G323" t="s">
        <v>6932</v>
      </c>
      <c r="H323">
        <v>5</v>
      </c>
      <c r="I323">
        <f>VLOOKUP(B323,BRAND!B:D,3,FALSE)</f>
        <v>0</v>
      </c>
      <c r="J323">
        <f t="shared" si="3"/>
        <v>7</v>
      </c>
      <c r="K323" t="s">
        <v>821</v>
      </c>
      <c r="L323">
        <v>0</v>
      </c>
      <c r="M323">
        <v>1</v>
      </c>
    </row>
    <row r="324" spans="1:13">
      <c r="A324" t="s">
        <v>13985</v>
      </c>
      <c r="B324" t="s">
        <v>13970</v>
      </c>
      <c r="C324" s="34" t="s">
        <v>13986</v>
      </c>
      <c r="F324" t="s">
        <v>13986</v>
      </c>
      <c r="G324" t="s">
        <v>6932</v>
      </c>
      <c r="H324">
        <v>5</v>
      </c>
      <c r="I324">
        <f>VLOOKUP(B324,BRAND!B:D,3,FALSE)</f>
        <v>0</v>
      </c>
      <c r="J324">
        <f t="shared" si="3"/>
        <v>5</v>
      </c>
      <c r="K324" t="s">
        <v>821</v>
      </c>
      <c r="L324">
        <v>0</v>
      </c>
      <c r="M324">
        <v>1</v>
      </c>
    </row>
    <row r="325" spans="1:13">
      <c r="A325" t="s">
        <v>14014</v>
      </c>
      <c r="B325" t="s">
        <v>13970</v>
      </c>
      <c r="C325" s="34" t="s">
        <v>761</v>
      </c>
      <c r="F325" t="s">
        <v>761</v>
      </c>
      <c r="G325" t="s">
        <v>6932</v>
      </c>
      <c r="H325">
        <v>5</v>
      </c>
      <c r="I325">
        <f>VLOOKUP(B325,BRAND!B:D,3,FALSE)</f>
        <v>0</v>
      </c>
      <c r="J325">
        <f t="shared" si="3"/>
        <v>5</v>
      </c>
      <c r="K325" t="s">
        <v>821</v>
      </c>
      <c r="L325">
        <v>0</v>
      </c>
      <c r="M325">
        <v>1</v>
      </c>
    </row>
    <row r="326" spans="1:13">
      <c r="A326" t="s">
        <v>4845</v>
      </c>
      <c r="B326" t="s">
        <v>240</v>
      </c>
      <c r="C326" s="34" t="s">
        <v>777</v>
      </c>
      <c r="F326" t="s">
        <v>777</v>
      </c>
      <c r="H326">
        <v>5</v>
      </c>
      <c r="I326">
        <f>VLOOKUP(B326,BRAND!B:D,3,FALSE)</f>
        <v>9</v>
      </c>
      <c r="J326">
        <v>7</v>
      </c>
      <c r="K326" t="s">
        <v>821</v>
      </c>
      <c r="M326">
        <v>0</v>
      </c>
    </row>
    <row r="327" spans="1:13">
      <c r="A327" t="s">
        <v>3838</v>
      </c>
      <c r="B327" t="s">
        <v>240</v>
      </c>
      <c r="C327" s="34" t="s">
        <v>536</v>
      </c>
      <c r="F327" t="s">
        <v>536</v>
      </c>
      <c r="H327">
        <v>5</v>
      </c>
      <c r="I327">
        <f>VLOOKUP(B327,BRAND!B:D,3,FALSE)</f>
        <v>9</v>
      </c>
      <c r="J327">
        <v>5</v>
      </c>
      <c r="K327" t="s">
        <v>821</v>
      </c>
      <c r="M327">
        <v>0</v>
      </c>
    </row>
    <row r="328" spans="1:13">
      <c r="A328" t="s">
        <v>4843</v>
      </c>
      <c r="B328" t="s">
        <v>240</v>
      </c>
      <c r="C328" s="34" t="s">
        <v>842</v>
      </c>
      <c r="F328" t="s">
        <v>842</v>
      </c>
      <c r="H328">
        <v>5</v>
      </c>
      <c r="I328">
        <f>VLOOKUP(B328,BRAND!B:D,3,FALSE)</f>
        <v>9</v>
      </c>
      <c r="J328">
        <v>5</v>
      </c>
      <c r="K328" t="s">
        <v>821</v>
      </c>
      <c r="M328">
        <v>0</v>
      </c>
    </row>
    <row r="329" spans="1:13">
      <c r="A329" t="s">
        <v>7483</v>
      </c>
      <c r="B329" t="s">
        <v>240</v>
      </c>
      <c r="C329" s="34" t="s">
        <v>427</v>
      </c>
      <c r="F329" t="s">
        <v>427</v>
      </c>
      <c r="G329" t="s">
        <v>6932</v>
      </c>
      <c r="H329">
        <v>5</v>
      </c>
      <c r="I329">
        <f>VLOOKUP(B329,BRAND!B:D,3,FALSE)</f>
        <v>9</v>
      </c>
      <c r="J329">
        <v>5</v>
      </c>
      <c r="M329">
        <v>0</v>
      </c>
    </row>
    <row r="330" spans="1:13">
      <c r="A330" t="s">
        <v>4600</v>
      </c>
      <c r="B330" t="s">
        <v>240</v>
      </c>
      <c r="C330" s="34" t="s">
        <v>1992</v>
      </c>
      <c r="F330" t="s">
        <v>1992</v>
      </c>
      <c r="H330">
        <v>5</v>
      </c>
      <c r="I330">
        <f>VLOOKUP(B330,BRAND!B:D,3,FALSE)</f>
        <v>9</v>
      </c>
      <c r="J330">
        <v>3</v>
      </c>
      <c r="K330" t="s">
        <v>821</v>
      </c>
      <c r="M330">
        <v>1</v>
      </c>
    </row>
    <row r="331" spans="1:13">
      <c r="A331" t="s">
        <v>7215</v>
      </c>
      <c r="B331" t="s">
        <v>240</v>
      </c>
      <c r="C331" s="34" t="s">
        <v>7216</v>
      </c>
      <c r="F331" t="s">
        <v>7216</v>
      </c>
      <c r="H331">
        <v>5</v>
      </c>
      <c r="I331">
        <f>VLOOKUP(B331,BRAND!B:D,3,FALSE)</f>
        <v>9</v>
      </c>
      <c r="M331">
        <v>1</v>
      </c>
    </row>
    <row r="332" spans="1:13">
      <c r="A332" t="s">
        <v>2493</v>
      </c>
      <c r="B332" t="s">
        <v>240</v>
      </c>
      <c r="C332" s="34" t="s">
        <v>1438</v>
      </c>
      <c r="F332" t="s">
        <v>1438</v>
      </c>
      <c r="H332">
        <v>15</v>
      </c>
      <c r="I332">
        <f>VLOOKUP(B332,BRAND!B:D,3,FALSE)</f>
        <v>9</v>
      </c>
      <c r="J332">
        <v>4</v>
      </c>
      <c r="K332" t="s">
        <v>821</v>
      </c>
      <c r="M332">
        <v>1</v>
      </c>
    </row>
    <row r="333" spans="1:13">
      <c r="A333" t="s">
        <v>2675</v>
      </c>
      <c r="B333" t="s">
        <v>1143</v>
      </c>
      <c r="C333" s="34" t="s">
        <v>1438</v>
      </c>
      <c r="F333" t="s">
        <v>1438</v>
      </c>
      <c r="H333">
        <v>15</v>
      </c>
      <c r="I333">
        <f>VLOOKUP(B333,BRAND!B:D,3,FALSE)</f>
        <v>9</v>
      </c>
      <c r="J333">
        <v>4</v>
      </c>
      <c r="K333" t="s">
        <v>821</v>
      </c>
      <c r="M333">
        <v>0</v>
      </c>
    </row>
    <row r="334" spans="1:13">
      <c r="A334" t="s">
        <v>3188</v>
      </c>
      <c r="B334" t="s">
        <v>7</v>
      </c>
      <c r="C334" s="34" t="s">
        <v>5232</v>
      </c>
      <c r="F334" t="s">
        <v>536</v>
      </c>
      <c r="H334">
        <v>5</v>
      </c>
      <c r="I334">
        <f>VLOOKUP(B334,BRAND!B:D,3,FALSE)</f>
        <v>5</v>
      </c>
      <c r="J334">
        <v>5</v>
      </c>
      <c r="K334" t="s">
        <v>821</v>
      </c>
      <c r="M334">
        <v>1</v>
      </c>
    </row>
    <row r="335" spans="1:13">
      <c r="A335" t="s">
        <v>15057</v>
      </c>
      <c r="B335" t="s">
        <v>7</v>
      </c>
      <c r="C335" s="34" t="s">
        <v>1438</v>
      </c>
      <c r="F335" t="s">
        <v>1438</v>
      </c>
      <c r="G335" t="s">
        <v>801</v>
      </c>
      <c r="H335">
        <v>5</v>
      </c>
      <c r="I335">
        <f>VLOOKUP(B335,BRAND!B:D,3,FALSE)</f>
        <v>5</v>
      </c>
      <c r="J335">
        <v>0</v>
      </c>
      <c r="K335" t="s">
        <v>821</v>
      </c>
      <c r="L335">
        <v>0</v>
      </c>
      <c r="M335">
        <v>0</v>
      </c>
    </row>
    <row r="336" spans="1:13">
      <c r="A336" t="s">
        <v>7489</v>
      </c>
      <c r="B336" t="s">
        <v>7485</v>
      </c>
      <c r="C336" s="34" t="s">
        <v>6652</v>
      </c>
      <c r="F336" t="s">
        <v>899</v>
      </c>
      <c r="G336" t="s">
        <v>6932</v>
      </c>
      <c r="H336">
        <v>5</v>
      </c>
      <c r="I336">
        <f>VLOOKUP(B336,BRAND!B:D,3,FALSE)</f>
        <v>5.5</v>
      </c>
      <c r="J336">
        <v>8</v>
      </c>
      <c r="M336">
        <v>1</v>
      </c>
    </row>
    <row r="337" spans="1:13">
      <c r="A337" t="s">
        <v>7487</v>
      </c>
      <c r="B337" t="s">
        <v>7485</v>
      </c>
      <c r="C337" s="34" t="s">
        <v>7488</v>
      </c>
      <c r="F337" t="s">
        <v>7488</v>
      </c>
      <c r="G337" t="s">
        <v>6932</v>
      </c>
      <c r="H337">
        <v>5</v>
      </c>
      <c r="I337">
        <f>VLOOKUP(B337,BRAND!B:D,3,FALSE)</f>
        <v>5.5</v>
      </c>
      <c r="J337">
        <v>6</v>
      </c>
      <c r="M337">
        <v>1</v>
      </c>
    </row>
    <row r="338" spans="1:13">
      <c r="A338" t="s">
        <v>7484</v>
      </c>
      <c r="B338" t="s">
        <v>7485</v>
      </c>
      <c r="C338" s="34" t="s">
        <v>534</v>
      </c>
      <c r="F338" t="s">
        <v>534</v>
      </c>
      <c r="G338" t="s">
        <v>6932</v>
      </c>
      <c r="H338">
        <v>5</v>
      </c>
      <c r="I338">
        <f>VLOOKUP(B338,BRAND!B:D,3,FALSE)</f>
        <v>5.5</v>
      </c>
      <c r="J338">
        <v>6</v>
      </c>
      <c r="M338">
        <v>1</v>
      </c>
    </row>
    <row r="339" spans="1:13">
      <c r="A339" t="s">
        <v>7486</v>
      </c>
      <c r="B339" t="s">
        <v>7485</v>
      </c>
      <c r="C339" s="34" t="s">
        <v>536</v>
      </c>
      <c r="F339" t="s">
        <v>536</v>
      </c>
      <c r="G339" t="s">
        <v>6932</v>
      </c>
      <c r="H339">
        <v>5</v>
      </c>
      <c r="I339">
        <f>VLOOKUP(B339,BRAND!B:D,3,FALSE)</f>
        <v>5.5</v>
      </c>
      <c r="J339">
        <v>5</v>
      </c>
      <c r="M339">
        <v>1</v>
      </c>
    </row>
    <row r="340" spans="1:13">
      <c r="A340" t="s">
        <v>7490</v>
      </c>
      <c r="B340" t="s">
        <v>7485</v>
      </c>
      <c r="C340" s="34" t="s">
        <v>6500</v>
      </c>
      <c r="F340" t="s">
        <v>6500</v>
      </c>
      <c r="G340" t="s">
        <v>6932</v>
      </c>
      <c r="H340">
        <v>5</v>
      </c>
      <c r="I340">
        <f>VLOOKUP(B340,BRAND!B:D,3,FALSE)</f>
        <v>5.5</v>
      </c>
      <c r="J340">
        <v>5</v>
      </c>
      <c r="M340">
        <v>1</v>
      </c>
    </row>
    <row r="341" spans="1:13">
      <c r="A341" t="s">
        <v>14442</v>
      </c>
      <c r="B341" t="s">
        <v>14434</v>
      </c>
      <c r="C341" s="34" t="s">
        <v>14415</v>
      </c>
      <c r="F341" t="s">
        <v>14443</v>
      </c>
      <c r="G341" t="s">
        <v>6932</v>
      </c>
      <c r="H341">
        <v>5</v>
      </c>
      <c r="I341">
        <f>VLOOKUP(B341,BRAND!B:D,3,FALSE)</f>
        <v>0</v>
      </c>
      <c r="J341">
        <f>LEN(F341)</f>
        <v>32</v>
      </c>
      <c r="K341" t="s">
        <v>821</v>
      </c>
      <c r="L341">
        <v>0</v>
      </c>
      <c r="M341">
        <v>1</v>
      </c>
    </row>
    <row r="342" spans="1:13">
      <c r="A342" t="s">
        <v>14438</v>
      </c>
      <c r="B342" t="s">
        <v>14434</v>
      </c>
      <c r="C342" s="34" t="s">
        <v>776</v>
      </c>
      <c r="F342" t="s">
        <v>14439</v>
      </c>
      <c r="G342" t="s">
        <v>6932</v>
      </c>
      <c r="H342">
        <v>5</v>
      </c>
      <c r="I342">
        <f>VLOOKUP(B342,BRAND!B:D,3,FALSE)</f>
        <v>0</v>
      </c>
      <c r="J342">
        <f>LEN(F342)</f>
        <v>30</v>
      </c>
      <c r="K342" t="s">
        <v>821</v>
      </c>
      <c r="L342">
        <v>0</v>
      </c>
      <c r="M342">
        <v>1</v>
      </c>
    </row>
    <row r="343" spans="1:13">
      <c r="A343" t="s">
        <v>14440</v>
      </c>
      <c r="B343" t="s">
        <v>14434</v>
      </c>
      <c r="C343" s="34" t="s">
        <v>781</v>
      </c>
      <c r="F343" t="s">
        <v>14441</v>
      </c>
      <c r="G343" t="s">
        <v>6932</v>
      </c>
      <c r="H343">
        <v>5</v>
      </c>
      <c r="I343">
        <f>VLOOKUP(B343,BRAND!B:D,3,FALSE)</f>
        <v>0</v>
      </c>
      <c r="J343">
        <f>LEN(F343)</f>
        <v>28</v>
      </c>
      <c r="K343" t="s">
        <v>821</v>
      </c>
      <c r="L343">
        <v>0</v>
      </c>
      <c r="M343">
        <v>1</v>
      </c>
    </row>
    <row r="344" spans="1:13">
      <c r="A344" t="s">
        <v>14436</v>
      </c>
      <c r="B344" t="s">
        <v>14434</v>
      </c>
      <c r="C344" s="34" t="s">
        <v>792</v>
      </c>
      <c r="F344" t="s">
        <v>14437</v>
      </c>
      <c r="G344" t="s">
        <v>6932</v>
      </c>
      <c r="H344">
        <v>5</v>
      </c>
      <c r="I344">
        <f>VLOOKUP(B344,BRAND!B:D,3,FALSE)</f>
        <v>0</v>
      </c>
      <c r="J344">
        <f>LEN(F344)</f>
        <v>28</v>
      </c>
      <c r="K344" t="s">
        <v>821</v>
      </c>
      <c r="L344">
        <v>0</v>
      </c>
      <c r="M344">
        <v>1</v>
      </c>
    </row>
    <row r="345" spans="1:13">
      <c r="A345" t="s">
        <v>14433</v>
      </c>
      <c r="B345" t="s">
        <v>14434</v>
      </c>
      <c r="C345" s="34" t="s">
        <v>536</v>
      </c>
      <c r="F345" t="s">
        <v>14435</v>
      </c>
      <c r="G345" t="s">
        <v>6932</v>
      </c>
      <c r="H345">
        <v>5</v>
      </c>
      <c r="I345">
        <f>VLOOKUP(B345,BRAND!B:D,3,FALSE)</f>
        <v>0</v>
      </c>
      <c r="J345">
        <f>LEN(F345)</f>
        <v>15</v>
      </c>
      <c r="K345" t="s">
        <v>821</v>
      </c>
      <c r="L345">
        <v>0</v>
      </c>
      <c r="M345">
        <v>1</v>
      </c>
    </row>
    <row r="346" spans="1:13">
      <c r="A346" t="s">
        <v>7493</v>
      </c>
      <c r="B346" t="s">
        <v>7492</v>
      </c>
      <c r="C346" s="34" t="s">
        <v>930</v>
      </c>
      <c r="F346" t="s">
        <v>930</v>
      </c>
      <c r="G346" t="s">
        <v>6932</v>
      </c>
      <c r="H346">
        <v>5</v>
      </c>
      <c r="I346">
        <f>VLOOKUP(B346,BRAND!B:D,3,FALSE)</f>
        <v>5</v>
      </c>
      <c r="J346">
        <v>6</v>
      </c>
      <c r="M346">
        <v>1</v>
      </c>
    </row>
    <row r="347" spans="1:13">
      <c r="A347" t="s">
        <v>7491</v>
      </c>
      <c r="B347" t="s">
        <v>7492</v>
      </c>
      <c r="C347" s="34" t="s">
        <v>1438</v>
      </c>
      <c r="F347" t="s">
        <v>1438</v>
      </c>
      <c r="G347" t="s">
        <v>6932</v>
      </c>
      <c r="H347">
        <v>5</v>
      </c>
      <c r="I347">
        <f>VLOOKUP(B347,BRAND!B:D,3,FALSE)</f>
        <v>5</v>
      </c>
      <c r="J347">
        <v>4</v>
      </c>
      <c r="M347">
        <v>1</v>
      </c>
    </row>
    <row r="348" spans="1:13">
      <c r="A348" t="s">
        <v>11397</v>
      </c>
      <c r="B348" t="s">
        <v>7492</v>
      </c>
      <c r="C348" s="34" t="s">
        <v>7265</v>
      </c>
      <c r="F348" t="s">
        <v>7265</v>
      </c>
      <c r="G348" t="s">
        <v>6932</v>
      </c>
      <c r="H348">
        <v>5</v>
      </c>
    </row>
    <row r="349" spans="1:13">
      <c r="A349" t="s">
        <v>11398</v>
      </c>
      <c r="B349" t="s">
        <v>7492</v>
      </c>
      <c r="C349" s="34" t="s">
        <v>8784</v>
      </c>
      <c r="F349" t="s">
        <v>8784</v>
      </c>
      <c r="G349" t="s">
        <v>6932</v>
      </c>
      <c r="H349">
        <v>5</v>
      </c>
    </row>
    <row r="350" spans="1:13">
      <c r="A350" t="s">
        <v>11399</v>
      </c>
      <c r="B350" t="s">
        <v>7492</v>
      </c>
      <c r="C350" s="34" t="s">
        <v>10964</v>
      </c>
      <c r="F350" t="s">
        <v>10964</v>
      </c>
      <c r="G350" t="s">
        <v>6932</v>
      </c>
      <c r="H350">
        <v>5</v>
      </c>
    </row>
    <row r="351" spans="1:13">
      <c r="A351" t="s">
        <v>7493</v>
      </c>
      <c r="B351" t="s">
        <v>7492</v>
      </c>
      <c r="C351" s="34" t="s">
        <v>930</v>
      </c>
      <c r="F351" t="s">
        <v>930</v>
      </c>
      <c r="G351" t="s">
        <v>6932</v>
      </c>
      <c r="H351">
        <v>6</v>
      </c>
    </row>
    <row r="352" spans="1:13">
      <c r="A352" t="s">
        <v>7501</v>
      </c>
      <c r="B352" t="s">
        <v>7495</v>
      </c>
      <c r="C352" s="34" t="s">
        <v>7502</v>
      </c>
      <c r="F352" t="s">
        <v>7502</v>
      </c>
      <c r="G352" t="s">
        <v>6932</v>
      </c>
      <c r="H352">
        <v>5</v>
      </c>
      <c r="I352">
        <f>VLOOKUP(B352,BRAND!B:D,3,FALSE)</f>
        <v>5.5</v>
      </c>
      <c r="J352">
        <v>9</v>
      </c>
      <c r="M352">
        <v>1</v>
      </c>
    </row>
    <row r="353" spans="1:13">
      <c r="A353" t="s">
        <v>7499</v>
      </c>
      <c r="B353" t="s">
        <v>7495</v>
      </c>
      <c r="C353" s="34" t="s">
        <v>7500</v>
      </c>
      <c r="F353" t="s">
        <v>7500</v>
      </c>
      <c r="G353" t="s">
        <v>6932</v>
      </c>
      <c r="H353">
        <v>5</v>
      </c>
      <c r="I353">
        <f>VLOOKUP(B353,BRAND!B:D,3,FALSE)</f>
        <v>5.5</v>
      </c>
      <c r="J353">
        <v>8</v>
      </c>
      <c r="M353">
        <v>1</v>
      </c>
    </row>
    <row r="354" spans="1:13">
      <c r="A354" t="s">
        <v>7503</v>
      </c>
      <c r="B354" t="s">
        <v>7495</v>
      </c>
      <c r="C354" s="34" t="s">
        <v>7504</v>
      </c>
      <c r="F354" t="s">
        <v>7504</v>
      </c>
      <c r="G354" t="s">
        <v>6932</v>
      </c>
      <c r="H354">
        <v>5</v>
      </c>
      <c r="I354">
        <f>VLOOKUP(B354,BRAND!B:D,3,FALSE)</f>
        <v>5.5</v>
      </c>
      <c r="J354">
        <v>7</v>
      </c>
      <c r="M354">
        <v>1</v>
      </c>
    </row>
    <row r="355" spans="1:13">
      <c r="A355" t="s">
        <v>7497</v>
      </c>
      <c r="B355" t="s">
        <v>7495</v>
      </c>
      <c r="C355" s="34" t="s">
        <v>7498</v>
      </c>
      <c r="F355" t="s">
        <v>7498</v>
      </c>
      <c r="G355" t="s">
        <v>6932</v>
      </c>
      <c r="H355">
        <v>5</v>
      </c>
      <c r="I355">
        <f>VLOOKUP(B355,BRAND!B:D,3,FALSE)</f>
        <v>5.5</v>
      </c>
      <c r="J355">
        <v>7</v>
      </c>
      <c r="M355">
        <v>1</v>
      </c>
    </row>
    <row r="356" spans="1:13">
      <c r="A356" t="s">
        <v>7494</v>
      </c>
      <c r="B356" t="s">
        <v>7495</v>
      </c>
      <c r="C356" s="34" t="s">
        <v>776</v>
      </c>
      <c r="F356" t="s">
        <v>776</v>
      </c>
      <c r="G356" t="s">
        <v>6932</v>
      </c>
      <c r="H356">
        <v>5</v>
      </c>
      <c r="I356">
        <f>VLOOKUP(B356,BRAND!B:D,3,FALSE)</f>
        <v>5.5</v>
      </c>
      <c r="J356">
        <v>5</v>
      </c>
      <c r="M356">
        <v>1</v>
      </c>
    </row>
    <row r="357" spans="1:13">
      <c r="A357" t="s">
        <v>7496</v>
      </c>
      <c r="B357" t="s">
        <v>7495</v>
      </c>
      <c r="C357" s="34" t="s">
        <v>6360</v>
      </c>
      <c r="F357" t="s">
        <v>6360</v>
      </c>
      <c r="G357" t="s">
        <v>6932</v>
      </c>
      <c r="H357">
        <v>5</v>
      </c>
      <c r="I357">
        <f>VLOOKUP(B357,BRAND!B:D,3,FALSE)</f>
        <v>5.5</v>
      </c>
      <c r="J357">
        <v>3</v>
      </c>
      <c r="M357">
        <v>1</v>
      </c>
    </row>
    <row r="358" spans="1:13">
      <c r="A358" t="s">
        <v>2995</v>
      </c>
      <c r="B358" t="s">
        <v>391</v>
      </c>
      <c r="C358" s="34" t="s">
        <v>746</v>
      </c>
      <c r="F358" t="s">
        <v>746</v>
      </c>
      <c r="H358">
        <v>5</v>
      </c>
      <c r="I358">
        <f>VLOOKUP(B358,BRAND!B:D,3,FALSE)</f>
        <v>9</v>
      </c>
      <c r="J358">
        <v>6</v>
      </c>
      <c r="K358" t="s">
        <v>821</v>
      </c>
      <c r="M358">
        <v>0</v>
      </c>
    </row>
    <row r="359" spans="1:13">
      <c r="A359" t="s">
        <v>2615</v>
      </c>
      <c r="B359" t="s">
        <v>391</v>
      </c>
      <c r="C359" s="34" t="s">
        <v>772</v>
      </c>
      <c r="F359" t="s">
        <v>772</v>
      </c>
      <c r="H359">
        <v>5</v>
      </c>
      <c r="I359">
        <f>VLOOKUP(B359,BRAND!B:D,3,FALSE)</f>
        <v>9</v>
      </c>
      <c r="J359">
        <v>6</v>
      </c>
      <c r="K359" t="s">
        <v>821</v>
      </c>
      <c r="M359">
        <v>0</v>
      </c>
    </row>
    <row r="360" spans="1:13">
      <c r="A360" t="s">
        <v>3810</v>
      </c>
      <c r="B360" t="s">
        <v>391</v>
      </c>
      <c r="C360" s="34" t="s">
        <v>534</v>
      </c>
      <c r="F360" t="s">
        <v>534</v>
      </c>
      <c r="H360">
        <v>5</v>
      </c>
      <c r="I360">
        <f>VLOOKUP(B360,BRAND!B:D,3,FALSE)</f>
        <v>9</v>
      </c>
      <c r="J360">
        <v>6</v>
      </c>
      <c r="K360" t="s">
        <v>821</v>
      </c>
      <c r="M360">
        <v>1</v>
      </c>
    </row>
    <row r="361" spans="1:13">
      <c r="A361" t="s">
        <v>4392</v>
      </c>
      <c r="B361" t="s">
        <v>391</v>
      </c>
      <c r="C361" s="34" t="s">
        <v>764</v>
      </c>
      <c r="F361" t="s">
        <v>764</v>
      </c>
      <c r="H361">
        <v>5</v>
      </c>
      <c r="I361">
        <f>VLOOKUP(B361,BRAND!B:D,3,FALSE)</f>
        <v>9</v>
      </c>
      <c r="J361">
        <v>5</v>
      </c>
      <c r="K361" t="s">
        <v>821</v>
      </c>
      <c r="M361">
        <v>0</v>
      </c>
    </row>
    <row r="362" spans="1:13">
      <c r="A362" t="s">
        <v>7505</v>
      </c>
      <c r="B362" t="s">
        <v>391</v>
      </c>
      <c r="C362" s="34" t="s">
        <v>842</v>
      </c>
      <c r="F362" t="s">
        <v>842</v>
      </c>
      <c r="G362" t="s">
        <v>6932</v>
      </c>
      <c r="H362">
        <v>5</v>
      </c>
      <c r="I362">
        <f>VLOOKUP(B362,BRAND!B:D,3,FALSE)</f>
        <v>9</v>
      </c>
      <c r="J362">
        <v>5</v>
      </c>
      <c r="M362">
        <v>1</v>
      </c>
    </row>
    <row r="363" spans="1:13">
      <c r="A363" t="s">
        <v>3811</v>
      </c>
      <c r="B363" t="s">
        <v>391</v>
      </c>
      <c r="C363" s="34" t="s">
        <v>561</v>
      </c>
      <c r="F363" t="s">
        <v>561</v>
      </c>
      <c r="H363">
        <v>5</v>
      </c>
      <c r="I363">
        <f>VLOOKUP(B363,BRAND!B:D,3,FALSE)</f>
        <v>9</v>
      </c>
      <c r="J363">
        <v>3</v>
      </c>
      <c r="K363" t="s">
        <v>821</v>
      </c>
      <c r="M363">
        <v>0</v>
      </c>
    </row>
    <row r="364" spans="1:13">
      <c r="A364" t="s">
        <v>2614</v>
      </c>
      <c r="B364" t="s">
        <v>391</v>
      </c>
      <c r="C364" s="34" t="s">
        <v>1438</v>
      </c>
      <c r="F364" t="s">
        <v>1438</v>
      </c>
      <c r="H364">
        <v>15</v>
      </c>
      <c r="I364">
        <f>VLOOKUP(B364,BRAND!B:D,3,FALSE)</f>
        <v>9</v>
      </c>
      <c r="J364">
        <v>4</v>
      </c>
      <c r="K364" t="s">
        <v>821</v>
      </c>
      <c r="M364">
        <v>1</v>
      </c>
    </row>
    <row r="365" spans="1:13">
      <c r="A365" t="s">
        <v>7506</v>
      </c>
      <c r="B365" t="s">
        <v>7507</v>
      </c>
      <c r="C365" s="34" t="s">
        <v>751</v>
      </c>
      <c r="F365" t="s">
        <v>751</v>
      </c>
      <c r="G365" t="s">
        <v>6932</v>
      </c>
      <c r="H365">
        <v>5</v>
      </c>
      <c r="I365">
        <f>VLOOKUP(B365,BRAND!B:D,3,FALSE)</f>
        <v>5.5</v>
      </c>
      <c r="J365">
        <v>5</v>
      </c>
      <c r="M365">
        <v>1</v>
      </c>
    </row>
    <row r="366" spans="1:13">
      <c r="A366" t="s">
        <v>3960</v>
      </c>
      <c r="B366" t="s">
        <v>241</v>
      </c>
      <c r="C366" s="34" t="s">
        <v>774</v>
      </c>
      <c r="F366" t="s">
        <v>774</v>
      </c>
      <c r="H366">
        <v>5</v>
      </c>
      <c r="I366">
        <f>VLOOKUP(B366,BRAND!B:D,3,FALSE)</f>
        <v>9</v>
      </c>
      <c r="J366">
        <v>9</v>
      </c>
      <c r="K366" t="s">
        <v>821</v>
      </c>
      <c r="M366">
        <v>1</v>
      </c>
    </row>
    <row r="367" spans="1:13">
      <c r="A367" t="s">
        <v>4016</v>
      </c>
      <c r="B367" t="s">
        <v>241</v>
      </c>
      <c r="C367" s="34" t="s">
        <v>772</v>
      </c>
      <c r="F367" t="s">
        <v>772</v>
      </c>
      <c r="H367">
        <v>5</v>
      </c>
      <c r="I367">
        <f>VLOOKUP(B367,BRAND!B:D,3,FALSE)</f>
        <v>9</v>
      </c>
      <c r="J367">
        <v>6</v>
      </c>
      <c r="K367" t="s">
        <v>821</v>
      </c>
      <c r="M367">
        <v>1</v>
      </c>
    </row>
    <row r="368" spans="1:13">
      <c r="A368" t="s">
        <v>4132</v>
      </c>
      <c r="B368" t="s">
        <v>241</v>
      </c>
      <c r="C368" s="34" t="s">
        <v>799</v>
      </c>
      <c r="F368" t="s">
        <v>799</v>
      </c>
      <c r="H368">
        <v>5</v>
      </c>
      <c r="I368">
        <f>VLOOKUP(B368,BRAND!B:D,3,FALSE)</f>
        <v>9</v>
      </c>
      <c r="J368">
        <v>5</v>
      </c>
      <c r="K368" t="s">
        <v>821</v>
      </c>
      <c r="M368">
        <v>0</v>
      </c>
    </row>
    <row r="369" spans="1:13">
      <c r="A369" t="s">
        <v>4015</v>
      </c>
      <c r="B369" t="s">
        <v>241</v>
      </c>
      <c r="C369" s="34" t="s">
        <v>536</v>
      </c>
      <c r="F369" t="s">
        <v>536</v>
      </c>
      <c r="H369">
        <v>5</v>
      </c>
      <c r="I369">
        <f>VLOOKUP(B369,BRAND!B:D,3,FALSE)</f>
        <v>9</v>
      </c>
      <c r="J369">
        <v>5</v>
      </c>
      <c r="K369" t="s">
        <v>821</v>
      </c>
      <c r="M369">
        <v>1</v>
      </c>
    </row>
    <row r="370" spans="1:13">
      <c r="A370" t="s">
        <v>3168</v>
      </c>
      <c r="B370" t="s">
        <v>241</v>
      </c>
      <c r="C370" s="34" t="s">
        <v>842</v>
      </c>
      <c r="F370" t="s">
        <v>842</v>
      </c>
      <c r="H370">
        <v>5</v>
      </c>
      <c r="I370">
        <f>VLOOKUP(B370,BRAND!B:D,3,FALSE)</f>
        <v>9</v>
      </c>
      <c r="J370">
        <v>5</v>
      </c>
      <c r="K370" t="s">
        <v>821</v>
      </c>
      <c r="M370">
        <v>1</v>
      </c>
    </row>
    <row r="371" spans="1:13">
      <c r="A371" t="s">
        <v>7508</v>
      </c>
      <c r="B371" t="s">
        <v>241</v>
      </c>
      <c r="C371" s="34" t="s">
        <v>903</v>
      </c>
      <c r="F371" t="s">
        <v>903</v>
      </c>
      <c r="G371" t="s">
        <v>6932</v>
      </c>
      <c r="H371">
        <v>5</v>
      </c>
      <c r="I371">
        <f>VLOOKUP(B371,BRAND!B:D,3,FALSE)</f>
        <v>9</v>
      </c>
      <c r="J371">
        <v>4</v>
      </c>
      <c r="M371">
        <v>0</v>
      </c>
    </row>
    <row r="372" spans="1:13">
      <c r="A372" t="s">
        <v>2041</v>
      </c>
      <c r="B372" t="s">
        <v>241</v>
      </c>
      <c r="C372" s="34" t="s">
        <v>1438</v>
      </c>
      <c r="F372" t="s">
        <v>1438</v>
      </c>
      <c r="H372">
        <v>15</v>
      </c>
      <c r="I372">
        <f>VLOOKUP(B372,BRAND!B:D,3,FALSE)</f>
        <v>9</v>
      </c>
      <c r="J372">
        <v>4</v>
      </c>
      <c r="K372" t="s">
        <v>821</v>
      </c>
      <c r="M372">
        <v>0</v>
      </c>
    </row>
    <row r="373" spans="1:13">
      <c r="A373" t="s">
        <v>7380</v>
      </c>
      <c r="B373" t="s">
        <v>7381</v>
      </c>
      <c r="C373" s="34" t="s">
        <v>534</v>
      </c>
      <c r="F373" t="s">
        <v>534</v>
      </c>
      <c r="G373" t="s">
        <v>6932</v>
      </c>
      <c r="H373">
        <v>5</v>
      </c>
      <c r="I373">
        <f>VLOOKUP(B373,BRAND!B:D,3,FALSE)</f>
        <v>5.5</v>
      </c>
      <c r="J373">
        <v>6</v>
      </c>
      <c r="M373">
        <v>1</v>
      </c>
    </row>
    <row r="374" spans="1:13">
      <c r="A374" t="s">
        <v>7382</v>
      </c>
      <c r="B374" t="s">
        <v>7381</v>
      </c>
      <c r="C374" s="34" t="s">
        <v>5232</v>
      </c>
      <c r="F374" t="s">
        <v>536</v>
      </c>
      <c r="G374" t="s">
        <v>6932</v>
      </c>
      <c r="H374">
        <v>5</v>
      </c>
      <c r="I374">
        <f>VLOOKUP(B374,BRAND!B:D,3,FALSE)</f>
        <v>5.5</v>
      </c>
      <c r="J374">
        <v>5</v>
      </c>
      <c r="M374">
        <v>1</v>
      </c>
    </row>
    <row r="375" spans="1:13">
      <c r="A375" t="s">
        <v>7383</v>
      </c>
      <c r="B375" t="s">
        <v>7381</v>
      </c>
      <c r="C375" s="34" t="s">
        <v>842</v>
      </c>
      <c r="F375" t="s">
        <v>842</v>
      </c>
      <c r="G375" t="s">
        <v>6932</v>
      </c>
      <c r="H375">
        <v>5</v>
      </c>
      <c r="I375">
        <f>VLOOKUP(B375,BRAND!B:D,3,FALSE)</f>
        <v>5.5</v>
      </c>
      <c r="J375">
        <v>5</v>
      </c>
      <c r="M375">
        <v>1</v>
      </c>
    </row>
    <row r="376" spans="1:13">
      <c r="A376" t="s">
        <v>7392</v>
      </c>
      <c r="B376" t="s">
        <v>7381</v>
      </c>
      <c r="C376" s="34" t="s">
        <v>788</v>
      </c>
      <c r="F376" t="s">
        <v>788</v>
      </c>
      <c r="G376" t="s">
        <v>6932</v>
      </c>
      <c r="H376">
        <v>5</v>
      </c>
      <c r="I376">
        <f>VLOOKUP(B376,BRAND!B:D,3,FALSE)</f>
        <v>5.5</v>
      </c>
      <c r="J376">
        <v>4</v>
      </c>
      <c r="M376">
        <v>1</v>
      </c>
    </row>
    <row r="377" spans="1:13">
      <c r="A377" t="s">
        <v>7391</v>
      </c>
      <c r="B377" t="s">
        <v>7381</v>
      </c>
      <c r="C377" s="34" t="s">
        <v>1992</v>
      </c>
      <c r="F377" t="s">
        <v>1992</v>
      </c>
      <c r="G377" t="s">
        <v>6932</v>
      </c>
      <c r="H377">
        <v>5</v>
      </c>
      <c r="I377">
        <f>VLOOKUP(B377,BRAND!B:D,3,FALSE)</f>
        <v>5.5</v>
      </c>
      <c r="J377">
        <v>3</v>
      </c>
      <c r="M377">
        <v>1</v>
      </c>
    </row>
    <row r="378" spans="1:13">
      <c r="A378" t="s">
        <v>7509</v>
      </c>
      <c r="B378" t="s">
        <v>7510</v>
      </c>
      <c r="C378" s="34" t="s">
        <v>751</v>
      </c>
      <c r="F378" t="s">
        <v>751</v>
      </c>
      <c r="G378" t="s">
        <v>6932</v>
      </c>
      <c r="H378">
        <v>5</v>
      </c>
      <c r="I378">
        <f>VLOOKUP(B378,BRAND!B:D,3,FALSE)</f>
        <v>5.5</v>
      </c>
      <c r="J378">
        <v>5</v>
      </c>
      <c r="M378">
        <v>1</v>
      </c>
    </row>
    <row r="379" spans="1:13">
      <c r="A379" t="s">
        <v>7511</v>
      </c>
      <c r="B379" t="s">
        <v>7510</v>
      </c>
      <c r="C379" s="34" t="s">
        <v>536</v>
      </c>
      <c r="F379" t="s">
        <v>536</v>
      </c>
      <c r="G379" t="s">
        <v>6932</v>
      </c>
      <c r="H379">
        <v>5</v>
      </c>
      <c r="I379">
        <f>VLOOKUP(B379,BRAND!B:D,3,FALSE)</f>
        <v>5.5</v>
      </c>
      <c r="J379">
        <v>5</v>
      </c>
      <c r="M379">
        <v>1</v>
      </c>
    </row>
    <row r="380" spans="1:13">
      <c r="A380" t="s">
        <v>2697</v>
      </c>
      <c r="B380" t="s">
        <v>508</v>
      </c>
      <c r="C380" s="34" t="s">
        <v>1438</v>
      </c>
      <c r="F380" t="s">
        <v>1438</v>
      </c>
      <c r="H380">
        <v>15</v>
      </c>
      <c r="I380">
        <f>VLOOKUP(B380,BRAND!B:D,3,FALSE)</f>
        <v>9</v>
      </c>
      <c r="J380">
        <v>4</v>
      </c>
      <c r="K380" t="s">
        <v>821</v>
      </c>
      <c r="M380">
        <v>1</v>
      </c>
    </row>
    <row r="381" spans="1:13">
      <c r="A381" t="s">
        <v>7512</v>
      </c>
      <c r="B381" t="s">
        <v>7513</v>
      </c>
      <c r="C381" s="34" t="s">
        <v>535</v>
      </c>
      <c r="F381" t="s">
        <v>535</v>
      </c>
      <c r="G381" t="s">
        <v>6932</v>
      </c>
      <c r="H381">
        <v>5</v>
      </c>
      <c r="I381">
        <f>VLOOKUP(B381,BRAND!B:D,3,FALSE)</f>
        <v>5.5</v>
      </c>
      <c r="J381">
        <v>6</v>
      </c>
      <c r="M381">
        <v>1</v>
      </c>
    </row>
    <row r="382" spans="1:13">
      <c r="A382" t="s">
        <v>7514</v>
      </c>
      <c r="B382" t="s">
        <v>7513</v>
      </c>
      <c r="C382" s="34" t="s">
        <v>7515</v>
      </c>
      <c r="F382" t="s">
        <v>7515</v>
      </c>
      <c r="G382" t="s">
        <v>6932</v>
      </c>
      <c r="H382">
        <v>5</v>
      </c>
      <c r="I382">
        <f>VLOOKUP(B382,BRAND!B:D,3,FALSE)</f>
        <v>5.5</v>
      </c>
      <c r="J382">
        <v>3</v>
      </c>
      <c r="M382">
        <v>1</v>
      </c>
    </row>
    <row r="383" spans="1:13">
      <c r="A383" t="s">
        <v>7516</v>
      </c>
      <c r="B383" t="s">
        <v>7513</v>
      </c>
      <c r="C383" s="34" t="s">
        <v>786</v>
      </c>
      <c r="F383" t="s">
        <v>786</v>
      </c>
      <c r="G383" t="s">
        <v>6932</v>
      </c>
      <c r="H383">
        <v>5</v>
      </c>
      <c r="I383">
        <f>VLOOKUP(B383,BRAND!B:D,3,FALSE)</f>
        <v>5.5</v>
      </c>
      <c r="J383">
        <v>3</v>
      </c>
      <c r="M383">
        <v>1</v>
      </c>
    </row>
    <row r="384" spans="1:13">
      <c r="A384" t="s">
        <v>3590</v>
      </c>
      <c r="B384" t="s">
        <v>8</v>
      </c>
      <c r="C384" s="34" t="s">
        <v>534</v>
      </c>
      <c r="F384" t="s">
        <v>534</v>
      </c>
      <c r="H384">
        <v>5</v>
      </c>
      <c r="I384">
        <f>VLOOKUP(B384,BRAND!B:D,3,FALSE)</f>
        <v>9</v>
      </c>
      <c r="J384">
        <v>6</v>
      </c>
      <c r="K384" t="s">
        <v>821</v>
      </c>
      <c r="M384">
        <v>0</v>
      </c>
    </row>
    <row r="385" spans="1:13">
      <c r="A385" t="s">
        <v>3502</v>
      </c>
      <c r="B385" t="s">
        <v>8</v>
      </c>
      <c r="C385" s="34" t="s">
        <v>536</v>
      </c>
      <c r="F385" t="s">
        <v>536</v>
      </c>
      <c r="H385">
        <v>5</v>
      </c>
      <c r="I385">
        <f>VLOOKUP(B385,BRAND!B:D,3,FALSE)</f>
        <v>9</v>
      </c>
      <c r="J385">
        <v>5</v>
      </c>
      <c r="K385" t="s">
        <v>821</v>
      </c>
      <c r="M385">
        <v>1</v>
      </c>
    </row>
    <row r="386" spans="1:13">
      <c r="A386" t="s">
        <v>3396</v>
      </c>
      <c r="B386" t="s">
        <v>8</v>
      </c>
      <c r="C386" s="34" t="s">
        <v>791</v>
      </c>
      <c r="F386" t="s">
        <v>791</v>
      </c>
      <c r="H386">
        <v>5</v>
      </c>
      <c r="I386">
        <f>VLOOKUP(B386,BRAND!B:D,3,FALSE)</f>
        <v>9</v>
      </c>
      <c r="J386">
        <v>5</v>
      </c>
      <c r="K386" t="s">
        <v>821</v>
      </c>
      <c r="M386">
        <v>1</v>
      </c>
    </row>
    <row r="387" spans="1:13">
      <c r="A387" t="s">
        <v>2029</v>
      </c>
      <c r="B387" t="s">
        <v>8</v>
      </c>
      <c r="C387" s="34" t="s">
        <v>1438</v>
      </c>
      <c r="F387" t="s">
        <v>1438</v>
      </c>
      <c r="H387">
        <v>15</v>
      </c>
      <c r="I387">
        <f>VLOOKUP(B387,BRAND!B:D,3,FALSE)</f>
        <v>9</v>
      </c>
      <c r="J387">
        <v>4</v>
      </c>
      <c r="K387" t="s">
        <v>821</v>
      </c>
      <c r="M387">
        <v>1</v>
      </c>
    </row>
    <row r="388" spans="1:13">
      <c r="A388" t="s">
        <v>5171</v>
      </c>
      <c r="B388" t="s">
        <v>5170</v>
      </c>
      <c r="C388" s="34" t="s">
        <v>561</v>
      </c>
      <c r="F388" t="s">
        <v>561</v>
      </c>
      <c r="H388">
        <v>5</v>
      </c>
      <c r="I388">
        <f>VLOOKUP(B388,BRAND!B:D,3,FALSE)</f>
        <v>3</v>
      </c>
      <c r="J388">
        <v>3</v>
      </c>
      <c r="K388" t="s">
        <v>821</v>
      </c>
      <c r="M388">
        <v>0</v>
      </c>
    </row>
    <row r="389" spans="1:13">
      <c r="A389" t="s">
        <v>7519</v>
      </c>
      <c r="B389" t="s">
        <v>7518</v>
      </c>
      <c r="C389" s="34" t="s">
        <v>536</v>
      </c>
      <c r="F389" t="s">
        <v>536</v>
      </c>
      <c r="G389" t="s">
        <v>6932</v>
      </c>
      <c r="H389">
        <v>5</v>
      </c>
      <c r="I389">
        <f>VLOOKUP(B389,BRAND!B:D,3,FALSE)</f>
        <v>5.5</v>
      </c>
      <c r="J389">
        <v>5</v>
      </c>
      <c r="L389">
        <v>1</v>
      </c>
      <c r="M389">
        <v>1</v>
      </c>
    </row>
    <row r="390" spans="1:13">
      <c r="A390" t="s">
        <v>7517</v>
      </c>
      <c r="B390" t="s">
        <v>7518</v>
      </c>
      <c r="C390" s="34" t="s">
        <v>1438</v>
      </c>
      <c r="F390" t="s">
        <v>1438</v>
      </c>
      <c r="G390" t="s">
        <v>6932</v>
      </c>
      <c r="H390">
        <v>5</v>
      </c>
      <c r="I390">
        <f>VLOOKUP(B390,BRAND!B:D,3,FALSE)</f>
        <v>5.5</v>
      </c>
      <c r="J390">
        <v>4</v>
      </c>
      <c r="M390">
        <v>1</v>
      </c>
    </row>
    <row r="391" spans="1:13">
      <c r="A391" t="s">
        <v>3155</v>
      </c>
      <c r="B391" t="s">
        <v>1218</v>
      </c>
      <c r="C391" s="34" t="s">
        <v>1438</v>
      </c>
      <c r="F391" t="s">
        <v>1438</v>
      </c>
      <c r="H391">
        <v>15</v>
      </c>
      <c r="I391">
        <f>VLOOKUP(B391,BRAND!B:D,3,FALSE)</f>
        <v>9</v>
      </c>
      <c r="J391">
        <v>4</v>
      </c>
      <c r="K391" t="s">
        <v>821</v>
      </c>
      <c r="M391">
        <v>0</v>
      </c>
    </row>
    <row r="392" spans="1:13">
      <c r="A392" t="s">
        <v>3015</v>
      </c>
      <c r="B392" t="s">
        <v>677</v>
      </c>
      <c r="C392" s="34" t="s">
        <v>775</v>
      </c>
      <c r="F392" t="s">
        <v>775</v>
      </c>
      <c r="H392">
        <v>5</v>
      </c>
      <c r="I392">
        <f>VLOOKUP(B392,BRAND!B:D,3,FALSE)</f>
        <v>9</v>
      </c>
      <c r="J392">
        <v>3</v>
      </c>
      <c r="K392" t="s">
        <v>821</v>
      </c>
      <c r="M392">
        <v>0</v>
      </c>
    </row>
    <row r="393" spans="1:13">
      <c r="A393" t="s">
        <v>3014</v>
      </c>
      <c r="B393" t="s">
        <v>677</v>
      </c>
      <c r="C393" s="34" t="s">
        <v>1438</v>
      </c>
      <c r="F393" t="s">
        <v>1438</v>
      </c>
      <c r="H393">
        <v>15</v>
      </c>
      <c r="I393">
        <f>VLOOKUP(B393,BRAND!B:D,3,FALSE)</f>
        <v>9</v>
      </c>
      <c r="J393">
        <v>4</v>
      </c>
      <c r="K393" t="s">
        <v>821</v>
      </c>
      <c r="M393">
        <v>0</v>
      </c>
    </row>
    <row r="394" spans="1:13">
      <c r="A394" t="s">
        <v>2724</v>
      </c>
      <c r="B394" t="s">
        <v>1144</v>
      </c>
      <c r="C394" s="34" t="s">
        <v>1438</v>
      </c>
      <c r="F394" t="s">
        <v>1438</v>
      </c>
      <c r="H394">
        <v>15</v>
      </c>
      <c r="I394">
        <f>VLOOKUP(B394,BRAND!B:D,3,FALSE)</f>
        <v>9</v>
      </c>
      <c r="J394">
        <v>4</v>
      </c>
      <c r="K394" t="s">
        <v>821</v>
      </c>
      <c r="M394">
        <v>0</v>
      </c>
    </row>
    <row r="395" spans="1:13">
      <c r="A395" t="s">
        <v>7520</v>
      </c>
      <c r="B395" t="s">
        <v>7521</v>
      </c>
      <c r="C395" s="34" t="s">
        <v>7522</v>
      </c>
      <c r="F395" t="s">
        <v>7522</v>
      </c>
      <c r="G395" t="s">
        <v>6932</v>
      </c>
      <c r="H395">
        <v>5</v>
      </c>
      <c r="I395">
        <f>VLOOKUP(B395,BRAND!B:D,3,FALSE)</f>
        <v>5.5</v>
      </c>
      <c r="J395">
        <v>6</v>
      </c>
      <c r="M395">
        <v>1</v>
      </c>
    </row>
    <row r="396" spans="1:13">
      <c r="A396" t="s">
        <v>7523</v>
      </c>
      <c r="B396" t="s">
        <v>7521</v>
      </c>
      <c r="C396" s="34" t="s">
        <v>7524</v>
      </c>
      <c r="F396" t="s">
        <v>7524</v>
      </c>
      <c r="G396" t="s">
        <v>6932</v>
      </c>
      <c r="H396">
        <v>5</v>
      </c>
      <c r="I396">
        <f>VLOOKUP(B396,BRAND!B:D,3,FALSE)</f>
        <v>5.5</v>
      </c>
      <c r="J396">
        <v>5</v>
      </c>
      <c r="M396">
        <v>1</v>
      </c>
    </row>
    <row r="397" spans="1:13">
      <c r="A397" t="s">
        <v>7525</v>
      </c>
      <c r="B397" t="s">
        <v>7521</v>
      </c>
      <c r="C397" s="34" t="s">
        <v>786</v>
      </c>
      <c r="F397" t="s">
        <v>786</v>
      </c>
      <c r="G397" t="s">
        <v>6932</v>
      </c>
      <c r="H397">
        <v>5</v>
      </c>
      <c r="I397">
        <f>VLOOKUP(B397,BRAND!B:D,3,FALSE)</f>
        <v>5.5</v>
      </c>
      <c r="J397">
        <v>3</v>
      </c>
      <c r="M397">
        <v>1</v>
      </c>
    </row>
    <row r="398" spans="1:13">
      <c r="A398" t="s">
        <v>3146</v>
      </c>
      <c r="B398" t="s">
        <v>9</v>
      </c>
      <c r="C398" s="34" t="s">
        <v>1438</v>
      </c>
      <c r="F398" t="s">
        <v>1438</v>
      </c>
      <c r="H398">
        <v>15</v>
      </c>
      <c r="I398">
        <f>VLOOKUP(B398,BRAND!B:D,3,FALSE)</f>
        <v>9</v>
      </c>
      <c r="J398">
        <v>4</v>
      </c>
      <c r="K398" t="s">
        <v>821</v>
      </c>
      <c r="M398">
        <v>1</v>
      </c>
    </row>
    <row r="399" spans="1:13">
      <c r="A399" t="s">
        <v>7033</v>
      </c>
      <c r="B399" t="s">
        <v>356</v>
      </c>
      <c r="C399" s="34" t="s">
        <v>798</v>
      </c>
      <c r="F399" t="s">
        <v>798</v>
      </c>
      <c r="H399">
        <v>5</v>
      </c>
      <c r="I399">
        <f>VLOOKUP(B399,BRAND!B:D,3,FALSE)</f>
        <v>9</v>
      </c>
      <c r="J399">
        <v>9</v>
      </c>
      <c r="M399">
        <v>1</v>
      </c>
    </row>
    <row r="400" spans="1:13">
      <c r="A400" t="s">
        <v>2438</v>
      </c>
      <c r="B400" t="s">
        <v>356</v>
      </c>
      <c r="C400" s="34" t="s">
        <v>746</v>
      </c>
      <c r="F400" t="s">
        <v>746</v>
      </c>
      <c r="H400">
        <v>5</v>
      </c>
      <c r="I400">
        <f>VLOOKUP(B400,BRAND!B:D,3,FALSE)</f>
        <v>9</v>
      </c>
      <c r="J400">
        <v>6</v>
      </c>
      <c r="K400" t="s">
        <v>821</v>
      </c>
      <c r="M400">
        <v>1</v>
      </c>
    </row>
    <row r="401" spans="1:13">
      <c r="A401" t="s">
        <v>4464</v>
      </c>
      <c r="B401" t="s">
        <v>356</v>
      </c>
      <c r="C401" s="34" t="s">
        <v>776</v>
      </c>
      <c r="F401" t="s">
        <v>776</v>
      </c>
      <c r="H401">
        <v>5</v>
      </c>
      <c r="I401">
        <f>VLOOKUP(B401,BRAND!B:D,3,FALSE)</f>
        <v>9</v>
      </c>
      <c r="J401">
        <v>5</v>
      </c>
      <c r="K401" t="s">
        <v>821</v>
      </c>
      <c r="M401">
        <v>0</v>
      </c>
    </row>
    <row r="402" spans="1:13">
      <c r="A402" t="s">
        <v>2325</v>
      </c>
      <c r="B402" t="s">
        <v>356</v>
      </c>
      <c r="C402" s="34" t="s">
        <v>1438</v>
      </c>
      <c r="F402" t="s">
        <v>1438</v>
      </c>
      <c r="H402">
        <v>15</v>
      </c>
      <c r="I402">
        <f>VLOOKUP(B402,BRAND!B:D,3,FALSE)</f>
        <v>9</v>
      </c>
      <c r="J402">
        <v>4</v>
      </c>
      <c r="K402" t="s">
        <v>821</v>
      </c>
      <c r="M402">
        <v>1</v>
      </c>
    </row>
    <row r="403" spans="1:13">
      <c r="A403" t="s">
        <v>4758</v>
      </c>
      <c r="B403" t="s">
        <v>1810</v>
      </c>
      <c r="C403" s="34" t="s">
        <v>1472</v>
      </c>
      <c r="F403" t="s">
        <v>1472</v>
      </c>
      <c r="H403">
        <v>4</v>
      </c>
      <c r="I403">
        <f>VLOOKUP(B403,BRAND!B:D,3,FALSE)</f>
        <v>9</v>
      </c>
      <c r="J403">
        <f>LEN(F403)</f>
        <v>11</v>
      </c>
      <c r="K403" t="s">
        <v>821</v>
      </c>
      <c r="M403">
        <v>0</v>
      </c>
    </row>
    <row r="404" spans="1:13">
      <c r="A404" t="s">
        <v>3409</v>
      </c>
      <c r="B404" t="s">
        <v>1810</v>
      </c>
      <c r="C404" s="34" t="s">
        <v>535</v>
      </c>
      <c r="F404" t="s">
        <v>535</v>
      </c>
      <c r="H404">
        <v>5</v>
      </c>
      <c r="I404">
        <f>VLOOKUP(B404,BRAND!B:D,3,FALSE)</f>
        <v>9</v>
      </c>
      <c r="J404">
        <v>6</v>
      </c>
      <c r="K404" t="s">
        <v>821</v>
      </c>
      <c r="M404">
        <v>0</v>
      </c>
    </row>
    <row r="405" spans="1:13">
      <c r="A405" t="s">
        <v>4759</v>
      </c>
      <c r="B405" t="s">
        <v>1810</v>
      </c>
      <c r="C405" s="34" t="s">
        <v>1508</v>
      </c>
      <c r="F405" t="s">
        <v>1508</v>
      </c>
      <c r="H405">
        <v>5</v>
      </c>
      <c r="I405">
        <f>VLOOKUP(B405,BRAND!B:D,3,FALSE)</f>
        <v>9</v>
      </c>
      <c r="J405">
        <v>6</v>
      </c>
      <c r="K405" t="s">
        <v>821</v>
      </c>
      <c r="M405">
        <v>0</v>
      </c>
    </row>
    <row r="406" spans="1:13">
      <c r="A406" t="s">
        <v>3410</v>
      </c>
      <c r="B406" t="s">
        <v>1810</v>
      </c>
      <c r="C406" s="34" t="s">
        <v>536</v>
      </c>
      <c r="F406" t="s">
        <v>536</v>
      </c>
      <c r="H406">
        <v>5</v>
      </c>
      <c r="I406">
        <f>VLOOKUP(B406,BRAND!B:D,3,FALSE)</f>
        <v>9</v>
      </c>
      <c r="J406">
        <v>5</v>
      </c>
      <c r="K406" t="s">
        <v>821</v>
      </c>
      <c r="M406">
        <v>0</v>
      </c>
    </row>
    <row r="407" spans="1:13">
      <c r="A407" t="s">
        <v>3166</v>
      </c>
      <c r="B407" t="s">
        <v>1810</v>
      </c>
      <c r="C407" s="34" t="s">
        <v>775</v>
      </c>
      <c r="F407" t="s">
        <v>775</v>
      </c>
      <c r="H407">
        <v>5</v>
      </c>
      <c r="I407">
        <f>VLOOKUP(B407,BRAND!B:D,3,FALSE)</f>
        <v>9</v>
      </c>
      <c r="J407">
        <v>3</v>
      </c>
      <c r="K407" t="s">
        <v>821</v>
      </c>
      <c r="M407">
        <v>0</v>
      </c>
    </row>
    <row r="408" spans="1:13">
      <c r="A408" t="s">
        <v>7529</v>
      </c>
      <c r="B408" t="s">
        <v>7527</v>
      </c>
      <c r="C408" s="34" t="s">
        <v>908</v>
      </c>
      <c r="F408" t="s">
        <v>908</v>
      </c>
      <c r="G408" t="s">
        <v>6932</v>
      </c>
      <c r="H408">
        <v>5</v>
      </c>
      <c r="I408">
        <f>VLOOKUP(B408,BRAND!B:D,3,FALSE)</f>
        <v>5.5</v>
      </c>
      <c r="J408">
        <v>7</v>
      </c>
      <c r="M408">
        <v>1</v>
      </c>
    </row>
    <row r="409" spans="1:13">
      <c r="A409" t="s">
        <v>7526</v>
      </c>
      <c r="B409" t="s">
        <v>7527</v>
      </c>
      <c r="C409" s="34" t="s">
        <v>751</v>
      </c>
      <c r="F409" t="s">
        <v>751</v>
      </c>
      <c r="G409" t="s">
        <v>6932</v>
      </c>
      <c r="H409">
        <v>5</v>
      </c>
      <c r="I409">
        <f>VLOOKUP(B409,BRAND!B:D,3,FALSE)</f>
        <v>5.5</v>
      </c>
      <c r="J409">
        <v>5</v>
      </c>
      <c r="M409">
        <v>1</v>
      </c>
    </row>
    <row r="410" spans="1:13">
      <c r="A410" t="s">
        <v>7528</v>
      </c>
      <c r="B410" t="s">
        <v>7527</v>
      </c>
      <c r="C410" s="34" t="s">
        <v>536</v>
      </c>
      <c r="F410" t="s">
        <v>536</v>
      </c>
      <c r="G410" t="s">
        <v>6932</v>
      </c>
      <c r="H410">
        <v>5</v>
      </c>
      <c r="I410">
        <f>VLOOKUP(B410,BRAND!B:D,3,FALSE)</f>
        <v>5.5</v>
      </c>
      <c r="J410">
        <v>5</v>
      </c>
      <c r="M410">
        <v>1</v>
      </c>
    </row>
    <row r="411" spans="1:13">
      <c r="A411" t="s">
        <v>2001</v>
      </c>
      <c r="B411" t="s">
        <v>832</v>
      </c>
      <c r="C411" s="34" t="s">
        <v>1438</v>
      </c>
      <c r="F411" t="s">
        <v>1438</v>
      </c>
      <c r="H411">
        <v>15</v>
      </c>
      <c r="I411">
        <f>VLOOKUP(B411,BRAND!B:D,3,FALSE)</f>
        <v>9</v>
      </c>
      <c r="J411">
        <v>4</v>
      </c>
      <c r="K411" t="s">
        <v>821</v>
      </c>
      <c r="M411">
        <v>0</v>
      </c>
    </row>
    <row r="412" spans="1:13">
      <c r="A412" t="s">
        <v>14036</v>
      </c>
      <c r="B412" t="s">
        <v>14016</v>
      </c>
      <c r="C412" s="34" t="s">
        <v>14037</v>
      </c>
      <c r="F412" t="s">
        <v>14038</v>
      </c>
      <c r="G412" t="s">
        <v>6932</v>
      </c>
      <c r="H412">
        <v>5</v>
      </c>
      <c r="I412">
        <f>VLOOKUP(B412,BRAND!B:D,3,FALSE)</f>
        <v>0</v>
      </c>
      <c r="J412">
        <f t="shared" ref="J412:J421" si="4">LEN(F412)</f>
        <v>23</v>
      </c>
      <c r="K412" t="s">
        <v>821</v>
      </c>
      <c r="L412">
        <v>0</v>
      </c>
      <c r="M412">
        <v>1</v>
      </c>
    </row>
    <row r="413" spans="1:13">
      <c r="A413" t="s">
        <v>14025</v>
      </c>
      <c r="B413" t="s">
        <v>14016</v>
      </c>
      <c r="C413" s="34" t="s">
        <v>14026</v>
      </c>
      <c r="F413" t="s">
        <v>14026</v>
      </c>
      <c r="G413" t="s">
        <v>6932</v>
      </c>
      <c r="H413">
        <v>5</v>
      </c>
      <c r="I413">
        <f>VLOOKUP(B413,BRAND!B:D,3,FALSE)</f>
        <v>0</v>
      </c>
      <c r="J413">
        <f t="shared" si="4"/>
        <v>18</v>
      </c>
      <c r="K413" t="s">
        <v>821</v>
      </c>
      <c r="L413">
        <v>0</v>
      </c>
      <c r="M413">
        <v>1</v>
      </c>
    </row>
    <row r="414" spans="1:13">
      <c r="A414" t="s">
        <v>14022</v>
      </c>
      <c r="B414" t="s">
        <v>14016</v>
      </c>
      <c r="C414" s="34" t="s">
        <v>14023</v>
      </c>
      <c r="F414" t="s">
        <v>14024</v>
      </c>
      <c r="G414" t="s">
        <v>6932</v>
      </c>
      <c r="H414">
        <v>5</v>
      </c>
      <c r="I414">
        <f>VLOOKUP(B414,BRAND!B:D,3,FALSE)</f>
        <v>0</v>
      </c>
      <c r="J414">
        <f t="shared" si="4"/>
        <v>17</v>
      </c>
      <c r="K414" t="s">
        <v>821</v>
      </c>
      <c r="L414">
        <v>0</v>
      </c>
      <c r="M414">
        <v>1</v>
      </c>
    </row>
    <row r="415" spans="1:13">
      <c r="A415" t="s">
        <v>14015</v>
      </c>
      <c r="B415" t="s">
        <v>14016</v>
      </c>
      <c r="C415" s="34" t="s">
        <v>14017</v>
      </c>
      <c r="F415" t="s">
        <v>14018</v>
      </c>
      <c r="G415" t="s">
        <v>6932</v>
      </c>
      <c r="H415">
        <v>5</v>
      </c>
      <c r="I415">
        <f>VLOOKUP(B415,BRAND!B:D,3,FALSE)</f>
        <v>0</v>
      </c>
      <c r="J415">
        <f t="shared" si="4"/>
        <v>16</v>
      </c>
      <c r="K415" t="s">
        <v>821</v>
      </c>
      <c r="L415">
        <v>0</v>
      </c>
      <c r="M415">
        <v>1</v>
      </c>
    </row>
    <row r="416" spans="1:13">
      <c r="A416" t="s">
        <v>14039</v>
      </c>
      <c r="B416" t="s">
        <v>14016</v>
      </c>
      <c r="C416" s="34" t="s">
        <v>14040</v>
      </c>
      <c r="F416" t="s">
        <v>14041</v>
      </c>
      <c r="G416" t="s">
        <v>6932</v>
      </c>
      <c r="H416">
        <v>5</v>
      </c>
      <c r="I416">
        <f>VLOOKUP(B416,BRAND!B:D,3,FALSE)</f>
        <v>0</v>
      </c>
      <c r="J416">
        <f t="shared" si="4"/>
        <v>15</v>
      </c>
      <c r="K416" t="s">
        <v>821</v>
      </c>
      <c r="L416">
        <v>0</v>
      </c>
      <c r="M416">
        <v>1</v>
      </c>
    </row>
    <row r="417" spans="1:13">
      <c r="A417" t="s">
        <v>14033</v>
      </c>
      <c r="B417" t="s">
        <v>14016</v>
      </c>
      <c r="C417" s="34" t="s">
        <v>14034</v>
      </c>
      <c r="F417" t="s">
        <v>14035</v>
      </c>
      <c r="G417" t="s">
        <v>6932</v>
      </c>
      <c r="H417">
        <v>5</v>
      </c>
      <c r="I417">
        <f>VLOOKUP(B417,BRAND!B:D,3,FALSE)</f>
        <v>0</v>
      </c>
      <c r="J417">
        <f t="shared" si="4"/>
        <v>15</v>
      </c>
      <c r="K417" t="s">
        <v>821</v>
      </c>
      <c r="L417">
        <v>0</v>
      </c>
      <c r="M417">
        <v>1</v>
      </c>
    </row>
    <row r="418" spans="1:13">
      <c r="A418" t="s">
        <v>14019</v>
      </c>
      <c r="B418" t="s">
        <v>14016</v>
      </c>
      <c r="C418" s="34" t="s">
        <v>14020</v>
      </c>
      <c r="F418" t="s">
        <v>14021</v>
      </c>
      <c r="G418" t="s">
        <v>6932</v>
      </c>
      <c r="H418">
        <v>5</v>
      </c>
      <c r="I418">
        <f>VLOOKUP(B418,BRAND!B:D,3,FALSE)</f>
        <v>0</v>
      </c>
      <c r="J418">
        <f t="shared" si="4"/>
        <v>14</v>
      </c>
      <c r="K418" t="s">
        <v>821</v>
      </c>
      <c r="L418">
        <v>0</v>
      </c>
      <c r="M418">
        <v>1</v>
      </c>
    </row>
    <row r="419" spans="1:13">
      <c r="A419" t="s">
        <v>14042</v>
      </c>
      <c r="B419" t="s">
        <v>14016</v>
      </c>
      <c r="C419" s="34" t="s">
        <v>14043</v>
      </c>
      <c r="F419" t="s">
        <v>14044</v>
      </c>
      <c r="G419" t="s">
        <v>6932</v>
      </c>
      <c r="H419">
        <v>5</v>
      </c>
      <c r="I419">
        <f>VLOOKUP(B419,BRAND!B:D,3,FALSE)</f>
        <v>0</v>
      </c>
      <c r="J419">
        <f t="shared" si="4"/>
        <v>13</v>
      </c>
      <c r="K419" t="s">
        <v>821</v>
      </c>
      <c r="L419">
        <v>0</v>
      </c>
      <c r="M419">
        <v>1</v>
      </c>
    </row>
    <row r="420" spans="1:13">
      <c r="A420" t="s">
        <v>14027</v>
      </c>
      <c r="B420" t="s">
        <v>14016</v>
      </c>
      <c r="C420" s="34" t="s">
        <v>14028</v>
      </c>
      <c r="F420" t="s">
        <v>14029</v>
      </c>
      <c r="G420" t="s">
        <v>6932</v>
      </c>
      <c r="H420">
        <v>5</v>
      </c>
      <c r="I420">
        <f>VLOOKUP(B420,BRAND!B:D,3,FALSE)</f>
        <v>0</v>
      </c>
      <c r="J420">
        <f t="shared" si="4"/>
        <v>12</v>
      </c>
      <c r="K420" t="s">
        <v>821</v>
      </c>
      <c r="L420">
        <v>0</v>
      </c>
      <c r="M420">
        <v>1</v>
      </c>
    </row>
    <row r="421" spans="1:13">
      <c r="A421" t="s">
        <v>14030</v>
      </c>
      <c r="B421" t="s">
        <v>14016</v>
      </c>
      <c r="C421" s="34" t="s">
        <v>14031</v>
      </c>
      <c r="F421" t="s">
        <v>14032</v>
      </c>
      <c r="G421" t="s">
        <v>6932</v>
      </c>
      <c r="H421">
        <v>5</v>
      </c>
      <c r="I421">
        <f>VLOOKUP(B421,BRAND!B:D,3,FALSE)</f>
        <v>0</v>
      </c>
      <c r="J421">
        <f t="shared" si="4"/>
        <v>10</v>
      </c>
      <c r="K421" t="s">
        <v>821</v>
      </c>
      <c r="L421">
        <v>0</v>
      </c>
      <c r="M421">
        <v>1</v>
      </c>
    </row>
    <row r="422" spans="1:13">
      <c r="A422" t="s">
        <v>4446</v>
      </c>
      <c r="B422" t="s">
        <v>1145</v>
      </c>
      <c r="C422" s="34" t="s">
        <v>751</v>
      </c>
      <c r="F422" t="s">
        <v>751</v>
      </c>
      <c r="H422">
        <v>5</v>
      </c>
      <c r="I422">
        <f>VLOOKUP(B422,BRAND!B:D,3,FALSE)</f>
        <v>9</v>
      </c>
      <c r="J422">
        <v>5</v>
      </c>
      <c r="K422" t="s">
        <v>821</v>
      </c>
      <c r="M422">
        <v>0</v>
      </c>
    </row>
    <row r="423" spans="1:13">
      <c r="A423" t="s">
        <v>2796</v>
      </c>
      <c r="B423" t="s">
        <v>1145</v>
      </c>
      <c r="C423" s="34" t="s">
        <v>1438</v>
      </c>
      <c r="F423" t="s">
        <v>1438</v>
      </c>
      <c r="H423">
        <v>15</v>
      </c>
      <c r="I423">
        <f>VLOOKUP(B423,BRAND!B:D,3,FALSE)</f>
        <v>9</v>
      </c>
      <c r="J423">
        <v>4</v>
      </c>
      <c r="K423" t="s">
        <v>821</v>
      </c>
      <c r="M423">
        <v>0</v>
      </c>
    </row>
    <row r="424" spans="1:13">
      <c r="A424" t="s">
        <v>14067</v>
      </c>
      <c r="B424" t="s">
        <v>14046</v>
      </c>
      <c r="C424" s="34" t="s">
        <v>14068</v>
      </c>
      <c r="F424" t="s">
        <v>14068</v>
      </c>
      <c r="G424" t="s">
        <v>6932</v>
      </c>
      <c r="H424">
        <v>5</v>
      </c>
      <c r="I424">
        <f>VLOOKUP(B424,BRAND!B:D,3,FALSE)</f>
        <v>0</v>
      </c>
      <c r="J424">
        <f t="shared" ref="J424:J445" si="5">LEN(F424)</f>
        <v>14</v>
      </c>
      <c r="K424" t="s">
        <v>821</v>
      </c>
      <c r="L424">
        <v>0</v>
      </c>
      <c r="M424">
        <v>1</v>
      </c>
    </row>
    <row r="425" spans="1:13">
      <c r="A425" t="s">
        <v>14077</v>
      </c>
      <c r="B425" t="s">
        <v>14046</v>
      </c>
      <c r="C425" s="34" t="s">
        <v>14078</v>
      </c>
      <c r="F425" t="s">
        <v>14078</v>
      </c>
      <c r="G425" t="s">
        <v>6932</v>
      </c>
      <c r="H425">
        <v>5</v>
      </c>
      <c r="I425">
        <f>VLOOKUP(B425,BRAND!B:D,3,FALSE)</f>
        <v>0</v>
      </c>
      <c r="J425">
        <f t="shared" si="5"/>
        <v>13</v>
      </c>
      <c r="K425" t="s">
        <v>821</v>
      </c>
      <c r="L425">
        <v>0</v>
      </c>
      <c r="M425">
        <v>1</v>
      </c>
    </row>
    <row r="426" spans="1:13">
      <c r="A426" t="s">
        <v>14063</v>
      </c>
      <c r="B426" t="s">
        <v>14046</v>
      </c>
      <c r="C426" s="34" t="s">
        <v>14064</v>
      </c>
      <c r="F426" t="s">
        <v>14064</v>
      </c>
      <c r="G426" t="s">
        <v>6932</v>
      </c>
      <c r="H426">
        <v>5</v>
      </c>
      <c r="I426">
        <f>VLOOKUP(B426,BRAND!B:D,3,FALSE)</f>
        <v>0</v>
      </c>
      <c r="J426">
        <f t="shared" si="5"/>
        <v>13</v>
      </c>
      <c r="K426" t="s">
        <v>821</v>
      </c>
      <c r="L426">
        <v>0</v>
      </c>
      <c r="M426">
        <v>1</v>
      </c>
    </row>
    <row r="427" spans="1:13">
      <c r="A427" t="s">
        <v>14075</v>
      </c>
      <c r="B427" t="s">
        <v>14046</v>
      </c>
      <c r="C427" s="34" t="s">
        <v>14076</v>
      </c>
      <c r="F427" t="s">
        <v>14076</v>
      </c>
      <c r="G427" t="s">
        <v>6932</v>
      </c>
      <c r="H427">
        <v>5</v>
      </c>
      <c r="I427">
        <f>VLOOKUP(B427,BRAND!B:D,3,FALSE)</f>
        <v>0</v>
      </c>
      <c r="J427">
        <f t="shared" si="5"/>
        <v>12</v>
      </c>
      <c r="K427" t="s">
        <v>821</v>
      </c>
      <c r="L427">
        <v>0</v>
      </c>
      <c r="M427">
        <v>1</v>
      </c>
    </row>
    <row r="428" spans="1:13">
      <c r="A428" t="s">
        <v>14084</v>
      </c>
      <c r="B428" t="s">
        <v>14046</v>
      </c>
      <c r="C428" s="34" t="s">
        <v>14085</v>
      </c>
      <c r="F428" t="s">
        <v>14085</v>
      </c>
      <c r="G428" t="s">
        <v>6932</v>
      </c>
      <c r="H428">
        <v>5</v>
      </c>
      <c r="I428">
        <f>VLOOKUP(B428,BRAND!B:D,3,FALSE)</f>
        <v>0</v>
      </c>
      <c r="J428">
        <f t="shared" si="5"/>
        <v>11</v>
      </c>
      <c r="K428" t="s">
        <v>821</v>
      </c>
      <c r="L428">
        <v>0</v>
      </c>
      <c r="M428">
        <v>1</v>
      </c>
    </row>
    <row r="429" spans="1:13">
      <c r="A429" t="s">
        <v>14069</v>
      </c>
      <c r="B429" t="s">
        <v>14046</v>
      </c>
      <c r="C429" s="34" t="s">
        <v>14070</v>
      </c>
      <c r="F429" t="s">
        <v>14070</v>
      </c>
      <c r="G429" t="s">
        <v>6932</v>
      </c>
      <c r="H429">
        <v>5</v>
      </c>
      <c r="I429">
        <f>VLOOKUP(B429,BRAND!B:D,3,FALSE)</f>
        <v>0</v>
      </c>
      <c r="J429">
        <f t="shared" si="5"/>
        <v>11</v>
      </c>
      <c r="K429" t="s">
        <v>821</v>
      </c>
      <c r="L429">
        <v>0</v>
      </c>
      <c r="M429">
        <v>1</v>
      </c>
    </row>
    <row r="430" spans="1:13">
      <c r="A430" t="s">
        <v>14061</v>
      </c>
      <c r="B430" t="s">
        <v>14046</v>
      </c>
      <c r="C430" s="34" t="s">
        <v>14062</v>
      </c>
      <c r="F430" t="s">
        <v>14062</v>
      </c>
      <c r="G430" t="s">
        <v>6932</v>
      </c>
      <c r="H430">
        <v>5</v>
      </c>
      <c r="I430">
        <f>VLOOKUP(B430,BRAND!B:D,3,FALSE)</f>
        <v>0</v>
      </c>
      <c r="J430">
        <f t="shared" si="5"/>
        <v>11</v>
      </c>
      <c r="K430" t="s">
        <v>821</v>
      </c>
      <c r="L430">
        <v>0</v>
      </c>
      <c r="M430">
        <v>1</v>
      </c>
    </row>
    <row r="431" spans="1:13">
      <c r="A431" t="s">
        <v>14059</v>
      </c>
      <c r="B431" t="s">
        <v>14046</v>
      </c>
      <c r="C431" s="34" t="s">
        <v>14060</v>
      </c>
      <c r="F431" t="s">
        <v>14060</v>
      </c>
      <c r="G431" t="s">
        <v>6932</v>
      </c>
      <c r="H431">
        <v>5</v>
      </c>
      <c r="I431">
        <f>VLOOKUP(B431,BRAND!B:D,3,FALSE)</f>
        <v>0</v>
      </c>
      <c r="J431">
        <f t="shared" si="5"/>
        <v>11</v>
      </c>
      <c r="K431" t="s">
        <v>821</v>
      </c>
      <c r="L431">
        <v>0</v>
      </c>
      <c r="M431">
        <v>1</v>
      </c>
    </row>
    <row r="432" spans="1:13">
      <c r="A432" t="s">
        <v>14086</v>
      </c>
      <c r="B432" t="s">
        <v>14046</v>
      </c>
      <c r="C432" s="34" t="s">
        <v>14087</v>
      </c>
      <c r="F432" t="s">
        <v>14087</v>
      </c>
      <c r="G432" t="s">
        <v>6932</v>
      </c>
      <c r="H432">
        <v>5</v>
      </c>
      <c r="I432">
        <f>VLOOKUP(B432,BRAND!B:D,3,FALSE)</f>
        <v>0</v>
      </c>
      <c r="J432">
        <f t="shared" si="5"/>
        <v>11</v>
      </c>
      <c r="K432" t="s">
        <v>821</v>
      </c>
      <c r="L432">
        <v>0</v>
      </c>
      <c r="M432">
        <v>1</v>
      </c>
    </row>
    <row r="433" spans="1:13">
      <c r="A433" t="s">
        <v>14073</v>
      </c>
      <c r="B433" t="s">
        <v>14046</v>
      </c>
      <c r="C433" s="34" t="s">
        <v>14074</v>
      </c>
      <c r="F433" t="s">
        <v>14074</v>
      </c>
      <c r="G433" t="s">
        <v>6932</v>
      </c>
      <c r="H433">
        <v>5</v>
      </c>
      <c r="I433">
        <f>VLOOKUP(B433,BRAND!B:D,3,FALSE)</f>
        <v>0</v>
      </c>
      <c r="J433">
        <f t="shared" si="5"/>
        <v>10</v>
      </c>
      <c r="K433" t="s">
        <v>821</v>
      </c>
      <c r="L433">
        <v>0</v>
      </c>
      <c r="M433">
        <v>1</v>
      </c>
    </row>
    <row r="434" spans="1:13">
      <c r="A434" t="s">
        <v>14065</v>
      </c>
      <c r="B434" t="s">
        <v>14046</v>
      </c>
      <c r="C434" s="34" t="s">
        <v>14066</v>
      </c>
      <c r="F434" t="s">
        <v>14066</v>
      </c>
      <c r="G434" t="s">
        <v>6932</v>
      </c>
      <c r="H434">
        <v>5</v>
      </c>
      <c r="I434">
        <f>VLOOKUP(B434,BRAND!B:D,3,FALSE)</f>
        <v>0</v>
      </c>
      <c r="J434">
        <f t="shared" si="5"/>
        <v>10</v>
      </c>
      <c r="K434" t="s">
        <v>821</v>
      </c>
      <c r="L434">
        <v>0</v>
      </c>
      <c r="M434">
        <v>1</v>
      </c>
    </row>
    <row r="435" spans="1:13">
      <c r="A435" t="s">
        <v>14054</v>
      </c>
      <c r="B435" t="s">
        <v>14046</v>
      </c>
      <c r="C435" s="34" t="s">
        <v>14055</v>
      </c>
      <c r="F435" t="s">
        <v>14055</v>
      </c>
      <c r="G435" t="s">
        <v>6932</v>
      </c>
      <c r="H435">
        <v>5</v>
      </c>
      <c r="I435">
        <f>VLOOKUP(B435,BRAND!B:D,3,FALSE)</f>
        <v>0</v>
      </c>
      <c r="J435">
        <f t="shared" si="5"/>
        <v>10</v>
      </c>
      <c r="K435" t="s">
        <v>821</v>
      </c>
      <c r="L435">
        <v>0</v>
      </c>
      <c r="M435">
        <v>1</v>
      </c>
    </row>
    <row r="436" spans="1:13">
      <c r="A436" t="s">
        <v>14081</v>
      </c>
      <c r="B436" t="s">
        <v>14046</v>
      </c>
      <c r="C436" s="34" t="s">
        <v>14082</v>
      </c>
      <c r="F436" t="s">
        <v>14082</v>
      </c>
      <c r="G436" t="s">
        <v>6932</v>
      </c>
      <c r="H436">
        <v>5</v>
      </c>
      <c r="I436">
        <f>VLOOKUP(B436,BRAND!B:D,3,FALSE)</f>
        <v>0</v>
      </c>
      <c r="J436">
        <f t="shared" si="5"/>
        <v>9</v>
      </c>
      <c r="K436" t="s">
        <v>821</v>
      </c>
      <c r="L436">
        <v>0</v>
      </c>
      <c r="M436">
        <v>1</v>
      </c>
    </row>
    <row r="437" spans="1:13">
      <c r="A437" t="s">
        <v>14050</v>
      </c>
      <c r="B437" t="s">
        <v>14046</v>
      </c>
      <c r="C437" s="34" t="s">
        <v>14051</v>
      </c>
      <c r="F437" t="s">
        <v>14051</v>
      </c>
      <c r="G437" t="s">
        <v>6932</v>
      </c>
      <c r="H437">
        <v>5</v>
      </c>
      <c r="I437">
        <f>VLOOKUP(B437,BRAND!B:D,3,FALSE)</f>
        <v>0</v>
      </c>
      <c r="J437">
        <f t="shared" si="5"/>
        <v>9</v>
      </c>
      <c r="K437" t="s">
        <v>821</v>
      </c>
      <c r="L437">
        <v>0</v>
      </c>
      <c r="M437">
        <v>1</v>
      </c>
    </row>
    <row r="438" spans="1:13">
      <c r="A438" t="s">
        <v>14048</v>
      </c>
      <c r="B438" t="s">
        <v>14046</v>
      </c>
      <c r="C438" s="34" t="s">
        <v>14892</v>
      </c>
      <c r="F438" t="s">
        <v>14049</v>
      </c>
      <c r="G438" t="s">
        <v>6932</v>
      </c>
      <c r="H438">
        <v>5</v>
      </c>
      <c r="I438">
        <f>VLOOKUP(B438,BRAND!B:D,3,FALSE)</f>
        <v>0</v>
      </c>
      <c r="J438">
        <f t="shared" si="5"/>
        <v>9</v>
      </c>
      <c r="K438" t="s">
        <v>821</v>
      </c>
      <c r="L438">
        <v>0</v>
      </c>
      <c r="M438">
        <v>1</v>
      </c>
    </row>
    <row r="439" spans="1:13">
      <c r="A439" t="s">
        <v>14079</v>
      </c>
      <c r="B439" t="s">
        <v>14046</v>
      </c>
      <c r="C439" s="34" t="s">
        <v>14080</v>
      </c>
      <c r="F439" t="s">
        <v>14080</v>
      </c>
      <c r="G439" t="s">
        <v>801</v>
      </c>
      <c r="H439">
        <v>5</v>
      </c>
      <c r="I439">
        <f>VLOOKUP(B439,BRAND!B:D,3,FALSE)</f>
        <v>0</v>
      </c>
      <c r="J439">
        <f t="shared" si="5"/>
        <v>9</v>
      </c>
      <c r="K439" t="s">
        <v>821</v>
      </c>
      <c r="L439">
        <v>0</v>
      </c>
      <c r="M439">
        <v>1</v>
      </c>
    </row>
    <row r="440" spans="1:13">
      <c r="A440" t="s">
        <v>14052</v>
      </c>
      <c r="B440" t="s">
        <v>14046</v>
      </c>
      <c r="C440" s="34" t="s">
        <v>14053</v>
      </c>
      <c r="F440" t="s">
        <v>14053</v>
      </c>
      <c r="G440" t="s">
        <v>6932</v>
      </c>
      <c r="H440">
        <v>5</v>
      </c>
      <c r="I440">
        <f>VLOOKUP(B440,BRAND!B:D,3,FALSE)</f>
        <v>0</v>
      </c>
      <c r="J440">
        <f t="shared" si="5"/>
        <v>8</v>
      </c>
      <c r="K440" t="s">
        <v>821</v>
      </c>
      <c r="L440">
        <v>0</v>
      </c>
      <c r="M440">
        <v>1</v>
      </c>
    </row>
    <row r="441" spans="1:13">
      <c r="A441" t="s">
        <v>14071</v>
      </c>
      <c r="B441" t="s">
        <v>14046</v>
      </c>
      <c r="C441" s="34" t="s">
        <v>14072</v>
      </c>
      <c r="F441" t="s">
        <v>14072</v>
      </c>
      <c r="G441" t="s">
        <v>6932</v>
      </c>
      <c r="H441">
        <v>5</v>
      </c>
      <c r="I441">
        <f>VLOOKUP(B441,BRAND!B:D,3,FALSE)</f>
        <v>0</v>
      </c>
      <c r="J441">
        <f t="shared" si="5"/>
        <v>8</v>
      </c>
      <c r="K441" t="s">
        <v>821</v>
      </c>
      <c r="L441">
        <v>0</v>
      </c>
      <c r="M441">
        <v>1</v>
      </c>
    </row>
    <row r="442" spans="1:13">
      <c r="A442" t="s">
        <v>14045</v>
      </c>
      <c r="B442" t="s">
        <v>14046</v>
      </c>
      <c r="C442" s="34" t="s">
        <v>14047</v>
      </c>
      <c r="F442" t="s">
        <v>14047</v>
      </c>
      <c r="G442" t="s">
        <v>6932</v>
      </c>
      <c r="H442">
        <v>5</v>
      </c>
      <c r="I442">
        <f>VLOOKUP(B442,BRAND!B:D,3,FALSE)</f>
        <v>0</v>
      </c>
      <c r="J442">
        <f t="shared" si="5"/>
        <v>7</v>
      </c>
      <c r="K442" t="s">
        <v>821</v>
      </c>
      <c r="L442">
        <v>0</v>
      </c>
      <c r="M442">
        <v>1</v>
      </c>
    </row>
    <row r="443" spans="1:13">
      <c r="A443" t="s">
        <v>14056</v>
      </c>
      <c r="B443" t="s">
        <v>14046</v>
      </c>
      <c r="C443" s="34" t="s">
        <v>14057</v>
      </c>
      <c r="F443" t="s">
        <v>14057</v>
      </c>
      <c r="G443" t="s">
        <v>6932</v>
      </c>
      <c r="H443">
        <v>5</v>
      </c>
      <c r="I443">
        <f>VLOOKUP(B443,BRAND!B:D,3,FALSE)</f>
        <v>0</v>
      </c>
      <c r="J443">
        <f t="shared" si="5"/>
        <v>7</v>
      </c>
      <c r="K443" t="s">
        <v>821</v>
      </c>
      <c r="L443">
        <v>0</v>
      </c>
      <c r="M443">
        <v>1</v>
      </c>
    </row>
    <row r="444" spans="1:13">
      <c r="A444" t="s">
        <v>14058</v>
      </c>
      <c r="B444" t="s">
        <v>14046</v>
      </c>
      <c r="C444" s="34" t="s">
        <v>7015</v>
      </c>
      <c r="F444" t="s">
        <v>7015</v>
      </c>
      <c r="G444" t="s">
        <v>6932</v>
      </c>
      <c r="H444">
        <v>5</v>
      </c>
      <c r="I444">
        <f>VLOOKUP(B444,BRAND!B:D,3,FALSE)</f>
        <v>0</v>
      </c>
      <c r="J444">
        <f t="shared" si="5"/>
        <v>5</v>
      </c>
      <c r="K444" t="s">
        <v>821</v>
      </c>
      <c r="L444">
        <v>0</v>
      </c>
      <c r="M444">
        <v>1</v>
      </c>
    </row>
    <row r="445" spans="1:13">
      <c r="A445" t="s">
        <v>14083</v>
      </c>
      <c r="B445" t="s">
        <v>14046</v>
      </c>
      <c r="C445" s="34" t="s">
        <v>859</v>
      </c>
      <c r="F445" t="s">
        <v>859</v>
      </c>
      <c r="G445" t="s">
        <v>6932</v>
      </c>
      <c r="H445">
        <v>5</v>
      </c>
      <c r="I445">
        <f>VLOOKUP(B445,BRAND!B:D,3,FALSE)</f>
        <v>0</v>
      </c>
      <c r="J445">
        <f t="shared" si="5"/>
        <v>5</v>
      </c>
      <c r="K445" t="s">
        <v>821</v>
      </c>
      <c r="L445">
        <v>0</v>
      </c>
      <c r="M445">
        <v>1</v>
      </c>
    </row>
    <row r="446" spans="1:13">
      <c r="A446" t="s">
        <v>4019</v>
      </c>
      <c r="B446" t="s">
        <v>242</v>
      </c>
      <c r="C446" s="34" t="s">
        <v>535</v>
      </c>
      <c r="F446" t="s">
        <v>535</v>
      </c>
      <c r="H446">
        <v>5</v>
      </c>
      <c r="I446">
        <f>VLOOKUP(B446,BRAND!B:D,3,FALSE)</f>
        <v>9</v>
      </c>
      <c r="J446">
        <v>6</v>
      </c>
      <c r="K446" t="s">
        <v>821</v>
      </c>
      <c r="M446">
        <v>0</v>
      </c>
    </row>
    <row r="447" spans="1:13">
      <c r="A447" t="s">
        <v>4018</v>
      </c>
      <c r="B447" t="s">
        <v>242</v>
      </c>
      <c r="C447" s="34" t="s">
        <v>536</v>
      </c>
      <c r="F447" t="s">
        <v>536</v>
      </c>
      <c r="H447">
        <v>5</v>
      </c>
      <c r="I447">
        <f>VLOOKUP(B447,BRAND!B:D,3,FALSE)</f>
        <v>9</v>
      </c>
      <c r="J447">
        <v>5</v>
      </c>
      <c r="K447" t="s">
        <v>821</v>
      </c>
      <c r="M447">
        <v>1</v>
      </c>
    </row>
    <row r="448" spans="1:13">
      <c r="A448" t="s">
        <v>4020</v>
      </c>
      <c r="B448" t="s">
        <v>242</v>
      </c>
      <c r="C448" s="34" t="s">
        <v>776</v>
      </c>
      <c r="F448" t="s">
        <v>776</v>
      </c>
      <c r="H448">
        <v>5</v>
      </c>
      <c r="I448">
        <f>VLOOKUP(B448,BRAND!B:D,3,FALSE)</f>
        <v>9</v>
      </c>
      <c r="J448">
        <v>5</v>
      </c>
      <c r="K448" t="s">
        <v>821</v>
      </c>
      <c r="M448">
        <v>1</v>
      </c>
    </row>
    <row r="449" spans="1:13">
      <c r="A449" t="s">
        <v>4017</v>
      </c>
      <c r="B449" t="s">
        <v>242</v>
      </c>
      <c r="C449" s="34" t="s">
        <v>561</v>
      </c>
      <c r="F449" t="s">
        <v>561</v>
      </c>
      <c r="H449">
        <v>5</v>
      </c>
      <c r="I449">
        <f>VLOOKUP(B449,BRAND!B:D,3,FALSE)</f>
        <v>9</v>
      </c>
      <c r="J449">
        <v>3</v>
      </c>
      <c r="K449" t="s">
        <v>821</v>
      </c>
      <c r="M449">
        <v>1</v>
      </c>
    </row>
    <row r="450" spans="1:13">
      <c r="A450" t="s">
        <v>3441</v>
      </c>
      <c r="B450" t="s">
        <v>242</v>
      </c>
      <c r="C450" s="34" t="s">
        <v>775</v>
      </c>
      <c r="F450" t="s">
        <v>775</v>
      </c>
      <c r="H450">
        <v>5</v>
      </c>
      <c r="I450">
        <f>VLOOKUP(B450,BRAND!B:D,3,FALSE)</f>
        <v>9</v>
      </c>
      <c r="J450">
        <v>3</v>
      </c>
      <c r="K450" t="s">
        <v>821</v>
      </c>
      <c r="M450">
        <v>1</v>
      </c>
    </row>
    <row r="451" spans="1:13">
      <c r="A451" t="s">
        <v>2478</v>
      </c>
      <c r="B451" t="s">
        <v>242</v>
      </c>
      <c r="C451" s="34" t="s">
        <v>1438</v>
      </c>
      <c r="F451" t="s">
        <v>1438</v>
      </c>
      <c r="H451">
        <v>15</v>
      </c>
      <c r="I451">
        <f>VLOOKUP(B451,BRAND!B:D,3,FALSE)</f>
        <v>9</v>
      </c>
      <c r="J451">
        <v>4</v>
      </c>
      <c r="K451" t="s">
        <v>821</v>
      </c>
      <c r="M451">
        <v>0</v>
      </c>
    </row>
    <row r="452" spans="1:13">
      <c r="A452" t="s">
        <v>4108</v>
      </c>
      <c r="B452" t="s">
        <v>11</v>
      </c>
      <c r="C452" s="34" t="s">
        <v>561</v>
      </c>
      <c r="F452" t="s">
        <v>561</v>
      </c>
      <c r="H452">
        <v>5</v>
      </c>
      <c r="I452">
        <f>VLOOKUP(B452,BRAND!B:D,3,FALSE)</f>
        <v>9</v>
      </c>
      <c r="J452">
        <v>3</v>
      </c>
      <c r="K452" t="s">
        <v>821</v>
      </c>
      <c r="M452">
        <v>0</v>
      </c>
    </row>
    <row r="453" spans="1:13">
      <c r="A453" t="s">
        <v>2117</v>
      </c>
      <c r="B453" t="s">
        <v>11</v>
      </c>
      <c r="C453" s="34" t="s">
        <v>1438</v>
      </c>
      <c r="F453" t="s">
        <v>1438</v>
      </c>
      <c r="H453">
        <v>15</v>
      </c>
      <c r="I453">
        <f>VLOOKUP(B453,BRAND!B:D,3,FALSE)</f>
        <v>9</v>
      </c>
      <c r="J453">
        <v>4</v>
      </c>
      <c r="K453" t="s">
        <v>821</v>
      </c>
      <c r="M453">
        <v>1</v>
      </c>
    </row>
    <row r="454" spans="1:13">
      <c r="A454" t="s">
        <v>3018</v>
      </c>
      <c r="B454" t="s">
        <v>12</v>
      </c>
      <c r="C454" s="34" t="s">
        <v>561</v>
      </c>
      <c r="F454" t="s">
        <v>561</v>
      </c>
      <c r="H454">
        <v>5</v>
      </c>
      <c r="I454">
        <f>VLOOKUP(B454,BRAND!B:D,3,FALSE)</f>
        <v>9</v>
      </c>
      <c r="J454">
        <v>3</v>
      </c>
      <c r="K454" t="s">
        <v>821</v>
      </c>
      <c r="M454">
        <v>1</v>
      </c>
    </row>
    <row r="455" spans="1:13">
      <c r="A455" t="s">
        <v>2118</v>
      </c>
      <c r="B455" t="s">
        <v>12</v>
      </c>
      <c r="C455" s="34" t="s">
        <v>1438</v>
      </c>
      <c r="F455" t="s">
        <v>1438</v>
      </c>
      <c r="H455">
        <v>15</v>
      </c>
      <c r="I455">
        <f>VLOOKUP(B455,BRAND!B:D,3,FALSE)</f>
        <v>9</v>
      </c>
      <c r="J455">
        <v>4</v>
      </c>
      <c r="K455" t="s">
        <v>821</v>
      </c>
      <c r="M455">
        <v>0</v>
      </c>
    </row>
    <row r="456" spans="1:13">
      <c r="A456" t="s">
        <v>3624</v>
      </c>
      <c r="B456" t="s">
        <v>13</v>
      </c>
      <c r="C456" s="34" t="s">
        <v>776</v>
      </c>
      <c r="F456" t="s">
        <v>776</v>
      </c>
      <c r="H456">
        <v>5</v>
      </c>
      <c r="I456">
        <f>VLOOKUP(B456,BRAND!B:D,3,FALSE)</f>
        <v>9</v>
      </c>
      <c r="J456">
        <v>5</v>
      </c>
      <c r="K456" t="s">
        <v>821</v>
      </c>
      <c r="M456">
        <v>1</v>
      </c>
    </row>
    <row r="457" spans="1:13">
      <c r="A457" t="s">
        <v>4950</v>
      </c>
      <c r="B457" t="s">
        <v>1092</v>
      </c>
      <c r="C457" s="34" t="s">
        <v>1438</v>
      </c>
      <c r="F457" t="s">
        <v>1438</v>
      </c>
      <c r="G457" t="s">
        <v>801</v>
      </c>
      <c r="H457">
        <v>6</v>
      </c>
      <c r="I457">
        <f>VLOOKUP(B457,BRAND!B:D,3,FALSE)</f>
        <v>9</v>
      </c>
      <c r="J457">
        <v>4</v>
      </c>
      <c r="K457" t="s">
        <v>821</v>
      </c>
      <c r="M457">
        <v>0</v>
      </c>
    </row>
    <row r="458" spans="1:13">
      <c r="A458" t="s">
        <v>2495</v>
      </c>
      <c r="B458" t="s">
        <v>1092</v>
      </c>
      <c r="C458" s="34" t="s">
        <v>1438</v>
      </c>
      <c r="F458" t="s">
        <v>1438</v>
      </c>
      <c r="H458">
        <v>15</v>
      </c>
      <c r="I458">
        <f>VLOOKUP(B458,BRAND!B:D,3,FALSE)</f>
        <v>9</v>
      </c>
      <c r="J458">
        <v>4</v>
      </c>
      <c r="K458" t="s">
        <v>821</v>
      </c>
      <c r="M458">
        <v>0</v>
      </c>
    </row>
    <row r="459" spans="1:13">
      <c r="A459" t="s">
        <v>10463</v>
      </c>
      <c r="B459" t="s">
        <v>10388</v>
      </c>
      <c r="C459" s="34" t="s">
        <v>1459</v>
      </c>
      <c r="F459" t="s">
        <v>1459</v>
      </c>
      <c r="G459" t="s">
        <v>6932</v>
      </c>
      <c r="H459">
        <v>5</v>
      </c>
      <c r="I459">
        <f>VLOOKUP(B459,BRAND!B:D,3,FALSE)</f>
        <v>5.5</v>
      </c>
      <c r="J459">
        <f t="shared" ref="J459:J464" si="6">LEN(F459)</f>
        <v>9</v>
      </c>
      <c r="L459">
        <v>0</v>
      </c>
    </row>
    <row r="460" spans="1:13">
      <c r="A460" t="s">
        <v>10465</v>
      </c>
      <c r="B460" t="s">
        <v>10388</v>
      </c>
      <c r="C460" s="34" t="s">
        <v>10398</v>
      </c>
      <c r="F460" t="s">
        <v>10398</v>
      </c>
      <c r="G460" t="s">
        <v>6932</v>
      </c>
      <c r="H460">
        <v>5</v>
      </c>
      <c r="I460">
        <f>VLOOKUP(B460,BRAND!B:D,3,FALSE)</f>
        <v>5.5</v>
      </c>
      <c r="J460">
        <f t="shared" si="6"/>
        <v>7</v>
      </c>
      <c r="L460">
        <v>0</v>
      </c>
    </row>
    <row r="461" spans="1:13">
      <c r="A461" t="s">
        <v>10464</v>
      </c>
      <c r="B461" t="s">
        <v>10388</v>
      </c>
      <c r="C461" s="34" t="s">
        <v>5190</v>
      </c>
      <c r="F461" t="s">
        <v>5190</v>
      </c>
      <c r="G461" t="s">
        <v>6932</v>
      </c>
      <c r="H461">
        <v>5</v>
      </c>
      <c r="I461">
        <f>VLOOKUP(B461,BRAND!B:D,3,FALSE)</f>
        <v>5.5</v>
      </c>
      <c r="J461">
        <f t="shared" si="6"/>
        <v>5</v>
      </c>
      <c r="L461">
        <v>0</v>
      </c>
    </row>
    <row r="462" spans="1:13">
      <c r="A462" t="s">
        <v>4432</v>
      </c>
      <c r="B462" t="s">
        <v>243</v>
      </c>
      <c r="C462" s="34" t="s">
        <v>1965</v>
      </c>
      <c r="F462" t="s">
        <v>1965</v>
      </c>
      <c r="H462">
        <v>5</v>
      </c>
      <c r="I462">
        <f>VLOOKUP(B462,BRAND!B:D,3,FALSE)</f>
        <v>3</v>
      </c>
      <c r="J462">
        <f t="shared" si="6"/>
        <v>10</v>
      </c>
      <c r="K462" t="s">
        <v>821</v>
      </c>
      <c r="M462">
        <v>0</v>
      </c>
    </row>
    <row r="463" spans="1:13">
      <c r="A463" t="s">
        <v>4375</v>
      </c>
      <c r="B463" t="s">
        <v>243</v>
      </c>
      <c r="C463" s="34" t="s">
        <v>794</v>
      </c>
      <c r="F463" t="s">
        <v>794</v>
      </c>
      <c r="H463">
        <v>5</v>
      </c>
      <c r="I463">
        <f>VLOOKUP(B463,BRAND!B:D,3,FALSE)</f>
        <v>3</v>
      </c>
      <c r="J463">
        <f t="shared" si="6"/>
        <v>10</v>
      </c>
      <c r="K463" t="s">
        <v>821</v>
      </c>
      <c r="M463">
        <v>0</v>
      </c>
    </row>
    <row r="464" spans="1:13">
      <c r="A464" t="s">
        <v>3972</v>
      </c>
      <c r="B464" t="s">
        <v>243</v>
      </c>
      <c r="C464" s="34" t="s">
        <v>5232</v>
      </c>
      <c r="F464" t="s">
        <v>5232</v>
      </c>
      <c r="H464">
        <v>5</v>
      </c>
      <c r="I464">
        <f>VLOOKUP(B464,BRAND!B:D,3,FALSE)</f>
        <v>3</v>
      </c>
      <c r="J464">
        <f t="shared" si="6"/>
        <v>10</v>
      </c>
      <c r="K464" t="s">
        <v>821</v>
      </c>
      <c r="M464">
        <v>1</v>
      </c>
    </row>
    <row r="465" spans="1:13">
      <c r="A465" t="s">
        <v>2957</v>
      </c>
      <c r="B465" t="s">
        <v>243</v>
      </c>
      <c r="C465" s="34" t="s">
        <v>842</v>
      </c>
      <c r="F465" t="s">
        <v>842</v>
      </c>
      <c r="H465">
        <v>5</v>
      </c>
      <c r="I465">
        <f>VLOOKUP(B465,BRAND!B:D,3,FALSE)</f>
        <v>3</v>
      </c>
      <c r="J465">
        <v>5</v>
      </c>
      <c r="K465" t="s">
        <v>821</v>
      </c>
      <c r="M465">
        <v>0</v>
      </c>
    </row>
    <row r="466" spans="1:13">
      <c r="A466" t="s">
        <v>2607</v>
      </c>
      <c r="B466" t="s">
        <v>243</v>
      </c>
      <c r="C466" s="34" t="s">
        <v>879</v>
      </c>
      <c r="F466" t="s">
        <v>879</v>
      </c>
      <c r="H466">
        <v>5</v>
      </c>
      <c r="I466">
        <f>VLOOKUP(B466,BRAND!B:D,3,FALSE)</f>
        <v>3</v>
      </c>
      <c r="J466">
        <v>5</v>
      </c>
      <c r="K466" t="s">
        <v>821</v>
      </c>
      <c r="M466">
        <v>1</v>
      </c>
    </row>
    <row r="467" spans="1:13">
      <c r="A467" t="s">
        <v>3608</v>
      </c>
      <c r="B467" t="s">
        <v>243</v>
      </c>
      <c r="C467" s="34" t="s">
        <v>778</v>
      </c>
      <c r="F467" t="s">
        <v>778</v>
      </c>
      <c r="H467">
        <v>5</v>
      </c>
      <c r="I467">
        <f>VLOOKUP(B467,BRAND!B:D,3,FALSE)</f>
        <v>3</v>
      </c>
      <c r="J467">
        <v>4</v>
      </c>
      <c r="K467" t="s">
        <v>821</v>
      </c>
      <c r="M467">
        <v>1</v>
      </c>
    </row>
    <row r="468" spans="1:13">
      <c r="A468" t="s">
        <v>3973</v>
      </c>
      <c r="B468" t="s">
        <v>243</v>
      </c>
      <c r="C468" s="34" t="s">
        <v>775</v>
      </c>
      <c r="F468" t="s">
        <v>775</v>
      </c>
      <c r="H468">
        <v>5</v>
      </c>
      <c r="I468">
        <f>VLOOKUP(B468,BRAND!B:D,3,FALSE)</f>
        <v>3</v>
      </c>
      <c r="J468">
        <v>3</v>
      </c>
      <c r="K468" t="s">
        <v>821</v>
      </c>
      <c r="M468">
        <v>1</v>
      </c>
    </row>
    <row r="469" spans="1:13">
      <c r="A469" t="s">
        <v>9567</v>
      </c>
      <c r="B469" t="s">
        <v>357</v>
      </c>
      <c r="C469" s="34" t="s">
        <v>772</v>
      </c>
      <c r="F469" t="s">
        <v>772</v>
      </c>
      <c r="G469" t="s">
        <v>6932</v>
      </c>
      <c r="H469">
        <v>5</v>
      </c>
      <c r="I469">
        <f>VLOOKUP(B469,BRAND!B:D,3,FALSE)</f>
        <v>3</v>
      </c>
      <c r="J469">
        <v>6</v>
      </c>
      <c r="M469">
        <v>1</v>
      </c>
    </row>
    <row r="470" spans="1:13">
      <c r="A470" t="s">
        <v>3722</v>
      </c>
      <c r="B470" t="s">
        <v>357</v>
      </c>
      <c r="C470" s="34" t="s">
        <v>781</v>
      </c>
      <c r="F470" t="s">
        <v>781</v>
      </c>
      <c r="H470">
        <v>5</v>
      </c>
      <c r="I470">
        <f>VLOOKUP(B470,BRAND!B:D,3,FALSE)</f>
        <v>3</v>
      </c>
      <c r="J470">
        <v>4</v>
      </c>
      <c r="K470" t="s">
        <v>821</v>
      </c>
      <c r="M470">
        <v>1</v>
      </c>
    </row>
    <row r="471" spans="1:13">
      <c r="A471" t="s">
        <v>9568</v>
      </c>
      <c r="B471" t="s">
        <v>357</v>
      </c>
      <c r="C471" s="34" t="s">
        <v>788</v>
      </c>
      <c r="F471" t="s">
        <v>788</v>
      </c>
      <c r="G471" t="s">
        <v>6932</v>
      </c>
      <c r="H471">
        <v>5</v>
      </c>
      <c r="I471">
        <f>VLOOKUP(B471,BRAND!B:D,3,FALSE)</f>
        <v>3</v>
      </c>
      <c r="J471">
        <v>4</v>
      </c>
      <c r="M471">
        <v>1</v>
      </c>
    </row>
    <row r="472" spans="1:13">
      <c r="A472" t="s">
        <v>2085</v>
      </c>
      <c r="B472" t="s">
        <v>357</v>
      </c>
      <c r="C472" s="34" t="s">
        <v>792</v>
      </c>
      <c r="F472" t="s">
        <v>792</v>
      </c>
      <c r="H472">
        <v>5</v>
      </c>
      <c r="I472">
        <f>VLOOKUP(B472,BRAND!B:D,3,FALSE)</f>
        <v>3</v>
      </c>
      <c r="J472">
        <v>4</v>
      </c>
      <c r="K472" t="s">
        <v>821</v>
      </c>
      <c r="M472">
        <v>1</v>
      </c>
    </row>
    <row r="473" spans="1:13">
      <c r="A473" t="s">
        <v>3707</v>
      </c>
      <c r="B473" t="s">
        <v>357</v>
      </c>
      <c r="C473" s="34" t="s">
        <v>775</v>
      </c>
      <c r="F473" t="s">
        <v>775</v>
      </c>
      <c r="H473">
        <v>5</v>
      </c>
      <c r="I473">
        <f>VLOOKUP(B473,BRAND!B:D,3,FALSE)</f>
        <v>3</v>
      </c>
      <c r="J473">
        <v>3</v>
      </c>
      <c r="K473" t="s">
        <v>821</v>
      </c>
      <c r="M473">
        <v>0</v>
      </c>
    </row>
    <row r="474" spans="1:13">
      <c r="A474" t="s">
        <v>2400</v>
      </c>
      <c r="B474" t="s">
        <v>14</v>
      </c>
      <c r="C474" s="34" t="s">
        <v>534</v>
      </c>
      <c r="F474" t="s">
        <v>534</v>
      </c>
      <c r="H474">
        <v>5</v>
      </c>
      <c r="I474">
        <f>VLOOKUP(B474,BRAND!B:D,3,FALSE)</f>
        <v>9</v>
      </c>
      <c r="J474">
        <v>6</v>
      </c>
      <c r="K474" t="s">
        <v>821</v>
      </c>
      <c r="M474">
        <v>0</v>
      </c>
    </row>
    <row r="475" spans="1:13">
      <c r="A475" t="s">
        <v>2221</v>
      </c>
      <c r="B475" t="s">
        <v>14</v>
      </c>
      <c r="C475" s="34" t="s">
        <v>1438</v>
      </c>
      <c r="F475" t="s">
        <v>1438</v>
      </c>
      <c r="H475">
        <v>15</v>
      </c>
      <c r="I475">
        <f>VLOOKUP(B475,BRAND!B:D,3,FALSE)</f>
        <v>9</v>
      </c>
      <c r="J475">
        <v>4</v>
      </c>
      <c r="K475" t="s">
        <v>821</v>
      </c>
      <c r="M475">
        <v>1</v>
      </c>
    </row>
    <row r="476" spans="1:13">
      <c r="A476" t="s">
        <v>4188</v>
      </c>
      <c r="B476" t="s">
        <v>392</v>
      </c>
      <c r="C476" s="34" t="s">
        <v>840</v>
      </c>
      <c r="F476" t="s">
        <v>840</v>
      </c>
      <c r="H476">
        <v>5</v>
      </c>
      <c r="I476">
        <f>VLOOKUP(B476,BRAND!B:D,3,FALSE)</f>
        <v>9</v>
      </c>
      <c r="J476">
        <v>9</v>
      </c>
      <c r="K476" t="s">
        <v>821</v>
      </c>
      <c r="M476">
        <v>1</v>
      </c>
    </row>
    <row r="477" spans="1:13">
      <c r="A477" t="s">
        <v>4462</v>
      </c>
      <c r="B477" t="s">
        <v>392</v>
      </c>
      <c r="C477" s="34" t="s">
        <v>1489</v>
      </c>
      <c r="F477" t="s">
        <v>1489</v>
      </c>
      <c r="H477">
        <v>5</v>
      </c>
      <c r="I477">
        <f>VLOOKUP(B477,BRAND!B:D,3,FALSE)</f>
        <v>9</v>
      </c>
      <c r="J477">
        <v>7</v>
      </c>
      <c r="K477" t="s">
        <v>821</v>
      </c>
      <c r="M477">
        <v>0</v>
      </c>
    </row>
    <row r="478" spans="1:13">
      <c r="A478" t="s">
        <v>2138</v>
      </c>
      <c r="B478" t="s">
        <v>392</v>
      </c>
      <c r="C478" s="34" t="s">
        <v>1438</v>
      </c>
      <c r="F478" t="s">
        <v>1438</v>
      </c>
      <c r="H478">
        <v>15</v>
      </c>
      <c r="I478">
        <f>VLOOKUP(B478,BRAND!B:D,3,FALSE)</f>
        <v>9</v>
      </c>
      <c r="J478">
        <v>4</v>
      </c>
      <c r="K478" t="s">
        <v>821</v>
      </c>
      <c r="M478">
        <v>0</v>
      </c>
    </row>
    <row r="479" spans="1:13">
      <c r="A479" t="s">
        <v>2475</v>
      </c>
      <c r="B479" t="s">
        <v>1091</v>
      </c>
      <c r="C479" s="34" t="s">
        <v>772</v>
      </c>
      <c r="F479" t="s">
        <v>772</v>
      </c>
      <c r="H479">
        <v>5</v>
      </c>
      <c r="I479">
        <f>VLOOKUP(B479,BRAND!B:D,3,FALSE)</f>
        <v>9</v>
      </c>
      <c r="J479">
        <v>6</v>
      </c>
      <c r="K479" t="s">
        <v>821</v>
      </c>
      <c r="M479">
        <v>0</v>
      </c>
    </row>
    <row r="480" spans="1:13">
      <c r="A480" t="s">
        <v>2473</v>
      </c>
      <c r="B480" t="s">
        <v>1091</v>
      </c>
      <c r="C480" s="34" t="s">
        <v>534</v>
      </c>
      <c r="F480" t="s">
        <v>534</v>
      </c>
      <c r="H480">
        <v>5</v>
      </c>
      <c r="I480">
        <f>VLOOKUP(B480,BRAND!B:D,3,FALSE)</f>
        <v>9</v>
      </c>
      <c r="J480">
        <v>6</v>
      </c>
      <c r="K480" t="s">
        <v>821</v>
      </c>
      <c r="M480">
        <v>0</v>
      </c>
    </row>
    <row r="481" spans="1:13">
      <c r="A481" t="s">
        <v>2474</v>
      </c>
      <c r="B481" t="s">
        <v>1091</v>
      </c>
      <c r="C481" s="34" t="s">
        <v>775</v>
      </c>
      <c r="F481" t="s">
        <v>775</v>
      </c>
      <c r="H481">
        <v>5</v>
      </c>
      <c r="I481">
        <f>VLOOKUP(B481,BRAND!B:D,3,FALSE)</f>
        <v>9</v>
      </c>
      <c r="J481">
        <v>3</v>
      </c>
      <c r="K481" t="s">
        <v>821</v>
      </c>
      <c r="M481">
        <v>0</v>
      </c>
    </row>
    <row r="482" spans="1:13">
      <c r="A482" t="s">
        <v>4936</v>
      </c>
      <c r="B482" t="s">
        <v>1091</v>
      </c>
      <c r="C482" s="34" t="s">
        <v>1438</v>
      </c>
      <c r="F482" t="s">
        <v>1438</v>
      </c>
      <c r="G482" t="s">
        <v>801</v>
      </c>
      <c r="H482">
        <v>6</v>
      </c>
      <c r="I482">
        <f>VLOOKUP(B482,BRAND!B:D,3,FALSE)</f>
        <v>9</v>
      </c>
      <c r="J482">
        <v>4</v>
      </c>
      <c r="K482" t="s">
        <v>821</v>
      </c>
      <c r="M482">
        <v>0</v>
      </c>
    </row>
    <row r="483" spans="1:13">
      <c r="A483" t="s">
        <v>2268</v>
      </c>
      <c r="B483" t="s">
        <v>1021</v>
      </c>
      <c r="C483" s="34" t="s">
        <v>776</v>
      </c>
      <c r="F483" t="s">
        <v>776</v>
      </c>
      <c r="H483">
        <v>5</v>
      </c>
      <c r="I483">
        <f>VLOOKUP(B483,BRAND!B:D,3,FALSE)</f>
        <v>3</v>
      </c>
      <c r="J483">
        <v>5</v>
      </c>
      <c r="K483" t="s">
        <v>821</v>
      </c>
      <c r="M483">
        <v>0</v>
      </c>
    </row>
    <row r="484" spans="1:13">
      <c r="A484" t="s">
        <v>2269</v>
      </c>
      <c r="B484" t="s">
        <v>1021</v>
      </c>
      <c r="C484" s="34" t="s">
        <v>897</v>
      </c>
      <c r="F484" t="s">
        <v>897</v>
      </c>
      <c r="H484">
        <v>5</v>
      </c>
      <c r="I484">
        <f>VLOOKUP(B484,BRAND!B:D,3,FALSE)</f>
        <v>3</v>
      </c>
      <c r="J484">
        <v>4</v>
      </c>
      <c r="K484" t="s">
        <v>821</v>
      </c>
      <c r="M484">
        <v>0</v>
      </c>
    </row>
    <row r="485" spans="1:13">
      <c r="A485" t="s">
        <v>2270</v>
      </c>
      <c r="B485" t="s">
        <v>1021</v>
      </c>
      <c r="C485" s="34" t="s">
        <v>775</v>
      </c>
      <c r="F485" t="s">
        <v>775</v>
      </c>
      <c r="H485">
        <v>5</v>
      </c>
      <c r="I485">
        <f>VLOOKUP(B485,BRAND!B:D,3,FALSE)</f>
        <v>3</v>
      </c>
      <c r="J485">
        <v>3</v>
      </c>
      <c r="K485" t="s">
        <v>821</v>
      </c>
      <c r="M485">
        <v>0</v>
      </c>
    </row>
    <row r="486" spans="1:13">
      <c r="A486" t="s">
        <v>3872</v>
      </c>
      <c r="B486" t="s">
        <v>855</v>
      </c>
      <c r="C486" s="34" t="s">
        <v>855</v>
      </c>
      <c r="F486" t="s">
        <v>855</v>
      </c>
      <c r="H486">
        <v>4</v>
      </c>
      <c r="I486">
        <f>VLOOKUP(B486,BRAND!B:D,3,FALSE)</f>
        <v>5.5</v>
      </c>
      <c r="J486">
        <f>LEN(F486)</f>
        <v>11</v>
      </c>
      <c r="K486" t="e">
        <v>#N/A</v>
      </c>
      <c r="M486">
        <v>0</v>
      </c>
    </row>
    <row r="487" spans="1:13">
      <c r="A487" t="s">
        <v>3085</v>
      </c>
      <c r="B487" t="s">
        <v>855</v>
      </c>
      <c r="C487" s="34" t="s">
        <v>787</v>
      </c>
      <c r="F487" t="s">
        <v>787</v>
      </c>
      <c r="H487">
        <v>5</v>
      </c>
      <c r="I487">
        <f>VLOOKUP(B487,BRAND!B:D,3,FALSE)</f>
        <v>5.5</v>
      </c>
      <c r="J487">
        <v>6</v>
      </c>
      <c r="K487" t="e">
        <v>#N/A</v>
      </c>
      <c r="M487">
        <v>0</v>
      </c>
    </row>
    <row r="488" spans="1:13">
      <c r="A488" t="s">
        <v>2519</v>
      </c>
      <c r="B488" t="s">
        <v>855</v>
      </c>
      <c r="C488" s="34" t="s">
        <v>763</v>
      </c>
      <c r="F488" t="s">
        <v>763</v>
      </c>
      <c r="H488">
        <v>5</v>
      </c>
      <c r="I488">
        <f>VLOOKUP(B488,BRAND!B:D,3,FALSE)</f>
        <v>5.5</v>
      </c>
      <c r="J488">
        <v>5</v>
      </c>
      <c r="K488" t="e">
        <v>#N/A</v>
      </c>
      <c r="M488">
        <v>0</v>
      </c>
    </row>
    <row r="489" spans="1:13">
      <c r="A489" t="s">
        <v>2328</v>
      </c>
      <c r="B489" t="s">
        <v>855</v>
      </c>
      <c r="C489" s="34" t="s">
        <v>913</v>
      </c>
      <c r="F489" t="s">
        <v>913</v>
      </c>
      <c r="H489">
        <v>5</v>
      </c>
      <c r="I489">
        <f>VLOOKUP(B489,BRAND!B:D,3,FALSE)</f>
        <v>5.5</v>
      </c>
      <c r="J489">
        <v>5</v>
      </c>
      <c r="K489" t="e">
        <v>#N/A</v>
      </c>
      <c r="M489">
        <v>0</v>
      </c>
    </row>
    <row r="490" spans="1:13">
      <c r="A490" t="s">
        <v>3331</v>
      </c>
      <c r="B490" t="s">
        <v>855</v>
      </c>
      <c r="C490" s="34" t="s">
        <v>988</v>
      </c>
      <c r="F490" t="s">
        <v>988</v>
      </c>
      <c r="H490">
        <v>5</v>
      </c>
      <c r="I490">
        <f>VLOOKUP(B490,BRAND!B:D,3,FALSE)</f>
        <v>5.5</v>
      </c>
      <c r="J490">
        <v>4</v>
      </c>
      <c r="K490" t="e">
        <v>#N/A</v>
      </c>
      <c r="M490">
        <v>0</v>
      </c>
    </row>
    <row r="491" spans="1:13">
      <c r="A491" t="s">
        <v>7532</v>
      </c>
      <c r="B491" t="s">
        <v>7533</v>
      </c>
      <c r="C491" s="34" t="s">
        <v>1438</v>
      </c>
      <c r="F491" t="s">
        <v>1438</v>
      </c>
      <c r="G491" t="s">
        <v>6932</v>
      </c>
      <c r="H491">
        <v>5</v>
      </c>
      <c r="I491">
        <f>VLOOKUP(B491,BRAND!B:D,3,FALSE)</f>
        <v>5.5</v>
      </c>
      <c r="J491">
        <v>4</v>
      </c>
      <c r="M491">
        <v>1</v>
      </c>
    </row>
    <row r="492" spans="1:13">
      <c r="A492" t="s">
        <v>3022</v>
      </c>
      <c r="B492" t="s">
        <v>358</v>
      </c>
      <c r="C492" s="34" t="s">
        <v>763</v>
      </c>
      <c r="F492" t="s">
        <v>763</v>
      </c>
      <c r="H492">
        <v>5</v>
      </c>
      <c r="I492">
        <f>VLOOKUP(B492,BRAND!B:D,3,FALSE)</f>
        <v>9</v>
      </c>
      <c r="J492">
        <v>5</v>
      </c>
      <c r="K492" t="s">
        <v>821</v>
      </c>
      <c r="M492">
        <v>0</v>
      </c>
    </row>
    <row r="493" spans="1:13">
      <c r="A493" t="s">
        <v>3843</v>
      </c>
      <c r="B493" t="s">
        <v>358</v>
      </c>
      <c r="C493" s="34" t="s">
        <v>881</v>
      </c>
      <c r="F493" t="s">
        <v>881</v>
      </c>
      <c r="H493">
        <v>5</v>
      </c>
      <c r="I493">
        <f>VLOOKUP(B493,BRAND!B:D,3,FALSE)</f>
        <v>9</v>
      </c>
      <c r="J493">
        <v>5</v>
      </c>
      <c r="K493" t="s">
        <v>821</v>
      </c>
      <c r="M493">
        <v>1</v>
      </c>
    </row>
    <row r="494" spans="1:13">
      <c r="A494" t="s">
        <v>2754</v>
      </c>
      <c r="B494" t="s">
        <v>358</v>
      </c>
      <c r="C494" s="34" t="s">
        <v>1438</v>
      </c>
      <c r="F494" t="s">
        <v>1438</v>
      </c>
      <c r="H494">
        <v>15</v>
      </c>
      <c r="I494">
        <f>VLOOKUP(B494,BRAND!B:D,3,FALSE)</f>
        <v>9</v>
      </c>
      <c r="J494">
        <v>4</v>
      </c>
      <c r="K494" t="s">
        <v>821</v>
      </c>
      <c r="M494">
        <v>1</v>
      </c>
    </row>
    <row r="495" spans="1:13">
      <c r="A495" t="s">
        <v>7534</v>
      </c>
      <c r="B495" t="s">
        <v>7535</v>
      </c>
      <c r="C495" s="34" t="s">
        <v>1438</v>
      </c>
      <c r="F495" t="s">
        <v>1438</v>
      </c>
      <c r="G495" t="s">
        <v>6932</v>
      </c>
      <c r="H495">
        <v>5</v>
      </c>
      <c r="I495">
        <f>VLOOKUP(B495,BRAND!B:D,3,FALSE)</f>
        <v>5.5</v>
      </c>
      <c r="J495">
        <v>4</v>
      </c>
      <c r="M495">
        <v>1</v>
      </c>
    </row>
    <row r="496" spans="1:13">
      <c r="A496" t="s">
        <v>7536</v>
      </c>
      <c r="B496" t="s">
        <v>7537</v>
      </c>
      <c r="C496" s="34" t="s">
        <v>1438</v>
      </c>
      <c r="F496" t="s">
        <v>1438</v>
      </c>
      <c r="G496" t="s">
        <v>6932</v>
      </c>
      <c r="H496">
        <v>5</v>
      </c>
      <c r="I496">
        <f>VLOOKUP(B496,BRAND!B:D,3,FALSE)</f>
        <v>5.5</v>
      </c>
      <c r="J496">
        <v>4</v>
      </c>
      <c r="M496">
        <v>1</v>
      </c>
    </row>
    <row r="497" spans="1:13">
      <c r="A497" t="s">
        <v>7538</v>
      </c>
      <c r="B497" t="s">
        <v>7539</v>
      </c>
      <c r="C497" s="34" t="s">
        <v>1438</v>
      </c>
      <c r="F497" t="s">
        <v>1438</v>
      </c>
      <c r="G497" t="s">
        <v>6932</v>
      </c>
      <c r="H497">
        <v>5</v>
      </c>
      <c r="I497">
        <f>VLOOKUP(B497,BRAND!B:D,3,FALSE)</f>
        <v>5.5</v>
      </c>
      <c r="J497">
        <v>4</v>
      </c>
      <c r="M497">
        <v>1</v>
      </c>
    </row>
    <row r="498" spans="1:13">
      <c r="A498" t="s">
        <v>2874</v>
      </c>
      <c r="B498" t="s">
        <v>1011</v>
      </c>
      <c r="C498" s="34" t="s">
        <v>772</v>
      </c>
      <c r="F498" t="s">
        <v>772</v>
      </c>
      <c r="H498">
        <v>5</v>
      </c>
      <c r="I498">
        <f>VLOOKUP(B498,BRAND!B:D,3,FALSE)</f>
        <v>9</v>
      </c>
      <c r="J498">
        <v>6</v>
      </c>
      <c r="K498" t="s">
        <v>821</v>
      </c>
      <c r="M498">
        <v>0</v>
      </c>
    </row>
    <row r="499" spans="1:13">
      <c r="A499" t="s">
        <v>2875</v>
      </c>
      <c r="B499" t="s">
        <v>1011</v>
      </c>
      <c r="C499" s="34" t="s">
        <v>534</v>
      </c>
      <c r="F499" t="s">
        <v>534</v>
      </c>
      <c r="H499">
        <v>5</v>
      </c>
      <c r="I499">
        <f>VLOOKUP(B499,BRAND!B:D,3,FALSE)</f>
        <v>9</v>
      </c>
      <c r="J499">
        <v>6</v>
      </c>
      <c r="K499" t="s">
        <v>821</v>
      </c>
      <c r="M499">
        <v>1</v>
      </c>
    </row>
    <row r="500" spans="1:13">
      <c r="A500" t="s">
        <v>2873</v>
      </c>
      <c r="B500" t="s">
        <v>1011</v>
      </c>
      <c r="C500" s="34" t="s">
        <v>536</v>
      </c>
      <c r="F500" t="s">
        <v>536</v>
      </c>
      <c r="H500">
        <v>5</v>
      </c>
      <c r="I500">
        <f>VLOOKUP(B500,BRAND!B:D,3,FALSE)</f>
        <v>9</v>
      </c>
      <c r="J500">
        <v>5</v>
      </c>
      <c r="K500" t="s">
        <v>821</v>
      </c>
      <c r="M500">
        <v>0</v>
      </c>
    </row>
    <row r="501" spans="1:13">
      <c r="A501" t="s">
        <v>2876</v>
      </c>
      <c r="B501" t="s">
        <v>1011</v>
      </c>
      <c r="C501" s="34" t="s">
        <v>1438</v>
      </c>
      <c r="F501" t="s">
        <v>1438</v>
      </c>
      <c r="H501">
        <v>15</v>
      </c>
      <c r="I501">
        <f>VLOOKUP(B501,BRAND!B:D,3,FALSE)</f>
        <v>9</v>
      </c>
      <c r="J501">
        <v>4</v>
      </c>
      <c r="K501" t="s">
        <v>821</v>
      </c>
      <c r="M501">
        <v>0</v>
      </c>
    </row>
    <row r="502" spans="1:13">
      <c r="A502" t="s">
        <v>3943</v>
      </c>
      <c r="B502" t="s">
        <v>460</v>
      </c>
      <c r="C502" s="34" t="s">
        <v>10044</v>
      </c>
      <c r="F502" t="s">
        <v>933</v>
      </c>
      <c r="H502">
        <v>5</v>
      </c>
      <c r="I502">
        <f>VLOOKUP(B502,BRAND!B:D,3,FALSE)</f>
        <v>9</v>
      </c>
      <c r="J502">
        <v>8</v>
      </c>
      <c r="K502" t="s">
        <v>821</v>
      </c>
      <c r="M502">
        <v>1</v>
      </c>
    </row>
    <row r="503" spans="1:13">
      <c r="A503" t="s">
        <v>4180</v>
      </c>
      <c r="B503" t="s">
        <v>1872</v>
      </c>
      <c r="C503" s="34" t="s">
        <v>534</v>
      </c>
      <c r="F503" t="s">
        <v>534</v>
      </c>
      <c r="H503">
        <v>5</v>
      </c>
      <c r="I503">
        <f>VLOOKUP(B503,BRAND!B:D,3,FALSE)</f>
        <v>9</v>
      </c>
      <c r="J503">
        <v>6</v>
      </c>
      <c r="K503" t="s">
        <v>821</v>
      </c>
      <c r="M503">
        <v>0</v>
      </c>
    </row>
    <row r="504" spans="1:13">
      <c r="A504" t="s">
        <v>4571</v>
      </c>
      <c r="B504" t="s">
        <v>1872</v>
      </c>
      <c r="C504" s="34" t="s">
        <v>773</v>
      </c>
      <c r="F504" t="s">
        <v>773</v>
      </c>
      <c r="H504">
        <v>5</v>
      </c>
      <c r="I504">
        <f>VLOOKUP(B504,BRAND!B:D,3,FALSE)</f>
        <v>9</v>
      </c>
      <c r="J504">
        <v>4</v>
      </c>
      <c r="K504" t="s">
        <v>821</v>
      </c>
      <c r="M504">
        <v>0</v>
      </c>
    </row>
    <row r="505" spans="1:13">
      <c r="A505" t="s">
        <v>2598</v>
      </c>
      <c r="B505" t="s">
        <v>1219</v>
      </c>
      <c r="C505" s="34" t="s">
        <v>1438</v>
      </c>
      <c r="F505" t="s">
        <v>1438</v>
      </c>
      <c r="H505">
        <v>15</v>
      </c>
      <c r="I505">
        <f>VLOOKUP(B505,BRAND!B:D,3,FALSE)</f>
        <v>9</v>
      </c>
      <c r="J505">
        <v>4</v>
      </c>
      <c r="K505" t="s">
        <v>821</v>
      </c>
      <c r="M505">
        <v>0</v>
      </c>
    </row>
    <row r="506" spans="1:13">
      <c r="A506" t="s">
        <v>7540</v>
      </c>
      <c r="B506" t="s">
        <v>902</v>
      </c>
      <c r="C506" s="34" t="s">
        <v>1438</v>
      </c>
      <c r="F506" t="s">
        <v>1438</v>
      </c>
      <c r="G506" t="s">
        <v>6932</v>
      </c>
      <c r="H506">
        <v>5</v>
      </c>
      <c r="I506">
        <f>VLOOKUP(B506,BRAND!B:D,3,FALSE)</f>
        <v>5.5</v>
      </c>
      <c r="J506">
        <v>4</v>
      </c>
      <c r="M506">
        <v>1</v>
      </c>
    </row>
    <row r="507" spans="1:13">
      <c r="A507" t="s">
        <v>7545</v>
      </c>
      <c r="B507" t="s">
        <v>7542</v>
      </c>
      <c r="C507" s="34" t="s">
        <v>902</v>
      </c>
      <c r="F507" t="s">
        <v>902</v>
      </c>
      <c r="G507" t="s">
        <v>6932</v>
      </c>
      <c r="H507">
        <v>5</v>
      </c>
      <c r="I507">
        <f>VLOOKUP(B507,BRAND!B:D,3,FALSE)</f>
        <v>5.5</v>
      </c>
      <c r="J507">
        <v>9</v>
      </c>
      <c r="M507">
        <v>1</v>
      </c>
    </row>
    <row r="508" spans="1:13">
      <c r="A508" t="s">
        <v>7547</v>
      </c>
      <c r="B508" t="s">
        <v>7542</v>
      </c>
      <c r="C508" s="34" t="s">
        <v>7548</v>
      </c>
      <c r="F508" t="s">
        <v>7548</v>
      </c>
      <c r="G508" t="s">
        <v>6932</v>
      </c>
      <c r="H508">
        <v>5</v>
      </c>
      <c r="I508">
        <f>VLOOKUP(B508,BRAND!B:D,3,FALSE)</f>
        <v>5.5</v>
      </c>
      <c r="J508">
        <v>7</v>
      </c>
      <c r="M508">
        <v>1</v>
      </c>
    </row>
    <row r="509" spans="1:13">
      <c r="A509" t="s">
        <v>7541</v>
      </c>
      <c r="B509" t="s">
        <v>7542</v>
      </c>
      <c r="C509" s="34" t="s">
        <v>901</v>
      </c>
      <c r="F509" t="s">
        <v>901</v>
      </c>
      <c r="G509" t="s">
        <v>6932</v>
      </c>
      <c r="H509">
        <v>5</v>
      </c>
      <c r="I509">
        <f>VLOOKUP(B509,BRAND!B:D,3,FALSE)</f>
        <v>5.5</v>
      </c>
      <c r="J509">
        <v>6</v>
      </c>
      <c r="M509">
        <v>1</v>
      </c>
    </row>
    <row r="510" spans="1:13">
      <c r="A510" t="s">
        <v>7543</v>
      </c>
      <c r="B510" t="s">
        <v>7542</v>
      </c>
      <c r="C510" s="34" t="s">
        <v>7544</v>
      </c>
      <c r="F510" t="s">
        <v>7544</v>
      </c>
      <c r="G510" t="s">
        <v>6932</v>
      </c>
      <c r="H510">
        <v>5</v>
      </c>
      <c r="I510">
        <f>VLOOKUP(B510,BRAND!B:D,3,FALSE)</f>
        <v>5.5</v>
      </c>
      <c r="J510">
        <v>5</v>
      </c>
      <c r="M510">
        <v>1</v>
      </c>
    </row>
    <row r="511" spans="1:13">
      <c r="A511" t="s">
        <v>7546</v>
      </c>
      <c r="B511" t="s">
        <v>7542</v>
      </c>
      <c r="C511" s="34" t="s">
        <v>561</v>
      </c>
      <c r="F511" t="s">
        <v>561</v>
      </c>
      <c r="G511" t="s">
        <v>6932</v>
      </c>
      <c r="H511">
        <v>5</v>
      </c>
      <c r="I511">
        <f>VLOOKUP(B511,BRAND!B:D,3,FALSE)</f>
        <v>5.5</v>
      </c>
      <c r="J511">
        <v>3</v>
      </c>
      <c r="M511">
        <v>1</v>
      </c>
    </row>
    <row r="512" spans="1:13">
      <c r="A512" t="s">
        <v>3797</v>
      </c>
      <c r="B512" t="s">
        <v>359</v>
      </c>
      <c r="C512" s="34" t="s">
        <v>777</v>
      </c>
      <c r="F512" t="s">
        <v>777</v>
      </c>
      <c r="H512">
        <v>5</v>
      </c>
      <c r="I512">
        <f>VLOOKUP(B512,BRAND!B:D,3,FALSE)</f>
        <v>9</v>
      </c>
      <c r="J512">
        <v>7</v>
      </c>
      <c r="K512" t="s">
        <v>821</v>
      </c>
      <c r="M512">
        <v>1</v>
      </c>
    </row>
    <row r="513" spans="1:13">
      <c r="A513" t="s">
        <v>3832</v>
      </c>
      <c r="B513" t="s">
        <v>359</v>
      </c>
      <c r="C513" s="34" t="s">
        <v>534</v>
      </c>
      <c r="F513" t="s">
        <v>534</v>
      </c>
      <c r="H513">
        <v>5</v>
      </c>
      <c r="I513">
        <f>VLOOKUP(B513,BRAND!B:D,3,FALSE)</f>
        <v>9</v>
      </c>
      <c r="J513">
        <v>6</v>
      </c>
      <c r="K513" t="s">
        <v>821</v>
      </c>
      <c r="M513">
        <v>1</v>
      </c>
    </row>
    <row r="514" spans="1:13">
      <c r="A514" t="s">
        <v>2502</v>
      </c>
      <c r="B514" t="s">
        <v>359</v>
      </c>
      <c r="C514" s="34" t="s">
        <v>536</v>
      </c>
      <c r="F514" t="s">
        <v>536</v>
      </c>
      <c r="H514">
        <v>5</v>
      </c>
      <c r="I514">
        <f>VLOOKUP(B514,BRAND!B:D,3,FALSE)</f>
        <v>9</v>
      </c>
      <c r="J514">
        <v>5</v>
      </c>
      <c r="K514" t="s">
        <v>821</v>
      </c>
      <c r="M514">
        <v>0</v>
      </c>
    </row>
    <row r="515" spans="1:13">
      <c r="A515" t="s">
        <v>2954</v>
      </c>
      <c r="B515" t="s">
        <v>359</v>
      </c>
      <c r="C515" s="34" t="s">
        <v>842</v>
      </c>
      <c r="F515" t="s">
        <v>842</v>
      </c>
      <c r="H515">
        <v>5</v>
      </c>
      <c r="I515">
        <f>VLOOKUP(B515,BRAND!B:D,3,FALSE)</f>
        <v>9</v>
      </c>
      <c r="J515">
        <v>5</v>
      </c>
      <c r="K515" t="s">
        <v>821</v>
      </c>
      <c r="M515">
        <v>1</v>
      </c>
    </row>
    <row r="516" spans="1:13">
      <c r="A516" t="s">
        <v>7549</v>
      </c>
      <c r="B516" t="s">
        <v>359</v>
      </c>
      <c r="C516" s="34" t="s">
        <v>6500</v>
      </c>
      <c r="F516" t="s">
        <v>6500</v>
      </c>
      <c r="G516" t="s">
        <v>6932</v>
      </c>
      <c r="H516">
        <v>5</v>
      </c>
      <c r="I516">
        <f>VLOOKUP(B516,BRAND!B:D,3,FALSE)</f>
        <v>9</v>
      </c>
      <c r="J516">
        <v>5</v>
      </c>
      <c r="M516">
        <v>1</v>
      </c>
    </row>
    <row r="517" spans="1:13">
      <c r="A517" t="s">
        <v>3798</v>
      </c>
      <c r="B517" t="s">
        <v>359</v>
      </c>
      <c r="C517" s="34" t="s">
        <v>791</v>
      </c>
      <c r="F517" t="s">
        <v>791</v>
      </c>
      <c r="H517">
        <v>5</v>
      </c>
      <c r="I517">
        <f>VLOOKUP(B517,BRAND!B:D,3,FALSE)</f>
        <v>9</v>
      </c>
      <c r="J517">
        <v>5</v>
      </c>
      <c r="K517" t="s">
        <v>821</v>
      </c>
      <c r="M517">
        <v>1</v>
      </c>
    </row>
    <row r="518" spans="1:13">
      <c r="A518" t="s">
        <v>2503</v>
      </c>
      <c r="B518" t="s">
        <v>359</v>
      </c>
      <c r="C518" s="34" t="s">
        <v>776</v>
      </c>
      <c r="F518" t="s">
        <v>776</v>
      </c>
      <c r="H518">
        <v>5</v>
      </c>
      <c r="I518">
        <f>VLOOKUP(B518,BRAND!B:D,3,FALSE)</f>
        <v>9</v>
      </c>
      <c r="J518">
        <v>5</v>
      </c>
      <c r="K518" t="s">
        <v>821</v>
      </c>
      <c r="M518">
        <v>1</v>
      </c>
    </row>
    <row r="519" spans="1:13">
      <c r="A519" t="s">
        <v>7550</v>
      </c>
      <c r="B519" t="s">
        <v>359</v>
      </c>
      <c r="C519" s="34" t="s">
        <v>788</v>
      </c>
      <c r="F519" t="s">
        <v>788</v>
      </c>
      <c r="G519" t="s">
        <v>6932</v>
      </c>
      <c r="H519">
        <v>5</v>
      </c>
      <c r="I519">
        <f>VLOOKUP(B519,BRAND!B:D,3,FALSE)</f>
        <v>9</v>
      </c>
      <c r="J519">
        <v>4</v>
      </c>
      <c r="M519">
        <v>1</v>
      </c>
    </row>
    <row r="520" spans="1:13">
      <c r="A520" t="s">
        <v>3833</v>
      </c>
      <c r="B520" s="26" t="s">
        <v>359</v>
      </c>
      <c r="C520" s="34" t="s">
        <v>561</v>
      </c>
      <c r="F520" t="s">
        <v>561</v>
      </c>
      <c r="H520">
        <v>5</v>
      </c>
      <c r="I520">
        <f>VLOOKUP(B520,BRAND!B:D,3,FALSE)</f>
        <v>9</v>
      </c>
      <c r="J520">
        <v>3</v>
      </c>
      <c r="K520" t="s">
        <v>821</v>
      </c>
      <c r="M520">
        <v>1</v>
      </c>
    </row>
    <row r="521" spans="1:13">
      <c r="A521" t="s">
        <v>2505</v>
      </c>
      <c r="B521" t="s">
        <v>359</v>
      </c>
      <c r="C521" s="34" t="s">
        <v>1438</v>
      </c>
      <c r="F521" t="s">
        <v>1438</v>
      </c>
      <c r="H521">
        <v>15</v>
      </c>
      <c r="I521">
        <f>VLOOKUP(B521,BRAND!B:D,3,FALSE)</f>
        <v>9</v>
      </c>
      <c r="J521">
        <v>4</v>
      </c>
      <c r="K521" t="s">
        <v>821</v>
      </c>
      <c r="M521">
        <v>0</v>
      </c>
    </row>
    <row r="522" spans="1:13">
      <c r="A522" t="s">
        <v>3864</v>
      </c>
      <c r="B522" t="s">
        <v>1797</v>
      </c>
      <c r="C522" s="34" t="s">
        <v>534</v>
      </c>
      <c r="F522" t="s">
        <v>534</v>
      </c>
      <c r="H522">
        <v>5</v>
      </c>
      <c r="I522">
        <f>VLOOKUP(B522,BRAND!B:D,3,FALSE)</f>
        <v>9</v>
      </c>
      <c r="J522">
        <v>6</v>
      </c>
      <c r="K522" t="s">
        <v>821</v>
      </c>
      <c r="M522">
        <v>0</v>
      </c>
    </row>
    <row r="523" spans="1:13">
      <c r="A523" t="s">
        <v>3865</v>
      </c>
      <c r="B523" t="s">
        <v>1797</v>
      </c>
      <c r="C523" s="34" t="s">
        <v>536</v>
      </c>
      <c r="F523" t="s">
        <v>536</v>
      </c>
      <c r="H523">
        <v>5</v>
      </c>
      <c r="I523">
        <f>VLOOKUP(B523,BRAND!B:D,3,FALSE)</f>
        <v>9</v>
      </c>
      <c r="J523">
        <v>5</v>
      </c>
      <c r="K523" t="s">
        <v>821</v>
      </c>
      <c r="M523">
        <v>0</v>
      </c>
    </row>
    <row r="524" spans="1:13">
      <c r="A524" t="s">
        <v>12258</v>
      </c>
      <c r="B524" t="s">
        <v>15</v>
      </c>
      <c r="C524" s="34" t="s">
        <v>897</v>
      </c>
      <c r="F524" t="s">
        <v>897</v>
      </c>
      <c r="H524">
        <v>4</v>
      </c>
    </row>
    <row r="525" spans="1:13">
      <c r="A525" t="s">
        <v>13677</v>
      </c>
      <c r="B525" t="s">
        <v>15</v>
      </c>
      <c r="C525" s="34" t="s">
        <v>961</v>
      </c>
      <c r="F525" t="s">
        <v>961</v>
      </c>
      <c r="G525" t="s">
        <v>6932</v>
      </c>
      <c r="H525">
        <v>5</v>
      </c>
      <c r="I525">
        <f>VLOOKUP(B525,BRAND!B:D,3,FALSE)</f>
        <v>5</v>
      </c>
      <c r="J525">
        <f>LEN(F525)</f>
        <v>12</v>
      </c>
      <c r="K525" t="s">
        <v>821</v>
      </c>
      <c r="L525">
        <v>0</v>
      </c>
      <c r="M525">
        <v>1</v>
      </c>
    </row>
    <row r="526" spans="1:13">
      <c r="A526" t="s">
        <v>3792</v>
      </c>
      <c r="B526" t="s">
        <v>15</v>
      </c>
      <c r="C526" s="34" t="s">
        <v>5374</v>
      </c>
      <c r="F526" t="s">
        <v>777</v>
      </c>
      <c r="H526">
        <v>5</v>
      </c>
      <c r="I526">
        <f>VLOOKUP(B526,BRAND!B:D,3,FALSE)</f>
        <v>5</v>
      </c>
      <c r="J526">
        <v>7</v>
      </c>
      <c r="K526" t="s">
        <v>821</v>
      </c>
      <c r="M526">
        <v>1</v>
      </c>
    </row>
    <row r="527" spans="1:13">
      <c r="A527" t="s">
        <v>7551</v>
      </c>
      <c r="B527" t="s">
        <v>15</v>
      </c>
      <c r="C527" s="34" t="s">
        <v>7377</v>
      </c>
      <c r="F527" t="s">
        <v>7377</v>
      </c>
      <c r="G527" t="s">
        <v>6932</v>
      </c>
      <c r="H527">
        <v>5</v>
      </c>
      <c r="I527">
        <f>VLOOKUP(B527,BRAND!B:D,3,FALSE)</f>
        <v>5</v>
      </c>
      <c r="J527">
        <v>3</v>
      </c>
      <c r="M527">
        <v>1</v>
      </c>
    </row>
    <row r="528" spans="1:13">
      <c r="A528" t="s">
        <v>5257</v>
      </c>
      <c r="B528" t="s">
        <v>15</v>
      </c>
      <c r="C528" s="34" t="s">
        <v>561</v>
      </c>
      <c r="H528">
        <v>5</v>
      </c>
      <c r="I528">
        <f>VLOOKUP(B528,BRAND!B:D,3,FALSE)</f>
        <v>5</v>
      </c>
      <c r="J528">
        <v>0</v>
      </c>
      <c r="K528" t="s">
        <v>821</v>
      </c>
      <c r="M528">
        <v>0</v>
      </c>
    </row>
    <row r="529" spans="1:13">
      <c r="A529" t="s">
        <v>5256</v>
      </c>
      <c r="B529" t="s">
        <v>15</v>
      </c>
      <c r="C529" s="34" t="s">
        <v>742</v>
      </c>
      <c r="H529">
        <v>5</v>
      </c>
      <c r="I529">
        <f>VLOOKUP(B529,BRAND!B:D,3,FALSE)</f>
        <v>5</v>
      </c>
      <c r="J529">
        <v>0</v>
      </c>
      <c r="K529" t="s">
        <v>821</v>
      </c>
      <c r="M529">
        <v>0</v>
      </c>
    </row>
    <row r="530" spans="1:13">
      <c r="A530" t="s">
        <v>10739</v>
      </c>
      <c r="B530" t="s">
        <v>15</v>
      </c>
      <c r="C530" s="34" t="s">
        <v>897</v>
      </c>
      <c r="F530" t="s">
        <v>897</v>
      </c>
      <c r="G530" t="s">
        <v>801</v>
      </c>
      <c r="H530">
        <v>5</v>
      </c>
    </row>
    <row r="531" spans="1:13">
      <c r="A531" t="s">
        <v>10740</v>
      </c>
      <c r="B531" t="s">
        <v>15</v>
      </c>
      <c r="C531" s="34" t="s">
        <v>898</v>
      </c>
      <c r="F531" t="s">
        <v>898</v>
      </c>
      <c r="G531" t="s">
        <v>801</v>
      </c>
      <c r="H531">
        <v>5</v>
      </c>
    </row>
    <row r="532" spans="1:13">
      <c r="A532" t="s">
        <v>10741</v>
      </c>
      <c r="B532" t="s">
        <v>15</v>
      </c>
      <c r="C532" s="34" t="s">
        <v>1513</v>
      </c>
      <c r="F532" t="s">
        <v>1513</v>
      </c>
      <c r="G532" t="s">
        <v>801</v>
      </c>
      <c r="H532">
        <v>5</v>
      </c>
    </row>
    <row r="533" spans="1:13">
      <c r="A533" t="str">
        <f>B533&amp;" | "&amp;F533&amp;" | "&amp;G533</f>
        <v>BAVARIA | WHITE | ZERO</v>
      </c>
      <c r="B533" t="s">
        <v>15</v>
      </c>
      <c r="C533" t="s">
        <v>776</v>
      </c>
      <c r="F533" t="s">
        <v>776</v>
      </c>
      <c r="G533" t="s">
        <v>801</v>
      </c>
      <c r="H533">
        <v>5</v>
      </c>
    </row>
    <row r="534" spans="1:13">
      <c r="A534" t="s">
        <v>12252</v>
      </c>
      <c r="B534" t="s">
        <v>15</v>
      </c>
      <c r="C534" s="34" t="s">
        <v>5374</v>
      </c>
      <c r="F534" t="s">
        <v>6924</v>
      </c>
      <c r="G534" t="s">
        <v>6932</v>
      </c>
      <c r="H534">
        <v>5</v>
      </c>
    </row>
    <row r="535" spans="1:13">
      <c r="A535" t="s">
        <v>12253</v>
      </c>
      <c r="B535" t="s">
        <v>15</v>
      </c>
      <c r="C535" s="34" t="s">
        <v>11171</v>
      </c>
      <c r="F535" t="s">
        <v>11171</v>
      </c>
      <c r="G535" t="s">
        <v>6932</v>
      </c>
      <c r="H535">
        <v>5</v>
      </c>
    </row>
    <row r="536" spans="1:13">
      <c r="A536" t="s">
        <v>12254</v>
      </c>
      <c r="B536" t="s">
        <v>15</v>
      </c>
      <c r="C536" s="34" t="s">
        <v>776</v>
      </c>
      <c r="F536" t="s">
        <v>776</v>
      </c>
      <c r="G536" t="s">
        <v>801</v>
      </c>
      <c r="H536">
        <v>5</v>
      </c>
    </row>
    <row r="537" spans="1:13">
      <c r="A537" t="s">
        <v>12255</v>
      </c>
      <c r="B537" t="s">
        <v>15</v>
      </c>
      <c r="C537" s="34" t="s">
        <v>561</v>
      </c>
      <c r="F537" t="s">
        <v>561</v>
      </c>
      <c r="G537" t="s">
        <v>801</v>
      </c>
      <c r="H537">
        <v>5</v>
      </c>
    </row>
    <row r="538" spans="1:13">
      <c r="A538" t="s">
        <v>12256</v>
      </c>
      <c r="B538" t="s">
        <v>15</v>
      </c>
      <c r="C538" s="34" t="s">
        <v>742</v>
      </c>
      <c r="F538" t="s">
        <v>742</v>
      </c>
      <c r="G538" t="s">
        <v>6932</v>
      </c>
      <c r="H538">
        <v>5</v>
      </c>
    </row>
    <row r="539" spans="1:13">
      <c r="A539" t="s">
        <v>12257</v>
      </c>
      <c r="B539" t="s">
        <v>15</v>
      </c>
      <c r="C539" s="34" t="s">
        <v>5374</v>
      </c>
      <c r="F539" t="s">
        <v>777</v>
      </c>
      <c r="G539" t="s">
        <v>801</v>
      </c>
      <c r="H539">
        <v>5</v>
      </c>
    </row>
    <row r="540" spans="1:13">
      <c r="A540" t="s">
        <v>12259</v>
      </c>
      <c r="B540" t="s">
        <v>15</v>
      </c>
      <c r="C540" s="34" t="s">
        <v>6492</v>
      </c>
      <c r="F540" t="s">
        <v>777</v>
      </c>
      <c r="G540" t="s">
        <v>6932</v>
      </c>
      <c r="H540">
        <v>5</v>
      </c>
    </row>
    <row r="541" spans="1:13">
      <c r="A541" t="s">
        <v>12260</v>
      </c>
      <c r="B541" t="s">
        <v>15</v>
      </c>
      <c r="C541" s="34" t="s">
        <v>795</v>
      </c>
      <c r="F541" t="s">
        <v>795</v>
      </c>
      <c r="G541" t="s">
        <v>6932</v>
      </c>
      <c r="H541">
        <v>5</v>
      </c>
    </row>
    <row r="542" spans="1:13">
      <c r="A542" t="s">
        <v>5003</v>
      </c>
      <c r="B542" t="s">
        <v>15</v>
      </c>
      <c r="C542" s="34" t="s">
        <v>742</v>
      </c>
      <c r="F542" t="s">
        <v>742</v>
      </c>
      <c r="G542" t="s">
        <v>801</v>
      </c>
      <c r="H542">
        <v>6</v>
      </c>
      <c r="I542">
        <f>VLOOKUP(B542,BRAND!B:D,3,FALSE)</f>
        <v>5</v>
      </c>
      <c r="J542">
        <v>6</v>
      </c>
      <c r="K542" t="s">
        <v>821</v>
      </c>
      <c r="M542">
        <v>1</v>
      </c>
    </row>
    <row r="543" spans="1:13">
      <c r="A543" t="s">
        <v>4992</v>
      </c>
      <c r="B543" t="s">
        <v>15</v>
      </c>
      <c r="C543" s="34" t="s">
        <v>776</v>
      </c>
      <c r="F543" t="s">
        <v>776</v>
      </c>
      <c r="G543" t="s">
        <v>801</v>
      </c>
      <c r="H543">
        <v>6</v>
      </c>
      <c r="I543">
        <f>VLOOKUP(B543,BRAND!B:D,3,FALSE)</f>
        <v>5</v>
      </c>
      <c r="J543">
        <v>5</v>
      </c>
      <c r="K543" t="s">
        <v>821</v>
      </c>
      <c r="M543">
        <v>0</v>
      </c>
    </row>
    <row r="544" spans="1:13">
      <c r="A544" t="s">
        <v>13623</v>
      </c>
      <c r="B544" t="s">
        <v>15</v>
      </c>
      <c r="C544" s="34" t="s">
        <v>5374</v>
      </c>
      <c r="F544" t="s">
        <v>1438</v>
      </c>
      <c r="G544" t="s">
        <v>801</v>
      </c>
      <c r="H544">
        <v>6</v>
      </c>
      <c r="I544">
        <f>VLOOKUP(B544,BRAND!B:D,3,FALSE)</f>
        <v>5</v>
      </c>
      <c r="J544">
        <v>4</v>
      </c>
      <c r="K544" t="s">
        <v>821</v>
      </c>
      <c r="M544">
        <v>1</v>
      </c>
    </row>
    <row r="545" spans="1:13">
      <c r="A545" t="s">
        <v>5004</v>
      </c>
      <c r="B545" t="s">
        <v>15</v>
      </c>
      <c r="C545" s="34" t="s">
        <v>561</v>
      </c>
      <c r="F545" t="s">
        <v>561</v>
      </c>
      <c r="G545" t="s">
        <v>801</v>
      </c>
      <c r="H545">
        <v>6</v>
      </c>
      <c r="I545">
        <f>VLOOKUP(B545,BRAND!B:D,3,FALSE)</f>
        <v>5</v>
      </c>
      <c r="J545">
        <v>3</v>
      </c>
      <c r="K545" t="s">
        <v>821</v>
      </c>
      <c r="M545">
        <v>0</v>
      </c>
    </row>
    <row r="546" spans="1:13">
      <c r="A546" t="s">
        <v>6509</v>
      </c>
      <c r="B546" t="s">
        <v>244</v>
      </c>
      <c r="C546" s="34" t="s">
        <v>5374</v>
      </c>
      <c r="F546" t="s">
        <v>777</v>
      </c>
      <c r="H546">
        <v>3</v>
      </c>
      <c r="I546">
        <f>VLOOKUP(B546,BRAND!B:D,3,FALSE)</f>
        <v>5.5</v>
      </c>
      <c r="J546">
        <v>7</v>
      </c>
      <c r="K546" t="e">
        <v>#N/A</v>
      </c>
      <c r="M546">
        <v>0</v>
      </c>
    </row>
    <row r="547" spans="1:13">
      <c r="A547" t="s">
        <v>7552</v>
      </c>
      <c r="B547" t="s">
        <v>244</v>
      </c>
      <c r="C547" s="34" t="s">
        <v>766</v>
      </c>
      <c r="F547" t="s">
        <v>766</v>
      </c>
      <c r="G547" t="s">
        <v>6932</v>
      </c>
      <c r="H547">
        <v>5</v>
      </c>
      <c r="I547">
        <f>VLOOKUP(B547,BRAND!B:D,3,FALSE)</f>
        <v>5.5</v>
      </c>
      <c r="J547">
        <v>6</v>
      </c>
      <c r="M547">
        <v>1</v>
      </c>
    </row>
    <row r="548" spans="1:13">
      <c r="A548" t="s">
        <v>6510</v>
      </c>
      <c r="B548" t="s">
        <v>244</v>
      </c>
      <c r="C548" s="34" t="s">
        <v>776</v>
      </c>
      <c r="F548" t="s">
        <v>776</v>
      </c>
      <c r="H548">
        <v>5</v>
      </c>
      <c r="I548">
        <f>VLOOKUP(B548,BRAND!B:D,3,FALSE)</f>
        <v>5.5</v>
      </c>
      <c r="J548">
        <v>5</v>
      </c>
      <c r="K548" t="e">
        <v>#N/A</v>
      </c>
      <c r="M548">
        <v>0</v>
      </c>
    </row>
    <row r="549" spans="1:13">
      <c r="A549" t="s">
        <v>9569</v>
      </c>
      <c r="B549" t="s">
        <v>244</v>
      </c>
      <c r="C549" s="34" t="s">
        <v>776</v>
      </c>
      <c r="F549" t="s">
        <v>776</v>
      </c>
      <c r="H549">
        <v>5</v>
      </c>
      <c r="I549">
        <f>VLOOKUP(B549,BRAND!B:D,3,FALSE)</f>
        <v>5.5</v>
      </c>
      <c r="J549">
        <v>5</v>
      </c>
      <c r="M549">
        <v>1</v>
      </c>
    </row>
    <row r="550" spans="1:13">
      <c r="A550" t="s">
        <v>6511</v>
      </c>
      <c r="B550" t="s">
        <v>244</v>
      </c>
      <c r="C550" s="34" t="s">
        <v>1438</v>
      </c>
      <c r="F550" t="s">
        <v>1438</v>
      </c>
      <c r="H550">
        <v>15</v>
      </c>
      <c r="I550">
        <f>VLOOKUP(B550,BRAND!B:D,3,FALSE)</f>
        <v>5.5</v>
      </c>
      <c r="J550">
        <v>4</v>
      </c>
      <c r="K550" t="e">
        <v>#N/A</v>
      </c>
      <c r="M550">
        <v>1</v>
      </c>
    </row>
    <row r="551" spans="1:13">
      <c r="A551" t="s">
        <v>13722</v>
      </c>
      <c r="B551" t="s">
        <v>7554</v>
      </c>
      <c r="C551" s="34" t="s">
        <v>13723</v>
      </c>
      <c r="F551" t="s">
        <v>13724</v>
      </c>
      <c r="G551" t="s">
        <v>6932</v>
      </c>
      <c r="H551">
        <v>5</v>
      </c>
      <c r="I551">
        <f>VLOOKUP(B551,BRAND!B:D,3,FALSE)</f>
        <v>0</v>
      </c>
      <c r="J551">
        <f t="shared" ref="J551:J572" si="7">LEN(F551)</f>
        <v>28</v>
      </c>
      <c r="K551" t="s">
        <v>821</v>
      </c>
      <c r="L551">
        <v>0</v>
      </c>
      <c r="M551">
        <v>1</v>
      </c>
    </row>
    <row r="552" spans="1:13">
      <c r="A552" t="s">
        <v>13746</v>
      </c>
      <c r="B552" t="s">
        <v>7554</v>
      </c>
      <c r="C552" s="34" t="s">
        <v>6937</v>
      </c>
      <c r="F552" t="s">
        <v>13747</v>
      </c>
      <c r="G552" t="s">
        <v>6932</v>
      </c>
      <c r="H552">
        <v>5</v>
      </c>
      <c r="I552">
        <f>VLOOKUP(B552,BRAND!B:D,3,FALSE)</f>
        <v>0</v>
      </c>
      <c r="J552">
        <f t="shared" si="7"/>
        <v>21</v>
      </c>
      <c r="K552" t="s">
        <v>821</v>
      </c>
      <c r="L552">
        <v>0</v>
      </c>
      <c r="M552">
        <v>1</v>
      </c>
    </row>
    <row r="553" spans="1:13">
      <c r="A553" t="s">
        <v>13703</v>
      </c>
      <c r="B553" t="s">
        <v>7554</v>
      </c>
      <c r="C553" s="34" t="s">
        <v>13704</v>
      </c>
      <c r="F553" t="s">
        <v>13704</v>
      </c>
      <c r="G553" t="s">
        <v>6932</v>
      </c>
      <c r="H553">
        <v>5</v>
      </c>
      <c r="I553">
        <f>VLOOKUP(B553,BRAND!B:D,3,FALSE)</f>
        <v>0</v>
      </c>
      <c r="J553">
        <f t="shared" si="7"/>
        <v>17</v>
      </c>
      <c r="K553" t="s">
        <v>821</v>
      </c>
      <c r="L553">
        <v>0</v>
      </c>
      <c r="M553">
        <v>1</v>
      </c>
    </row>
    <row r="554" spans="1:13">
      <c r="A554" t="s">
        <v>13733</v>
      </c>
      <c r="B554" t="s">
        <v>7554</v>
      </c>
      <c r="C554" s="34" t="s">
        <v>13734</v>
      </c>
      <c r="F554" t="s">
        <v>13735</v>
      </c>
      <c r="G554" t="s">
        <v>6932</v>
      </c>
      <c r="H554">
        <v>5</v>
      </c>
      <c r="I554">
        <f>VLOOKUP(B554,BRAND!B:D,3,FALSE)</f>
        <v>0</v>
      </c>
      <c r="J554">
        <f t="shared" si="7"/>
        <v>15</v>
      </c>
      <c r="K554" t="s">
        <v>821</v>
      </c>
      <c r="L554">
        <v>0</v>
      </c>
      <c r="M554">
        <v>1</v>
      </c>
    </row>
    <row r="555" spans="1:13">
      <c r="A555" t="s">
        <v>13725</v>
      </c>
      <c r="B555" t="s">
        <v>7554</v>
      </c>
      <c r="C555" s="34" t="s">
        <v>13726</v>
      </c>
      <c r="F555" t="s">
        <v>13727</v>
      </c>
      <c r="G555" t="s">
        <v>6932</v>
      </c>
      <c r="H555">
        <v>5</v>
      </c>
      <c r="I555">
        <f>VLOOKUP(B555,BRAND!B:D,3,FALSE)</f>
        <v>0</v>
      </c>
      <c r="J555">
        <f t="shared" si="7"/>
        <v>15</v>
      </c>
      <c r="K555" t="s">
        <v>821</v>
      </c>
      <c r="L555">
        <v>0</v>
      </c>
      <c r="M555">
        <v>1</v>
      </c>
    </row>
    <row r="556" spans="1:13">
      <c r="A556" t="s">
        <v>13755</v>
      </c>
      <c r="B556" t="s">
        <v>7554</v>
      </c>
      <c r="C556" s="34">
        <v>434</v>
      </c>
      <c r="F556" t="s">
        <v>13756</v>
      </c>
      <c r="G556" t="s">
        <v>6932</v>
      </c>
      <c r="H556">
        <v>5</v>
      </c>
      <c r="I556">
        <f>VLOOKUP(B556,BRAND!B:D,3,FALSE)</f>
        <v>0</v>
      </c>
      <c r="J556">
        <f t="shared" si="7"/>
        <v>13</v>
      </c>
      <c r="K556" t="s">
        <v>821</v>
      </c>
      <c r="L556">
        <v>0</v>
      </c>
      <c r="M556">
        <v>1</v>
      </c>
    </row>
    <row r="557" spans="1:13">
      <c r="A557" t="s">
        <v>13751</v>
      </c>
      <c r="B557" t="s">
        <v>7554</v>
      </c>
      <c r="C557" s="34">
        <v>426</v>
      </c>
      <c r="F557" t="s">
        <v>13752</v>
      </c>
      <c r="G557" t="s">
        <v>6932</v>
      </c>
      <c r="H557">
        <v>5</v>
      </c>
      <c r="I557">
        <f>VLOOKUP(B557,BRAND!B:D,3,FALSE)</f>
        <v>0</v>
      </c>
      <c r="J557">
        <f t="shared" si="7"/>
        <v>13</v>
      </c>
      <c r="K557" t="s">
        <v>821</v>
      </c>
      <c r="L557">
        <v>0</v>
      </c>
      <c r="M557">
        <v>1</v>
      </c>
    </row>
    <row r="558" spans="1:13">
      <c r="A558" t="s">
        <v>13742</v>
      </c>
      <c r="B558" t="s">
        <v>7554</v>
      </c>
      <c r="C558" s="34">
        <v>419</v>
      </c>
      <c r="F558" t="s">
        <v>13743</v>
      </c>
      <c r="G558" t="s">
        <v>6932</v>
      </c>
      <c r="H558">
        <v>5</v>
      </c>
      <c r="I558">
        <f>VLOOKUP(B558,BRAND!B:D,3,FALSE)</f>
        <v>0</v>
      </c>
      <c r="J558">
        <f t="shared" si="7"/>
        <v>13</v>
      </c>
      <c r="K558" t="s">
        <v>821</v>
      </c>
      <c r="L558">
        <v>0</v>
      </c>
      <c r="M558">
        <v>1</v>
      </c>
    </row>
    <row r="559" spans="1:13">
      <c r="A559" t="s">
        <v>13728</v>
      </c>
      <c r="B559" t="s">
        <v>7554</v>
      </c>
      <c r="C559" s="34">
        <v>423</v>
      </c>
      <c r="F559" t="s">
        <v>13729</v>
      </c>
      <c r="G559" t="s">
        <v>6932</v>
      </c>
      <c r="H559">
        <v>5</v>
      </c>
      <c r="I559">
        <f>VLOOKUP(B559,BRAND!B:D,3,FALSE)</f>
        <v>0</v>
      </c>
      <c r="J559">
        <f t="shared" si="7"/>
        <v>13</v>
      </c>
      <c r="K559" t="s">
        <v>821</v>
      </c>
      <c r="L559">
        <v>0</v>
      </c>
      <c r="M559">
        <v>1</v>
      </c>
    </row>
    <row r="560" spans="1:13">
      <c r="A560" t="s">
        <v>13718</v>
      </c>
      <c r="B560" t="s">
        <v>7554</v>
      </c>
      <c r="C560" s="34">
        <v>420</v>
      </c>
      <c r="F560" t="s">
        <v>13719</v>
      </c>
      <c r="G560" t="s">
        <v>6932</v>
      </c>
      <c r="H560">
        <v>5</v>
      </c>
      <c r="I560">
        <f>VLOOKUP(B560,BRAND!B:D,3,FALSE)</f>
        <v>0</v>
      </c>
      <c r="J560">
        <f t="shared" si="7"/>
        <v>13</v>
      </c>
      <c r="K560" t="s">
        <v>821</v>
      </c>
      <c r="L560">
        <v>0</v>
      </c>
      <c r="M560">
        <v>1</v>
      </c>
    </row>
    <row r="561" spans="1:13">
      <c r="A561" t="s">
        <v>13713</v>
      </c>
      <c r="B561" t="s">
        <v>7554</v>
      </c>
      <c r="C561" s="34" t="s">
        <v>13714</v>
      </c>
      <c r="F561" t="s">
        <v>13715</v>
      </c>
      <c r="G561" t="s">
        <v>6932</v>
      </c>
      <c r="H561">
        <v>5</v>
      </c>
      <c r="I561">
        <f>VLOOKUP(B561,BRAND!B:D,3,FALSE)</f>
        <v>0</v>
      </c>
      <c r="J561">
        <f t="shared" si="7"/>
        <v>13</v>
      </c>
      <c r="K561" t="s">
        <v>821</v>
      </c>
      <c r="L561">
        <v>0</v>
      </c>
      <c r="M561">
        <v>1</v>
      </c>
    </row>
    <row r="562" spans="1:13">
      <c r="A562" t="s">
        <v>13736</v>
      </c>
      <c r="B562" t="s">
        <v>7554</v>
      </c>
      <c r="C562" s="34">
        <v>429</v>
      </c>
      <c r="F562" t="s">
        <v>13737</v>
      </c>
      <c r="G562" t="s">
        <v>6932</v>
      </c>
      <c r="H562">
        <v>5</v>
      </c>
      <c r="I562">
        <f>VLOOKUP(B562,BRAND!B:D,3,FALSE)</f>
        <v>0</v>
      </c>
      <c r="J562">
        <f t="shared" si="7"/>
        <v>13</v>
      </c>
      <c r="K562" t="s">
        <v>821</v>
      </c>
      <c r="L562">
        <v>0</v>
      </c>
      <c r="M562">
        <v>1</v>
      </c>
    </row>
    <row r="563" spans="1:13">
      <c r="A563" t="s">
        <v>13740</v>
      </c>
      <c r="B563" t="s">
        <v>7554</v>
      </c>
      <c r="C563" s="34">
        <v>428</v>
      </c>
      <c r="F563" t="s">
        <v>13741</v>
      </c>
      <c r="G563" t="s">
        <v>6932</v>
      </c>
      <c r="H563">
        <v>5</v>
      </c>
      <c r="I563">
        <f>VLOOKUP(B563,BRAND!B:D,3,FALSE)</f>
        <v>0</v>
      </c>
      <c r="J563">
        <f t="shared" si="7"/>
        <v>13</v>
      </c>
      <c r="K563" t="s">
        <v>821</v>
      </c>
      <c r="L563">
        <v>0</v>
      </c>
      <c r="M563">
        <v>1</v>
      </c>
    </row>
    <row r="564" spans="1:13">
      <c r="A564" t="s">
        <v>13744</v>
      </c>
      <c r="B564" t="s">
        <v>7554</v>
      </c>
      <c r="C564" s="34">
        <v>433</v>
      </c>
      <c r="F564" t="s">
        <v>13745</v>
      </c>
      <c r="G564" t="s">
        <v>6932</v>
      </c>
      <c r="H564">
        <v>5</v>
      </c>
      <c r="I564">
        <f>VLOOKUP(B564,BRAND!B:D,3,FALSE)</f>
        <v>0</v>
      </c>
      <c r="J564">
        <f t="shared" si="7"/>
        <v>13</v>
      </c>
      <c r="K564" t="s">
        <v>821</v>
      </c>
      <c r="L564">
        <v>0</v>
      </c>
      <c r="M564">
        <v>1</v>
      </c>
    </row>
    <row r="565" spans="1:13">
      <c r="A565" t="s">
        <v>13730</v>
      </c>
      <c r="B565" t="s">
        <v>7554</v>
      </c>
      <c r="C565" s="34" t="s">
        <v>13731</v>
      </c>
      <c r="F565" t="s">
        <v>13732</v>
      </c>
      <c r="G565" t="s">
        <v>6932</v>
      </c>
      <c r="H565">
        <v>5</v>
      </c>
      <c r="I565">
        <f>VLOOKUP(B565,BRAND!B:D,3,FALSE)</f>
        <v>0</v>
      </c>
      <c r="J565">
        <f t="shared" si="7"/>
        <v>13</v>
      </c>
      <c r="K565" t="s">
        <v>821</v>
      </c>
      <c r="L565">
        <v>0</v>
      </c>
      <c r="M565">
        <v>1</v>
      </c>
    </row>
    <row r="566" spans="1:13">
      <c r="A566" t="s">
        <v>13748</v>
      </c>
      <c r="B566" t="s">
        <v>7554</v>
      </c>
      <c r="C566" s="34" t="s">
        <v>13749</v>
      </c>
      <c r="F566" t="s">
        <v>13750</v>
      </c>
      <c r="G566" t="s">
        <v>6932</v>
      </c>
      <c r="H566">
        <v>5</v>
      </c>
      <c r="I566">
        <f>VLOOKUP(B566,BRAND!B:D,3,FALSE)</f>
        <v>0</v>
      </c>
      <c r="J566">
        <f t="shared" si="7"/>
        <v>12</v>
      </c>
      <c r="K566" t="s">
        <v>821</v>
      </c>
      <c r="L566">
        <v>0</v>
      </c>
      <c r="M566">
        <v>1</v>
      </c>
    </row>
    <row r="567" spans="1:13">
      <c r="A567" t="s">
        <v>13708</v>
      </c>
      <c r="B567" t="s">
        <v>7554</v>
      </c>
      <c r="C567" s="34" t="s">
        <v>13709</v>
      </c>
      <c r="F567" t="s">
        <v>13710</v>
      </c>
      <c r="G567" t="s">
        <v>6932</v>
      </c>
      <c r="H567">
        <v>5</v>
      </c>
      <c r="I567">
        <f>VLOOKUP(B567,BRAND!B:D,3,FALSE)</f>
        <v>0</v>
      </c>
      <c r="J567">
        <f t="shared" si="7"/>
        <v>10</v>
      </c>
      <c r="K567" t="s">
        <v>821</v>
      </c>
      <c r="L567">
        <v>0</v>
      </c>
      <c r="M567">
        <v>1</v>
      </c>
    </row>
    <row r="568" spans="1:13">
      <c r="A568" t="s">
        <v>13700</v>
      </c>
      <c r="B568" t="s">
        <v>7554</v>
      </c>
      <c r="C568" s="34" t="s">
        <v>13701</v>
      </c>
      <c r="F568" t="s">
        <v>13702</v>
      </c>
      <c r="G568" t="s">
        <v>6932</v>
      </c>
      <c r="H568">
        <v>5</v>
      </c>
      <c r="I568">
        <f>VLOOKUP(B568,BRAND!B:D,3,FALSE)</f>
        <v>0</v>
      </c>
      <c r="J568">
        <f t="shared" si="7"/>
        <v>10</v>
      </c>
      <c r="K568" t="s">
        <v>821</v>
      </c>
      <c r="L568">
        <v>0</v>
      </c>
      <c r="M568">
        <v>1</v>
      </c>
    </row>
    <row r="569" spans="1:13">
      <c r="A569" t="s">
        <v>13720</v>
      </c>
      <c r="B569" t="s">
        <v>7554</v>
      </c>
      <c r="C569" s="34" t="s">
        <v>13336</v>
      </c>
      <c r="F569" t="s">
        <v>13721</v>
      </c>
      <c r="G569" t="s">
        <v>6932</v>
      </c>
      <c r="H569">
        <v>5</v>
      </c>
      <c r="I569">
        <f>VLOOKUP(B569,BRAND!B:D,3,FALSE)</f>
        <v>0</v>
      </c>
      <c r="J569">
        <f t="shared" si="7"/>
        <v>10</v>
      </c>
      <c r="K569" t="s">
        <v>821</v>
      </c>
      <c r="L569">
        <v>0</v>
      </c>
      <c r="M569">
        <v>1</v>
      </c>
    </row>
    <row r="570" spans="1:13">
      <c r="A570" t="s">
        <v>13753</v>
      </c>
      <c r="B570" t="s">
        <v>7554</v>
      </c>
      <c r="C570" s="34" t="s">
        <v>13754</v>
      </c>
      <c r="F570" t="s">
        <v>13754</v>
      </c>
      <c r="G570" t="s">
        <v>6932</v>
      </c>
      <c r="H570">
        <v>5</v>
      </c>
      <c r="I570">
        <f>VLOOKUP(B570,BRAND!B:D,3,FALSE)</f>
        <v>0</v>
      </c>
      <c r="J570">
        <f t="shared" si="7"/>
        <v>10</v>
      </c>
      <c r="K570" t="s">
        <v>821</v>
      </c>
      <c r="L570">
        <v>0</v>
      </c>
      <c r="M570">
        <v>1</v>
      </c>
    </row>
    <row r="571" spans="1:13">
      <c r="A571" t="s">
        <v>13705</v>
      </c>
      <c r="B571" t="s">
        <v>7554</v>
      </c>
      <c r="C571" s="34" t="s">
        <v>13706</v>
      </c>
      <c r="F571" t="s">
        <v>13707</v>
      </c>
      <c r="G571" t="s">
        <v>6932</v>
      </c>
      <c r="H571">
        <v>5</v>
      </c>
      <c r="I571">
        <f>VLOOKUP(B571,BRAND!B:D,3,FALSE)</f>
        <v>0</v>
      </c>
      <c r="J571">
        <f t="shared" si="7"/>
        <v>10</v>
      </c>
      <c r="K571" t="s">
        <v>821</v>
      </c>
      <c r="L571">
        <v>0</v>
      </c>
      <c r="M571">
        <v>1</v>
      </c>
    </row>
    <row r="572" spans="1:13">
      <c r="A572" t="s">
        <v>9570</v>
      </c>
      <c r="B572" t="s">
        <v>7554</v>
      </c>
      <c r="C572" s="34" t="s">
        <v>7556</v>
      </c>
      <c r="F572" t="s">
        <v>7556</v>
      </c>
      <c r="G572" t="s">
        <v>6932</v>
      </c>
      <c r="H572">
        <v>5</v>
      </c>
      <c r="I572">
        <f>VLOOKUP(B572,BRAND!B:D,3,FALSE)</f>
        <v>0</v>
      </c>
      <c r="J572">
        <f t="shared" si="7"/>
        <v>8</v>
      </c>
      <c r="K572" t="s">
        <v>821</v>
      </c>
      <c r="L572">
        <v>0</v>
      </c>
      <c r="M572">
        <v>1</v>
      </c>
    </row>
    <row r="573" spans="1:13">
      <c r="A573" t="s">
        <v>9570</v>
      </c>
      <c r="B573" t="s">
        <v>7555</v>
      </c>
      <c r="C573" s="34" t="s">
        <v>7556</v>
      </c>
      <c r="F573" t="s">
        <v>7556</v>
      </c>
      <c r="G573" t="s">
        <v>6932</v>
      </c>
      <c r="H573">
        <v>5</v>
      </c>
      <c r="I573">
        <f>VLOOKUP(B573,BRAND!B:D,3,FALSE)</f>
        <v>0</v>
      </c>
      <c r="J573">
        <v>8</v>
      </c>
      <c r="M573">
        <v>1</v>
      </c>
    </row>
    <row r="574" spans="1:13">
      <c r="A574" t="s">
        <v>13711</v>
      </c>
      <c r="B574" t="s">
        <v>7554</v>
      </c>
      <c r="C574" s="34" t="s">
        <v>13712</v>
      </c>
      <c r="F574" t="s">
        <v>13712</v>
      </c>
      <c r="G574" t="s">
        <v>6932</v>
      </c>
      <c r="H574">
        <v>5</v>
      </c>
      <c r="I574">
        <f>VLOOKUP(B574,BRAND!B:D,3,FALSE)</f>
        <v>0</v>
      </c>
      <c r="J574">
        <f>LEN(F574)</f>
        <v>7</v>
      </c>
      <c r="K574" t="s">
        <v>821</v>
      </c>
      <c r="L574">
        <v>0</v>
      </c>
      <c r="M574">
        <v>1</v>
      </c>
    </row>
    <row r="575" spans="1:13">
      <c r="A575" t="s">
        <v>7553</v>
      </c>
      <c r="B575" t="s">
        <v>7554</v>
      </c>
      <c r="C575" s="34" t="s">
        <v>941</v>
      </c>
      <c r="F575" t="s">
        <v>941</v>
      </c>
      <c r="G575" t="s">
        <v>6932</v>
      </c>
      <c r="H575">
        <v>5</v>
      </c>
      <c r="I575">
        <f>VLOOKUP(B575,BRAND!B:D,3,FALSE)</f>
        <v>0</v>
      </c>
      <c r="J575">
        <v>5</v>
      </c>
      <c r="M575">
        <v>1</v>
      </c>
    </row>
    <row r="576" spans="1:13">
      <c r="A576" t="s">
        <v>13738</v>
      </c>
      <c r="B576" t="s">
        <v>7554</v>
      </c>
      <c r="C576" s="34">
        <v>422</v>
      </c>
      <c r="F576" t="s">
        <v>13739</v>
      </c>
      <c r="G576" t="s">
        <v>6932</v>
      </c>
      <c r="H576">
        <v>6</v>
      </c>
      <c r="I576">
        <f>VLOOKUP(B576,BRAND!B:D,3,FALSE)</f>
        <v>0</v>
      </c>
      <c r="J576">
        <f>LEN(F576)</f>
        <v>13</v>
      </c>
      <c r="K576" t="s">
        <v>821</v>
      </c>
      <c r="L576">
        <v>0</v>
      </c>
      <c r="M576">
        <v>1</v>
      </c>
    </row>
    <row r="577" spans="1:13">
      <c r="A577" t="s">
        <v>13716</v>
      </c>
      <c r="B577" t="s">
        <v>7554</v>
      </c>
      <c r="C577" s="34" t="s">
        <v>13717</v>
      </c>
      <c r="F577" t="s">
        <v>13717</v>
      </c>
      <c r="G577" t="s">
        <v>6932</v>
      </c>
      <c r="H577">
        <v>6</v>
      </c>
      <c r="I577">
        <f>VLOOKUP(B577,BRAND!B:D,3,FALSE)</f>
        <v>0</v>
      </c>
      <c r="J577">
        <f>LEN(F577)</f>
        <v>9</v>
      </c>
      <c r="K577" t="s">
        <v>821</v>
      </c>
      <c r="L577">
        <v>0</v>
      </c>
      <c r="M577">
        <v>1</v>
      </c>
    </row>
    <row r="578" spans="1:13">
      <c r="A578" t="s">
        <v>10877</v>
      </c>
      <c r="B578" t="s">
        <v>10878</v>
      </c>
      <c r="C578" s="34" t="s">
        <v>10879</v>
      </c>
      <c r="F578" t="s">
        <v>10880</v>
      </c>
      <c r="H578">
        <v>5</v>
      </c>
    </row>
    <row r="579" spans="1:13">
      <c r="A579" t="s">
        <v>3187</v>
      </c>
      <c r="B579" t="s">
        <v>1220</v>
      </c>
      <c r="C579" s="34" t="s">
        <v>1438</v>
      </c>
      <c r="F579" t="s">
        <v>1438</v>
      </c>
      <c r="H579">
        <v>15</v>
      </c>
      <c r="I579">
        <f>VLOOKUP(B579,BRAND!B:D,3,FALSE)</f>
        <v>9</v>
      </c>
      <c r="J579">
        <v>4</v>
      </c>
      <c r="K579" t="s">
        <v>821</v>
      </c>
      <c r="M579">
        <v>0</v>
      </c>
    </row>
    <row r="580" spans="1:13">
      <c r="A580" t="s">
        <v>2128</v>
      </c>
      <c r="B580" t="s">
        <v>1221</v>
      </c>
      <c r="C580" s="34" t="s">
        <v>1438</v>
      </c>
      <c r="F580" t="s">
        <v>1438</v>
      </c>
      <c r="H580">
        <v>15</v>
      </c>
      <c r="I580">
        <f>VLOOKUP(B580,BRAND!B:D,3,FALSE)</f>
        <v>9</v>
      </c>
      <c r="J580">
        <v>4</v>
      </c>
      <c r="K580" t="s">
        <v>821</v>
      </c>
      <c r="M580">
        <v>0</v>
      </c>
    </row>
    <row r="581" spans="1:13">
      <c r="A581" t="s">
        <v>9571</v>
      </c>
      <c r="B581" t="s">
        <v>1844</v>
      </c>
      <c r="C581" s="34" t="s">
        <v>9982</v>
      </c>
      <c r="F581" t="s">
        <v>9982</v>
      </c>
      <c r="H581">
        <v>5</v>
      </c>
      <c r="I581">
        <f>VLOOKUP(B581,BRAND!B:D,3,FALSE)</f>
        <v>10</v>
      </c>
      <c r="J581">
        <f t="shared" ref="J581:J587" si="8">LEN(F581)</f>
        <v>27</v>
      </c>
      <c r="M581">
        <v>1</v>
      </c>
    </row>
    <row r="582" spans="1:13">
      <c r="A582" t="s">
        <v>9572</v>
      </c>
      <c r="B582" t="s">
        <v>1844</v>
      </c>
      <c r="C582" s="34" t="s">
        <v>9983</v>
      </c>
      <c r="F582" t="s">
        <v>9983</v>
      </c>
      <c r="H582">
        <v>5</v>
      </c>
      <c r="I582">
        <f>VLOOKUP(B582,BRAND!B:D,3,FALSE)</f>
        <v>10</v>
      </c>
      <c r="J582">
        <f t="shared" si="8"/>
        <v>27</v>
      </c>
      <c r="M582">
        <v>1</v>
      </c>
    </row>
    <row r="583" spans="1:13">
      <c r="A583" t="s">
        <v>9578</v>
      </c>
      <c r="B583" t="s">
        <v>1844</v>
      </c>
      <c r="C583" s="34" t="s">
        <v>5629</v>
      </c>
      <c r="F583" t="s">
        <v>5629</v>
      </c>
      <c r="G583" t="s">
        <v>801</v>
      </c>
      <c r="H583">
        <v>5</v>
      </c>
      <c r="I583">
        <f>VLOOKUP(B583,BRAND!B:D,3,FALSE)</f>
        <v>10</v>
      </c>
      <c r="J583">
        <f t="shared" si="8"/>
        <v>22</v>
      </c>
      <c r="M583">
        <v>1</v>
      </c>
    </row>
    <row r="584" spans="1:13">
      <c r="A584" t="s">
        <v>9573</v>
      </c>
      <c r="B584" t="s">
        <v>1844</v>
      </c>
      <c r="C584" s="34" t="s">
        <v>9984</v>
      </c>
      <c r="F584" t="s">
        <v>9984</v>
      </c>
      <c r="H584">
        <v>5</v>
      </c>
      <c r="I584">
        <f>VLOOKUP(B584,BRAND!B:D,3,FALSE)</f>
        <v>10</v>
      </c>
      <c r="J584">
        <f t="shared" si="8"/>
        <v>20</v>
      </c>
      <c r="M584">
        <v>1</v>
      </c>
    </row>
    <row r="585" spans="1:13">
      <c r="A585" t="s">
        <v>6344</v>
      </c>
      <c r="B585" t="s">
        <v>1844</v>
      </c>
      <c r="C585" s="34" t="s">
        <v>5626</v>
      </c>
      <c r="F585" t="s">
        <v>5626</v>
      </c>
      <c r="G585" t="s">
        <v>801</v>
      </c>
      <c r="H585">
        <v>5</v>
      </c>
      <c r="I585">
        <f>VLOOKUP(B585,BRAND!B:D,3,FALSE)</f>
        <v>10</v>
      </c>
      <c r="J585">
        <f t="shared" si="8"/>
        <v>13</v>
      </c>
      <c r="L585">
        <v>0</v>
      </c>
    </row>
    <row r="586" spans="1:13">
      <c r="A586" t="s">
        <v>9574</v>
      </c>
      <c r="B586" t="s">
        <v>1844</v>
      </c>
      <c r="C586" s="34" t="s">
        <v>873</v>
      </c>
      <c r="F586" t="s">
        <v>873</v>
      </c>
      <c r="G586" t="s">
        <v>801</v>
      </c>
      <c r="H586">
        <v>5</v>
      </c>
      <c r="I586">
        <f>VLOOKUP(B586,BRAND!B:D,3,FALSE)</f>
        <v>10</v>
      </c>
      <c r="J586">
        <f t="shared" si="8"/>
        <v>11</v>
      </c>
      <c r="M586">
        <v>1</v>
      </c>
    </row>
    <row r="587" spans="1:13">
      <c r="A587" t="s">
        <v>9576</v>
      </c>
      <c r="B587" t="s">
        <v>1844</v>
      </c>
      <c r="C587" s="34" t="s">
        <v>861</v>
      </c>
      <c r="F587" t="s">
        <v>861</v>
      </c>
      <c r="G587" t="s">
        <v>801</v>
      </c>
      <c r="H587">
        <v>5</v>
      </c>
      <c r="I587">
        <f>VLOOKUP(B587,BRAND!B:D,3,FALSE)</f>
        <v>10</v>
      </c>
      <c r="J587">
        <f t="shared" si="8"/>
        <v>11</v>
      </c>
      <c r="M587">
        <v>1</v>
      </c>
    </row>
    <row r="588" spans="1:13">
      <c r="A588" t="s">
        <v>9575</v>
      </c>
      <c r="B588" t="s">
        <v>1844</v>
      </c>
      <c r="C588" s="34" t="s">
        <v>655</v>
      </c>
      <c r="F588" t="s">
        <v>655</v>
      </c>
      <c r="G588" t="s">
        <v>801</v>
      </c>
      <c r="H588">
        <v>5</v>
      </c>
      <c r="I588">
        <f>VLOOKUP(B588,BRAND!B:D,3,FALSE)</f>
        <v>10</v>
      </c>
      <c r="J588">
        <v>9</v>
      </c>
      <c r="M588">
        <v>1</v>
      </c>
    </row>
    <row r="589" spans="1:13">
      <c r="A589" t="s">
        <v>7100</v>
      </c>
      <c r="B589" t="s">
        <v>1844</v>
      </c>
      <c r="C589" s="34" t="s">
        <v>6628</v>
      </c>
      <c r="F589" t="s">
        <v>6629</v>
      </c>
      <c r="H589">
        <v>5</v>
      </c>
      <c r="I589">
        <f>VLOOKUP(B589,BRAND!B:D,3,FALSE)</f>
        <v>10</v>
      </c>
      <c r="J589">
        <v>5</v>
      </c>
      <c r="M589">
        <v>1</v>
      </c>
    </row>
    <row r="590" spans="1:13">
      <c r="A590" t="s">
        <v>7100</v>
      </c>
      <c r="B590" t="s">
        <v>1844</v>
      </c>
      <c r="C590" s="34" t="s">
        <v>6628</v>
      </c>
      <c r="F590" t="s">
        <v>6629</v>
      </c>
      <c r="H590">
        <v>5</v>
      </c>
      <c r="I590">
        <f>VLOOKUP(B590,BRAND!B:D,3,FALSE)</f>
        <v>10</v>
      </c>
      <c r="J590">
        <v>5</v>
      </c>
      <c r="M590">
        <v>1</v>
      </c>
    </row>
    <row r="591" spans="1:13">
      <c r="A591" t="s">
        <v>7131</v>
      </c>
      <c r="B591" t="s">
        <v>1844</v>
      </c>
      <c r="C591" s="34" t="s">
        <v>6629</v>
      </c>
      <c r="F591" t="s">
        <v>6629</v>
      </c>
      <c r="G591" t="s">
        <v>801</v>
      </c>
      <c r="H591">
        <v>9</v>
      </c>
      <c r="I591">
        <f>VLOOKUP(B591,BRAND!B:D,3,FALSE)</f>
        <v>10</v>
      </c>
      <c r="J591">
        <v>5</v>
      </c>
      <c r="M591">
        <v>0</v>
      </c>
    </row>
    <row r="592" spans="1:13">
      <c r="A592" t="s">
        <v>7100</v>
      </c>
      <c r="B592" t="s">
        <v>1844</v>
      </c>
      <c r="C592" s="34" t="s">
        <v>6629</v>
      </c>
      <c r="F592" t="s">
        <v>6629</v>
      </c>
      <c r="H592">
        <v>9</v>
      </c>
      <c r="I592">
        <f>VLOOKUP(B592,BRAND!B:D,3,FALSE)</f>
        <v>10</v>
      </c>
      <c r="J592">
        <v>5</v>
      </c>
      <c r="M592">
        <v>1</v>
      </c>
    </row>
    <row r="593" spans="1:13">
      <c r="A593" t="s">
        <v>5920</v>
      </c>
      <c r="B593" t="s">
        <v>1844</v>
      </c>
      <c r="C593" s="34" t="s">
        <v>5681</v>
      </c>
      <c r="F593" t="s">
        <v>5681</v>
      </c>
      <c r="H593">
        <v>15</v>
      </c>
      <c r="I593">
        <f>VLOOKUP(B593,BRAND!B:D,3,FALSE)</f>
        <v>10</v>
      </c>
      <c r="J593">
        <f t="shared" ref="J593:J656" si="9">LEN(F593)</f>
        <v>44</v>
      </c>
      <c r="M593">
        <v>1</v>
      </c>
    </row>
    <row r="594" spans="1:13">
      <c r="A594" t="s">
        <v>6162</v>
      </c>
      <c r="B594" t="s">
        <v>1844</v>
      </c>
      <c r="C594" s="34" t="s">
        <v>5681</v>
      </c>
      <c r="F594" t="s">
        <v>5681</v>
      </c>
      <c r="G594" t="s">
        <v>801</v>
      </c>
      <c r="H594">
        <v>15</v>
      </c>
      <c r="I594">
        <f>VLOOKUP(B594,BRAND!B:D,3,FALSE)</f>
        <v>10</v>
      </c>
      <c r="J594">
        <f t="shared" si="9"/>
        <v>44</v>
      </c>
      <c r="M594">
        <v>1</v>
      </c>
    </row>
    <row r="595" spans="1:13">
      <c r="A595" t="s">
        <v>5944</v>
      </c>
      <c r="B595" t="s">
        <v>1844</v>
      </c>
      <c r="C595" s="34" t="s">
        <v>5703</v>
      </c>
      <c r="F595" t="s">
        <v>5703</v>
      </c>
      <c r="H595">
        <v>15</v>
      </c>
      <c r="I595">
        <f>VLOOKUP(B595,BRAND!B:D,3,FALSE)</f>
        <v>10</v>
      </c>
      <c r="J595">
        <f t="shared" si="9"/>
        <v>42</v>
      </c>
      <c r="M595">
        <v>1</v>
      </c>
    </row>
    <row r="596" spans="1:13">
      <c r="A596" t="s">
        <v>6186</v>
      </c>
      <c r="B596" t="s">
        <v>1844</v>
      </c>
      <c r="C596" s="34" t="s">
        <v>5703</v>
      </c>
      <c r="F596" t="s">
        <v>5703</v>
      </c>
      <c r="G596" t="s">
        <v>801</v>
      </c>
      <c r="H596">
        <v>15</v>
      </c>
      <c r="I596">
        <f>VLOOKUP(B596,BRAND!B:D,3,FALSE)</f>
        <v>10</v>
      </c>
      <c r="J596">
        <f t="shared" si="9"/>
        <v>42</v>
      </c>
      <c r="M596">
        <v>1</v>
      </c>
    </row>
    <row r="597" spans="1:13">
      <c r="A597" t="s">
        <v>6075</v>
      </c>
      <c r="B597" t="s">
        <v>1844</v>
      </c>
      <c r="C597" s="34" t="s">
        <v>5810</v>
      </c>
      <c r="F597" t="s">
        <v>5810</v>
      </c>
      <c r="H597">
        <v>15</v>
      </c>
      <c r="I597">
        <f>VLOOKUP(B597,BRAND!B:D,3,FALSE)</f>
        <v>10</v>
      </c>
      <c r="J597">
        <f t="shared" si="9"/>
        <v>40</v>
      </c>
      <c r="M597">
        <v>1</v>
      </c>
    </row>
    <row r="598" spans="1:13">
      <c r="A598" t="s">
        <v>6317</v>
      </c>
      <c r="B598" t="s">
        <v>1844</v>
      </c>
      <c r="C598" s="34" t="s">
        <v>5810</v>
      </c>
      <c r="F598" t="s">
        <v>5810</v>
      </c>
      <c r="G598" t="s">
        <v>801</v>
      </c>
      <c r="H598">
        <v>15</v>
      </c>
      <c r="I598">
        <f>VLOOKUP(B598,BRAND!B:D,3,FALSE)</f>
        <v>10</v>
      </c>
      <c r="J598">
        <f t="shared" si="9"/>
        <v>40</v>
      </c>
      <c r="M598">
        <v>1</v>
      </c>
    </row>
    <row r="599" spans="1:13">
      <c r="A599" t="s">
        <v>6093</v>
      </c>
      <c r="B599" t="s">
        <v>1844</v>
      </c>
      <c r="C599" s="34" t="s">
        <v>5826</v>
      </c>
      <c r="F599" t="s">
        <v>5826</v>
      </c>
      <c r="H599">
        <v>15</v>
      </c>
      <c r="I599">
        <f>VLOOKUP(B599,BRAND!B:D,3,FALSE)</f>
        <v>10</v>
      </c>
      <c r="J599">
        <f t="shared" si="9"/>
        <v>38</v>
      </c>
      <c r="M599">
        <v>1</v>
      </c>
    </row>
    <row r="600" spans="1:13">
      <c r="A600" t="s">
        <v>6335</v>
      </c>
      <c r="B600" t="s">
        <v>1844</v>
      </c>
      <c r="C600" s="34" t="s">
        <v>5826</v>
      </c>
      <c r="F600" t="s">
        <v>5826</v>
      </c>
      <c r="G600" t="s">
        <v>801</v>
      </c>
      <c r="H600">
        <v>15</v>
      </c>
      <c r="I600">
        <f>VLOOKUP(B600,BRAND!B:D,3,FALSE)</f>
        <v>10</v>
      </c>
      <c r="J600">
        <f t="shared" si="9"/>
        <v>38</v>
      </c>
      <c r="M600">
        <v>1</v>
      </c>
    </row>
    <row r="601" spans="1:13">
      <c r="A601" t="s">
        <v>5858</v>
      </c>
      <c r="B601" t="s">
        <v>1844</v>
      </c>
      <c r="C601" s="34" t="s">
        <v>5636</v>
      </c>
      <c r="F601" t="s">
        <v>5636</v>
      </c>
      <c r="H601">
        <v>15</v>
      </c>
      <c r="I601">
        <f>VLOOKUP(B601,BRAND!B:D,3,FALSE)</f>
        <v>10</v>
      </c>
      <c r="J601">
        <f t="shared" si="9"/>
        <v>37</v>
      </c>
      <c r="M601">
        <v>1</v>
      </c>
    </row>
    <row r="602" spans="1:13">
      <c r="A602" t="s">
        <v>6415</v>
      </c>
      <c r="B602" t="s">
        <v>1844</v>
      </c>
      <c r="C602" s="34" t="s">
        <v>5636</v>
      </c>
      <c r="F602" t="s">
        <v>5636</v>
      </c>
      <c r="G602" t="s">
        <v>801</v>
      </c>
      <c r="H602">
        <v>15</v>
      </c>
      <c r="I602">
        <f>VLOOKUP(B602,BRAND!B:D,3,FALSE)</f>
        <v>10</v>
      </c>
      <c r="J602">
        <f t="shared" si="9"/>
        <v>37</v>
      </c>
      <c r="M602">
        <v>1</v>
      </c>
    </row>
    <row r="603" spans="1:13">
      <c r="A603" t="s">
        <v>5916</v>
      </c>
      <c r="B603" t="s">
        <v>1844</v>
      </c>
      <c r="C603" s="34" t="s">
        <v>5677</v>
      </c>
      <c r="F603" t="s">
        <v>5677</v>
      </c>
      <c r="H603">
        <v>15</v>
      </c>
      <c r="I603">
        <f>VLOOKUP(B603,BRAND!B:D,3,FALSE)</f>
        <v>10</v>
      </c>
      <c r="J603">
        <f t="shared" si="9"/>
        <v>36</v>
      </c>
      <c r="M603">
        <v>1</v>
      </c>
    </row>
    <row r="604" spans="1:13">
      <c r="A604" t="s">
        <v>6158</v>
      </c>
      <c r="B604" t="s">
        <v>1844</v>
      </c>
      <c r="C604" s="34" t="s">
        <v>5677</v>
      </c>
      <c r="F604" t="s">
        <v>5677</v>
      </c>
      <c r="G604" t="s">
        <v>801</v>
      </c>
      <c r="H604">
        <v>15</v>
      </c>
      <c r="I604">
        <f>VLOOKUP(B604,BRAND!B:D,3,FALSE)</f>
        <v>10</v>
      </c>
      <c r="J604">
        <f t="shared" si="9"/>
        <v>36</v>
      </c>
      <c r="M604">
        <v>1</v>
      </c>
    </row>
    <row r="605" spans="1:13">
      <c r="A605" t="s">
        <v>5923</v>
      </c>
      <c r="B605" t="s">
        <v>1844</v>
      </c>
      <c r="C605" s="34" t="s">
        <v>5684</v>
      </c>
      <c r="F605" t="s">
        <v>5684</v>
      </c>
      <c r="H605">
        <v>15</v>
      </c>
      <c r="I605">
        <f>VLOOKUP(B605,BRAND!B:D,3,FALSE)</f>
        <v>10</v>
      </c>
      <c r="J605">
        <f t="shared" si="9"/>
        <v>36</v>
      </c>
      <c r="M605">
        <v>1</v>
      </c>
    </row>
    <row r="606" spans="1:13">
      <c r="A606" t="s">
        <v>6165</v>
      </c>
      <c r="B606" t="s">
        <v>1844</v>
      </c>
      <c r="C606" s="34" t="s">
        <v>5684</v>
      </c>
      <c r="F606" t="s">
        <v>5684</v>
      </c>
      <c r="G606" t="s">
        <v>801</v>
      </c>
      <c r="H606">
        <v>15</v>
      </c>
      <c r="I606">
        <f>VLOOKUP(B606,BRAND!B:D,3,FALSE)</f>
        <v>10</v>
      </c>
      <c r="J606">
        <f t="shared" si="9"/>
        <v>36</v>
      </c>
      <c r="M606">
        <v>1</v>
      </c>
    </row>
    <row r="607" spans="1:13">
      <c r="A607" t="s">
        <v>5866</v>
      </c>
      <c r="B607" t="s">
        <v>1844</v>
      </c>
      <c r="C607" s="34" t="s">
        <v>6373</v>
      </c>
      <c r="F607" t="s">
        <v>5643</v>
      </c>
      <c r="H607">
        <v>15</v>
      </c>
      <c r="I607">
        <f>VLOOKUP(B607,BRAND!B:D,3,FALSE)</f>
        <v>10</v>
      </c>
      <c r="J607">
        <f t="shared" si="9"/>
        <v>33</v>
      </c>
      <c r="M607">
        <v>1</v>
      </c>
    </row>
    <row r="608" spans="1:13">
      <c r="A608" t="s">
        <v>6108</v>
      </c>
      <c r="B608" t="s">
        <v>1844</v>
      </c>
      <c r="C608" s="34" t="s">
        <v>5643</v>
      </c>
      <c r="F608" t="s">
        <v>5643</v>
      </c>
      <c r="G608" t="s">
        <v>801</v>
      </c>
      <c r="H608">
        <v>15</v>
      </c>
      <c r="I608">
        <f>VLOOKUP(B608,BRAND!B:D,3,FALSE)</f>
        <v>10</v>
      </c>
      <c r="J608">
        <f t="shared" si="9"/>
        <v>33</v>
      </c>
      <c r="M608">
        <v>1</v>
      </c>
    </row>
    <row r="609" spans="1:13">
      <c r="A609" t="s">
        <v>5921</v>
      </c>
      <c r="B609" t="s">
        <v>1844</v>
      </c>
      <c r="C609" s="34" t="s">
        <v>5682</v>
      </c>
      <c r="F609" t="s">
        <v>5682</v>
      </c>
      <c r="H609">
        <v>15</v>
      </c>
      <c r="I609">
        <f>VLOOKUP(B609,BRAND!B:D,3,FALSE)</f>
        <v>10</v>
      </c>
      <c r="J609">
        <f t="shared" si="9"/>
        <v>33</v>
      </c>
      <c r="M609">
        <v>1</v>
      </c>
    </row>
    <row r="610" spans="1:13">
      <c r="A610" t="s">
        <v>6163</v>
      </c>
      <c r="B610" t="s">
        <v>1844</v>
      </c>
      <c r="C610" s="34" t="s">
        <v>5682</v>
      </c>
      <c r="F610" t="s">
        <v>5682</v>
      </c>
      <c r="G610" t="s">
        <v>801</v>
      </c>
      <c r="H610">
        <v>15</v>
      </c>
      <c r="I610">
        <f>VLOOKUP(B610,BRAND!B:D,3,FALSE)</f>
        <v>10</v>
      </c>
      <c r="J610">
        <f t="shared" si="9"/>
        <v>33</v>
      </c>
      <c r="M610">
        <v>1</v>
      </c>
    </row>
    <row r="611" spans="1:13">
      <c r="A611" t="s">
        <v>5943</v>
      </c>
      <c r="B611" t="s">
        <v>1844</v>
      </c>
      <c r="C611" s="34" t="s">
        <v>5702</v>
      </c>
      <c r="F611" t="s">
        <v>5702</v>
      </c>
      <c r="H611">
        <v>15</v>
      </c>
      <c r="I611">
        <f>VLOOKUP(B611,BRAND!B:D,3,FALSE)</f>
        <v>10</v>
      </c>
      <c r="J611">
        <f t="shared" si="9"/>
        <v>33</v>
      </c>
      <c r="M611">
        <v>1</v>
      </c>
    </row>
    <row r="612" spans="1:13">
      <c r="A612" t="s">
        <v>6185</v>
      </c>
      <c r="B612" t="s">
        <v>1844</v>
      </c>
      <c r="C612" s="34" t="s">
        <v>5702</v>
      </c>
      <c r="F612" t="s">
        <v>5702</v>
      </c>
      <c r="G612" t="s">
        <v>801</v>
      </c>
      <c r="H612">
        <v>15</v>
      </c>
      <c r="I612">
        <f>VLOOKUP(B612,BRAND!B:D,3,FALSE)</f>
        <v>10</v>
      </c>
      <c r="J612">
        <f t="shared" si="9"/>
        <v>33</v>
      </c>
      <c r="M612">
        <v>1</v>
      </c>
    </row>
    <row r="613" spans="1:13">
      <c r="A613" t="s">
        <v>6030</v>
      </c>
      <c r="B613" t="s">
        <v>1844</v>
      </c>
      <c r="C613" s="34" t="s">
        <v>5780</v>
      </c>
      <c r="F613" t="s">
        <v>5780</v>
      </c>
      <c r="H613">
        <v>15</v>
      </c>
      <c r="I613">
        <f>VLOOKUP(B613,BRAND!B:D,3,FALSE)</f>
        <v>10</v>
      </c>
      <c r="J613">
        <f t="shared" si="9"/>
        <v>33</v>
      </c>
      <c r="M613">
        <v>1</v>
      </c>
    </row>
    <row r="614" spans="1:13">
      <c r="A614" t="s">
        <v>6272</v>
      </c>
      <c r="B614" t="s">
        <v>1844</v>
      </c>
      <c r="C614" s="34" t="s">
        <v>5780</v>
      </c>
      <c r="F614" t="s">
        <v>5780</v>
      </c>
      <c r="G614" t="s">
        <v>801</v>
      </c>
      <c r="H614">
        <v>15</v>
      </c>
      <c r="I614">
        <f>VLOOKUP(B614,BRAND!B:D,3,FALSE)</f>
        <v>10</v>
      </c>
      <c r="J614">
        <f t="shared" si="9"/>
        <v>33</v>
      </c>
      <c r="M614">
        <v>1</v>
      </c>
    </row>
    <row r="615" spans="1:13">
      <c r="A615" t="s">
        <v>6031</v>
      </c>
      <c r="B615" t="s">
        <v>1844</v>
      </c>
      <c r="C615" s="34" t="s">
        <v>5781</v>
      </c>
      <c r="F615" t="s">
        <v>5781</v>
      </c>
      <c r="H615">
        <v>15</v>
      </c>
      <c r="I615">
        <f>VLOOKUP(B615,BRAND!B:D,3,FALSE)</f>
        <v>10</v>
      </c>
      <c r="J615">
        <f t="shared" si="9"/>
        <v>33</v>
      </c>
      <c r="M615">
        <v>1</v>
      </c>
    </row>
    <row r="616" spans="1:13">
      <c r="A616" t="s">
        <v>6273</v>
      </c>
      <c r="B616" t="s">
        <v>1844</v>
      </c>
      <c r="C616" s="34" t="s">
        <v>5781</v>
      </c>
      <c r="F616" t="s">
        <v>5781</v>
      </c>
      <c r="G616" t="s">
        <v>801</v>
      </c>
      <c r="H616">
        <v>15</v>
      </c>
      <c r="I616">
        <f>VLOOKUP(B616,BRAND!B:D,3,FALSE)</f>
        <v>10</v>
      </c>
      <c r="J616">
        <f t="shared" si="9"/>
        <v>33</v>
      </c>
      <c r="M616">
        <v>1</v>
      </c>
    </row>
    <row r="617" spans="1:13">
      <c r="A617" t="s">
        <v>6073</v>
      </c>
      <c r="B617" t="s">
        <v>1844</v>
      </c>
      <c r="C617" s="34" t="s">
        <v>5808</v>
      </c>
      <c r="F617" t="s">
        <v>5808</v>
      </c>
      <c r="H617">
        <v>15</v>
      </c>
      <c r="I617">
        <f>VLOOKUP(B617,BRAND!B:D,3,FALSE)</f>
        <v>10</v>
      </c>
      <c r="J617">
        <f t="shared" si="9"/>
        <v>33</v>
      </c>
      <c r="M617">
        <v>1</v>
      </c>
    </row>
    <row r="618" spans="1:13">
      <c r="A618" t="s">
        <v>6315</v>
      </c>
      <c r="B618" t="s">
        <v>1844</v>
      </c>
      <c r="C618" s="34" t="s">
        <v>5808</v>
      </c>
      <c r="F618" t="s">
        <v>5808</v>
      </c>
      <c r="G618" t="s">
        <v>801</v>
      </c>
      <c r="H618">
        <v>15</v>
      </c>
      <c r="I618">
        <f>VLOOKUP(B618,BRAND!B:D,3,FALSE)</f>
        <v>10</v>
      </c>
      <c r="J618">
        <f t="shared" si="9"/>
        <v>33</v>
      </c>
      <c r="M618">
        <v>1</v>
      </c>
    </row>
    <row r="619" spans="1:13">
      <c r="A619" t="s">
        <v>5882</v>
      </c>
      <c r="B619" t="s">
        <v>1844</v>
      </c>
      <c r="C619" s="34" t="s">
        <v>5656</v>
      </c>
      <c r="F619" t="s">
        <v>5656</v>
      </c>
      <c r="H619">
        <v>15</v>
      </c>
      <c r="I619">
        <f>VLOOKUP(B619,BRAND!B:D,3,FALSE)</f>
        <v>10</v>
      </c>
      <c r="J619">
        <f t="shared" si="9"/>
        <v>32</v>
      </c>
      <c r="M619">
        <v>1</v>
      </c>
    </row>
    <row r="620" spans="1:13">
      <c r="A620" t="s">
        <v>6124</v>
      </c>
      <c r="B620" t="s">
        <v>1844</v>
      </c>
      <c r="C620" s="34" t="s">
        <v>5656</v>
      </c>
      <c r="F620" t="s">
        <v>5656</v>
      </c>
      <c r="G620" t="s">
        <v>801</v>
      </c>
      <c r="H620">
        <v>15</v>
      </c>
      <c r="I620">
        <f>VLOOKUP(B620,BRAND!B:D,3,FALSE)</f>
        <v>10</v>
      </c>
      <c r="J620">
        <f t="shared" si="9"/>
        <v>32</v>
      </c>
      <c r="M620">
        <v>1</v>
      </c>
    </row>
    <row r="621" spans="1:13">
      <c r="A621" t="s">
        <v>5893</v>
      </c>
      <c r="B621" t="s">
        <v>1844</v>
      </c>
      <c r="C621" s="34" t="s">
        <v>5664</v>
      </c>
      <c r="F621" t="s">
        <v>5664</v>
      </c>
      <c r="H621">
        <v>15</v>
      </c>
      <c r="I621">
        <f>VLOOKUP(B621,BRAND!B:D,3,FALSE)</f>
        <v>10</v>
      </c>
      <c r="J621">
        <f t="shared" si="9"/>
        <v>32</v>
      </c>
      <c r="M621">
        <v>1</v>
      </c>
    </row>
    <row r="622" spans="1:13">
      <c r="A622" t="s">
        <v>6135</v>
      </c>
      <c r="B622" t="s">
        <v>1844</v>
      </c>
      <c r="C622" s="34" t="s">
        <v>5664</v>
      </c>
      <c r="F622" t="s">
        <v>5664</v>
      </c>
      <c r="G622" t="s">
        <v>801</v>
      </c>
      <c r="H622">
        <v>15</v>
      </c>
      <c r="I622">
        <f>VLOOKUP(B622,BRAND!B:D,3,FALSE)</f>
        <v>10</v>
      </c>
      <c r="J622">
        <f t="shared" si="9"/>
        <v>32</v>
      </c>
      <c r="M622">
        <v>1</v>
      </c>
    </row>
    <row r="623" spans="1:13">
      <c r="A623" t="s">
        <v>5933</v>
      </c>
      <c r="B623" t="s">
        <v>1844</v>
      </c>
      <c r="C623" s="34" t="s">
        <v>5692</v>
      </c>
      <c r="F623" t="s">
        <v>5692</v>
      </c>
      <c r="H623">
        <v>15</v>
      </c>
      <c r="I623">
        <f>VLOOKUP(B623,BRAND!B:D,3,FALSE)</f>
        <v>10</v>
      </c>
      <c r="J623">
        <f t="shared" si="9"/>
        <v>32</v>
      </c>
      <c r="M623">
        <v>1</v>
      </c>
    </row>
    <row r="624" spans="1:13">
      <c r="A624" t="s">
        <v>6175</v>
      </c>
      <c r="B624" t="s">
        <v>1844</v>
      </c>
      <c r="C624" s="34" t="s">
        <v>5692</v>
      </c>
      <c r="F624" t="s">
        <v>5692</v>
      </c>
      <c r="G624" t="s">
        <v>801</v>
      </c>
      <c r="H624">
        <v>15</v>
      </c>
      <c r="I624">
        <f>VLOOKUP(B624,BRAND!B:D,3,FALSE)</f>
        <v>10</v>
      </c>
      <c r="J624">
        <f t="shared" si="9"/>
        <v>32</v>
      </c>
      <c r="M624">
        <v>1</v>
      </c>
    </row>
    <row r="625" spans="1:13">
      <c r="A625" t="s">
        <v>5965</v>
      </c>
      <c r="B625" t="s">
        <v>1844</v>
      </c>
      <c r="C625" s="34" t="s">
        <v>5720</v>
      </c>
      <c r="F625" t="s">
        <v>5720</v>
      </c>
      <c r="H625">
        <v>15</v>
      </c>
      <c r="I625">
        <f>VLOOKUP(B625,BRAND!B:D,3,FALSE)</f>
        <v>10</v>
      </c>
      <c r="J625">
        <f t="shared" si="9"/>
        <v>32</v>
      </c>
      <c r="L625">
        <v>1</v>
      </c>
      <c r="M625">
        <v>1</v>
      </c>
    </row>
    <row r="626" spans="1:13">
      <c r="A626" t="s">
        <v>6207</v>
      </c>
      <c r="B626" t="s">
        <v>1844</v>
      </c>
      <c r="C626" s="34" t="s">
        <v>5720</v>
      </c>
      <c r="F626" t="s">
        <v>5720</v>
      </c>
      <c r="G626" t="s">
        <v>801</v>
      </c>
      <c r="H626">
        <v>15</v>
      </c>
      <c r="I626">
        <f>VLOOKUP(B626,BRAND!B:D,3,FALSE)</f>
        <v>10</v>
      </c>
      <c r="J626">
        <f t="shared" si="9"/>
        <v>32</v>
      </c>
      <c r="L626">
        <v>1</v>
      </c>
      <c r="M626">
        <v>1</v>
      </c>
    </row>
    <row r="627" spans="1:13">
      <c r="A627" t="s">
        <v>6071</v>
      </c>
      <c r="B627" t="s">
        <v>1844</v>
      </c>
      <c r="C627" s="34" t="s">
        <v>5806</v>
      </c>
      <c r="F627" t="s">
        <v>5806</v>
      </c>
      <c r="H627">
        <v>15</v>
      </c>
      <c r="I627">
        <f>VLOOKUP(B627,BRAND!B:D,3,FALSE)</f>
        <v>10</v>
      </c>
      <c r="J627">
        <f t="shared" si="9"/>
        <v>32</v>
      </c>
      <c r="M627">
        <v>1</v>
      </c>
    </row>
    <row r="628" spans="1:13">
      <c r="A628" t="s">
        <v>6313</v>
      </c>
      <c r="B628" t="s">
        <v>1844</v>
      </c>
      <c r="C628" s="34" t="s">
        <v>5806</v>
      </c>
      <c r="F628" t="s">
        <v>5806</v>
      </c>
      <c r="G628" t="s">
        <v>801</v>
      </c>
      <c r="H628">
        <v>15</v>
      </c>
      <c r="I628">
        <f>VLOOKUP(B628,BRAND!B:D,3,FALSE)</f>
        <v>10</v>
      </c>
      <c r="J628">
        <f t="shared" si="9"/>
        <v>32</v>
      </c>
      <c r="M628">
        <v>1</v>
      </c>
    </row>
    <row r="629" spans="1:13">
      <c r="A629" t="s">
        <v>6074</v>
      </c>
      <c r="B629" t="s">
        <v>1844</v>
      </c>
      <c r="C629" s="34" t="s">
        <v>5809</v>
      </c>
      <c r="F629" t="s">
        <v>5809</v>
      </c>
      <c r="H629">
        <v>15</v>
      </c>
      <c r="I629">
        <f>VLOOKUP(B629,BRAND!B:D,3,FALSE)</f>
        <v>10</v>
      </c>
      <c r="J629">
        <f t="shared" si="9"/>
        <v>32</v>
      </c>
      <c r="M629">
        <v>1</v>
      </c>
    </row>
    <row r="630" spans="1:13">
      <c r="A630" t="s">
        <v>6316</v>
      </c>
      <c r="B630" t="s">
        <v>1844</v>
      </c>
      <c r="C630" s="34" t="s">
        <v>5809</v>
      </c>
      <c r="F630" t="s">
        <v>5809</v>
      </c>
      <c r="G630" t="s">
        <v>801</v>
      </c>
      <c r="H630">
        <v>15</v>
      </c>
      <c r="I630">
        <f>VLOOKUP(B630,BRAND!B:D,3,FALSE)</f>
        <v>10</v>
      </c>
      <c r="J630">
        <f t="shared" si="9"/>
        <v>32</v>
      </c>
      <c r="M630">
        <v>1</v>
      </c>
    </row>
    <row r="631" spans="1:13">
      <c r="A631" t="s">
        <v>6089</v>
      </c>
      <c r="B631" t="s">
        <v>1844</v>
      </c>
      <c r="C631" s="34" t="s">
        <v>5822</v>
      </c>
      <c r="F631" t="s">
        <v>5822</v>
      </c>
      <c r="H631">
        <v>15</v>
      </c>
      <c r="I631">
        <f>VLOOKUP(B631,BRAND!B:D,3,FALSE)</f>
        <v>10</v>
      </c>
      <c r="J631">
        <f t="shared" si="9"/>
        <v>32</v>
      </c>
      <c r="M631">
        <v>1</v>
      </c>
    </row>
    <row r="632" spans="1:13">
      <c r="A632" t="s">
        <v>6331</v>
      </c>
      <c r="B632" t="s">
        <v>1844</v>
      </c>
      <c r="C632" s="34" t="s">
        <v>5822</v>
      </c>
      <c r="F632" t="s">
        <v>5822</v>
      </c>
      <c r="G632" t="s">
        <v>801</v>
      </c>
      <c r="H632">
        <v>15</v>
      </c>
      <c r="I632">
        <f>VLOOKUP(B632,BRAND!B:D,3,FALSE)</f>
        <v>10</v>
      </c>
      <c r="J632">
        <f t="shared" si="9"/>
        <v>32</v>
      </c>
      <c r="M632">
        <v>1</v>
      </c>
    </row>
    <row r="633" spans="1:13">
      <c r="A633" t="s">
        <v>5856</v>
      </c>
      <c r="B633" t="s">
        <v>1844</v>
      </c>
      <c r="C633" s="34" t="s">
        <v>6369</v>
      </c>
      <c r="F633" t="s">
        <v>5582</v>
      </c>
      <c r="H633">
        <v>15</v>
      </c>
      <c r="I633">
        <f>VLOOKUP(B633,BRAND!B:D,3,FALSE)</f>
        <v>10</v>
      </c>
      <c r="J633">
        <f t="shared" si="9"/>
        <v>31</v>
      </c>
      <c r="M633">
        <v>1</v>
      </c>
    </row>
    <row r="634" spans="1:13">
      <c r="A634" t="s">
        <v>6413</v>
      </c>
      <c r="B634" t="s">
        <v>1844</v>
      </c>
      <c r="C634" s="34" t="s">
        <v>5582</v>
      </c>
      <c r="F634" t="s">
        <v>5582</v>
      </c>
      <c r="G634" t="s">
        <v>801</v>
      </c>
      <c r="H634">
        <v>15</v>
      </c>
      <c r="I634">
        <f>VLOOKUP(B634,BRAND!B:D,3,FALSE)</f>
        <v>10</v>
      </c>
      <c r="J634">
        <f t="shared" si="9"/>
        <v>31</v>
      </c>
      <c r="M634">
        <v>1</v>
      </c>
    </row>
    <row r="635" spans="1:13">
      <c r="A635" t="s">
        <v>5888</v>
      </c>
      <c r="B635" t="s">
        <v>1844</v>
      </c>
      <c r="C635" s="34" t="s">
        <v>5662</v>
      </c>
      <c r="F635" t="s">
        <v>5662</v>
      </c>
      <c r="H635">
        <v>15</v>
      </c>
      <c r="I635">
        <f>VLOOKUP(B635,BRAND!B:D,3,FALSE)</f>
        <v>10</v>
      </c>
      <c r="J635">
        <f t="shared" si="9"/>
        <v>31</v>
      </c>
      <c r="M635">
        <v>1</v>
      </c>
    </row>
    <row r="636" spans="1:13">
      <c r="A636" t="s">
        <v>6130</v>
      </c>
      <c r="B636" t="s">
        <v>1844</v>
      </c>
      <c r="C636" s="34" t="s">
        <v>5662</v>
      </c>
      <c r="F636" t="s">
        <v>5662</v>
      </c>
      <c r="G636" t="s">
        <v>801</v>
      </c>
      <c r="H636">
        <v>15</v>
      </c>
      <c r="I636">
        <f>VLOOKUP(B636,BRAND!B:D,3,FALSE)</f>
        <v>10</v>
      </c>
      <c r="J636">
        <f t="shared" si="9"/>
        <v>31</v>
      </c>
      <c r="M636">
        <v>1</v>
      </c>
    </row>
    <row r="637" spans="1:13">
      <c r="A637" t="s">
        <v>5924</v>
      </c>
      <c r="B637" t="s">
        <v>1844</v>
      </c>
      <c r="C637" s="34" t="s">
        <v>5685</v>
      </c>
      <c r="F637" t="s">
        <v>5685</v>
      </c>
      <c r="H637">
        <v>15</v>
      </c>
      <c r="I637">
        <f>VLOOKUP(B637,BRAND!B:D,3,FALSE)</f>
        <v>10</v>
      </c>
      <c r="J637">
        <f t="shared" si="9"/>
        <v>31</v>
      </c>
      <c r="M637">
        <v>1</v>
      </c>
    </row>
    <row r="638" spans="1:13">
      <c r="A638" t="s">
        <v>6166</v>
      </c>
      <c r="B638" t="s">
        <v>1844</v>
      </c>
      <c r="C638" s="34" t="s">
        <v>5685</v>
      </c>
      <c r="F638" t="s">
        <v>5685</v>
      </c>
      <c r="G638" t="s">
        <v>801</v>
      </c>
      <c r="H638">
        <v>15</v>
      </c>
      <c r="I638">
        <f>VLOOKUP(B638,BRAND!B:D,3,FALSE)</f>
        <v>10</v>
      </c>
      <c r="J638">
        <f t="shared" si="9"/>
        <v>31</v>
      </c>
      <c r="M638">
        <v>1</v>
      </c>
    </row>
    <row r="639" spans="1:13">
      <c r="A639" t="s">
        <v>5955</v>
      </c>
      <c r="B639" t="s">
        <v>1844</v>
      </c>
      <c r="C639" s="34" t="s">
        <v>5714</v>
      </c>
      <c r="F639" t="s">
        <v>5714</v>
      </c>
      <c r="H639">
        <v>15</v>
      </c>
      <c r="I639">
        <f>VLOOKUP(B639,BRAND!B:D,3,FALSE)</f>
        <v>10</v>
      </c>
      <c r="J639">
        <f t="shared" si="9"/>
        <v>31</v>
      </c>
      <c r="M639">
        <v>1</v>
      </c>
    </row>
    <row r="640" spans="1:13">
      <c r="A640" t="s">
        <v>6197</v>
      </c>
      <c r="B640" t="s">
        <v>1844</v>
      </c>
      <c r="C640" s="34" t="s">
        <v>5714</v>
      </c>
      <c r="F640" t="s">
        <v>5714</v>
      </c>
      <c r="G640" t="s">
        <v>801</v>
      </c>
      <c r="H640">
        <v>15</v>
      </c>
      <c r="I640">
        <f>VLOOKUP(B640,BRAND!B:D,3,FALSE)</f>
        <v>10</v>
      </c>
      <c r="J640">
        <f t="shared" si="9"/>
        <v>31</v>
      </c>
      <c r="M640">
        <v>1</v>
      </c>
    </row>
    <row r="641" spans="1:13">
      <c r="A641" t="s">
        <v>5976</v>
      </c>
      <c r="B641" t="s">
        <v>1844</v>
      </c>
      <c r="C641" s="34" t="s">
        <v>5731</v>
      </c>
      <c r="F641" t="s">
        <v>5731</v>
      </c>
      <c r="H641">
        <v>15</v>
      </c>
      <c r="I641">
        <f>VLOOKUP(B641,BRAND!B:D,3,FALSE)</f>
        <v>10</v>
      </c>
      <c r="J641">
        <f t="shared" si="9"/>
        <v>31</v>
      </c>
      <c r="M641">
        <v>1</v>
      </c>
    </row>
    <row r="642" spans="1:13">
      <c r="A642" t="s">
        <v>6218</v>
      </c>
      <c r="B642" t="s">
        <v>1844</v>
      </c>
      <c r="C642" s="34" t="s">
        <v>5731</v>
      </c>
      <c r="F642" t="s">
        <v>5731</v>
      </c>
      <c r="G642" t="s">
        <v>801</v>
      </c>
      <c r="H642">
        <v>15</v>
      </c>
      <c r="I642">
        <f>VLOOKUP(B642,BRAND!B:D,3,FALSE)</f>
        <v>10</v>
      </c>
      <c r="J642">
        <f t="shared" si="9"/>
        <v>31</v>
      </c>
      <c r="M642">
        <v>1</v>
      </c>
    </row>
    <row r="643" spans="1:13">
      <c r="A643" t="s">
        <v>5861</v>
      </c>
      <c r="B643" t="s">
        <v>1844</v>
      </c>
      <c r="C643" s="34" t="s">
        <v>5638</v>
      </c>
      <c r="F643" t="s">
        <v>5638</v>
      </c>
      <c r="H643">
        <v>15</v>
      </c>
      <c r="I643">
        <f>VLOOKUP(B643,BRAND!B:D,3,FALSE)</f>
        <v>10</v>
      </c>
      <c r="J643">
        <f t="shared" si="9"/>
        <v>30</v>
      </c>
      <c r="M643">
        <v>1</v>
      </c>
    </row>
    <row r="644" spans="1:13">
      <c r="A644" t="s">
        <v>6418</v>
      </c>
      <c r="B644" t="s">
        <v>1844</v>
      </c>
      <c r="C644" s="34" t="s">
        <v>5638</v>
      </c>
      <c r="F644" t="s">
        <v>5638</v>
      </c>
      <c r="G644" t="s">
        <v>801</v>
      </c>
      <c r="H644">
        <v>15</v>
      </c>
      <c r="I644">
        <f>VLOOKUP(B644,BRAND!B:D,3,FALSE)</f>
        <v>10</v>
      </c>
      <c r="J644">
        <f t="shared" si="9"/>
        <v>30</v>
      </c>
      <c r="M644">
        <v>1</v>
      </c>
    </row>
    <row r="645" spans="1:13">
      <c r="A645" t="s">
        <v>5894</v>
      </c>
      <c r="B645" t="s">
        <v>1844</v>
      </c>
      <c r="C645" s="34" t="s">
        <v>5665</v>
      </c>
      <c r="F645" t="s">
        <v>5665</v>
      </c>
      <c r="H645">
        <v>15</v>
      </c>
      <c r="I645">
        <f>VLOOKUP(B645,BRAND!B:D,3,FALSE)</f>
        <v>10</v>
      </c>
      <c r="J645">
        <f t="shared" si="9"/>
        <v>30</v>
      </c>
      <c r="M645">
        <v>1</v>
      </c>
    </row>
    <row r="646" spans="1:13">
      <c r="A646" t="s">
        <v>6136</v>
      </c>
      <c r="B646" t="s">
        <v>1844</v>
      </c>
      <c r="C646" s="34" t="s">
        <v>5665</v>
      </c>
      <c r="F646" t="s">
        <v>5665</v>
      </c>
      <c r="G646" t="s">
        <v>801</v>
      </c>
      <c r="H646">
        <v>15</v>
      </c>
      <c r="I646">
        <f>VLOOKUP(B646,BRAND!B:D,3,FALSE)</f>
        <v>10</v>
      </c>
      <c r="J646">
        <f t="shared" si="9"/>
        <v>30</v>
      </c>
      <c r="M646">
        <v>1</v>
      </c>
    </row>
    <row r="647" spans="1:13">
      <c r="A647" t="s">
        <v>5969</v>
      </c>
      <c r="B647" t="s">
        <v>1844</v>
      </c>
      <c r="C647" s="34" t="s">
        <v>5724</v>
      </c>
      <c r="F647" t="s">
        <v>5724</v>
      </c>
      <c r="H647">
        <v>15</v>
      </c>
      <c r="I647">
        <f>VLOOKUP(B647,BRAND!B:D,3,FALSE)</f>
        <v>10</v>
      </c>
      <c r="J647">
        <f t="shared" si="9"/>
        <v>30</v>
      </c>
      <c r="L647">
        <v>1</v>
      </c>
      <c r="M647">
        <v>1</v>
      </c>
    </row>
    <row r="648" spans="1:13">
      <c r="A648" t="s">
        <v>6211</v>
      </c>
      <c r="B648" t="s">
        <v>1844</v>
      </c>
      <c r="C648" s="34" t="s">
        <v>5724</v>
      </c>
      <c r="F648" t="s">
        <v>5724</v>
      </c>
      <c r="G648" t="s">
        <v>801</v>
      </c>
      <c r="H648">
        <v>15</v>
      </c>
      <c r="I648">
        <f>VLOOKUP(B648,BRAND!B:D,3,FALSE)</f>
        <v>10</v>
      </c>
      <c r="J648">
        <f t="shared" si="9"/>
        <v>30</v>
      </c>
      <c r="L648">
        <v>1</v>
      </c>
      <c r="M648">
        <v>1</v>
      </c>
    </row>
    <row r="649" spans="1:13">
      <c r="A649" t="s">
        <v>6036</v>
      </c>
      <c r="B649" t="s">
        <v>1844</v>
      </c>
      <c r="C649" s="34" t="s">
        <v>5784</v>
      </c>
      <c r="F649" t="s">
        <v>5784</v>
      </c>
      <c r="H649">
        <v>15</v>
      </c>
      <c r="I649">
        <f>VLOOKUP(B649,BRAND!B:D,3,FALSE)</f>
        <v>10</v>
      </c>
      <c r="J649">
        <f t="shared" si="9"/>
        <v>30</v>
      </c>
      <c r="M649">
        <v>1</v>
      </c>
    </row>
    <row r="650" spans="1:13">
      <c r="A650" t="s">
        <v>6278</v>
      </c>
      <c r="B650" t="s">
        <v>1844</v>
      </c>
      <c r="C650" s="34" t="s">
        <v>5784</v>
      </c>
      <c r="F650" t="s">
        <v>5784</v>
      </c>
      <c r="G650" t="s">
        <v>801</v>
      </c>
      <c r="H650">
        <v>15</v>
      </c>
      <c r="I650">
        <f>VLOOKUP(B650,BRAND!B:D,3,FALSE)</f>
        <v>10</v>
      </c>
      <c r="J650">
        <f t="shared" si="9"/>
        <v>30</v>
      </c>
      <c r="M650">
        <v>1</v>
      </c>
    </row>
    <row r="651" spans="1:13">
      <c r="A651" t="s">
        <v>6056</v>
      </c>
      <c r="B651" t="s">
        <v>1844</v>
      </c>
      <c r="C651" s="34" t="s">
        <v>5793</v>
      </c>
      <c r="F651" t="s">
        <v>5793</v>
      </c>
      <c r="H651">
        <v>15</v>
      </c>
      <c r="I651">
        <f>VLOOKUP(B651,BRAND!B:D,3,FALSE)</f>
        <v>10</v>
      </c>
      <c r="J651">
        <f t="shared" si="9"/>
        <v>30</v>
      </c>
      <c r="M651">
        <v>1</v>
      </c>
    </row>
    <row r="652" spans="1:13">
      <c r="A652" t="s">
        <v>6298</v>
      </c>
      <c r="B652" t="s">
        <v>1844</v>
      </c>
      <c r="C652" s="34" t="s">
        <v>5793</v>
      </c>
      <c r="F652" t="s">
        <v>5793</v>
      </c>
      <c r="G652" t="s">
        <v>801</v>
      </c>
      <c r="H652">
        <v>15</v>
      </c>
      <c r="I652">
        <f>VLOOKUP(B652,BRAND!B:D,3,FALSE)</f>
        <v>10</v>
      </c>
      <c r="J652">
        <f t="shared" si="9"/>
        <v>30</v>
      </c>
      <c r="M652">
        <v>1</v>
      </c>
    </row>
    <row r="653" spans="1:13">
      <c r="A653" t="s">
        <v>6061</v>
      </c>
      <c r="B653" t="s">
        <v>1844</v>
      </c>
      <c r="C653" s="34" t="s">
        <v>5798</v>
      </c>
      <c r="F653" t="s">
        <v>5798</v>
      </c>
      <c r="H653">
        <v>15</v>
      </c>
      <c r="I653">
        <f>VLOOKUP(B653,BRAND!B:D,3,FALSE)</f>
        <v>10</v>
      </c>
      <c r="J653">
        <f t="shared" si="9"/>
        <v>30</v>
      </c>
      <c r="M653">
        <v>1</v>
      </c>
    </row>
    <row r="654" spans="1:13">
      <c r="A654" t="s">
        <v>6303</v>
      </c>
      <c r="B654" t="s">
        <v>1844</v>
      </c>
      <c r="C654" s="34" t="s">
        <v>5798</v>
      </c>
      <c r="F654" t="s">
        <v>5798</v>
      </c>
      <c r="G654" t="s">
        <v>801</v>
      </c>
      <c r="H654">
        <v>15</v>
      </c>
      <c r="I654">
        <f>VLOOKUP(B654,BRAND!B:D,3,FALSE)</f>
        <v>10</v>
      </c>
      <c r="J654">
        <f t="shared" si="9"/>
        <v>30</v>
      </c>
      <c r="M654">
        <v>1</v>
      </c>
    </row>
    <row r="655" spans="1:13">
      <c r="A655" t="s">
        <v>6072</v>
      </c>
      <c r="B655" t="s">
        <v>1844</v>
      </c>
      <c r="C655" s="34" t="s">
        <v>5807</v>
      </c>
      <c r="F655" t="s">
        <v>5807</v>
      </c>
      <c r="H655">
        <v>15</v>
      </c>
      <c r="I655">
        <f>VLOOKUP(B655,BRAND!B:D,3,FALSE)</f>
        <v>10</v>
      </c>
      <c r="J655">
        <f t="shared" si="9"/>
        <v>30</v>
      </c>
      <c r="M655">
        <v>1</v>
      </c>
    </row>
    <row r="656" spans="1:13">
      <c r="A656" t="s">
        <v>6314</v>
      </c>
      <c r="B656" t="s">
        <v>1844</v>
      </c>
      <c r="C656" s="34" t="s">
        <v>5807</v>
      </c>
      <c r="F656" t="s">
        <v>5807</v>
      </c>
      <c r="G656" t="s">
        <v>801</v>
      </c>
      <c r="H656">
        <v>15</v>
      </c>
      <c r="I656">
        <f>VLOOKUP(B656,BRAND!B:D,3,FALSE)</f>
        <v>10</v>
      </c>
      <c r="J656">
        <f t="shared" si="9"/>
        <v>30</v>
      </c>
      <c r="M656">
        <v>1</v>
      </c>
    </row>
    <row r="657" spans="1:13">
      <c r="A657" t="s">
        <v>6098</v>
      </c>
      <c r="B657" t="s">
        <v>1844</v>
      </c>
      <c r="C657" s="34" t="s">
        <v>6398</v>
      </c>
      <c r="F657" t="s">
        <v>5831</v>
      </c>
      <c r="H657">
        <v>15</v>
      </c>
      <c r="I657">
        <f>VLOOKUP(B657,BRAND!B:D,3,FALSE)</f>
        <v>10</v>
      </c>
      <c r="J657">
        <f t="shared" ref="J657:J720" si="10">LEN(F657)</f>
        <v>30</v>
      </c>
      <c r="M657">
        <v>1</v>
      </c>
    </row>
    <row r="658" spans="1:13">
      <c r="A658" t="s">
        <v>6340</v>
      </c>
      <c r="B658" t="s">
        <v>1844</v>
      </c>
      <c r="C658" s="34" t="s">
        <v>5831</v>
      </c>
      <c r="F658" t="s">
        <v>5831</v>
      </c>
      <c r="G658" t="s">
        <v>801</v>
      </c>
      <c r="H658">
        <v>15</v>
      </c>
      <c r="I658">
        <f>VLOOKUP(B658,BRAND!B:D,3,FALSE)</f>
        <v>10</v>
      </c>
      <c r="J658">
        <f t="shared" si="10"/>
        <v>30</v>
      </c>
      <c r="M658">
        <v>1</v>
      </c>
    </row>
    <row r="659" spans="1:13">
      <c r="A659" t="s">
        <v>5862</v>
      </c>
      <c r="B659" t="s">
        <v>1844</v>
      </c>
      <c r="C659" s="34" t="s">
        <v>5639</v>
      </c>
      <c r="F659" t="s">
        <v>5639</v>
      </c>
      <c r="H659">
        <v>15</v>
      </c>
      <c r="I659">
        <f>VLOOKUP(B659,BRAND!B:D,3,FALSE)</f>
        <v>10</v>
      </c>
      <c r="J659">
        <f t="shared" si="10"/>
        <v>29</v>
      </c>
      <c r="M659">
        <v>1</v>
      </c>
    </row>
    <row r="660" spans="1:13">
      <c r="A660" t="s">
        <v>6419</v>
      </c>
      <c r="B660" t="s">
        <v>1844</v>
      </c>
      <c r="C660" s="34" t="s">
        <v>5639</v>
      </c>
      <c r="F660" t="s">
        <v>5639</v>
      </c>
      <c r="G660" t="s">
        <v>801</v>
      </c>
      <c r="H660">
        <v>15</v>
      </c>
      <c r="I660">
        <f>VLOOKUP(B660,BRAND!B:D,3,FALSE)</f>
        <v>10</v>
      </c>
      <c r="J660">
        <f t="shared" si="10"/>
        <v>29</v>
      </c>
      <c r="L660">
        <v>1</v>
      </c>
      <c r="M660">
        <v>1</v>
      </c>
    </row>
    <row r="661" spans="1:13">
      <c r="A661" t="s">
        <v>5874</v>
      </c>
      <c r="B661" t="s">
        <v>1844</v>
      </c>
      <c r="C661" s="34" t="s">
        <v>5650</v>
      </c>
      <c r="F661" t="s">
        <v>5650</v>
      </c>
      <c r="H661">
        <v>15</v>
      </c>
      <c r="I661">
        <f>VLOOKUP(B661,BRAND!B:D,3,FALSE)</f>
        <v>10</v>
      </c>
      <c r="J661">
        <f t="shared" si="10"/>
        <v>29</v>
      </c>
      <c r="M661">
        <v>1</v>
      </c>
    </row>
    <row r="662" spans="1:13">
      <c r="A662" t="s">
        <v>6116</v>
      </c>
      <c r="B662" t="s">
        <v>1844</v>
      </c>
      <c r="C662" s="34" t="s">
        <v>5650</v>
      </c>
      <c r="F662" t="s">
        <v>5650</v>
      </c>
      <c r="G662" t="s">
        <v>801</v>
      </c>
      <c r="H662">
        <v>15</v>
      </c>
      <c r="I662">
        <f>VLOOKUP(B662,BRAND!B:D,3,FALSE)</f>
        <v>10</v>
      </c>
      <c r="J662">
        <f t="shared" si="10"/>
        <v>29</v>
      </c>
      <c r="M662">
        <v>1</v>
      </c>
    </row>
    <row r="663" spans="1:13">
      <c r="A663" t="s">
        <v>5891</v>
      </c>
      <c r="B663" t="s">
        <v>1844</v>
      </c>
      <c r="C663" s="34" t="s">
        <v>5663</v>
      </c>
      <c r="F663" t="s">
        <v>5663</v>
      </c>
      <c r="H663">
        <v>15</v>
      </c>
      <c r="I663">
        <f>VLOOKUP(B663,BRAND!B:D,3,FALSE)</f>
        <v>10</v>
      </c>
      <c r="J663">
        <f t="shared" si="10"/>
        <v>29</v>
      </c>
      <c r="M663">
        <v>1</v>
      </c>
    </row>
    <row r="664" spans="1:13">
      <c r="A664" t="s">
        <v>6133</v>
      </c>
      <c r="B664" t="s">
        <v>1844</v>
      </c>
      <c r="C664" s="34" t="s">
        <v>5663</v>
      </c>
      <c r="F664" t="s">
        <v>5663</v>
      </c>
      <c r="G664" t="s">
        <v>801</v>
      </c>
      <c r="H664">
        <v>15</v>
      </c>
      <c r="I664">
        <f>VLOOKUP(B664,BRAND!B:D,3,FALSE)</f>
        <v>10</v>
      </c>
      <c r="J664">
        <f t="shared" si="10"/>
        <v>29</v>
      </c>
      <c r="M664">
        <v>1</v>
      </c>
    </row>
    <row r="665" spans="1:13">
      <c r="A665" t="s">
        <v>5895</v>
      </c>
      <c r="B665" t="s">
        <v>1844</v>
      </c>
      <c r="C665" s="34" t="s">
        <v>5666</v>
      </c>
      <c r="F665" t="s">
        <v>5666</v>
      </c>
      <c r="H665">
        <v>15</v>
      </c>
      <c r="I665">
        <f>VLOOKUP(B665,BRAND!B:D,3,FALSE)</f>
        <v>10</v>
      </c>
      <c r="J665">
        <f t="shared" si="10"/>
        <v>29</v>
      </c>
      <c r="M665">
        <v>1</v>
      </c>
    </row>
    <row r="666" spans="1:13">
      <c r="A666" t="s">
        <v>6137</v>
      </c>
      <c r="B666" t="s">
        <v>1844</v>
      </c>
      <c r="C666" s="34" t="s">
        <v>5666</v>
      </c>
      <c r="F666" t="s">
        <v>5666</v>
      </c>
      <c r="G666" t="s">
        <v>801</v>
      </c>
      <c r="H666">
        <v>15</v>
      </c>
      <c r="I666">
        <f>VLOOKUP(B666,BRAND!B:D,3,FALSE)</f>
        <v>10</v>
      </c>
      <c r="J666">
        <f t="shared" si="10"/>
        <v>29</v>
      </c>
      <c r="M666">
        <v>1</v>
      </c>
    </row>
    <row r="667" spans="1:13">
      <c r="A667" t="s">
        <v>5942</v>
      </c>
      <c r="B667" t="s">
        <v>1844</v>
      </c>
      <c r="C667" s="34" t="s">
        <v>5701</v>
      </c>
      <c r="F667" t="s">
        <v>5701</v>
      </c>
      <c r="H667">
        <v>15</v>
      </c>
      <c r="I667">
        <f>VLOOKUP(B667,BRAND!B:D,3,FALSE)</f>
        <v>10</v>
      </c>
      <c r="J667">
        <f t="shared" si="10"/>
        <v>29</v>
      </c>
      <c r="M667">
        <v>1</v>
      </c>
    </row>
    <row r="668" spans="1:13">
      <c r="A668" t="s">
        <v>6184</v>
      </c>
      <c r="B668" t="s">
        <v>1844</v>
      </c>
      <c r="C668" s="34" t="s">
        <v>5701</v>
      </c>
      <c r="F668" t="s">
        <v>5701</v>
      </c>
      <c r="G668" t="s">
        <v>801</v>
      </c>
      <c r="H668">
        <v>15</v>
      </c>
      <c r="I668">
        <f>VLOOKUP(B668,BRAND!B:D,3,FALSE)</f>
        <v>10</v>
      </c>
      <c r="J668">
        <f t="shared" si="10"/>
        <v>29</v>
      </c>
      <c r="M668">
        <v>1</v>
      </c>
    </row>
    <row r="669" spans="1:13" ht="17.149999999999999" customHeight="1">
      <c r="A669" t="s">
        <v>6015</v>
      </c>
      <c r="B669" t="s">
        <v>1844</v>
      </c>
      <c r="C669" s="34" t="s">
        <v>5765</v>
      </c>
      <c r="F669" t="s">
        <v>5765</v>
      </c>
      <c r="H669">
        <v>15</v>
      </c>
      <c r="I669">
        <f>VLOOKUP(B669,BRAND!B:D,3,FALSE)</f>
        <v>10</v>
      </c>
      <c r="J669">
        <f t="shared" si="10"/>
        <v>29</v>
      </c>
      <c r="M669">
        <v>1</v>
      </c>
    </row>
    <row r="670" spans="1:13">
      <c r="A670" t="s">
        <v>6257</v>
      </c>
      <c r="B670" t="s">
        <v>1844</v>
      </c>
      <c r="C670" s="34" t="s">
        <v>5765</v>
      </c>
      <c r="F670" t="s">
        <v>5765</v>
      </c>
      <c r="G670" t="s">
        <v>801</v>
      </c>
      <c r="H670">
        <v>15</v>
      </c>
      <c r="I670">
        <f>VLOOKUP(B670,BRAND!B:D,3,FALSE)</f>
        <v>10</v>
      </c>
      <c r="J670">
        <f t="shared" si="10"/>
        <v>29</v>
      </c>
      <c r="M670">
        <v>1</v>
      </c>
    </row>
    <row r="671" spans="1:13">
      <c r="A671" t="s">
        <v>5918</v>
      </c>
      <c r="B671" t="s">
        <v>1844</v>
      </c>
      <c r="C671" s="34" t="s">
        <v>5679</v>
      </c>
      <c r="F671" t="s">
        <v>5679</v>
      </c>
      <c r="H671">
        <v>15</v>
      </c>
      <c r="I671">
        <f>VLOOKUP(B671,BRAND!B:D,3,FALSE)</f>
        <v>10</v>
      </c>
      <c r="J671">
        <f t="shared" si="10"/>
        <v>28</v>
      </c>
      <c r="M671">
        <v>1</v>
      </c>
    </row>
    <row r="672" spans="1:13">
      <c r="A672" t="s">
        <v>6160</v>
      </c>
      <c r="B672" t="s">
        <v>1844</v>
      </c>
      <c r="C672" s="34" t="s">
        <v>5679</v>
      </c>
      <c r="F672" t="s">
        <v>5679</v>
      </c>
      <c r="G672" t="s">
        <v>801</v>
      </c>
      <c r="H672">
        <v>15</v>
      </c>
      <c r="I672">
        <f>VLOOKUP(B672,BRAND!B:D,3,FALSE)</f>
        <v>10</v>
      </c>
      <c r="J672">
        <f t="shared" si="10"/>
        <v>28</v>
      </c>
      <c r="M672">
        <v>1</v>
      </c>
    </row>
    <row r="673" spans="1:13">
      <c r="A673" t="s">
        <v>5922</v>
      </c>
      <c r="B673" t="s">
        <v>1844</v>
      </c>
      <c r="C673" s="34" t="s">
        <v>5683</v>
      </c>
      <c r="F673" t="s">
        <v>5683</v>
      </c>
      <c r="H673">
        <v>15</v>
      </c>
      <c r="I673">
        <f>VLOOKUP(B673,BRAND!B:D,3,FALSE)</f>
        <v>10</v>
      </c>
      <c r="J673">
        <f t="shared" si="10"/>
        <v>28</v>
      </c>
      <c r="M673">
        <v>1</v>
      </c>
    </row>
    <row r="674" spans="1:13">
      <c r="A674" t="s">
        <v>6164</v>
      </c>
      <c r="B674" t="s">
        <v>1844</v>
      </c>
      <c r="C674" s="34" t="s">
        <v>5683</v>
      </c>
      <c r="F674" t="s">
        <v>5683</v>
      </c>
      <c r="G674" t="s">
        <v>801</v>
      </c>
      <c r="H674">
        <v>15</v>
      </c>
      <c r="I674">
        <f>VLOOKUP(B674,BRAND!B:D,3,FALSE)</f>
        <v>10</v>
      </c>
      <c r="J674">
        <f t="shared" si="10"/>
        <v>28</v>
      </c>
      <c r="M674">
        <v>1</v>
      </c>
    </row>
    <row r="675" spans="1:13">
      <c r="A675" t="s">
        <v>5963</v>
      </c>
      <c r="B675" t="s">
        <v>1844</v>
      </c>
      <c r="C675" s="34" t="s">
        <v>5718</v>
      </c>
      <c r="F675" t="s">
        <v>5718</v>
      </c>
      <c r="H675">
        <v>15</v>
      </c>
      <c r="I675">
        <f>VLOOKUP(B675,BRAND!B:D,3,FALSE)</f>
        <v>10</v>
      </c>
      <c r="J675">
        <f t="shared" si="10"/>
        <v>28</v>
      </c>
      <c r="L675">
        <v>1</v>
      </c>
      <c r="M675">
        <v>1</v>
      </c>
    </row>
    <row r="676" spans="1:13">
      <c r="A676" t="s">
        <v>6205</v>
      </c>
      <c r="B676" t="s">
        <v>1844</v>
      </c>
      <c r="C676" s="34" t="s">
        <v>5718</v>
      </c>
      <c r="F676" t="s">
        <v>5718</v>
      </c>
      <c r="G676" t="s">
        <v>801</v>
      </c>
      <c r="H676">
        <v>15</v>
      </c>
      <c r="I676">
        <f>VLOOKUP(B676,BRAND!B:D,3,FALSE)</f>
        <v>10</v>
      </c>
      <c r="J676">
        <f t="shared" si="10"/>
        <v>28</v>
      </c>
      <c r="L676">
        <v>1</v>
      </c>
      <c r="M676">
        <v>1</v>
      </c>
    </row>
    <row r="677" spans="1:13">
      <c r="A677" t="s">
        <v>5994</v>
      </c>
      <c r="B677" t="s">
        <v>1844</v>
      </c>
      <c r="C677" s="34" t="s">
        <v>5746</v>
      </c>
      <c r="F677" t="s">
        <v>5746</v>
      </c>
      <c r="H677">
        <v>15</v>
      </c>
      <c r="I677">
        <f>VLOOKUP(B677,BRAND!B:D,3,FALSE)</f>
        <v>10</v>
      </c>
      <c r="J677">
        <f t="shared" si="10"/>
        <v>28</v>
      </c>
      <c r="M677">
        <v>1</v>
      </c>
    </row>
    <row r="678" spans="1:13">
      <c r="A678" t="s">
        <v>6236</v>
      </c>
      <c r="B678" t="s">
        <v>1844</v>
      </c>
      <c r="C678" s="34" t="s">
        <v>5746</v>
      </c>
      <c r="F678" t="s">
        <v>5746</v>
      </c>
      <c r="G678" t="s">
        <v>801</v>
      </c>
      <c r="H678">
        <v>15</v>
      </c>
      <c r="I678">
        <f>VLOOKUP(B678,BRAND!B:D,3,FALSE)</f>
        <v>10</v>
      </c>
      <c r="J678">
        <f t="shared" si="10"/>
        <v>28</v>
      </c>
      <c r="M678">
        <v>1</v>
      </c>
    </row>
    <row r="679" spans="1:13">
      <c r="A679" t="s">
        <v>5859</v>
      </c>
      <c r="B679" t="s">
        <v>1844</v>
      </c>
      <c r="C679" s="34" t="s">
        <v>5637</v>
      </c>
      <c r="F679" t="s">
        <v>5637</v>
      </c>
      <c r="H679">
        <v>15</v>
      </c>
      <c r="I679">
        <f>VLOOKUP(B679,BRAND!B:D,3,FALSE)</f>
        <v>10</v>
      </c>
      <c r="J679">
        <f t="shared" si="10"/>
        <v>27</v>
      </c>
      <c r="M679">
        <v>1</v>
      </c>
    </row>
    <row r="680" spans="1:13">
      <c r="A680" t="s">
        <v>6416</v>
      </c>
      <c r="B680" t="s">
        <v>1844</v>
      </c>
      <c r="C680" s="34" t="s">
        <v>5637</v>
      </c>
      <c r="F680" t="s">
        <v>5637</v>
      </c>
      <c r="G680" t="s">
        <v>801</v>
      </c>
      <c r="H680">
        <v>15</v>
      </c>
      <c r="I680">
        <f>VLOOKUP(B680,BRAND!B:D,3,FALSE)</f>
        <v>10</v>
      </c>
      <c r="J680">
        <f t="shared" si="10"/>
        <v>27</v>
      </c>
      <c r="M680">
        <v>1</v>
      </c>
    </row>
    <row r="681" spans="1:13">
      <c r="A681" t="s">
        <v>5863</v>
      </c>
      <c r="B681" t="s">
        <v>1844</v>
      </c>
      <c r="C681" s="34" t="s">
        <v>6370</v>
      </c>
      <c r="F681" t="s">
        <v>5640</v>
      </c>
      <c r="H681">
        <v>15</v>
      </c>
      <c r="I681">
        <f>VLOOKUP(B681,BRAND!B:D,3,FALSE)</f>
        <v>10</v>
      </c>
      <c r="J681">
        <f t="shared" si="10"/>
        <v>27</v>
      </c>
      <c r="L681">
        <v>1</v>
      </c>
      <c r="M681">
        <v>1</v>
      </c>
    </row>
    <row r="682" spans="1:13">
      <c r="A682" t="s">
        <v>6420</v>
      </c>
      <c r="B682" t="s">
        <v>1844</v>
      </c>
      <c r="C682" s="34" t="s">
        <v>5640</v>
      </c>
      <c r="F682" t="s">
        <v>5640</v>
      </c>
      <c r="G682" t="s">
        <v>801</v>
      </c>
      <c r="H682">
        <v>15</v>
      </c>
      <c r="I682">
        <f>VLOOKUP(B682,BRAND!B:D,3,FALSE)</f>
        <v>10</v>
      </c>
      <c r="J682">
        <f t="shared" si="10"/>
        <v>27</v>
      </c>
      <c r="L682">
        <v>1</v>
      </c>
      <c r="M682">
        <v>1</v>
      </c>
    </row>
    <row r="683" spans="1:13">
      <c r="A683" t="s">
        <v>5867</v>
      </c>
      <c r="B683" t="s">
        <v>1844</v>
      </c>
      <c r="C683" s="34" t="s">
        <v>6374</v>
      </c>
      <c r="F683" t="s">
        <v>5644</v>
      </c>
      <c r="H683">
        <v>15</v>
      </c>
      <c r="I683">
        <f>VLOOKUP(B683,BRAND!B:D,3,FALSE)</f>
        <v>10</v>
      </c>
      <c r="J683">
        <f t="shared" si="10"/>
        <v>27</v>
      </c>
      <c r="M683">
        <v>1</v>
      </c>
    </row>
    <row r="684" spans="1:13">
      <c r="A684" t="s">
        <v>6109</v>
      </c>
      <c r="B684" t="s">
        <v>1844</v>
      </c>
      <c r="C684" s="34" t="s">
        <v>5644</v>
      </c>
      <c r="F684" t="s">
        <v>5644</v>
      </c>
      <c r="G684" t="s">
        <v>801</v>
      </c>
      <c r="H684">
        <v>15</v>
      </c>
      <c r="I684">
        <f>VLOOKUP(B684,BRAND!B:D,3,FALSE)</f>
        <v>10</v>
      </c>
      <c r="J684">
        <f t="shared" si="10"/>
        <v>27</v>
      </c>
      <c r="M684">
        <v>1</v>
      </c>
    </row>
    <row r="685" spans="1:13">
      <c r="A685" t="s">
        <v>5919</v>
      </c>
      <c r="B685" t="s">
        <v>1844</v>
      </c>
      <c r="C685" s="34" t="s">
        <v>5680</v>
      </c>
      <c r="F685" t="s">
        <v>5680</v>
      </c>
      <c r="H685">
        <v>15</v>
      </c>
      <c r="I685">
        <f>VLOOKUP(B685,BRAND!B:D,3,FALSE)</f>
        <v>10</v>
      </c>
      <c r="J685">
        <f t="shared" si="10"/>
        <v>27</v>
      </c>
      <c r="M685">
        <v>1</v>
      </c>
    </row>
    <row r="686" spans="1:13">
      <c r="A686" t="s">
        <v>6161</v>
      </c>
      <c r="B686" t="s">
        <v>1844</v>
      </c>
      <c r="C686" s="34" t="s">
        <v>5680</v>
      </c>
      <c r="F686" t="s">
        <v>5680</v>
      </c>
      <c r="G686" t="s">
        <v>801</v>
      </c>
      <c r="H686">
        <v>15</v>
      </c>
      <c r="I686">
        <f>VLOOKUP(B686,BRAND!B:D,3,FALSE)</f>
        <v>10</v>
      </c>
      <c r="J686">
        <f t="shared" si="10"/>
        <v>27</v>
      </c>
      <c r="M686">
        <v>1</v>
      </c>
    </row>
    <row r="687" spans="1:13">
      <c r="A687" t="s">
        <v>5927</v>
      </c>
      <c r="B687" t="s">
        <v>1844</v>
      </c>
      <c r="C687" s="34" t="s">
        <v>5688</v>
      </c>
      <c r="F687" t="s">
        <v>5688</v>
      </c>
      <c r="H687">
        <v>15</v>
      </c>
      <c r="I687">
        <f>VLOOKUP(B687,BRAND!B:D,3,FALSE)</f>
        <v>10</v>
      </c>
      <c r="J687">
        <f t="shared" si="10"/>
        <v>27</v>
      </c>
      <c r="M687">
        <v>1</v>
      </c>
    </row>
    <row r="688" spans="1:13">
      <c r="A688" t="s">
        <v>6169</v>
      </c>
      <c r="B688" t="s">
        <v>1844</v>
      </c>
      <c r="C688" s="34" t="s">
        <v>5688</v>
      </c>
      <c r="F688" t="s">
        <v>5688</v>
      </c>
      <c r="G688" t="s">
        <v>801</v>
      </c>
      <c r="H688">
        <v>15</v>
      </c>
      <c r="I688">
        <f>VLOOKUP(B688,BRAND!B:D,3,FALSE)</f>
        <v>10</v>
      </c>
      <c r="J688">
        <f t="shared" si="10"/>
        <v>27</v>
      </c>
      <c r="M688">
        <v>1</v>
      </c>
    </row>
    <row r="689" spans="1:13">
      <c r="A689" t="s">
        <v>5967</v>
      </c>
      <c r="B689" t="s">
        <v>1844</v>
      </c>
      <c r="C689" s="34" t="s">
        <v>5722</v>
      </c>
      <c r="F689" t="s">
        <v>5722</v>
      </c>
      <c r="H689">
        <v>15</v>
      </c>
      <c r="I689">
        <f>VLOOKUP(B689,BRAND!B:D,3,FALSE)</f>
        <v>10</v>
      </c>
      <c r="J689">
        <f t="shared" si="10"/>
        <v>27</v>
      </c>
      <c r="L689">
        <v>1</v>
      </c>
      <c r="M689">
        <v>1</v>
      </c>
    </row>
    <row r="690" spans="1:13">
      <c r="A690" t="s">
        <v>6209</v>
      </c>
      <c r="B690" t="s">
        <v>1844</v>
      </c>
      <c r="C690" s="34" t="s">
        <v>5722</v>
      </c>
      <c r="F690" t="s">
        <v>5722</v>
      </c>
      <c r="G690" t="s">
        <v>801</v>
      </c>
      <c r="H690">
        <v>15</v>
      </c>
      <c r="I690">
        <f>VLOOKUP(B690,BRAND!B:D,3,FALSE)</f>
        <v>10</v>
      </c>
      <c r="J690">
        <f t="shared" si="10"/>
        <v>27</v>
      </c>
      <c r="L690">
        <v>1</v>
      </c>
      <c r="M690">
        <v>1</v>
      </c>
    </row>
    <row r="691" spans="1:13">
      <c r="A691" t="s">
        <v>5980</v>
      </c>
      <c r="B691" t="s">
        <v>1844</v>
      </c>
      <c r="C691" s="34" t="s">
        <v>5735</v>
      </c>
      <c r="F691" t="s">
        <v>5735</v>
      </c>
      <c r="H691">
        <v>15</v>
      </c>
      <c r="I691">
        <f>VLOOKUP(B691,BRAND!B:D,3,FALSE)</f>
        <v>10</v>
      </c>
      <c r="J691">
        <f t="shared" si="10"/>
        <v>27</v>
      </c>
      <c r="M691">
        <v>1</v>
      </c>
    </row>
    <row r="692" spans="1:13">
      <c r="A692" t="s">
        <v>6222</v>
      </c>
      <c r="B692" t="s">
        <v>1844</v>
      </c>
      <c r="C692" s="34" t="s">
        <v>5735</v>
      </c>
      <c r="F692" t="s">
        <v>5735</v>
      </c>
      <c r="G692" t="s">
        <v>801</v>
      </c>
      <c r="H692">
        <v>15</v>
      </c>
      <c r="I692">
        <f>VLOOKUP(B692,BRAND!B:D,3,FALSE)</f>
        <v>10</v>
      </c>
      <c r="J692">
        <f t="shared" si="10"/>
        <v>27</v>
      </c>
      <c r="M692">
        <v>1</v>
      </c>
    </row>
    <row r="693" spans="1:13">
      <c r="A693" t="s">
        <v>6018</v>
      </c>
      <c r="B693" t="s">
        <v>1844</v>
      </c>
      <c r="C693" s="34" t="s">
        <v>5768</v>
      </c>
      <c r="F693" t="s">
        <v>5768</v>
      </c>
      <c r="H693">
        <v>15</v>
      </c>
      <c r="I693">
        <f>VLOOKUP(B693,BRAND!B:D,3,FALSE)</f>
        <v>10</v>
      </c>
      <c r="J693">
        <f t="shared" si="10"/>
        <v>27</v>
      </c>
      <c r="M693">
        <v>1</v>
      </c>
    </row>
    <row r="694" spans="1:13">
      <c r="A694" t="s">
        <v>6260</v>
      </c>
      <c r="B694" t="s">
        <v>1844</v>
      </c>
      <c r="C694" s="34" t="s">
        <v>5768</v>
      </c>
      <c r="F694" t="s">
        <v>5768</v>
      </c>
      <c r="G694" t="s">
        <v>801</v>
      </c>
      <c r="H694">
        <v>15</v>
      </c>
      <c r="I694">
        <f>VLOOKUP(B694,BRAND!B:D,3,FALSE)</f>
        <v>10</v>
      </c>
      <c r="J694">
        <f t="shared" si="10"/>
        <v>27</v>
      </c>
      <c r="M694">
        <v>1</v>
      </c>
    </row>
    <row r="695" spans="1:13">
      <c r="A695" t="s">
        <v>6021</v>
      </c>
      <c r="B695" t="s">
        <v>1844</v>
      </c>
      <c r="C695" s="34" t="s">
        <v>5771</v>
      </c>
      <c r="F695" t="s">
        <v>5771</v>
      </c>
      <c r="H695">
        <v>15</v>
      </c>
      <c r="I695">
        <f>VLOOKUP(B695,BRAND!B:D,3,FALSE)</f>
        <v>10</v>
      </c>
      <c r="J695">
        <f t="shared" si="10"/>
        <v>27</v>
      </c>
      <c r="M695">
        <v>1</v>
      </c>
    </row>
    <row r="696" spans="1:13">
      <c r="A696" t="s">
        <v>6263</v>
      </c>
      <c r="B696" t="s">
        <v>1844</v>
      </c>
      <c r="C696" s="34" t="s">
        <v>5771</v>
      </c>
      <c r="F696" t="s">
        <v>5771</v>
      </c>
      <c r="G696" t="s">
        <v>801</v>
      </c>
      <c r="H696">
        <v>15</v>
      </c>
      <c r="I696">
        <f>VLOOKUP(B696,BRAND!B:D,3,FALSE)</f>
        <v>10</v>
      </c>
      <c r="J696">
        <f t="shared" si="10"/>
        <v>27</v>
      </c>
      <c r="M696">
        <v>1</v>
      </c>
    </row>
    <row r="697" spans="1:13">
      <c r="A697" t="s">
        <v>6037</v>
      </c>
      <c r="B697" t="s">
        <v>1844</v>
      </c>
      <c r="C697" s="34" t="s">
        <v>5785</v>
      </c>
      <c r="F697" t="s">
        <v>5785</v>
      </c>
      <c r="H697">
        <v>15</v>
      </c>
      <c r="I697">
        <f>VLOOKUP(B697,BRAND!B:D,3,FALSE)</f>
        <v>10</v>
      </c>
      <c r="J697">
        <f t="shared" si="10"/>
        <v>27</v>
      </c>
      <c r="M697">
        <v>1</v>
      </c>
    </row>
    <row r="698" spans="1:13">
      <c r="A698" t="s">
        <v>6279</v>
      </c>
      <c r="B698" t="s">
        <v>1844</v>
      </c>
      <c r="C698" s="34" t="s">
        <v>5785</v>
      </c>
      <c r="F698" t="s">
        <v>5785</v>
      </c>
      <c r="G698" t="s">
        <v>801</v>
      </c>
      <c r="H698">
        <v>15</v>
      </c>
      <c r="I698">
        <f>VLOOKUP(B698,BRAND!B:D,3,FALSE)</f>
        <v>10</v>
      </c>
      <c r="J698">
        <f t="shared" si="10"/>
        <v>27</v>
      </c>
      <c r="M698">
        <v>1</v>
      </c>
    </row>
    <row r="699" spans="1:13">
      <c r="A699" t="s">
        <v>6095</v>
      </c>
      <c r="B699" t="s">
        <v>1844</v>
      </c>
      <c r="C699" s="34" t="s">
        <v>6397</v>
      </c>
      <c r="F699" t="s">
        <v>5828</v>
      </c>
      <c r="H699">
        <v>15</v>
      </c>
      <c r="I699">
        <f>VLOOKUP(B699,BRAND!B:D,3,FALSE)</f>
        <v>10</v>
      </c>
      <c r="J699">
        <f t="shared" si="10"/>
        <v>27</v>
      </c>
      <c r="M699">
        <v>1</v>
      </c>
    </row>
    <row r="700" spans="1:13">
      <c r="A700" t="s">
        <v>6337</v>
      </c>
      <c r="B700" t="s">
        <v>1844</v>
      </c>
      <c r="C700" s="34" t="s">
        <v>5828</v>
      </c>
      <c r="F700" t="s">
        <v>5828</v>
      </c>
      <c r="G700" t="s">
        <v>801</v>
      </c>
      <c r="H700">
        <v>15</v>
      </c>
      <c r="I700">
        <f>VLOOKUP(B700,BRAND!B:D,3,FALSE)</f>
        <v>10</v>
      </c>
      <c r="J700">
        <f t="shared" si="10"/>
        <v>27</v>
      </c>
      <c r="M700">
        <v>1</v>
      </c>
    </row>
    <row r="701" spans="1:13">
      <c r="A701" t="s">
        <v>5851</v>
      </c>
      <c r="B701" t="s">
        <v>1844</v>
      </c>
      <c r="C701" s="34" t="s">
        <v>6366</v>
      </c>
      <c r="F701" t="s">
        <v>5577</v>
      </c>
      <c r="H701">
        <v>15</v>
      </c>
      <c r="I701">
        <f>VLOOKUP(B701,BRAND!B:D,3,FALSE)</f>
        <v>10</v>
      </c>
      <c r="J701">
        <f t="shared" si="10"/>
        <v>26</v>
      </c>
      <c r="M701">
        <v>1</v>
      </c>
    </row>
    <row r="702" spans="1:13">
      <c r="A702" t="s">
        <v>6408</v>
      </c>
      <c r="B702" t="s">
        <v>1844</v>
      </c>
      <c r="C702" s="34" t="s">
        <v>5577</v>
      </c>
      <c r="F702" t="s">
        <v>5577</v>
      </c>
      <c r="G702" t="s">
        <v>801</v>
      </c>
      <c r="H702">
        <v>15</v>
      </c>
      <c r="I702">
        <f>VLOOKUP(B702,BRAND!B:D,3,FALSE)</f>
        <v>10</v>
      </c>
      <c r="J702">
        <f t="shared" si="10"/>
        <v>26</v>
      </c>
      <c r="M702">
        <v>1</v>
      </c>
    </row>
    <row r="703" spans="1:13">
      <c r="A703" t="s">
        <v>5889</v>
      </c>
      <c r="B703" t="s">
        <v>1844</v>
      </c>
      <c r="C703" s="34" t="s">
        <v>5587</v>
      </c>
      <c r="F703" t="s">
        <v>5587</v>
      </c>
      <c r="H703">
        <v>15</v>
      </c>
      <c r="I703">
        <f>VLOOKUP(B703,BRAND!B:D,3,FALSE)</f>
        <v>10</v>
      </c>
      <c r="J703">
        <f t="shared" si="10"/>
        <v>26</v>
      </c>
      <c r="M703">
        <v>1</v>
      </c>
    </row>
    <row r="704" spans="1:13">
      <c r="A704" t="s">
        <v>6131</v>
      </c>
      <c r="B704" t="s">
        <v>1844</v>
      </c>
      <c r="C704" s="34" t="s">
        <v>5587</v>
      </c>
      <c r="F704" t="s">
        <v>5587</v>
      </c>
      <c r="G704" t="s">
        <v>801</v>
      </c>
      <c r="H704">
        <v>15</v>
      </c>
      <c r="I704">
        <f>VLOOKUP(B704,BRAND!B:D,3,FALSE)</f>
        <v>10</v>
      </c>
      <c r="J704">
        <f t="shared" si="10"/>
        <v>26</v>
      </c>
      <c r="M704">
        <v>1</v>
      </c>
    </row>
    <row r="705" spans="1:13">
      <c r="A705" t="s">
        <v>5915</v>
      </c>
      <c r="B705" t="s">
        <v>1844</v>
      </c>
      <c r="C705" s="34" t="s">
        <v>5676</v>
      </c>
      <c r="F705" t="s">
        <v>5676</v>
      </c>
      <c r="H705">
        <v>15</v>
      </c>
      <c r="I705">
        <f>VLOOKUP(B705,BRAND!B:D,3,FALSE)</f>
        <v>10</v>
      </c>
      <c r="J705">
        <f t="shared" si="10"/>
        <v>26</v>
      </c>
      <c r="M705">
        <v>1</v>
      </c>
    </row>
    <row r="706" spans="1:13">
      <c r="A706" t="s">
        <v>6157</v>
      </c>
      <c r="B706" t="s">
        <v>1844</v>
      </c>
      <c r="C706" s="34" t="s">
        <v>5676</v>
      </c>
      <c r="F706" t="s">
        <v>5676</v>
      </c>
      <c r="G706" t="s">
        <v>801</v>
      </c>
      <c r="H706">
        <v>15</v>
      </c>
      <c r="I706">
        <f>VLOOKUP(B706,BRAND!B:D,3,FALSE)</f>
        <v>10</v>
      </c>
      <c r="J706">
        <f t="shared" si="10"/>
        <v>26</v>
      </c>
      <c r="M706">
        <v>1</v>
      </c>
    </row>
    <row r="707" spans="1:13">
      <c r="A707" t="s">
        <v>5981</v>
      </c>
      <c r="B707" t="s">
        <v>1844</v>
      </c>
      <c r="C707" s="34" t="s">
        <v>5736</v>
      </c>
      <c r="F707" t="s">
        <v>5736</v>
      </c>
      <c r="H707">
        <v>15</v>
      </c>
      <c r="I707">
        <f>VLOOKUP(B707,BRAND!B:D,3,FALSE)</f>
        <v>10</v>
      </c>
      <c r="J707">
        <f t="shared" si="10"/>
        <v>26</v>
      </c>
      <c r="M707">
        <v>1</v>
      </c>
    </row>
    <row r="708" spans="1:13">
      <c r="A708" t="s">
        <v>6223</v>
      </c>
      <c r="B708" t="s">
        <v>1844</v>
      </c>
      <c r="C708" s="34" t="s">
        <v>5736</v>
      </c>
      <c r="F708" t="s">
        <v>5736</v>
      </c>
      <c r="G708" t="s">
        <v>801</v>
      </c>
      <c r="H708">
        <v>15</v>
      </c>
      <c r="I708">
        <f>VLOOKUP(B708,BRAND!B:D,3,FALSE)</f>
        <v>10</v>
      </c>
      <c r="J708">
        <f t="shared" si="10"/>
        <v>26</v>
      </c>
      <c r="M708">
        <v>1</v>
      </c>
    </row>
    <row r="709" spans="1:13">
      <c r="A709" t="s">
        <v>6019</v>
      </c>
      <c r="B709" t="s">
        <v>1844</v>
      </c>
      <c r="C709" s="34" t="s">
        <v>5769</v>
      </c>
      <c r="F709" t="s">
        <v>5769</v>
      </c>
      <c r="H709">
        <v>15</v>
      </c>
      <c r="I709">
        <f>VLOOKUP(B709,BRAND!B:D,3,FALSE)</f>
        <v>10</v>
      </c>
      <c r="J709">
        <f t="shared" si="10"/>
        <v>26</v>
      </c>
      <c r="M709">
        <v>1</v>
      </c>
    </row>
    <row r="710" spans="1:13">
      <c r="A710" t="s">
        <v>6261</v>
      </c>
      <c r="B710" t="s">
        <v>1844</v>
      </c>
      <c r="C710" s="34" t="s">
        <v>5769</v>
      </c>
      <c r="F710" t="s">
        <v>5769</v>
      </c>
      <c r="G710" t="s">
        <v>801</v>
      </c>
      <c r="H710">
        <v>15</v>
      </c>
      <c r="I710">
        <f>VLOOKUP(B710,BRAND!B:D,3,FALSE)</f>
        <v>10</v>
      </c>
      <c r="J710">
        <f t="shared" si="10"/>
        <v>26</v>
      </c>
      <c r="M710">
        <v>1</v>
      </c>
    </row>
    <row r="711" spans="1:13">
      <c r="A711" t="s">
        <v>6029</v>
      </c>
      <c r="B711" t="s">
        <v>1844</v>
      </c>
      <c r="C711" s="34" t="s">
        <v>5779</v>
      </c>
      <c r="F711" t="s">
        <v>5779</v>
      </c>
      <c r="H711">
        <v>15</v>
      </c>
      <c r="I711">
        <f>VLOOKUP(B711,BRAND!B:D,3,FALSE)</f>
        <v>10</v>
      </c>
      <c r="J711">
        <f t="shared" si="10"/>
        <v>26</v>
      </c>
      <c r="M711">
        <v>1</v>
      </c>
    </row>
    <row r="712" spans="1:13">
      <c r="A712" t="s">
        <v>6271</v>
      </c>
      <c r="B712" t="s">
        <v>1844</v>
      </c>
      <c r="C712" s="34" t="s">
        <v>5779</v>
      </c>
      <c r="F712" t="s">
        <v>5779</v>
      </c>
      <c r="G712" t="s">
        <v>801</v>
      </c>
      <c r="H712">
        <v>15</v>
      </c>
      <c r="I712">
        <f>VLOOKUP(B712,BRAND!B:D,3,FALSE)</f>
        <v>10</v>
      </c>
      <c r="J712">
        <f t="shared" si="10"/>
        <v>26</v>
      </c>
      <c r="M712">
        <v>1</v>
      </c>
    </row>
    <row r="713" spans="1:13">
      <c r="A713" t="s">
        <v>5854</v>
      </c>
      <c r="B713" t="s">
        <v>1844</v>
      </c>
      <c r="C713" s="34" t="s">
        <v>5580</v>
      </c>
      <c r="F713" t="s">
        <v>5580</v>
      </c>
      <c r="H713">
        <v>15</v>
      </c>
      <c r="I713">
        <f>VLOOKUP(B713,BRAND!B:D,3,FALSE)</f>
        <v>10</v>
      </c>
      <c r="J713">
        <f t="shared" si="10"/>
        <v>25</v>
      </c>
      <c r="M713">
        <v>1</v>
      </c>
    </row>
    <row r="714" spans="1:13">
      <c r="A714" t="s">
        <v>6411</v>
      </c>
      <c r="B714" t="s">
        <v>1844</v>
      </c>
      <c r="C714" s="34" t="s">
        <v>5580</v>
      </c>
      <c r="F714" t="s">
        <v>5580</v>
      </c>
      <c r="G714" t="s">
        <v>801</v>
      </c>
      <c r="H714">
        <v>15</v>
      </c>
      <c r="I714">
        <f>VLOOKUP(B714,BRAND!B:D,3,FALSE)</f>
        <v>10</v>
      </c>
      <c r="J714">
        <f t="shared" si="10"/>
        <v>25</v>
      </c>
      <c r="M714">
        <v>1</v>
      </c>
    </row>
    <row r="715" spans="1:13">
      <c r="A715" t="s">
        <v>5917</v>
      </c>
      <c r="B715" t="s">
        <v>1844</v>
      </c>
      <c r="C715" s="34" t="s">
        <v>5678</v>
      </c>
      <c r="F715" t="s">
        <v>5678</v>
      </c>
      <c r="H715">
        <v>15</v>
      </c>
      <c r="I715">
        <f>VLOOKUP(B715,BRAND!B:D,3,FALSE)</f>
        <v>10</v>
      </c>
      <c r="J715">
        <f t="shared" si="10"/>
        <v>25</v>
      </c>
      <c r="M715">
        <v>1</v>
      </c>
    </row>
    <row r="716" spans="1:13">
      <c r="A716" t="s">
        <v>6159</v>
      </c>
      <c r="B716" t="s">
        <v>1844</v>
      </c>
      <c r="C716" s="34" t="s">
        <v>5678</v>
      </c>
      <c r="F716" t="s">
        <v>5678</v>
      </c>
      <c r="G716" t="s">
        <v>801</v>
      </c>
      <c r="H716">
        <v>15</v>
      </c>
      <c r="I716">
        <f>VLOOKUP(B716,BRAND!B:D,3,FALSE)</f>
        <v>10</v>
      </c>
      <c r="J716">
        <f t="shared" si="10"/>
        <v>25</v>
      </c>
      <c r="M716">
        <v>1</v>
      </c>
    </row>
    <row r="717" spans="1:13">
      <c r="A717" t="s">
        <v>6053</v>
      </c>
      <c r="B717" t="s">
        <v>1844</v>
      </c>
      <c r="C717" s="34" t="s">
        <v>5790</v>
      </c>
      <c r="F717" t="s">
        <v>5790</v>
      </c>
      <c r="H717">
        <v>15</v>
      </c>
      <c r="I717">
        <f>VLOOKUP(B717,BRAND!B:D,3,FALSE)</f>
        <v>10</v>
      </c>
      <c r="J717">
        <f t="shared" si="10"/>
        <v>25</v>
      </c>
      <c r="M717">
        <v>1</v>
      </c>
    </row>
    <row r="718" spans="1:13">
      <c r="A718" t="s">
        <v>6295</v>
      </c>
      <c r="B718" t="s">
        <v>1844</v>
      </c>
      <c r="C718" s="34" t="s">
        <v>5790</v>
      </c>
      <c r="F718" t="s">
        <v>5790</v>
      </c>
      <c r="G718" t="s">
        <v>801</v>
      </c>
      <c r="H718">
        <v>15</v>
      </c>
      <c r="I718">
        <f>VLOOKUP(B718,BRAND!B:D,3,FALSE)</f>
        <v>10</v>
      </c>
      <c r="J718">
        <f t="shared" si="10"/>
        <v>25</v>
      </c>
      <c r="M718">
        <v>1</v>
      </c>
    </row>
    <row r="719" spans="1:13">
      <c r="A719" t="s">
        <v>6070</v>
      </c>
      <c r="B719" t="s">
        <v>1844</v>
      </c>
      <c r="C719" s="34" t="s">
        <v>5805</v>
      </c>
      <c r="F719" t="s">
        <v>5805</v>
      </c>
      <c r="H719">
        <v>15</v>
      </c>
      <c r="I719">
        <f>VLOOKUP(B719,BRAND!B:D,3,FALSE)</f>
        <v>10</v>
      </c>
      <c r="J719">
        <f t="shared" si="10"/>
        <v>25</v>
      </c>
      <c r="M719">
        <v>1</v>
      </c>
    </row>
    <row r="720" spans="1:13">
      <c r="A720" t="s">
        <v>6312</v>
      </c>
      <c r="B720" t="s">
        <v>1844</v>
      </c>
      <c r="C720" s="34" t="s">
        <v>5805</v>
      </c>
      <c r="F720" t="s">
        <v>5805</v>
      </c>
      <c r="G720" t="s">
        <v>801</v>
      </c>
      <c r="H720">
        <v>15</v>
      </c>
      <c r="I720">
        <f>VLOOKUP(B720,BRAND!B:D,3,FALSE)</f>
        <v>10</v>
      </c>
      <c r="J720">
        <f t="shared" si="10"/>
        <v>25</v>
      </c>
      <c r="M720">
        <v>1</v>
      </c>
    </row>
    <row r="721" spans="1:13">
      <c r="A721" t="s">
        <v>6090</v>
      </c>
      <c r="B721" t="s">
        <v>1844</v>
      </c>
      <c r="C721" s="34" t="s">
        <v>5823</v>
      </c>
      <c r="F721" t="s">
        <v>5823</v>
      </c>
      <c r="H721">
        <v>15</v>
      </c>
      <c r="I721">
        <f>VLOOKUP(B721,BRAND!B:D,3,FALSE)</f>
        <v>10</v>
      </c>
      <c r="J721">
        <f t="shared" ref="J721:J784" si="11">LEN(F721)</f>
        <v>25</v>
      </c>
      <c r="M721">
        <v>1</v>
      </c>
    </row>
    <row r="722" spans="1:13">
      <c r="A722" t="s">
        <v>6332</v>
      </c>
      <c r="B722" t="s">
        <v>1844</v>
      </c>
      <c r="C722" s="34" t="s">
        <v>5823</v>
      </c>
      <c r="F722" t="s">
        <v>5823</v>
      </c>
      <c r="G722" t="s">
        <v>801</v>
      </c>
      <c r="H722">
        <v>15</v>
      </c>
      <c r="I722">
        <f>VLOOKUP(B722,BRAND!B:D,3,FALSE)</f>
        <v>10</v>
      </c>
      <c r="J722">
        <f t="shared" si="11"/>
        <v>25</v>
      </c>
      <c r="M722">
        <v>1</v>
      </c>
    </row>
    <row r="723" spans="1:13">
      <c r="A723" t="s">
        <v>6094</v>
      </c>
      <c r="B723" t="s">
        <v>1844</v>
      </c>
      <c r="C723" s="34" t="s">
        <v>6396</v>
      </c>
      <c r="F723" t="s">
        <v>5827</v>
      </c>
      <c r="H723">
        <v>15</v>
      </c>
      <c r="I723">
        <f>VLOOKUP(B723,BRAND!B:D,3,FALSE)</f>
        <v>10</v>
      </c>
      <c r="J723">
        <f t="shared" si="11"/>
        <v>25</v>
      </c>
      <c r="M723">
        <v>1</v>
      </c>
    </row>
    <row r="724" spans="1:13">
      <c r="A724" t="s">
        <v>6336</v>
      </c>
      <c r="B724" t="s">
        <v>1844</v>
      </c>
      <c r="C724" s="34" t="s">
        <v>5827</v>
      </c>
      <c r="F724" t="s">
        <v>5827</v>
      </c>
      <c r="G724" t="s">
        <v>801</v>
      </c>
      <c r="H724">
        <v>15</v>
      </c>
      <c r="I724">
        <f>VLOOKUP(B724,BRAND!B:D,3,FALSE)</f>
        <v>10</v>
      </c>
      <c r="J724">
        <f t="shared" si="11"/>
        <v>25</v>
      </c>
      <c r="M724">
        <v>1</v>
      </c>
    </row>
    <row r="725" spans="1:13">
      <c r="A725" t="s">
        <v>5845</v>
      </c>
      <c r="B725" t="s">
        <v>1844</v>
      </c>
      <c r="C725" s="34" t="s">
        <v>5574</v>
      </c>
      <c r="F725" t="s">
        <v>5574</v>
      </c>
      <c r="H725">
        <v>15</v>
      </c>
      <c r="I725">
        <f>VLOOKUP(B725,BRAND!B:D,3,FALSE)</f>
        <v>10</v>
      </c>
      <c r="J725">
        <f t="shared" si="11"/>
        <v>24</v>
      </c>
      <c r="M725">
        <v>1</v>
      </c>
    </row>
    <row r="726" spans="1:13">
      <c r="A726" t="s">
        <v>6402</v>
      </c>
      <c r="B726" t="s">
        <v>1844</v>
      </c>
      <c r="C726" s="34" t="s">
        <v>5574</v>
      </c>
      <c r="F726" t="s">
        <v>5574</v>
      </c>
      <c r="G726" t="s">
        <v>801</v>
      </c>
      <c r="H726">
        <v>15</v>
      </c>
      <c r="I726">
        <f>VLOOKUP(B726,BRAND!B:D,3,FALSE)</f>
        <v>10</v>
      </c>
      <c r="J726">
        <f t="shared" si="11"/>
        <v>24</v>
      </c>
      <c r="M726">
        <v>1</v>
      </c>
    </row>
    <row r="727" spans="1:13">
      <c r="A727" t="s">
        <v>5897</v>
      </c>
      <c r="B727" t="s">
        <v>1844</v>
      </c>
      <c r="C727" s="34" t="s">
        <v>5668</v>
      </c>
      <c r="F727" t="s">
        <v>5668</v>
      </c>
      <c r="H727">
        <v>15</v>
      </c>
      <c r="I727">
        <f>VLOOKUP(B727,BRAND!B:D,3,FALSE)</f>
        <v>10</v>
      </c>
      <c r="J727">
        <f t="shared" si="11"/>
        <v>24</v>
      </c>
      <c r="M727">
        <v>1</v>
      </c>
    </row>
    <row r="728" spans="1:13">
      <c r="A728" t="s">
        <v>6139</v>
      </c>
      <c r="B728" t="s">
        <v>1844</v>
      </c>
      <c r="C728" s="34" t="s">
        <v>5668</v>
      </c>
      <c r="F728" t="s">
        <v>5668</v>
      </c>
      <c r="G728" t="s">
        <v>801</v>
      </c>
      <c r="H728">
        <v>15</v>
      </c>
      <c r="I728">
        <f>VLOOKUP(B728,BRAND!B:D,3,FALSE)</f>
        <v>10</v>
      </c>
      <c r="J728">
        <f t="shared" si="11"/>
        <v>24</v>
      </c>
      <c r="M728">
        <v>1</v>
      </c>
    </row>
    <row r="729" spans="1:13">
      <c r="A729" t="s">
        <v>5946</v>
      </c>
      <c r="B729" t="s">
        <v>1844</v>
      </c>
      <c r="C729" s="34" t="s">
        <v>5705</v>
      </c>
      <c r="F729" t="s">
        <v>5705</v>
      </c>
      <c r="H729">
        <v>15</v>
      </c>
      <c r="I729">
        <f>VLOOKUP(B729,BRAND!B:D,3,FALSE)</f>
        <v>10</v>
      </c>
      <c r="J729">
        <f t="shared" si="11"/>
        <v>24</v>
      </c>
      <c r="M729">
        <v>1</v>
      </c>
    </row>
    <row r="730" spans="1:13">
      <c r="A730" t="s">
        <v>6188</v>
      </c>
      <c r="B730" t="s">
        <v>1844</v>
      </c>
      <c r="C730" s="34" t="s">
        <v>5705</v>
      </c>
      <c r="F730" t="s">
        <v>5705</v>
      </c>
      <c r="G730" t="s">
        <v>801</v>
      </c>
      <c r="H730">
        <v>15</v>
      </c>
      <c r="I730">
        <f>VLOOKUP(B730,BRAND!B:D,3,FALSE)</f>
        <v>10</v>
      </c>
      <c r="J730">
        <f t="shared" si="11"/>
        <v>24</v>
      </c>
      <c r="M730">
        <v>1</v>
      </c>
    </row>
    <row r="731" spans="1:13">
      <c r="A731" t="s">
        <v>5957</v>
      </c>
      <c r="B731" t="s">
        <v>1844</v>
      </c>
      <c r="C731" s="34" t="s">
        <v>5601</v>
      </c>
      <c r="F731" t="s">
        <v>5601</v>
      </c>
      <c r="H731">
        <v>15</v>
      </c>
      <c r="I731">
        <f>VLOOKUP(B731,BRAND!B:D,3,FALSE)</f>
        <v>10</v>
      </c>
      <c r="J731">
        <f t="shared" si="11"/>
        <v>24</v>
      </c>
      <c r="M731">
        <v>1</v>
      </c>
    </row>
    <row r="732" spans="1:13">
      <c r="A732" t="s">
        <v>6199</v>
      </c>
      <c r="B732" t="s">
        <v>1844</v>
      </c>
      <c r="C732" s="34" t="s">
        <v>5601</v>
      </c>
      <c r="F732" t="s">
        <v>5601</v>
      </c>
      <c r="G732" t="s">
        <v>801</v>
      </c>
      <c r="H732">
        <v>15</v>
      </c>
      <c r="I732">
        <f>VLOOKUP(B732,BRAND!B:D,3,FALSE)</f>
        <v>10</v>
      </c>
      <c r="J732">
        <f t="shared" si="11"/>
        <v>24</v>
      </c>
      <c r="M732">
        <v>1</v>
      </c>
    </row>
    <row r="733" spans="1:13">
      <c r="A733" t="s">
        <v>6060</v>
      </c>
      <c r="B733" t="s">
        <v>1844</v>
      </c>
      <c r="C733" s="34" t="s">
        <v>5797</v>
      </c>
      <c r="F733" t="s">
        <v>5797</v>
      </c>
      <c r="H733">
        <v>15</v>
      </c>
      <c r="I733">
        <f>VLOOKUP(B733,BRAND!B:D,3,FALSE)</f>
        <v>10</v>
      </c>
      <c r="J733">
        <f t="shared" si="11"/>
        <v>24</v>
      </c>
      <c r="M733">
        <v>1</v>
      </c>
    </row>
    <row r="734" spans="1:13">
      <c r="A734" t="s">
        <v>6302</v>
      </c>
      <c r="B734" t="s">
        <v>1844</v>
      </c>
      <c r="C734" s="34" t="s">
        <v>5797</v>
      </c>
      <c r="F734" t="s">
        <v>5797</v>
      </c>
      <c r="G734" t="s">
        <v>801</v>
      </c>
      <c r="H734">
        <v>15</v>
      </c>
      <c r="I734">
        <f>VLOOKUP(B734,BRAND!B:D,3,FALSE)</f>
        <v>10</v>
      </c>
      <c r="J734">
        <f t="shared" si="11"/>
        <v>24</v>
      </c>
      <c r="M734">
        <v>1</v>
      </c>
    </row>
    <row r="735" spans="1:13">
      <c r="A735" t="s">
        <v>6069</v>
      </c>
      <c r="B735" t="s">
        <v>1844</v>
      </c>
      <c r="C735" s="34" t="s">
        <v>5804</v>
      </c>
      <c r="F735" t="s">
        <v>5804</v>
      </c>
      <c r="H735">
        <v>15</v>
      </c>
      <c r="I735">
        <f>VLOOKUP(B735,BRAND!B:D,3,FALSE)</f>
        <v>10</v>
      </c>
      <c r="J735">
        <f t="shared" si="11"/>
        <v>24</v>
      </c>
      <c r="M735">
        <v>1</v>
      </c>
    </row>
    <row r="736" spans="1:13">
      <c r="A736" t="s">
        <v>6311</v>
      </c>
      <c r="B736" t="s">
        <v>1844</v>
      </c>
      <c r="C736" s="34" t="s">
        <v>5804</v>
      </c>
      <c r="F736" t="s">
        <v>5804</v>
      </c>
      <c r="G736" t="s">
        <v>801</v>
      </c>
      <c r="H736">
        <v>15</v>
      </c>
      <c r="I736">
        <f>VLOOKUP(B736,BRAND!B:D,3,FALSE)</f>
        <v>10</v>
      </c>
      <c r="J736">
        <f t="shared" si="11"/>
        <v>24</v>
      </c>
      <c r="M736">
        <v>1</v>
      </c>
    </row>
    <row r="737" spans="1:13">
      <c r="A737" t="s">
        <v>6082</v>
      </c>
      <c r="B737" t="s">
        <v>1844</v>
      </c>
      <c r="C737" s="34" t="s">
        <v>5817</v>
      </c>
      <c r="F737" t="s">
        <v>5817</v>
      </c>
      <c r="H737">
        <v>15</v>
      </c>
      <c r="I737">
        <f>VLOOKUP(B737,BRAND!B:D,3,FALSE)</f>
        <v>10</v>
      </c>
      <c r="J737">
        <f t="shared" si="11"/>
        <v>24</v>
      </c>
      <c r="M737">
        <v>1</v>
      </c>
    </row>
    <row r="738" spans="1:13">
      <c r="A738" t="s">
        <v>6324</v>
      </c>
      <c r="B738" t="s">
        <v>1844</v>
      </c>
      <c r="C738" s="34" t="s">
        <v>5817</v>
      </c>
      <c r="F738" t="s">
        <v>5817</v>
      </c>
      <c r="G738" t="s">
        <v>801</v>
      </c>
      <c r="H738">
        <v>15</v>
      </c>
      <c r="I738">
        <f>VLOOKUP(B738,BRAND!B:D,3,FALSE)</f>
        <v>10</v>
      </c>
      <c r="J738">
        <f t="shared" si="11"/>
        <v>24</v>
      </c>
      <c r="M738">
        <v>1</v>
      </c>
    </row>
    <row r="739" spans="1:13">
      <c r="A739" t="s">
        <v>5853</v>
      </c>
      <c r="B739" t="s">
        <v>1844</v>
      </c>
      <c r="C739" s="34" t="s">
        <v>5579</v>
      </c>
      <c r="F739" t="s">
        <v>5579</v>
      </c>
      <c r="H739">
        <v>15</v>
      </c>
      <c r="I739">
        <f>VLOOKUP(B739,BRAND!B:D,3,FALSE)</f>
        <v>10</v>
      </c>
      <c r="J739">
        <f t="shared" si="11"/>
        <v>23</v>
      </c>
      <c r="M739">
        <v>1</v>
      </c>
    </row>
    <row r="740" spans="1:13">
      <c r="A740" t="s">
        <v>6410</v>
      </c>
      <c r="B740" t="s">
        <v>1844</v>
      </c>
      <c r="C740" s="34" t="s">
        <v>5579</v>
      </c>
      <c r="F740" t="s">
        <v>5579</v>
      </c>
      <c r="G740" t="s">
        <v>801</v>
      </c>
      <c r="H740">
        <v>15</v>
      </c>
      <c r="I740">
        <f>VLOOKUP(B740,BRAND!B:D,3,FALSE)</f>
        <v>10</v>
      </c>
      <c r="J740">
        <f t="shared" si="11"/>
        <v>23</v>
      </c>
      <c r="M740">
        <v>1</v>
      </c>
    </row>
    <row r="741" spans="1:13">
      <c r="A741" t="s">
        <v>5869</v>
      </c>
      <c r="B741" t="s">
        <v>1844</v>
      </c>
      <c r="C741" s="34" t="s">
        <v>6376</v>
      </c>
      <c r="F741" t="s">
        <v>5646</v>
      </c>
      <c r="H741">
        <v>15</v>
      </c>
      <c r="I741">
        <f>VLOOKUP(B741,BRAND!B:D,3,FALSE)</f>
        <v>10</v>
      </c>
      <c r="J741">
        <f t="shared" si="11"/>
        <v>23</v>
      </c>
      <c r="M741">
        <v>1</v>
      </c>
    </row>
    <row r="742" spans="1:13">
      <c r="A742" t="s">
        <v>6111</v>
      </c>
      <c r="B742" t="s">
        <v>1844</v>
      </c>
      <c r="C742" s="34" t="s">
        <v>5646</v>
      </c>
      <c r="F742" t="s">
        <v>5646</v>
      </c>
      <c r="G742" t="s">
        <v>801</v>
      </c>
      <c r="H742">
        <v>15</v>
      </c>
      <c r="I742">
        <f>VLOOKUP(B742,BRAND!B:D,3,FALSE)</f>
        <v>10</v>
      </c>
      <c r="J742">
        <f t="shared" si="11"/>
        <v>23</v>
      </c>
      <c r="M742">
        <v>1</v>
      </c>
    </row>
    <row r="743" spans="1:13">
      <c r="A743" t="s">
        <v>5925</v>
      </c>
      <c r="B743" t="s">
        <v>1844</v>
      </c>
      <c r="C743" s="34" t="s">
        <v>5686</v>
      </c>
      <c r="F743" t="s">
        <v>5686</v>
      </c>
      <c r="H743">
        <v>15</v>
      </c>
      <c r="I743">
        <f>VLOOKUP(B743,BRAND!B:D,3,FALSE)</f>
        <v>10</v>
      </c>
      <c r="J743">
        <f t="shared" si="11"/>
        <v>23</v>
      </c>
      <c r="M743">
        <v>1</v>
      </c>
    </row>
    <row r="744" spans="1:13">
      <c r="A744" t="s">
        <v>6167</v>
      </c>
      <c r="B744" t="s">
        <v>1844</v>
      </c>
      <c r="C744" s="34" t="s">
        <v>5686</v>
      </c>
      <c r="F744" t="s">
        <v>5686</v>
      </c>
      <c r="G744" t="s">
        <v>801</v>
      </c>
      <c r="H744">
        <v>15</v>
      </c>
      <c r="I744">
        <f>VLOOKUP(B744,BRAND!B:D,3,FALSE)</f>
        <v>10</v>
      </c>
      <c r="J744">
        <f t="shared" si="11"/>
        <v>23</v>
      </c>
      <c r="M744">
        <v>1</v>
      </c>
    </row>
    <row r="745" spans="1:13">
      <c r="A745" t="s">
        <v>5926</v>
      </c>
      <c r="B745" t="s">
        <v>1844</v>
      </c>
      <c r="C745" s="34" t="s">
        <v>5687</v>
      </c>
      <c r="F745" t="s">
        <v>5687</v>
      </c>
      <c r="H745">
        <v>15</v>
      </c>
      <c r="I745">
        <f>VLOOKUP(B745,BRAND!B:D,3,FALSE)</f>
        <v>10</v>
      </c>
      <c r="J745">
        <f t="shared" si="11"/>
        <v>23</v>
      </c>
      <c r="M745">
        <v>1</v>
      </c>
    </row>
    <row r="746" spans="1:13">
      <c r="A746" t="s">
        <v>6168</v>
      </c>
      <c r="B746" t="s">
        <v>1844</v>
      </c>
      <c r="C746" s="34" t="s">
        <v>5687</v>
      </c>
      <c r="F746" t="s">
        <v>5687</v>
      </c>
      <c r="G746" t="s">
        <v>801</v>
      </c>
      <c r="H746">
        <v>15</v>
      </c>
      <c r="I746">
        <f>VLOOKUP(B746,BRAND!B:D,3,FALSE)</f>
        <v>10</v>
      </c>
      <c r="J746">
        <f t="shared" si="11"/>
        <v>23</v>
      </c>
      <c r="M746">
        <v>1</v>
      </c>
    </row>
    <row r="747" spans="1:13">
      <c r="A747" t="s">
        <v>5928</v>
      </c>
      <c r="B747" t="s">
        <v>1844</v>
      </c>
      <c r="C747" s="34" t="s">
        <v>5689</v>
      </c>
      <c r="F747" t="s">
        <v>5689</v>
      </c>
      <c r="H747">
        <v>15</v>
      </c>
      <c r="I747">
        <f>VLOOKUP(B747,BRAND!B:D,3,FALSE)</f>
        <v>10</v>
      </c>
      <c r="J747">
        <f t="shared" si="11"/>
        <v>23</v>
      </c>
      <c r="M747">
        <v>1</v>
      </c>
    </row>
    <row r="748" spans="1:13">
      <c r="A748" t="s">
        <v>6170</v>
      </c>
      <c r="B748" t="s">
        <v>1844</v>
      </c>
      <c r="C748" s="34" t="s">
        <v>5689</v>
      </c>
      <c r="F748" t="s">
        <v>5689</v>
      </c>
      <c r="G748" t="s">
        <v>801</v>
      </c>
      <c r="H748">
        <v>15</v>
      </c>
      <c r="I748">
        <f>VLOOKUP(B748,BRAND!B:D,3,FALSE)</f>
        <v>10</v>
      </c>
      <c r="J748">
        <f t="shared" si="11"/>
        <v>23</v>
      </c>
      <c r="M748">
        <v>1</v>
      </c>
    </row>
    <row r="749" spans="1:13">
      <c r="A749" t="s">
        <v>5941</v>
      </c>
      <c r="B749" t="s">
        <v>1844</v>
      </c>
      <c r="C749" s="34" t="s">
        <v>5700</v>
      </c>
      <c r="F749" t="s">
        <v>5700</v>
      </c>
      <c r="H749">
        <v>15</v>
      </c>
      <c r="I749">
        <f>VLOOKUP(B749,BRAND!B:D,3,FALSE)</f>
        <v>10</v>
      </c>
      <c r="J749">
        <f t="shared" si="11"/>
        <v>23</v>
      </c>
      <c r="M749">
        <v>1</v>
      </c>
    </row>
    <row r="750" spans="1:13">
      <c r="A750" t="s">
        <v>6183</v>
      </c>
      <c r="B750" t="s">
        <v>1844</v>
      </c>
      <c r="C750" s="34" t="s">
        <v>5700</v>
      </c>
      <c r="F750" t="s">
        <v>5700</v>
      </c>
      <c r="G750" t="s">
        <v>801</v>
      </c>
      <c r="H750">
        <v>15</v>
      </c>
      <c r="I750">
        <f>VLOOKUP(B750,BRAND!B:D,3,FALSE)</f>
        <v>10</v>
      </c>
      <c r="J750">
        <f t="shared" si="11"/>
        <v>23</v>
      </c>
      <c r="M750">
        <v>1</v>
      </c>
    </row>
    <row r="751" spans="1:13">
      <c r="A751" t="s">
        <v>6054</v>
      </c>
      <c r="B751" t="s">
        <v>1844</v>
      </c>
      <c r="C751" s="34" t="s">
        <v>5791</v>
      </c>
      <c r="F751" t="s">
        <v>5791</v>
      </c>
      <c r="H751">
        <v>15</v>
      </c>
      <c r="I751">
        <f>VLOOKUP(B751,BRAND!B:D,3,FALSE)</f>
        <v>10</v>
      </c>
      <c r="J751">
        <f t="shared" si="11"/>
        <v>23</v>
      </c>
      <c r="M751">
        <v>1</v>
      </c>
    </row>
    <row r="752" spans="1:13">
      <c r="A752" t="s">
        <v>6296</v>
      </c>
      <c r="B752" t="s">
        <v>1844</v>
      </c>
      <c r="C752" s="34" t="s">
        <v>5791</v>
      </c>
      <c r="F752" t="s">
        <v>5791</v>
      </c>
      <c r="G752" t="s">
        <v>801</v>
      </c>
      <c r="H752">
        <v>15</v>
      </c>
      <c r="I752">
        <f>VLOOKUP(B752,BRAND!B:D,3,FALSE)</f>
        <v>10</v>
      </c>
      <c r="J752">
        <f t="shared" si="11"/>
        <v>23</v>
      </c>
      <c r="M752">
        <v>1</v>
      </c>
    </row>
    <row r="753" spans="1:13">
      <c r="A753" t="s">
        <v>6062</v>
      </c>
      <c r="B753" t="s">
        <v>1844</v>
      </c>
      <c r="C753" s="34" t="s">
        <v>5799</v>
      </c>
      <c r="F753" t="s">
        <v>5799</v>
      </c>
      <c r="H753">
        <v>15</v>
      </c>
      <c r="I753">
        <f>VLOOKUP(B753,BRAND!B:D,3,FALSE)</f>
        <v>10</v>
      </c>
      <c r="J753">
        <f t="shared" si="11"/>
        <v>23</v>
      </c>
      <c r="M753">
        <v>1</v>
      </c>
    </row>
    <row r="754" spans="1:13">
      <c r="A754" t="s">
        <v>6304</v>
      </c>
      <c r="B754" t="s">
        <v>1844</v>
      </c>
      <c r="C754" s="34" t="s">
        <v>5799</v>
      </c>
      <c r="F754" t="s">
        <v>5799</v>
      </c>
      <c r="G754" t="s">
        <v>801</v>
      </c>
      <c r="H754">
        <v>15</v>
      </c>
      <c r="I754">
        <f>VLOOKUP(B754,BRAND!B:D,3,FALSE)</f>
        <v>10</v>
      </c>
      <c r="J754">
        <f t="shared" si="11"/>
        <v>23</v>
      </c>
      <c r="M754">
        <v>1</v>
      </c>
    </row>
    <row r="755" spans="1:13">
      <c r="A755" t="s">
        <v>6092</v>
      </c>
      <c r="B755" t="s">
        <v>1844</v>
      </c>
      <c r="C755" s="34" t="s">
        <v>6395</v>
      </c>
      <c r="F755" t="s">
        <v>5825</v>
      </c>
      <c r="H755">
        <v>15</v>
      </c>
      <c r="I755">
        <f>VLOOKUP(B755,BRAND!B:D,3,FALSE)</f>
        <v>10</v>
      </c>
      <c r="J755">
        <f t="shared" si="11"/>
        <v>23</v>
      </c>
      <c r="M755">
        <v>1</v>
      </c>
    </row>
    <row r="756" spans="1:13">
      <c r="A756" t="s">
        <v>6334</v>
      </c>
      <c r="B756" t="s">
        <v>1844</v>
      </c>
      <c r="C756" s="34" t="s">
        <v>5825</v>
      </c>
      <c r="F756" t="s">
        <v>5825</v>
      </c>
      <c r="G756" t="s">
        <v>801</v>
      </c>
      <c r="H756">
        <v>15</v>
      </c>
      <c r="I756">
        <f>VLOOKUP(B756,BRAND!B:D,3,FALSE)</f>
        <v>10</v>
      </c>
      <c r="J756">
        <f t="shared" si="11"/>
        <v>23</v>
      </c>
      <c r="M756">
        <v>1</v>
      </c>
    </row>
    <row r="757" spans="1:13">
      <c r="A757" t="s">
        <v>6097</v>
      </c>
      <c r="B757" t="s">
        <v>1844</v>
      </c>
      <c r="C757" s="34" t="s">
        <v>5830</v>
      </c>
      <c r="F757" t="s">
        <v>5830</v>
      </c>
      <c r="H757">
        <v>15</v>
      </c>
      <c r="I757">
        <f>VLOOKUP(B757,BRAND!B:D,3,FALSE)</f>
        <v>10</v>
      </c>
      <c r="J757">
        <f t="shared" si="11"/>
        <v>23</v>
      </c>
      <c r="M757">
        <v>1</v>
      </c>
    </row>
    <row r="758" spans="1:13">
      <c r="A758" t="s">
        <v>6339</v>
      </c>
      <c r="B758" t="s">
        <v>1844</v>
      </c>
      <c r="C758" s="34" t="s">
        <v>5830</v>
      </c>
      <c r="F758" t="s">
        <v>5830</v>
      </c>
      <c r="G758" t="s">
        <v>801</v>
      </c>
      <c r="H758">
        <v>15</v>
      </c>
      <c r="I758">
        <f>VLOOKUP(B758,BRAND!B:D,3,FALSE)</f>
        <v>10</v>
      </c>
      <c r="J758">
        <f t="shared" si="11"/>
        <v>23</v>
      </c>
      <c r="M758">
        <v>1</v>
      </c>
    </row>
    <row r="759" spans="1:13">
      <c r="A759" t="s">
        <v>5898</v>
      </c>
      <c r="B759" t="s">
        <v>1844</v>
      </c>
      <c r="C759" s="34" t="s">
        <v>5669</v>
      </c>
      <c r="F759" t="s">
        <v>5669</v>
      </c>
      <c r="H759">
        <v>15</v>
      </c>
      <c r="I759">
        <f>VLOOKUP(B759,BRAND!B:D,3,FALSE)</f>
        <v>10</v>
      </c>
      <c r="J759">
        <f t="shared" si="11"/>
        <v>22</v>
      </c>
      <c r="M759">
        <v>1</v>
      </c>
    </row>
    <row r="760" spans="1:13">
      <c r="A760" t="s">
        <v>6140</v>
      </c>
      <c r="B760" t="s">
        <v>1844</v>
      </c>
      <c r="C760" s="34" t="s">
        <v>5669</v>
      </c>
      <c r="F760" t="s">
        <v>5669</v>
      </c>
      <c r="G760" t="s">
        <v>801</v>
      </c>
      <c r="H760">
        <v>15</v>
      </c>
      <c r="I760">
        <f>VLOOKUP(B760,BRAND!B:D,3,FALSE)</f>
        <v>10</v>
      </c>
      <c r="J760">
        <f t="shared" si="11"/>
        <v>22</v>
      </c>
      <c r="M760">
        <v>1</v>
      </c>
    </row>
    <row r="761" spans="1:13">
      <c r="A761" t="s">
        <v>5901</v>
      </c>
      <c r="B761" t="s">
        <v>1844</v>
      </c>
      <c r="C761" s="34" t="s">
        <v>5672</v>
      </c>
      <c r="F761" t="s">
        <v>5672</v>
      </c>
      <c r="H761">
        <v>15</v>
      </c>
      <c r="I761">
        <f>VLOOKUP(B761,BRAND!B:D,3,FALSE)</f>
        <v>10</v>
      </c>
      <c r="J761">
        <f t="shared" si="11"/>
        <v>22</v>
      </c>
      <c r="M761">
        <v>1</v>
      </c>
    </row>
    <row r="762" spans="1:13">
      <c r="A762" t="s">
        <v>6143</v>
      </c>
      <c r="B762" t="s">
        <v>1844</v>
      </c>
      <c r="C762" s="34" t="s">
        <v>5672</v>
      </c>
      <c r="F762" t="s">
        <v>5672</v>
      </c>
      <c r="G762" t="s">
        <v>801</v>
      </c>
      <c r="H762">
        <v>15</v>
      </c>
      <c r="I762">
        <f>VLOOKUP(B762,BRAND!B:D,3,FALSE)</f>
        <v>10</v>
      </c>
      <c r="J762">
        <f t="shared" si="11"/>
        <v>22</v>
      </c>
      <c r="M762">
        <v>1</v>
      </c>
    </row>
    <row r="763" spans="1:13">
      <c r="A763" t="s">
        <v>5903</v>
      </c>
      <c r="B763" t="s">
        <v>1844</v>
      </c>
      <c r="C763" s="34" t="s">
        <v>5591</v>
      </c>
      <c r="F763" t="s">
        <v>5591</v>
      </c>
      <c r="H763">
        <v>15</v>
      </c>
      <c r="I763">
        <f>VLOOKUP(B763,BRAND!B:D,3,FALSE)</f>
        <v>10</v>
      </c>
      <c r="J763">
        <f t="shared" si="11"/>
        <v>22</v>
      </c>
      <c r="M763">
        <v>1</v>
      </c>
    </row>
    <row r="764" spans="1:13">
      <c r="A764" t="s">
        <v>6145</v>
      </c>
      <c r="B764" t="s">
        <v>1844</v>
      </c>
      <c r="C764" s="34" t="s">
        <v>5591</v>
      </c>
      <c r="F764" t="s">
        <v>5591</v>
      </c>
      <c r="G764" t="s">
        <v>801</v>
      </c>
      <c r="H764">
        <v>15</v>
      </c>
      <c r="I764">
        <f>VLOOKUP(B764,BRAND!B:D,3,FALSE)</f>
        <v>10</v>
      </c>
      <c r="J764">
        <f t="shared" si="11"/>
        <v>22</v>
      </c>
      <c r="M764">
        <v>1</v>
      </c>
    </row>
    <row r="765" spans="1:13">
      <c r="A765" t="s">
        <v>5907</v>
      </c>
      <c r="B765" t="s">
        <v>1844</v>
      </c>
      <c r="C765" s="34" t="s">
        <v>5673</v>
      </c>
      <c r="F765" t="s">
        <v>5673</v>
      </c>
      <c r="H765">
        <v>15</v>
      </c>
      <c r="I765">
        <f>VLOOKUP(B765,BRAND!B:D,3,FALSE)</f>
        <v>10</v>
      </c>
      <c r="J765">
        <f t="shared" si="11"/>
        <v>22</v>
      </c>
      <c r="M765">
        <v>1</v>
      </c>
    </row>
    <row r="766" spans="1:13">
      <c r="A766" t="s">
        <v>6149</v>
      </c>
      <c r="B766" t="s">
        <v>1844</v>
      </c>
      <c r="C766" s="34" t="s">
        <v>5673</v>
      </c>
      <c r="F766" t="s">
        <v>5673</v>
      </c>
      <c r="G766" t="s">
        <v>801</v>
      </c>
      <c r="H766">
        <v>15</v>
      </c>
      <c r="I766">
        <f>VLOOKUP(B766,BRAND!B:D,3,FALSE)</f>
        <v>10</v>
      </c>
      <c r="J766">
        <f t="shared" si="11"/>
        <v>22</v>
      </c>
      <c r="M766">
        <v>1</v>
      </c>
    </row>
    <row r="767" spans="1:13">
      <c r="A767" t="s">
        <v>5964</v>
      </c>
      <c r="B767" t="s">
        <v>1844</v>
      </c>
      <c r="C767" s="34" t="s">
        <v>5719</v>
      </c>
      <c r="F767" t="s">
        <v>5719</v>
      </c>
      <c r="H767">
        <v>15</v>
      </c>
      <c r="I767">
        <f>VLOOKUP(B767,BRAND!B:D,3,FALSE)</f>
        <v>10</v>
      </c>
      <c r="J767">
        <f t="shared" si="11"/>
        <v>22</v>
      </c>
      <c r="L767">
        <v>1</v>
      </c>
      <c r="M767">
        <v>1</v>
      </c>
    </row>
    <row r="768" spans="1:13">
      <c r="A768" t="s">
        <v>6206</v>
      </c>
      <c r="B768" t="s">
        <v>1844</v>
      </c>
      <c r="C768" s="34" t="s">
        <v>5719</v>
      </c>
      <c r="F768" t="s">
        <v>5719</v>
      </c>
      <c r="G768" t="s">
        <v>801</v>
      </c>
      <c r="H768">
        <v>15</v>
      </c>
      <c r="I768">
        <f>VLOOKUP(B768,BRAND!B:D,3,FALSE)</f>
        <v>10</v>
      </c>
      <c r="J768">
        <f t="shared" si="11"/>
        <v>22</v>
      </c>
      <c r="L768">
        <v>1</v>
      </c>
      <c r="M768">
        <v>1</v>
      </c>
    </row>
    <row r="769" spans="1:13">
      <c r="A769" t="s">
        <v>6002</v>
      </c>
      <c r="B769" t="s">
        <v>1844</v>
      </c>
      <c r="C769" s="34" t="s">
        <v>5754</v>
      </c>
      <c r="F769" t="s">
        <v>5754</v>
      </c>
      <c r="H769">
        <v>15</v>
      </c>
      <c r="I769">
        <f>VLOOKUP(B769,BRAND!B:D,3,FALSE)</f>
        <v>10</v>
      </c>
      <c r="J769">
        <f t="shared" si="11"/>
        <v>22</v>
      </c>
      <c r="M769">
        <v>1</v>
      </c>
    </row>
    <row r="770" spans="1:13">
      <c r="A770" t="s">
        <v>6244</v>
      </c>
      <c r="B770" t="s">
        <v>1844</v>
      </c>
      <c r="C770" s="34" t="s">
        <v>5754</v>
      </c>
      <c r="F770" t="s">
        <v>5754</v>
      </c>
      <c r="G770" t="s">
        <v>801</v>
      </c>
      <c r="H770">
        <v>15</v>
      </c>
      <c r="I770">
        <f>VLOOKUP(B770,BRAND!B:D,3,FALSE)</f>
        <v>10</v>
      </c>
      <c r="J770">
        <f t="shared" si="11"/>
        <v>22</v>
      </c>
      <c r="M770">
        <v>1</v>
      </c>
    </row>
    <row r="771" spans="1:13">
      <c r="A771" t="s">
        <v>6016</v>
      </c>
      <c r="B771" t="s">
        <v>1844</v>
      </c>
      <c r="C771" s="34" t="s">
        <v>5766</v>
      </c>
      <c r="F771" t="s">
        <v>5766</v>
      </c>
      <c r="H771">
        <v>15</v>
      </c>
      <c r="I771">
        <f>VLOOKUP(B771,BRAND!B:D,3,FALSE)</f>
        <v>10</v>
      </c>
      <c r="J771">
        <f t="shared" si="11"/>
        <v>22</v>
      </c>
      <c r="M771">
        <v>1</v>
      </c>
    </row>
    <row r="772" spans="1:13">
      <c r="A772" t="s">
        <v>6258</v>
      </c>
      <c r="B772" t="s">
        <v>1844</v>
      </c>
      <c r="C772" s="34" t="s">
        <v>5766</v>
      </c>
      <c r="F772" t="s">
        <v>5766</v>
      </c>
      <c r="G772" t="s">
        <v>801</v>
      </c>
      <c r="H772">
        <v>15</v>
      </c>
      <c r="I772">
        <f>VLOOKUP(B772,BRAND!B:D,3,FALSE)</f>
        <v>10</v>
      </c>
      <c r="J772">
        <f t="shared" si="11"/>
        <v>22</v>
      </c>
      <c r="M772">
        <v>1</v>
      </c>
    </row>
    <row r="773" spans="1:13">
      <c r="A773" t="s">
        <v>6045</v>
      </c>
      <c r="B773" t="s">
        <v>1844</v>
      </c>
      <c r="C773" s="34" t="s">
        <v>6390</v>
      </c>
      <c r="F773" t="s">
        <v>5615</v>
      </c>
      <c r="H773">
        <v>15</v>
      </c>
      <c r="I773">
        <f>VLOOKUP(B773,BRAND!B:D,3,FALSE)</f>
        <v>10</v>
      </c>
      <c r="J773">
        <f t="shared" si="11"/>
        <v>22</v>
      </c>
      <c r="M773">
        <v>1</v>
      </c>
    </row>
    <row r="774" spans="1:13">
      <c r="A774" t="s">
        <v>6287</v>
      </c>
      <c r="B774" t="s">
        <v>1844</v>
      </c>
      <c r="C774" s="34" t="s">
        <v>5615</v>
      </c>
      <c r="F774" t="s">
        <v>5615</v>
      </c>
      <c r="G774" t="s">
        <v>801</v>
      </c>
      <c r="H774">
        <v>15</v>
      </c>
      <c r="I774">
        <f>VLOOKUP(B774,BRAND!B:D,3,FALSE)</f>
        <v>10</v>
      </c>
      <c r="J774">
        <f t="shared" si="11"/>
        <v>22</v>
      </c>
      <c r="M774">
        <v>1</v>
      </c>
    </row>
    <row r="775" spans="1:13">
      <c r="A775" t="s">
        <v>6051</v>
      </c>
      <c r="B775" t="s">
        <v>1844</v>
      </c>
      <c r="C775" s="34" t="s">
        <v>5788</v>
      </c>
      <c r="F775" t="s">
        <v>5788</v>
      </c>
      <c r="H775">
        <v>15</v>
      </c>
      <c r="I775">
        <f>VLOOKUP(B775,BRAND!B:D,3,FALSE)</f>
        <v>10</v>
      </c>
      <c r="J775">
        <f t="shared" si="11"/>
        <v>22</v>
      </c>
      <c r="M775">
        <v>1</v>
      </c>
    </row>
    <row r="776" spans="1:13">
      <c r="A776" t="s">
        <v>6293</v>
      </c>
      <c r="B776" t="s">
        <v>1844</v>
      </c>
      <c r="C776" s="34" t="s">
        <v>5788</v>
      </c>
      <c r="F776" t="s">
        <v>5788</v>
      </c>
      <c r="G776" t="s">
        <v>801</v>
      </c>
      <c r="H776">
        <v>15</v>
      </c>
      <c r="I776">
        <f>VLOOKUP(B776,BRAND!B:D,3,FALSE)</f>
        <v>10</v>
      </c>
      <c r="J776">
        <f t="shared" si="11"/>
        <v>22</v>
      </c>
      <c r="M776">
        <v>1</v>
      </c>
    </row>
    <row r="777" spans="1:13">
      <c r="A777" t="s">
        <v>6105</v>
      </c>
      <c r="B777" t="s">
        <v>1844</v>
      </c>
      <c r="C777" s="34" t="s">
        <v>5629</v>
      </c>
      <c r="F777" t="s">
        <v>5629</v>
      </c>
      <c r="H777">
        <v>15</v>
      </c>
      <c r="I777">
        <f>VLOOKUP(B777,BRAND!B:D,3,FALSE)</f>
        <v>10</v>
      </c>
      <c r="J777">
        <f t="shared" si="11"/>
        <v>22</v>
      </c>
      <c r="M777">
        <v>1</v>
      </c>
    </row>
    <row r="778" spans="1:13">
      <c r="A778" t="s">
        <v>6083</v>
      </c>
      <c r="B778" t="s">
        <v>1844</v>
      </c>
      <c r="C778" s="34" t="s">
        <v>5818</v>
      </c>
      <c r="F778" t="s">
        <v>5818</v>
      </c>
      <c r="H778">
        <v>15</v>
      </c>
      <c r="I778">
        <f>VLOOKUP(B778,BRAND!B:D,3,FALSE)</f>
        <v>10</v>
      </c>
      <c r="J778">
        <f t="shared" si="11"/>
        <v>22</v>
      </c>
      <c r="M778">
        <v>1</v>
      </c>
    </row>
    <row r="779" spans="1:13">
      <c r="A779" t="s">
        <v>6325</v>
      </c>
      <c r="B779" t="s">
        <v>1844</v>
      </c>
      <c r="C779" s="34" t="s">
        <v>5818</v>
      </c>
      <c r="F779" t="s">
        <v>5818</v>
      </c>
      <c r="G779" t="s">
        <v>801</v>
      </c>
      <c r="H779">
        <v>15</v>
      </c>
      <c r="I779">
        <f>VLOOKUP(B779,BRAND!B:D,3,FALSE)</f>
        <v>10</v>
      </c>
      <c r="J779">
        <f t="shared" si="11"/>
        <v>22</v>
      </c>
      <c r="M779">
        <v>1</v>
      </c>
    </row>
    <row r="780" spans="1:13">
      <c r="A780" t="s">
        <v>6401</v>
      </c>
      <c r="B780" t="s">
        <v>1844</v>
      </c>
      <c r="C780" s="34" t="s">
        <v>5631</v>
      </c>
      <c r="F780" t="s">
        <v>5631</v>
      </c>
      <c r="G780" t="s">
        <v>801</v>
      </c>
      <c r="H780">
        <v>15</v>
      </c>
      <c r="I780">
        <f>VLOOKUP(B780,BRAND!B:D,3,FALSE)</f>
        <v>10</v>
      </c>
      <c r="J780">
        <f t="shared" si="11"/>
        <v>21</v>
      </c>
      <c r="M780">
        <v>0</v>
      </c>
    </row>
    <row r="781" spans="1:13">
      <c r="A781" t="s">
        <v>6403</v>
      </c>
      <c r="B781" t="s">
        <v>1844</v>
      </c>
      <c r="C781" s="34" t="s">
        <v>5632</v>
      </c>
      <c r="F781" t="s">
        <v>5632</v>
      </c>
      <c r="G781" t="s">
        <v>801</v>
      </c>
      <c r="H781">
        <v>15</v>
      </c>
      <c r="I781">
        <f>VLOOKUP(B781,BRAND!B:D,3,FALSE)</f>
        <v>10</v>
      </c>
      <c r="J781">
        <f t="shared" si="11"/>
        <v>21</v>
      </c>
      <c r="M781">
        <v>0</v>
      </c>
    </row>
    <row r="782" spans="1:13">
      <c r="A782" t="s">
        <v>5844</v>
      </c>
      <c r="B782" t="s">
        <v>1844</v>
      </c>
      <c r="C782" s="34" t="s">
        <v>5631</v>
      </c>
      <c r="F782" t="s">
        <v>5631</v>
      </c>
      <c r="H782">
        <v>15</v>
      </c>
      <c r="I782">
        <f>VLOOKUP(B782,BRAND!B:D,3,FALSE)</f>
        <v>10</v>
      </c>
      <c r="J782">
        <f t="shared" si="11"/>
        <v>21</v>
      </c>
      <c r="M782">
        <v>1</v>
      </c>
    </row>
    <row r="783" spans="1:13">
      <c r="A783" t="s">
        <v>5846</v>
      </c>
      <c r="B783" t="s">
        <v>1844</v>
      </c>
      <c r="C783" s="34" t="s">
        <v>5632</v>
      </c>
      <c r="F783" t="s">
        <v>5632</v>
      </c>
      <c r="H783">
        <v>15</v>
      </c>
      <c r="I783">
        <f>VLOOKUP(B783,BRAND!B:D,3,FALSE)</f>
        <v>10</v>
      </c>
      <c r="J783">
        <f t="shared" si="11"/>
        <v>21</v>
      </c>
      <c r="M783">
        <v>1</v>
      </c>
    </row>
    <row r="784" spans="1:13">
      <c r="A784" t="s">
        <v>5885</v>
      </c>
      <c r="B784" t="s">
        <v>1844</v>
      </c>
      <c r="C784" s="34" t="s">
        <v>5659</v>
      </c>
      <c r="F784" t="s">
        <v>5659</v>
      </c>
      <c r="H784">
        <v>15</v>
      </c>
      <c r="I784">
        <f>VLOOKUP(B784,BRAND!B:D,3,FALSE)</f>
        <v>10</v>
      </c>
      <c r="J784">
        <f t="shared" si="11"/>
        <v>21</v>
      </c>
      <c r="M784">
        <v>1</v>
      </c>
    </row>
    <row r="785" spans="1:13">
      <c r="A785" t="s">
        <v>6127</v>
      </c>
      <c r="B785" t="s">
        <v>1844</v>
      </c>
      <c r="C785" s="34" t="s">
        <v>5659</v>
      </c>
      <c r="F785" t="s">
        <v>5659</v>
      </c>
      <c r="G785" t="s">
        <v>801</v>
      </c>
      <c r="H785">
        <v>15</v>
      </c>
      <c r="I785">
        <f>VLOOKUP(B785,BRAND!B:D,3,FALSE)</f>
        <v>10</v>
      </c>
      <c r="J785">
        <f t="shared" ref="J785:J848" si="12">LEN(F785)</f>
        <v>21</v>
      </c>
      <c r="M785">
        <v>1</v>
      </c>
    </row>
    <row r="786" spans="1:13">
      <c r="A786" t="s">
        <v>5896</v>
      </c>
      <c r="B786" t="s">
        <v>1844</v>
      </c>
      <c r="C786" s="34" t="s">
        <v>5667</v>
      </c>
      <c r="F786" t="s">
        <v>5667</v>
      </c>
      <c r="H786">
        <v>15</v>
      </c>
      <c r="I786">
        <f>VLOOKUP(B786,BRAND!B:D,3,FALSE)</f>
        <v>10</v>
      </c>
      <c r="J786">
        <f t="shared" si="12"/>
        <v>21</v>
      </c>
      <c r="M786">
        <v>1</v>
      </c>
    </row>
    <row r="787" spans="1:13">
      <c r="A787" t="s">
        <v>6138</v>
      </c>
      <c r="B787" t="s">
        <v>1844</v>
      </c>
      <c r="C787" s="34" t="s">
        <v>5667</v>
      </c>
      <c r="F787" t="s">
        <v>5667</v>
      </c>
      <c r="G787" t="s">
        <v>801</v>
      </c>
      <c r="H787">
        <v>15</v>
      </c>
      <c r="I787">
        <f>VLOOKUP(B787,BRAND!B:D,3,FALSE)</f>
        <v>10</v>
      </c>
      <c r="J787">
        <f t="shared" si="12"/>
        <v>21</v>
      </c>
      <c r="M787">
        <v>1</v>
      </c>
    </row>
    <row r="788" spans="1:13">
      <c r="A788" t="s">
        <v>5899</v>
      </c>
      <c r="B788" t="s">
        <v>1844</v>
      </c>
      <c r="C788" s="34" t="s">
        <v>5670</v>
      </c>
      <c r="F788" t="s">
        <v>5670</v>
      </c>
      <c r="H788">
        <v>15</v>
      </c>
      <c r="I788">
        <f>VLOOKUP(B788,BRAND!B:D,3,FALSE)</f>
        <v>10</v>
      </c>
      <c r="J788">
        <f t="shared" si="12"/>
        <v>21</v>
      </c>
      <c r="M788">
        <v>1</v>
      </c>
    </row>
    <row r="789" spans="1:13">
      <c r="A789" t="s">
        <v>6141</v>
      </c>
      <c r="B789" t="s">
        <v>1844</v>
      </c>
      <c r="C789" s="34" t="s">
        <v>5670</v>
      </c>
      <c r="F789" t="s">
        <v>5670</v>
      </c>
      <c r="G789" t="s">
        <v>801</v>
      </c>
      <c r="H789">
        <v>15</v>
      </c>
      <c r="I789">
        <f>VLOOKUP(B789,BRAND!B:D,3,FALSE)</f>
        <v>10</v>
      </c>
      <c r="J789">
        <f t="shared" si="12"/>
        <v>21</v>
      </c>
      <c r="M789">
        <v>1</v>
      </c>
    </row>
    <row r="790" spans="1:13">
      <c r="A790" t="s">
        <v>5900</v>
      </c>
      <c r="B790" t="s">
        <v>1844</v>
      </c>
      <c r="C790" s="34" t="s">
        <v>5671</v>
      </c>
      <c r="F790" t="s">
        <v>5671</v>
      </c>
      <c r="H790">
        <v>15</v>
      </c>
      <c r="I790">
        <f>VLOOKUP(B790,BRAND!B:D,3,FALSE)</f>
        <v>10</v>
      </c>
      <c r="J790">
        <f t="shared" si="12"/>
        <v>21</v>
      </c>
      <c r="M790">
        <v>1</v>
      </c>
    </row>
    <row r="791" spans="1:13">
      <c r="A791" t="s">
        <v>6142</v>
      </c>
      <c r="B791" t="s">
        <v>1844</v>
      </c>
      <c r="C791" s="34" t="s">
        <v>5671</v>
      </c>
      <c r="F791" t="s">
        <v>5671</v>
      </c>
      <c r="G791" t="s">
        <v>801</v>
      </c>
      <c r="H791">
        <v>15</v>
      </c>
      <c r="I791">
        <f>VLOOKUP(B791,BRAND!B:D,3,FALSE)</f>
        <v>10</v>
      </c>
      <c r="J791">
        <f t="shared" si="12"/>
        <v>21</v>
      </c>
      <c r="M791">
        <v>1</v>
      </c>
    </row>
    <row r="792" spans="1:13">
      <c r="A792" t="s">
        <v>5904</v>
      </c>
      <c r="B792" t="s">
        <v>1844</v>
      </c>
      <c r="C792" s="34" t="s">
        <v>5592</v>
      </c>
      <c r="F792" t="s">
        <v>5592</v>
      </c>
      <c r="H792">
        <v>15</v>
      </c>
      <c r="I792">
        <f>VLOOKUP(B792,BRAND!B:D,3,FALSE)</f>
        <v>10</v>
      </c>
      <c r="J792">
        <f t="shared" si="12"/>
        <v>21</v>
      </c>
      <c r="M792">
        <v>1</v>
      </c>
    </row>
    <row r="793" spans="1:13">
      <c r="A793" t="s">
        <v>6146</v>
      </c>
      <c r="B793" t="s">
        <v>1844</v>
      </c>
      <c r="C793" s="34" t="s">
        <v>5592</v>
      </c>
      <c r="F793" t="s">
        <v>5592</v>
      </c>
      <c r="G793" t="s">
        <v>801</v>
      </c>
      <c r="H793">
        <v>15</v>
      </c>
      <c r="I793">
        <f>VLOOKUP(B793,BRAND!B:D,3,FALSE)</f>
        <v>10</v>
      </c>
      <c r="J793">
        <f t="shared" si="12"/>
        <v>21</v>
      </c>
      <c r="M793">
        <v>1</v>
      </c>
    </row>
    <row r="794" spans="1:13">
      <c r="A794" t="s">
        <v>5970</v>
      </c>
      <c r="B794" t="s">
        <v>1844</v>
      </c>
      <c r="C794" s="34" t="s">
        <v>5725</v>
      </c>
      <c r="F794" t="s">
        <v>5725</v>
      </c>
      <c r="H794">
        <v>15</v>
      </c>
      <c r="I794">
        <f>VLOOKUP(B794,BRAND!B:D,3,FALSE)</f>
        <v>10</v>
      </c>
      <c r="J794">
        <f t="shared" si="12"/>
        <v>21</v>
      </c>
      <c r="L794">
        <v>1</v>
      </c>
      <c r="M794">
        <v>1</v>
      </c>
    </row>
    <row r="795" spans="1:13">
      <c r="A795" t="s">
        <v>6212</v>
      </c>
      <c r="B795" t="s">
        <v>1844</v>
      </c>
      <c r="C795" s="34" t="s">
        <v>5725</v>
      </c>
      <c r="F795" t="s">
        <v>5725</v>
      </c>
      <c r="G795" t="s">
        <v>801</v>
      </c>
      <c r="H795">
        <v>15</v>
      </c>
      <c r="I795">
        <f>VLOOKUP(B795,BRAND!B:D,3,FALSE)</f>
        <v>10</v>
      </c>
      <c r="J795">
        <f t="shared" si="12"/>
        <v>21</v>
      </c>
      <c r="L795">
        <v>1</v>
      </c>
      <c r="M795">
        <v>1</v>
      </c>
    </row>
    <row r="796" spans="1:13">
      <c r="A796" t="s">
        <v>5973</v>
      </c>
      <c r="B796" t="s">
        <v>1844</v>
      </c>
      <c r="C796" s="34" t="s">
        <v>5728</v>
      </c>
      <c r="F796" t="s">
        <v>5728</v>
      </c>
      <c r="H796">
        <v>15</v>
      </c>
      <c r="I796">
        <f>VLOOKUP(B796,BRAND!B:D,3,FALSE)</f>
        <v>10</v>
      </c>
      <c r="J796">
        <f t="shared" si="12"/>
        <v>21</v>
      </c>
      <c r="L796">
        <v>1</v>
      </c>
      <c r="M796">
        <v>1</v>
      </c>
    </row>
    <row r="797" spans="1:13">
      <c r="A797" t="s">
        <v>6215</v>
      </c>
      <c r="B797" t="s">
        <v>1844</v>
      </c>
      <c r="C797" s="34" t="s">
        <v>5728</v>
      </c>
      <c r="F797" t="s">
        <v>5728</v>
      </c>
      <c r="G797" t="s">
        <v>801</v>
      </c>
      <c r="H797">
        <v>15</v>
      </c>
      <c r="I797">
        <f>VLOOKUP(B797,BRAND!B:D,3,FALSE)</f>
        <v>10</v>
      </c>
      <c r="J797">
        <f t="shared" si="12"/>
        <v>21</v>
      </c>
      <c r="M797">
        <v>1</v>
      </c>
    </row>
    <row r="798" spans="1:13">
      <c r="A798" t="s">
        <v>6010</v>
      </c>
      <c r="B798" t="s">
        <v>1844</v>
      </c>
      <c r="C798" s="34" t="s">
        <v>5760</v>
      </c>
      <c r="F798" t="s">
        <v>5760</v>
      </c>
      <c r="H798">
        <v>15</v>
      </c>
      <c r="I798">
        <f>VLOOKUP(B798,BRAND!B:D,3,FALSE)</f>
        <v>10</v>
      </c>
      <c r="J798">
        <f t="shared" si="12"/>
        <v>21</v>
      </c>
      <c r="M798">
        <v>1</v>
      </c>
    </row>
    <row r="799" spans="1:13">
      <c r="A799" t="s">
        <v>6252</v>
      </c>
      <c r="B799" t="s">
        <v>1844</v>
      </c>
      <c r="C799" s="34" t="s">
        <v>5760</v>
      </c>
      <c r="F799" t="s">
        <v>5760</v>
      </c>
      <c r="G799" t="s">
        <v>801</v>
      </c>
      <c r="H799">
        <v>15</v>
      </c>
      <c r="I799">
        <f>VLOOKUP(B799,BRAND!B:D,3,FALSE)</f>
        <v>10</v>
      </c>
      <c r="J799">
        <f t="shared" si="12"/>
        <v>21</v>
      </c>
      <c r="M799">
        <v>1</v>
      </c>
    </row>
    <row r="800" spans="1:13">
      <c r="A800" t="s">
        <v>6023</v>
      </c>
      <c r="B800" t="s">
        <v>1844</v>
      </c>
      <c r="C800" s="34" t="s">
        <v>5773</v>
      </c>
      <c r="F800" t="s">
        <v>5773</v>
      </c>
      <c r="H800">
        <v>15</v>
      </c>
      <c r="I800">
        <f>VLOOKUP(B800,BRAND!B:D,3,FALSE)</f>
        <v>10</v>
      </c>
      <c r="J800">
        <f t="shared" si="12"/>
        <v>21</v>
      </c>
      <c r="M800">
        <v>1</v>
      </c>
    </row>
    <row r="801" spans="1:13">
      <c r="A801" t="s">
        <v>6265</v>
      </c>
      <c r="B801" t="s">
        <v>1844</v>
      </c>
      <c r="C801" s="34" t="s">
        <v>5773</v>
      </c>
      <c r="F801" t="s">
        <v>5773</v>
      </c>
      <c r="G801" t="s">
        <v>801</v>
      </c>
      <c r="H801">
        <v>15</v>
      </c>
      <c r="I801">
        <f>VLOOKUP(B801,BRAND!B:D,3,FALSE)</f>
        <v>10</v>
      </c>
      <c r="J801">
        <f t="shared" si="12"/>
        <v>21</v>
      </c>
      <c r="M801">
        <v>1</v>
      </c>
    </row>
    <row r="802" spans="1:13">
      <c r="A802" t="s">
        <v>6050</v>
      </c>
      <c r="B802" t="s">
        <v>1844</v>
      </c>
      <c r="C802" s="34" t="s">
        <v>5620</v>
      </c>
      <c r="F802" t="s">
        <v>5620</v>
      </c>
      <c r="H802">
        <v>15</v>
      </c>
      <c r="I802">
        <f>VLOOKUP(B802,BRAND!B:D,3,FALSE)</f>
        <v>10</v>
      </c>
      <c r="J802">
        <f t="shared" si="12"/>
        <v>21</v>
      </c>
      <c r="M802">
        <v>1</v>
      </c>
    </row>
    <row r="803" spans="1:13">
      <c r="A803" t="s">
        <v>6292</v>
      </c>
      <c r="B803" t="s">
        <v>1844</v>
      </c>
      <c r="C803" s="34" t="s">
        <v>5620</v>
      </c>
      <c r="F803" t="s">
        <v>5620</v>
      </c>
      <c r="G803" t="s">
        <v>801</v>
      </c>
      <c r="H803">
        <v>15</v>
      </c>
      <c r="I803">
        <f>VLOOKUP(B803,BRAND!B:D,3,FALSE)</f>
        <v>10</v>
      </c>
      <c r="J803">
        <f t="shared" si="12"/>
        <v>21</v>
      </c>
      <c r="M803">
        <v>1</v>
      </c>
    </row>
    <row r="804" spans="1:13">
      <c r="A804" t="s">
        <v>6084</v>
      </c>
      <c r="B804" t="s">
        <v>1844</v>
      </c>
      <c r="C804" s="34" t="s">
        <v>5819</v>
      </c>
      <c r="F804" t="s">
        <v>5819</v>
      </c>
      <c r="H804">
        <v>15</v>
      </c>
      <c r="I804">
        <f>VLOOKUP(B804,BRAND!B:D,3,FALSE)</f>
        <v>10</v>
      </c>
      <c r="J804">
        <f t="shared" si="12"/>
        <v>21</v>
      </c>
      <c r="M804">
        <v>1</v>
      </c>
    </row>
    <row r="805" spans="1:13">
      <c r="A805" t="s">
        <v>6326</v>
      </c>
      <c r="B805" t="s">
        <v>1844</v>
      </c>
      <c r="C805" s="34" t="s">
        <v>5819</v>
      </c>
      <c r="F805" t="s">
        <v>5819</v>
      </c>
      <c r="G805" t="s">
        <v>801</v>
      </c>
      <c r="H805">
        <v>15</v>
      </c>
      <c r="I805">
        <f>VLOOKUP(B805,BRAND!B:D,3,FALSE)</f>
        <v>10</v>
      </c>
      <c r="J805">
        <f t="shared" si="12"/>
        <v>21</v>
      </c>
      <c r="M805">
        <v>1</v>
      </c>
    </row>
    <row r="806" spans="1:13">
      <c r="A806" s="29" t="s">
        <v>5847</v>
      </c>
      <c r="B806" s="29" t="s">
        <v>1844</v>
      </c>
      <c r="C806" s="36" t="s">
        <v>5633</v>
      </c>
      <c r="D806" s="29"/>
      <c r="E806" s="29"/>
      <c r="F806" s="29" t="s">
        <v>5633</v>
      </c>
      <c r="G806" s="29"/>
      <c r="H806" s="29">
        <v>15</v>
      </c>
      <c r="I806">
        <f>VLOOKUP(B806,BRAND!B:D,3,FALSE)</f>
        <v>10</v>
      </c>
      <c r="J806">
        <f t="shared" si="12"/>
        <v>20</v>
      </c>
      <c r="M806">
        <v>1</v>
      </c>
    </row>
    <row r="807" spans="1:13">
      <c r="A807" t="s">
        <v>6404</v>
      </c>
      <c r="B807" t="s">
        <v>1844</v>
      </c>
      <c r="C807" s="34" t="s">
        <v>5633</v>
      </c>
      <c r="F807" t="s">
        <v>5633</v>
      </c>
      <c r="G807" t="s">
        <v>801</v>
      </c>
      <c r="H807">
        <v>15</v>
      </c>
      <c r="I807">
        <f>VLOOKUP(B807,BRAND!B:D,3,FALSE)</f>
        <v>10</v>
      </c>
      <c r="J807">
        <f t="shared" si="12"/>
        <v>20</v>
      </c>
      <c r="M807">
        <v>1</v>
      </c>
    </row>
    <row r="808" spans="1:13">
      <c r="A808" t="s">
        <v>5871</v>
      </c>
      <c r="B808" t="s">
        <v>1844</v>
      </c>
      <c r="C808" s="34" t="s">
        <v>5647</v>
      </c>
      <c r="F808" t="s">
        <v>5647</v>
      </c>
      <c r="H808">
        <v>15</v>
      </c>
      <c r="I808">
        <f>VLOOKUP(B808,BRAND!B:D,3,FALSE)</f>
        <v>10</v>
      </c>
      <c r="J808">
        <f t="shared" si="12"/>
        <v>20</v>
      </c>
      <c r="M808">
        <v>1</v>
      </c>
    </row>
    <row r="809" spans="1:13" s="9" customFormat="1">
      <c r="A809" t="s">
        <v>6113</v>
      </c>
      <c r="B809" t="s">
        <v>1844</v>
      </c>
      <c r="C809" s="34" t="s">
        <v>5647</v>
      </c>
      <c r="D809"/>
      <c r="E809"/>
      <c r="F809" t="s">
        <v>5647</v>
      </c>
      <c r="G809" t="s">
        <v>801</v>
      </c>
      <c r="H809">
        <v>15</v>
      </c>
      <c r="I809">
        <f>VLOOKUP(B809,BRAND!B:D,3,FALSE)</f>
        <v>10</v>
      </c>
      <c r="J809">
        <f t="shared" si="12"/>
        <v>20</v>
      </c>
      <c r="K809"/>
      <c r="L809"/>
      <c r="M809">
        <v>1</v>
      </c>
    </row>
    <row r="810" spans="1:13">
      <c r="A810" t="s">
        <v>5910</v>
      </c>
      <c r="B810" t="s">
        <v>1844</v>
      </c>
      <c r="C810" s="34" t="s">
        <v>5595</v>
      </c>
      <c r="F810" t="s">
        <v>5595</v>
      </c>
      <c r="H810">
        <v>15</v>
      </c>
      <c r="I810">
        <f>VLOOKUP(B810,BRAND!B:D,3,FALSE)</f>
        <v>10</v>
      </c>
      <c r="J810">
        <f t="shared" si="12"/>
        <v>20</v>
      </c>
      <c r="M810">
        <v>1</v>
      </c>
    </row>
    <row r="811" spans="1:13">
      <c r="A811" t="s">
        <v>6152</v>
      </c>
      <c r="B811" t="s">
        <v>1844</v>
      </c>
      <c r="C811" s="34" t="s">
        <v>5595</v>
      </c>
      <c r="F811" t="s">
        <v>5595</v>
      </c>
      <c r="G811" t="s">
        <v>801</v>
      </c>
      <c r="H811">
        <v>15</v>
      </c>
      <c r="I811">
        <f>VLOOKUP(B811,BRAND!B:D,3,FALSE)</f>
        <v>10</v>
      </c>
      <c r="J811">
        <f t="shared" si="12"/>
        <v>20</v>
      </c>
      <c r="M811">
        <v>1</v>
      </c>
    </row>
    <row r="812" spans="1:13">
      <c r="A812" t="s">
        <v>5990</v>
      </c>
      <c r="B812" t="s">
        <v>1844</v>
      </c>
      <c r="C812" s="34" t="s">
        <v>5745</v>
      </c>
      <c r="F812" t="s">
        <v>5745</v>
      </c>
      <c r="H812">
        <v>15</v>
      </c>
      <c r="I812">
        <f>VLOOKUP(B812,BRAND!B:D,3,FALSE)</f>
        <v>10</v>
      </c>
      <c r="J812">
        <f t="shared" si="12"/>
        <v>20</v>
      </c>
      <c r="M812">
        <v>1</v>
      </c>
    </row>
    <row r="813" spans="1:13">
      <c r="A813" t="s">
        <v>6232</v>
      </c>
      <c r="B813" t="s">
        <v>1844</v>
      </c>
      <c r="C813" s="34" t="s">
        <v>5745</v>
      </c>
      <c r="F813" t="s">
        <v>5745</v>
      </c>
      <c r="G813" t="s">
        <v>801</v>
      </c>
      <c r="H813">
        <v>15</v>
      </c>
      <c r="I813">
        <f>VLOOKUP(B813,BRAND!B:D,3,FALSE)</f>
        <v>10</v>
      </c>
      <c r="J813">
        <f t="shared" si="12"/>
        <v>20</v>
      </c>
      <c r="M813">
        <v>1</v>
      </c>
    </row>
    <row r="814" spans="1:13">
      <c r="A814" t="s">
        <v>6014</v>
      </c>
      <c r="B814" t="s">
        <v>1844</v>
      </c>
      <c r="C814" s="34" t="s">
        <v>5764</v>
      </c>
      <c r="F814" t="s">
        <v>5764</v>
      </c>
      <c r="H814">
        <v>15</v>
      </c>
      <c r="I814">
        <f>VLOOKUP(B814,BRAND!B:D,3,FALSE)</f>
        <v>10</v>
      </c>
      <c r="J814">
        <f t="shared" si="12"/>
        <v>20</v>
      </c>
      <c r="M814">
        <v>1</v>
      </c>
    </row>
    <row r="815" spans="1:13">
      <c r="A815" t="s">
        <v>6256</v>
      </c>
      <c r="B815" t="s">
        <v>1844</v>
      </c>
      <c r="C815" s="34" t="s">
        <v>5764</v>
      </c>
      <c r="F815" t="s">
        <v>5764</v>
      </c>
      <c r="G815" t="s">
        <v>801</v>
      </c>
      <c r="H815">
        <v>15</v>
      </c>
      <c r="I815">
        <f>VLOOKUP(B815,BRAND!B:D,3,FALSE)</f>
        <v>10</v>
      </c>
      <c r="J815">
        <f t="shared" si="12"/>
        <v>20</v>
      </c>
      <c r="M815">
        <v>1</v>
      </c>
    </row>
    <row r="816" spans="1:13">
      <c r="A816" t="s">
        <v>6064</v>
      </c>
      <c r="B816" t="s">
        <v>1844</v>
      </c>
      <c r="C816" s="34" t="s">
        <v>5622</v>
      </c>
      <c r="F816" t="s">
        <v>5622</v>
      </c>
      <c r="H816">
        <v>15</v>
      </c>
      <c r="I816">
        <f>VLOOKUP(B816,BRAND!B:D,3,FALSE)</f>
        <v>10</v>
      </c>
      <c r="J816">
        <f t="shared" si="12"/>
        <v>20</v>
      </c>
      <c r="M816">
        <v>1</v>
      </c>
    </row>
    <row r="817" spans="1:13">
      <c r="A817" t="s">
        <v>6306</v>
      </c>
      <c r="B817" t="s">
        <v>1844</v>
      </c>
      <c r="C817" s="34" t="s">
        <v>5622</v>
      </c>
      <c r="F817" t="s">
        <v>5622</v>
      </c>
      <c r="G817" t="s">
        <v>801</v>
      </c>
      <c r="H817">
        <v>15</v>
      </c>
      <c r="I817">
        <f>VLOOKUP(B817,BRAND!B:D,3,FALSE)</f>
        <v>10</v>
      </c>
      <c r="J817">
        <f t="shared" si="12"/>
        <v>20</v>
      </c>
      <c r="M817">
        <v>1</v>
      </c>
    </row>
    <row r="818" spans="1:13">
      <c r="A818" t="s">
        <v>6077</v>
      </c>
      <c r="B818" t="s">
        <v>1844</v>
      </c>
      <c r="C818" s="34" t="s">
        <v>5812</v>
      </c>
      <c r="F818" t="s">
        <v>5812</v>
      </c>
      <c r="H818">
        <v>15</v>
      </c>
      <c r="I818">
        <f>VLOOKUP(B818,BRAND!B:D,3,FALSE)</f>
        <v>10</v>
      </c>
      <c r="J818">
        <f t="shared" si="12"/>
        <v>20</v>
      </c>
      <c r="M818">
        <v>1</v>
      </c>
    </row>
    <row r="819" spans="1:13">
      <c r="A819" t="s">
        <v>6319</v>
      </c>
      <c r="B819" t="s">
        <v>1844</v>
      </c>
      <c r="C819" s="34" t="s">
        <v>5812</v>
      </c>
      <c r="F819" t="s">
        <v>5812</v>
      </c>
      <c r="G819" t="s">
        <v>801</v>
      </c>
      <c r="H819">
        <v>15</v>
      </c>
      <c r="I819">
        <f>VLOOKUP(B819,BRAND!B:D,3,FALSE)</f>
        <v>10</v>
      </c>
      <c r="J819">
        <f t="shared" si="12"/>
        <v>20</v>
      </c>
      <c r="M819">
        <v>1</v>
      </c>
    </row>
    <row r="820" spans="1:13">
      <c r="A820" t="s">
        <v>6085</v>
      </c>
      <c r="B820" t="s">
        <v>1844</v>
      </c>
      <c r="C820" s="34" t="s">
        <v>5820</v>
      </c>
      <c r="F820" t="s">
        <v>5820</v>
      </c>
      <c r="H820">
        <v>15</v>
      </c>
      <c r="I820">
        <f>VLOOKUP(B820,BRAND!B:D,3,FALSE)</f>
        <v>10</v>
      </c>
      <c r="J820">
        <f t="shared" si="12"/>
        <v>20</v>
      </c>
      <c r="M820">
        <v>1</v>
      </c>
    </row>
    <row r="821" spans="1:13">
      <c r="A821" t="s">
        <v>6327</v>
      </c>
      <c r="B821" t="s">
        <v>1844</v>
      </c>
      <c r="C821" s="34" t="s">
        <v>5820</v>
      </c>
      <c r="F821" t="s">
        <v>5820</v>
      </c>
      <c r="G821" t="s">
        <v>801</v>
      </c>
      <c r="H821">
        <v>15</v>
      </c>
      <c r="I821">
        <f>VLOOKUP(B821,BRAND!B:D,3,FALSE)</f>
        <v>10</v>
      </c>
      <c r="J821">
        <f t="shared" si="12"/>
        <v>20</v>
      </c>
      <c r="M821">
        <v>1</v>
      </c>
    </row>
    <row r="822" spans="1:13">
      <c r="A822" t="s">
        <v>6091</v>
      </c>
      <c r="B822" t="s">
        <v>1844</v>
      </c>
      <c r="C822" s="34" t="s">
        <v>5824</v>
      </c>
      <c r="F822" t="s">
        <v>5824</v>
      </c>
      <c r="H822">
        <v>15</v>
      </c>
      <c r="I822">
        <f>VLOOKUP(B822,BRAND!B:D,3,FALSE)</f>
        <v>10</v>
      </c>
      <c r="J822">
        <f t="shared" si="12"/>
        <v>20</v>
      </c>
      <c r="M822">
        <v>1</v>
      </c>
    </row>
    <row r="823" spans="1:13">
      <c r="A823" t="s">
        <v>6333</v>
      </c>
      <c r="B823" t="s">
        <v>1844</v>
      </c>
      <c r="C823" s="34" t="s">
        <v>5824</v>
      </c>
      <c r="F823" t="s">
        <v>5824</v>
      </c>
      <c r="G823" t="s">
        <v>801</v>
      </c>
      <c r="H823">
        <v>15</v>
      </c>
      <c r="I823">
        <f>VLOOKUP(B823,BRAND!B:D,3,FALSE)</f>
        <v>10</v>
      </c>
      <c r="J823">
        <f t="shared" si="12"/>
        <v>20</v>
      </c>
      <c r="M823">
        <v>1</v>
      </c>
    </row>
    <row r="824" spans="1:13">
      <c r="A824" t="s">
        <v>5872</v>
      </c>
      <c r="B824" t="s">
        <v>1844</v>
      </c>
      <c r="C824" s="34" t="s">
        <v>5648</v>
      </c>
      <c r="F824" t="s">
        <v>5648</v>
      </c>
      <c r="H824">
        <v>15</v>
      </c>
      <c r="I824">
        <f>VLOOKUP(B824,BRAND!B:D,3,FALSE)</f>
        <v>10</v>
      </c>
      <c r="J824">
        <f t="shared" si="12"/>
        <v>19</v>
      </c>
      <c r="M824">
        <v>1</v>
      </c>
    </row>
    <row r="825" spans="1:13">
      <c r="A825" t="s">
        <v>6114</v>
      </c>
      <c r="B825" t="s">
        <v>1844</v>
      </c>
      <c r="C825" s="34" t="s">
        <v>5648</v>
      </c>
      <c r="F825" t="s">
        <v>5648</v>
      </c>
      <c r="G825" t="s">
        <v>801</v>
      </c>
      <c r="H825">
        <v>15</v>
      </c>
      <c r="I825">
        <f>VLOOKUP(B825,BRAND!B:D,3,FALSE)</f>
        <v>10</v>
      </c>
      <c r="J825">
        <f t="shared" si="12"/>
        <v>19</v>
      </c>
      <c r="M825">
        <v>1</v>
      </c>
    </row>
    <row r="826" spans="1:13">
      <c r="A826" t="s">
        <v>5873</v>
      </c>
      <c r="B826" t="s">
        <v>1844</v>
      </c>
      <c r="C826" s="34" t="s">
        <v>5649</v>
      </c>
      <c r="F826" t="s">
        <v>5649</v>
      </c>
      <c r="H826">
        <v>15</v>
      </c>
      <c r="I826">
        <f>VLOOKUP(B826,BRAND!B:D,3,FALSE)</f>
        <v>10</v>
      </c>
      <c r="J826">
        <f t="shared" si="12"/>
        <v>19</v>
      </c>
      <c r="M826">
        <v>1</v>
      </c>
    </row>
    <row r="827" spans="1:13">
      <c r="A827" t="s">
        <v>6115</v>
      </c>
      <c r="B827" t="s">
        <v>1844</v>
      </c>
      <c r="C827" s="34" t="s">
        <v>5649</v>
      </c>
      <c r="F827" t="s">
        <v>5649</v>
      </c>
      <c r="G827" t="s">
        <v>801</v>
      </c>
      <c r="H827">
        <v>15</v>
      </c>
      <c r="I827">
        <f>VLOOKUP(B827,BRAND!B:D,3,FALSE)</f>
        <v>10</v>
      </c>
      <c r="J827">
        <f t="shared" si="12"/>
        <v>19</v>
      </c>
      <c r="M827">
        <v>1</v>
      </c>
    </row>
    <row r="828" spans="1:13">
      <c r="A828" t="s">
        <v>5877</v>
      </c>
      <c r="B828" t="s">
        <v>1844</v>
      </c>
      <c r="C828" s="34" t="s">
        <v>5586</v>
      </c>
      <c r="F828" t="s">
        <v>5586</v>
      </c>
      <c r="H828">
        <v>15</v>
      </c>
      <c r="I828">
        <f>VLOOKUP(B828,BRAND!B:D,3,FALSE)</f>
        <v>10</v>
      </c>
      <c r="J828">
        <f t="shared" si="12"/>
        <v>19</v>
      </c>
      <c r="M828">
        <v>1</v>
      </c>
    </row>
    <row r="829" spans="1:13">
      <c r="A829" t="s">
        <v>6119</v>
      </c>
      <c r="B829" t="s">
        <v>1844</v>
      </c>
      <c r="C829" s="34" t="s">
        <v>5586</v>
      </c>
      <c r="F829" t="s">
        <v>5586</v>
      </c>
      <c r="G829" t="s">
        <v>801</v>
      </c>
      <c r="H829">
        <v>15</v>
      </c>
      <c r="I829">
        <f>VLOOKUP(B829,BRAND!B:D,3,FALSE)</f>
        <v>10</v>
      </c>
      <c r="J829">
        <f t="shared" si="12"/>
        <v>19</v>
      </c>
      <c r="M829">
        <v>1</v>
      </c>
    </row>
    <row r="830" spans="1:13">
      <c r="A830" t="s">
        <v>5884</v>
      </c>
      <c r="B830" t="s">
        <v>1844</v>
      </c>
      <c r="C830" s="34" t="s">
        <v>6379</v>
      </c>
      <c r="F830" t="s">
        <v>5658</v>
      </c>
      <c r="H830">
        <v>15</v>
      </c>
      <c r="I830">
        <f>VLOOKUP(B830,BRAND!B:D,3,FALSE)</f>
        <v>10</v>
      </c>
      <c r="J830">
        <f t="shared" si="12"/>
        <v>19</v>
      </c>
      <c r="M830">
        <v>1</v>
      </c>
    </row>
    <row r="831" spans="1:13">
      <c r="A831" t="s">
        <v>6126</v>
      </c>
      <c r="B831" t="s">
        <v>1844</v>
      </c>
      <c r="C831" s="34" t="s">
        <v>5658</v>
      </c>
      <c r="F831" t="s">
        <v>5658</v>
      </c>
      <c r="G831" t="s">
        <v>801</v>
      </c>
      <c r="H831">
        <v>15</v>
      </c>
      <c r="I831">
        <f>VLOOKUP(B831,BRAND!B:D,3,FALSE)</f>
        <v>10</v>
      </c>
      <c r="J831">
        <f t="shared" si="12"/>
        <v>19</v>
      </c>
      <c r="M831">
        <v>1</v>
      </c>
    </row>
    <row r="832" spans="1:13">
      <c r="A832" t="s">
        <v>5908</v>
      </c>
      <c r="B832" t="s">
        <v>1844</v>
      </c>
      <c r="C832" s="34" t="s">
        <v>5674</v>
      </c>
      <c r="F832" t="s">
        <v>5674</v>
      </c>
      <c r="H832">
        <v>15</v>
      </c>
      <c r="I832">
        <f>VLOOKUP(B832,BRAND!B:D,3,FALSE)</f>
        <v>10</v>
      </c>
      <c r="J832">
        <f t="shared" si="12"/>
        <v>19</v>
      </c>
      <c r="M832">
        <v>1</v>
      </c>
    </row>
    <row r="833" spans="1:13">
      <c r="A833" t="s">
        <v>6150</v>
      </c>
      <c r="B833" t="s">
        <v>1844</v>
      </c>
      <c r="C833" s="34" t="s">
        <v>5674</v>
      </c>
      <c r="F833" t="s">
        <v>5674</v>
      </c>
      <c r="G833" t="s">
        <v>801</v>
      </c>
      <c r="H833">
        <v>15</v>
      </c>
      <c r="I833">
        <f>VLOOKUP(B833,BRAND!B:D,3,FALSE)</f>
        <v>10</v>
      </c>
      <c r="J833">
        <f t="shared" si="12"/>
        <v>19</v>
      </c>
      <c r="M833">
        <v>1</v>
      </c>
    </row>
    <row r="834" spans="1:13">
      <c r="A834" t="s">
        <v>5913</v>
      </c>
      <c r="B834" t="s">
        <v>1844</v>
      </c>
      <c r="C834" s="34" t="s">
        <v>5598</v>
      </c>
      <c r="F834" t="s">
        <v>5598</v>
      </c>
      <c r="H834">
        <v>15</v>
      </c>
      <c r="I834">
        <f>VLOOKUP(B834,BRAND!B:D,3,FALSE)</f>
        <v>10</v>
      </c>
      <c r="J834">
        <f t="shared" si="12"/>
        <v>19</v>
      </c>
      <c r="M834">
        <v>1</v>
      </c>
    </row>
    <row r="835" spans="1:13">
      <c r="A835" t="s">
        <v>6155</v>
      </c>
      <c r="B835" t="s">
        <v>1844</v>
      </c>
      <c r="C835" s="34" t="s">
        <v>5598</v>
      </c>
      <c r="F835" t="s">
        <v>5598</v>
      </c>
      <c r="G835" t="s">
        <v>801</v>
      </c>
      <c r="H835">
        <v>15</v>
      </c>
      <c r="I835">
        <f>VLOOKUP(B835,BRAND!B:D,3,FALSE)</f>
        <v>10</v>
      </c>
      <c r="J835">
        <f t="shared" si="12"/>
        <v>19</v>
      </c>
      <c r="M835">
        <v>1</v>
      </c>
    </row>
    <row r="836" spans="1:13">
      <c r="A836" t="s">
        <v>5956</v>
      </c>
      <c r="B836" t="s">
        <v>1844</v>
      </c>
      <c r="C836" s="34" t="s">
        <v>5715</v>
      </c>
      <c r="F836" t="s">
        <v>5715</v>
      </c>
      <c r="H836">
        <v>15</v>
      </c>
      <c r="I836">
        <f>VLOOKUP(B836,BRAND!B:D,3,FALSE)</f>
        <v>10</v>
      </c>
      <c r="J836">
        <f t="shared" si="12"/>
        <v>19</v>
      </c>
      <c r="M836">
        <v>1</v>
      </c>
    </row>
    <row r="837" spans="1:13">
      <c r="A837" t="s">
        <v>6198</v>
      </c>
      <c r="B837" t="s">
        <v>1844</v>
      </c>
      <c r="C837" s="34" t="s">
        <v>5715</v>
      </c>
      <c r="F837" t="s">
        <v>5715</v>
      </c>
      <c r="G837" t="s">
        <v>801</v>
      </c>
      <c r="H837">
        <v>15</v>
      </c>
      <c r="I837">
        <f>VLOOKUP(B837,BRAND!B:D,3,FALSE)</f>
        <v>10</v>
      </c>
      <c r="J837">
        <f t="shared" si="12"/>
        <v>19</v>
      </c>
      <c r="M837">
        <v>1</v>
      </c>
    </row>
    <row r="838" spans="1:13">
      <c r="A838" t="s">
        <v>5961</v>
      </c>
      <c r="B838" t="s">
        <v>1844</v>
      </c>
      <c r="C838" s="34" t="s">
        <v>5716</v>
      </c>
      <c r="F838" t="s">
        <v>5716</v>
      </c>
      <c r="H838">
        <v>15</v>
      </c>
      <c r="I838">
        <f>VLOOKUP(B838,BRAND!B:D,3,FALSE)</f>
        <v>10</v>
      </c>
      <c r="J838">
        <f t="shared" si="12"/>
        <v>19</v>
      </c>
      <c r="L838">
        <v>1</v>
      </c>
      <c r="M838">
        <v>1</v>
      </c>
    </row>
    <row r="839" spans="1:13">
      <c r="A839" t="s">
        <v>6203</v>
      </c>
      <c r="B839" t="s">
        <v>1844</v>
      </c>
      <c r="C839" s="34" t="s">
        <v>5716</v>
      </c>
      <c r="F839" t="s">
        <v>5716</v>
      </c>
      <c r="G839" t="s">
        <v>801</v>
      </c>
      <c r="H839">
        <v>15</v>
      </c>
      <c r="I839">
        <f>VLOOKUP(B839,BRAND!B:D,3,FALSE)</f>
        <v>10</v>
      </c>
      <c r="J839">
        <f t="shared" si="12"/>
        <v>19</v>
      </c>
      <c r="L839">
        <v>1</v>
      </c>
      <c r="M839">
        <v>1</v>
      </c>
    </row>
    <row r="840" spans="1:13">
      <c r="A840" t="s">
        <v>6009</v>
      </c>
      <c r="B840" t="s">
        <v>1844</v>
      </c>
      <c r="C840" s="34" t="s">
        <v>5759</v>
      </c>
      <c r="F840" t="s">
        <v>5759</v>
      </c>
      <c r="H840">
        <v>15</v>
      </c>
      <c r="I840">
        <f>VLOOKUP(B840,BRAND!B:D,3,FALSE)</f>
        <v>10</v>
      </c>
      <c r="J840">
        <f t="shared" si="12"/>
        <v>19</v>
      </c>
      <c r="M840">
        <v>1</v>
      </c>
    </row>
    <row r="841" spans="1:13">
      <c r="A841" t="s">
        <v>6251</v>
      </c>
      <c r="B841" t="s">
        <v>1844</v>
      </c>
      <c r="C841" s="34" t="s">
        <v>5759</v>
      </c>
      <c r="F841" t="s">
        <v>5759</v>
      </c>
      <c r="G841" t="s">
        <v>801</v>
      </c>
      <c r="H841">
        <v>15</v>
      </c>
      <c r="I841">
        <f>VLOOKUP(B841,BRAND!B:D,3,FALSE)</f>
        <v>10</v>
      </c>
      <c r="J841">
        <f t="shared" si="12"/>
        <v>19</v>
      </c>
      <c r="M841">
        <v>1</v>
      </c>
    </row>
    <row r="842" spans="1:13">
      <c r="A842" t="s">
        <v>6047</v>
      </c>
      <c r="B842" t="s">
        <v>1844</v>
      </c>
      <c r="C842" s="34" t="s">
        <v>5617</v>
      </c>
      <c r="F842" t="s">
        <v>5617</v>
      </c>
      <c r="H842">
        <v>15</v>
      </c>
      <c r="I842">
        <f>VLOOKUP(B842,BRAND!B:D,3,FALSE)</f>
        <v>10</v>
      </c>
      <c r="J842">
        <f t="shared" si="12"/>
        <v>19</v>
      </c>
      <c r="M842">
        <v>1</v>
      </c>
    </row>
    <row r="843" spans="1:13">
      <c r="A843" t="s">
        <v>6289</v>
      </c>
      <c r="B843" t="s">
        <v>1844</v>
      </c>
      <c r="C843" s="34" t="s">
        <v>5617</v>
      </c>
      <c r="F843" t="s">
        <v>5617</v>
      </c>
      <c r="G843" t="s">
        <v>801</v>
      </c>
      <c r="H843">
        <v>15</v>
      </c>
      <c r="I843">
        <f>VLOOKUP(B843,BRAND!B:D,3,FALSE)</f>
        <v>10</v>
      </c>
      <c r="J843">
        <f t="shared" si="12"/>
        <v>19</v>
      </c>
      <c r="M843">
        <v>1</v>
      </c>
    </row>
    <row r="844" spans="1:13">
      <c r="A844" t="s">
        <v>6057</v>
      </c>
      <c r="B844" t="s">
        <v>1844</v>
      </c>
      <c r="C844" s="34" t="s">
        <v>5794</v>
      </c>
      <c r="F844" t="s">
        <v>5794</v>
      </c>
      <c r="H844">
        <v>15</v>
      </c>
      <c r="I844">
        <f>VLOOKUP(B844,BRAND!B:D,3,FALSE)</f>
        <v>10</v>
      </c>
      <c r="J844">
        <f t="shared" si="12"/>
        <v>19</v>
      </c>
      <c r="M844">
        <v>1</v>
      </c>
    </row>
    <row r="845" spans="1:13">
      <c r="A845" t="s">
        <v>6299</v>
      </c>
      <c r="B845" t="s">
        <v>1844</v>
      </c>
      <c r="C845" s="34" t="s">
        <v>5794</v>
      </c>
      <c r="F845" t="s">
        <v>5794</v>
      </c>
      <c r="G845" t="s">
        <v>801</v>
      </c>
      <c r="H845">
        <v>15</v>
      </c>
      <c r="I845">
        <f>VLOOKUP(B845,BRAND!B:D,3,FALSE)</f>
        <v>10</v>
      </c>
      <c r="J845">
        <f t="shared" si="12"/>
        <v>19</v>
      </c>
      <c r="M845">
        <v>1</v>
      </c>
    </row>
    <row r="846" spans="1:13">
      <c r="A846" t="s">
        <v>6099</v>
      </c>
      <c r="B846" t="s">
        <v>1844</v>
      </c>
      <c r="C846" s="34" t="s">
        <v>5832</v>
      </c>
      <c r="F846" t="s">
        <v>5832</v>
      </c>
      <c r="H846">
        <v>15</v>
      </c>
      <c r="I846">
        <f>VLOOKUP(B846,BRAND!B:D,3,FALSE)</f>
        <v>10</v>
      </c>
      <c r="J846">
        <f t="shared" si="12"/>
        <v>19</v>
      </c>
      <c r="M846">
        <v>1</v>
      </c>
    </row>
    <row r="847" spans="1:13">
      <c r="A847" t="s">
        <v>6341</v>
      </c>
      <c r="B847" t="s">
        <v>1844</v>
      </c>
      <c r="C847" s="34" t="s">
        <v>5832</v>
      </c>
      <c r="F847" t="s">
        <v>5832</v>
      </c>
      <c r="G847" t="s">
        <v>801</v>
      </c>
      <c r="H847">
        <v>15</v>
      </c>
      <c r="I847">
        <f>VLOOKUP(B847,BRAND!B:D,3,FALSE)</f>
        <v>10</v>
      </c>
      <c r="J847">
        <f t="shared" si="12"/>
        <v>19</v>
      </c>
      <c r="M847">
        <v>1</v>
      </c>
    </row>
    <row r="848" spans="1:13">
      <c r="A848" t="s">
        <v>5848</v>
      </c>
      <c r="B848" t="s">
        <v>1844</v>
      </c>
      <c r="C848" s="34" t="s">
        <v>5634</v>
      </c>
      <c r="F848" t="s">
        <v>5634</v>
      </c>
      <c r="H848">
        <v>15</v>
      </c>
      <c r="I848">
        <f>VLOOKUP(B848,BRAND!B:D,3,FALSE)</f>
        <v>10</v>
      </c>
      <c r="J848">
        <f t="shared" si="12"/>
        <v>18</v>
      </c>
      <c r="M848">
        <v>1</v>
      </c>
    </row>
    <row r="849" spans="1:13">
      <c r="A849" t="s">
        <v>6405</v>
      </c>
      <c r="B849" t="s">
        <v>1844</v>
      </c>
      <c r="C849" s="34" t="s">
        <v>5634</v>
      </c>
      <c r="F849" t="s">
        <v>5634</v>
      </c>
      <c r="G849" t="s">
        <v>801</v>
      </c>
      <c r="H849">
        <v>15</v>
      </c>
      <c r="I849">
        <f>VLOOKUP(B849,BRAND!B:D,3,FALSE)</f>
        <v>10</v>
      </c>
      <c r="J849">
        <f t="shared" ref="J849:J912" si="13">LEN(F849)</f>
        <v>18</v>
      </c>
      <c r="M849">
        <v>1</v>
      </c>
    </row>
    <row r="850" spans="1:13">
      <c r="A850" t="s">
        <v>5971</v>
      </c>
      <c r="B850" t="s">
        <v>1844</v>
      </c>
      <c r="C850" s="34" t="s">
        <v>5726</v>
      </c>
      <c r="F850" t="s">
        <v>5726</v>
      </c>
      <c r="H850">
        <v>15</v>
      </c>
      <c r="I850">
        <f>VLOOKUP(B850,BRAND!B:D,3,FALSE)</f>
        <v>10</v>
      </c>
      <c r="J850">
        <f t="shared" si="13"/>
        <v>18</v>
      </c>
      <c r="L850">
        <v>1</v>
      </c>
      <c r="M850">
        <v>1</v>
      </c>
    </row>
    <row r="851" spans="1:13">
      <c r="A851" t="s">
        <v>6213</v>
      </c>
      <c r="B851" t="s">
        <v>1844</v>
      </c>
      <c r="C851" s="34" t="s">
        <v>5726</v>
      </c>
      <c r="F851" t="s">
        <v>5726</v>
      </c>
      <c r="G851" t="s">
        <v>801</v>
      </c>
      <c r="H851">
        <v>15</v>
      </c>
      <c r="I851">
        <f>VLOOKUP(B851,BRAND!B:D,3,FALSE)</f>
        <v>10</v>
      </c>
      <c r="J851">
        <f t="shared" si="13"/>
        <v>18</v>
      </c>
      <c r="L851">
        <v>1</v>
      </c>
      <c r="M851">
        <v>1</v>
      </c>
    </row>
    <row r="852" spans="1:13">
      <c r="A852" t="s">
        <v>5985</v>
      </c>
      <c r="B852" t="s">
        <v>1844</v>
      </c>
      <c r="C852" s="34" t="s">
        <v>5740</v>
      </c>
      <c r="F852" t="s">
        <v>5740</v>
      </c>
      <c r="H852">
        <v>15</v>
      </c>
      <c r="I852">
        <f>VLOOKUP(B852,BRAND!B:D,3,FALSE)</f>
        <v>10</v>
      </c>
      <c r="J852">
        <f t="shared" si="13"/>
        <v>18</v>
      </c>
      <c r="M852">
        <v>1</v>
      </c>
    </row>
    <row r="853" spans="1:13">
      <c r="A853" t="s">
        <v>6227</v>
      </c>
      <c r="B853" t="s">
        <v>1844</v>
      </c>
      <c r="C853" s="34" t="s">
        <v>5740</v>
      </c>
      <c r="F853" t="s">
        <v>5740</v>
      </c>
      <c r="G853" t="s">
        <v>801</v>
      </c>
      <c r="H853">
        <v>15</v>
      </c>
      <c r="I853">
        <f>VLOOKUP(B853,BRAND!B:D,3,FALSE)</f>
        <v>10</v>
      </c>
      <c r="J853">
        <f t="shared" si="13"/>
        <v>18</v>
      </c>
      <c r="M853">
        <v>1</v>
      </c>
    </row>
    <row r="854" spans="1:13">
      <c r="A854" t="s">
        <v>6003</v>
      </c>
      <c r="B854" t="s">
        <v>1844</v>
      </c>
      <c r="C854" s="34" t="s">
        <v>5755</v>
      </c>
      <c r="F854" t="s">
        <v>5755</v>
      </c>
      <c r="H854">
        <v>15</v>
      </c>
      <c r="I854">
        <f>VLOOKUP(B854,BRAND!B:D,3,FALSE)</f>
        <v>10</v>
      </c>
      <c r="J854">
        <f t="shared" si="13"/>
        <v>18</v>
      </c>
      <c r="M854">
        <v>1</v>
      </c>
    </row>
    <row r="855" spans="1:13">
      <c r="A855" t="s">
        <v>6245</v>
      </c>
      <c r="B855" t="s">
        <v>1844</v>
      </c>
      <c r="C855" s="34" t="s">
        <v>5755</v>
      </c>
      <c r="F855" t="s">
        <v>5755</v>
      </c>
      <c r="G855" t="s">
        <v>801</v>
      </c>
      <c r="H855">
        <v>15</v>
      </c>
      <c r="I855">
        <f>VLOOKUP(B855,BRAND!B:D,3,FALSE)</f>
        <v>10</v>
      </c>
      <c r="J855">
        <f t="shared" si="13"/>
        <v>18</v>
      </c>
      <c r="M855">
        <v>1</v>
      </c>
    </row>
    <row r="856" spans="1:13">
      <c r="A856" t="s">
        <v>6011</v>
      </c>
      <c r="B856" t="s">
        <v>1844</v>
      </c>
      <c r="C856" s="34" t="s">
        <v>5761</v>
      </c>
      <c r="F856" t="s">
        <v>5761</v>
      </c>
      <c r="H856">
        <v>15</v>
      </c>
      <c r="I856">
        <f>VLOOKUP(B856,BRAND!B:D,3,FALSE)</f>
        <v>10</v>
      </c>
      <c r="J856">
        <f t="shared" si="13"/>
        <v>18</v>
      </c>
      <c r="M856">
        <v>1</v>
      </c>
    </row>
    <row r="857" spans="1:13">
      <c r="A857" t="s">
        <v>6253</v>
      </c>
      <c r="B857" t="s">
        <v>1844</v>
      </c>
      <c r="C857" s="34" t="s">
        <v>5761</v>
      </c>
      <c r="F857" t="s">
        <v>5761</v>
      </c>
      <c r="G857" t="s">
        <v>801</v>
      </c>
      <c r="H857">
        <v>15</v>
      </c>
      <c r="I857">
        <f>VLOOKUP(B857,BRAND!B:D,3,FALSE)</f>
        <v>10</v>
      </c>
      <c r="J857">
        <f t="shared" si="13"/>
        <v>18</v>
      </c>
      <c r="M857">
        <v>1</v>
      </c>
    </row>
    <row r="858" spans="1:13">
      <c r="A858" t="s">
        <v>6012</v>
      </c>
      <c r="B858" t="s">
        <v>1844</v>
      </c>
      <c r="C858" s="34" t="s">
        <v>5762</v>
      </c>
      <c r="F858" t="s">
        <v>5762</v>
      </c>
      <c r="H858">
        <v>15</v>
      </c>
      <c r="I858">
        <f>VLOOKUP(B858,BRAND!B:D,3,FALSE)</f>
        <v>10</v>
      </c>
      <c r="J858">
        <f t="shared" si="13"/>
        <v>18</v>
      </c>
      <c r="M858">
        <v>1</v>
      </c>
    </row>
    <row r="859" spans="1:13">
      <c r="A859" t="s">
        <v>6254</v>
      </c>
      <c r="B859" t="s">
        <v>1844</v>
      </c>
      <c r="C859" s="34" t="s">
        <v>5762</v>
      </c>
      <c r="F859" t="s">
        <v>5762</v>
      </c>
      <c r="G859" t="s">
        <v>801</v>
      </c>
      <c r="H859">
        <v>15</v>
      </c>
      <c r="I859">
        <f>VLOOKUP(B859,BRAND!B:D,3,FALSE)</f>
        <v>10</v>
      </c>
      <c r="J859">
        <f t="shared" si="13"/>
        <v>18</v>
      </c>
      <c r="M859">
        <v>1</v>
      </c>
    </row>
    <row r="860" spans="1:13">
      <c r="A860" t="s">
        <v>6013</v>
      </c>
      <c r="B860" t="s">
        <v>1844</v>
      </c>
      <c r="C860" s="34" t="s">
        <v>5763</v>
      </c>
      <c r="F860" t="s">
        <v>5763</v>
      </c>
      <c r="H860">
        <v>15</v>
      </c>
      <c r="I860">
        <f>VLOOKUP(B860,BRAND!B:D,3,FALSE)</f>
        <v>10</v>
      </c>
      <c r="J860">
        <f t="shared" si="13"/>
        <v>18</v>
      </c>
      <c r="M860">
        <v>1</v>
      </c>
    </row>
    <row r="861" spans="1:13">
      <c r="A861" t="s">
        <v>6255</v>
      </c>
      <c r="B861" t="s">
        <v>1844</v>
      </c>
      <c r="C861" s="34" t="s">
        <v>5763</v>
      </c>
      <c r="F861" t="s">
        <v>5763</v>
      </c>
      <c r="G861" t="s">
        <v>801</v>
      </c>
      <c r="H861">
        <v>15</v>
      </c>
      <c r="I861">
        <f>VLOOKUP(B861,BRAND!B:D,3,FALSE)</f>
        <v>10</v>
      </c>
      <c r="J861">
        <f t="shared" si="13"/>
        <v>18</v>
      </c>
      <c r="M861">
        <v>1</v>
      </c>
    </row>
    <row r="862" spans="1:13">
      <c r="A862" t="s">
        <v>6034</v>
      </c>
      <c r="B862" t="s">
        <v>1844</v>
      </c>
      <c r="C862" s="34" t="s">
        <v>5609</v>
      </c>
      <c r="F862" t="s">
        <v>5609</v>
      </c>
      <c r="H862">
        <v>15</v>
      </c>
      <c r="I862">
        <f>VLOOKUP(B862,BRAND!B:D,3,FALSE)</f>
        <v>10</v>
      </c>
      <c r="J862">
        <f t="shared" si="13"/>
        <v>18</v>
      </c>
      <c r="M862">
        <v>1</v>
      </c>
    </row>
    <row r="863" spans="1:13">
      <c r="A863" t="s">
        <v>6276</v>
      </c>
      <c r="B863" t="s">
        <v>1844</v>
      </c>
      <c r="C863" s="34" t="s">
        <v>5609</v>
      </c>
      <c r="F863" t="s">
        <v>5609</v>
      </c>
      <c r="G863" t="s">
        <v>801</v>
      </c>
      <c r="H863">
        <v>15</v>
      </c>
      <c r="I863">
        <f>VLOOKUP(B863,BRAND!B:D,3,FALSE)</f>
        <v>10</v>
      </c>
      <c r="J863">
        <f t="shared" si="13"/>
        <v>18</v>
      </c>
      <c r="M863">
        <v>1</v>
      </c>
    </row>
    <row r="864" spans="1:13">
      <c r="A864" t="s">
        <v>6086</v>
      </c>
      <c r="B864" t="s">
        <v>1844</v>
      </c>
      <c r="C864" s="34" t="s">
        <v>5821</v>
      </c>
      <c r="F864" t="s">
        <v>5821</v>
      </c>
      <c r="H864">
        <v>15</v>
      </c>
      <c r="I864">
        <f>VLOOKUP(B864,BRAND!B:D,3,FALSE)</f>
        <v>10</v>
      </c>
      <c r="J864">
        <f t="shared" si="13"/>
        <v>18</v>
      </c>
      <c r="M864">
        <v>1</v>
      </c>
    </row>
    <row r="865" spans="1:13">
      <c r="A865" t="s">
        <v>6328</v>
      </c>
      <c r="B865" t="s">
        <v>1844</v>
      </c>
      <c r="C865" s="34" t="s">
        <v>5821</v>
      </c>
      <c r="F865" t="s">
        <v>5821</v>
      </c>
      <c r="G865" t="s">
        <v>801</v>
      </c>
      <c r="H865">
        <v>15</v>
      </c>
      <c r="I865">
        <f>VLOOKUP(B865,BRAND!B:D,3,FALSE)</f>
        <v>10</v>
      </c>
      <c r="J865">
        <f t="shared" si="13"/>
        <v>18</v>
      </c>
      <c r="M865">
        <v>1</v>
      </c>
    </row>
    <row r="866" spans="1:13">
      <c r="A866" t="s">
        <v>6096</v>
      </c>
      <c r="B866" t="s">
        <v>1844</v>
      </c>
      <c r="C866" s="34" t="s">
        <v>5829</v>
      </c>
      <c r="F866" t="s">
        <v>5829</v>
      </c>
      <c r="H866">
        <v>15</v>
      </c>
      <c r="I866">
        <f>VLOOKUP(B866,BRAND!B:D,3,FALSE)</f>
        <v>10</v>
      </c>
      <c r="J866">
        <f t="shared" si="13"/>
        <v>18</v>
      </c>
      <c r="M866">
        <v>1</v>
      </c>
    </row>
    <row r="867" spans="1:13">
      <c r="A867" t="s">
        <v>6338</v>
      </c>
      <c r="B867" t="s">
        <v>1844</v>
      </c>
      <c r="C867" s="34" t="s">
        <v>5829</v>
      </c>
      <c r="F867" t="s">
        <v>5829</v>
      </c>
      <c r="G867" t="s">
        <v>801</v>
      </c>
      <c r="H867">
        <v>15</v>
      </c>
      <c r="I867">
        <f>VLOOKUP(B867,BRAND!B:D,3,FALSE)</f>
        <v>10</v>
      </c>
      <c r="J867">
        <f t="shared" si="13"/>
        <v>18</v>
      </c>
      <c r="M867">
        <v>1</v>
      </c>
    </row>
    <row r="868" spans="1:13">
      <c r="A868" t="s">
        <v>5852</v>
      </c>
      <c r="B868" t="s">
        <v>1844</v>
      </c>
      <c r="C868" s="34" t="s">
        <v>6367</v>
      </c>
      <c r="F868" t="s">
        <v>5578</v>
      </c>
      <c r="H868">
        <v>15</v>
      </c>
      <c r="I868">
        <f>VLOOKUP(B868,BRAND!B:D,3,FALSE)</f>
        <v>10</v>
      </c>
      <c r="J868">
        <f t="shared" si="13"/>
        <v>17</v>
      </c>
      <c r="M868">
        <v>1</v>
      </c>
    </row>
    <row r="869" spans="1:13">
      <c r="A869" t="s">
        <v>6409</v>
      </c>
      <c r="B869" t="s">
        <v>1844</v>
      </c>
      <c r="C869" s="34" t="s">
        <v>5578</v>
      </c>
      <c r="F869" t="s">
        <v>5578</v>
      </c>
      <c r="G869" t="s">
        <v>801</v>
      </c>
      <c r="H869">
        <v>15</v>
      </c>
      <c r="I869">
        <f>VLOOKUP(B869,BRAND!B:D,3,FALSE)</f>
        <v>10</v>
      </c>
      <c r="J869">
        <f t="shared" si="13"/>
        <v>17</v>
      </c>
      <c r="M869">
        <v>1</v>
      </c>
    </row>
    <row r="870" spans="1:13">
      <c r="A870" t="s">
        <v>5864</v>
      </c>
      <c r="B870" t="s">
        <v>1844</v>
      </c>
      <c r="C870" s="34" t="s">
        <v>6371</v>
      </c>
      <c r="F870" t="s">
        <v>5641</v>
      </c>
      <c r="H870">
        <v>15</v>
      </c>
      <c r="I870">
        <f>VLOOKUP(B870,BRAND!B:D,3,FALSE)</f>
        <v>10</v>
      </c>
      <c r="J870">
        <f t="shared" si="13"/>
        <v>17</v>
      </c>
      <c r="M870">
        <v>1</v>
      </c>
    </row>
    <row r="871" spans="1:13">
      <c r="A871" t="s">
        <v>6106</v>
      </c>
      <c r="B871" t="s">
        <v>1844</v>
      </c>
      <c r="C871" s="34" t="s">
        <v>5641</v>
      </c>
      <c r="F871" t="s">
        <v>5641</v>
      </c>
      <c r="G871" t="s">
        <v>801</v>
      </c>
      <c r="H871">
        <v>15</v>
      </c>
      <c r="I871">
        <f>VLOOKUP(B871,BRAND!B:D,3,FALSE)</f>
        <v>10</v>
      </c>
      <c r="J871">
        <f t="shared" si="13"/>
        <v>17</v>
      </c>
      <c r="M871">
        <v>1</v>
      </c>
    </row>
    <row r="872" spans="1:13">
      <c r="A872" t="s">
        <v>5868</v>
      </c>
      <c r="B872" t="s">
        <v>1844</v>
      </c>
      <c r="C872" s="34" t="s">
        <v>6375</v>
      </c>
      <c r="F872" t="s">
        <v>5645</v>
      </c>
      <c r="H872">
        <v>15</v>
      </c>
      <c r="I872">
        <f>VLOOKUP(B872,BRAND!B:D,3,FALSE)</f>
        <v>10</v>
      </c>
      <c r="J872">
        <f t="shared" si="13"/>
        <v>17</v>
      </c>
      <c r="M872">
        <v>1</v>
      </c>
    </row>
    <row r="873" spans="1:13">
      <c r="A873" t="s">
        <v>6110</v>
      </c>
      <c r="B873" t="s">
        <v>1844</v>
      </c>
      <c r="C873" s="34" t="s">
        <v>5645</v>
      </c>
      <c r="F873" t="s">
        <v>5645</v>
      </c>
      <c r="G873" t="s">
        <v>801</v>
      </c>
      <c r="H873">
        <v>15</v>
      </c>
      <c r="I873">
        <f>VLOOKUP(B873,BRAND!B:D,3,FALSE)</f>
        <v>10</v>
      </c>
      <c r="J873">
        <f t="shared" si="13"/>
        <v>17</v>
      </c>
      <c r="M873">
        <v>1</v>
      </c>
    </row>
    <row r="874" spans="1:13">
      <c r="A874" t="s">
        <v>5875</v>
      </c>
      <c r="B874" t="s">
        <v>1844</v>
      </c>
      <c r="C874" s="34" t="s">
        <v>6378</v>
      </c>
      <c r="F874" t="s">
        <v>5651</v>
      </c>
      <c r="H874">
        <v>15</v>
      </c>
      <c r="I874">
        <f>VLOOKUP(B874,BRAND!B:D,3,FALSE)</f>
        <v>10</v>
      </c>
      <c r="J874">
        <f t="shared" si="13"/>
        <v>17</v>
      </c>
      <c r="M874">
        <v>1</v>
      </c>
    </row>
    <row r="875" spans="1:13">
      <c r="A875" t="s">
        <v>6117</v>
      </c>
      <c r="B875" t="s">
        <v>1844</v>
      </c>
      <c r="C875" s="34" t="s">
        <v>5651</v>
      </c>
      <c r="F875" t="s">
        <v>5651</v>
      </c>
      <c r="G875" t="s">
        <v>801</v>
      </c>
      <c r="H875">
        <v>15</v>
      </c>
      <c r="I875">
        <f>VLOOKUP(B875,BRAND!B:D,3,FALSE)</f>
        <v>10</v>
      </c>
      <c r="J875">
        <f t="shared" si="13"/>
        <v>17</v>
      </c>
      <c r="M875">
        <v>1</v>
      </c>
    </row>
    <row r="876" spans="1:13">
      <c r="A876" t="s">
        <v>5876</v>
      </c>
      <c r="B876" t="s">
        <v>1844</v>
      </c>
      <c r="C876" s="34" t="s">
        <v>5585</v>
      </c>
      <c r="F876" t="s">
        <v>5585</v>
      </c>
      <c r="H876">
        <v>15</v>
      </c>
      <c r="I876">
        <f>VLOOKUP(B876,BRAND!B:D,3,FALSE)</f>
        <v>10</v>
      </c>
      <c r="J876">
        <f t="shared" si="13"/>
        <v>17</v>
      </c>
      <c r="M876">
        <v>1</v>
      </c>
    </row>
    <row r="877" spans="1:13">
      <c r="A877" t="s">
        <v>6118</v>
      </c>
      <c r="B877" t="s">
        <v>1844</v>
      </c>
      <c r="C877" s="34" t="s">
        <v>5585</v>
      </c>
      <c r="F877" t="s">
        <v>5585</v>
      </c>
      <c r="G877" t="s">
        <v>801</v>
      </c>
      <c r="H877">
        <v>15</v>
      </c>
      <c r="I877">
        <f>VLOOKUP(B877,BRAND!B:D,3,FALSE)</f>
        <v>10</v>
      </c>
      <c r="J877">
        <f t="shared" si="13"/>
        <v>17</v>
      </c>
      <c r="M877">
        <v>1</v>
      </c>
    </row>
    <row r="878" spans="1:13">
      <c r="A878" t="s">
        <v>5878</v>
      </c>
      <c r="B878" t="s">
        <v>1844</v>
      </c>
      <c r="C878" s="34" t="s">
        <v>5652</v>
      </c>
      <c r="F878" t="s">
        <v>5652</v>
      </c>
      <c r="H878">
        <v>15</v>
      </c>
      <c r="I878">
        <f>VLOOKUP(B878,BRAND!B:D,3,FALSE)</f>
        <v>10</v>
      </c>
      <c r="J878">
        <f t="shared" si="13"/>
        <v>17</v>
      </c>
      <c r="M878">
        <v>1</v>
      </c>
    </row>
    <row r="879" spans="1:13">
      <c r="A879" t="s">
        <v>6120</v>
      </c>
      <c r="B879" t="s">
        <v>1844</v>
      </c>
      <c r="C879" s="34" t="s">
        <v>5652</v>
      </c>
      <c r="F879" t="s">
        <v>5652</v>
      </c>
      <c r="G879" t="s">
        <v>801</v>
      </c>
      <c r="H879">
        <v>15</v>
      </c>
      <c r="I879">
        <f>VLOOKUP(B879,BRAND!B:D,3,FALSE)</f>
        <v>10</v>
      </c>
      <c r="J879">
        <f t="shared" si="13"/>
        <v>17</v>
      </c>
      <c r="M879">
        <v>1</v>
      </c>
    </row>
    <row r="880" spans="1:13">
      <c r="A880" t="s">
        <v>5909</v>
      </c>
      <c r="B880" t="s">
        <v>1844</v>
      </c>
      <c r="C880" s="34" t="s">
        <v>5675</v>
      </c>
      <c r="F880" t="s">
        <v>5675</v>
      </c>
      <c r="H880">
        <v>15</v>
      </c>
      <c r="I880">
        <f>VLOOKUP(B880,BRAND!B:D,3,FALSE)</f>
        <v>10</v>
      </c>
      <c r="J880">
        <f t="shared" si="13"/>
        <v>17</v>
      </c>
      <c r="M880">
        <v>1</v>
      </c>
    </row>
    <row r="881" spans="1:13">
      <c r="A881" t="s">
        <v>6151</v>
      </c>
      <c r="B881" t="s">
        <v>1844</v>
      </c>
      <c r="C881" s="34" t="s">
        <v>5675</v>
      </c>
      <c r="F881" t="s">
        <v>5675</v>
      </c>
      <c r="G881" t="s">
        <v>801</v>
      </c>
      <c r="H881">
        <v>15</v>
      </c>
      <c r="I881">
        <f>VLOOKUP(B881,BRAND!B:D,3,FALSE)</f>
        <v>10</v>
      </c>
      <c r="J881">
        <f t="shared" si="13"/>
        <v>17</v>
      </c>
      <c r="M881">
        <v>1</v>
      </c>
    </row>
    <row r="882" spans="1:13">
      <c r="A882" t="s">
        <v>5947</v>
      </c>
      <c r="B882" t="s">
        <v>1844</v>
      </c>
      <c r="C882" s="34" t="s">
        <v>5706</v>
      </c>
      <c r="F882" t="s">
        <v>5706</v>
      </c>
      <c r="H882">
        <v>15</v>
      </c>
      <c r="I882">
        <f>VLOOKUP(B882,BRAND!B:D,3,FALSE)</f>
        <v>10</v>
      </c>
      <c r="J882">
        <f t="shared" si="13"/>
        <v>17</v>
      </c>
      <c r="L882">
        <v>1</v>
      </c>
      <c r="M882">
        <v>1</v>
      </c>
    </row>
    <row r="883" spans="1:13">
      <c r="A883" t="s">
        <v>6189</v>
      </c>
      <c r="B883" t="s">
        <v>1844</v>
      </c>
      <c r="C883" s="34" t="s">
        <v>5706</v>
      </c>
      <c r="F883" t="s">
        <v>5706</v>
      </c>
      <c r="G883" t="s">
        <v>801</v>
      </c>
      <c r="H883">
        <v>15</v>
      </c>
      <c r="I883">
        <f>VLOOKUP(B883,BRAND!B:D,3,FALSE)</f>
        <v>10</v>
      </c>
      <c r="J883">
        <f t="shared" si="13"/>
        <v>17</v>
      </c>
      <c r="L883">
        <v>1</v>
      </c>
      <c r="M883">
        <v>1</v>
      </c>
    </row>
    <row r="884" spans="1:13">
      <c r="A884" t="s">
        <v>5958</v>
      </c>
      <c r="B884" t="s">
        <v>1844</v>
      </c>
      <c r="C884" s="34" t="s">
        <v>5602</v>
      </c>
      <c r="F884" t="s">
        <v>5602</v>
      </c>
      <c r="H884">
        <v>15</v>
      </c>
      <c r="I884">
        <f>VLOOKUP(B884,BRAND!B:D,3,FALSE)</f>
        <v>10</v>
      </c>
      <c r="J884">
        <f t="shared" si="13"/>
        <v>17</v>
      </c>
      <c r="M884">
        <v>1</v>
      </c>
    </row>
    <row r="885" spans="1:13">
      <c r="A885" t="s">
        <v>6200</v>
      </c>
      <c r="B885" t="s">
        <v>1844</v>
      </c>
      <c r="C885" s="34" t="s">
        <v>5602</v>
      </c>
      <c r="F885" t="s">
        <v>5602</v>
      </c>
      <c r="G885" t="s">
        <v>801</v>
      </c>
      <c r="H885">
        <v>15</v>
      </c>
      <c r="I885">
        <f>VLOOKUP(B885,BRAND!B:D,3,FALSE)</f>
        <v>10</v>
      </c>
      <c r="J885">
        <f t="shared" si="13"/>
        <v>17</v>
      </c>
      <c r="M885">
        <v>1</v>
      </c>
    </row>
    <row r="886" spans="1:13">
      <c r="A886" t="s">
        <v>6022</v>
      </c>
      <c r="B886" t="s">
        <v>1844</v>
      </c>
      <c r="C886" s="34" t="s">
        <v>5772</v>
      </c>
      <c r="F886" t="s">
        <v>5772</v>
      </c>
      <c r="H886">
        <v>15</v>
      </c>
      <c r="I886">
        <f>VLOOKUP(B886,BRAND!B:D,3,FALSE)</f>
        <v>10</v>
      </c>
      <c r="J886">
        <f t="shared" si="13"/>
        <v>17</v>
      </c>
      <c r="M886">
        <v>1</v>
      </c>
    </row>
    <row r="887" spans="1:13">
      <c r="A887" t="s">
        <v>6264</v>
      </c>
      <c r="B887" t="s">
        <v>1844</v>
      </c>
      <c r="C887" s="34" t="s">
        <v>5772</v>
      </c>
      <c r="F887" t="s">
        <v>5772</v>
      </c>
      <c r="G887" t="s">
        <v>801</v>
      </c>
      <c r="H887">
        <v>15</v>
      </c>
      <c r="I887">
        <f>VLOOKUP(B887,BRAND!B:D,3,FALSE)</f>
        <v>10</v>
      </c>
      <c r="J887">
        <f t="shared" si="13"/>
        <v>17</v>
      </c>
      <c r="M887">
        <v>1</v>
      </c>
    </row>
    <row r="888" spans="1:13">
      <c r="A888" t="s">
        <v>6025</v>
      </c>
      <c r="B888" t="s">
        <v>1844</v>
      </c>
      <c r="C888" s="34" t="s">
        <v>5775</v>
      </c>
      <c r="F888" t="s">
        <v>5775</v>
      </c>
      <c r="H888">
        <v>15</v>
      </c>
      <c r="I888">
        <f>VLOOKUP(B888,BRAND!B:D,3,FALSE)</f>
        <v>10</v>
      </c>
      <c r="J888">
        <f t="shared" si="13"/>
        <v>17</v>
      </c>
      <c r="M888">
        <v>1</v>
      </c>
    </row>
    <row r="889" spans="1:13">
      <c r="A889" t="s">
        <v>6267</v>
      </c>
      <c r="B889" t="s">
        <v>1844</v>
      </c>
      <c r="C889" s="34" t="s">
        <v>5775</v>
      </c>
      <c r="F889" t="s">
        <v>5775</v>
      </c>
      <c r="G889" t="s">
        <v>801</v>
      </c>
      <c r="H889">
        <v>15</v>
      </c>
      <c r="I889">
        <f>VLOOKUP(B889,BRAND!B:D,3,FALSE)</f>
        <v>10</v>
      </c>
      <c r="J889">
        <f t="shared" si="13"/>
        <v>17</v>
      </c>
      <c r="M889">
        <v>1</v>
      </c>
    </row>
    <row r="890" spans="1:13">
      <c r="A890" t="s">
        <v>6059</v>
      </c>
      <c r="B890" t="s">
        <v>1844</v>
      </c>
      <c r="C890" s="34" t="s">
        <v>6393</v>
      </c>
      <c r="F890" t="s">
        <v>5796</v>
      </c>
      <c r="H890">
        <v>15</v>
      </c>
      <c r="I890">
        <f>VLOOKUP(B890,BRAND!B:D,3,FALSE)</f>
        <v>10</v>
      </c>
      <c r="J890">
        <f t="shared" si="13"/>
        <v>17</v>
      </c>
      <c r="M890">
        <v>1</v>
      </c>
    </row>
    <row r="891" spans="1:13">
      <c r="A891" t="s">
        <v>6301</v>
      </c>
      <c r="B891" t="s">
        <v>1844</v>
      </c>
      <c r="C891" s="34" t="s">
        <v>5796</v>
      </c>
      <c r="F891" t="s">
        <v>5796</v>
      </c>
      <c r="G891" t="s">
        <v>801</v>
      </c>
      <c r="H891">
        <v>15</v>
      </c>
      <c r="I891">
        <f>VLOOKUP(B891,BRAND!B:D,3,FALSE)</f>
        <v>10</v>
      </c>
      <c r="J891">
        <f t="shared" si="13"/>
        <v>17</v>
      </c>
      <c r="M891">
        <v>1</v>
      </c>
    </row>
    <row r="892" spans="1:13">
      <c r="A892" t="s">
        <v>6076</v>
      </c>
      <c r="B892" t="s">
        <v>1844</v>
      </c>
      <c r="C892" s="34" t="s">
        <v>5811</v>
      </c>
      <c r="F892" t="s">
        <v>5811</v>
      </c>
      <c r="H892">
        <v>15</v>
      </c>
      <c r="I892">
        <f>VLOOKUP(B892,BRAND!B:D,3,FALSE)</f>
        <v>10</v>
      </c>
      <c r="J892">
        <f t="shared" si="13"/>
        <v>17</v>
      </c>
      <c r="M892">
        <v>1</v>
      </c>
    </row>
    <row r="893" spans="1:13">
      <c r="A893" t="s">
        <v>6318</v>
      </c>
      <c r="B893" t="s">
        <v>1844</v>
      </c>
      <c r="C893" s="34" t="s">
        <v>5811</v>
      </c>
      <c r="F893" t="s">
        <v>5811</v>
      </c>
      <c r="G893" t="s">
        <v>801</v>
      </c>
      <c r="H893">
        <v>15</v>
      </c>
      <c r="I893">
        <f>VLOOKUP(B893,BRAND!B:D,3,FALSE)</f>
        <v>10</v>
      </c>
      <c r="J893">
        <f t="shared" si="13"/>
        <v>17</v>
      </c>
      <c r="M893">
        <v>1</v>
      </c>
    </row>
    <row r="894" spans="1:13">
      <c r="A894" t="s">
        <v>5843</v>
      </c>
      <c r="B894" t="s">
        <v>1844</v>
      </c>
      <c r="C894" s="34" t="s">
        <v>5630</v>
      </c>
      <c r="F894" t="s">
        <v>5630</v>
      </c>
      <c r="H894">
        <v>15</v>
      </c>
      <c r="I894">
        <f>VLOOKUP(B894,BRAND!B:D,3,FALSE)</f>
        <v>10</v>
      </c>
      <c r="J894">
        <f t="shared" si="13"/>
        <v>16</v>
      </c>
      <c r="M894">
        <v>1</v>
      </c>
    </row>
    <row r="895" spans="1:13">
      <c r="A895" t="s">
        <v>6400</v>
      </c>
      <c r="B895" t="s">
        <v>1844</v>
      </c>
      <c r="C895" s="34" t="s">
        <v>5630</v>
      </c>
      <c r="F895" t="s">
        <v>5630</v>
      </c>
      <c r="G895" t="s">
        <v>801</v>
      </c>
      <c r="H895">
        <v>15</v>
      </c>
      <c r="I895">
        <f>VLOOKUP(B895,BRAND!B:D,3,FALSE)</f>
        <v>10</v>
      </c>
      <c r="J895">
        <f t="shared" si="13"/>
        <v>16</v>
      </c>
      <c r="M895">
        <v>1</v>
      </c>
    </row>
    <row r="896" spans="1:13">
      <c r="A896" t="s">
        <v>5912</v>
      </c>
      <c r="B896" t="s">
        <v>1844</v>
      </c>
      <c r="C896" s="34" t="s">
        <v>5597</v>
      </c>
      <c r="F896" t="s">
        <v>5597</v>
      </c>
      <c r="H896">
        <v>15</v>
      </c>
      <c r="I896">
        <f>VLOOKUP(B896,BRAND!B:D,3,FALSE)</f>
        <v>10</v>
      </c>
      <c r="J896">
        <f t="shared" si="13"/>
        <v>16</v>
      </c>
      <c r="M896">
        <v>1</v>
      </c>
    </row>
    <row r="897" spans="1:13">
      <c r="A897" t="s">
        <v>6154</v>
      </c>
      <c r="B897" t="s">
        <v>1844</v>
      </c>
      <c r="C897" s="34" t="s">
        <v>5597</v>
      </c>
      <c r="F897" t="s">
        <v>5597</v>
      </c>
      <c r="G897" t="s">
        <v>801</v>
      </c>
      <c r="H897">
        <v>15</v>
      </c>
      <c r="I897">
        <f>VLOOKUP(B897,BRAND!B:D,3,FALSE)</f>
        <v>10</v>
      </c>
      <c r="J897">
        <f t="shared" si="13"/>
        <v>16</v>
      </c>
      <c r="M897">
        <v>1</v>
      </c>
    </row>
    <row r="898" spans="1:13">
      <c r="A898" t="s">
        <v>5962</v>
      </c>
      <c r="B898" t="s">
        <v>1844</v>
      </c>
      <c r="C898" s="34" t="s">
        <v>5717</v>
      </c>
      <c r="F898" t="s">
        <v>5717</v>
      </c>
      <c r="H898">
        <v>15</v>
      </c>
      <c r="I898">
        <f>VLOOKUP(B898,BRAND!B:D,3,FALSE)</f>
        <v>10</v>
      </c>
      <c r="J898">
        <f t="shared" si="13"/>
        <v>16</v>
      </c>
      <c r="L898">
        <v>1</v>
      </c>
      <c r="M898">
        <v>1</v>
      </c>
    </row>
    <row r="899" spans="1:13">
      <c r="A899" t="s">
        <v>6204</v>
      </c>
      <c r="B899" t="s">
        <v>1844</v>
      </c>
      <c r="C899" s="34" t="s">
        <v>5717</v>
      </c>
      <c r="F899" t="s">
        <v>5717</v>
      </c>
      <c r="G899" t="s">
        <v>801</v>
      </c>
      <c r="H899">
        <v>15</v>
      </c>
      <c r="I899">
        <f>VLOOKUP(B899,BRAND!B:D,3,FALSE)</f>
        <v>10</v>
      </c>
      <c r="J899">
        <f t="shared" si="13"/>
        <v>16</v>
      </c>
      <c r="L899">
        <v>1</v>
      </c>
      <c r="M899">
        <v>1</v>
      </c>
    </row>
    <row r="900" spans="1:13">
      <c r="A900" t="s">
        <v>5999</v>
      </c>
      <c r="B900" t="s">
        <v>1844</v>
      </c>
      <c r="C900" s="34" t="s">
        <v>5751</v>
      </c>
      <c r="F900" t="s">
        <v>5751</v>
      </c>
      <c r="H900">
        <v>15</v>
      </c>
      <c r="I900">
        <f>VLOOKUP(B900,BRAND!B:D,3,FALSE)</f>
        <v>10</v>
      </c>
      <c r="J900">
        <f t="shared" si="13"/>
        <v>16</v>
      </c>
      <c r="M900">
        <v>1</v>
      </c>
    </row>
    <row r="901" spans="1:13">
      <c r="A901" t="s">
        <v>6241</v>
      </c>
      <c r="B901" t="s">
        <v>1844</v>
      </c>
      <c r="C901" s="34" t="s">
        <v>5751</v>
      </c>
      <c r="F901" t="s">
        <v>5751</v>
      </c>
      <c r="G901" t="s">
        <v>801</v>
      </c>
      <c r="H901">
        <v>15</v>
      </c>
      <c r="I901">
        <f>VLOOKUP(B901,BRAND!B:D,3,FALSE)</f>
        <v>10</v>
      </c>
      <c r="J901">
        <f t="shared" si="13"/>
        <v>16</v>
      </c>
      <c r="M901">
        <v>1</v>
      </c>
    </row>
    <row r="902" spans="1:13">
      <c r="A902" t="s">
        <v>6017</v>
      </c>
      <c r="B902" t="s">
        <v>1844</v>
      </c>
      <c r="C902" s="34" t="s">
        <v>6386</v>
      </c>
      <c r="F902" t="s">
        <v>5767</v>
      </c>
      <c r="H902">
        <v>15</v>
      </c>
      <c r="I902">
        <f>VLOOKUP(B902,BRAND!B:D,3,FALSE)</f>
        <v>10</v>
      </c>
      <c r="J902">
        <f t="shared" si="13"/>
        <v>16</v>
      </c>
      <c r="M902">
        <v>1</v>
      </c>
    </row>
    <row r="903" spans="1:13">
      <c r="A903" t="s">
        <v>6259</v>
      </c>
      <c r="B903" t="s">
        <v>1844</v>
      </c>
      <c r="C903" s="34" t="s">
        <v>5767</v>
      </c>
      <c r="F903" t="s">
        <v>5767</v>
      </c>
      <c r="G903" t="s">
        <v>801</v>
      </c>
      <c r="H903">
        <v>15</v>
      </c>
      <c r="I903">
        <f>VLOOKUP(B903,BRAND!B:D,3,FALSE)</f>
        <v>10</v>
      </c>
      <c r="J903">
        <f t="shared" si="13"/>
        <v>16</v>
      </c>
      <c r="M903">
        <v>1</v>
      </c>
    </row>
    <row r="904" spans="1:13">
      <c r="A904" t="s">
        <v>6020</v>
      </c>
      <c r="B904" t="s">
        <v>1844</v>
      </c>
      <c r="C904" s="34" t="s">
        <v>5770</v>
      </c>
      <c r="F904" t="s">
        <v>5770</v>
      </c>
      <c r="H904">
        <v>15</v>
      </c>
      <c r="I904">
        <f>VLOOKUP(B904,BRAND!B:D,3,FALSE)</f>
        <v>10</v>
      </c>
      <c r="J904">
        <f t="shared" si="13"/>
        <v>16</v>
      </c>
      <c r="M904">
        <v>1</v>
      </c>
    </row>
    <row r="905" spans="1:13">
      <c r="A905" t="s">
        <v>6262</v>
      </c>
      <c r="B905" t="s">
        <v>1844</v>
      </c>
      <c r="C905" s="34" t="s">
        <v>5770</v>
      </c>
      <c r="F905" t="s">
        <v>5770</v>
      </c>
      <c r="G905" t="s">
        <v>801</v>
      </c>
      <c r="H905">
        <v>15</v>
      </c>
      <c r="I905">
        <f>VLOOKUP(B905,BRAND!B:D,3,FALSE)</f>
        <v>10</v>
      </c>
      <c r="J905">
        <f t="shared" si="13"/>
        <v>16</v>
      </c>
      <c r="M905">
        <v>1</v>
      </c>
    </row>
    <row r="906" spans="1:13">
      <c r="A906" t="s">
        <v>6028</v>
      </c>
      <c r="B906" t="s">
        <v>1844</v>
      </c>
      <c r="C906" s="34" t="s">
        <v>5778</v>
      </c>
      <c r="F906" t="s">
        <v>5778</v>
      </c>
      <c r="H906">
        <v>15</v>
      </c>
      <c r="I906">
        <f>VLOOKUP(B906,BRAND!B:D,3,FALSE)</f>
        <v>10</v>
      </c>
      <c r="J906">
        <f t="shared" si="13"/>
        <v>16</v>
      </c>
      <c r="M906">
        <v>1</v>
      </c>
    </row>
    <row r="907" spans="1:13">
      <c r="A907" t="s">
        <v>6270</v>
      </c>
      <c r="B907" t="s">
        <v>1844</v>
      </c>
      <c r="C907" s="34" t="s">
        <v>5778</v>
      </c>
      <c r="F907" t="s">
        <v>5778</v>
      </c>
      <c r="G907" t="s">
        <v>801</v>
      </c>
      <c r="H907">
        <v>15</v>
      </c>
      <c r="I907">
        <f>VLOOKUP(B907,BRAND!B:D,3,FALSE)</f>
        <v>10</v>
      </c>
      <c r="J907">
        <f t="shared" si="13"/>
        <v>16</v>
      </c>
      <c r="M907">
        <v>1</v>
      </c>
    </row>
    <row r="908" spans="1:13">
      <c r="A908" t="s">
        <v>6052</v>
      </c>
      <c r="B908" t="s">
        <v>1844</v>
      </c>
      <c r="C908" s="34" t="s">
        <v>5789</v>
      </c>
      <c r="F908" t="s">
        <v>5789</v>
      </c>
      <c r="H908">
        <v>15</v>
      </c>
      <c r="I908">
        <f>VLOOKUP(B908,BRAND!B:D,3,FALSE)</f>
        <v>10</v>
      </c>
      <c r="J908">
        <f t="shared" si="13"/>
        <v>16</v>
      </c>
      <c r="M908">
        <v>1</v>
      </c>
    </row>
    <row r="909" spans="1:13">
      <c r="A909" t="s">
        <v>6294</v>
      </c>
      <c r="B909" t="s">
        <v>1844</v>
      </c>
      <c r="C909" s="34" t="s">
        <v>5789</v>
      </c>
      <c r="F909" t="s">
        <v>5789</v>
      </c>
      <c r="G909" t="s">
        <v>801</v>
      </c>
      <c r="H909">
        <v>15</v>
      </c>
      <c r="I909">
        <f>VLOOKUP(B909,BRAND!B:D,3,FALSE)</f>
        <v>10</v>
      </c>
      <c r="J909">
        <f t="shared" si="13"/>
        <v>16</v>
      </c>
      <c r="M909">
        <v>1</v>
      </c>
    </row>
    <row r="910" spans="1:13">
      <c r="A910" t="s">
        <v>6065</v>
      </c>
      <c r="B910" t="s">
        <v>1844</v>
      </c>
      <c r="C910" s="34" t="s">
        <v>5800</v>
      </c>
      <c r="F910" t="s">
        <v>5800</v>
      </c>
      <c r="H910">
        <v>15</v>
      </c>
      <c r="I910">
        <f>VLOOKUP(B910,BRAND!B:D,3,FALSE)</f>
        <v>10</v>
      </c>
      <c r="J910">
        <f t="shared" si="13"/>
        <v>16</v>
      </c>
      <c r="M910">
        <v>1</v>
      </c>
    </row>
    <row r="911" spans="1:13">
      <c r="A911" t="s">
        <v>6307</v>
      </c>
      <c r="B911" t="s">
        <v>1844</v>
      </c>
      <c r="C911" s="34" t="s">
        <v>5800</v>
      </c>
      <c r="F911" t="s">
        <v>5800</v>
      </c>
      <c r="G911" t="s">
        <v>801</v>
      </c>
      <c r="H911">
        <v>15</v>
      </c>
      <c r="I911">
        <f>VLOOKUP(B911,BRAND!B:D,3,FALSE)</f>
        <v>10</v>
      </c>
      <c r="J911">
        <f t="shared" si="13"/>
        <v>16</v>
      </c>
      <c r="M911">
        <v>1</v>
      </c>
    </row>
    <row r="912" spans="1:13">
      <c r="A912" t="s">
        <v>6100</v>
      </c>
      <c r="B912" t="s">
        <v>1844</v>
      </c>
      <c r="C912" s="34" t="s">
        <v>5833</v>
      </c>
      <c r="F912" t="s">
        <v>5833</v>
      </c>
      <c r="H912">
        <v>15</v>
      </c>
      <c r="I912">
        <f>VLOOKUP(B912,BRAND!B:D,3,FALSE)</f>
        <v>10</v>
      </c>
      <c r="J912">
        <f t="shared" si="13"/>
        <v>16</v>
      </c>
      <c r="M912">
        <v>1</v>
      </c>
    </row>
    <row r="913" spans="1:13">
      <c r="A913" t="s">
        <v>6342</v>
      </c>
      <c r="B913" t="s">
        <v>1844</v>
      </c>
      <c r="C913" s="34" t="s">
        <v>5833</v>
      </c>
      <c r="F913" t="s">
        <v>5833</v>
      </c>
      <c r="G913" t="s">
        <v>801</v>
      </c>
      <c r="H913">
        <v>15</v>
      </c>
      <c r="I913">
        <f>VLOOKUP(B913,BRAND!B:D,3,FALSE)</f>
        <v>10</v>
      </c>
      <c r="J913">
        <f t="shared" ref="J913:J976" si="14">LEN(F913)</f>
        <v>16</v>
      </c>
      <c r="M913">
        <v>1</v>
      </c>
    </row>
    <row r="914" spans="1:13">
      <c r="A914" t="s">
        <v>5939</v>
      </c>
      <c r="B914" t="s">
        <v>1844</v>
      </c>
      <c r="C914" s="34" t="s">
        <v>5698</v>
      </c>
      <c r="F914" t="s">
        <v>5698</v>
      </c>
      <c r="H914">
        <v>15</v>
      </c>
      <c r="I914">
        <f>VLOOKUP(B914,BRAND!B:D,3,FALSE)</f>
        <v>10</v>
      </c>
      <c r="J914">
        <f t="shared" si="14"/>
        <v>15</v>
      </c>
      <c r="M914">
        <v>1</v>
      </c>
    </row>
    <row r="915" spans="1:13">
      <c r="A915" t="s">
        <v>6181</v>
      </c>
      <c r="B915" t="s">
        <v>1844</v>
      </c>
      <c r="C915" s="34" t="s">
        <v>5698</v>
      </c>
      <c r="F915" t="s">
        <v>5698</v>
      </c>
      <c r="G915" t="s">
        <v>801</v>
      </c>
      <c r="H915">
        <v>15</v>
      </c>
      <c r="I915">
        <f>VLOOKUP(B915,BRAND!B:D,3,FALSE)</f>
        <v>10</v>
      </c>
      <c r="J915">
        <f t="shared" si="14"/>
        <v>15</v>
      </c>
      <c r="M915">
        <v>1</v>
      </c>
    </row>
    <row r="916" spans="1:13">
      <c r="A916" t="s">
        <v>5945</v>
      </c>
      <c r="B916" t="s">
        <v>1844</v>
      </c>
      <c r="C916" s="34" t="s">
        <v>5704</v>
      </c>
      <c r="F916" t="s">
        <v>5704</v>
      </c>
      <c r="H916">
        <v>15</v>
      </c>
      <c r="I916">
        <f>VLOOKUP(B916,BRAND!B:D,3,FALSE)</f>
        <v>10</v>
      </c>
      <c r="J916">
        <f t="shared" si="14"/>
        <v>15</v>
      </c>
      <c r="M916">
        <v>1</v>
      </c>
    </row>
    <row r="917" spans="1:13">
      <c r="A917" t="s">
        <v>6187</v>
      </c>
      <c r="B917" t="s">
        <v>1844</v>
      </c>
      <c r="C917" s="34" t="s">
        <v>5704</v>
      </c>
      <c r="F917" t="s">
        <v>5704</v>
      </c>
      <c r="G917" t="s">
        <v>801</v>
      </c>
      <c r="H917">
        <v>15</v>
      </c>
      <c r="I917">
        <f>VLOOKUP(B917,BRAND!B:D,3,FALSE)</f>
        <v>10</v>
      </c>
      <c r="J917">
        <f t="shared" si="14"/>
        <v>15</v>
      </c>
      <c r="M917">
        <v>1</v>
      </c>
    </row>
    <row r="918" spans="1:13">
      <c r="A918" t="s">
        <v>5949</v>
      </c>
      <c r="B918" t="s">
        <v>1844</v>
      </c>
      <c r="C918" s="34" t="s">
        <v>5708</v>
      </c>
      <c r="F918" t="s">
        <v>5708</v>
      </c>
      <c r="H918">
        <v>15</v>
      </c>
      <c r="I918">
        <f>VLOOKUP(B918,BRAND!B:D,3,FALSE)</f>
        <v>10</v>
      </c>
      <c r="J918">
        <f t="shared" si="14"/>
        <v>15</v>
      </c>
      <c r="M918">
        <v>1</v>
      </c>
    </row>
    <row r="919" spans="1:13">
      <c r="A919" t="s">
        <v>6191</v>
      </c>
      <c r="B919" t="s">
        <v>1844</v>
      </c>
      <c r="C919" s="34" t="s">
        <v>5708</v>
      </c>
      <c r="F919" t="s">
        <v>5708</v>
      </c>
      <c r="G919" t="s">
        <v>801</v>
      </c>
      <c r="H919">
        <v>15</v>
      </c>
      <c r="I919">
        <f>VLOOKUP(B919,BRAND!B:D,3,FALSE)</f>
        <v>10</v>
      </c>
      <c r="J919">
        <f t="shared" si="14"/>
        <v>15</v>
      </c>
      <c r="M919">
        <v>1</v>
      </c>
    </row>
    <row r="920" spans="1:13">
      <c r="A920" t="s">
        <v>5972</v>
      </c>
      <c r="B920" t="s">
        <v>1844</v>
      </c>
      <c r="C920" s="34" t="s">
        <v>5727</v>
      </c>
      <c r="F920" t="s">
        <v>5727</v>
      </c>
      <c r="H920">
        <v>15</v>
      </c>
      <c r="I920">
        <f>VLOOKUP(B920,BRAND!B:D,3,FALSE)</f>
        <v>10</v>
      </c>
      <c r="J920">
        <f t="shared" si="14"/>
        <v>15</v>
      </c>
      <c r="L920">
        <v>1</v>
      </c>
      <c r="M920">
        <v>1</v>
      </c>
    </row>
    <row r="921" spans="1:13">
      <c r="A921" t="s">
        <v>6214</v>
      </c>
      <c r="B921" t="s">
        <v>1844</v>
      </c>
      <c r="C921" s="34" t="s">
        <v>5727</v>
      </c>
      <c r="F921" t="s">
        <v>5727</v>
      </c>
      <c r="G921" t="s">
        <v>801</v>
      </c>
      <c r="H921">
        <v>15</v>
      </c>
      <c r="I921">
        <f>VLOOKUP(B921,BRAND!B:D,3,FALSE)</f>
        <v>10</v>
      </c>
      <c r="J921">
        <f t="shared" si="14"/>
        <v>15</v>
      </c>
      <c r="L921">
        <v>1</v>
      </c>
      <c r="M921">
        <v>1</v>
      </c>
    </row>
    <row r="922" spans="1:13">
      <c r="A922" t="s">
        <v>5977</v>
      </c>
      <c r="B922" t="s">
        <v>1844</v>
      </c>
      <c r="C922" s="34" t="s">
        <v>5732</v>
      </c>
      <c r="F922" t="s">
        <v>5732</v>
      </c>
      <c r="H922">
        <v>15</v>
      </c>
      <c r="I922">
        <f>VLOOKUP(B922,BRAND!B:D,3,FALSE)</f>
        <v>10</v>
      </c>
      <c r="J922">
        <f t="shared" si="14"/>
        <v>15</v>
      </c>
      <c r="M922">
        <v>1</v>
      </c>
    </row>
    <row r="923" spans="1:13">
      <c r="A923" t="s">
        <v>6219</v>
      </c>
      <c r="B923" t="s">
        <v>1844</v>
      </c>
      <c r="C923" s="34" t="s">
        <v>5732</v>
      </c>
      <c r="F923" t="s">
        <v>5732</v>
      </c>
      <c r="G923" t="s">
        <v>801</v>
      </c>
      <c r="H923">
        <v>15</v>
      </c>
      <c r="I923">
        <f>VLOOKUP(B923,BRAND!B:D,3,FALSE)</f>
        <v>10</v>
      </c>
      <c r="J923">
        <f t="shared" si="14"/>
        <v>15</v>
      </c>
      <c r="M923">
        <v>1</v>
      </c>
    </row>
    <row r="924" spans="1:13">
      <c r="A924" t="s">
        <v>5987</v>
      </c>
      <c r="B924" t="s">
        <v>1844</v>
      </c>
      <c r="C924" s="34" t="s">
        <v>6383</v>
      </c>
      <c r="F924" t="s">
        <v>5742</v>
      </c>
      <c r="H924">
        <v>15</v>
      </c>
      <c r="I924">
        <f>VLOOKUP(B924,BRAND!B:D,3,FALSE)</f>
        <v>10</v>
      </c>
      <c r="J924">
        <f t="shared" si="14"/>
        <v>15</v>
      </c>
      <c r="M924">
        <v>1</v>
      </c>
    </row>
    <row r="925" spans="1:13">
      <c r="A925" t="s">
        <v>6229</v>
      </c>
      <c r="B925" t="s">
        <v>1844</v>
      </c>
      <c r="C925" s="34" t="s">
        <v>5742</v>
      </c>
      <c r="F925" t="s">
        <v>5742</v>
      </c>
      <c r="G925" t="s">
        <v>801</v>
      </c>
      <c r="H925">
        <v>15</v>
      </c>
      <c r="I925">
        <f>VLOOKUP(B925,BRAND!B:D,3,FALSE)</f>
        <v>10</v>
      </c>
      <c r="J925">
        <f t="shared" si="14"/>
        <v>15</v>
      </c>
      <c r="M925">
        <v>1</v>
      </c>
    </row>
    <row r="926" spans="1:13">
      <c r="A926" t="s">
        <v>6008</v>
      </c>
      <c r="B926" t="s">
        <v>1844</v>
      </c>
      <c r="C926" s="34" t="s">
        <v>5608</v>
      </c>
      <c r="F926" t="s">
        <v>5608</v>
      </c>
      <c r="H926">
        <v>15</v>
      </c>
      <c r="I926">
        <f>VLOOKUP(B926,BRAND!B:D,3,FALSE)</f>
        <v>10</v>
      </c>
      <c r="J926">
        <f t="shared" si="14"/>
        <v>15</v>
      </c>
      <c r="M926">
        <v>1</v>
      </c>
    </row>
    <row r="927" spans="1:13">
      <c r="A927" t="s">
        <v>6250</v>
      </c>
      <c r="B927" t="s">
        <v>1844</v>
      </c>
      <c r="C927" s="34" t="s">
        <v>5608</v>
      </c>
      <c r="F927" t="s">
        <v>5608</v>
      </c>
      <c r="G927" t="s">
        <v>801</v>
      </c>
      <c r="H927">
        <v>15</v>
      </c>
      <c r="I927">
        <f>VLOOKUP(B927,BRAND!B:D,3,FALSE)</f>
        <v>10</v>
      </c>
      <c r="J927">
        <f t="shared" si="14"/>
        <v>15</v>
      </c>
      <c r="M927">
        <v>1</v>
      </c>
    </row>
    <row r="928" spans="1:13">
      <c r="A928" t="s">
        <v>6024</v>
      </c>
      <c r="B928" t="s">
        <v>1844</v>
      </c>
      <c r="C928" s="34" t="s">
        <v>6387</v>
      </c>
      <c r="F928" t="s">
        <v>5774</v>
      </c>
      <c r="H928">
        <v>15</v>
      </c>
      <c r="I928">
        <f>VLOOKUP(B928,BRAND!B:D,3,FALSE)</f>
        <v>10</v>
      </c>
      <c r="J928">
        <f t="shared" si="14"/>
        <v>15</v>
      </c>
      <c r="M928">
        <v>1</v>
      </c>
    </row>
    <row r="929" spans="1:13">
      <c r="A929" t="s">
        <v>6266</v>
      </c>
      <c r="B929" t="s">
        <v>1844</v>
      </c>
      <c r="C929" s="34" t="s">
        <v>5774</v>
      </c>
      <c r="F929" t="s">
        <v>5774</v>
      </c>
      <c r="G929" t="s">
        <v>801</v>
      </c>
      <c r="H929">
        <v>15</v>
      </c>
      <c r="I929">
        <f>VLOOKUP(B929,BRAND!B:D,3,FALSE)</f>
        <v>10</v>
      </c>
      <c r="J929">
        <f t="shared" si="14"/>
        <v>15</v>
      </c>
      <c r="M929">
        <v>1</v>
      </c>
    </row>
    <row r="930" spans="1:13">
      <c r="A930" t="s">
        <v>6026</v>
      </c>
      <c r="B930" t="s">
        <v>1844</v>
      </c>
      <c r="C930" s="34" t="s">
        <v>5776</v>
      </c>
      <c r="F930" t="s">
        <v>5776</v>
      </c>
      <c r="H930">
        <v>15</v>
      </c>
      <c r="I930">
        <f>VLOOKUP(B930,BRAND!B:D,3,FALSE)</f>
        <v>10</v>
      </c>
      <c r="J930">
        <f t="shared" si="14"/>
        <v>15</v>
      </c>
      <c r="M930">
        <v>1</v>
      </c>
    </row>
    <row r="931" spans="1:13">
      <c r="A931" t="s">
        <v>6268</v>
      </c>
      <c r="B931" t="s">
        <v>1844</v>
      </c>
      <c r="C931" s="34" t="s">
        <v>5776</v>
      </c>
      <c r="F931" t="s">
        <v>5776</v>
      </c>
      <c r="G931" t="s">
        <v>801</v>
      </c>
      <c r="H931">
        <v>15</v>
      </c>
      <c r="I931">
        <f>VLOOKUP(B931,BRAND!B:D,3,FALSE)</f>
        <v>10</v>
      </c>
      <c r="J931">
        <f t="shared" si="14"/>
        <v>15</v>
      </c>
      <c r="M931">
        <v>1</v>
      </c>
    </row>
    <row r="932" spans="1:13">
      <c r="A932" t="s">
        <v>6027</v>
      </c>
      <c r="B932" t="s">
        <v>1844</v>
      </c>
      <c r="C932" s="34" t="s">
        <v>5777</v>
      </c>
      <c r="F932" t="s">
        <v>5777</v>
      </c>
      <c r="H932">
        <v>15</v>
      </c>
      <c r="I932">
        <f>VLOOKUP(B932,BRAND!B:D,3,FALSE)</f>
        <v>10</v>
      </c>
      <c r="J932">
        <f t="shared" si="14"/>
        <v>15</v>
      </c>
      <c r="M932">
        <v>1</v>
      </c>
    </row>
    <row r="933" spans="1:13">
      <c r="A933" t="s">
        <v>6269</v>
      </c>
      <c r="B933" t="s">
        <v>1844</v>
      </c>
      <c r="C933" s="34" t="s">
        <v>5777</v>
      </c>
      <c r="F933" t="s">
        <v>5777</v>
      </c>
      <c r="G933" t="s">
        <v>801</v>
      </c>
      <c r="H933">
        <v>15</v>
      </c>
      <c r="I933">
        <f>VLOOKUP(B933,BRAND!B:D,3,FALSE)</f>
        <v>10</v>
      </c>
      <c r="J933">
        <f t="shared" si="14"/>
        <v>15</v>
      </c>
      <c r="M933">
        <v>1</v>
      </c>
    </row>
    <row r="934" spans="1:13">
      <c r="A934" t="s">
        <v>6033</v>
      </c>
      <c r="B934" t="s">
        <v>1844</v>
      </c>
      <c r="C934" s="34" t="s">
        <v>5783</v>
      </c>
      <c r="F934" t="s">
        <v>5783</v>
      </c>
      <c r="H934">
        <v>15</v>
      </c>
      <c r="I934">
        <f>VLOOKUP(B934,BRAND!B:D,3,FALSE)</f>
        <v>10</v>
      </c>
      <c r="J934">
        <f t="shared" si="14"/>
        <v>15</v>
      </c>
      <c r="M934">
        <v>1</v>
      </c>
    </row>
    <row r="935" spans="1:13">
      <c r="A935" t="s">
        <v>6275</v>
      </c>
      <c r="B935" t="s">
        <v>1844</v>
      </c>
      <c r="C935" s="34" t="s">
        <v>5783</v>
      </c>
      <c r="F935" t="s">
        <v>5783</v>
      </c>
      <c r="G935" t="s">
        <v>801</v>
      </c>
      <c r="H935">
        <v>15</v>
      </c>
      <c r="I935">
        <f>VLOOKUP(B935,BRAND!B:D,3,FALSE)</f>
        <v>10</v>
      </c>
      <c r="J935">
        <f t="shared" si="14"/>
        <v>15</v>
      </c>
      <c r="M935">
        <v>1</v>
      </c>
    </row>
    <row r="936" spans="1:13">
      <c r="A936" t="s">
        <v>6038</v>
      </c>
      <c r="B936" t="s">
        <v>1844</v>
      </c>
      <c r="C936" s="34" t="s">
        <v>5786</v>
      </c>
      <c r="F936" t="s">
        <v>5786</v>
      </c>
      <c r="H936">
        <v>15</v>
      </c>
      <c r="I936">
        <f>VLOOKUP(B936,BRAND!B:D,3,FALSE)</f>
        <v>10</v>
      </c>
      <c r="J936">
        <f t="shared" si="14"/>
        <v>15</v>
      </c>
      <c r="M936">
        <v>1</v>
      </c>
    </row>
    <row r="937" spans="1:13">
      <c r="A937" t="s">
        <v>6280</v>
      </c>
      <c r="B937" t="s">
        <v>1844</v>
      </c>
      <c r="C937" s="34" t="s">
        <v>5786</v>
      </c>
      <c r="F937" t="s">
        <v>5786</v>
      </c>
      <c r="G937" t="s">
        <v>801</v>
      </c>
      <c r="H937">
        <v>15</v>
      </c>
      <c r="I937">
        <f>VLOOKUP(B937,BRAND!B:D,3,FALSE)</f>
        <v>10</v>
      </c>
      <c r="J937">
        <f t="shared" si="14"/>
        <v>15</v>
      </c>
      <c r="M937">
        <v>1</v>
      </c>
    </row>
    <row r="938" spans="1:13">
      <c r="A938" t="s">
        <v>6039</v>
      </c>
      <c r="B938" t="s">
        <v>1844</v>
      </c>
      <c r="C938" s="34" t="s">
        <v>5787</v>
      </c>
      <c r="F938" t="s">
        <v>5787</v>
      </c>
      <c r="H938">
        <v>15</v>
      </c>
      <c r="I938">
        <f>VLOOKUP(B938,BRAND!B:D,3,FALSE)</f>
        <v>10</v>
      </c>
      <c r="J938">
        <f t="shared" si="14"/>
        <v>15</v>
      </c>
      <c r="M938">
        <v>1</v>
      </c>
    </row>
    <row r="939" spans="1:13">
      <c r="A939" t="s">
        <v>6281</v>
      </c>
      <c r="B939" t="s">
        <v>1844</v>
      </c>
      <c r="C939" s="34" t="s">
        <v>5787</v>
      </c>
      <c r="F939" t="s">
        <v>5787</v>
      </c>
      <c r="G939" t="s">
        <v>801</v>
      </c>
      <c r="H939">
        <v>15</v>
      </c>
      <c r="I939">
        <f>VLOOKUP(B939,BRAND!B:D,3,FALSE)</f>
        <v>10</v>
      </c>
      <c r="J939">
        <f t="shared" si="14"/>
        <v>15</v>
      </c>
      <c r="M939">
        <v>1</v>
      </c>
    </row>
    <row r="940" spans="1:13">
      <c r="A940" t="s">
        <v>6048</v>
      </c>
      <c r="B940" t="s">
        <v>1844</v>
      </c>
      <c r="C940" s="34" t="s">
        <v>6391</v>
      </c>
      <c r="F940" t="s">
        <v>5618</v>
      </c>
      <c r="H940">
        <v>15</v>
      </c>
      <c r="I940">
        <f>VLOOKUP(B940,BRAND!B:D,3,FALSE)</f>
        <v>10</v>
      </c>
      <c r="J940">
        <f t="shared" si="14"/>
        <v>15</v>
      </c>
      <c r="M940">
        <v>1</v>
      </c>
    </row>
    <row r="941" spans="1:13">
      <c r="A941" t="s">
        <v>6290</v>
      </c>
      <c r="B941" t="s">
        <v>1844</v>
      </c>
      <c r="C941" s="34" t="s">
        <v>5618</v>
      </c>
      <c r="F941" t="s">
        <v>5618</v>
      </c>
      <c r="G941" t="s">
        <v>801</v>
      </c>
      <c r="H941">
        <v>15</v>
      </c>
      <c r="I941">
        <f>VLOOKUP(B941,BRAND!B:D,3,FALSE)</f>
        <v>10</v>
      </c>
      <c r="J941">
        <f t="shared" si="14"/>
        <v>15</v>
      </c>
      <c r="M941">
        <v>1</v>
      </c>
    </row>
    <row r="942" spans="1:13">
      <c r="A942" t="s">
        <v>6063</v>
      </c>
      <c r="B942" t="s">
        <v>1844</v>
      </c>
      <c r="C942" s="34" t="s">
        <v>5621</v>
      </c>
      <c r="F942" t="s">
        <v>5621</v>
      </c>
      <c r="H942">
        <v>15</v>
      </c>
      <c r="I942">
        <f>VLOOKUP(B942,BRAND!B:D,3,FALSE)</f>
        <v>10</v>
      </c>
      <c r="J942">
        <f t="shared" si="14"/>
        <v>15</v>
      </c>
      <c r="M942">
        <v>1</v>
      </c>
    </row>
    <row r="943" spans="1:13">
      <c r="A943" t="s">
        <v>6305</v>
      </c>
      <c r="B943" t="s">
        <v>1844</v>
      </c>
      <c r="C943" s="34" t="s">
        <v>5621</v>
      </c>
      <c r="F943" t="s">
        <v>5621</v>
      </c>
      <c r="G943" t="s">
        <v>801</v>
      </c>
      <c r="H943">
        <v>15</v>
      </c>
      <c r="I943">
        <f>VLOOKUP(B943,BRAND!B:D,3,FALSE)</f>
        <v>10</v>
      </c>
      <c r="J943">
        <f t="shared" si="14"/>
        <v>15</v>
      </c>
      <c r="M943">
        <v>1</v>
      </c>
    </row>
    <row r="944" spans="1:13">
      <c r="A944" t="s">
        <v>6066</v>
      </c>
      <c r="B944" t="s">
        <v>1844</v>
      </c>
      <c r="C944" s="34" t="s">
        <v>5801</v>
      </c>
      <c r="F944" t="s">
        <v>5801</v>
      </c>
      <c r="H944">
        <v>15</v>
      </c>
      <c r="I944">
        <f>VLOOKUP(B944,BRAND!B:D,3,FALSE)</f>
        <v>10</v>
      </c>
      <c r="J944">
        <f t="shared" si="14"/>
        <v>15</v>
      </c>
      <c r="M944">
        <v>1</v>
      </c>
    </row>
    <row r="945" spans="1:13">
      <c r="A945" t="s">
        <v>6308</v>
      </c>
      <c r="B945" t="s">
        <v>1844</v>
      </c>
      <c r="C945" s="34" t="s">
        <v>5801</v>
      </c>
      <c r="F945" t="s">
        <v>5801</v>
      </c>
      <c r="G945" t="s">
        <v>801</v>
      </c>
      <c r="H945">
        <v>15</v>
      </c>
      <c r="I945">
        <f>VLOOKUP(B945,BRAND!B:D,3,FALSE)</f>
        <v>10</v>
      </c>
      <c r="J945">
        <f t="shared" si="14"/>
        <v>15</v>
      </c>
      <c r="M945">
        <v>1</v>
      </c>
    </row>
    <row r="946" spans="1:13">
      <c r="A946" t="s">
        <v>6068</v>
      </c>
      <c r="B946" t="s">
        <v>1844</v>
      </c>
      <c r="C946" s="34" t="s">
        <v>5803</v>
      </c>
      <c r="F946" t="s">
        <v>5803</v>
      </c>
      <c r="H946">
        <v>15</v>
      </c>
      <c r="I946">
        <f>VLOOKUP(B946,BRAND!B:D,3,FALSE)</f>
        <v>10</v>
      </c>
      <c r="J946">
        <f t="shared" si="14"/>
        <v>15</v>
      </c>
      <c r="M946">
        <v>1</v>
      </c>
    </row>
    <row r="947" spans="1:13">
      <c r="A947" t="s">
        <v>6310</v>
      </c>
      <c r="B947" t="s">
        <v>1844</v>
      </c>
      <c r="C947" s="34" t="s">
        <v>5803</v>
      </c>
      <c r="F947" t="s">
        <v>5803</v>
      </c>
      <c r="G947" t="s">
        <v>801</v>
      </c>
      <c r="H947">
        <v>15</v>
      </c>
      <c r="I947">
        <f>VLOOKUP(B947,BRAND!B:D,3,FALSE)</f>
        <v>10</v>
      </c>
      <c r="J947">
        <f t="shared" si="14"/>
        <v>15</v>
      </c>
      <c r="M947">
        <v>1</v>
      </c>
    </row>
    <row r="948" spans="1:13">
      <c r="A948" t="s">
        <v>6078</v>
      </c>
      <c r="B948" t="s">
        <v>1844</v>
      </c>
      <c r="C948" s="34" t="s">
        <v>5813</v>
      </c>
      <c r="F948" t="s">
        <v>5813</v>
      </c>
      <c r="H948">
        <v>15</v>
      </c>
      <c r="I948">
        <f>VLOOKUP(B948,BRAND!B:D,3,FALSE)</f>
        <v>10</v>
      </c>
      <c r="J948">
        <f t="shared" si="14"/>
        <v>15</v>
      </c>
      <c r="M948">
        <v>1</v>
      </c>
    </row>
    <row r="949" spans="1:13">
      <c r="A949" t="s">
        <v>6320</v>
      </c>
      <c r="B949" t="s">
        <v>1844</v>
      </c>
      <c r="C949" s="34" t="s">
        <v>5813</v>
      </c>
      <c r="F949" t="s">
        <v>5813</v>
      </c>
      <c r="G949" t="s">
        <v>801</v>
      </c>
      <c r="H949">
        <v>15</v>
      </c>
      <c r="I949">
        <f>VLOOKUP(B949,BRAND!B:D,3,FALSE)</f>
        <v>10</v>
      </c>
      <c r="J949">
        <f t="shared" si="14"/>
        <v>15</v>
      </c>
      <c r="M949">
        <v>1</v>
      </c>
    </row>
    <row r="950" spans="1:13">
      <c r="A950" t="s">
        <v>6088</v>
      </c>
      <c r="B950" t="s">
        <v>1844</v>
      </c>
      <c r="C950" s="34" t="s">
        <v>5624</v>
      </c>
      <c r="F950" t="s">
        <v>5624</v>
      </c>
      <c r="H950">
        <v>15</v>
      </c>
      <c r="I950">
        <f>VLOOKUP(B950,BRAND!B:D,3,FALSE)</f>
        <v>10</v>
      </c>
      <c r="J950">
        <f t="shared" si="14"/>
        <v>15</v>
      </c>
      <c r="M950">
        <v>1</v>
      </c>
    </row>
    <row r="951" spans="1:13">
      <c r="A951" t="s">
        <v>6330</v>
      </c>
      <c r="B951" t="s">
        <v>1844</v>
      </c>
      <c r="C951" s="34" t="s">
        <v>5624</v>
      </c>
      <c r="F951" t="s">
        <v>5624</v>
      </c>
      <c r="G951" t="s">
        <v>801</v>
      </c>
      <c r="H951">
        <v>15</v>
      </c>
      <c r="I951">
        <f>VLOOKUP(B951,BRAND!B:D,3,FALSE)</f>
        <v>10</v>
      </c>
      <c r="J951">
        <f t="shared" si="14"/>
        <v>15</v>
      </c>
      <c r="M951">
        <v>1</v>
      </c>
    </row>
    <row r="952" spans="1:13">
      <c r="A952" t="s">
        <v>6412</v>
      </c>
      <c r="B952" t="s">
        <v>1844</v>
      </c>
      <c r="C952" s="34" t="s">
        <v>5581</v>
      </c>
      <c r="F952" t="s">
        <v>5581</v>
      </c>
      <c r="G952" t="s">
        <v>801</v>
      </c>
      <c r="H952">
        <v>15</v>
      </c>
      <c r="I952">
        <f>VLOOKUP(B952,BRAND!B:D,3,FALSE)</f>
        <v>10</v>
      </c>
      <c r="J952">
        <f t="shared" si="14"/>
        <v>14</v>
      </c>
      <c r="M952">
        <v>0</v>
      </c>
    </row>
    <row r="953" spans="1:13">
      <c r="A953" t="s">
        <v>5849</v>
      </c>
      <c r="B953" t="s">
        <v>1844</v>
      </c>
      <c r="C953" s="34" t="s">
        <v>5575</v>
      </c>
      <c r="F953" t="s">
        <v>5575</v>
      </c>
      <c r="H953">
        <v>15</v>
      </c>
      <c r="I953">
        <f>VLOOKUP(B953,BRAND!B:D,3,FALSE)</f>
        <v>10</v>
      </c>
      <c r="J953">
        <f t="shared" si="14"/>
        <v>14</v>
      </c>
      <c r="M953">
        <v>1</v>
      </c>
    </row>
    <row r="954" spans="1:13">
      <c r="A954" t="s">
        <v>6406</v>
      </c>
      <c r="B954" t="s">
        <v>1844</v>
      </c>
      <c r="C954" s="34" t="s">
        <v>5575</v>
      </c>
      <c r="F954" t="s">
        <v>5575</v>
      </c>
      <c r="G954" t="s">
        <v>801</v>
      </c>
      <c r="H954">
        <v>15</v>
      </c>
      <c r="I954">
        <f>VLOOKUP(B954,BRAND!B:D,3,FALSE)</f>
        <v>10</v>
      </c>
      <c r="J954">
        <f t="shared" si="14"/>
        <v>14</v>
      </c>
      <c r="M954">
        <v>1</v>
      </c>
    </row>
    <row r="955" spans="1:13">
      <c r="A955" t="s">
        <v>5850</v>
      </c>
      <c r="B955" t="s">
        <v>1844</v>
      </c>
      <c r="C955" s="34" t="s">
        <v>6365</v>
      </c>
      <c r="F955" t="s">
        <v>5576</v>
      </c>
      <c r="H955">
        <v>15</v>
      </c>
      <c r="I955">
        <f>VLOOKUP(B955,BRAND!B:D,3,FALSE)</f>
        <v>10</v>
      </c>
      <c r="J955">
        <f t="shared" si="14"/>
        <v>14</v>
      </c>
      <c r="M955">
        <v>1</v>
      </c>
    </row>
    <row r="956" spans="1:13">
      <c r="A956" t="s">
        <v>6407</v>
      </c>
      <c r="B956" t="s">
        <v>1844</v>
      </c>
      <c r="C956" s="34" t="s">
        <v>5576</v>
      </c>
      <c r="F956" t="s">
        <v>5576</v>
      </c>
      <c r="G956" t="s">
        <v>801</v>
      </c>
      <c r="H956">
        <v>15</v>
      </c>
      <c r="I956">
        <f>VLOOKUP(B956,BRAND!B:D,3,FALSE)</f>
        <v>10</v>
      </c>
      <c r="J956">
        <f t="shared" si="14"/>
        <v>14</v>
      </c>
      <c r="M956">
        <v>1</v>
      </c>
    </row>
    <row r="957" spans="1:13">
      <c r="A957" t="s">
        <v>5855</v>
      </c>
      <c r="B957" t="s">
        <v>1844</v>
      </c>
      <c r="C957" s="34" t="s">
        <v>6368</v>
      </c>
      <c r="F957" t="s">
        <v>5581</v>
      </c>
      <c r="H957">
        <v>15</v>
      </c>
      <c r="I957">
        <f>VLOOKUP(B957,BRAND!B:D,3,FALSE)</f>
        <v>10</v>
      </c>
      <c r="J957">
        <f t="shared" si="14"/>
        <v>14</v>
      </c>
      <c r="M957">
        <v>1</v>
      </c>
    </row>
    <row r="958" spans="1:13">
      <c r="A958" t="s">
        <v>5865</v>
      </c>
      <c r="B958" t="s">
        <v>1844</v>
      </c>
      <c r="C958" s="34" t="s">
        <v>6372</v>
      </c>
      <c r="F958" t="s">
        <v>5642</v>
      </c>
      <c r="H958">
        <v>15</v>
      </c>
      <c r="I958">
        <f>VLOOKUP(B958,BRAND!B:D,3,FALSE)</f>
        <v>10</v>
      </c>
      <c r="J958">
        <f t="shared" si="14"/>
        <v>14</v>
      </c>
      <c r="M958">
        <v>1</v>
      </c>
    </row>
    <row r="959" spans="1:13">
      <c r="A959" t="s">
        <v>6107</v>
      </c>
      <c r="B959" t="s">
        <v>1844</v>
      </c>
      <c r="C959" s="34" t="s">
        <v>5642</v>
      </c>
      <c r="F959" t="s">
        <v>5642</v>
      </c>
      <c r="G959" t="s">
        <v>801</v>
      </c>
      <c r="H959">
        <v>15</v>
      </c>
      <c r="I959">
        <f>VLOOKUP(B959,BRAND!B:D,3,FALSE)</f>
        <v>10</v>
      </c>
      <c r="J959">
        <f t="shared" si="14"/>
        <v>14</v>
      </c>
      <c r="M959">
        <v>1</v>
      </c>
    </row>
    <row r="960" spans="1:13">
      <c r="A960" t="s">
        <v>5879</v>
      </c>
      <c r="B960" t="s">
        <v>1844</v>
      </c>
      <c r="C960" s="34" t="s">
        <v>5653</v>
      </c>
      <c r="F960" t="s">
        <v>5653</v>
      </c>
      <c r="H960">
        <v>15</v>
      </c>
      <c r="I960">
        <f>VLOOKUP(B960,BRAND!B:D,3,FALSE)</f>
        <v>10</v>
      </c>
      <c r="J960">
        <f t="shared" si="14"/>
        <v>14</v>
      </c>
      <c r="M960">
        <v>1</v>
      </c>
    </row>
    <row r="961" spans="1:13">
      <c r="A961" t="s">
        <v>6121</v>
      </c>
      <c r="B961" t="s">
        <v>1844</v>
      </c>
      <c r="C961" s="34" t="s">
        <v>5653</v>
      </c>
      <c r="F961" t="s">
        <v>5653</v>
      </c>
      <c r="G961" t="s">
        <v>801</v>
      </c>
      <c r="H961">
        <v>15</v>
      </c>
      <c r="I961">
        <f>VLOOKUP(B961,BRAND!B:D,3,FALSE)</f>
        <v>10</v>
      </c>
      <c r="J961">
        <f t="shared" si="14"/>
        <v>14</v>
      </c>
      <c r="M961">
        <v>1</v>
      </c>
    </row>
    <row r="962" spans="1:13">
      <c r="A962" t="s">
        <v>5931</v>
      </c>
      <c r="B962" t="s">
        <v>1844</v>
      </c>
      <c r="C962" s="34" t="s">
        <v>5690</v>
      </c>
      <c r="F962" t="s">
        <v>5690</v>
      </c>
      <c r="H962">
        <v>15</v>
      </c>
      <c r="I962">
        <f>VLOOKUP(B962,BRAND!B:D,3,FALSE)</f>
        <v>10</v>
      </c>
      <c r="J962">
        <f t="shared" si="14"/>
        <v>14</v>
      </c>
      <c r="M962">
        <v>1</v>
      </c>
    </row>
    <row r="963" spans="1:13">
      <c r="A963" t="s">
        <v>6173</v>
      </c>
      <c r="B963" t="s">
        <v>1844</v>
      </c>
      <c r="C963" s="34" t="s">
        <v>5690</v>
      </c>
      <c r="F963" t="s">
        <v>5690</v>
      </c>
      <c r="G963" t="s">
        <v>801</v>
      </c>
      <c r="H963">
        <v>15</v>
      </c>
      <c r="I963">
        <f>VLOOKUP(B963,BRAND!B:D,3,FALSE)</f>
        <v>10</v>
      </c>
      <c r="J963">
        <f t="shared" si="14"/>
        <v>14</v>
      </c>
      <c r="M963">
        <v>1</v>
      </c>
    </row>
    <row r="964" spans="1:13">
      <c r="A964" t="s">
        <v>5968</v>
      </c>
      <c r="B964" t="s">
        <v>1844</v>
      </c>
      <c r="C964" s="34" t="s">
        <v>5723</v>
      </c>
      <c r="F964" t="s">
        <v>5723</v>
      </c>
      <c r="H964">
        <v>15</v>
      </c>
      <c r="I964">
        <f>VLOOKUP(B964,BRAND!B:D,3,FALSE)</f>
        <v>10</v>
      </c>
      <c r="J964">
        <f t="shared" si="14"/>
        <v>14</v>
      </c>
      <c r="L964">
        <v>1</v>
      </c>
      <c r="M964">
        <v>1</v>
      </c>
    </row>
    <row r="965" spans="1:13">
      <c r="A965" t="s">
        <v>6210</v>
      </c>
      <c r="B965" t="s">
        <v>1844</v>
      </c>
      <c r="C965" s="34" t="s">
        <v>5723</v>
      </c>
      <c r="F965" t="s">
        <v>5723</v>
      </c>
      <c r="G965" t="s">
        <v>801</v>
      </c>
      <c r="H965">
        <v>15</v>
      </c>
      <c r="I965">
        <f>VLOOKUP(B965,BRAND!B:D,3,FALSE)</f>
        <v>10</v>
      </c>
      <c r="J965">
        <f t="shared" si="14"/>
        <v>14</v>
      </c>
      <c r="L965">
        <v>1</v>
      </c>
      <c r="M965">
        <v>1</v>
      </c>
    </row>
    <row r="966" spans="1:13">
      <c r="A966" t="s">
        <v>5978</v>
      </c>
      <c r="B966" t="s">
        <v>1844</v>
      </c>
      <c r="C966" s="34" t="s">
        <v>5733</v>
      </c>
      <c r="F966" t="s">
        <v>5733</v>
      </c>
      <c r="H966">
        <v>15</v>
      </c>
      <c r="I966">
        <f>VLOOKUP(B966,BRAND!B:D,3,FALSE)</f>
        <v>10</v>
      </c>
      <c r="J966">
        <f t="shared" si="14"/>
        <v>14</v>
      </c>
      <c r="M966">
        <v>1</v>
      </c>
    </row>
    <row r="967" spans="1:13">
      <c r="A967" t="s">
        <v>6220</v>
      </c>
      <c r="B967" t="s">
        <v>1844</v>
      </c>
      <c r="C967" s="34" t="s">
        <v>5733</v>
      </c>
      <c r="F967" t="s">
        <v>5733</v>
      </c>
      <c r="G967" t="s">
        <v>801</v>
      </c>
      <c r="H967">
        <v>15</v>
      </c>
      <c r="I967">
        <f>VLOOKUP(B967,BRAND!B:D,3,FALSE)</f>
        <v>10</v>
      </c>
      <c r="J967">
        <f t="shared" si="14"/>
        <v>14</v>
      </c>
      <c r="M967">
        <v>1</v>
      </c>
    </row>
    <row r="968" spans="1:13">
      <c r="A968" t="s">
        <v>5979</v>
      </c>
      <c r="B968" t="s">
        <v>1844</v>
      </c>
      <c r="C968" s="34" t="s">
        <v>5734</v>
      </c>
      <c r="F968" t="s">
        <v>5734</v>
      </c>
      <c r="H968">
        <v>15</v>
      </c>
      <c r="I968">
        <f>VLOOKUP(B968,BRAND!B:D,3,FALSE)</f>
        <v>10</v>
      </c>
      <c r="J968">
        <f t="shared" si="14"/>
        <v>14</v>
      </c>
      <c r="M968">
        <v>1</v>
      </c>
    </row>
    <row r="969" spans="1:13">
      <c r="A969" t="s">
        <v>6221</v>
      </c>
      <c r="B969" t="s">
        <v>1844</v>
      </c>
      <c r="C969" s="34" t="s">
        <v>5734</v>
      </c>
      <c r="F969" t="s">
        <v>5734</v>
      </c>
      <c r="G969" t="s">
        <v>801</v>
      </c>
      <c r="H969">
        <v>15</v>
      </c>
      <c r="I969">
        <f>VLOOKUP(B969,BRAND!B:D,3,FALSE)</f>
        <v>10</v>
      </c>
      <c r="J969">
        <f t="shared" si="14"/>
        <v>14</v>
      </c>
      <c r="M969">
        <v>1</v>
      </c>
    </row>
    <row r="970" spans="1:13">
      <c r="A970" t="s">
        <v>5982</v>
      </c>
      <c r="B970" t="s">
        <v>1844</v>
      </c>
      <c r="C970" s="34" t="s">
        <v>5737</v>
      </c>
      <c r="F970" t="s">
        <v>5737</v>
      </c>
      <c r="H970">
        <v>15</v>
      </c>
      <c r="I970">
        <f>VLOOKUP(B970,BRAND!B:D,3,FALSE)</f>
        <v>10</v>
      </c>
      <c r="J970">
        <f t="shared" si="14"/>
        <v>14</v>
      </c>
      <c r="M970">
        <v>1</v>
      </c>
    </row>
    <row r="971" spans="1:13">
      <c r="A971" t="s">
        <v>6224</v>
      </c>
      <c r="B971" t="s">
        <v>1844</v>
      </c>
      <c r="C971" s="34" t="s">
        <v>5737</v>
      </c>
      <c r="F971" t="s">
        <v>5737</v>
      </c>
      <c r="G971" t="s">
        <v>801</v>
      </c>
      <c r="H971">
        <v>15</v>
      </c>
      <c r="I971">
        <f>VLOOKUP(B971,BRAND!B:D,3,FALSE)</f>
        <v>10</v>
      </c>
      <c r="J971">
        <f t="shared" si="14"/>
        <v>14</v>
      </c>
      <c r="M971">
        <v>1</v>
      </c>
    </row>
    <row r="972" spans="1:13">
      <c r="A972" t="s">
        <v>5983</v>
      </c>
      <c r="B972" t="s">
        <v>1844</v>
      </c>
      <c r="C972" s="34" t="s">
        <v>5738</v>
      </c>
      <c r="F972" t="s">
        <v>5738</v>
      </c>
      <c r="H972">
        <v>15</v>
      </c>
      <c r="I972">
        <f>VLOOKUP(B972,BRAND!B:D,3,FALSE)</f>
        <v>10</v>
      </c>
      <c r="J972">
        <f t="shared" si="14"/>
        <v>14</v>
      </c>
      <c r="M972">
        <v>1</v>
      </c>
    </row>
    <row r="973" spans="1:13">
      <c r="A973" t="s">
        <v>6225</v>
      </c>
      <c r="B973" t="s">
        <v>1844</v>
      </c>
      <c r="C973" s="34" t="s">
        <v>5738</v>
      </c>
      <c r="F973" t="s">
        <v>5738</v>
      </c>
      <c r="G973" t="s">
        <v>801</v>
      </c>
      <c r="H973">
        <v>15</v>
      </c>
      <c r="I973">
        <f>VLOOKUP(B973,BRAND!B:D,3,FALSE)</f>
        <v>10</v>
      </c>
      <c r="J973">
        <f t="shared" si="14"/>
        <v>14</v>
      </c>
      <c r="M973">
        <v>1</v>
      </c>
    </row>
    <row r="974" spans="1:13">
      <c r="A974" t="s">
        <v>5986</v>
      </c>
      <c r="B974" t="s">
        <v>1844</v>
      </c>
      <c r="C974" s="34" t="s">
        <v>5741</v>
      </c>
      <c r="F974" t="s">
        <v>5741</v>
      </c>
      <c r="H974">
        <v>15</v>
      </c>
      <c r="I974">
        <f>VLOOKUP(B974,BRAND!B:D,3,FALSE)</f>
        <v>10</v>
      </c>
      <c r="J974">
        <f t="shared" si="14"/>
        <v>14</v>
      </c>
      <c r="M974">
        <v>1</v>
      </c>
    </row>
    <row r="975" spans="1:13">
      <c r="A975" t="s">
        <v>6228</v>
      </c>
      <c r="B975" t="s">
        <v>1844</v>
      </c>
      <c r="C975" s="34" t="s">
        <v>5741</v>
      </c>
      <c r="F975" t="s">
        <v>5741</v>
      </c>
      <c r="G975" t="s">
        <v>801</v>
      </c>
      <c r="H975">
        <v>15</v>
      </c>
      <c r="I975">
        <f>VLOOKUP(B975,BRAND!B:D,3,FALSE)</f>
        <v>10</v>
      </c>
      <c r="J975">
        <f t="shared" si="14"/>
        <v>14</v>
      </c>
      <c r="M975">
        <v>1</v>
      </c>
    </row>
    <row r="976" spans="1:13">
      <c r="A976" t="s">
        <v>5988</v>
      </c>
      <c r="B976" t="s">
        <v>1844</v>
      </c>
      <c r="C976" s="34" t="s">
        <v>5743</v>
      </c>
      <c r="F976" t="s">
        <v>5743</v>
      </c>
      <c r="H976">
        <v>15</v>
      </c>
      <c r="I976">
        <f>VLOOKUP(B976,BRAND!B:D,3,FALSE)</f>
        <v>10</v>
      </c>
      <c r="J976">
        <f t="shared" si="14"/>
        <v>14</v>
      </c>
      <c r="M976">
        <v>1</v>
      </c>
    </row>
    <row r="977" spans="1:13">
      <c r="A977" t="s">
        <v>6230</v>
      </c>
      <c r="B977" t="s">
        <v>1844</v>
      </c>
      <c r="C977" s="34" t="s">
        <v>5743</v>
      </c>
      <c r="F977" t="s">
        <v>5743</v>
      </c>
      <c r="G977" t="s">
        <v>801</v>
      </c>
      <c r="H977">
        <v>15</v>
      </c>
      <c r="I977">
        <f>VLOOKUP(B977,BRAND!B:D,3,FALSE)</f>
        <v>10</v>
      </c>
      <c r="J977">
        <f t="shared" ref="J977:J1040" si="15">LEN(F977)</f>
        <v>14</v>
      </c>
      <c r="M977">
        <v>1</v>
      </c>
    </row>
    <row r="978" spans="1:13">
      <c r="A978" t="s">
        <v>5989</v>
      </c>
      <c r="B978" t="s">
        <v>1844</v>
      </c>
      <c r="C978" s="34" t="s">
        <v>6384</v>
      </c>
      <c r="F978" t="s">
        <v>5744</v>
      </c>
      <c r="H978">
        <v>15</v>
      </c>
      <c r="I978">
        <f>VLOOKUP(B978,BRAND!B:D,3,FALSE)</f>
        <v>10</v>
      </c>
      <c r="J978">
        <f t="shared" si="15"/>
        <v>14</v>
      </c>
      <c r="M978">
        <v>1</v>
      </c>
    </row>
    <row r="979" spans="1:13">
      <c r="A979" t="s">
        <v>6231</v>
      </c>
      <c r="B979" t="s">
        <v>1844</v>
      </c>
      <c r="C979" s="34" t="s">
        <v>5744</v>
      </c>
      <c r="F979" t="s">
        <v>5744</v>
      </c>
      <c r="G979" t="s">
        <v>801</v>
      </c>
      <c r="H979">
        <v>15</v>
      </c>
      <c r="I979">
        <f>VLOOKUP(B979,BRAND!B:D,3,FALSE)</f>
        <v>10</v>
      </c>
      <c r="J979">
        <f t="shared" si="15"/>
        <v>14</v>
      </c>
      <c r="M979">
        <v>1</v>
      </c>
    </row>
    <row r="980" spans="1:13">
      <c r="A980" t="s">
        <v>5996</v>
      </c>
      <c r="B980" t="s">
        <v>1844</v>
      </c>
      <c r="C980" s="34" t="s">
        <v>5748</v>
      </c>
      <c r="F980" t="s">
        <v>5748</v>
      </c>
      <c r="H980">
        <v>15</v>
      </c>
      <c r="I980">
        <f>VLOOKUP(B980,BRAND!B:D,3,FALSE)</f>
        <v>10</v>
      </c>
      <c r="J980">
        <f t="shared" si="15"/>
        <v>14</v>
      </c>
      <c r="M980">
        <v>1</v>
      </c>
    </row>
    <row r="981" spans="1:13">
      <c r="A981" t="s">
        <v>6238</v>
      </c>
      <c r="B981" t="s">
        <v>1844</v>
      </c>
      <c r="C981" s="34" t="s">
        <v>5748</v>
      </c>
      <c r="F981" t="s">
        <v>5748</v>
      </c>
      <c r="G981" t="s">
        <v>801</v>
      </c>
      <c r="H981">
        <v>15</v>
      </c>
      <c r="I981">
        <f>VLOOKUP(B981,BRAND!B:D,3,FALSE)</f>
        <v>10</v>
      </c>
      <c r="J981">
        <f t="shared" si="15"/>
        <v>14</v>
      </c>
      <c r="M981">
        <v>1</v>
      </c>
    </row>
    <row r="982" spans="1:13">
      <c r="A982" t="s">
        <v>5998</v>
      </c>
      <c r="B982" t="s">
        <v>1844</v>
      </c>
      <c r="C982" s="34" t="s">
        <v>5750</v>
      </c>
      <c r="F982" t="s">
        <v>5750</v>
      </c>
      <c r="H982">
        <v>15</v>
      </c>
      <c r="I982">
        <f>VLOOKUP(B982,BRAND!B:D,3,FALSE)</f>
        <v>10</v>
      </c>
      <c r="J982">
        <f t="shared" si="15"/>
        <v>14</v>
      </c>
      <c r="M982">
        <v>1</v>
      </c>
    </row>
    <row r="983" spans="1:13">
      <c r="A983" t="s">
        <v>6240</v>
      </c>
      <c r="B983" t="s">
        <v>1844</v>
      </c>
      <c r="C983" s="34" t="s">
        <v>5750</v>
      </c>
      <c r="F983" t="s">
        <v>5750</v>
      </c>
      <c r="G983" t="s">
        <v>801</v>
      </c>
      <c r="H983">
        <v>15</v>
      </c>
      <c r="I983">
        <f>VLOOKUP(B983,BRAND!B:D,3,FALSE)</f>
        <v>10</v>
      </c>
      <c r="J983">
        <f t="shared" si="15"/>
        <v>14</v>
      </c>
      <c r="M983">
        <v>1</v>
      </c>
    </row>
    <row r="984" spans="1:13">
      <c r="A984" t="s">
        <v>6032</v>
      </c>
      <c r="B984" t="s">
        <v>1844</v>
      </c>
      <c r="C984" s="34" t="s">
        <v>6388</v>
      </c>
      <c r="F984" t="s">
        <v>5782</v>
      </c>
      <c r="H984">
        <v>15</v>
      </c>
      <c r="I984">
        <f>VLOOKUP(B984,BRAND!B:D,3,FALSE)</f>
        <v>10</v>
      </c>
      <c r="J984">
        <f t="shared" si="15"/>
        <v>14</v>
      </c>
      <c r="M984">
        <v>1</v>
      </c>
    </row>
    <row r="985" spans="1:13">
      <c r="A985" t="s">
        <v>6274</v>
      </c>
      <c r="B985" t="s">
        <v>1844</v>
      </c>
      <c r="C985" s="34" t="s">
        <v>5782</v>
      </c>
      <c r="F985" t="s">
        <v>5782</v>
      </c>
      <c r="G985" t="s">
        <v>801</v>
      </c>
      <c r="H985">
        <v>15</v>
      </c>
      <c r="I985">
        <f>VLOOKUP(B985,BRAND!B:D,3,FALSE)</f>
        <v>10</v>
      </c>
      <c r="J985">
        <f t="shared" si="15"/>
        <v>14</v>
      </c>
      <c r="M985">
        <v>1</v>
      </c>
    </row>
    <row r="986" spans="1:13">
      <c r="A986" t="s">
        <v>6055</v>
      </c>
      <c r="B986" t="s">
        <v>1844</v>
      </c>
      <c r="C986" s="34" t="s">
        <v>5792</v>
      </c>
      <c r="F986" t="s">
        <v>5792</v>
      </c>
      <c r="H986">
        <v>15</v>
      </c>
      <c r="I986">
        <f>VLOOKUP(B986,BRAND!B:D,3,FALSE)</f>
        <v>10</v>
      </c>
      <c r="J986">
        <f t="shared" si="15"/>
        <v>14</v>
      </c>
      <c r="M986">
        <v>1</v>
      </c>
    </row>
    <row r="987" spans="1:13">
      <c r="A987" t="s">
        <v>6297</v>
      </c>
      <c r="B987" t="s">
        <v>1844</v>
      </c>
      <c r="C987" s="34" t="s">
        <v>5792</v>
      </c>
      <c r="F987" t="s">
        <v>5792</v>
      </c>
      <c r="G987" t="s">
        <v>801</v>
      </c>
      <c r="H987">
        <v>15</v>
      </c>
      <c r="I987">
        <f>VLOOKUP(B987,BRAND!B:D,3,FALSE)</f>
        <v>10</v>
      </c>
      <c r="J987">
        <f t="shared" si="15"/>
        <v>14</v>
      </c>
      <c r="M987">
        <v>1</v>
      </c>
    </row>
    <row r="988" spans="1:13">
      <c r="A988" t="s">
        <v>6067</v>
      </c>
      <c r="B988" t="s">
        <v>1844</v>
      </c>
      <c r="C988" s="34" t="s">
        <v>5802</v>
      </c>
      <c r="F988" t="s">
        <v>5802</v>
      </c>
      <c r="H988">
        <v>15</v>
      </c>
      <c r="I988">
        <f>VLOOKUP(B988,BRAND!B:D,3,FALSE)</f>
        <v>10</v>
      </c>
      <c r="J988">
        <f t="shared" si="15"/>
        <v>14</v>
      </c>
      <c r="M988">
        <v>1</v>
      </c>
    </row>
    <row r="989" spans="1:13">
      <c r="A989" t="s">
        <v>6309</v>
      </c>
      <c r="B989" t="s">
        <v>1844</v>
      </c>
      <c r="C989" s="34" t="s">
        <v>5802</v>
      </c>
      <c r="F989" t="s">
        <v>5802</v>
      </c>
      <c r="G989" t="s">
        <v>801</v>
      </c>
      <c r="H989">
        <v>15</v>
      </c>
      <c r="I989">
        <f>VLOOKUP(B989,BRAND!B:D,3,FALSE)</f>
        <v>10</v>
      </c>
      <c r="J989">
        <f t="shared" si="15"/>
        <v>14</v>
      </c>
      <c r="M989">
        <v>1</v>
      </c>
    </row>
    <row r="990" spans="1:13">
      <c r="A990" t="s">
        <v>6080</v>
      </c>
      <c r="B990" t="s">
        <v>1844</v>
      </c>
      <c r="C990" s="34" t="s">
        <v>5815</v>
      </c>
      <c r="F990" t="s">
        <v>5815</v>
      </c>
      <c r="H990">
        <v>15</v>
      </c>
      <c r="I990">
        <f>VLOOKUP(B990,BRAND!B:D,3,FALSE)</f>
        <v>10</v>
      </c>
      <c r="J990">
        <f t="shared" si="15"/>
        <v>14</v>
      </c>
      <c r="M990">
        <v>1</v>
      </c>
    </row>
    <row r="991" spans="1:13">
      <c r="A991" t="s">
        <v>6322</v>
      </c>
      <c r="B991" t="s">
        <v>1844</v>
      </c>
      <c r="C991" s="34" t="s">
        <v>5815</v>
      </c>
      <c r="F991" t="s">
        <v>5815</v>
      </c>
      <c r="G991" t="s">
        <v>801</v>
      </c>
      <c r="H991">
        <v>15</v>
      </c>
      <c r="I991">
        <f>VLOOKUP(B991,BRAND!B:D,3,FALSE)</f>
        <v>10</v>
      </c>
      <c r="J991">
        <f t="shared" si="15"/>
        <v>14</v>
      </c>
      <c r="M991">
        <v>1</v>
      </c>
    </row>
    <row r="992" spans="1:13">
      <c r="A992" t="s">
        <v>6081</v>
      </c>
      <c r="B992" t="s">
        <v>1844</v>
      </c>
      <c r="C992" s="34" t="s">
        <v>5816</v>
      </c>
      <c r="F992" t="s">
        <v>5816</v>
      </c>
      <c r="H992">
        <v>15</v>
      </c>
      <c r="I992">
        <f>VLOOKUP(B992,BRAND!B:D,3,FALSE)</f>
        <v>10</v>
      </c>
      <c r="J992">
        <f t="shared" si="15"/>
        <v>14</v>
      </c>
      <c r="M992">
        <v>1</v>
      </c>
    </row>
    <row r="993" spans="1:13">
      <c r="A993" t="s">
        <v>6323</v>
      </c>
      <c r="B993" t="s">
        <v>1844</v>
      </c>
      <c r="C993" s="34" t="s">
        <v>5816</v>
      </c>
      <c r="F993" t="s">
        <v>5816</v>
      </c>
      <c r="G993" t="s">
        <v>801</v>
      </c>
      <c r="H993">
        <v>15</v>
      </c>
      <c r="I993">
        <f>VLOOKUP(B993,BRAND!B:D,3,FALSE)</f>
        <v>10</v>
      </c>
      <c r="J993">
        <f t="shared" si="15"/>
        <v>14</v>
      </c>
      <c r="M993">
        <v>1</v>
      </c>
    </row>
    <row r="994" spans="1:13">
      <c r="A994" t="s">
        <v>6424</v>
      </c>
      <c r="B994" t="s">
        <v>1844</v>
      </c>
      <c r="C994" s="34" t="s">
        <v>5841</v>
      </c>
      <c r="F994" t="s">
        <v>5841</v>
      </c>
      <c r="H994">
        <v>15</v>
      </c>
      <c r="I994">
        <f>VLOOKUP(B994,BRAND!B:D,3,FALSE)</f>
        <v>10</v>
      </c>
      <c r="J994">
        <f t="shared" si="15"/>
        <v>13</v>
      </c>
      <c r="M994">
        <v>0</v>
      </c>
    </row>
    <row r="995" spans="1:13">
      <c r="A995" t="s">
        <v>6425</v>
      </c>
      <c r="B995" t="s">
        <v>1844</v>
      </c>
      <c r="C995" s="34" t="s">
        <v>5842</v>
      </c>
      <c r="F995" t="s">
        <v>5842</v>
      </c>
      <c r="H995">
        <v>15</v>
      </c>
      <c r="I995">
        <f>VLOOKUP(B995,BRAND!B:D,3,FALSE)</f>
        <v>10</v>
      </c>
      <c r="J995">
        <f t="shared" si="15"/>
        <v>13</v>
      </c>
      <c r="M995">
        <v>0</v>
      </c>
    </row>
    <row r="996" spans="1:13">
      <c r="A996" t="s">
        <v>6347</v>
      </c>
      <c r="B996" t="s">
        <v>1844</v>
      </c>
      <c r="C996" s="34" t="s">
        <v>5841</v>
      </c>
      <c r="F996" t="s">
        <v>5841</v>
      </c>
      <c r="G996" t="s">
        <v>801</v>
      </c>
      <c r="H996">
        <v>15</v>
      </c>
      <c r="I996">
        <f>VLOOKUP(B996,BRAND!B:D,3,FALSE)</f>
        <v>10</v>
      </c>
      <c r="J996">
        <f t="shared" si="15"/>
        <v>13</v>
      </c>
      <c r="M996">
        <v>1</v>
      </c>
    </row>
    <row r="997" spans="1:13">
      <c r="A997" t="s">
        <v>6104</v>
      </c>
      <c r="B997" t="s">
        <v>1844</v>
      </c>
      <c r="C997" s="34" t="s">
        <v>5628</v>
      </c>
      <c r="F997" t="s">
        <v>5628</v>
      </c>
      <c r="H997">
        <v>15</v>
      </c>
      <c r="I997">
        <f>VLOOKUP(B997,BRAND!B:D,3,FALSE)</f>
        <v>10</v>
      </c>
      <c r="J997">
        <f t="shared" si="15"/>
        <v>13</v>
      </c>
      <c r="M997">
        <v>1</v>
      </c>
    </row>
    <row r="998" spans="1:13">
      <c r="A998" t="s">
        <v>6346</v>
      </c>
      <c r="B998" t="s">
        <v>1844</v>
      </c>
      <c r="C998" s="34" t="s">
        <v>5628</v>
      </c>
      <c r="F998" t="s">
        <v>5628</v>
      </c>
      <c r="G998" t="s">
        <v>801</v>
      </c>
      <c r="H998">
        <v>15</v>
      </c>
      <c r="I998">
        <f>VLOOKUP(B998,BRAND!B:D,3,FALSE)</f>
        <v>10</v>
      </c>
      <c r="J998">
        <f t="shared" si="15"/>
        <v>13</v>
      </c>
      <c r="M998">
        <v>1</v>
      </c>
    </row>
    <row r="999" spans="1:13">
      <c r="A999" t="s">
        <v>5857</v>
      </c>
      <c r="B999" t="s">
        <v>1844</v>
      </c>
      <c r="C999" s="34" t="s">
        <v>5635</v>
      </c>
      <c r="F999" t="s">
        <v>5635</v>
      </c>
      <c r="H999">
        <v>15</v>
      </c>
      <c r="I999">
        <f>VLOOKUP(B999,BRAND!B:D,3,FALSE)</f>
        <v>10</v>
      </c>
      <c r="J999">
        <f t="shared" si="15"/>
        <v>13</v>
      </c>
      <c r="M999">
        <v>1</v>
      </c>
    </row>
    <row r="1000" spans="1:13">
      <c r="A1000" t="s">
        <v>6414</v>
      </c>
      <c r="B1000" t="s">
        <v>1844</v>
      </c>
      <c r="C1000" s="34" t="s">
        <v>5635</v>
      </c>
      <c r="F1000" t="s">
        <v>5635</v>
      </c>
      <c r="G1000" t="s">
        <v>801</v>
      </c>
      <c r="H1000">
        <v>15</v>
      </c>
      <c r="I1000">
        <f>VLOOKUP(B1000,BRAND!B:D,3,FALSE)</f>
        <v>10</v>
      </c>
      <c r="J1000">
        <f t="shared" si="15"/>
        <v>13</v>
      </c>
      <c r="M1000">
        <v>1</v>
      </c>
    </row>
    <row r="1001" spans="1:13">
      <c r="A1001" t="s">
        <v>6348</v>
      </c>
      <c r="B1001" t="s">
        <v>1844</v>
      </c>
      <c r="C1001" s="34" t="s">
        <v>5842</v>
      </c>
      <c r="F1001" t="s">
        <v>5842</v>
      </c>
      <c r="G1001" t="s">
        <v>801</v>
      </c>
      <c r="H1001">
        <v>15</v>
      </c>
      <c r="I1001">
        <f>VLOOKUP(B1001,BRAND!B:D,3,FALSE)</f>
        <v>10</v>
      </c>
      <c r="J1001">
        <f t="shared" si="15"/>
        <v>13</v>
      </c>
      <c r="M1001">
        <v>1</v>
      </c>
    </row>
    <row r="1002" spans="1:13">
      <c r="A1002" t="s">
        <v>5881</v>
      </c>
      <c r="B1002" t="s">
        <v>1844</v>
      </c>
      <c r="C1002" s="34" t="s">
        <v>5655</v>
      </c>
      <c r="F1002" t="s">
        <v>5655</v>
      </c>
      <c r="H1002">
        <v>15</v>
      </c>
      <c r="I1002">
        <f>VLOOKUP(B1002,BRAND!B:D,3,FALSE)</f>
        <v>10</v>
      </c>
      <c r="J1002">
        <f t="shared" si="15"/>
        <v>13</v>
      </c>
      <c r="M1002">
        <v>1</v>
      </c>
    </row>
    <row r="1003" spans="1:13">
      <c r="A1003" t="s">
        <v>6123</v>
      </c>
      <c r="B1003" t="s">
        <v>1844</v>
      </c>
      <c r="C1003" s="34" t="s">
        <v>5655</v>
      </c>
      <c r="F1003" t="s">
        <v>5655</v>
      </c>
      <c r="G1003" t="s">
        <v>801</v>
      </c>
      <c r="H1003">
        <v>15</v>
      </c>
      <c r="I1003">
        <f>VLOOKUP(B1003,BRAND!B:D,3,FALSE)</f>
        <v>10</v>
      </c>
      <c r="J1003">
        <f t="shared" si="15"/>
        <v>13</v>
      </c>
      <c r="M1003">
        <v>1</v>
      </c>
    </row>
    <row r="1004" spans="1:13">
      <c r="A1004" t="s">
        <v>5887</v>
      </c>
      <c r="B1004" t="s">
        <v>1844</v>
      </c>
      <c r="C1004" s="34" t="s">
        <v>5661</v>
      </c>
      <c r="F1004" t="s">
        <v>5661</v>
      </c>
      <c r="H1004">
        <v>15</v>
      </c>
      <c r="I1004">
        <f>VLOOKUP(B1004,BRAND!B:D,3,FALSE)</f>
        <v>10</v>
      </c>
      <c r="J1004">
        <f t="shared" si="15"/>
        <v>13</v>
      </c>
      <c r="M1004">
        <v>1</v>
      </c>
    </row>
    <row r="1005" spans="1:13">
      <c r="A1005" t="s">
        <v>6129</v>
      </c>
      <c r="B1005" t="s">
        <v>1844</v>
      </c>
      <c r="C1005" s="34" t="s">
        <v>5661</v>
      </c>
      <c r="F1005" t="s">
        <v>5661</v>
      </c>
      <c r="G1005" t="s">
        <v>801</v>
      </c>
      <c r="H1005">
        <v>15</v>
      </c>
      <c r="I1005">
        <f>VLOOKUP(B1005,BRAND!B:D,3,FALSE)</f>
        <v>10</v>
      </c>
      <c r="J1005">
        <f t="shared" si="15"/>
        <v>13</v>
      </c>
      <c r="M1005">
        <v>1</v>
      </c>
    </row>
    <row r="1006" spans="1:13">
      <c r="A1006" t="s">
        <v>5932</v>
      </c>
      <c r="B1006" t="s">
        <v>1844</v>
      </c>
      <c r="C1006" s="34" t="s">
        <v>5691</v>
      </c>
      <c r="F1006" t="s">
        <v>5691</v>
      </c>
      <c r="H1006">
        <v>15</v>
      </c>
      <c r="I1006">
        <f>VLOOKUP(B1006,BRAND!B:D,3,FALSE)</f>
        <v>10</v>
      </c>
      <c r="J1006">
        <f t="shared" si="15"/>
        <v>13</v>
      </c>
      <c r="M1006">
        <v>1</v>
      </c>
    </row>
    <row r="1007" spans="1:13">
      <c r="A1007" t="s">
        <v>6174</v>
      </c>
      <c r="B1007" t="s">
        <v>1844</v>
      </c>
      <c r="C1007" s="34" t="s">
        <v>5691</v>
      </c>
      <c r="F1007" t="s">
        <v>5691</v>
      </c>
      <c r="G1007" t="s">
        <v>801</v>
      </c>
      <c r="H1007">
        <v>15</v>
      </c>
      <c r="I1007">
        <f>VLOOKUP(B1007,BRAND!B:D,3,FALSE)</f>
        <v>10</v>
      </c>
      <c r="J1007">
        <f t="shared" si="15"/>
        <v>13</v>
      </c>
      <c r="M1007">
        <v>1</v>
      </c>
    </row>
    <row r="1008" spans="1:13">
      <c r="A1008" t="s">
        <v>5938</v>
      </c>
      <c r="B1008" t="s">
        <v>1844</v>
      </c>
      <c r="C1008" s="34" t="s">
        <v>5697</v>
      </c>
      <c r="F1008" t="s">
        <v>5697</v>
      </c>
      <c r="H1008">
        <v>15</v>
      </c>
      <c r="I1008">
        <f>VLOOKUP(B1008,BRAND!B:D,3,FALSE)</f>
        <v>10</v>
      </c>
      <c r="J1008">
        <f t="shared" si="15"/>
        <v>13</v>
      </c>
      <c r="M1008">
        <v>1</v>
      </c>
    </row>
    <row r="1009" spans="1:13">
      <c r="A1009" t="s">
        <v>6180</v>
      </c>
      <c r="B1009" t="s">
        <v>1844</v>
      </c>
      <c r="C1009" s="34" t="s">
        <v>5697</v>
      </c>
      <c r="F1009" t="s">
        <v>5697</v>
      </c>
      <c r="G1009" t="s">
        <v>801</v>
      </c>
      <c r="H1009">
        <v>15</v>
      </c>
      <c r="I1009">
        <f>VLOOKUP(B1009,BRAND!B:D,3,FALSE)</f>
        <v>10</v>
      </c>
      <c r="J1009">
        <f t="shared" si="15"/>
        <v>13</v>
      </c>
      <c r="M1009">
        <v>1</v>
      </c>
    </row>
    <row r="1010" spans="1:13">
      <c r="A1010" t="s">
        <v>5940</v>
      </c>
      <c r="B1010" t="s">
        <v>1844</v>
      </c>
      <c r="C1010" s="34" t="s">
        <v>5699</v>
      </c>
      <c r="F1010" t="s">
        <v>5699</v>
      </c>
      <c r="H1010">
        <v>15</v>
      </c>
      <c r="I1010">
        <f>VLOOKUP(B1010,BRAND!B:D,3,FALSE)</f>
        <v>10</v>
      </c>
      <c r="J1010">
        <f t="shared" si="15"/>
        <v>13</v>
      </c>
      <c r="M1010">
        <v>1</v>
      </c>
    </row>
    <row r="1011" spans="1:13">
      <c r="A1011" t="s">
        <v>6182</v>
      </c>
      <c r="B1011" t="s">
        <v>1844</v>
      </c>
      <c r="C1011" s="34" t="s">
        <v>5699</v>
      </c>
      <c r="F1011" t="s">
        <v>5699</v>
      </c>
      <c r="G1011" t="s">
        <v>801</v>
      </c>
      <c r="H1011">
        <v>15</v>
      </c>
      <c r="I1011">
        <f>VLOOKUP(B1011,BRAND!B:D,3,FALSE)</f>
        <v>10</v>
      </c>
      <c r="J1011">
        <f t="shared" si="15"/>
        <v>13</v>
      </c>
      <c r="M1011">
        <v>1</v>
      </c>
    </row>
    <row r="1012" spans="1:13">
      <c r="A1012" t="s">
        <v>5952</v>
      </c>
      <c r="B1012" t="s">
        <v>1844</v>
      </c>
      <c r="C1012" s="34" t="s">
        <v>5711</v>
      </c>
      <c r="F1012" t="s">
        <v>5711</v>
      </c>
      <c r="H1012">
        <v>15</v>
      </c>
      <c r="I1012">
        <f>VLOOKUP(B1012,BRAND!B:D,3,FALSE)</f>
        <v>10</v>
      </c>
      <c r="J1012">
        <f t="shared" si="15"/>
        <v>13</v>
      </c>
      <c r="M1012">
        <v>1</v>
      </c>
    </row>
    <row r="1013" spans="1:13">
      <c r="A1013" t="s">
        <v>6194</v>
      </c>
      <c r="B1013" t="s">
        <v>1844</v>
      </c>
      <c r="C1013" s="34" t="s">
        <v>5711</v>
      </c>
      <c r="F1013" t="s">
        <v>5711</v>
      </c>
      <c r="G1013" t="s">
        <v>801</v>
      </c>
      <c r="H1013">
        <v>15</v>
      </c>
      <c r="I1013">
        <f>VLOOKUP(B1013,BRAND!B:D,3,FALSE)</f>
        <v>10</v>
      </c>
      <c r="J1013">
        <f t="shared" si="15"/>
        <v>13</v>
      </c>
      <c r="M1013">
        <v>1</v>
      </c>
    </row>
    <row r="1014" spans="1:13">
      <c r="A1014" t="s">
        <v>5974</v>
      </c>
      <c r="B1014" t="s">
        <v>1844</v>
      </c>
      <c r="C1014" s="34" t="s">
        <v>6381</v>
      </c>
      <c r="F1014" t="s">
        <v>5729</v>
      </c>
      <c r="H1014">
        <v>15</v>
      </c>
      <c r="I1014">
        <f>VLOOKUP(B1014,BRAND!B:D,3,FALSE)</f>
        <v>10</v>
      </c>
      <c r="J1014">
        <f t="shared" si="15"/>
        <v>13</v>
      </c>
      <c r="M1014">
        <v>1</v>
      </c>
    </row>
    <row r="1015" spans="1:13">
      <c r="A1015" t="s">
        <v>6216</v>
      </c>
      <c r="B1015" t="s">
        <v>1844</v>
      </c>
      <c r="C1015" s="34" t="s">
        <v>5729</v>
      </c>
      <c r="F1015" t="s">
        <v>5729</v>
      </c>
      <c r="G1015" t="s">
        <v>801</v>
      </c>
      <c r="H1015">
        <v>15</v>
      </c>
      <c r="I1015">
        <f>VLOOKUP(B1015,BRAND!B:D,3,FALSE)</f>
        <v>10</v>
      </c>
      <c r="J1015">
        <f t="shared" si="15"/>
        <v>13</v>
      </c>
      <c r="M1015">
        <v>1</v>
      </c>
    </row>
    <row r="1016" spans="1:13">
      <c r="A1016" t="s">
        <v>5984</v>
      </c>
      <c r="B1016" t="s">
        <v>1844</v>
      </c>
      <c r="C1016" s="34" t="s">
        <v>6382</v>
      </c>
      <c r="F1016" t="s">
        <v>5739</v>
      </c>
      <c r="H1016">
        <v>15</v>
      </c>
      <c r="I1016">
        <f>VLOOKUP(B1016,BRAND!B:D,3,FALSE)</f>
        <v>10</v>
      </c>
      <c r="J1016">
        <f t="shared" si="15"/>
        <v>13</v>
      </c>
      <c r="M1016">
        <v>1</v>
      </c>
    </row>
    <row r="1017" spans="1:13">
      <c r="A1017" t="s">
        <v>6226</v>
      </c>
      <c r="B1017" t="s">
        <v>1844</v>
      </c>
      <c r="C1017" s="34" t="s">
        <v>5739</v>
      </c>
      <c r="F1017" t="s">
        <v>5739</v>
      </c>
      <c r="G1017" t="s">
        <v>801</v>
      </c>
      <c r="H1017">
        <v>15</v>
      </c>
      <c r="I1017">
        <f>VLOOKUP(B1017,BRAND!B:D,3,FALSE)</f>
        <v>10</v>
      </c>
      <c r="J1017">
        <f t="shared" si="15"/>
        <v>13</v>
      </c>
      <c r="M1017">
        <v>1</v>
      </c>
    </row>
    <row r="1018" spans="1:13">
      <c r="A1018" t="s">
        <v>5995</v>
      </c>
      <c r="B1018" t="s">
        <v>1844</v>
      </c>
      <c r="C1018" s="34" t="s">
        <v>5747</v>
      </c>
      <c r="F1018" t="s">
        <v>5747</v>
      </c>
      <c r="H1018">
        <v>15</v>
      </c>
      <c r="I1018">
        <f>VLOOKUP(B1018,BRAND!B:D,3,FALSE)</f>
        <v>10</v>
      </c>
      <c r="J1018">
        <f t="shared" si="15"/>
        <v>13</v>
      </c>
      <c r="M1018">
        <v>1</v>
      </c>
    </row>
    <row r="1019" spans="1:13">
      <c r="A1019" t="s">
        <v>6237</v>
      </c>
      <c r="B1019" t="s">
        <v>1844</v>
      </c>
      <c r="C1019" s="34" t="s">
        <v>5747</v>
      </c>
      <c r="F1019" t="s">
        <v>5747</v>
      </c>
      <c r="G1019" t="s">
        <v>801</v>
      </c>
      <c r="H1019">
        <v>15</v>
      </c>
      <c r="I1019">
        <f>VLOOKUP(B1019,BRAND!B:D,3,FALSE)</f>
        <v>10</v>
      </c>
      <c r="J1019">
        <f t="shared" si="15"/>
        <v>13</v>
      </c>
      <c r="M1019">
        <v>1</v>
      </c>
    </row>
    <row r="1020" spans="1:13">
      <c r="A1020" t="s">
        <v>6001</v>
      </c>
      <c r="B1020" t="s">
        <v>1844</v>
      </c>
      <c r="C1020" s="34" t="s">
        <v>5753</v>
      </c>
      <c r="F1020" t="s">
        <v>5753</v>
      </c>
      <c r="H1020">
        <v>15</v>
      </c>
      <c r="I1020">
        <f>VLOOKUP(B1020,BRAND!B:D,3,FALSE)</f>
        <v>10</v>
      </c>
      <c r="J1020">
        <f t="shared" si="15"/>
        <v>13</v>
      </c>
      <c r="M1020">
        <v>1</v>
      </c>
    </row>
    <row r="1021" spans="1:13">
      <c r="A1021" t="s">
        <v>6243</v>
      </c>
      <c r="B1021" t="s">
        <v>1844</v>
      </c>
      <c r="C1021" s="34" t="s">
        <v>5753</v>
      </c>
      <c r="F1021" t="s">
        <v>5753</v>
      </c>
      <c r="G1021" t="s">
        <v>801</v>
      </c>
      <c r="H1021">
        <v>15</v>
      </c>
      <c r="I1021">
        <f>VLOOKUP(B1021,BRAND!B:D,3,FALSE)</f>
        <v>10</v>
      </c>
      <c r="J1021">
        <f t="shared" si="15"/>
        <v>13</v>
      </c>
      <c r="M1021">
        <v>1</v>
      </c>
    </row>
    <row r="1022" spans="1:13">
      <c r="A1022" t="s">
        <v>6079</v>
      </c>
      <c r="B1022" t="s">
        <v>1844</v>
      </c>
      <c r="C1022" s="34" t="s">
        <v>6394</v>
      </c>
      <c r="F1022" t="s">
        <v>5814</v>
      </c>
      <c r="H1022">
        <v>15</v>
      </c>
      <c r="I1022">
        <f>VLOOKUP(B1022,BRAND!B:D,3,FALSE)</f>
        <v>10</v>
      </c>
      <c r="J1022">
        <f t="shared" si="15"/>
        <v>13</v>
      </c>
      <c r="M1022">
        <v>1</v>
      </c>
    </row>
    <row r="1023" spans="1:13">
      <c r="A1023" t="s">
        <v>6321</v>
      </c>
      <c r="B1023" t="s">
        <v>1844</v>
      </c>
      <c r="C1023" s="34" t="s">
        <v>5814</v>
      </c>
      <c r="F1023" t="s">
        <v>5814</v>
      </c>
      <c r="G1023" t="s">
        <v>801</v>
      </c>
      <c r="H1023">
        <v>15</v>
      </c>
      <c r="I1023">
        <f>VLOOKUP(B1023,BRAND!B:D,3,FALSE)</f>
        <v>10</v>
      </c>
      <c r="J1023">
        <f t="shared" si="15"/>
        <v>13</v>
      </c>
      <c r="M1023">
        <v>1</v>
      </c>
    </row>
    <row r="1024" spans="1:13">
      <c r="A1024" t="s">
        <v>6102</v>
      </c>
      <c r="B1024" t="s">
        <v>1844</v>
      </c>
      <c r="C1024" s="34" t="s">
        <v>5626</v>
      </c>
      <c r="F1024" t="s">
        <v>5626</v>
      </c>
      <c r="H1024">
        <v>15</v>
      </c>
      <c r="I1024">
        <f>VLOOKUP(B1024,BRAND!B:D,3,FALSE)</f>
        <v>10</v>
      </c>
      <c r="J1024">
        <f t="shared" si="15"/>
        <v>13</v>
      </c>
      <c r="M1024">
        <v>1</v>
      </c>
    </row>
    <row r="1025" spans="1:13">
      <c r="A1025" t="s">
        <v>5886</v>
      </c>
      <c r="B1025" t="s">
        <v>1844</v>
      </c>
      <c r="C1025" s="34" t="s">
        <v>5660</v>
      </c>
      <c r="F1025" t="s">
        <v>5660</v>
      </c>
      <c r="H1025">
        <v>15</v>
      </c>
      <c r="I1025">
        <f>VLOOKUP(B1025,BRAND!B:D,3,FALSE)</f>
        <v>10</v>
      </c>
      <c r="J1025">
        <f t="shared" si="15"/>
        <v>12</v>
      </c>
      <c r="M1025">
        <v>1</v>
      </c>
    </row>
    <row r="1026" spans="1:13">
      <c r="A1026" t="s">
        <v>6128</v>
      </c>
      <c r="B1026" t="s">
        <v>1844</v>
      </c>
      <c r="C1026" s="34" t="s">
        <v>5660</v>
      </c>
      <c r="F1026" t="s">
        <v>5660</v>
      </c>
      <c r="G1026" t="s">
        <v>801</v>
      </c>
      <c r="H1026">
        <v>15</v>
      </c>
      <c r="I1026">
        <f>VLOOKUP(B1026,BRAND!B:D,3,FALSE)</f>
        <v>10</v>
      </c>
      <c r="J1026">
        <f t="shared" si="15"/>
        <v>12</v>
      </c>
      <c r="M1026">
        <v>1</v>
      </c>
    </row>
    <row r="1027" spans="1:13">
      <c r="A1027" t="s">
        <v>5914</v>
      </c>
      <c r="B1027" t="s">
        <v>1844</v>
      </c>
      <c r="C1027" s="34" t="s">
        <v>5599</v>
      </c>
      <c r="F1027" t="s">
        <v>5599</v>
      </c>
      <c r="H1027">
        <v>15</v>
      </c>
      <c r="I1027">
        <f>VLOOKUP(B1027,BRAND!B:D,3,FALSE)</f>
        <v>10</v>
      </c>
      <c r="J1027">
        <f t="shared" si="15"/>
        <v>12</v>
      </c>
      <c r="M1027">
        <v>1</v>
      </c>
    </row>
    <row r="1028" spans="1:13">
      <c r="A1028" t="s">
        <v>6156</v>
      </c>
      <c r="B1028" t="s">
        <v>1844</v>
      </c>
      <c r="C1028" s="34" t="s">
        <v>5599</v>
      </c>
      <c r="F1028" t="s">
        <v>5599</v>
      </c>
      <c r="G1028" t="s">
        <v>801</v>
      </c>
      <c r="H1028">
        <v>15</v>
      </c>
      <c r="I1028">
        <f>VLOOKUP(B1028,BRAND!B:D,3,FALSE)</f>
        <v>10</v>
      </c>
      <c r="J1028">
        <f t="shared" si="15"/>
        <v>12</v>
      </c>
      <c r="M1028">
        <v>1</v>
      </c>
    </row>
    <row r="1029" spans="1:13">
      <c r="A1029" t="s">
        <v>5954</v>
      </c>
      <c r="B1029" t="s">
        <v>1844</v>
      </c>
      <c r="C1029" s="34" t="s">
        <v>5713</v>
      </c>
      <c r="F1029" t="s">
        <v>5713</v>
      </c>
      <c r="H1029">
        <v>15</v>
      </c>
      <c r="I1029">
        <f>VLOOKUP(B1029,BRAND!B:D,3,FALSE)</f>
        <v>10</v>
      </c>
      <c r="J1029">
        <f t="shared" si="15"/>
        <v>12</v>
      </c>
      <c r="M1029">
        <v>1</v>
      </c>
    </row>
    <row r="1030" spans="1:13">
      <c r="A1030" t="s">
        <v>6196</v>
      </c>
      <c r="B1030" t="s">
        <v>1844</v>
      </c>
      <c r="C1030" s="34" t="s">
        <v>5713</v>
      </c>
      <c r="F1030" t="s">
        <v>5713</v>
      </c>
      <c r="G1030" t="s">
        <v>801</v>
      </c>
      <c r="H1030">
        <v>15</v>
      </c>
      <c r="I1030">
        <f>VLOOKUP(B1030,BRAND!B:D,3,FALSE)</f>
        <v>10</v>
      </c>
      <c r="J1030">
        <f t="shared" si="15"/>
        <v>12</v>
      </c>
      <c r="M1030">
        <v>1</v>
      </c>
    </row>
    <row r="1031" spans="1:13">
      <c r="A1031" t="s">
        <v>5966</v>
      </c>
      <c r="B1031" t="s">
        <v>1844</v>
      </c>
      <c r="C1031" s="34" t="s">
        <v>5721</v>
      </c>
      <c r="F1031" t="s">
        <v>5721</v>
      </c>
      <c r="H1031">
        <v>15</v>
      </c>
      <c r="I1031">
        <f>VLOOKUP(B1031,BRAND!B:D,3,FALSE)</f>
        <v>10</v>
      </c>
      <c r="J1031">
        <f t="shared" si="15"/>
        <v>12</v>
      </c>
      <c r="L1031">
        <v>1</v>
      </c>
      <c r="M1031">
        <v>1</v>
      </c>
    </row>
    <row r="1032" spans="1:13">
      <c r="A1032" t="s">
        <v>6208</v>
      </c>
      <c r="B1032" t="s">
        <v>1844</v>
      </c>
      <c r="C1032" s="34" t="s">
        <v>5721</v>
      </c>
      <c r="F1032" t="s">
        <v>5721</v>
      </c>
      <c r="G1032" t="s">
        <v>801</v>
      </c>
      <c r="H1032">
        <v>15</v>
      </c>
      <c r="I1032">
        <f>VLOOKUP(B1032,BRAND!B:D,3,FALSE)</f>
        <v>10</v>
      </c>
      <c r="J1032">
        <f t="shared" si="15"/>
        <v>12</v>
      </c>
      <c r="L1032">
        <v>1</v>
      </c>
      <c r="M1032">
        <v>1</v>
      </c>
    </row>
    <row r="1033" spans="1:13">
      <c r="A1033" t="s">
        <v>5975</v>
      </c>
      <c r="B1033" t="s">
        <v>1844</v>
      </c>
      <c r="C1033" s="34" t="s">
        <v>5730</v>
      </c>
      <c r="F1033" t="s">
        <v>5730</v>
      </c>
      <c r="H1033">
        <v>15</v>
      </c>
      <c r="I1033">
        <f>VLOOKUP(B1033,BRAND!B:D,3,FALSE)</f>
        <v>10</v>
      </c>
      <c r="J1033">
        <f t="shared" si="15"/>
        <v>12</v>
      </c>
      <c r="M1033">
        <v>1</v>
      </c>
    </row>
    <row r="1034" spans="1:13">
      <c r="A1034" t="s">
        <v>6217</v>
      </c>
      <c r="B1034" t="s">
        <v>1844</v>
      </c>
      <c r="C1034" s="34" t="s">
        <v>5730</v>
      </c>
      <c r="F1034" t="s">
        <v>5730</v>
      </c>
      <c r="G1034" t="s">
        <v>801</v>
      </c>
      <c r="H1034">
        <v>15</v>
      </c>
      <c r="I1034">
        <f>VLOOKUP(B1034,BRAND!B:D,3,FALSE)</f>
        <v>10</v>
      </c>
      <c r="J1034">
        <f t="shared" si="15"/>
        <v>12</v>
      </c>
      <c r="M1034">
        <v>1</v>
      </c>
    </row>
    <row r="1035" spans="1:13">
      <c r="A1035" t="s">
        <v>5997</v>
      </c>
      <c r="B1035" t="s">
        <v>1844</v>
      </c>
      <c r="C1035" s="34" t="s">
        <v>5749</v>
      </c>
      <c r="F1035" t="s">
        <v>5749</v>
      </c>
      <c r="H1035">
        <v>15</v>
      </c>
      <c r="I1035">
        <f>VLOOKUP(B1035,BRAND!B:D,3,FALSE)</f>
        <v>10</v>
      </c>
      <c r="J1035">
        <f t="shared" si="15"/>
        <v>12</v>
      </c>
      <c r="M1035">
        <v>1</v>
      </c>
    </row>
    <row r="1036" spans="1:13">
      <c r="A1036" t="s">
        <v>6239</v>
      </c>
      <c r="B1036" t="s">
        <v>1844</v>
      </c>
      <c r="C1036" s="34" t="s">
        <v>5749</v>
      </c>
      <c r="F1036" t="s">
        <v>5749</v>
      </c>
      <c r="G1036" t="s">
        <v>801</v>
      </c>
      <c r="H1036">
        <v>15</v>
      </c>
      <c r="I1036">
        <f>VLOOKUP(B1036,BRAND!B:D,3,FALSE)</f>
        <v>10</v>
      </c>
      <c r="J1036">
        <f t="shared" si="15"/>
        <v>12</v>
      </c>
      <c r="M1036">
        <v>1</v>
      </c>
    </row>
    <row r="1037" spans="1:13">
      <c r="A1037" t="s">
        <v>6000</v>
      </c>
      <c r="B1037" t="s">
        <v>1844</v>
      </c>
      <c r="C1037" s="34" t="s">
        <v>6385</v>
      </c>
      <c r="F1037" t="s">
        <v>5752</v>
      </c>
      <c r="H1037">
        <v>15</v>
      </c>
      <c r="I1037">
        <f>VLOOKUP(B1037,BRAND!B:D,3,FALSE)</f>
        <v>10</v>
      </c>
      <c r="J1037">
        <f t="shared" si="15"/>
        <v>12</v>
      </c>
      <c r="M1037">
        <v>1</v>
      </c>
    </row>
    <row r="1038" spans="1:13">
      <c r="A1038" t="s">
        <v>6242</v>
      </c>
      <c r="B1038" t="s">
        <v>1844</v>
      </c>
      <c r="C1038" s="34" t="s">
        <v>5752</v>
      </c>
      <c r="F1038" t="s">
        <v>5752</v>
      </c>
      <c r="G1038" t="s">
        <v>801</v>
      </c>
      <c r="H1038">
        <v>15</v>
      </c>
      <c r="I1038">
        <f>VLOOKUP(B1038,BRAND!B:D,3,FALSE)</f>
        <v>10</v>
      </c>
      <c r="J1038">
        <f t="shared" si="15"/>
        <v>12</v>
      </c>
      <c r="M1038">
        <v>1</v>
      </c>
    </row>
    <row r="1039" spans="1:13">
      <c r="A1039" t="s">
        <v>6005</v>
      </c>
      <c r="B1039" t="s">
        <v>1844</v>
      </c>
      <c r="C1039" s="34" t="s">
        <v>5757</v>
      </c>
      <c r="F1039" t="s">
        <v>5757</v>
      </c>
      <c r="H1039">
        <v>15</v>
      </c>
      <c r="I1039">
        <f>VLOOKUP(B1039,BRAND!B:D,3,FALSE)</f>
        <v>10</v>
      </c>
      <c r="J1039">
        <f t="shared" si="15"/>
        <v>12</v>
      </c>
      <c r="M1039">
        <v>1</v>
      </c>
    </row>
    <row r="1040" spans="1:13">
      <c r="A1040" t="s">
        <v>6247</v>
      </c>
      <c r="B1040" t="s">
        <v>1844</v>
      </c>
      <c r="C1040" s="34" t="s">
        <v>5757</v>
      </c>
      <c r="F1040" t="s">
        <v>5757</v>
      </c>
      <c r="G1040" t="s">
        <v>801</v>
      </c>
      <c r="H1040">
        <v>15</v>
      </c>
      <c r="I1040">
        <f>VLOOKUP(B1040,BRAND!B:D,3,FALSE)</f>
        <v>10</v>
      </c>
      <c r="J1040">
        <f t="shared" si="15"/>
        <v>12</v>
      </c>
      <c r="M1040">
        <v>1</v>
      </c>
    </row>
    <row r="1041" spans="1:13">
      <c r="A1041" t="s">
        <v>6006</v>
      </c>
      <c r="B1041" t="s">
        <v>1844</v>
      </c>
      <c r="C1041" s="34" t="s">
        <v>5758</v>
      </c>
      <c r="F1041" t="s">
        <v>5758</v>
      </c>
      <c r="H1041">
        <v>15</v>
      </c>
      <c r="I1041">
        <f>VLOOKUP(B1041,BRAND!B:D,3,FALSE)</f>
        <v>10</v>
      </c>
      <c r="J1041">
        <f t="shared" ref="J1041:J1089" si="16">LEN(F1041)</f>
        <v>12</v>
      </c>
      <c r="M1041">
        <v>1</v>
      </c>
    </row>
    <row r="1042" spans="1:13">
      <c r="A1042" t="s">
        <v>6248</v>
      </c>
      <c r="B1042" t="s">
        <v>1844</v>
      </c>
      <c r="C1042" s="34" t="s">
        <v>5758</v>
      </c>
      <c r="F1042" t="s">
        <v>5758</v>
      </c>
      <c r="G1042" t="s">
        <v>801</v>
      </c>
      <c r="H1042">
        <v>15</v>
      </c>
      <c r="I1042">
        <f>VLOOKUP(B1042,BRAND!B:D,3,FALSE)</f>
        <v>10</v>
      </c>
      <c r="J1042">
        <f t="shared" si="16"/>
        <v>12</v>
      </c>
      <c r="M1042">
        <v>1</v>
      </c>
    </row>
    <row r="1043" spans="1:13">
      <c r="A1043" t="s">
        <v>6046</v>
      </c>
      <c r="B1043" t="s">
        <v>1844</v>
      </c>
      <c r="C1043" s="34" t="s">
        <v>5616</v>
      </c>
      <c r="F1043" t="s">
        <v>5616</v>
      </c>
      <c r="H1043">
        <v>15</v>
      </c>
      <c r="I1043">
        <f>VLOOKUP(B1043,BRAND!B:D,3,FALSE)</f>
        <v>10</v>
      </c>
      <c r="J1043">
        <f t="shared" si="16"/>
        <v>12</v>
      </c>
      <c r="M1043">
        <v>1</v>
      </c>
    </row>
    <row r="1044" spans="1:13">
      <c r="A1044" t="s">
        <v>6288</v>
      </c>
      <c r="B1044" t="s">
        <v>1844</v>
      </c>
      <c r="C1044" s="34" t="s">
        <v>5616</v>
      </c>
      <c r="F1044" t="s">
        <v>5616</v>
      </c>
      <c r="G1044" t="s">
        <v>801</v>
      </c>
      <c r="H1044">
        <v>15</v>
      </c>
      <c r="I1044">
        <f>VLOOKUP(B1044,BRAND!B:D,3,FALSE)</f>
        <v>10</v>
      </c>
      <c r="J1044">
        <f t="shared" si="16"/>
        <v>12</v>
      </c>
      <c r="M1044">
        <v>1</v>
      </c>
    </row>
    <row r="1045" spans="1:13">
      <c r="A1045" t="s">
        <v>6058</v>
      </c>
      <c r="B1045" t="s">
        <v>1844</v>
      </c>
      <c r="C1045" s="34" t="s">
        <v>6392</v>
      </c>
      <c r="F1045" t="s">
        <v>5795</v>
      </c>
      <c r="H1045">
        <v>15</v>
      </c>
      <c r="I1045">
        <f>VLOOKUP(B1045,BRAND!B:D,3,FALSE)</f>
        <v>10</v>
      </c>
      <c r="J1045">
        <f t="shared" si="16"/>
        <v>12</v>
      </c>
      <c r="M1045">
        <v>1</v>
      </c>
    </row>
    <row r="1046" spans="1:13">
      <c r="A1046" t="s">
        <v>6300</v>
      </c>
      <c r="B1046" t="s">
        <v>1844</v>
      </c>
      <c r="C1046" s="34" t="s">
        <v>5795</v>
      </c>
      <c r="F1046" t="s">
        <v>5795</v>
      </c>
      <c r="G1046" t="s">
        <v>801</v>
      </c>
      <c r="H1046">
        <v>15</v>
      </c>
      <c r="I1046">
        <f>VLOOKUP(B1046,BRAND!B:D,3,FALSE)</f>
        <v>10</v>
      </c>
      <c r="J1046">
        <f t="shared" si="16"/>
        <v>12</v>
      </c>
      <c r="M1046">
        <v>1</v>
      </c>
    </row>
    <row r="1047" spans="1:13">
      <c r="A1047" t="s">
        <v>10054</v>
      </c>
      <c r="B1047" t="s">
        <v>1844</v>
      </c>
      <c r="C1047" s="34" t="s">
        <v>6423</v>
      </c>
      <c r="F1047" t="s">
        <v>6423</v>
      </c>
      <c r="H1047">
        <v>15</v>
      </c>
      <c r="I1047">
        <f>VLOOKUP(B1047,BRAND!B:D,3,FALSE)</f>
        <v>10</v>
      </c>
      <c r="J1047">
        <f t="shared" si="16"/>
        <v>11</v>
      </c>
      <c r="M1047">
        <v>0</v>
      </c>
    </row>
    <row r="1048" spans="1:13">
      <c r="A1048" t="s">
        <v>6103</v>
      </c>
      <c r="B1048" t="s">
        <v>1844</v>
      </c>
      <c r="C1048" s="34" t="s">
        <v>10040</v>
      </c>
      <c r="F1048" t="s">
        <v>5627</v>
      </c>
      <c r="H1048">
        <v>15</v>
      </c>
      <c r="I1048">
        <f>VLOOKUP(B1048,BRAND!B:D,3,FALSE)</f>
        <v>10</v>
      </c>
      <c r="J1048">
        <f t="shared" si="16"/>
        <v>11</v>
      </c>
      <c r="M1048">
        <v>1</v>
      </c>
    </row>
    <row r="1049" spans="1:13">
      <c r="A1049" t="s">
        <v>6345</v>
      </c>
      <c r="B1049" t="s">
        <v>1844</v>
      </c>
      <c r="C1049" s="34" t="s">
        <v>10040</v>
      </c>
      <c r="F1049" t="s">
        <v>5627</v>
      </c>
      <c r="G1049" t="s">
        <v>801</v>
      </c>
      <c r="H1049">
        <v>15</v>
      </c>
      <c r="I1049">
        <f>VLOOKUP(B1049,BRAND!B:D,3,FALSE)</f>
        <v>10</v>
      </c>
      <c r="J1049">
        <f t="shared" si="16"/>
        <v>11</v>
      </c>
      <c r="M1049">
        <v>1</v>
      </c>
    </row>
    <row r="1050" spans="1:13">
      <c r="A1050" t="s">
        <v>5860</v>
      </c>
      <c r="B1050" t="s">
        <v>1844</v>
      </c>
      <c r="C1050" s="34" t="s">
        <v>5583</v>
      </c>
      <c r="F1050" t="s">
        <v>5583</v>
      </c>
      <c r="H1050">
        <v>15</v>
      </c>
      <c r="I1050">
        <f>VLOOKUP(B1050,BRAND!B:D,3,FALSE)</f>
        <v>10</v>
      </c>
      <c r="J1050">
        <f t="shared" si="16"/>
        <v>11</v>
      </c>
      <c r="M1050">
        <v>1</v>
      </c>
    </row>
    <row r="1051" spans="1:13">
      <c r="A1051" t="s">
        <v>6417</v>
      </c>
      <c r="B1051" t="s">
        <v>1844</v>
      </c>
      <c r="C1051" s="34" t="s">
        <v>5583</v>
      </c>
      <c r="F1051" t="s">
        <v>5583</v>
      </c>
      <c r="G1051" t="s">
        <v>801</v>
      </c>
      <c r="H1051">
        <v>15</v>
      </c>
      <c r="I1051">
        <f>VLOOKUP(B1051,BRAND!B:D,3,FALSE)</f>
        <v>10</v>
      </c>
      <c r="J1051">
        <f t="shared" si="16"/>
        <v>11</v>
      </c>
      <c r="M1051">
        <v>1</v>
      </c>
    </row>
    <row r="1052" spans="1:13">
      <c r="A1052" t="s">
        <v>5880</v>
      </c>
      <c r="B1052" t="s">
        <v>1844</v>
      </c>
      <c r="C1052" s="34" t="s">
        <v>5654</v>
      </c>
      <c r="F1052" t="s">
        <v>5654</v>
      </c>
      <c r="H1052">
        <v>15</v>
      </c>
      <c r="I1052">
        <f>VLOOKUP(B1052,BRAND!B:D,3,FALSE)</f>
        <v>10</v>
      </c>
      <c r="J1052">
        <f t="shared" si="16"/>
        <v>11</v>
      </c>
      <c r="M1052">
        <v>1</v>
      </c>
    </row>
    <row r="1053" spans="1:13">
      <c r="A1053" t="s">
        <v>6122</v>
      </c>
      <c r="B1053" t="s">
        <v>1844</v>
      </c>
      <c r="C1053" s="34" t="s">
        <v>5654</v>
      </c>
      <c r="F1053" t="s">
        <v>5654</v>
      </c>
      <c r="G1053" t="s">
        <v>801</v>
      </c>
      <c r="H1053">
        <v>15</v>
      </c>
      <c r="I1053">
        <f>VLOOKUP(B1053,BRAND!B:D,3,FALSE)</f>
        <v>10</v>
      </c>
      <c r="J1053">
        <f t="shared" si="16"/>
        <v>11</v>
      </c>
      <c r="M1053">
        <v>1</v>
      </c>
    </row>
    <row r="1054" spans="1:13">
      <c r="A1054" t="s">
        <v>5883</v>
      </c>
      <c r="B1054" t="s">
        <v>1844</v>
      </c>
      <c r="C1054" s="34" t="s">
        <v>5657</v>
      </c>
      <c r="F1054" t="s">
        <v>5657</v>
      </c>
      <c r="H1054">
        <v>15</v>
      </c>
      <c r="I1054">
        <f>VLOOKUP(B1054,BRAND!B:D,3,FALSE)</f>
        <v>10</v>
      </c>
      <c r="J1054">
        <f t="shared" si="16"/>
        <v>11</v>
      </c>
      <c r="M1054">
        <v>1</v>
      </c>
    </row>
    <row r="1055" spans="1:13">
      <c r="A1055" t="s">
        <v>6125</v>
      </c>
      <c r="B1055" t="s">
        <v>1844</v>
      </c>
      <c r="C1055" s="34" t="s">
        <v>5657</v>
      </c>
      <c r="F1055" t="s">
        <v>5657</v>
      </c>
      <c r="G1055" t="s">
        <v>801</v>
      </c>
      <c r="H1055">
        <v>15</v>
      </c>
      <c r="I1055">
        <f>VLOOKUP(B1055,BRAND!B:D,3,FALSE)</f>
        <v>10</v>
      </c>
      <c r="J1055">
        <f t="shared" si="16"/>
        <v>11</v>
      </c>
      <c r="M1055">
        <v>1</v>
      </c>
    </row>
    <row r="1056" spans="1:13">
      <c r="A1056" t="s">
        <v>5906</v>
      </c>
      <c r="B1056" t="s">
        <v>1844</v>
      </c>
      <c r="C1056" s="34" t="s">
        <v>5594</v>
      </c>
      <c r="F1056" t="s">
        <v>5594</v>
      </c>
      <c r="H1056">
        <v>15</v>
      </c>
      <c r="I1056">
        <f>VLOOKUP(B1056,BRAND!B:D,3,FALSE)</f>
        <v>10</v>
      </c>
      <c r="J1056">
        <f t="shared" si="16"/>
        <v>11</v>
      </c>
      <c r="M1056">
        <v>1</v>
      </c>
    </row>
    <row r="1057" spans="1:13">
      <c r="A1057" t="s">
        <v>6148</v>
      </c>
      <c r="B1057" t="s">
        <v>1844</v>
      </c>
      <c r="C1057" s="34" t="s">
        <v>5594</v>
      </c>
      <c r="F1057" t="s">
        <v>5594</v>
      </c>
      <c r="G1057" t="s">
        <v>801</v>
      </c>
      <c r="H1057">
        <v>15</v>
      </c>
      <c r="I1057">
        <f>VLOOKUP(B1057,BRAND!B:D,3,FALSE)</f>
        <v>10</v>
      </c>
      <c r="J1057">
        <f t="shared" si="16"/>
        <v>11</v>
      </c>
      <c r="M1057">
        <v>1</v>
      </c>
    </row>
    <row r="1058" spans="1:13">
      <c r="A1058" t="s">
        <v>5934</v>
      </c>
      <c r="B1058" t="s">
        <v>1844</v>
      </c>
      <c r="C1058" s="34" t="s">
        <v>5693</v>
      </c>
      <c r="F1058" t="s">
        <v>5693</v>
      </c>
      <c r="H1058">
        <v>15</v>
      </c>
      <c r="I1058">
        <f>VLOOKUP(B1058,BRAND!B:D,3,FALSE)</f>
        <v>10</v>
      </c>
      <c r="J1058">
        <f t="shared" si="16"/>
        <v>11</v>
      </c>
      <c r="M1058">
        <v>1</v>
      </c>
    </row>
    <row r="1059" spans="1:13">
      <c r="A1059" t="s">
        <v>6176</v>
      </c>
      <c r="B1059" t="s">
        <v>1844</v>
      </c>
      <c r="C1059" s="34" t="s">
        <v>5693</v>
      </c>
      <c r="F1059" t="s">
        <v>5693</v>
      </c>
      <c r="G1059" t="s">
        <v>801</v>
      </c>
      <c r="H1059">
        <v>15</v>
      </c>
      <c r="I1059">
        <f>VLOOKUP(B1059,BRAND!B:D,3,FALSE)</f>
        <v>10</v>
      </c>
      <c r="J1059">
        <f t="shared" si="16"/>
        <v>11</v>
      </c>
      <c r="M1059">
        <v>1</v>
      </c>
    </row>
    <row r="1060" spans="1:13">
      <c r="A1060" t="s">
        <v>5935</v>
      </c>
      <c r="B1060" t="s">
        <v>1844</v>
      </c>
      <c r="C1060" s="34" t="s">
        <v>5694</v>
      </c>
      <c r="F1060" t="s">
        <v>5694</v>
      </c>
      <c r="H1060">
        <v>15</v>
      </c>
      <c r="I1060">
        <f>VLOOKUP(B1060,BRAND!B:D,3,FALSE)</f>
        <v>10</v>
      </c>
      <c r="J1060">
        <f t="shared" si="16"/>
        <v>11</v>
      </c>
      <c r="M1060">
        <v>1</v>
      </c>
    </row>
    <row r="1061" spans="1:13">
      <c r="A1061" t="s">
        <v>6177</v>
      </c>
      <c r="B1061" t="s">
        <v>1844</v>
      </c>
      <c r="C1061" s="34" t="s">
        <v>5694</v>
      </c>
      <c r="F1061" t="s">
        <v>5694</v>
      </c>
      <c r="G1061" t="s">
        <v>801</v>
      </c>
      <c r="H1061">
        <v>15</v>
      </c>
      <c r="I1061">
        <f>VLOOKUP(B1061,BRAND!B:D,3,FALSE)</f>
        <v>10</v>
      </c>
      <c r="J1061">
        <f t="shared" si="16"/>
        <v>11</v>
      </c>
      <c r="M1061">
        <v>1</v>
      </c>
    </row>
    <row r="1062" spans="1:13">
      <c r="A1062" t="s">
        <v>5948</v>
      </c>
      <c r="B1062" t="s">
        <v>1844</v>
      </c>
      <c r="C1062" s="34" t="s">
        <v>6965</v>
      </c>
      <c r="F1062" t="s">
        <v>5707</v>
      </c>
      <c r="H1062">
        <v>15</v>
      </c>
      <c r="I1062">
        <f>VLOOKUP(B1062,BRAND!B:D,3,FALSE)</f>
        <v>10</v>
      </c>
      <c r="J1062">
        <f t="shared" si="16"/>
        <v>11</v>
      </c>
      <c r="M1062">
        <v>1</v>
      </c>
    </row>
    <row r="1063" spans="1:13">
      <c r="A1063" t="s">
        <v>6190</v>
      </c>
      <c r="B1063" t="s">
        <v>1844</v>
      </c>
      <c r="C1063" s="34" t="s">
        <v>5707</v>
      </c>
      <c r="F1063" t="s">
        <v>5707</v>
      </c>
      <c r="G1063" t="s">
        <v>801</v>
      </c>
      <c r="H1063">
        <v>15</v>
      </c>
      <c r="I1063">
        <f>VLOOKUP(B1063,BRAND!B:D,3,FALSE)</f>
        <v>10</v>
      </c>
      <c r="J1063">
        <f t="shared" si="16"/>
        <v>11</v>
      </c>
      <c r="M1063">
        <v>1</v>
      </c>
    </row>
    <row r="1064" spans="1:13">
      <c r="A1064" t="s">
        <v>5993</v>
      </c>
      <c r="B1064" t="s">
        <v>1844</v>
      </c>
      <c r="C1064" s="34" t="s">
        <v>5606</v>
      </c>
      <c r="F1064" t="s">
        <v>5606</v>
      </c>
      <c r="H1064">
        <v>15</v>
      </c>
      <c r="I1064">
        <f>VLOOKUP(B1064,BRAND!B:D,3,FALSE)</f>
        <v>10</v>
      </c>
      <c r="J1064">
        <f t="shared" si="16"/>
        <v>11</v>
      </c>
      <c r="M1064">
        <v>1</v>
      </c>
    </row>
    <row r="1065" spans="1:13">
      <c r="A1065" t="s">
        <v>6235</v>
      </c>
      <c r="B1065" t="s">
        <v>1844</v>
      </c>
      <c r="C1065" s="34" t="s">
        <v>5606</v>
      </c>
      <c r="F1065" t="s">
        <v>5606</v>
      </c>
      <c r="G1065" t="s">
        <v>801</v>
      </c>
      <c r="H1065">
        <v>15</v>
      </c>
      <c r="I1065">
        <f>VLOOKUP(B1065,BRAND!B:D,3,FALSE)</f>
        <v>10</v>
      </c>
      <c r="J1065">
        <f t="shared" si="16"/>
        <v>11</v>
      </c>
      <c r="M1065">
        <v>1</v>
      </c>
    </row>
    <row r="1066" spans="1:13">
      <c r="A1066" t="s">
        <v>6004</v>
      </c>
      <c r="B1066" t="s">
        <v>1844</v>
      </c>
      <c r="C1066" s="34" t="s">
        <v>5756</v>
      </c>
      <c r="F1066" t="s">
        <v>5756</v>
      </c>
      <c r="H1066">
        <v>15</v>
      </c>
      <c r="I1066">
        <f>VLOOKUP(B1066,BRAND!B:D,3,FALSE)</f>
        <v>10</v>
      </c>
      <c r="J1066">
        <f t="shared" si="16"/>
        <v>11</v>
      </c>
      <c r="M1066">
        <v>1</v>
      </c>
    </row>
    <row r="1067" spans="1:13">
      <c r="A1067" t="s">
        <v>6246</v>
      </c>
      <c r="B1067" t="s">
        <v>1844</v>
      </c>
      <c r="C1067" s="34" t="s">
        <v>5756</v>
      </c>
      <c r="F1067" t="s">
        <v>5756</v>
      </c>
      <c r="G1067" t="s">
        <v>801</v>
      </c>
      <c r="H1067">
        <v>15</v>
      </c>
      <c r="I1067">
        <f>VLOOKUP(B1067,BRAND!B:D,3,FALSE)</f>
        <v>10</v>
      </c>
      <c r="J1067">
        <f t="shared" si="16"/>
        <v>11</v>
      </c>
      <c r="M1067">
        <v>1</v>
      </c>
    </row>
    <row r="1068" spans="1:13">
      <c r="A1068" t="s">
        <v>6044</v>
      </c>
      <c r="B1068" t="s">
        <v>1844</v>
      </c>
      <c r="C1068" s="34" t="s">
        <v>1084</v>
      </c>
      <c r="F1068" t="s">
        <v>1084</v>
      </c>
      <c r="H1068">
        <v>15</v>
      </c>
      <c r="I1068">
        <f>VLOOKUP(B1068,BRAND!B:D,3,FALSE)</f>
        <v>10</v>
      </c>
      <c r="J1068">
        <f t="shared" si="16"/>
        <v>11</v>
      </c>
      <c r="M1068">
        <v>1</v>
      </c>
    </row>
    <row r="1069" spans="1:13">
      <c r="A1069" t="s">
        <v>6286</v>
      </c>
      <c r="B1069" t="s">
        <v>1844</v>
      </c>
      <c r="C1069" s="34" t="s">
        <v>1084</v>
      </c>
      <c r="F1069" t="s">
        <v>1084</v>
      </c>
      <c r="G1069" t="s">
        <v>801</v>
      </c>
      <c r="H1069">
        <v>15</v>
      </c>
      <c r="I1069">
        <f>VLOOKUP(B1069,BRAND!B:D,3,FALSE)</f>
        <v>10</v>
      </c>
      <c r="J1069">
        <f t="shared" si="16"/>
        <v>11</v>
      </c>
      <c r="M1069">
        <v>1</v>
      </c>
    </row>
    <row r="1070" spans="1:13">
      <c r="A1070" t="s">
        <v>6049</v>
      </c>
      <c r="B1070" t="s">
        <v>1844</v>
      </c>
      <c r="C1070" s="34" t="s">
        <v>5619</v>
      </c>
      <c r="F1070" t="s">
        <v>5619</v>
      </c>
      <c r="H1070">
        <v>15</v>
      </c>
      <c r="I1070">
        <f>VLOOKUP(B1070,BRAND!B:D,3,FALSE)</f>
        <v>10</v>
      </c>
      <c r="J1070">
        <f t="shared" si="16"/>
        <v>11</v>
      </c>
      <c r="M1070">
        <v>1</v>
      </c>
    </row>
    <row r="1071" spans="1:13">
      <c r="A1071" t="s">
        <v>6291</v>
      </c>
      <c r="B1071" t="s">
        <v>1844</v>
      </c>
      <c r="C1071" s="34" t="s">
        <v>5619</v>
      </c>
      <c r="F1071" t="s">
        <v>5619</v>
      </c>
      <c r="G1071" t="s">
        <v>801</v>
      </c>
      <c r="H1071">
        <v>15</v>
      </c>
      <c r="I1071">
        <f>VLOOKUP(B1071,BRAND!B:D,3,FALSE)</f>
        <v>10</v>
      </c>
      <c r="J1071">
        <f t="shared" si="16"/>
        <v>11</v>
      </c>
      <c r="M1071">
        <v>1</v>
      </c>
    </row>
    <row r="1072" spans="1:13">
      <c r="A1072" t="s">
        <v>5870</v>
      </c>
      <c r="B1072" t="s">
        <v>1844</v>
      </c>
      <c r="C1072" s="34" t="s">
        <v>6377</v>
      </c>
      <c r="F1072" t="s">
        <v>5584</v>
      </c>
      <c r="H1072">
        <v>15</v>
      </c>
      <c r="I1072">
        <f>VLOOKUP(B1072,BRAND!B:D,3,FALSE)</f>
        <v>10</v>
      </c>
      <c r="J1072">
        <f t="shared" si="16"/>
        <v>10</v>
      </c>
      <c r="M1072">
        <v>1</v>
      </c>
    </row>
    <row r="1073" spans="1:13">
      <c r="A1073" t="s">
        <v>6112</v>
      </c>
      <c r="B1073" t="s">
        <v>1844</v>
      </c>
      <c r="C1073" s="34" t="s">
        <v>5584</v>
      </c>
      <c r="F1073" t="s">
        <v>5584</v>
      </c>
      <c r="G1073" t="s">
        <v>801</v>
      </c>
      <c r="H1073">
        <v>15</v>
      </c>
      <c r="I1073">
        <f>VLOOKUP(B1073,BRAND!B:D,3,FALSE)</f>
        <v>10</v>
      </c>
      <c r="J1073">
        <f t="shared" si="16"/>
        <v>10</v>
      </c>
      <c r="M1073">
        <v>1</v>
      </c>
    </row>
    <row r="1074" spans="1:13">
      <c r="A1074" t="s">
        <v>5905</v>
      </c>
      <c r="B1074" t="s">
        <v>1844</v>
      </c>
      <c r="C1074" s="34" t="s">
        <v>6380</v>
      </c>
      <c r="F1074" t="s">
        <v>5593</v>
      </c>
      <c r="G1074" s="4"/>
      <c r="H1074">
        <v>15</v>
      </c>
      <c r="I1074">
        <f>VLOOKUP(B1074,BRAND!B:D,3,FALSE)</f>
        <v>10</v>
      </c>
      <c r="J1074">
        <f t="shared" si="16"/>
        <v>10</v>
      </c>
      <c r="M1074">
        <v>1</v>
      </c>
    </row>
    <row r="1075" spans="1:13">
      <c r="A1075" t="s">
        <v>6147</v>
      </c>
      <c r="B1075" t="s">
        <v>1844</v>
      </c>
      <c r="C1075" s="34" t="s">
        <v>5593</v>
      </c>
      <c r="F1075" t="s">
        <v>5593</v>
      </c>
      <c r="G1075" t="s">
        <v>801</v>
      </c>
      <c r="H1075">
        <v>15</v>
      </c>
      <c r="I1075">
        <f>VLOOKUP(B1075,BRAND!B:D,3,FALSE)</f>
        <v>10</v>
      </c>
      <c r="J1075">
        <f t="shared" si="16"/>
        <v>10</v>
      </c>
      <c r="M1075">
        <v>1</v>
      </c>
    </row>
    <row r="1076" spans="1:13">
      <c r="A1076" t="s">
        <v>5930</v>
      </c>
      <c r="B1076" t="s">
        <v>1844</v>
      </c>
      <c r="C1076" s="34" t="s">
        <v>5600</v>
      </c>
      <c r="F1076" t="s">
        <v>5600</v>
      </c>
      <c r="H1076">
        <v>15</v>
      </c>
      <c r="I1076">
        <f>VLOOKUP(B1076,BRAND!B:D,3,FALSE)</f>
        <v>10</v>
      </c>
      <c r="J1076">
        <f t="shared" si="16"/>
        <v>10</v>
      </c>
      <c r="M1076">
        <v>1</v>
      </c>
    </row>
    <row r="1077" spans="1:13">
      <c r="A1077" t="s">
        <v>6172</v>
      </c>
      <c r="B1077" t="s">
        <v>1844</v>
      </c>
      <c r="C1077" s="34" t="s">
        <v>5600</v>
      </c>
      <c r="F1077" t="s">
        <v>5600</v>
      </c>
      <c r="G1077" t="s">
        <v>801</v>
      </c>
      <c r="H1077">
        <v>15</v>
      </c>
      <c r="I1077">
        <f>VLOOKUP(B1077,BRAND!B:D,3,FALSE)</f>
        <v>10</v>
      </c>
      <c r="J1077">
        <f t="shared" si="16"/>
        <v>10</v>
      </c>
      <c r="M1077">
        <v>1</v>
      </c>
    </row>
    <row r="1078" spans="1:13">
      <c r="A1078" t="s">
        <v>5936</v>
      </c>
      <c r="B1078" t="s">
        <v>1844</v>
      </c>
      <c r="C1078" s="34" t="s">
        <v>5695</v>
      </c>
      <c r="F1078" t="s">
        <v>5695</v>
      </c>
      <c r="H1078">
        <v>15</v>
      </c>
      <c r="I1078">
        <f>VLOOKUP(B1078,BRAND!B:D,3,FALSE)</f>
        <v>10</v>
      </c>
      <c r="J1078">
        <f t="shared" si="16"/>
        <v>10</v>
      </c>
      <c r="M1078">
        <v>1</v>
      </c>
    </row>
    <row r="1079" spans="1:13">
      <c r="A1079" t="s">
        <v>6178</v>
      </c>
      <c r="B1079" t="s">
        <v>1844</v>
      </c>
      <c r="C1079" s="34" t="s">
        <v>5695</v>
      </c>
      <c r="F1079" t="s">
        <v>5695</v>
      </c>
      <c r="G1079" t="s">
        <v>801</v>
      </c>
      <c r="H1079">
        <v>15</v>
      </c>
      <c r="I1079">
        <f>VLOOKUP(B1079,BRAND!B:D,3,FALSE)</f>
        <v>10</v>
      </c>
      <c r="J1079">
        <f t="shared" si="16"/>
        <v>10</v>
      </c>
      <c r="M1079">
        <v>1</v>
      </c>
    </row>
    <row r="1080" spans="1:13">
      <c r="A1080" t="s">
        <v>5937</v>
      </c>
      <c r="B1080" t="s">
        <v>1844</v>
      </c>
      <c r="C1080" s="34" t="s">
        <v>5696</v>
      </c>
      <c r="F1080" t="s">
        <v>5696</v>
      </c>
      <c r="H1080">
        <v>15</v>
      </c>
      <c r="I1080">
        <f>VLOOKUP(B1080,BRAND!B:D,3,FALSE)</f>
        <v>10</v>
      </c>
      <c r="J1080">
        <f t="shared" si="16"/>
        <v>10</v>
      </c>
      <c r="M1080">
        <v>1</v>
      </c>
    </row>
    <row r="1081" spans="1:13">
      <c r="A1081" t="s">
        <v>6179</v>
      </c>
      <c r="B1081" t="s">
        <v>1844</v>
      </c>
      <c r="C1081" s="34" t="s">
        <v>5696</v>
      </c>
      <c r="F1081" t="s">
        <v>5696</v>
      </c>
      <c r="G1081" t="s">
        <v>801</v>
      </c>
      <c r="H1081">
        <v>15</v>
      </c>
      <c r="I1081">
        <f>VLOOKUP(B1081,BRAND!B:D,3,FALSE)</f>
        <v>10</v>
      </c>
      <c r="J1081">
        <f t="shared" si="16"/>
        <v>10</v>
      </c>
      <c r="M1081">
        <v>1</v>
      </c>
    </row>
    <row r="1082" spans="1:13">
      <c r="A1082" t="s">
        <v>5953</v>
      </c>
      <c r="B1082" t="s">
        <v>1844</v>
      </c>
      <c r="C1082" s="34" t="s">
        <v>5712</v>
      </c>
      <c r="F1082" t="s">
        <v>5712</v>
      </c>
      <c r="H1082">
        <v>15</v>
      </c>
      <c r="I1082">
        <f>VLOOKUP(B1082,BRAND!B:D,3,FALSE)</f>
        <v>10</v>
      </c>
      <c r="J1082">
        <f t="shared" si="16"/>
        <v>10</v>
      </c>
      <c r="M1082">
        <v>1</v>
      </c>
    </row>
    <row r="1083" spans="1:13">
      <c r="A1083" t="s">
        <v>6195</v>
      </c>
      <c r="B1083" t="s">
        <v>1844</v>
      </c>
      <c r="C1083" s="34" t="s">
        <v>5712</v>
      </c>
      <c r="F1083" t="s">
        <v>5712</v>
      </c>
      <c r="G1083" t="s">
        <v>801</v>
      </c>
      <c r="H1083">
        <v>15</v>
      </c>
      <c r="I1083">
        <f>VLOOKUP(B1083,BRAND!B:D,3,FALSE)</f>
        <v>10</v>
      </c>
      <c r="J1083">
        <f t="shared" si="16"/>
        <v>10</v>
      </c>
      <c r="M1083">
        <v>1</v>
      </c>
    </row>
    <row r="1084" spans="1:13">
      <c r="A1084" t="s">
        <v>6040</v>
      </c>
      <c r="B1084" t="s">
        <v>1844</v>
      </c>
      <c r="C1084" s="34" t="s">
        <v>5611</v>
      </c>
      <c r="F1084" t="s">
        <v>5611</v>
      </c>
      <c r="H1084">
        <v>15</v>
      </c>
      <c r="I1084">
        <f>VLOOKUP(B1084,BRAND!B:D,3,FALSE)</f>
        <v>10</v>
      </c>
      <c r="J1084">
        <f t="shared" si="16"/>
        <v>10</v>
      </c>
      <c r="M1084">
        <v>1</v>
      </c>
    </row>
    <row r="1085" spans="1:13">
      <c r="A1085" t="s">
        <v>6282</v>
      </c>
      <c r="B1085" t="s">
        <v>1844</v>
      </c>
      <c r="C1085" s="34" t="s">
        <v>5611</v>
      </c>
      <c r="F1085" t="s">
        <v>5611</v>
      </c>
      <c r="G1085" t="s">
        <v>801</v>
      </c>
      <c r="H1085">
        <v>15</v>
      </c>
      <c r="I1085">
        <f>VLOOKUP(B1085,BRAND!B:D,3,FALSE)</f>
        <v>10</v>
      </c>
      <c r="J1085">
        <f t="shared" si="16"/>
        <v>10</v>
      </c>
      <c r="M1085">
        <v>1</v>
      </c>
    </row>
    <row r="1086" spans="1:13">
      <c r="A1086" t="s">
        <v>6087</v>
      </c>
      <c r="B1086" t="s">
        <v>1844</v>
      </c>
      <c r="C1086" s="34" t="s">
        <v>5623</v>
      </c>
      <c r="F1086" t="s">
        <v>5623</v>
      </c>
      <c r="H1086">
        <v>15</v>
      </c>
      <c r="I1086">
        <f>VLOOKUP(B1086,BRAND!B:D,3,FALSE)</f>
        <v>10</v>
      </c>
      <c r="J1086">
        <f t="shared" si="16"/>
        <v>10</v>
      </c>
      <c r="M1086">
        <v>1</v>
      </c>
    </row>
    <row r="1087" spans="1:13">
      <c r="A1087" t="s">
        <v>6329</v>
      </c>
      <c r="B1087" t="s">
        <v>1844</v>
      </c>
      <c r="C1087" s="34" t="s">
        <v>5623</v>
      </c>
      <c r="F1087" t="s">
        <v>5623</v>
      </c>
      <c r="G1087" t="s">
        <v>801</v>
      </c>
      <c r="H1087">
        <v>15</v>
      </c>
      <c r="I1087">
        <f>VLOOKUP(B1087,BRAND!B:D,3,FALSE)</f>
        <v>10</v>
      </c>
      <c r="J1087">
        <f t="shared" si="16"/>
        <v>10</v>
      </c>
      <c r="M1087">
        <v>1</v>
      </c>
    </row>
    <row r="1088" spans="1:13">
      <c r="A1088" t="s">
        <v>6101</v>
      </c>
      <c r="B1088" t="s">
        <v>1844</v>
      </c>
      <c r="C1088" s="34" t="s">
        <v>6399</v>
      </c>
      <c r="F1088" t="s">
        <v>5625</v>
      </c>
      <c r="H1088">
        <v>15</v>
      </c>
      <c r="I1088">
        <f>VLOOKUP(B1088,BRAND!B:D,3,FALSE)</f>
        <v>10</v>
      </c>
      <c r="J1088">
        <f t="shared" si="16"/>
        <v>10</v>
      </c>
      <c r="M1088">
        <v>1</v>
      </c>
    </row>
    <row r="1089" spans="1:13">
      <c r="A1089" t="s">
        <v>6343</v>
      </c>
      <c r="B1089" t="s">
        <v>1844</v>
      </c>
      <c r="C1089" s="34" t="s">
        <v>5625</v>
      </c>
      <c r="F1089" t="s">
        <v>5625</v>
      </c>
      <c r="G1089" t="s">
        <v>801</v>
      </c>
      <c r="H1089">
        <v>15</v>
      </c>
      <c r="I1089">
        <f>VLOOKUP(B1089,BRAND!B:D,3,FALSE)</f>
        <v>10</v>
      </c>
      <c r="J1089">
        <f t="shared" si="16"/>
        <v>10</v>
      </c>
      <c r="M1089">
        <v>1</v>
      </c>
    </row>
    <row r="1090" spans="1:13">
      <c r="A1090" t="s">
        <v>5890</v>
      </c>
      <c r="B1090" t="s">
        <v>1844</v>
      </c>
      <c r="C1090" s="34" t="s">
        <v>5588</v>
      </c>
      <c r="F1090" t="s">
        <v>5588</v>
      </c>
      <c r="H1090">
        <v>15</v>
      </c>
      <c r="I1090">
        <f>VLOOKUP(B1090,BRAND!B:D,3,FALSE)</f>
        <v>10</v>
      </c>
      <c r="J1090">
        <v>9</v>
      </c>
      <c r="M1090">
        <v>1</v>
      </c>
    </row>
    <row r="1091" spans="1:13">
      <c r="A1091" t="s">
        <v>6132</v>
      </c>
      <c r="B1091" t="s">
        <v>1844</v>
      </c>
      <c r="C1091" s="34" t="s">
        <v>5588</v>
      </c>
      <c r="F1091" t="s">
        <v>5588</v>
      </c>
      <c r="G1091" t="s">
        <v>801</v>
      </c>
      <c r="H1091">
        <v>15</v>
      </c>
      <c r="I1091">
        <f>VLOOKUP(B1091,BRAND!B:D,3,FALSE)</f>
        <v>10</v>
      </c>
      <c r="J1091">
        <v>9</v>
      </c>
      <c r="M1091">
        <v>1</v>
      </c>
    </row>
    <row r="1092" spans="1:13">
      <c r="A1092" t="s">
        <v>5950</v>
      </c>
      <c r="B1092" t="s">
        <v>1844</v>
      </c>
      <c r="C1092" s="34" t="s">
        <v>5709</v>
      </c>
      <c r="F1092" t="s">
        <v>5709</v>
      </c>
      <c r="H1092">
        <v>15</v>
      </c>
      <c r="I1092">
        <f>VLOOKUP(B1092,BRAND!B:D,3,FALSE)</f>
        <v>10</v>
      </c>
      <c r="J1092">
        <v>9</v>
      </c>
      <c r="M1092">
        <v>1</v>
      </c>
    </row>
    <row r="1093" spans="1:13">
      <c r="A1093" t="s">
        <v>6192</v>
      </c>
      <c r="B1093" t="s">
        <v>1844</v>
      </c>
      <c r="C1093" s="34" t="s">
        <v>5709</v>
      </c>
      <c r="F1093" t="s">
        <v>5709</v>
      </c>
      <c r="G1093" t="s">
        <v>801</v>
      </c>
      <c r="H1093">
        <v>15</v>
      </c>
      <c r="I1093">
        <f>VLOOKUP(B1093,BRAND!B:D,3,FALSE)</f>
        <v>10</v>
      </c>
      <c r="J1093">
        <v>9</v>
      </c>
      <c r="M1093">
        <v>1</v>
      </c>
    </row>
    <row r="1094" spans="1:13">
      <c r="A1094" t="s">
        <v>5951</v>
      </c>
      <c r="B1094" t="s">
        <v>1844</v>
      </c>
      <c r="C1094" s="34" t="s">
        <v>5710</v>
      </c>
      <c r="F1094" t="s">
        <v>5710</v>
      </c>
      <c r="H1094">
        <v>15</v>
      </c>
      <c r="I1094">
        <f>VLOOKUP(B1094,BRAND!B:D,3,FALSE)</f>
        <v>10</v>
      </c>
      <c r="J1094">
        <v>9</v>
      </c>
      <c r="M1094">
        <v>1</v>
      </c>
    </row>
    <row r="1095" spans="1:13">
      <c r="A1095" t="s">
        <v>6193</v>
      </c>
      <c r="B1095" t="s">
        <v>1844</v>
      </c>
      <c r="C1095" s="34" t="s">
        <v>5710</v>
      </c>
      <c r="F1095" t="s">
        <v>5710</v>
      </c>
      <c r="G1095" t="s">
        <v>801</v>
      </c>
      <c r="H1095">
        <v>15</v>
      </c>
      <c r="I1095">
        <f>VLOOKUP(B1095,BRAND!B:D,3,FALSE)</f>
        <v>10</v>
      </c>
      <c r="J1095">
        <v>9</v>
      </c>
      <c r="M1095">
        <v>1</v>
      </c>
    </row>
    <row r="1096" spans="1:13">
      <c r="A1096" t="s">
        <v>5991</v>
      </c>
      <c r="B1096" t="s">
        <v>1844</v>
      </c>
      <c r="C1096" s="34" t="s">
        <v>5604</v>
      </c>
      <c r="F1096" t="s">
        <v>5604</v>
      </c>
      <c r="H1096">
        <v>15</v>
      </c>
      <c r="I1096">
        <f>VLOOKUP(B1096,BRAND!B:D,3,FALSE)</f>
        <v>10</v>
      </c>
      <c r="J1096">
        <v>9</v>
      </c>
      <c r="M1096">
        <v>1</v>
      </c>
    </row>
    <row r="1097" spans="1:13">
      <c r="A1097" t="s">
        <v>6233</v>
      </c>
      <c r="B1097" t="s">
        <v>1844</v>
      </c>
      <c r="C1097" s="34" t="s">
        <v>5604</v>
      </c>
      <c r="F1097" t="s">
        <v>5604</v>
      </c>
      <c r="G1097" t="s">
        <v>801</v>
      </c>
      <c r="H1097">
        <v>15</v>
      </c>
      <c r="I1097">
        <f>VLOOKUP(B1097,BRAND!B:D,3,FALSE)</f>
        <v>10</v>
      </c>
      <c r="J1097">
        <v>9</v>
      </c>
      <c r="M1097">
        <v>1</v>
      </c>
    </row>
    <row r="1098" spans="1:13">
      <c r="A1098" t="s">
        <v>5992</v>
      </c>
      <c r="B1098" t="s">
        <v>1844</v>
      </c>
      <c r="C1098" s="34" t="s">
        <v>5605</v>
      </c>
      <c r="F1098" t="s">
        <v>5605</v>
      </c>
      <c r="H1098">
        <v>15</v>
      </c>
      <c r="I1098">
        <f>VLOOKUP(B1098,BRAND!B:D,3,FALSE)</f>
        <v>10</v>
      </c>
      <c r="J1098">
        <v>9</v>
      </c>
      <c r="M1098">
        <v>1</v>
      </c>
    </row>
    <row r="1099" spans="1:13">
      <c r="A1099" t="s">
        <v>6234</v>
      </c>
      <c r="B1099" t="s">
        <v>1844</v>
      </c>
      <c r="C1099" s="34" t="s">
        <v>5605</v>
      </c>
      <c r="F1099" t="s">
        <v>5605</v>
      </c>
      <c r="G1099" t="s">
        <v>801</v>
      </c>
      <c r="H1099">
        <v>15</v>
      </c>
      <c r="I1099">
        <f>VLOOKUP(B1099,BRAND!B:D,3,FALSE)</f>
        <v>10</v>
      </c>
      <c r="J1099">
        <v>9</v>
      </c>
      <c r="M1099">
        <v>1</v>
      </c>
    </row>
    <row r="1100" spans="1:13">
      <c r="A1100" t="s">
        <v>6035</v>
      </c>
      <c r="B1100" t="s">
        <v>1844</v>
      </c>
      <c r="C1100" s="34" t="s">
        <v>5610</v>
      </c>
      <c r="F1100" t="s">
        <v>5610</v>
      </c>
      <c r="H1100">
        <v>15</v>
      </c>
      <c r="I1100">
        <f>VLOOKUP(B1100,BRAND!B:D,3,FALSE)</f>
        <v>10</v>
      </c>
      <c r="J1100">
        <v>9</v>
      </c>
      <c r="M1100">
        <v>1</v>
      </c>
    </row>
    <row r="1101" spans="1:13">
      <c r="A1101" t="s">
        <v>6277</v>
      </c>
      <c r="B1101" t="s">
        <v>1844</v>
      </c>
      <c r="C1101" s="34" t="s">
        <v>5610</v>
      </c>
      <c r="F1101" t="s">
        <v>5610</v>
      </c>
      <c r="G1101" t="s">
        <v>801</v>
      </c>
      <c r="H1101">
        <v>15</v>
      </c>
      <c r="I1101">
        <f>VLOOKUP(B1101,BRAND!B:D,3,FALSE)</f>
        <v>10</v>
      </c>
      <c r="J1101">
        <v>9</v>
      </c>
      <c r="M1101">
        <v>1</v>
      </c>
    </row>
    <row r="1102" spans="1:13">
      <c r="A1102" t="s">
        <v>6041</v>
      </c>
      <c r="B1102" t="s">
        <v>1844</v>
      </c>
      <c r="C1102" s="34" t="s">
        <v>5612</v>
      </c>
      <c r="F1102" t="s">
        <v>5612</v>
      </c>
      <c r="H1102">
        <v>15</v>
      </c>
      <c r="I1102">
        <f>VLOOKUP(B1102,BRAND!B:D,3,FALSE)</f>
        <v>10</v>
      </c>
      <c r="J1102">
        <v>9</v>
      </c>
      <c r="M1102">
        <v>1</v>
      </c>
    </row>
    <row r="1103" spans="1:13">
      <c r="A1103" t="s">
        <v>6283</v>
      </c>
      <c r="B1103" t="s">
        <v>1844</v>
      </c>
      <c r="C1103" s="34" t="s">
        <v>5612</v>
      </c>
      <c r="F1103" t="s">
        <v>5612</v>
      </c>
      <c r="G1103" t="s">
        <v>801</v>
      </c>
      <c r="H1103">
        <v>15</v>
      </c>
      <c r="I1103">
        <f>VLOOKUP(B1103,BRAND!B:D,3,FALSE)</f>
        <v>10</v>
      </c>
      <c r="J1103">
        <v>9</v>
      </c>
      <c r="M1103">
        <v>1</v>
      </c>
    </row>
    <row r="1104" spans="1:13">
      <c r="A1104" t="s">
        <v>5892</v>
      </c>
      <c r="B1104" t="s">
        <v>1844</v>
      </c>
      <c r="C1104" s="34" t="s">
        <v>5589</v>
      </c>
      <c r="F1104" t="s">
        <v>5589</v>
      </c>
      <c r="H1104">
        <v>15</v>
      </c>
      <c r="I1104">
        <f>VLOOKUP(B1104,BRAND!B:D,3,FALSE)</f>
        <v>10</v>
      </c>
      <c r="J1104">
        <v>8</v>
      </c>
      <c r="M1104">
        <v>1</v>
      </c>
    </row>
    <row r="1105" spans="1:13">
      <c r="A1105" t="s">
        <v>6134</v>
      </c>
      <c r="B1105" t="s">
        <v>1844</v>
      </c>
      <c r="C1105" s="34" t="s">
        <v>5589</v>
      </c>
      <c r="F1105" t="s">
        <v>5589</v>
      </c>
      <c r="G1105" t="s">
        <v>801</v>
      </c>
      <c r="H1105">
        <v>15</v>
      </c>
      <c r="I1105">
        <f>VLOOKUP(B1105,BRAND!B:D,3,FALSE)</f>
        <v>10</v>
      </c>
      <c r="J1105">
        <v>8</v>
      </c>
      <c r="M1105">
        <v>1</v>
      </c>
    </row>
    <row r="1106" spans="1:13">
      <c r="A1106" t="s">
        <v>5902</v>
      </c>
      <c r="B1106" t="s">
        <v>1844</v>
      </c>
      <c r="C1106" s="34" t="s">
        <v>5590</v>
      </c>
      <c r="F1106" t="s">
        <v>5590</v>
      </c>
      <c r="H1106">
        <v>15</v>
      </c>
      <c r="I1106">
        <f>VLOOKUP(B1106,BRAND!B:D,3,FALSE)</f>
        <v>10</v>
      </c>
      <c r="J1106">
        <v>8</v>
      </c>
      <c r="M1106">
        <v>1</v>
      </c>
    </row>
    <row r="1107" spans="1:13">
      <c r="A1107" t="s">
        <v>6144</v>
      </c>
      <c r="B1107" t="s">
        <v>1844</v>
      </c>
      <c r="C1107" s="34" t="s">
        <v>5590</v>
      </c>
      <c r="F1107" t="s">
        <v>5590</v>
      </c>
      <c r="G1107" t="s">
        <v>801</v>
      </c>
      <c r="H1107">
        <v>15</v>
      </c>
      <c r="I1107">
        <f>VLOOKUP(B1107,BRAND!B:D,3,FALSE)</f>
        <v>10</v>
      </c>
      <c r="J1107">
        <v>8</v>
      </c>
      <c r="M1107">
        <v>1</v>
      </c>
    </row>
    <row r="1108" spans="1:13">
      <c r="A1108" t="s">
        <v>5911</v>
      </c>
      <c r="B1108" t="s">
        <v>1844</v>
      </c>
      <c r="C1108" s="34" t="s">
        <v>5596</v>
      </c>
      <c r="F1108" t="s">
        <v>5596</v>
      </c>
      <c r="H1108">
        <v>15</v>
      </c>
      <c r="I1108">
        <f>VLOOKUP(B1108,BRAND!B:D,3,FALSE)</f>
        <v>10</v>
      </c>
      <c r="J1108">
        <v>8</v>
      </c>
      <c r="M1108">
        <v>1</v>
      </c>
    </row>
    <row r="1109" spans="1:13">
      <c r="A1109" t="s">
        <v>6153</v>
      </c>
      <c r="B1109" t="s">
        <v>1844</v>
      </c>
      <c r="C1109" s="34" t="s">
        <v>5596</v>
      </c>
      <c r="F1109" t="s">
        <v>5596</v>
      </c>
      <c r="G1109" t="s">
        <v>801</v>
      </c>
      <c r="H1109">
        <v>15</v>
      </c>
      <c r="I1109">
        <f>VLOOKUP(B1109,BRAND!B:D,3,FALSE)</f>
        <v>10</v>
      </c>
      <c r="J1109">
        <v>8</v>
      </c>
      <c r="M1109">
        <v>1</v>
      </c>
    </row>
    <row r="1110" spans="1:13">
      <c r="A1110" t="s">
        <v>6042</v>
      </c>
      <c r="B1110" t="s">
        <v>1844</v>
      </c>
      <c r="C1110" s="34" t="s">
        <v>6389</v>
      </c>
      <c r="F1110" t="s">
        <v>5613</v>
      </c>
      <c r="H1110">
        <v>15</v>
      </c>
      <c r="I1110">
        <f>VLOOKUP(B1110,BRAND!B:D,3,FALSE)</f>
        <v>10</v>
      </c>
      <c r="J1110">
        <v>8</v>
      </c>
      <c r="M1110">
        <v>1</v>
      </c>
    </row>
    <row r="1111" spans="1:13">
      <c r="A1111" t="s">
        <v>6284</v>
      </c>
      <c r="B1111" t="s">
        <v>1844</v>
      </c>
      <c r="C1111" s="34" t="s">
        <v>5613</v>
      </c>
      <c r="F1111" t="s">
        <v>5613</v>
      </c>
      <c r="G1111" t="s">
        <v>801</v>
      </c>
      <c r="H1111">
        <v>15</v>
      </c>
      <c r="I1111">
        <f>VLOOKUP(B1111,BRAND!B:D,3,FALSE)</f>
        <v>10</v>
      </c>
      <c r="J1111">
        <v>8</v>
      </c>
      <c r="M1111">
        <v>1</v>
      </c>
    </row>
    <row r="1112" spans="1:13">
      <c r="A1112" t="s">
        <v>6043</v>
      </c>
      <c r="B1112" t="s">
        <v>1844</v>
      </c>
      <c r="C1112" s="34" t="s">
        <v>5614</v>
      </c>
      <c r="F1112" t="s">
        <v>5614</v>
      </c>
      <c r="H1112">
        <v>15</v>
      </c>
      <c r="I1112">
        <f>VLOOKUP(B1112,BRAND!B:D,3,FALSE)</f>
        <v>10</v>
      </c>
      <c r="J1112">
        <v>8</v>
      </c>
      <c r="M1112">
        <v>1</v>
      </c>
    </row>
    <row r="1113" spans="1:13">
      <c r="A1113" t="s">
        <v>6285</v>
      </c>
      <c r="B1113" t="s">
        <v>1844</v>
      </c>
      <c r="C1113" s="34" t="s">
        <v>5614</v>
      </c>
      <c r="F1113" t="s">
        <v>5614</v>
      </c>
      <c r="G1113" t="s">
        <v>801</v>
      </c>
      <c r="H1113">
        <v>15</v>
      </c>
      <c r="I1113">
        <f>VLOOKUP(B1113,BRAND!B:D,3,FALSE)</f>
        <v>10</v>
      </c>
      <c r="J1113">
        <v>8</v>
      </c>
      <c r="M1113">
        <v>1</v>
      </c>
    </row>
    <row r="1114" spans="1:13">
      <c r="A1114" t="s">
        <v>5959</v>
      </c>
      <c r="B1114" t="s">
        <v>1844</v>
      </c>
      <c r="C1114" s="34" t="s">
        <v>1000</v>
      </c>
      <c r="F1114" t="s">
        <v>1000</v>
      </c>
      <c r="H1114">
        <v>15</v>
      </c>
      <c r="I1114">
        <f>VLOOKUP(B1114,BRAND!B:D,3,FALSE)</f>
        <v>10</v>
      </c>
      <c r="J1114">
        <v>6</v>
      </c>
      <c r="M1114">
        <v>1</v>
      </c>
    </row>
    <row r="1115" spans="1:13">
      <c r="A1115" t="s">
        <v>6201</v>
      </c>
      <c r="B1115" t="s">
        <v>1844</v>
      </c>
      <c r="C1115" s="34" t="s">
        <v>1000</v>
      </c>
      <c r="F1115" t="s">
        <v>1000</v>
      </c>
      <c r="G1115" t="s">
        <v>801</v>
      </c>
      <c r="H1115">
        <v>15</v>
      </c>
      <c r="I1115">
        <f>VLOOKUP(B1115,BRAND!B:D,3,FALSE)</f>
        <v>10</v>
      </c>
      <c r="J1115">
        <v>6</v>
      </c>
      <c r="M1115">
        <v>1</v>
      </c>
    </row>
    <row r="1116" spans="1:13">
      <c r="A1116" t="s">
        <v>6007</v>
      </c>
      <c r="B1116" t="s">
        <v>1844</v>
      </c>
      <c r="C1116" s="34" t="s">
        <v>5607</v>
      </c>
      <c r="F1116" t="s">
        <v>5607</v>
      </c>
      <c r="H1116">
        <v>15</v>
      </c>
      <c r="I1116">
        <f>VLOOKUP(B1116,BRAND!B:D,3,FALSE)</f>
        <v>10</v>
      </c>
      <c r="J1116">
        <v>6</v>
      </c>
      <c r="M1116">
        <v>1</v>
      </c>
    </row>
    <row r="1117" spans="1:13">
      <c r="A1117" t="s">
        <v>6249</v>
      </c>
      <c r="B1117" t="s">
        <v>1844</v>
      </c>
      <c r="C1117" s="34" t="s">
        <v>5607</v>
      </c>
      <c r="F1117" t="s">
        <v>5607</v>
      </c>
      <c r="G1117" t="s">
        <v>801</v>
      </c>
      <c r="H1117">
        <v>15</v>
      </c>
      <c r="I1117">
        <f>VLOOKUP(B1117,BRAND!B:D,3,FALSE)</f>
        <v>10</v>
      </c>
      <c r="J1117">
        <v>6</v>
      </c>
      <c r="M1117">
        <v>1</v>
      </c>
    </row>
    <row r="1118" spans="1:13">
      <c r="A1118" t="s">
        <v>5929</v>
      </c>
      <c r="B1118" t="s">
        <v>1844</v>
      </c>
      <c r="C1118" s="34" t="s">
        <v>123</v>
      </c>
      <c r="F1118" t="s">
        <v>123</v>
      </c>
      <c r="H1118">
        <v>15</v>
      </c>
      <c r="I1118">
        <f>VLOOKUP(B1118,BRAND!B:D,3,FALSE)</f>
        <v>10</v>
      </c>
      <c r="J1118">
        <v>6</v>
      </c>
      <c r="M1118">
        <v>1</v>
      </c>
    </row>
    <row r="1119" spans="1:13">
      <c r="A1119" t="s">
        <v>6171</v>
      </c>
      <c r="B1119" t="s">
        <v>1844</v>
      </c>
      <c r="C1119" s="34" t="s">
        <v>123</v>
      </c>
      <c r="F1119" t="s">
        <v>123</v>
      </c>
      <c r="G1119" t="s">
        <v>801</v>
      </c>
      <c r="H1119">
        <v>15</v>
      </c>
      <c r="I1119">
        <f>VLOOKUP(B1119,BRAND!B:D,3,FALSE)</f>
        <v>10</v>
      </c>
      <c r="J1119">
        <v>6</v>
      </c>
      <c r="M1119">
        <v>1</v>
      </c>
    </row>
    <row r="1120" spans="1:13">
      <c r="A1120" t="s">
        <v>5960</v>
      </c>
      <c r="B1120" t="s">
        <v>1844</v>
      </c>
      <c r="C1120" s="34" t="s">
        <v>5603</v>
      </c>
      <c r="F1120" t="s">
        <v>5603</v>
      </c>
      <c r="H1120">
        <v>15</v>
      </c>
      <c r="I1120">
        <f>VLOOKUP(B1120,BRAND!B:D,3,FALSE)</f>
        <v>10</v>
      </c>
      <c r="J1120">
        <v>5</v>
      </c>
      <c r="M1120">
        <v>1</v>
      </c>
    </row>
    <row r="1121" spans="1:13">
      <c r="A1121" t="s">
        <v>6202</v>
      </c>
      <c r="B1121" t="s">
        <v>1844</v>
      </c>
      <c r="C1121" s="34" t="s">
        <v>5603</v>
      </c>
      <c r="F1121" t="s">
        <v>5603</v>
      </c>
      <c r="G1121" t="s">
        <v>801</v>
      </c>
      <c r="H1121">
        <v>15</v>
      </c>
      <c r="I1121">
        <f>VLOOKUP(B1121,BRAND!B:D,3,FALSE)</f>
        <v>10</v>
      </c>
      <c r="J1121">
        <v>5</v>
      </c>
      <c r="M1121">
        <v>1</v>
      </c>
    </row>
    <row r="1122" spans="1:13">
      <c r="A1122" t="s">
        <v>7559</v>
      </c>
      <c r="B1122" t="s">
        <v>7560</v>
      </c>
      <c r="C1122" s="34" t="s">
        <v>1438</v>
      </c>
      <c r="F1122" t="s">
        <v>1438</v>
      </c>
      <c r="G1122" t="s">
        <v>6932</v>
      </c>
      <c r="H1122">
        <v>5</v>
      </c>
      <c r="I1122">
        <f>VLOOKUP(B1122,BRAND!B:D,3,FALSE)</f>
        <v>5.5</v>
      </c>
      <c r="J1122">
        <v>4</v>
      </c>
      <c r="M1122">
        <v>1</v>
      </c>
    </row>
    <row r="1123" spans="1:13">
      <c r="A1123" t="s">
        <v>2459</v>
      </c>
      <c r="B1123" t="s">
        <v>1831</v>
      </c>
      <c r="C1123" s="34" t="s">
        <v>1438</v>
      </c>
      <c r="F1123" t="s">
        <v>1438</v>
      </c>
      <c r="H1123">
        <v>15</v>
      </c>
      <c r="I1123">
        <f>VLOOKUP(B1123,BRAND!B:D,3,FALSE)</f>
        <v>9</v>
      </c>
      <c r="J1123">
        <v>4</v>
      </c>
      <c r="K1123" t="s">
        <v>821</v>
      </c>
      <c r="M1123">
        <v>0</v>
      </c>
    </row>
    <row r="1124" spans="1:13">
      <c r="A1124" t="s">
        <v>7557</v>
      </c>
      <c r="B1124" t="s">
        <v>7558</v>
      </c>
      <c r="C1124" s="34" t="s">
        <v>1438</v>
      </c>
      <c r="F1124" t="s">
        <v>1438</v>
      </c>
      <c r="G1124" t="s">
        <v>6932</v>
      </c>
      <c r="H1124">
        <v>5</v>
      </c>
      <c r="I1124">
        <f>VLOOKUP(B1124,BRAND!B:D,3,FALSE)</f>
        <v>5.5</v>
      </c>
      <c r="J1124">
        <v>4</v>
      </c>
      <c r="M1124">
        <v>1</v>
      </c>
    </row>
    <row r="1125" spans="1:13">
      <c r="A1125" t="s">
        <v>4159</v>
      </c>
      <c r="B1125" t="s">
        <v>518</v>
      </c>
      <c r="C1125" s="34" t="s">
        <v>861</v>
      </c>
      <c r="F1125" t="s">
        <v>861</v>
      </c>
      <c r="H1125">
        <v>4</v>
      </c>
      <c r="I1125">
        <f>VLOOKUP(B1125,BRAND!B:D,3,FALSE)</f>
        <v>9</v>
      </c>
      <c r="J1125">
        <f>LEN(F1125)</f>
        <v>11</v>
      </c>
      <c r="K1125" t="s">
        <v>821</v>
      </c>
      <c r="M1125">
        <v>0</v>
      </c>
    </row>
    <row r="1126" spans="1:13">
      <c r="A1126" t="s">
        <v>4366</v>
      </c>
      <c r="B1126" t="s">
        <v>518</v>
      </c>
      <c r="C1126" s="34" t="s">
        <v>746</v>
      </c>
      <c r="F1126" t="s">
        <v>746</v>
      </c>
      <c r="H1126">
        <v>5</v>
      </c>
      <c r="I1126">
        <f>VLOOKUP(B1126,BRAND!B:D,3,FALSE)</f>
        <v>9</v>
      </c>
      <c r="J1126">
        <v>6</v>
      </c>
      <c r="K1126" t="s">
        <v>821</v>
      </c>
      <c r="M1126">
        <v>0</v>
      </c>
    </row>
    <row r="1127" spans="1:13">
      <c r="A1127" t="s">
        <v>4058</v>
      </c>
      <c r="B1127" t="s">
        <v>518</v>
      </c>
      <c r="C1127" s="34" t="s">
        <v>536</v>
      </c>
      <c r="F1127" t="s">
        <v>536</v>
      </c>
      <c r="H1127">
        <v>5</v>
      </c>
      <c r="I1127">
        <f>VLOOKUP(B1127,BRAND!B:D,3,FALSE)</f>
        <v>9</v>
      </c>
      <c r="J1127">
        <v>5</v>
      </c>
      <c r="K1127" t="s">
        <v>821</v>
      </c>
      <c r="M1127">
        <v>0</v>
      </c>
    </row>
    <row r="1128" spans="1:13">
      <c r="A1128" t="s">
        <v>4055</v>
      </c>
      <c r="B1128" t="s">
        <v>518</v>
      </c>
      <c r="C1128" s="34" t="s">
        <v>1438</v>
      </c>
      <c r="F1128" t="s">
        <v>1438</v>
      </c>
      <c r="H1128">
        <v>15</v>
      </c>
      <c r="I1128">
        <f>VLOOKUP(B1128,BRAND!B:D,3,FALSE)</f>
        <v>9</v>
      </c>
      <c r="J1128">
        <v>4</v>
      </c>
      <c r="K1128" t="s">
        <v>821</v>
      </c>
      <c r="M1128">
        <v>0</v>
      </c>
    </row>
    <row r="1129" spans="1:13">
      <c r="A1129" t="s">
        <v>7561</v>
      </c>
      <c r="B1129" t="s">
        <v>7562</v>
      </c>
      <c r="C1129" s="34" t="s">
        <v>867</v>
      </c>
      <c r="F1129" t="s">
        <v>867</v>
      </c>
      <c r="G1129" t="s">
        <v>6932</v>
      </c>
      <c r="H1129">
        <v>5</v>
      </c>
      <c r="I1129">
        <f>VLOOKUP(B1129,BRAND!B:D,3,FALSE)</f>
        <v>5.5</v>
      </c>
      <c r="J1129">
        <v>4</v>
      </c>
      <c r="M1129">
        <v>1</v>
      </c>
    </row>
    <row r="1130" spans="1:13">
      <c r="A1130" t="s">
        <v>7563</v>
      </c>
      <c r="B1130" t="s">
        <v>7562</v>
      </c>
      <c r="C1130" s="34" t="s">
        <v>7564</v>
      </c>
      <c r="F1130" t="s">
        <v>7564</v>
      </c>
      <c r="G1130" t="s">
        <v>6932</v>
      </c>
      <c r="H1130">
        <v>5</v>
      </c>
      <c r="I1130">
        <f>VLOOKUP(B1130,BRAND!B:D,3,FALSE)</f>
        <v>5.5</v>
      </c>
      <c r="J1130">
        <v>4</v>
      </c>
      <c r="M1130">
        <v>1</v>
      </c>
    </row>
    <row r="1131" spans="1:13">
      <c r="A1131" t="s">
        <v>7104</v>
      </c>
      <c r="B1131" t="s">
        <v>6634</v>
      </c>
      <c r="C1131" s="34" t="s">
        <v>1438</v>
      </c>
      <c r="F1131" t="s">
        <v>1438</v>
      </c>
      <c r="H1131">
        <v>5</v>
      </c>
      <c r="I1131">
        <f>VLOOKUP(B1131,BRAND!B:D,3,FALSE)</f>
        <v>5</v>
      </c>
      <c r="J1131">
        <v>4</v>
      </c>
      <c r="M1131">
        <v>1</v>
      </c>
    </row>
    <row r="1132" spans="1:13">
      <c r="A1132" t="s">
        <v>7104</v>
      </c>
      <c r="B1132" t="s">
        <v>6634</v>
      </c>
      <c r="C1132" s="34" t="s">
        <v>1438</v>
      </c>
      <c r="F1132" t="s">
        <v>1438</v>
      </c>
      <c r="H1132">
        <v>5</v>
      </c>
      <c r="I1132">
        <f>VLOOKUP(B1132,BRAND!B:D,3,FALSE)</f>
        <v>5</v>
      </c>
      <c r="J1132">
        <v>4</v>
      </c>
      <c r="M1132">
        <v>1</v>
      </c>
    </row>
    <row r="1133" spans="1:13">
      <c r="A1133" t="s">
        <v>3912</v>
      </c>
      <c r="B1133" t="s">
        <v>360</v>
      </c>
      <c r="C1133" s="34" t="s">
        <v>534</v>
      </c>
      <c r="F1133" t="s">
        <v>534</v>
      </c>
      <c r="H1133">
        <v>5</v>
      </c>
      <c r="I1133">
        <f>VLOOKUP(B1133,BRAND!B:D,3,FALSE)</f>
        <v>9</v>
      </c>
      <c r="J1133">
        <v>6</v>
      </c>
      <c r="K1133" t="s">
        <v>821</v>
      </c>
      <c r="M1133">
        <v>0</v>
      </c>
    </row>
    <row r="1134" spans="1:13">
      <c r="A1134" t="s">
        <v>7565</v>
      </c>
      <c r="B1134" t="s">
        <v>360</v>
      </c>
      <c r="C1134" s="34" t="s">
        <v>7566</v>
      </c>
      <c r="F1134" t="s">
        <v>7566</v>
      </c>
      <c r="G1134" t="s">
        <v>6932</v>
      </c>
      <c r="H1134">
        <v>5</v>
      </c>
      <c r="I1134">
        <f>VLOOKUP(B1134,BRAND!B:D,3,FALSE)</f>
        <v>9</v>
      </c>
      <c r="J1134">
        <v>6</v>
      </c>
      <c r="M1134">
        <v>1</v>
      </c>
    </row>
    <row r="1135" spans="1:13">
      <c r="A1135" t="s">
        <v>7567</v>
      </c>
      <c r="B1135" t="s">
        <v>360</v>
      </c>
      <c r="C1135" s="34" t="s">
        <v>775</v>
      </c>
      <c r="F1135" t="s">
        <v>775</v>
      </c>
      <c r="G1135" t="s">
        <v>6932</v>
      </c>
      <c r="H1135">
        <v>5</v>
      </c>
      <c r="I1135">
        <f>VLOOKUP(B1135,BRAND!B:D,3,FALSE)</f>
        <v>9</v>
      </c>
      <c r="J1135">
        <v>3</v>
      </c>
      <c r="M1135">
        <v>1</v>
      </c>
    </row>
    <row r="1136" spans="1:13">
      <c r="A1136" t="s">
        <v>2723</v>
      </c>
      <c r="B1136" t="s">
        <v>360</v>
      </c>
      <c r="C1136" s="34" t="s">
        <v>1438</v>
      </c>
      <c r="F1136" t="s">
        <v>1438</v>
      </c>
      <c r="H1136">
        <v>15</v>
      </c>
      <c r="I1136">
        <f>VLOOKUP(B1136,BRAND!B:D,3,FALSE)</f>
        <v>9</v>
      </c>
      <c r="J1136">
        <v>4</v>
      </c>
      <c r="K1136" t="s">
        <v>821</v>
      </c>
      <c r="M1136">
        <v>1</v>
      </c>
    </row>
    <row r="1137" spans="1:13">
      <c r="A1137" t="s">
        <v>3937</v>
      </c>
      <c r="B1137" t="s">
        <v>16</v>
      </c>
      <c r="C1137" s="34" t="s">
        <v>777</v>
      </c>
      <c r="F1137" t="s">
        <v>777</v>
      </c>
      <c r="H1137">
        <v>5</v>
      </c>
      <c r="I1137">
        <f>VLOOKUP(B1137,BRAND!B:D,3,FALSE)</f>
        <v>5</v>
      </c>
      <c r="J1137">
        <v>7</v>
      </c>
      <c r="K1137" t="s">
        <v>821</v>
      </c>
      <c r="M1137">
        <v>1</v>
      </c>
    </row>
    <row r="1138" spans="1:13">
      <c r="A1138" t="s">
        <v>7571</v>
      </c>
      <c r="B1138" t="s">
        <v>7569</v>
      </c>
      <c r="C1138" s="34" t="s">
        <v>534</v>
      </c>
      <c r="F1138" t="s">
        <v>534</v>
      </c>
      <c r="G1138" t="s">
        <v>6932</v>
      </c>
      <c r="H1138">
        <v>5</v>
      </c>
      <c r="I1138">
        <f>VLOOKUP(B1138,BRAND!B:D,3,FALSE)</f>
        <v>5.5</v>
      </c>
      <c r="J1138">
        <v>6</v>
      </c>
      <c r="M1138">
        <v>1</v>
      </c>
    </row>
    <row r="1139" spans="1:13">
      <c r="A1139" t="s">
        <v>7568</v>
      </c>
      <c r="B1139" t="s">
        <v>7569</v>
      </c>
      <c r="C1139" s="34" t="s">
        <v>776</v>
      </c>
      <c r="F1139" t="s">
        <v>776</v>
      </c>
      <c r="G1139" t="s">
        <v>6932</v>
      </c>
      <c r="H1139">
        <v>5</v>
      </c>
      <c r="I1139">
        <f>VLOOKUP(B1139,BRAND!B:D,3,FALSE)</f>
        <v>5.5</v>
      </c>
      <c r="J1139">
        <v>5</v>
      </c>
      <c r="M1139">
        <v>1</v>
      </c>
    </row>
    <row r="1140" spans="1:13">
      <c r="A1140" t="s">
        <v>7572</v>
      </c>
      <c r="B1140" t="s">
        <v>7569</v>
      </c>
      <c r="C1140" s="34" t="s">
        <v>7573</v>
      </c>
      <c r="F1140" t="s">
        <v>7573</v>
      </c>
      <c r="G1140" t="s">
        <v>6932</v>
      </c>
      <c r="H1140">
        <v>5</v>
      </c>
      <c r="I1140">
        <f>VLOOKUP(B1140,BRAND!B:D,3,FALSE)</f>
        <v>5.5</v>
      </c>
      <c r="J1140">
        <v>4</v>
      </c>
      <c r="M1140">
        <v>1</v>
      </c>
    </row>
    <row r="1141" spans="1:13">
      <c r="A1141" t="s">
        <v>7570</v>
      </c>
      <c r="B1141" t="s">
        <v>7569</v>
      </c>
      <c r="C1141" s="34" t="s">
        <v>775</v>
      </c>
      <c r="F1141" t="s">
        <v>775</v>
      </c>
      <c r="G1141" t="s">
        <v>6932</v>
      </c>
      <c r="H1141">
        <v>5</v>
      </c>
      <c r="I1141">
        <f>VLOOKUP(B1141,BRAND!B:D,3,FALSE)</f>
        <v>5.5</v>
      </c>
      <c r="J1141">
        <v>3</v>
      </c>
      <c r="M1141">
        <v>1</v>
      </c>
    </row>
    <row r="1142" spans="1:13">
      <c r="A1142" t="s">
        <v>4701</v>
      </c>
      <c r="B1142" t="s">
        <v>993</v>
      </c>
      <c r="C1142" s="34" t="s">
        <v>1470</v>
      </c>
      <c r="F1142" t="s">
        <v>1470</v>
      </c>
      <c r="H1142">
        <v>4</v>
      </c>
      <c r="I1142">
        <f>VLOOKUP(B1142,BRAND!B:D,3,FALSE)</f>
        <v>5.5</v>
      </c>
      <c r="J1142">
        <f>LEN(F1142)</f>
        <v>12</v>
      </c>
      <c r="K1142" t="e">
        <v>#N/A</v>
      </c>
      <c r="M1142">
        <v>0</v>
      </c>
    </row>
    <row r="1143" spans="1:13">
      <c r="A1143" t="s">
        <v>9579</v>
      </c>
      <c r="B1143" t="s">
        <v>993</v>
      </c>
      <c r="C1143" s="34" t="s">
        <v>762</v>
      </c>
      <c r="F1143" t="s">
        <v>762</v>
      </c>
      <c r="G1143" t="s">
        <v>6932</v>
      </c>
      <c r="H1143">
        <v>5</v>
      </c>
      <c r="I1143">
        <f>VLOOKUP(B1143,BRAND!B:D,3,FALSE)</f>
        <v>5.5</v>
      </c>
      <c r="J1143">
        <v>1</v>
      </c>
      <c r="M1143">
        <v>1</v>
      </c>
    </row>
    <row r="1144" spans="1:13">
      <c r="A1144" t="s">
        <v>7576</v>
      </c>
      <c r="B1144" t="s">
        <v>7577</v>
      </c>
      <c r="C1144" s="34" t="s">
        <v>1438</v>
      </c>
      <c r="F1144" t="s">
        <v>1438</v>
      </c>
      <c r="G1144" t="s">
        <v>6932</v>
      </c>
      <c r="H1144">
        <v>5</v>
      </c>
      <c r="I1144">
        <f>VLOOKUP(B1144,BRAND!B:D,3,FALSE)</f>
        <v>5.5</v>
      </c>
      <c r="J1144">
        <v>4</v>
      </c>
      <c r="M1144">
        <v>1</v>
      </c>
    </row>
    <row r="1145" spans="1:13">
      <c r="A1145" t="s">
        <v>4284</v>
      </c>
      <c r="B1145" t="s">
        <v>1093</v>
      </c>
      <c r="C1145" s="34" t="s">
        <v>534</v>
      </c>
      <c r="F1145" t="s">
        <v>534</v>
      </c>
      <c r="H1145">
        <v>5</v>
      </c>
      <c r="I1145">
        <f>VLOOKUP(B1145,BRAND!B:D,3,FALSE)</f>
        <v>9</v>
      </c>
      <c r="J1145">
        <v>6</v>
      </c>
      <c r="K1145" t="s">
        <v>821</v>
      </c>
      <c r="M1145">
        <v>0</v>
      </c>
    </row>
    <row r="1146" spans="1:13">
      <c r="A1146" t="s">
        <v>2885</v>
      </c>
      <c r="B1146" t="s">
        <v>1093</v>
      </c>
      <c r="C1146" s="34" t="s">
        <v>561</v>
      </c>
      <c r="F1146" t="s">
        <v>561</v>
      </c>
      <c r="H1146">
        <v>5</v>
      </c>
      <c r="I1146">
        <f>VLOOKUP(B1146,BRAND!B:D,3,FALSE)</f>
        <v>9</v>
      </c>
      <c r="J1146">
        <v>3</v>
      </c>
      <c r="K1146" t="s">
        <v>821</v>
      </c>
      <c r="M1146">
        <v>0</v>
      </c>
    </row>
    <row r="1147" spans="1:13">
      <c r="A1147" t="s">
        <v>2550</v>
      </c>
      <c r="B1147" t="s">
        <v>1093</v>
      </c>
      <c r="C1147" s="34" t="s">
        <v>1438</v>
      </c>
      <c r="F1147" t="s">
        <v>1438</v>
      </c>
      <c r="H1147">
        <v>15</v>
      </c>
      <c r="I1147">
        <f>VLOOKUP(B1147,BRAND!B:D,3,FALSE)</f>
        <v>9</v>
      </c>
      <c r="J1147">
        <v>4</v>
      </c>
      <c r="K1147" t="s">
        <v>821</v>
      </c>
      <c r="M1147">
        <v>0</v>
      </c>
    </row>
    <row r="1148" spans="1:13">
      <c r="A1148" t="s">
        <v>7583</v>
      </c>
      <c r="B1148" t="s">
        <v>7581</v>
      </c>
      <c r="C1148" s="34" t="s">
        <v>534</v>
      </c>
      <c r="F1148" t="s">
        <v>534</v>
      </c>
      <c r="G1148" t="s">
        <v>6932</v>
      </c>
      <c r="H1148">
        <v>5</v>
      </c>
      <c r="I1148">
        <f>VLOOKUP(B1148,BRAND!B:D,3,FALSE)</f>
        <v>5.5</v>
      </c>
      <c r="J1148">
        <v>6</v>
      </c>
      <c r="M1148">
        <v>1</v>
      </c>
    </row>
    <row r="1149" spans="1:13">
      <c r="A1149" t="s">
        <v>7580</v>
      </c>
      <c r="B1149" t="s">
        <v>7581</v>
      </c>
      <c r="C1149" s="34" t="s">
        <v>536</v>
      </c>
      <c r="F1149" t="s">
        <v>536</v>
      </c>
      <c r="G1149" t="s">
        <v>6932</v>
      </c>
      <c r="H1149">
        <v>5</v>
      </c>
      <c r="I1149">
        <f>VLOOKUP(B1149,BRAND!B:D,3,FALSE)</f>
        <v>5.5</v>
      </c>
      <c r="J1149">
        <v>5</v>
      </c>
      <c r="M1149">
        <v>1</v>
      </c>
    </row>
    <row r="1150" spans="1:13">
      <c r="A1150" t="s">
        <v>7582</v>
      </c>
      <c r="B1150" t="s">
        <v>7581</v>
      </c>
      <c r="C1150" s="34" t="s">
        <v>842</v>
      </c>
      <c r="F1150" t="s">
        <v>842</v>
      </c>
      <c r="G1150" t="s">
        <v>6932</v>
      </c>
      <c r="H1150">
        <v>5</v>
      </c>
      <c r="I1150">
        <f>VLOOKUP(B1150,BRAND!B:D,3,FALSE)</f>
        <v>5.5</v>
      </c>
      <c r="J1150">
        <v>5</v>
      </c>
      <c r="M1150">
        <v>1</v>
      </c>
    </row>
    <row r="1151" spans="1:13">
      <c r="A1151" t="s">
        <v>7584</v>
      </c>
      <c r="B1151" t="s">
        <v>7581</v>
      </c>
      <c r="C1151" s="34" t="s">
        <v>776</v>
      </c>
      <c r="F1151" t="s">
        <v>776</v>
      </c>
      <c r="G1151" t="s">
        <v>6932</v>
      </c>
      <c r="H1151">
        <v>5</v>
      </c>
      <c r="I1151">
        <f>VLOOKUP(B1151,BRAND!B:D,3,FALSE)</f>
        <v>5.5</v>
      </c>
      <c r="J1151">
        <v>5</v>
      </c>
      <c r="M1151">
        <v>1</v>
      </c>
    </row>
    <row r="1152" spans="1:13">
      <c r="A1152" t="s">
        <v>7592</v>
      </c>
      <c r="B1152" t="s">
        <v>7586</v>
      </c>
      <c r="C1152" s="34" t="s">
        <v>772</v>
      </c>
      <c r="F1152" t="s">
        <v>772</v>
      </c>
      <c r="G1152" t="s">
        <v>6932</v>
      </c>
      <c r="H1152">
        <v>5</v>
      </c>
      <c r="I1152">
        <f>VLOOKUP(B1152,BRAND!B:D,3,FALSE)</f>
        <v>5.5</v>
      </c>
      <c r="J1152">
        <v>6</v>
      </c>
      <c r="M1152">
        <v>1</v>
      </c>
    </row>
    <row r="1153" spans="1:13">
      <c r="A1153" t="s">
        <v>7593</v>
      </c>
      <c r="B1153" t="s">
        <v>7586</v>
      </c>
      <c r="C1153" s="34" t="s">
        <v>7594</v>
      </c>
      <c r="F1153" t="s">
        <v>7594</v>
      </c>
      <c r="G1153" t="s">
        <v>6932</v>
      </c>
      <c r="H1153">
        <v>5</v>
      </c>
      <c r="I1153">
        <f>VLOOKUP(B1153,BRAND!B:D,3,FALSE)</f>
        <v>5.5</v>
      </c>
      <c r="J1153">
        <v>6</v>
      </c>
      <c r="M1153">
        <v>1</v>
      </c>
    </row>
    <row r="1154" spans="1:13">
      <c r="A1154" t="s">
        <v>7589</v>
      </c>
      <c r="B1154" t="s">
        <v>7586</v>
      </c>
      <c r="C1154" s="34" t="s">
        <v>7590</v>
      </c>
      <c r="F1154" t="s">
        <v>7590</v>
      </c>
      <c r="G1154" t="s">
        <v>6932</v>
      </c>
      <c r="H1154">
        <v>5</v>
      </c>
      <c r="I1154">
        <f>VLOOKUP(B1154,BRAND!B:D,3,FALSE)</f>
        <v>5.5</v>
      </c>
      <c r="J1154">
        <v>5</v>
      </c>
      <c r="M1154">
        <v>1</v>
      </c>
    </row>
    <row r="1155" spans="1:13">
      <c r="A1155" t="s">
        <v>7588</v>
      </c>
      <c r="B1155" t="s">
        <v>7586</v>
      </c>
      <c r="C1155" s="34" t="s">
        <v>781</v>
      </c>
      <c r="F1155" t="s">
        <v>781</v>
      </c>
      <c r="G1155" t="s">
        <v>6932</v>
      </c>
      <c r="H1155">
        <v>5</v>
      </c>
      <c r="I1155">
        <f>VLOOKUP(B1155,BRAND!B:D,3,FALSE)</f>
        <v>5.5</v>
      </c>
      <c r="J1155">
        <v>4</v>
      </c>
      <c r="M1155">
        <v>1</v>
      </c>
    </row>
    <row r="1156" spans="1:13">
      <c r="A1156" t="s">
        <v>7585</v>
      </c>
      <c r="B1156" t="s">
        <v>7586</v>
      </c>
      <c r="C1156" s="34" t="s">
        <v>903</v>
      </c>
      <c r="F1156" t="s">
        <v>903</v>
      </c>
      <c r="G1156" t="s">
        <v>6932</v>
      </c>
      <c r="H1156">
        <v>5</v>
      </c>
      <c r="I1156">
        <f>VLOOKUP(B1156,BRAND!B:D,3,FALSE)</f>
        <v>5.5</v>
      </c>
      <c r="J1156">
        <v>4</v>
      </c>
      <c r="M1156">
        <v>1</v>
      </c>
    </row>
    <row r="1157" spans="1:13">
      <c r="A1157" t="s">
        <v>7591</v>
      </c>
      <c r="B1157" t="s">
        <v>7586</v>
      </c>
      <c r="C1157" s="34" t="s">
        <v>775</v>
      </c>
      <c r="F1157" t="s">
        <v>775</v>
      </c>
      <c r="G1157" t="s">
        <v>6932</v>
      </c>
      <c r="H1157">
        <v>5</v>
      </c>
      <c r="I1157">
        <f>VLOOKUP(B1157,BRAND!B:D,3,FALSE)</f>
        <v>5.5</v>
      </c>
      <c r="J1157">
        <v>3</v>
      </c>
      <c r="M1157">
        <v>1</v>
      </c>
    </row>
    <row r="1158" spans="1:13">
      <c r="A1158" t="s">
        <v>7595</v>
      </c>
      <c r="B1158" t="s">
        <v>7586</v>
      </c>
      <c r="C1158" s="34" t="s">
        <v>786</v>
      </c>
      <c r="F1158" t="s">
        <v>786</v>
      </c>
      <c r="G1158" t="s">
        <v>6932</v>
      </c>
      <c r="H1158">
        <v>5</v>
      </c>
      <c r="I1158">
        <f>VLOOKUP(B1158,BRAND!B:D,3,FALSE)</f>
        <v>5.5</v>
      </c>
      <c r="J1158">
        <v>3</v>
      </c>
      <c r="M1158">
        <v>1</v>
      </c>
    </row>
    <row r="1159" spans="1:13">
      <c r="A1159" t="s">
        <v>7587</v>
      </c>
      <c r="B1159" t="s">
        <v>7586</v>
      </c>
      <c r="C1159" s="34" t="s">
        <v>561</v>
      </c>
      <c r="F1159" t="s">
        <v>561</v>
      </c>
      <c r="G1159" t="s">
        <v>6932</v>
      </c>
      <c r="H1159">
        <v>5</v>
      </c>
      <c r="I1159">
        <f>VLOOKUP(B1159,BRAND!B:D,3,FALSE)</f>
        <v>5.5</v>
      </c>
      <c r="J1159">
        <v>3</v>
      </c>
      <c r="M1159">
        <v>1</v>
      </c>
    </row>
    <row r="1160" spans="1:13">
      <c r="A1160" t="s">
        <v>7596</v>
      </c>
      <c r="B1160" t="s">
        <v>7597</v>
      </c>
      <c r="C1160" s="34" t="s">
        <v>776</v>
      </c>
      <c r="F1160" t="s">
        <v>776</v>
      </c>
      <c r="G1160" t="s">
        <v>6932</v>
      </c>
      <c r="H1160">
        <v>5</v>
      </c>
      <c r="I1160">
        <f>VLOOKUP(B1160,BRAND!B:D,3,FALSE)</f>
        <v>5.5</v>
      </c>
      <c r="J1160">
        <v>5</v>
      </c>
      <c r="M1160">
        <v>1</v>
      </c>
    </row>
    <row r="1161" spans="1:13">
      <c r="A1161" t="s">
        <v>7598</v>
      </c>
      <c r="B1161" t="s">
        <v>7597</v>
      </c>
      <c r="C1161" s="34" t="s">
        <v>561</v>
      </c>
      <c r="F1161" t="s">
        <v>561</v>
      </c>
      <c r="G1161" t="s">
        <v>6932</v>
      </c>
      <c r="H1161">
        <v>5</v>
      </c>
      <c r="I1161">
        <f>VLOOKUP(B1161,BRAND!B:D,3,FALSE)</f>
        <v>5.5</v>
      </c>
      <c r="J1161">
        <v>3</v>
      </c>
      <c r="M1161">
        <v>1</v>
      </c>
    </row>
    <row r="1162" spans="1:13">
      <c r="A1162" t="s">
        <v>7599</v>
      </c>
      <c r="B1162" t="s">
        <v>7600</v>
      </c>
      <c r="C1162" s="34" t="s">
        <v>1438</v>
      </c>
      <c r="F1162" t="s">
        <v>1438</v>
      </c>
      <c r="G1162" t="s">
        <v>6932</v>
      </c>
      <c r="H1162">
        <v>5</v>
      </c>
      <c r="I1162">
        <f>VLOOKUP(B1162,BRAND!B:D,3,FALSE)</f>
        <v>5.5</v>
      </c>
      <c r="J1162">
        <v>4</v>
      </c>
      <c r="M1162">
        <v>1</v>
      </c>
    </row>
    <row r="1163" spans="1:13">
      <c r="A1163" t="s">
        <v>2859</v>
      </c>
      <c r="B1163" t="s">
        <v>245</v>
      </c>
      <c r="C1163" s="34" t="s">
        <v>535</v>
      </c>
      <c r="F1163" t="s">
        <v>535</v>
      </c>
      <c r="H1163">
        <v>5</v>
      </c>
      <c r="I1163">
        <f>VLOOKUP(B1163,BRAND!B:D,3,FALSE)</f>
        <v>9</v>
      </c>
      <c r="J1163">
        <v>6</v>
      </c>
      <c r="K1163" t="s">
        <v>821</v>
      </c>
      <c r="M1163">
        <v>0</v>
      </c>
    </row>
    <row r="1164" spans="1:13">
      <c r="A1164" t="s">
        <v>3750</v>
      </c>
      <c r="B1164" t="s">
        <v>245</v>
      </c>
      <c r="C1164" s="34" t="s">
        <v>536</v>
      </c>
      <c r="F1164" t="s">
        <v>536</v>
      </c>
      <c r="H1164">
        <v>5</v>
      </c>
      <c r="I1164">
        <f>VLOOKUP(B1164,BRAND!B:D,3,FALSE)</f>
        <v>9</v>
      </c>
      <c r="J1164">
        <v>5</v>
      </c>
      <c r="K1164" t="s">
        <v>821</v>
      </c>
      <c r="M1164">
        <v>1</v>
      </c>
    </row>
    <row r="1165" spans="1:13">
      <c r="A1165" t="s">
        <v>7601</v>
      </c>
      <c r="B1165" t="s">
        <v>245</v>
      </c>
      <c r="C1165" s="34" t="s">
        <v>7602</v>
      </c>
      <c r="F1165" t="s">
        <v>7602</v>
      </c>
      <c r="G1165" t="s">
        <v>6932</v>
      </c>
      <c r="H1165">
        <v>5</v>
      </c>
      <c r="I1165">
        <f>VLOOKUP(B1165,BRAND!B:D,3,FALSE)</f>
        <v>9</v>
      </c>
      <c r="J1165">
        <v>5</v>
      </c>
      <c r="M1165">
        <v>1</v>
      </c>
    </row>
    <row r="1166" spans="1:13">
      <c r="A1166" t="s">
        <v>7603</v>
      </c>
      <c r="B1166" t="s">
        <v>245</v>
      </c>
      <c r="C1166" s="34" t="s">
        <v>7604</v>
      </c>
      <c r="F1166" t="s">
        <v>7604</v>
      </c>
      <c r="G1166" t="s">
        <v>6932</v>
      </c>
      <c r="H1166">
        <v>5</v>
      </c>
      <c r="I1166">
        <f>VLOOKUP(B1166,BRAND!B:D,3,FALSE)</f>
        <v>9</v>
      </c>
      <c r="J1166">
        <v>5</v>
      </c>
      <c r="M1166">
        <v>1</v>
      </c>
    </row>
    <row r="1167" spans="1:13">
      <c r="A1167" t="s">
        <v>7605</v>
      </c>
      <c r="B1167" t="s">
        <v>245</v>
      </c>
      <c r="C1167" s="34" t="s">
        <v>1438</v>
      </c>
      <c r="F1167" t="s">
        <v>1438</v>
      </c>
      <c r="G1167" t="s">
        <v>6932</v>
      </c>
      <c r="H1167">
        <v>5</v>
      </c>
      <c r="I1167">
        <f>VLOOKUP(B1167,BRAND!B:D,3,FALSE)</f>
        <v>9</v>
      </c>
      <c r="J1167">
        <v>4</v>
      </c>
      <c r="M1167">
        <v>0</v>
      </c>
    </row>
    <row r="1168" spans="1:13">
      <c r="A1168" t="s">
        <v>2835</v>
      </c>
      <c r="B1168" t="s">
        <v>245</v>
      </c>
      <c r="C1168" s="34" t="s">
        <v>561</v>
      </c>
      <c r="F1168" t="s">
        <v>561</v>
      </c>
      <c r="H1168">
        <v>5</v>
      </c>
      <c r="I1168">
        <f>VLOOKUP(B1168,BRAND!B:D,3,FALSE)</f>
        <v>9</v>
      </c>
      <c r="J1168">
        <v>3</v>
      </c>
      <c r="K1168" t="s">
        <v>821</v>
      </c>
      <c r="M1168">
        <v>0</v>
      </c>
    </row>
    <row r="1169" spans="1:13">
      <c r="A1169" t="s">
        <v>4511</v>
      </c>
      <c r="B1169" t="s">
        <v>245</v>
      </c>
      <c r="C1169" s="34" t="s">
        <v>775</v>
      </c>
      <c r="F1169" t="s">
        <v>775</v>
      </c>
      <c r="H1169">
        <v>5</v>
      </c>
      <c r="I1169">
        <f>VLOOKUP(B1169,BRAND!B:D,3,FALSE)</f>
        <v>9</v>
      </c>
      <c r="J1169">
        <v>3</v>
      </c>
      <c r="K1169" t="s">
        <v>821</v>
      </c>
      <c r="M1169">
        <v>0</v>
      </c>
    </row>
    <row r="1170" spans="1:13">
      <c r="A1170" t="s">
        <v>4964</v>
      </c>
      <c r="B1170" t="s">
        <v>245</v>
      </c>
      <c r="C1170" s="34" t="s">
        <v>561</v>
      </c>
      <c r="F1170" t="s">
        <v>561</v>
      </c>
      <c r="G1170" t="s">
        <v>801</v>
      </c>
      <c r="H1170">
        <v>6</v>
      </c>
      <c r="I1170">
        <f>VLOOKUP(B1170,BRAND!B:D,3,FALSE)</f>
        <v>9</v>
      </c>
      <c r="J1170">
        <v>3</v>
      </c>
      <c r="K1170" t="s">
        <v>821</v>
      </c>
      <c r="M1170">
        <v>0</v>
      </c>
    </row>
    <row r="1171" spans="1:13">
      <c r="A1171" t="s">
        <v>3244</v>
      </c>
      <c r="B1171" t="s">
        <v>1798</v>
      </c>
      <c r="C1171" s="34" t="s">
        <v>777</v>
      </c>
      <c r="F1171" t="s">
        <v>777</v>
      </c>
      <c r="H1171">
        <v>5</v>
      </c>
      <c r="I1171">
        <f>VLOOKUP(B1171,BRAND!B:D,3,FALSE)</f>
        <v>9</v>
      </c>
      <c r="J1171">
        <v>7</v>
      </c>
      <c r="K1171" t="s">
        <v>821</v>
      </c>
      <c r="M1171">
        <v>0</v>
      </c>
    </row>
    <row r="1172" spans="1:13">
      <c r="A1172" t="s">
        <v>3246</v>
      </c>
      <c r="B1172" t="s">
        <v>1798</v>
      </c>
      <c r="C1172" s="34" t="s">
        <v>534</v>
      </c>
      <c r="F1172" t="s">
        <v>534</v>
      </c>
      <c r="H1172">
        <v>5</v>
      </c>
      <c r="I1172">
        <f>VLOOKUP(B1172,BRAND!B:D,3,FALSE)</f>
        <v>9</v>
      </c>
      <c r="J1172">
        <v>6</v>
      </c>
      <c r="K1172" t="s">
        <v>821</v>
      </c>
      <c r="M1172">
        <v>0</v>
      </c>
    </row>
    <row r="1173" spans="1:13">
      <c r="A1173" t="s">
        <v>3245</v>
      </c>
      <c r="B1173" t="s">
        <v>1798</v>
      </c>
      <c r="C1173" s="34" t="s">
        <v>536</v>
      </c>
      <c r="F1173" t="s">
        <v>536</v>
      </c>
      <c r="H1173">
        <v>5</v>
      </c>
      <c r="I1173">
        <f>VLOOKUP(B1173,BRAND!B:D,3,FALSE)</f>
        <v>9</v>
      </c>
      <c r="J1173">
        <v>5</v>
      </c>
      <c r="K1173" t="s">
        <v>821</v>
      </c>
      <c r="M1173">
        <v>0</v>
      </c>
    </row>
    <row r="1174" spans="1:13">
      <c r="A1174" t="s">
        <v>2773</v>
      </c>
      <c r="B1174" t="s">
        <v>638</v>
      </c>
      <c r="C1174" s="34" t="s">
        <v>1438</v>
      </c>
      <c r="F1174" t="s">
        <v>1438</v>
      </c>
      <c r="H1174">
        <v>15</v>
      </c>
      <c r="I1174">
        <f>VLOOKUP(B1174,BRAND!B:D,3,FALSE)</f>
        <v>9</v>
      </c>
      <c r="J1174">
        <v>4</v>
      </c>
      <c r="K1174" t="s">
        <v>821</v>
      </c>
      <c r="M1174">
        <v>1</v>
      </c>
    </row>
    <row r="1175" spans="1:13">
      <c r="A1175" t="s">
        <v>13909</v>
      </c>
      <c r="B1175" t="s">
        <v>13910</v>
      </c>
      <c r="C1175" s="34" t="s">
        <v>1438</v>
      </c>
      <c r="F1175" t="s">
        <v>1438</v>
      </c>
      <c r="G1175" t="s">
        <v>6932</v>
      </c>
      <c r="H1175">
        <v>5</v>
      </c>
      <c r="I1175">
        <f>VLOOKUP(B1175,BRAND!B:D,3,FALSE)</f>
        <v>0</v>
      </c>
      <c r="J1175">
        <f>LEN(F1175)</f>
        <v>4</v>
      </c>
      <c r="K1175" t="s">
        <v>821</v>
      </c>
      <c r="L1175">
        <v>0</v>
      </c>
      <c r="M1175">
        <v>1</v>
      </c>
    </row>
    <row r="1176" spans="1:13">
      <c r="A1176" t="s">
        <v>3049</v>
      </c>
      <c r="B1176" t="s">
        <v>657</v>
      </c>
      <c r="C1176" s="34" t="s">
        <v>561</v>
      </c>
      <c r="F1176" t="s">
        <v>561</v>
      </c>
      <c r="H1176">
        <v>5</v>
      </c>
      <c r="I1176">
        <f>VLOOKUP(B1176,BRAND!B:D,3,FALSE)</f>
        <v>9</v>
      </c>
      <c r="J1176">
        <v>3</v>
      </c>
      <c r="K1176" t="s">
        <v>821</v>
      </c>
      <c r="M1176">
        <v>0</v>
      </c>
    </row>
    <row r="1177" spans="1:13">
      <c r="A1177" t="s">
        <v>2522</v>
      </c>
      <c r="B1177" t="s">
        <v>657</v>
      </c>
      <c r="C1177" s="34" t="s">
        <v>1438</v>
      </c>
      <c r="F1177" t="s">
        <v>1438</v>
      </c>
      <c r="H1177">
        <v>15</v>
      </c>
      <c r="I1177">
        <f>VLOOKUP(B1177,BRAND!B:D,3,FALSE)</f>
        <v>9</v>
      </c>
      <c r="J1177">
        <v>4</v>
      </c>
      <c r="K1177" t="s">
        <v>821</v>
      </c>
      <c r="M1177">
        <v>1</v>
      </c>
    </row>
    <row r="1178" spans="1:13">
      <c r="A1178" t="s">
        <v>2888</v>
      </c>
      <c r="B1178" t="s">
        <v>246</v>
      </c>
      <c r="C1178" s="34" t="s">
        <v>890</v>
      </c>
      <c r="F1178" t="s">
        <v>890</v>
      </c>
      <c r="H1178">
        <v>4</v>
      </c>
      <c r="I1178">
        <f>VLOOKUP(B1178,BRAND!B:D,3,FALSE)</f>
        <v>5</v>
      </c>
      <c r="J1178">
        <f>LEN(F1178)</f>
        <v>12</v>
      </c>
      <c r="K1178" t="s">
        <v>821</v>
      </c>
      <c r="M1178">
        <v>0</v>
      </c>
    </row>
    <row r="1179" spans="1:13">
      <c r="A1179" t="s">
        <v>6490</v>
      </c>
      <c r="B1179" t="s">
        <v>246</v>
      </c>
      <c r="C1179" s="34" t="s">
        <v>811</v>
      </c>
      <c r="F1179" t="s">
        <v>811</v>
      </c>
      <c r="H1179">
        <v>5</v>
      </c>
      <c r="I1179">
        <f>VLOOKUP(B1179,BRAND!B:D,3,FALSE)</f>
        <v>5</v>
      </c>
      <c r="J1179">
        <f>LEN(F1179)</f>
        <v>11</v>
      </c>
      <c r="K1179" t="s">
        <v>821</v>
      </c>
      <c r="M1179">
        <v>0</v>
      </c>
    </row>
    <row r="1180" spans="1:13">
      <c r="A1180" t="s">
        <v>7609</v>
      </c>
      <c r="B1180" t="s">
        <v>246</v>
      </c>
      <c r="C1180" s="34" t="s">
        <v>7610</v>
      </c>
      <c r="F1180" t="s">
        <v>7610</v>
      </c>
      <c r="G1180" t="s">
        <v>6932</v>
      </c>
      <c r="H1180">
        <v>5</v>
      </c>
      <c r="I1180">
        <f>VLOOKUP(B1180,BRAND!B:D,3,FALSE)</f>
        <v>5</v>
      </c>
      <c r="J1180">
        <f>LEN(F1180)</f>
        <v>11</v>
      </c>
      <c r="M1180">
        <v>1</v>
      </c>
    </row>
    <row r="1181" spans="1:13">
      <c r="A1181" t="s">
        <v>2878</v>
      </c>
      <c r="B1181" t="s">
        <v>246</v>
      </c>
      <c r="C1181" s="34" t="s">
        <v>798</v>
      </c>
      <c r="F1181" t="s">
        <v>798</v>
      </c>
      <c r="H1181">
        <v>5</v>
      </c>
      <c r="I1181">
        <f>VLOOKUP(B1181,BRAND!B:D,3,FALSE)</f>
        <v>5</v>
      </c>
      <c r="J1181">
        <v>9</v>
      </c>
      <c r="K1181" t="s">
        <v>821</v>
      </c>
      <c r="M1181">
        <v>0</v>
      </c>
    </row>
    <row r="1182" spans="1:13">
      <c r="A1182" t="s">
        <v>3415</v>
      </c>
      <c r="B1182" t="s">
        <v>246</v>
      </c>
      <c r="C1182" s="34" t="s">
        <v>6543</v>
      </c>
      <c r="F1182" t="s">
        <v>746</v>
      </c>
      <c r="H1182">
        <v>5</v>
      </c>
      <c r="I1182">
        <f>VLOOKUP(B1182,BRAND!B:D,3,FALSE)</f>
        <v>5</v>
      </c>
      <c r="J1182">
        <v>6</v>
      </c>
      <c r="K1182" t="s">
        <v>821</v>
      </c>
      <c r="M1182">
        <v>1</v>
      </c>
    </row>
    <row r="1183" spans="1:13">
      <c r="A1183" s="29" t="s">
        <v>4002</v>
      </c>
      <c r="B1183" s="29" t="s">
        <v>246</v>
      </c>
      <c r="C1183" s="36" t="s">
        <v>780</v>
      </c>
      <c r="D1183" s="29"/>
      <c r="E1183" s="29"/>
      <c r="F1183" s="29" t="s">
        <v>780</v>
      </c>
      <c r="G1183" s="29"/>
      <c r="H1183" s="29">
        <v>5</v>
      </c>
      <c r="I1183">
        <f>VLOOKUP(B1183,BRAND!B:D,3,FALSE)</f>
        <v>5</v>
      </c>
      <c r="J1183">
        <v>6</v>
      </c>
      <c r="K1183" t="s">
        <v>821</v>
      </c>
      <c r="M1183">
        <v>1</v>
      </c>
    </row>
    <row r="1184" spans="1:13">
      <c r="A1184" t="s">
        <v>3627</v>
      </c>
      <c r="B1184" t="s">
        <v>246</v>
      </c>
      <c r="C1184" s="34" t="s">
        <v>791</v>
      </c>
      <c r="F1184" t="s">
        <v>791</v>
      </c>
      <c r="H1184">
        <v>5</v>
      </c>
      <c r="I1184">
        <f>VLOOKUP(B1184,BRAND!B:D,3,FALSE)</f>
        <v>5</v>
      </c>
      <c r="J1184">
        <v>5</v>
      </c>
      <c r="K1184" t="s">
        <v>821</v>
      </c>
      <c r="M1184">
        <v>0</v>
      </c>
    </row>
    <row r="1185" spans="1:13">
      <c r="A1185" t="s">
        <v>2892</v>
      </c>
      <c r="B1185" t="s">
        <v>246</v>
      </c>
      <c r="C1185" s="34" t="s">
        <v>776</v>
      </c>
      <c r="F1185" t="s">
        <v>776</v>
      </c>
      <c r="H1185">
        <v>5</v>
      </c>
      <c r="I1185">
        <f>VLOOKUP(B1185,BRAND!B:D,3,FALSE)</f>
        <v>5</v>
      </c>
      <c r="J1185">
        <v>5</v>
      </c>
      <c r="K1185" t="s">
        <v>821</v>
      </c>
      <c r="M1185">
        <v>0</v>
      </c>
    </row>
    <row r="1186" spans="1:13">
      <c r="A1186" t="s">
        <v>7606</v>
      </c>
      <c r="B1186" t="s">
        <v>7263</v>
      </c>
      <c r="C1186" s="34" t="s">
        <v>1438</v>
      </c>
      <c r="F1186" t="s">
        <v>1438</v>
      </c>
      <c r="G1186" t="s">
        <v>801</v>
      </c>
      <c r="H1186">
        <v>5</v>
      </c>
      <c r="I1186">
        <f>VLOOKUP(B1186,BRAND!B:D,3,FALSE)</f>
        <v>5.5</v>
      </c>
      <c r="J1186">
        <v>4</v>
      </c>
      <c r="M1186">
        <v>1</v>
      </c>
    </row>
    <row r="1187" spans="1:13">
      <c r="A1187" t="s">
        <v>7262</v>
      </c>
      <c r="B1187" t="s">
        <v>7263</v>
      </c>
      <c r="C1187" s="34" t="s">
        <v>776</v>
      </c>
      <c r="F1187" t="s">
        <v>776</v>
      </c>
      <c r="H1187">
        <v>5</v>
      </c>
      <c r="I1187">
        <f>VLOOKUP(B1187,BRAND!B:D,3,FALSE)</f>
        <v>5.5</v>
      </c>
      <c r="M1187">
        <v>1</v>
      </c>
    </row>
    <row r="1188" spans="1:13">
      <c r="A1188" t="s">
        <v>14094</v>
      </c>
      <c r="B1188" t="s">
        <v>7608</v>
      </c>
      <c r="C1188" s="34" t="s">
        <v>6364</v>
      </c>
      <c r="F1188" t="s">
        <v>6364</v>
      </c>
      <c r="G1188" t="s">
        <v>6932</v>
      </c>
      <c r="H1188">
        <v>4</v>
      </c>
      <c r="I1188">
        <f>VLOOKUP(B1188,BRAND!B:D,3,FALSE)</f>
        <v>0</v>
      </c>
      <c r="J1188">
        <f t="shared" ref="J1188:J1194" si="17">LEN(F1188)</f>
        <v>6</v>
      </c>
      <c r="K1188" t="s">
        <v>821</v>
      </c>
      <c r="L1188">
        <v>0</v>
      </c>
      <c r="M1188">
        <v>1</v>
      </c>
    </row>
    <row r="1189" spans="1:13">
      <c r="A1189" t="s">
        <v>14093</v>
      </c>
      <c r="B1189" t="s">
        <v>7608</v>
      </c>
      <c r="C1189" s="34" t="s">
        <v>11159</v>
      </c>
      <c r="F1189" t="s">
        <v>11159</v>
      </c>
      <c r="G1189" t="s">
        <v>6932</v>
      </c>
      <c r="H1189">
        <v>5</v>
      </c>
      <c r="I1189">
        <f>VLOOKUP(B1189,BRAND!B:D,3,FALSE)</f>
        <v>0</v>
      </c>
      <c r="J1189">
        <f t="shared" si="17"/>
        <v>9</v>
      </c>
      <c r="K1189" t="s">
        <v>821</v>
      </c>
      <c r="L1189">
        <v>0</v>
      </c>
      <c r="M1189">
        <v>1</v>
      </c>
    </row>
    <row r="1190" spans="1:13">
      <c r="A1190" t="s">
        <v>14095</v>
      </c>
      <c r="B1190" t="s">
        <v>7608</v>
      </c>
      <c r="C1190" s="34" t="s">
        <v>10023</v>
      </c>
      <c r="F1190" t="s">
        <v>10023</v>
      </c>
      <c r="G1190" t="s">
        <v>6932</v>
      </c>
      <c r="H1190">
        <v>5</v>
      </c>
      <c r="I1190">
        <f>VLOOKUP(B1190,BRAND!B:D,3,FALSE)</f>
        <v>0</v>
      </c>
      <c r="J1190">
        <f t="shared" si="17"/>
        <v>6</v>
      </c>
      <c r="K1190" t="s">
        <v>821</v>
      </c>
      <c r="L1190">
        <v>0</v>
      </c>
      <c r="M1190">
        <v>1</v>
      </c>
    </row>
    <row r="1191" spans="1:13">
      <c r="A1191" t="s">
        <v>14092</v>
      </c>
      <c r="B1191" t="s">
        <v>7608</v>
      </c>
      <c r="C1191" s="34" t="s">
        <v>745</v>
      </c>
      <c r="F1191" t="s">
        <v>745</v>
      </c>
      <c r="G1191" t="s">
        <v>6932</v>
      </c>
      <c r="H1191">
        <v>5</v>
      </c>
      <c r="I1191">
        <f>VLOOKUP(B1191,BRAND!B:D,3,FALSE)</f>
        <v>0</v>
      </c>
      <c r="J1191">
        <f t="shared" si="17"/>
        <v>5</v>
      </c>
      <c r="K1191" t="s">
        <v>821</v>
      </c>
      <c r="L1191">
        <v>0</v>
      </c>
      <c r="M1191">
        <v>1</v>
      </c>
    </row>
    <row r="1192" spans="1:13">
      <c r="A1192" t="s">
        <v>14090</v>
      </c>
      <c r="B1192" t="s">
        <v>7608</v>
      </c>
      <c r="C1192" s="34" t="s">
        <v>536</v>
      </c>
      <c r="F1192" t="s">
        <v>536</v>
      </c>
      <c r="G1192" t="s">
        <v>6932</v>
      </c>
      <c r="H1192">
        <v>5</v>
      </c>
      <c r="I1192">
        <f>VLOOKUP(B1192,BRAND!B:D,3,FALSE)</f>
        <v>0</v>
      </c>
      <c r="J1192">
        <f t="shared" si="17"/>
        <v>5</v>
      </c>
      <c r="K1192" t="s">
        <v>821</v>
      </c>
      <c r="L1192">
        <v>0</v>
      </c>
      <c r="M1192">
        <v>1</v>
      </c>
    </row>
    <row r="1193" spans="1:13">
      <c r="A1193" t="s">
        <v>14091</v>
      </c>
      <c r="B1193" t="s">
        <v>7608</v>
      </c>
      <c r="C1193" s="34" t="s">
        <v>788</v>
      </c>
      <c r="F1193" t="s">
        <v>788</v>
      </c>
      <c r="G1193" t="s">
        <v>6932</v>
      </c>
      <c r="H1193">
        <v>5</v>
      </c>
      <c r="I1193">
        <f>VLOOKUP(B1193,BRAND!B:D,3,FALSE)</f>
        <v>0</v>
      </c>
      <c r="J1193">
        <f t="shared" si="17"/>
        <v>4</v>
      </c>
      <c r="K1193" t="s">
        <v>821</v>
      </c>
      <c r="L1193">
        <v>0</v>
      </c>
      <c r="M1193">
        <v>1</v>
      </c>
    </row>
    <row r="1194" spans="1:13">
      <c r="A1194" t="s">
        <v>7607</v>
      </c>
      <c r="B1194" t="s">
        <v>7608</v>
      </c>
      <c r="C1194" s="34" t="s">
        <v>561</v>
      </c>
      <c r="F1194" t="s">
        <v>561</v>
      </c>
      <c r="G1194" t="s">
        <v>6932</v>
      </c>
      <c r="H1194">
        <v>5</v>
      </c>
      <c r="I1194">
        <f>VLOOKUP(B1194,BRAND!B:D,3,FALSE)</f>
        <v>0</v>
      </c>
      <c r="J1194">
        <f t="shared" si="17"/>
        <v>3</v>
      </c>
      <c r="K1194" t="s">
        <v>821</v>
      </c>
      <c r="L1194">
        <v>0</v>
      </c>
      <c r="M1194">
        <v>1</v>
      </c>
    </row>
    <row r="1195" spans="1:13">
      <c r="A1195" t="s">
        <v>7607</v>
      </c>
      <c r="B1195" t="s">
        <v>7608</v>
      </c>
      <c r="C1195" s="34" t="s">
        <v>5250</v>
      </c>
      <c r="F1195" t="s">
        <v>561</v>
      </c>
      <c r="G1195" t="s">
        <v>6932</v>
      </c>
      <c r="H1195">
        <v>5</v>
      </c>
      <c r="I1195">
        <f>VLOOKUP(B1195,BRAND!B:D,3,FALSE)</f>
        <v>0</v>
      </c>
      <c r="J1195">
        <v>3</v>
      </c>
      <c r="M1195">
        <v>1</v>
      </c>
    </row>
    <row r="1196" spans="1:13">
      <c r="A1196" t="s">
        <v>4730</v>
      </c>
      <c r="B1196" t="s">
        <v>1787</v>
      </c>
      <c r="C1196" s="34" t="s">
        <v>1470</v>
      </c>
      <c r="F1196" t="s">
        <v>1470</v>
      </c>
      <c r="H1196">
        <v>4</v>
      </c>
      <c r="I1196">
        <f>VLOOKUP(B1196,BRAND!B:D,3,FALSE)</f>
        <v>5</v>
      </c>
      <c r="J1196">
        <f>LEN(F1196)</f>
        <v>12</v>
      </c>
      <c r="K1196" t="s">
        <v>821</v>
      </c>
      <c r="M1196">
        <v>0</v>
      </c>
    </row>
    <row r="1197" spans="1:13">
      <c r="A1197" t="s">
        <v>3141</v>
      </c>
      <c r="B1197" t="s">
        <v>1787</v>
      </c>
      <c r="C1197" s="34" t="s">
        <v>840</v>
      </c>
      <c r="F1197" t="s">
        <v>840</v>
      </c>
      <c r="H1197">
        <v>5</v>
      </c>
      <c r="I1197">
        <f>VLOOKUP(B1197,BRAND!B:D,3,FALSE)</f>
        <v>5</v>
      </c>
      <c r="J1197">
        <v>9</v>
      </c>
      <c r="K1197" t="s">
        <v>821</v>
      </c>
      <c r="M1197">
        <v>0</v>
      </c>
    </row>
    <row r="1198" spans="1:13">
      <c r="A1198" t="s">
        <v>4731</v>
      </c>
      <c r="B1198" t="s">
        <v>1787</v>
      </c>
      <c r="C1198" s="34" t="s">
        <v>898</v>
      </c>
      <c r="F1198" t="s">
        <v>898</v>
      </c>
      <c r="H1198">
        <v>5</v>
      </c>
      <c r="I1198">
        <f>VLOOKUP(B1198,BRAND!B:D,3,FALSE)</f>
        <v>5</v>
      </c>
      <c r="J1198">
        <v>6</v>
      </c>
      <c r="K1198" t="s">
        <v>821</v>
      </c>
      <c r="M1198">
        <v>0</v>
      </c>
    </row>
    <row r="1199" spans="1:13">
      <c r="A1199" t="s">
        <v>3819</v>
      </c>
      <c r="B1199" t="s">
        <v>1787</v>
      </c>
      <c r="C1199" s="34" t="s">
        <v>536</v>
      </c>
      <c r="F1199" t="s">
        <v>536</v>
      </c>
      <c r="H1199">
        <v>5</v>
      </c>
      <c r="I1199">
        <f>VLOOKUP(B1199,BRAND!B:D,3,FALSE)</f>
        <v>5</v>
      </c>
      <c r="J1199">
        <v>5</v>
      </c>
      <c r="K1199" t="s">
        <v>821</v>
      </c>
      <c r="M1199">
        <v>0</v>
      </c>
    </row>
    <row r="1200" spans="1:13">
      <c r="A1200" t="s">
        <v>3820</v>
      </c>
      <c r="B1200" t="s">
        <v>1787</v>
      </c>
      <c r="C1200" s="34" t="s">
        <v>842</v>
      </c>
      <c r="F1200" t="s">
        <v>842</v>
      </c>
      <c r="H1200">
        <v>5</v>
      </c>
      <c r="I1200">
        <f>VLOOKUP(B1200,BRAND!B:D,3,FALSE)</f>
        <v>5</v>
      </c>
      <c r="J1200">
        <v>5</v>
      </c>
      <c r="K1200" t="s">
        <v>821</v>
      </c>
      <c r="M1200">
        <v>0</v>
      </c>
    </row>
    <row r="1201" spans="1:13">
      <c r="A1201" t="s">
        <v>3064</v>
      </c>
      <c r="B1201" t="s">
        <v>1787</v>
      </c>
      <c r="C1201" s="34" t="s">
        <v>776</v>
      </c>
      <c r="F1201" t="s">
        <v>776</v>
      </c>
      <c r="H1201">
        <v>5</v>
      </c>
      <c r="I1201">
        <f>VLOOKUP(B1201,BRAND!B:D,3,FALSE)</f>
        <v>5</v>
      </c>
      <c r="J1201">
        <v>5</v>
      </c>
      <c r="K1201" t="s">
        <v>821</v>
      </c>
      <c r="M1201">
        <v>0</v>
      </c>
    </row>
    <row r="1202" spans="1:13">
      <c r="A1202" t="s">
        <v>3065</v>
      </c>
      <c r="B1202" t="s">
        <v>1787</v>
      </c>
      <c r="C1202" s="34" t="s">
        <v>775</v>
      </c>
      <c r="F1202" t="s">
        <v>775</v>
      </c>
      <c r="H1202">
        <v>5</v>
      </c>
      <c r="I1202">
        <f>VLOOKUP(B1202,BRAND!B:D,3,FALSE)</f>
        <v>5</v>
      </c>
      <c r="J1202">
        <v>3</v>
      </c>
      <c r="K1202" t="s">
        <v>821</v>
      </c>
      <c r="M1202">
        <v>0</v>
      </c>
    </row>
    <row r="1203" spans="1:13">
      <c r="A1203" t="s">
        <v>5005</v>
      </c>
      <c r="B1203" t="s">
        <v>1787</v>
      </c>
      <c r="C1203" s="34" t="s">
        <v>561</v>
      </c>
      <c r="F1203" t="s">
        <v>561</v>
      </c>
      <c r="G1203" t="s">
        <v>801</v>
      </c>
      <c r="H1203">
        <v>6</v>
      </c>
      <c r="I1203">
        <f>VLOOKUP(B1203,BRAND!B:D,3,FALSE)</f>
        <v>5</v>
      </c>
      <c r="J1203">
        <v>3</v>
      </c>
      <c r="K1203" t="s">
        <v>821</v>
      </c>
      <c r="M1203">
        <v>0</v>
      </c>
    </row>
    <row r="1204" spans="1:13">
      <c r="A1204" t="s">
        <v>4729</v>
      </c>
      <c r="B1204" t="s">
        <v>1787</v>
      </c>
      <c r="C1204" s="34" t="s">
        <v>1438</v>
      </c>
      <c r="F1204" t="s">
        <v>1438</v>
      </c>
      <c r="H1204">
        <v>15</v>
      </c>
      <c r="I1204">
        <f>VLOOKUP(B1204,BRAND!B:D,3,FALSE)</f>
        <v>5</v>
      </c>
      <c r="J1204">
        <v>4</v>
      </c>
      <c r="K1204" t="s">
        <v>821</v>
      </c>
      <c r="M1204">
        <v>0</v>
      </c>
    </row>
    <row r="1205" spans="1:13">
      <c r="A1205" t="s">
        <v>9580</v>
      </c>
      <c r="B1205" t="s">
        <v>6597</v>
      </c>
      <c r="C1205" s="34" t="s">
        <v>6958</v>
      </c>
      <c r="F1205" t="s">
        <v>6421</v>
      </c>
      <c r="H1205">
        <v>5</v>
      </c>
      <c r="I1205">
        <f>VLOOKUP(B1205,BRAND!B:D,3,FALSE)</f>
        <v>5</v>
      </c>
      <c r="J1205">
        <v>5</v>
      </c>
      <c r="M1205">
        <v>1</v>
      </c>
    </row>
    <row r="1206" spans="1:13">
      <c r="A1206" t="s">
        <v>4613</v>
      </c>
      <c r="B1206" t="s">
        <v>1222</v>
      </c>
      <c r="C1206" s="34" t="s">
        <v>776</v>
      </c>
      <c r="F1206" t="s">
        <v>776</v>
      </c>
      <c r="H1206">
        <v>5</v>
      </c>
      <c r="I1206">
        <f>VLOOKUP(B1206,BRAND!B:D,3,FALSE)</f>
        <v>9</v>
      </c>
      <c r="J1206">
        <v>5</v>
      </c>
      <c r="K1206" t="s">
        <v>821</v>
      </c>
      <c r="M1206">
        <v>0</v>
      </c>
    </row>
    <row r="1207" spans="1:13">
      <c r="A1207" t="s">
        <v>4715</v>
      </c>
      <c r="B1207" t="s">
        <v>1222</v>
      </c>
      <c r="C1207" s="34" t="s">
        <v>897</v>
      </c>
      <c r="F1207" t="s">
        <v>897</v>
      </c>
      <c r="H1207">
        <v>5</v>
      </c>
      <c r="I1207">
        <f>VLOOKUP(B1207,BRAND!B:D,3,FALSE)</f>
        <v>9</v>
      </c>
      <c r="J1207">
        <v>4</v>
      </c>
      <c r="K1207" t="s">
        <v>821</v>
      </c>
      <c r="M1207">
        <v>0</v>
      </c>
    </row>
    <row r="1208" spans="1:13">
      <c r="A1208" t="s">
        <v>2512</v>
      </c>
      <c r="B1208" t="s">
        <v>1222</v>
      </c>
      <c r="C1208" s="34" t="s">
        <v>1438</v>
      </c>
      <c r="F1208" t="s">
        <v>1438</v>
      </c>
      <c r="H1208">
        <v>15</v>
      </c>
      <c r="I1208">
        <f>VLOOKUP(B1208,BRAND!B:D,3,FALSE)</f>
        <v>9</v>
      </c>
      <c r="J1208">
        <v>4</v>
      </c>
      <c r="K1208" t="s">
        <v>821</v>
      </c>
      <c r="M1208">
        <v>0</v>
      </c>
    </row>
    <row r="1209" spans="1:13">
      <c r="A1209" t="s">
        <v>10466</v>
      </c>
      <c r="B1209" t="s">
        <v>10324</v>
      </c>
      <c r="C1209" s="34" t="s">
        <v>898</v>
      </c>
      <c r="F1209" t="s">
        <v>898</v>
      </c>
      <c r="G1209" t="s">
        <v>6932</v>
      </c>
      <c r="H1209">
        <v>5</v>
      </c>
      <c r="I1209">
        <f>VLOOKUP(B1209,BRAND!B:D,3,FALSE)</f>
        <v>5</v>
      </c>
      <c r="J1209">
        <f>LEN(F1209)</f>
        <v>6</v>
      </c>
      <c r="L1209">
        <v>0</v>
      </c>
    </row>
    <row r="1210" spans="1:13">
      <c r="A1210" t="s">
        <v>14099</v>
      </c>
      <c r="B1210" t="s">
        <v>7612</v>
      </c>
      <c r="C1210" s="34" t="s">
        <v>798</v>
      </c>
      <c r="F1210" t="s">
        <v>798</v>
      </c>
      <c r="G1210" t="s">
        <v>6932</v>
      </c>
      <c r="H1210">
        <v>5</v>
      </c>
      <c r="I1210">
        <f>VLOOKUP(B1210,BRAND!B:D,3,FALSE)</f>
        <v>0</v>
      </c>
      <c r="J1210">
        <f>LEN(F1210)</f>
        <v>9</v>
      </c>
      <c r="K1210" t="s">
        <v>821</v>
      </c>
      <c r="L1210">
        <v>0</v>
      </c>
      <c r="M1210">
        <v>1</v>
      </c>
    </row>
    <row r="1211" spans="1:13">
      <c r="A1211" t="s">
        <v>7615</v>
      </c>
      <c r="B1211" t="s">
        <v>7612</v>
      </c>
      <c r="C1211" s="34" t="s">
        <v>868</v>
      </c>
      <c r="F1211" t="s">
        <v>868</v>
      </c>
      <c r="G1211" t="s">
        <v>6932</v>
      </c>
      <c r="H1211">
        <v>5</v>
      </c>
      <c r="I1211">
        <f>VLOOKUP(B1211,BRAND!B:D,3,FALSE)</f>
        <v>0</v>
      </c>
      <c r="J1211">
        <v>8</v>
      </c>
      <c r="M1211">
        <v>1</v>
      </c>
    </row>
    <row r="1212" spans="1:13">
      <c r="A1212" t="s">
        <v>14096</v>
      </c>
      <c r="B1212" t="s">
        <v>7612</v>
      </c>
      <c r="C1212" s="34" t="s">
        <v>534</v>
      </c>
      <c r="F1212" t="s">
        <v>534</v>
      </c>
      <c r="G1212" t="s">
        <v>6932</v>
      </c>
      <c r="H1212">
        <v>5</v>
      </c>
      <c r="I1212">
        <f>VLOOKUP(B1212,BRAND!B:D,3,FALSE)</f>
        <v>0</v>
      </c>
      <c r="J1212">
        <f>LEN(F1212)</f>
        <v>6</v>
      </c>
      <c r="K1212" t="s">
        <v>821</v>
      </c>
      <c r="L1212">
        <v>0</v>
      </c>
      <c r="M1212">
        <v>1</v>
      </c>
    </row>
    <row r="1213" spans="1:13">
      <c r="A1213" t="s">
        <v>14098</v>
      </c>
      <c r="B1213" t="s">
        <v>7612</v>
      </c>
      <c r="C1213" s="34" t="s">
        <v>898</v>
      </c>
      <c r="F1213" t="s">
        <v>898</v>
      </c>
      <c r="G1213" t="s">
        <v>6932</v>
      </c>
      <c r="H1213">
        <v>5</v>
      </c>
      <c r="I1213">
        <f>VLOOKUP(B1213,BRAND!B:D,3,FALSE)</f>
        <v>0</v>
      </c>
      <c r="J1213">
        <f>LEN(F1213)</f>
        <v>6</v>
      </c>
      <c r="K1213" t="s">
        <v>821</v>
      </c>
      <c r="L1213">
        <v>0</v>
      </c>
      <c r="M1213">
        <v>1</v>
      </c>
    </row>
    <row r="1214" spans="1:13">
      <c r="A1214" t="s">
        <v>7614</v>
      </c>
      <c r="B1214" t="s">
        <v>7612</v>
      </c>
      <c r="C1214" s="34" t="s">
        <v>867</v>
      </c>
      <c r="F1214" t="s">
        <v>867</v>
      </c>
      <c r="G1214" t="s">
        <v>6932</v>
      </c>
      <c r="H1214">
        <v>5</v>
      </c>
      <c r="I1214">
        <f>VLOOKUP(B1214,BRAND!B:D,3,FALSE)</f>
        <v>0</v>
      </c>
      <c r="J1214">
        <f>LEN(F1214)</f>
        <v>4</v>
      </c>
      <c r="K1214" t="s">
        <v>821</v>
      </c>
      <c r="L1214">
        <v>0</v>
      </c>
      <c r="M1214">
        <v>1</v>
      </c>
    </row>
    <row r="1215" spans="1:13">
      <c r="A1215" t="s">
        <v>7614</v>
      </c>
      <c r="B1215" t="s">
        <v>7612</v>
      </c>
      <c r="C1215" s="34" t="s">
        <v>867</v>
      </c>
      <c r="F1215" t="s">
        <v>867</v>
      </c>
      <c r="G1215" t="s">
        <v>6932</v>
      </c>
      <c r="H1215">
        <v>5</v>
      </c>
      <c r="I1215">
        <f>VLOOKUP(B1215,BRAND!B:D,3,FALSE)</f>
        <v>0</v>
      </c>
      <c r="J1215">
        <v>4</v>
      </c>
      <c r="M1215">
        <v>1</v>
      </c>
    </row>
    <row r="1216" spans="1:13">
      <c r="A1216" t="s">
        <v>7616</v>
      </c>
      <c r="B1216" t="s">
        <v>7612</v>
      </c>
      <c r="C1216" s="34" t="s">
        <v>1438</v>
      </c>
      <c r="F1216" t="s">
        <v>1438</v>
      </c>
      <c r="G1216" t="s">
        <v>6932</v>
      </c>
      <c r="H1216">
        <v>5</v>
      </c>
      <c r="I1216">
        <f>VLOOKUP(B1216,BRAND!B:D,3,FALSE)</f>
        <v>0</v>
      </c>
      <c r="J1216">
        <v>4</v>
      </c>
      <c r="M1216">
        <v>1</v>
      </c>
    </row>
    <row r="1217" spans="1:13">
      <c r="A1217" t="s">
        <v>7611</v>
      </c>
      <c r="B1217" t="s">
        <v>7612</v>
      </c>
      <c r="C1217" s="34" t="s">
        <v>775</v>
      </c>
      <c r="F1217" t="s">
        <v>775</v>
      </c>
      <c r="G1217" t="s">
        <v>6932</v>
      </c>
      <c r="H1217">
        <v>5</v>
      </c>
      <c r="I1217">
        <f>VLOOKUP(B1217,BRAND!B:D,3,FALSE)</f>
        <v>0</v>
      </c>
      <c r="J1217">
        <v>3</v>
      </c>
      <c r="M1217">
        <v>1</v>
      </c>
    </row>
    <row r="1218" spans="1:13">
      <c r="A1218" t="s">
        <v>14097</v>
      </c>
      <c r="B1218" t="s">
        <v>7612</v>
      </c>
      <c r="C1218" s="34">
        <v>11</v>
      </c>
      <c r="F1218">
        <v>11</v>
      </c>
      <c r="G1218" t="s">
        <v>6932</v>
      </c>
      <c r="H1218">
        <v>5</v>
      </c>
      <c r="I1218">
        <f>VLOOKUP(B1218,BRAND!B:D,3,FALSE)</f>
        <v>0</v>
      </c>
      <c r="J1218">
        <f>LEN(F1218)</f>
        <v>2</v>
      </c>
      <c r="K1218" t="s">
        <v>821</v>
      </c>
      <c r="L1218">
        <v>0</v>
      </c>
      <c r="M1218">
        <v>1</v>
      </c>
    </row>
    <row r="1219" spans="1:13">
      <c r="A1219" t="s">
        <v>7613</v>
      </c>
      <c r="B1219" t="s">
        <v>7612</v>
      </c>
      <c r="C1219" s="34" t="s">
        <v>536</v>
      </c>
      <c r="F1219" t="s">
        <v>536</v>
      </c>
      <c r="G1219" t="s">
        <v>6932</v>
      </c>
      <c r="H1219">
        <v>6</v>
      </c>
      <c r="I1219">
        <f>VLOOKUP(B1219,BRAND!B:D,3,FALSE)</f>
        <v>0</v>
      </c>
      <c r="J1219">
        <v>5</v>
      </c>
      <c r="M1219">
        <v>1</v>
      </c>
    </row>
    <row r="1220" spans="1:13">
      <c r="A1220" t="s">
        <v>7617</v>
      </c>
      <c r="B1220" t="s">
        <v>7618</v>
      </c>
      <c r="C1220" s="34" t="s">
        <v>1438</v>
      </c>
      <c r="F1220" t="s">
        <v>1438</v>
      </c>
      <c r="G1220" t="s">
        <v>801</v>
      </c>
      <c r="H1220">
        <v>5</v>
      </c>
      <c r="I1220">
        <f>VLOOKUP(B1220,BRAND!B:D,3,FALSE)</f>
        <v>0</v>
      </c>
      <c r="J1220">
        <v>4</v>
      </c>
      <c r="M1220">
        <v>1</v>
      </c>
    </row>
    <row r="1221" spans="1:13">
      <c r="A1221" t="s">
        <v>7619</v>
      </c>
      <c r="B1221" t="s">
        <v>7618</v>
      </c>
      <c r="C1221" s="34" t="s">
        <v>1438</v>
      </c>
      <c r="F1221" t="s">
        <v>1438</v>
      </c>
      <c r="G1221" t="s">
        <v>6932</v>
      </c>
      <c r="H1221">
        <v>5</v>
      </c>
      <c r="I1221">
        <f>VLOOKUP(B1221,BRAND!B:D,3,FALSE)</f>
        <v>0</v>
      </c>
      <c r="J1221">
        <v>4</v>
      </c>
      <c r="M1221">
        <v>1</v>
      </c>
    </row>
    <row r="1222" spans="1:13">
      <c r="A1222" t="s">
        <v>10742</v>
      </c>
      <c r="B1222" t="s">
        <v>7618</v>
      </c>
      <c r="C1222" s="34" t="s">
        <v>1019</v>
      </c>
      <c r="F1222" t="s">
        <v>1019</v>
      </c>
      <c r="G1222" t="s">
        <v>801</v>
      </c>
      <c r="H1222">
        <v>5</v>
      </c>
      <c r="I1222">
        <f>VLOOKUP(B1222,BRAND!B:D,3,FALSE)</f>
        <v>0</v>
      </c>
      <c r="J1222">
        <v>3</v>
      </c>
      <c r="K1222" t="s">
        <v>821</v>
      </c>
    </row>
    <row r="1223" spans="1:13">
      <c r="A1223" t="s">
        <v>10743</v>
      </c>
      <c r="B1223" t="s">
        <v>7618</v>
      </c>
      <c r="C1223" s="34" t="s">
        <v>1019</v>
      </c>
      <c r="F1223" t="s">
        <v>1019</v>
      </c>
      <c r="H1223">
        <v>5</v>
      </c>
    </row>
    <row r="1224" spans="1:13">
      <c r="A1224" t="s">
        <v>10744</v>
      </c>
      <c r="B1224" t="s">
        <v>7618</v>
      </c>
      <c r="C1224" s="34" t="s">
        <v>10745</v>
      </c>
      <c r="F1224" t="s">
        <v>10745</v>
      </c>
      <c r="H1224">
        <v>5</v>
      </c>
    </row>
    <row r="1225" spans="1:13">
      <c r="A1225" t="s">
        <v>2906</v>
      </c>
      <c r="B1225" t="s">
        <v>1390</v>
      </c>
      <c r="C1225" s="34" t="s">
        <v>1438</v>
      </c>
      <c r="F1225" t="s">
        <v>1438</v>
      </c>
      <c r="H1225">
        <v>15</v>
      </c>
      <c r="I1225">
        <f>VLOOKUP(B1225,BRAND!B:D,3,FALSE)</f>
        <v>9</v>
      </c>
      <c r="J1225">
        <v>4</v>
      </c>
      <c r="K1225" t="s">
        <v>821</v>
      </c>
      <c r="M1225">
        <v>0</v>
      </c>
    </row>
    <row r="1226" spans="1:13">
      <c r="A1226" t="s">
        <v>2706</v>
      </c>
      <c r="B1226" t="s">
        <v>17</v>
      </c>
      <c r="C1226" s="34" t="s">
        <v>1438</v>
      </c>
      <c r="F1226" t="s">
        <v>1438</v>
      </c>
      <c r="H1226">
        <v>15</v>
      </c>
      <c r="I1226">
        <f>VLOOKUP(B1226,BRAND!B:D,3,FALSE)</f>
        <v>9</v>
      </c>
      <c r="J1226">
        <v>4</v>
      </c>
      <c r="K1226" t="s">
        <v>821</v>
      </c>
      <c r="M1226">
        <v>1</v>
      </c>
    </row>
    <row r="1227" spans="1:13">
      <c r="A1227" t="s">
        <v>4072</v>
      </c>
      <c r="B1227" t="s">
        <v>1755</v>
      </c>
      <c r="C1227" s="34" t="s">
        <v>1080</v>
      </c>
      <c r="F1227" t="s">
        <v>1080</v>
      </c>
      <c r="H1227">
        <v>5</v>
      </c>
      <c r="I1227">
        <f>VLOOKUP(B1227,BRAND!B:D,3,FALSE)</f>
        <v>9</v>
      </c>
      <c r="J1227">
        <v>8</v>
      </c>
      <c r="K1227" t="s">
        <v>821</v>
      </c>
      <c r="M1227">
        <v>0</v>
      </c>
    </row>
    <row r="1228" spans="1:13">
      <c r="A1228" t="s">
        <v>7620</v>
      </c>
      <c r="B1228" t="s">
        <v>7621</v>
      </c>
      <c r="C1228" s="34" t="s">
        <v>534</v>
      </c>
      <c r="F1228" t="s">
        <v>534</v>
      </c>
      <c r="G1228" t="s">
        <v>6932</v>
      </c>
      <c r="H1228">
        <v>5</v>
      </c>
      <c r="I1228">
        <f>VLOOKUP(B1228,BRAND!B:D,3,FALSE)</f>
        <v>5</v>
      </c>
      <c r="J1228">
        <v>6</v>
      </c>
      <c r="M1228">
        <v>1</v>
      </c>
    </row>
    <row r="1229" spans="1:13">
      <c r="A1229" t="s">
        <v>7622</v>
      </c>
      <c r="B1229" t="s">
        <v>7621</v>
      </c>
      <c r="C1229" s="34" t="s">
        <v>1438</v>
      </c>
      <c r="F1229" t="s">
        <v>1438</v>
      </c>
      <c r="G1229" t="s">
        <v>6932</v>
      </c>
      <c r="H1229">
        <v>5</v>
      </c>
      <c r="I1229">
        <f>VLOOKUP(B1229,BRAND!B:D,3,FALSE)</f>
        <v>5</v>
      </c>
      <c r="J1229">
        <v>4</v>
      </c>
      <c r="M1229">
        <v>1</v>
      </c>
    </row>
    <row r="1230" spans="1:13">
      <c r="A1230" t="s">
        <v>11586</v>
      </c>
      <c r="B1230" t="s">
        <v>7621</v>
      </c>
      <c r="C1230" s="34" t="s">
        <v>5442</v>
      </c>
      <c r="F1230" t="s">
        <v>11057</v>
      </c>
      <c r="G1230" t="s">
        <v>6932</v>
      </c>
      <c r="H1230">
        <v>5</v>
      </c>
    </row>
    <row r="1231" spans="1:13">
      <c r="A1231" t="s">
        <v>11587</v>
      </c>
      <c r="B1231" t="s">
        <v>7621</v>
      </c>
      <c r="C1231" s="34" t="s">
        <v>11588</v>
      </c>
      <c r="F1231" t="s">
        <v>11058</v>
      </c>
      <c r="G1231" t="s">
        <v>6932</v>
      </c>
      <c r="H1231">
        <v>5</v>
      </c>
    </row>
    <row r="1232" spans="1:13">
      <c r="A1232" t="s">
        <v>11986</v>
      </c>
      <c r="B1232" t="s">
        <v>7621</v>
      </c>
      <c r="C1232" s="34" t="s">
        <v>11589</v>
      </c>
      <c r="F1232" t="s">
        <v>11059</v>
      </c>
      <c r="G1232" t="s">
        <v>6932</v>
      </c>
      <c r="H1232">
        <v>5</v>
      </c>
    </row>
    <row r="1233" spans="1:13">
      <c r="A1233" t="s">
        <v>11590</v>
      </c>
      <c r="B1233" t="s">
        <v>7621</v>
      </c>
      <c r="C1233" s="34" t="s">
        <v>11591</v>
      </c>
      <c r="F1233" t="s">
        <v>11060</v>
      </c>
      <c r="G1233" t="s">
        <v>6932</v>
      </c>
      <c r="H1233">
        <v>5</v>
      </c>
    </row>
    <row r="1234" spans="1:13">
      <c r="A1234" t="s">
        <v>11592</v>
      </c>
      <c r="B1234" t="s">
        <v>7621</v>
      </c>
      <c r="C1234" s="34" t="s">
        <v>7424</v>
      </c>
      <c r="F1234" t="s">
        <v>11061</v>
      </c>
      <c r="G1234" t="s">
        <v>6932</v>
      </c>
      <c r="H1234">
        <v>5</v>
      </c>
    </row>
    <row r="1235" spans="1:13">
      <c r="A1235" t="s">
        <v>7625</v>
      </c>
      <c r="B1235" t="s">
        <v>519</v>
      </c>
      <c r="C1235" s="34" t="s">
        <v>534</v>
      </c>
      <c r="F1235" t="s">
        <v>534</v>
      </c>
      <c r="G1235" t="s">
        <v>6932</v>
      </c>
      <c r="H1235">
        <v>5</v>
      </c>
      <c r="I1235">
        <f>VLOOKUP(B1235,BRAND!B:D,3,FALSE)</f>
        <v>9</v>
      </c>
      <c r="J1235">
        <v>6</v>
      </c>
      <c r="M1235">
        <v>1</v>
      </c>
    </row>
    <row r="1236" spans="1:13">
      <c r="A1236" t="s">
        <v>7623</v>
      </c>
      <c r="B1236" t="s">
        <v>519</v>
      </c>
      <c r="C1236" s="34" t="s">
        <v>7624</v>
      </c>
      <c r="F1236" t="s">
        <v>7624</v>
      </c>
      <c r="G1236" t="s">
        <v>6932</v>
      </c>
      <c r="H1236">
        <v>5</v>
      </c>
      <c r="I1236">
        <f>VLOOKUP(B1236,BRAND!B:D,3,FALSE)</f>
        <v>9</v>
      </c>
      <c r="J1236">
        <v>5</v>
      </c>
      <c r="M1236">
        <v>1</v>
      </c>
    </row>
    <row r="1237" spans="1:13">
      <c r="A1237" t="s">
        <v>7626</v>
      </c>
      <c r="B1237" t="s">
        <v>519</v>
      </c>
      <c r="C1237" s="34" t="s">
        <v>7627</v>
      </c>
      <c r="F1237" t="s">
        <v>7627</v>
      </c>
      <c r="G1237" t="s">
        <v>6932</v>
      </c>
      <c r="H1237">
        <v>5</v>
      </c>
      <c r="I1237">
        <f>VLOOKUP(B1237,BRAND!B:D,3,FALSE)</f>
        <v>9</v>
      </c>
      <c r="J1237">
        <v>3</v>
      </c>
      <c r="M1237">
        <v>1</v>
      </c>
    </row>
    <row r="1238" spans="1:13">
      <c r="A1238" t="s">
        <v>2962</v>
      </c>
      <c r="B1238" t="s">
        <v>519</v>
      </c>
      <c r="C1238" s="34" t="s">
        <v>1438</v>
      </c>
      <c r="F1238" t="s">
        <v>1438</v>
      </c>
      <c r="H1238">
        <v>15</v>
      </c>
      <c r="I1238">
        <f>VLOOKUP(B1238,BRAND!B:D,3,FALSE)</f>
        <v>9</v>
      </c>
      <c r="J1238">
        <v>4</v>
      </c>
      <c r="K1238" t="s">
        <v>821</v>
      </c>
      <c r="M1238">
        <v>0</v>
      </c>
    </row>
    <row r="1239" spans="1:13">
      <c r="A1239" t="s">
        <v>4328</v>
      </c>
      <c r="B1239" t="s">
        <v>1869</v>
      </c>
      <c r="C1239" s="34" t="s">
        <v>534</v>
      </c>
      <c r="F1239" t="s">
        <v>534</v>
      </c>
      <c r="H1239">
        <v>5</v>
      </c>
      <c r="I1239">
        <f>VLOOKUP(B1239,BRAND!B:D,3,FALSE)</f>
        <v>9</v>
      </c>
      <c r="J1239">
        <v>6</v>
      </c>
      <c r="K1239" t="s">
        <v>821</v>
      </c>
      <c r="M1239">
        <v>0</v>
      </c>
    </row>
    <row r="1240" spans="1:13">
      <c r="A1240" t="s">
        <v>4465</v>
      </c>
      <c r="B1240" t="s">
        <v>1869</v>
      </c>
      <c r="C1240" s="34" t="s">
        <v>1438</v>
      </c>
      <c r="F1240" t="s">
        <v>1438</v>
      </c>
      <c r="H1240">
        <v>15</v>
      </c>
      <c r="I1240">
        <f>VLOOKUP(B1240,BRAND!B:D,3,FALSE)</f>
        <v>9</v>
      </c>
      <c r="J1240">
        <v>4</v>
      </c>
      <c r="K1240" t="s">
        <v>821</v>
      </c>
      <c r="M1240">
        <v>0</v>
      </c>
    </row>
    <row r="1241" spans="1:13">
      <c r="A1241" t="s">
        <v>4202</v>
      </c>
      <c r="B1241" t="s">
        <v>361</v>
      </c>
      <c r="C1241" s="34" t="s">
        <v>1965</v>
      </c>
      <c r="F1241" t="s">
        <v>1965</v>
      </c>
      <c r="H1241">
        <v>5</v>
      </c>
      <c r="I1241">
        <f>VLOOKUP(B1241,BRAND!B:D,3,FALSE)</f>
        <v>3</v>
      </c>
      <c r="J1241">
        <f>LEN(F1241)</f>
        <v>10</v>
      </c>
      <c r="K1241" t="s">
        <v>821</v>
      </c>
      <c r="M1241">
        <v>1</v>
      </c>
    </row>
    <row r="1242" spans="1:13">
      <c r="A1242" t="s">
        <v>3883</v>
      </c>
      <c r="B1242" t="s">
        <v>361</v>
      </c>
      <c r="C1242" s="34" t="s">
        <v>798</v>
      </c>
      <c r="F1242" t="s">
        <v>798</v>
      </c>
      <c r="H1242">
        <v>5</v>
      </c>
      <c r="I1242">
        <f>VLOOKUP(B1242,BRAND!B:D,3,FALSE)</f>
        <v>3</v>
      </c>
      <c r="J1242">
        <v>9</v>
      </c>
      <c r="K1242" t="s">
        <v>821</v>
      </c>
      <c r="M1242">
        <v>1</v>
      </c>
    </row>
    <row r="1243" spans="1:13">
      <c r="A1243" t="s">
        <v>4389</v>
      </c>
      <c r="B1243" t="s">
        <v>361</v>
      </c>
      <c r="C1243" s="34" t="s">
        <v>880</v>
      </c>
      <c r="F1243" t="s">
        <v>880</v>
      </c>
      <c r="H1243">
        <v>5</v>
      </c>
      <c r="I1243">
        <f>VLOOKUP(B1243,BRAND!B:D,3,FALSE)</f>
        <v>3</v>
      </c>
      <c r="J1243">
        <v>7</v>
      </c>
      <c r="K1243" t="s">
        <v>821</v>
      </c>
      <c r="M1243">
        <v>0</v>
      </c>
    </row>
    <row r="1244" spans="1:13">
      <c r="A1244" t="s">
        <v>4006</v>
      </c>
      <c r="B1244" t="s">
        <v>361</v>
      </c>
      <c r="C1244" s="34" t="s">
        <v>534</v>
      </c>
      <c r="F1244" t="s">
        <v>534</v>
      </c>
      <c r="H1244">
        <v>5</v>
      </c>
      <c r="I1244">
        <f>VLOOKUP(B1244,BRAND!B:D,3,FALSE)</f>
        <v>3</v>
      </c>
      <c r="J1244">
        <v>6</v>
      </c>
      <c r="K1244" t="s">
        <v>821</v>
      </c>
      <c r="M1244">
        <v>1</v>
      </c>
    </row>
    <row r="1245" spans="1:13">
      <c r="A1245" t="s">
        <v>7629</v>
      </c>
      <c r="B1245" t="s">
        <v>361</v>
      </c>
      <c r="C1245" s="34" t="s">
        <v>6364</v>
      </c>
      <c r="F1245" t="s">
        <v>6364</v>
      </c>
      <c r="G1245" t="s">
        <v>6932</v>
      </c>
      <c r="H1245">
        <v>5</v>
      </c>
      <c r="I1245">
        <f>VLOOKUP(B1245,BRAND!B:D,3,FALSE)</f>
        <v>3</v>
      </c>
      <c r="J1245">
        <v>6</v>
      </c>
      <c r="M1245">
        <v>1</v>
      </c>
    </row>
    <row r="1246" spans="1:13">
      <c r="A1246" t="s">
        <v>4004</v>
      </c>
      <c r="B1246" t="s">
        <v>361</v>
      </c>
      <c r="C1246" s="34" t="s">
        <v>536</v>
      </c>
      <c r="F1246" t="s">
        <v>536</v>
      </c>
      <c r="H1246">
        <v>5</v>
      </c>
      <c r="I1246">
        <f>VLOOKUP(B1246,BRAND!B:D,3,FALSE)</f>
        <v>3</v>
      </c>
      <c r="J1246">
        <v>5</v>
      </c>
      <c r="K1246" t="s">
        <v>821</v>
      </c>
      <c r="M1246">
        <v>1</v>
      </c>
    </row>
    <row r="1247" spans="1:13">
      <c r="A1247" t="s">
        <v>7628</v>
      </c>
      <c r="B1247" t="s">
        <v>361</v>
      </c>
      <c r="C1247" s="34" t="s">
        <v>2000</v>
      </c>
      <c r="F1247" t="s">
        <v>2000</v>
      </c>
      <c r="G1247" t="s">
        <v>6932</v>
      </c>
      <c r="H1247">
        <v>5</v>
      </c>
      <c r="I1247">
        <f>VLOOKUP(B1247,BRAND!B:D,3,FALSE)</f>
        <v>3</v>
      </c>
      <c r="J1247">
        <v>5</v>
      </c>
      <c r="M1247">
        <v>1</v>
      </c>
    </row>
    <row r="1248" spans="1:13">
      <c r="A1248" t="s">
        <v>4005</v>
      </c>
      <c r="B1248" t="s">
        <v>361</v>
      </c>
      <c r="C1248" s="34" t="s">
        <v>842</v>
      </c>
      <c r="F1248" t="s">
        <v>842</v>
      </c>
      <c r="H1248">
        <v>5</v>
      </c>
      <c r="I1248">
        <f>VLOOKUP(B1248,BRAND!B:D,3,FALSE)</f>
        <v>3</v>
      </c>
      <c r="J1248">
        <v>5</v>
      </c>
      <c r="K1248" t="s">
        <v>821</v>
      </c>
      <c r="M1248">
        <v>1</v>
      </c>
    </row>
    <row r="1249" spans="1:13">
      <c r="A1249" t="s">
        <v>3658</v>
      </c>
      <c r="B1249" t="s">
        <v>361</v>
      </c>
      <c r="C1249" s="34" t="s">
        <v>776</v>
      </c>
      <c r="F1249" t="s">
        <v>776</v>
      </c>
      <c r="H1249">
        <v>5</v>
      </c>
      <c r="I1249">
        <f>VLOOKUP(B1249,BRAND!B:D,3,FALSE)</f>
        <v>3</v>
      </c>
      <c r="J1249">
        <v>5</v>
      </c>
      <c r="K1249" t="s">
        <v>821</v>
      </c>
      <c r="M1249">
        <v>1</v>
      </c>
    </row>
    <row r="1250" spans="1:13">
      <c r="A1250" t="s">
        <v>3009</v>
      </c>
      <c r="B1250" t="s">
        <v>361</v>
      </c>
      <c r="C1250" s="34" t="s">
        <v>561</v>
      </c>
      <c r="F1250" t="s">
        <v>561</v>
      </c>
      <c r="H1250">
        <v>5</v>
      </c>
      <c r="I1250">
        <f>VLOOKUP(B1250,BRAND!B:D,3,FALSE)</f>
        <v>3</v>
      </c>
      <c r="J1250">
        <v>3</v>
      </c>
      <c r="K1250" t="s">
        <v>821</v>
      </c>
      <c r="M1250">
        <v>1</v>
      </c>
    </row>
    <row r="1251" spans="1:13">
      <c r="A1251" t="s">
        <v>5022</v>
      </c>
      <c r="B1251" t="s">
        <v>361</v>
      </c>
      <c r="C1251" s="34" t="s">
        <v>880</v>
      </c>
      <c r="F1251" t="s">
        <v>880</v>
      </c>
      <c r="G1251" t="s">
        <v>801</v>
      </c>
      <c r="H1251">
        <v>6</v>
      </c>
      <c r="I1251">
        <f>VLOOKUP(B1251,BRAND!B:D,3,FALSE)</f>
        <v>3</v>
      </c>
      <c r="J1251">
        <v>7</v>
      </c>
      <c r="K1251" t="s">
        <v>821</v>
      </c>
      <c r="M1251">
        <v>0</v>
      </c>
    </row>
    <row r="1252" spans="1:13">
      <c r="A1252" t="s">
        <v>4935</v>
      </c>
      <c r="B1252" t="s">
        <v>361</v>
      </c>
      <c r="C1252" s="34" t="s">
        <v>1438</v>
      </c>
      <c r="F1252" t="s">
        <v>1438</v>
      </c>
      <c r="G1252" t="s">
        <v>801</v>
      </c>
      <c r="H1252">
        <v>6</v>
      </c>
      <c r="I1252">
        <f>VLOOKUP(B1252,BRAND!B:D,3,FALSE)</f>
        <v>3</v>
      </c>
      <c r="J1252">
        <v>4</v>
      </c>
      <c r="K1252" t="s">
        <v>821</v>
      </c>
      <c r="M1252">
        <v>1</v>
      </c>
    </row>
    <row r="1253" spans="1:13">
      <c r="A1253" t="s">
        <v>4004</v>
      </c>
      <c r="B1253" t="s">
        <v>361</v>
      </c>
      <c r="C1253" s="34" t="s">
        <v>5232</v>
      </c>
      <c r="F1253" t="s">
        <v>1438</v>
      </c>
      <c r="H1253">
        <v>15</v>
      </c>
      <c r="I1253">
        <f>VLOOKUP(B1253,BRAND!B:D,3,FALSE)</f>
        <v>3</v>
      </c>
      <c r="J1253">
        <v>4</v>
      </c>
      <c r="K1253" t="s">
        <v>821</v>
      </c>
      <c r="M1253">
        <v>0</v>
      </c>
    </row>
    <row r="1254" spans="1:13">
      <c r="A1254" t="s">
        <v>4809</v>
      </c>
      <c r="B1254" t="s">
        <v>362</v>
      </c>
      <c r="C1254" s="34" t="s">
        <v>1513</v>
      </c>
      <c r="F1254" t="s">
        <v>1513</v>
      </c>
      <c r="H1254">
        <v>5</v>
      </c>
      <c r="I1254">
        <f>VLOOKUP(B1254,BRAND!B:D,3,FALSE)</f>
        <v>9</v>
      </c>
      <c r="J1254">
        <v>5</v>
      </c>
      <c r="K1254" t="s">
        <v>821</v>
      </c>
      <c r="M1254">
        <v>0</v>
      </c>
    </row>
    <row r="1255" spans="1:13">
      <c r="A1255" t="s">
        <v>2709</v>
      </c>
      <c r="B1255" t="s">
        <v>362</v>
      </c>
      <c r="C1255" s="34" t="s">
        <v>1438</v>
      </c>
      <c r="F1255" t="s">
        <v>1438</v>
      </c>
      <c r="H1255">
        <v>15</v>
      </c>
      <c r="I1255">
        <f>VLOOKUP(B1255,BRAND!B:D,3,FALSE)</f>
        <v>9</v>
      </c>
      <c r="J1255">
        <v>4</v>
      </c>
      <c r="K1255" t="s">
        <v>821</v>
      </c>
      <c r="M1255">
        <v>1</v>
      </c>
    </row>
    <row r="1256" spans="1:13">
      <c r="A1256" t="s">
        <v>11400</v>
      </c>
      <c r="B1256" t="s">
        <v>10898</v>
      </c>
      <c r="C1256" s="34" t="s">
        <v>1438</v>
      </c>
      <c r="F1256" t="s">
        <v>1438</v>
      </c>
      <c r="G1256" t="s">
        <v>6932</v>
      </c>
      <c r="H1256">
        <v>5</v>
      </c>
    </row>
    <row r="1257" spans="1:13">
      <c r="A1257" s="29" t="s">
        <v>3057</v>
      </c>
      <c r="B1257" s="29" t="s">
        <v>363</v>
      </c>
      <c r="C1257" s="36" t="s">
        <v>534</v>
      </c>
      <c r="D1257" s="29"/>
      <c r="E1257" s="29"/>
      <c r="F1257" s="29" t="s">
        <v>534</v>
      </c>
      <c r="G1257" s="29"/>
      <c r="H1257" s="29">
        <v>5</v>
      </c>
      <c r="I1257">
        <f>VLOOKUP(B1257,BRAND!B:D,3,FALSE)</f>
        <v>9</v>
      </c>
      <c r="J1257">
        <v>6</v>
      </c>
      <c r="K1257" t="s">
        <v>821</v>
      </c>
      <c r="M1257">
        <v>1</v>
      </c>
    </row>
    <row r="1258" spans="1:13">
      <c r="A1258" t="s">
        <v>7630</v>
      </c>
      <c r="B1258" t="s">
        <v>363</v>
      </c>
      <c r="C1258" s="34" t="s">
        <v>5232</v>
      </c>
      <c r="F1258" t="s">
        <v>536</v>
      </c>
      <c r="G1258" t="s">
        <v>6932</v>
      </c>
      <c r="H1258">
        <v>5</v>
      </c>
      <c r="I1258">
        <f>VLOOKUP(B1258,BRAND!B:D,3,FALSE)</f>
        <v>9</v>
      </c>
      <c r="J1258">
        <v>5</v>
      </c>
      <c r="M1258">
        <v>0</v>
      </c>
    </row>
    <row r="1259" spans="1:13">
      <c r="A1259" t="s">
        <v>2879</v>
      </c>
      <c r="B1259" t="s">
        <v>363</v>
      </c>
      <c r="C1259" s="34" t="s">
        <v>536</v>
      </c>
      <c r="F1259" t="s">
        <v>536</v>
      </c>
      <c r="H1259">
        <v>5</v>
      </c>
      <c r="I1259">
        <f>VLOOKUP(B1259,BRAND!B:D,3,FALSE)</f>
        <v>9</v>
      </c>
      <c r="J1259">
        <v>5</v>
      </c>
      <c r="K1259" t="s">
        <v>821</v>
      </c>
      <c r="M1259">
        <v>1</v>
      </c>
    </row>
    <row r="1260" spans="1:13">
      <c r="A1260" t="s">
        <v>9581</v>
      </c>
      <c r="B1260" t="s">
        <v>363</v>
      </c>
      <c r="C1260" s="34" t="s">
        <v>536</v>
      </c>
      <c r="F1260" t="s">
        <v>536</v>
      </c>
      <c r="G1260" t="s">
        <v>2000</v>
      </c>
      <c r="H1260">
        <v>5</v>
      </c>
      <c r="I1260">
        <f>VLOOKUP(B1260,BRAND!B:D,3,FALSE)</f>
        <v>9</v>
      </c>
      <c r="J1260">
        <v>5</v>
      </c>
      <c r="M1260">
        <v>1</v>
      </c>
    </row>
    <row r="1261" spans="1:13">
      <c r="A1261" t="s">
        <v>2889</v>
      </c>
      <c r="B1261" t="s">
        <v>363</v>
      </c>
      <c r="C1261" s="34" t="s">
        <v>1438</v>
      </c>
      <c r="F1261" t="s">
        <v>1438</v>
      </c>
      <c r="H1261">
        <v>15</v>
      </c>
      <c r="I1261">
        <f>VLOOKUP(B1261,BRAND!B:D,3,FALSE)</f>
        <v>9</v>
      </c>
      <c r="J1261">
        <v>4</v>
      </c>
      <c r="K1261" t="s">
        <v>821</v>
      </c>
      <c r="M1261">
        <v>1</v>
      </c>
    </row>
    <row r="1262" spans="1:13">
      <c r="A1262" t="s">
        <v>3164</v>
      </c>
      <c r="B1262" t="s">
        <v>1821</v>
      </c>
      <c r="C1262" s="34" t="s">
        <v>840</v>
      </c>
      <c r="F1262" t="s">
        <v>840</v>
      </c>
      <c r="H1262">
        <v>5</v>
      </c>
      <c r="I1262">
        <f>VLOOKUP(B1262,BRAND!B:D,3,FALSE)</f>
        <v>9</v>
      </c>
      <c r="J1262">
        <v>9</v>
      </c>
      <c r="K1262" t="s">
        <v>821</v>
      </c>
      <c r="M1262">
        <v>0</v>
      </c>
    </row>
    <row r="1263" spans="1:13">
      <c r="A1263" t="s">
        <v>2429</v>
      </c>
      <c r="B1263" t="s">
        <v>1821</v>
      </c>
      <c r="C1263" s="34" t="s">
        <v>746</v>
      </c>
      <c r="F1263" t="s">
        <v>746</v>
      </c>
      <c r="H1263">
        <v>5</v>
      </c>
      <c r="I1263">
        <f>VLOOKUP(B1263,BRAND!B:D,3,FALSE)</f>
        <v>9</v>
      </c>
      <c r="J1263">
        <v>6</v>
      </c>
      <c r="K1263" t="s">
        <v>821</v>
      </c>
      <c r="M1263">
        <v>0</v>
      </c>
    </row>
    <row r="1264" spans="1:13">
      <c r="A1264" t="s">
        <v>2109</v>
      </c>
      <c r="B1264" t="s">
        <v>1821</v>
      </c>
      <c r="C1264" s="34" t="s">
        <v>534</v>
      </c>
      <c r="F1264" t="s">
        <v>534</v>
      </c>
      <c r="H1264">
        <v>5</v>
      </c>
      <c r="I1264">
        <f>VLOOKUP(B1264,BRAND!B:D,3,FALSE)</f>
        <v>9</v>
      </c>
      <c r="J1264">
        <v>6</v>
      </c>
      <c r="K1264" t="s">
        <v>821</v>
      </c>
      <c r="M1264">
        <v>0</v>
      </c>
    </row>
    <row r="1265" spans="1:13">
      <c r="A1265" t="s">
        <v>3063</v>
      </c>
      <c r="B1265" t="s">
        <v>1821</v>
      </c>
      <c r="C1265" s="34" t="s">
        <v>536</v>
      </c>
      <c r="F1265" t="s">
        <v>536</v>
      </c>
      <c r="H1265">
        <v>5</v>
      </c>
      <c r="I1265">
        <f>VLOOKUP(B1265,BRAND!B:D,3,FALSE)</f>
        <v>9</v>
      </c>
      <c r="J1265">
        <v>5</v>
      </c>
      <c r="K1265" t="s">
        <v>821</v>
      </c>
      <c r="M1265">
        <v>0</v>
      </c>
    </row>
    <row r="1266" spans="1:13">
      <c r="A1266" t="s">
        <v>4101</v>
      </c>
      <c r="B1266" t="s">
        <v>1821</v>
      </c>
      <c r="C1266" s="34" t="s">
        <v>842</v>
      </c>
      <c r="F1266" t="s">
        <v>842</v>
      </c>
      <c r="H1266">
        <v>5</v>
      </c>
      <c r="I1266">
        <f>VLOOKUP(B1266,BRAND!B:D,3,FALSE)</f>
        <v>9</v>
      </c>
      <c r="J1266">
        <v>5</v>
      </c>
      <c r="K1266" t="s">
        <v>821</v>
      </c>
      <c r="M1266">
        <v>0</v>
      </c>
    </row>
    <row r="1267" spans="1:13">
      <c r="A1267" t="s">
        <v>2110</v>
      </c>
      <c r="B1267" t="s">
        <v>1821</v>
      </c>
      <c r="C1267" s="34" t="s">
        <v>775</v>
      </c>
      <c r="F1267" t="s">
        <v>775</v>
      </c>
      <c r="H1267">
        <v>5</v>
      </c>
      <c r="I1267">
        <f>VLOOKUP(B1267,BRAND!B:D,3,FALSE)</f>
        <v>9</v>
      </c>
      <c r="J1267">
        <v>3</v>
      </c>
      <c r="K1267" t="s">
        <v>821</v>
      </c>
      <c r="M1267">
        <v>0</v>
      </c>
    </row>
    <row r="1268" spans="1:13">
      <c r="A1268" t="s">
        <v>2428</v>
      </c>
      <c r="B1268" t="s">
        <v>1821</v>
      </c>
      <c r="C1268" s="34" t="s">
        <v>1438</v>
      </c>
      <c r="F1268" t="s">
        <v>1438</v>
      </c>
      <c r="H1268">
        <v>15</v>
      </c>
      <c r="I1268">
        <f>VLOOKUP(B1268,BRAND!B:D,3,FALSE)</f>
        <v>9</v>
      </c>
      <c r="J1268">
        <v>4</v>
      </c>
      <c r="K1268" t="s">
        <v>821</v>
      </c>
      <c r="M1268">
        <v>0</v>
      </c>
    </row>
    <row r="1269" spans="1:13">
      <c r="A1269" t="s">
        <v>7631</v>
      </c>
      <c r="B1269" t="s">
        <v>7632</v>
      </c>
      <c r="C1269" s="34" t="s">
        <v>1438</v>
      </c>
      <c r="F1269" t="s">
        <v>1438</v>
      </c>
      <c r="G1269" t="s">
        <v>6932</v>
      </c>
      <c r="H1269">
        <v>5</v>
      </c>
      <c r="I1269">
        <f>VLOOKUP(B1269,BRAND!B:D,3,FALSE)</f>
        <v>5.5</v>
      </c>
      <c r="J1269">
        <v>4</v>
      </c>
      <c r="M1269">
        <v>1</v>
      </c>
    </row>
    <row r="1270" spans="1:13">
      <c r="A1270" t="s">
        <v>7633</v>
      </c>
      <c r="B1270" t="s">
        <v>7634</v>
      </c>
      <c r="C1270" s="34" t="s">
        <v>1438</v>
      </c>
      <c r="F1270" t="s">
        <v>1438</v>
      </c>
      <c r="G1270" t="s">
        <v>6932</v>
      </c>
      <c r="H1270">
        <v>5</v>
      </c>
      <c r="I1270">
        <f>VLOOKUP(B1270,BRAND!B:D,3,FALSE)</f>
        <v>5.5</v>
      </c>
      <c r="J1270">
        <v>4</v>
      </c>
      <c r="M1270">
        <v>1</v>
      </c>
    </row>
    <row r="1271" spans="1:13">
      <c r="A1271" t="s">
        <v>7718</v>
      </c>
      <c r="B1271" t="s">
        <v>7719</v>
      </c>
      <c r="C1271" s="34" t="s">
        <v>1438</v>
      </c>
      <c r="F1271" t="s">
        <v>1438</v>
      </c>
      <c r="G1271" t="s">
        <v>6932</v>
      </c>
      <c r="H1271">
        <v>5</v>
      </c>
      <c r="I1271">
        <f>VLOOKUP(B1271,BRAND!B:D,3,FALSE)</f>
        <v>5.5</v>
      </c>
      <c r="J1271">
        <v>4</v>
      </c>
      <c r="M1271">
        <v>1</v>
      </c>
    </row>
    <row r="1272" spans="1:13">
      <c r="A1272" t="s">
        <v>15068</v>
      </c>
      <c r="B1272" t="s">
        <v>15069</v>
      </c>
      <c r="C1272" s="34" t="s">
        <v>561</v>
      </c>
      <c r="F1272" t="s">
        <v>561</v>
      </c>
      <c r="G1272" t="s">
        <v>6932</v>
      </c>
      <c r="H1272">
        <v>5</v>
      </c>
      <c r="I1272">
        <f>VLOOKUP(B1272,BRAND!B:D,3,FALSE)</f>
        <v>5</v>
      </c>
      <c r="J1272">
        <v>0</v>
      </c>
      <c r="K1272" t="s">
        <v>821</v>
      </c>
      <c r="L1272">
        <v>0</v>
      </c>
      <c r="M1272">
        <v>0</v>
      </c>
    </row>
    <row r="1273" spans="1:13">
      <c r="A1273" t="s">
        <v>15070</v>
      </c>
      <c r="B1273" t="s">
        <v>15069</v>
      </c>
      <c r="C1273" s="34" t="s">
        <v>536</v>
      </c>
      <c r="F1273" t="s">
        <v>536</v>
      </c>
      <c r="G1273" t="s">
        <v>6932</v>
      </c>
      <c r="H1273">
        <v>5</v>
      </c>
      <c r="I1273">
        <f>VLOOKUP(B1273,BRAND!B:D,3,FALSE)</f>
        <v>5</v>
      </c>
      <c r="J1273">
        <v>0</v>
      </c>
      <c r="K1273" t="s">
        <v>821</v>
      </c>
      <c r="L1273">
        <v>0</v>
      </c>
      <c r="M1273">
        <v>0</v>
      </c>
    </row>
    <row r="1274" spans="1:13">
      <c r="A1274" t="s">
        <v>15071</v>
      </c>
      <c r="B1274" t="s">
        <v>15069</v>
      </c>
      <c r="C1274" s="34" t="s">
        <v>534</v>
      </c>
      <c r="F1274" t="s">
        <v>534</v>
      </c>
      <c r="G1274" t="s">
        <v>6932</v>
      </c>
      <c r="H1274">
        <v>5</v>
      </c>
      <c r="I1274">
        <f>VLOOKUP(B1274,BRAND!B:D,3,FALSE)</f>
        <v>5</v>
      </c>
      <c r="J1274">
        <v>0</v>
      </c>
      <c r="K1274" t="s">
        <v>821</v>
      </c>
      <c r="L1274">
        <v>0</v>
      </c>
      <c r="M1274">
        <v>0</v>
      </c>
    </row>
    <row r="1275" spans="1:13">
      <c r="A1275" t="s">
        <v>15072</v>
      </c>
      <c r="B1275" t="s">
        <v>15069</v>
      </c>
      <c r="C1275" s="34" t="s">
        <v>10023</v>
      </c>
      <c r="F1275" t="s">
        <v>10023</v>
      </c>
      <c r="G1275" t="s">
        <v>6932</v>
      </c>
      <c r="H1275">
        <v>5</v>
      </c>
      <c r="I1275">
        <f>VLOOKUP(B1275,BRAND!B:D,3,FALSE)</f>
        <v>5</v>
      </c>
      <c r="J1275">
        <v>0</v>
      </c>
      <c r="K1275" t="s">
        <v>821</v>
      </c>
      <c r="L1275">
        <v>0</v>
      </c>
      <c r="M1275">
        <v>0</v>
      </c>
    </row>
    <row r="1276" spans="1:13">
      <c r="A1276" t="s">
        <v>15073</v>
      </c>
      <c r="B1276" t="s">
        <v>15069</v>
      </c>
      <c r="C1276" s="34" t="s">
        <v>776</v>
      </c>
      <c r="F1276" t="s">
        <v>776</v>
      </c>
      <c r="G1276" t="s">
        <v>6932</v>
      </c>
      <c r="H1276">
        <v>5</v>
      </c>
      <c r="I1276">
        <f>VLOOKUP(B1276,BRAND!B:D,3,FALSE)</f>
        <v>5</v>
      </c>
      <c r="J1276">
        <v>0</v>
      </c>
      <c r="K1276" t="s">
        <v>821</v>
      </c>
      <c r="L1276">
        <v>0</v>
      </c>
      <c r="M1276">
        <v>0</v>
      </c>
    </row>
    <row r="1277" spans="1:13">
      <c r="A1277" t="s">
        <v>15074</v>
      </c>
      <c r="B1277" t="s">
        <v>15069</v>
      </c>
      <c r="C1277" s="34" t="s">
        <v>788</v>
      </c>
      <c r="F1277" t="s">
        <v>788</v>
      </c>
      <c r="G1277" t="s">
        <v>6932</v>
      </c>
      <c r="H1277">
        <v>5</v>
      </c>
      <c r="I1277">
        <f>VLOOKUP(B1277,BRAND!B:D,3,FALSE)</f>
        <v>5</v>
      </c>
      <c r="J1277">
        <v>0</v>
      </c>
      <c r="K1277" t="s">
        <v>821</v>
      </c>
      <c r="L1277">
        <v>0</v>
      </c>
      <c r="M1277">
        <v>0</v>
      </c>
    </row>
    <row r="1278" spans="1:13">
      <c r="A1278" t="s">
        <v>15075</v>
      </c>
      <c r="B1278" t="s">
        <v>15069</v>
      </c>
      <c r="C1278" s="34" t="s">
        <v>755</v>
      </c>
      <c r="F1278" t="s">
        <v>755</v>
      </c>
      <c r="G1278" t="s">
        <v>6932</v>
      </c>
      <c r="H1278">
        <v>5</v>
      </c>
      <c r="I1278">
        <f>VLOOKUP(B1278,BRAND!B:D,3,FALSE)</f>
        <v>5</v>
      </c>
      <c r="J1278">
        <v>0</v>
      </c>
      <c r="K1278" t="s">
        <v>821</v>
      </c>
      <c r="L1278">
        <v>0</v>
      </c>
      <c r="M1278">
        <v>0</v>
      </c>
    </row>
    <row r="1279" spans="1:13">
      <c r="A1279" t="s">
        <v>15076</v>
      </c>
      <c r="B1279" t="s">
        <v>15069</v>
      </c>
      <c r="C1279" s="34" t="s">
        <v>1438</v>
      </c>
      <c r="F1279" t="s">
        <v>1438</v>
      </c>
      <c r="G1279" t="s">
        <v>801</v>
      </c>
      <c r="H1279">
        <v>5</v>
      </c>
      <c r="I1279">
        <f>VLOOKUP(B1279,BRAND!B:D,3,FALSE)</f>
        <v>5</v>
      </c>
      <c r="J1279">
        <v>0</v>
      </c>
      <c r="K1279" t="s">
        <v>821</v>
      </c>
      <c r="L1279">
        <v>0</v>
      </c>
      <c r="M1279">
        <v>0</v>
      </c>
    </row>
    <row r="1280" spans="1:13">
      <c r="A1280" t="s">
        <v>15077</v>
      </c>
      <c r="B1280" t="s">
        <v>15069</v>
      </c>
      <c r="C1280" s="34" t="s">
        <v>6948</v>
      </c>
      <c r="F1280" t="s">
        <v>6948</v>
      </c>
      <c r="G1280" t="s">
        <v>6932</v>
      </c>
      <c r="H1280">
        <v>5</v>
      </c>
      <c r="I1280">
        <f>VLOOKUP(B1280,BRAND!B:D,3,FALSE)</f>
        <v>5</v>
      </c>
      <c r="J1280">
        <v>0</v>
      </c>
      <c r="K1280" t="s">
        <v>821</v>
      </c>
      <c r="L1280">
        <v>0</v>
      </c>
      <c r="M1280">
        <v>0</v>
      </c>
    </row>
    <row r="1281" spans="1:13">
      <c r="A1281" t="s">
        <v>3196</v>
      </c>
      <c r="B1281" t="s">
        <v>461</v>
      </c>
      <c r="C1281" s="34" t="s">
        <v>933</v>
      </c>
      <c r="F1281" t="s">
        <v>933</v>
      </c>
      <c r="H1281">
        <v>5</v>
      </c>
      <c r="I1281">
        <f>VLOOKUP(B1281,BRAND!B:D,3,FALSE)</f>
        <v>9</v>
      </c>
      <c r="J1281">
        <v>8</v>
      </c>
      <c r="K1281" t="s">
        <v>821</v>
      </c>
      <c r="M1281">
        <v>0</v>
      </c>
    </row>
    <row r="1282" spans="1:13">
      <c r="A1282" t="s">
        <v>2660</v>
      </c>
      <c r="B1282" t="s">
        <v>461</v>
      </c>
      <c r="C1282" s="34" t="s">
        <v>1438</v>
      </c>
      <c r="F1282" t="s">
        <v>1438</v>
      </c>
      <c r="H1282">
        <v>15</v>
      </c>
      <c r="I1282">
        <f>VLOOKUP(B1282,BRAND!B:D,3,FALSE)</f>
        <v>9</v>
      </c>
      <c r="J1282">
        <v>4</v>
      </c>
      <c r="K1282" t="s">
        <v>821</v>
      </c>
      <c r="M1282">
        <v>1</v>
      </c>
    </row>
    <row r="1283" spans="1:13">
      <c r="A1283" t="s">
        <v>3272</v>
      </c>
      <c r="B1283" t="s">
        <v>1094</v>
      </c>
      <c r="C1283" s="34" t="s">
        <v>535</v>
      </c>
      <c r="F1283" t="s">
        <v>535</v>
      </c>
      <c r="H1283">
        <v>5</v>
      </c>
      <c r="I1283">
        <f>VLOOKUP(B1283,BRAND!B:D,3,FALSE)</f>
        <v>9</v>
      </c>
      <c r="J1283">
        <v>6</v>
      </c>
      <c r="K1283" t="s">
        <v>821</v>
      </c>
      <c r="M1283">
        <v>0</v>
      </c>
    </row>
    <row r="1284" spans="1:13">
      <c r="A1284" t="s">
        <v>2627</v>
      </c>
      <c r="B1284" t="s">
        <v>1094</v>
      </c>
      <c r="C1284" s="34" t="s">
        <v>1438</v>
      </c>
      <c r="F1284" t="s">
        <v>1438</v>
      </c>
      <c r="H1284">
        <v>15</v>
      </c>
      <c r="I1284">
        <f>VLOOKUP(B1284,BRAND!B:D,3,FALSE)</f>
        <v>9</v>
      </c>
      <c r="J1284">
        <v>4</v>
      </c>
      <c r="K1284" t="s">
        <v>821</v>
      </c>
      <c r="M1284">
        <v>0</v>
      </c>
    </row>
    <row r="1285" spans="1:13">
      <c r="A1285" t="s">
        <v>7063</v>
      </c>
      <c r="B1285" t="s">
        <v>7064</v>
      </c>
      <c r="C1285" s="34" t="s">
        <v>7065</v>
      </c>
      <c r="F1285" t="s">
        <v>879</v>
      </c>
      <c r="H1285">
        <v>5</v>
      </c>
      <c r="I1285">
        <f>VLOOKUP(B1285,BRAND!B:D,3,FALSE)</f>
        <v>5</v>
      </c>
      <c r="J1285">
        <v>5</v>
      </c>
      <c r="M1285">
        <v>1</v>
      </c>
    </row>
    <row r="1286" spans="1:13">
      <c r="A1286" t="s">
        <v>14088</v>
      </c>
      <c r="B1286" t="s">
        <v>14089</v>
      </c>
      <c r="C1286" s="34" t="s">
        <v>1438</v>
      </c>
      <c r="F1286" t="s">
        <v>1438</v>
      </c>
      <c r="G1286" t="s">
        <v>6932</v>
      </c>
      <c r="H1286">
        <v>5</v>
      </c>
      <c r="I1286">
        <f>VLOOKUP(B1286,BRAND!B:D,3,FALSE)</f>
        <v>0</v>
      </c>
      <c r="J1286">
        <f>LEN(F1286)</f>
        <v>4</v>
      </c>
      <c r="K1286" t="s">
        <v>821</v>
      </c>
      <c r="L1286">
        <v>0</v>
      </c>
      <c r="M1286">
        <v>1</v>
      </c>
    </row>
    <row r="1287" spans="1:13">
      <c r="A1287" t="s">
        <v>10286</v>
      </c>
      <c r="B1287" t="s">
        <v>520</v>
      </c>
      <c r="C1287" s="34" t="s">
        <v>10269</v>
      </c>
      <c r="F1287" t="s">
        <v>10269</v>
      </c>
      <c r="G1287" t="s">
        <v>801</v>
      </c>
      <c r="H1287">
        <v>5</v>
      </c>
      <c r="I1287">
        <f>VLOOKUP(B1287,BRAND!B:D,3,FALSE)</f>
        <v>9</v>
      </c>
      <c r="J1287">
        <f>LEN(F1287)</f>
        <v>6</v>
      </c>
      <c r="M1287">
        <v>1</v>
      </c>
    </row>
    <row r="1288" spans="1:13">
      <c r="A1288" t="s">
        <v>10285</v>
      </c>
      <c r="B1288" t="s">
        <v>520</v>
      </c>
      <c r="C1288" s="34" t="s">
        <v>6364</v>
      </c>
      <c r="F1288" t="s">
        <v>6364</v>
      </c>
      <c r="H1288">
        <v>5</v>
      </c>
      <c r="I1288">
        <f>VLOOKUP(B1288,BRAND!B:D,3,FALSE)</f>
        <v>9</v>
      </c>
      <c r="J1288">
        <f>LEN(F1288)</f>
        <v>6</v>
      </c>
      <c r="M1288">
        <v>1</v>
      </c>
    </row>
    <row r="1289" spans="1:13">
      <c r="A1289" t="s">
        <v>10284</v>
      </c>
      <c r="B1289" t="s">
        <v>520</v>
      </c>
      <c r="C1289" s="34" t="s">
        <v>10269</v>
      </c>
      <c r="F1289" t="s">
        <v>10269</v>
      </c>
      <c r="H1289">
        <v>5</v>
      </c>
      <c r="I1289">
        <f>VLOOKUP(B1289,BRAND!B:D,3,FALSE)</f>
        <v>9</v>
      </c>
      <c r="J1289">
        <f>LEN(F1289)</f>
        <v>6</v>
      </c>
      <c r="M1289">
        <v>1</v>
      </c>
    </row>
    <row r="1290" spans="1:13">
      <c r="A1290" t="s">
        <v>10283</v>
      </c>
      <c r="B1290" t="s">
        <v>520</v>
      </c>
      <c r="C1290" s="34" t="s">
        <v>534</v>
      </c>
      <c r="F1290" t="s">
        <v>534</v>
      </c>
      <c r="H1290">
        <v>5</v>
      </c>
      <c r="I1290">
        <f>VLOOKUP(B1290,BRAND!B:D,3,FALSE)</f>
        <v>9</v>
      </c>
      <c r="J1290">
        <f>LEN(F1290)</f>
        <v>6</v>
      </c>
      <c r="M1290">
        <v>1</v>
      </c>
    </row>
    <row r="1291" spans="1:13">
      <c r="A1291" s="29" t="s">
        <v>2462</v>
      </c>
      <c r="B1291" s="29" t="s">
        <v>520</v>
      </c>
      <c r="C1291" s="36" t="s">
        <v>534</v>
      </c>
      <c r="D1291" s="29"/>
      <c r="E1291" s="29"/>
      <c r="F1291" s="29" t="s">
        <v>534</v>
      </c>
      <c r="G1291" s="29"/>
      <c r="H1291" s="29">
        <v>5</v>
      </c>
      <c r="I1291">
        <f>VLOOKUP(B1291,BRAND!B:D,3,FALSE)</f>
        <v>9</v>
      </c>
      <c r="J1291">
        <v>6</v>
      </c>
      <c r="K1291" t="s">
        <v>821</v>
      </c>
      <c r="M1291">
        <v>1</v>
      </c>
    </row>
    <row r="1292" spans="1:13">
      <c r="A1292" t="s">
        <v>10259</v>
      </c>
      <c r="B1292" t="s">
        <v>520</v>
      </c>
      <c r="C1292" s="34" t="s">
        <v>536</v>
      </c>
      <c r="F1292" t="s">
        <v>536</v>
      </c>
      <c r="G1292" t="s">
        <v>801</v>
      </c>
      <c r="H1292">
        <v>5</v>
      </c>
      <c r="I1292">
        <f>VLOOKUP(B1292,BRAND!B:D,3,FALSE)</f>
        <v>9</v>
      </c>
      <c r="J1292">
        <f>LEN(F1292)</f>
        <v>5</v>
      </c>
      <c r="M1292">
        <v>1</v>
      </c>
    </row>
    <row r="1293" spans="1:13">
      <c r="A1293" t="s">
        <v>4113</v>
      </c>
      <c r="B1293" t="s">
        <v>520</v>
      </c>
      <c r="C1293" s="34" t="s">
        <v>536</v>
      </c>
      <c r="F1293" t="s">
        <v>536</v>
      </c>
      <c r="H1293">
        <v>5</v>
      </c>
      <c r="I1293">
        <f>VLOOKUP(B1293,BRAND!B:D,3,FALSE)</f>
        <v>9</v>
      </c>
      <c r="J1293">
        <v>5</v>
      </c>
      <c r="K1293" t="s">
        <v>821</v>
      </c>
      <c r="M1293">
        <v>1</v>
      </c>
    </row>
    <row r="1294" spans="1:13">
      <c r="A1294" t="s">
        <v>2463</v>
      </c>
      <c r="B1294" t="s">
        <v>520</v>
      </c>
      <c r="C1294" s="34" t="s">
        <v>561</v>
      </c>
      <c r="F1294" t="s">
        <v>561</v>
      </c>
      <c r="H1294">
        <v>5</v>
      </c>
      <c r="I1294">
        <f>VLOOKUP(B1294,BRAND!B:D,3,FALSE)</f>
        <v>9</v>
      </c>
      <c r="J1294">
        <v>3</v>
      </c>
      <c r="K1294" t="s">
        <v>821</v>
      </c>
      <c r="M1294">
        <v>1</v>
      </c>
    </row>
    <row r="1295" spans="1:13">
      <c r="A1295" t="s">
        <v>10259</v>
      </c>
      <c r="B1295" t="s">
        <v>520</v>
      </c>
      <c r="C1295" s="34" t="s">
        <v>5235</v>
      </c>
      <c r="F1295" t="s">
        <v>1438</v>
      </c>
      <c r="G1295" t="s">
        <v>801</v>
      </c>
      <c r="H1295">
        <v>6</v>
      </c>
      <c r="I1295">
        <f>VLOOKUP(B1295,BRAND!B:D,3,FALSE)</f>
        <v>9</v>
      </c>
      <c r="J1295">
        <v>4</v>
      </c>
      <c r="K1295" t="s">
        <v>821</v>
      </c>
      <c r="M1295">
        <v>1</v>
      </c>
    </row>
    <row r="1296" spans="1:13">
      <c r="A1296" t="s">
        <v>2291</v>
      </c>
      <c r="B1296" t="s">
        <v>520</v>
      </c>
      <c r="C1296" s="34" t="s">
        <v>1438</v>
      </c>
      <c r="F1296" t="s">
        <v>1438</v>
      </c>
      <c r="H1296">
        <v>15</v>
      </c>
      <c r="I1296">
        <f>VLOOKUP(B1296,BRAND!B:D,3,FALSE)</f>
        <v>9</v>
      </c>
      <c r="J1296">
        <v>4</v>
      </c>
      <c r="K1296" t="s">
        <v>821</v>
      </c>
      <c r="M1296">
        <v>1</v>
      </c>
    </row>
    <row r="1297" spans="1:13">
      <c r="A1297" t="s">
        <v>14121</v>
      </c>
      <c r="B1297" t="s">
        <v>14114</v>
      </c>
      <c r="C1297" s="34" t="s">
        <v>14122</v>
      </c>
      <c r="F1297" t="s">
        <v>14123</v>
      </c>
      <c r="G1297" t="s">
        <v>6932</v>
      </c>
      <c r="H1297">
        <v>5</v>
      </c>
      <c r="I1297">
        <f>VLOOKUP(B1297,BRAND!B:D,3,FALSE)</f>
        <v>0</v>
      </c>
      <c r="J1297">
        <f t="shared" ref="J1297:J1311" si="18">LEN(F1297)</f>
        <v>11</v>
      </c>
      <c r="K1297" t="s">
        <v>821</v>
      </c>
      <c r="L1297">
        <v>0</v>
      </c>
      <c r="M1297">
        <v>1</v>
      </c>
    </row>
    <row r="1298" spans="1:13">
      <c r="A1298" t="s">
        <v>14117</v>
      </c>
      <c r="B1298" t="s">
        <v>14114</v>
      </c>
      <c r="C1298" s="34" t="s">
        <v>14118</v>
      </c>
      <c r="F1298" t="s">
        <v>14119</v>
      </c>
      <c r="G1298" t="s">
        <v>6932</v>
      </c>
      <c r="H1298">
        <v>5</v>
      </c>
      <c r="I1298">
        <f>VLOOKUP(B1298,BRAND!B:D,3,FALSE)</f>
        <v>0</v>
      </c>
      <c r="J1298">
        <f t="shared" si="18"/>
        <v>11</v>
      </c>
      <c r="K1298" t="s">
        <v>821</v>
      </c>
      <c r="L1298">
        <v>0</v>
      </c>
      <c r="M1298">
        <v>1</v>
      </c>
    </row>
    <row r="1299" spans="1:13">
      <c r="A1299" t="s">
        <v>14132</v>
      </c>
      <c r="B1299" t="s">
        <v>14114</v>
      </c>
      <c r="C1299" s="34" t="s">
        <v>14133</v>
      </c>
      <c r="F1299" t="s">
        <v>14133</v>
      </c>
      <c r="G1299" t="s">
        <v>6932</v>
      </c>
      <c r="H1299">
        <v>5</v>
      </c>
      <c r="I1299">
        <f>VLOOKUP(B1299,BRAND!B:D,3,FALSE)</f>
        <v>0</v>
      </c>
      <c r="J1299">
        <f t="shared" si="18"/>
        <v>10</v>
      </c>
      <c r="K1299" t="s">
        <v>821</v>
      </c>
      <c r="L1299">
        <v>0</v>
      </c>
      <c r="M1299">
        <v>1</v>
      </c>
    </row>
    <row r="1300" spans="1:13">
      <c r="A1300" t="s">
        <v>14134</v>
      </c>
      <c r="B1300" t="s">
        <v>14114</v>
      </c>
      <c r="C1300" s="34" t="s">
        <v>14135</v>
      </c>
      <c r="F1300" t="s">
        <v>14135</v>
      </c>
      <c r="G1300" t="s">
        <v>6932</v>
      </c>
      <c r="H1300">
        <v>5</v>
      </c>
      <c r="I1300">
        <f>VLOOKUP(B1300,BRAND!B:D,3,FALSE)</f>
        <v>0</v>
      </c>
      <c r="J1300">
        <f t="shared" si="18"/>
        <v>10</v>
      </c>
      <c r="K1300" t="s">
        <v>821</v>
      </c>
      <c r="L1300">
        <v>0</v>
      </c>
      <c r="M1300">
        <v>1</v>
      </c>
    </row>
    <row r="1301" spans="1:13">
      <c r="A1301" t="s">
        <v>14125</v>
      </c>
      <c r="B1301" t="s">
        <v>14114</v>
      </c>
      <c r="C1301" s="34" t="s">
        <v>6948</v>
      </c>
      <c r="F1301" t="s">
        <v>14126</v>
      </c>
      <c r="G1301" t="s">
        <v>6932</v>
      </c>
      <c r="H1301">
        <v>5</v>
      </c>
      <c r="I1301">
        <f>VLOOKUP(B1301,BRAND!B:D,3,FALSE)</f>
        <v>0</v>
      </c>
      <c r="J1301">
        <f t="shared" si="18"/>
        <v>9</v>
      </c>
      <c r="K1301" t="s">
        <v>821</v>
      </c>
      <c r="L1301">
        <v>0</v>
      </c>
      <c r="M1301">
        <v>1</v>
      </c>
    </row>
    <row r="1302" spans="1:13">
      <c r="A1302" t="s">
        <v>14124</v>
      </c>
      <c r="B1302" t="s">
        <v>14114</v>
      </c>
      <c r="C1302" s="34" t="s">
        <v>933</v>
      </c>
      <c r="F1302" t="s">
        <v>933</v>
      </c>
      <c r="G1302" t="s">
        <v>6932</v>
      </c>
      <c r="H1302">
        <v>5</v>
      </c>
      <c r="I1302">
        <f>VLOOKUP(B1302,BRAND!B:D,3,FALSE)</f>
        <v>0</v>
      </c>
      <c r="J1302">
        <f t="shared" si="18"/>
        <v>8</v>
      </c>
      <c r="K1302" t="s">
        <v>821</v>
      </c>
      <c r="L1302">
        <v>0</v>
      </c>
      <c r="M1302">
        <v>1</v>
      </c>
    </row>
    <row r="1303" spans="1:13">
      <c r="A1303" t="s">
        <v>14136</v>
      </c>
      <c r="B1303" t="s">
        <v>14114</v>
      </c>
      <c r="C1303" s="34" t="s">
        <v>786</v>
      </c>
      <c r="F1303" t="s">
        <v>8764</v>
      </c>
      <c r="G1303" t="s">
        <v>6932</v>
      </c>
      <c r="H1303">
        <v>5</v>
      </c>
      <c r="I1303">
        <f>VLOOKUP(B1303,BRAND!B:D,3,FALSE)</f>
        <v>0</v>
      </c>
      <c r="J1303">
        <f t="shared" si="18"/>
        <v>7</v>
      </c>
      <c r="K1303" t="s">
        <v>821</v>
      </c>
      <c r="L1303">
        <v>0</v>
      </c>
      <c r="M1303">
        <v>1</v>
      </c>
    </row>
    <row r="1304" spans="1:13">
      <c r="A1304" t="s">
        <v>14115</v>
      </c>
      <c r="B1304" t="s">
        <v>14114</v>
      </c>
      <c r="C1304" s="34" t="s">
        <v>12474</v>
      </c>
      <c r="F1304" t="s">
        <v>12474</v>
      </c>
      <c r="G1304" t="s">
        <v>6932</v>
      </c>
      <c r="H1304">
        <v>5</v>
      </c>
      <c r="I1304">
        <f>VLOOKUP(B1304,BRAND!B:D,3,FALSE)</f>
        <v>0</v>
      </c>
      <c r="J1304">
        <f t="shared" si="18"/>
        <v>7</v>
      </c>
      <c r="K1304" t="s">
        <v>821</v>
      </c>
      <c r="L1304">
        <v>0</v>
      </c>
      <c r="M1304">
        <v>1</v>
      </c>
    </row>
    <row r="1305" spans="1:13">
      <c r="A1305" t="s">
        <v>14129</v>
      </c>
      <c r="B1305" t="s">
        <v>14114</v>
      </c>
      <c r="C1305" s="34" t="s">
        <v>534</v>
      </c>
      <c r="F1305" t="s">
        <v>534</v>
      </c>
      <c r="G1305" t="s">
        <v>6932</v>
      </c>
      <c r="H1305">
        <v>5</v>
      </c>
      <c r="I1305">
        <f>VLOOKUP(B1305,BRAND!B:D,3,FALSE)</f>
        <v>0</v>
      </c>
      <c r="J1305">
        <f t="shared" si="18"/>
        <v>6</v>
      </c>
      <c r="K1305" t="s">
        <v>821</v>
      </c>
      <c r="L1305">
        <v>0</v>
      </c>
      <c r="M1305">
        <v>1</v>
      </c>
    </row>
    <row r="1306" spans="1:13">
      <c r="A1306" t="s">
        <v>14116</v>
      </c>
      <c r="B1306" t="s">
        <v>14114</v>
      </c>
      <c r="C1306" s="34" t="s">
        <v>10023</v>
      </c>
      <c r="F1306" t="s">
        <v>10023</v>
      </c>
      <c r="G1306" t="s">
        <v>6932</v>
      </c>
      <c r="H1306">
        <v>5</v>
      </c>
      <c r="I1306">
        <f>VLOOKUP(B1306,BRAND!B:D,3,FALSE)</f>
        <v>0</v>
      </c>
      <c r="J1306">
        <f t="shared" si="18"/>
        <v>6</v>
      </c>
      <c r="K1306" t="s">
        <v>821</v>
      </c>
      <c r="L1306">
        <v>0</v>
      </c>
      <c r="M1306">
        <v>1</v>
      </c>
    </row>
    <row r="1307" spans="1:13">
      <c r="A1307" t="s">
        <v>14113</v>
      </c>
      <c r="B1307" t="s">
        <v>14114</v>
      </c>
      <c r="C1307" s="34" t="s">
        <v>536</v>
      </c>
      <c r="F1307" t="s">
        <v>536</v>
      </c>
      <c r="G1307" t="s">
        <v>6932</v>
      </c>
      <c r="H1307">
        <v>5</v>
      </c>
      <c r="I1307">
        <f>VLOOKUP(B1307,BRAND!B:D,3,FALSE)</f>
        <v>0</v>
      </c>
      <c r="J1307">
        <f t="shared" si="18"/>
        <v>5</v>
      </c>
      <c r="K1307" t="s">
        <v>821</v>
      </c>
      <c r="L1307">
        <v>0</v>
      </c>
      <c r="M1307">
        <v>1</v>
      </c>
    </row>
    <row r="1308" spans="1:13">
      <c r="A1308" t="s">
        <v>14127</v>
      </c>
      <c r="B1308" t="s">
        <v>14114</v>
      </c>
      <c r="C1308" s="34" t="s">
        <v>842</v>
      </c>
      <c r="F1308" t="s">
        <v>14128</v>
      </c>
      <c r="G1308" t="s">
        <v>6932</v>
      </c>
      <c r="H1308">
        <v>5</v>
      </c>
      <c r="I1308">
        <f>VLOOKUP(B1308,BRAND!B:D,3,FALSE)</f>
        <v>0</v>
      </c>
      <c r="J1308">
        <f t="shared" si="18"/>
        <v>5</v>
      </c>
      <c r="K1308" t="s">
        <v>821</v>
      </c>
      <c r="L1308">
        <v>0</v>
      </c>
      <c r="M1308">
        <v>1</v>
      </c>
    </row>
    <row r="1309" spans="1:13" s="29" customFormat="1">
      <c r="A1309" t="s">
        <v>14130</v>
      </c>
      <c r="B1309" t="s">
        <v>14114</v>
      </c>
      <c r="C1309" s="34" t="s">
        <v>788</v>
      </c>
      <c r="D1309"/>
      <c r="E1309"/>
      <c r="F1309" t="s">
        <v>14131</v>
      </c>
      <c r="G1309" t="s">
        <v>6932</v>
      </c>
      <c r="H1309">
        <v>5</v>
      </c>
      <c r="I1309">
        <f>VLOOKUP(B1309,BRAND!B:D,3,FALSE)</f>
        <v>0</v>
      </c>
      <c r="J1309">
        <f t="shared" si="18"/>
        <v>4</v>
      </c>
      <c r="K1309" t="s">
        <v>821</v>
      </c>
      <c r="L1309">
        <v>0</v>
      </c>
      <c r="M1309">
        <v>1</v>
      </c>
    </row>
    <row r="1310" spans="1:13" s="29" customFormat="1">
      <c r="A1310" t="s">
        <v>14120</v>
      </c>
      <c r="B1310" t="s">
        <v>14114</v>
      </c>
      <c r="C1310" s="34" t="s">
        <v>561</v>
      </c>
      <c r="D1310"/>
      <c r="E1310"/>
      <c r="F1310" t="s">
        <v>561</v>
      </c>
      <c r="G1310" t="s">
        <v>6932</v>
      </c>
      <c r="H1310">
        <v>5</v>
      </c>
      <c r="I1310">
        <f>VLOOKUP(B1310,BRAND!B:D,3,FALSE)</f>
        <v>0</v>
      </c>
      <c r="J1310">
        <f t="shared" si="18"/>
        <v>3</v>
      </c>
      <c r="K1310" t="s">
        <v>821</v>
      </c>
      <c r="L1310">
        <v>0</v>
      </c>
      <c r="M1310">
        <v>1</v>
      </c>
    </row>
    <row r="1311" spans="1:13">
      <c r="A1311" t="s">
        <v>14137</v>
      </c>
      <c r="B1311" t="s">
        <v>14138</v>
      </c>
      <c r="C1311" s="34" t="s">
        <v>536</v>
      </c>
      <c r="F1311" t="s">
        <v>536</v>
      </c>
      <c r="G1311" t="s">
        <v>6932</v>
      </c>
      <c r="H1311">
        <v>5</v>
      </c>
      <c r="I1311">
        <f>VLOOKUP(B1311,BRAND!B:D,3,FALSE)</f>
        <v>0</v>
      </c>
      <c r="J1311">
        <f t="shared" si="18"/>
        <v>5</v>
      </c>
      <c r="K1311" t="s">
        <v>821</v>
      </c>
      <c r="L1311">
        <v>0</v>
      </c>
      <c r="M1311">
        <v>1</v>
      </c>
    </row>
    <row r="1312" spans="1:13">
      <c r="A1312" t="s">
        <v>3295</v>
      </c>
      <c r="B1312" t="s">
        <v>1223</v>
      </c>
      <c r="C1312" s="34" t="s">
        <v>1438</v>
      </c>
      <c r="F1312" t="s">
        <v>1438</v>
      </c>
      <c r="H1312">
        <v>15</v>
      </c>
      <c r="I1312">
        <f>VLOOKUP(B1312,BRAND!B:D,3,FALSE)</f>
        <v>9</v>
      </c>
      <c r="J1312">
        <v>4</v>
      </c>
      <c r="K1312" t="s">
        <v>821</v>
      </c>
      <c r="M1312">
        <v>0</v>
      </c>
    </row>
    <row r="1313" spans="1:13">
      <c r="A1313" t="s">
        <v>7656</v>
      </c>
      <c r="B1313" t="s">
        <v>7657</v>
      </c>
      <c r="C1313" s="34" t="s">
        <v>933</v>
      </c>
      <c r="F1313" t="s">
        <v>933</v>
      </c>
      <c r="G1313" t="s">
        <v>6932</v>
      </c>
      <c r="H1313">
        <v>5</v>
      </c>
      <c r="I1313">
        <f>VLOOKUP(B1313,BRAND!B:D,3,FALSE)</f>
        <v>5.5</v>
      </c>
      <c r="J1313">
        <v>8</v>
      </c>
      <c r="M1313">
        <v>1</v>
      </c>
    </row>
    <row r="1314" spans="1:13">
      <c r="A1314" t="s">
        <v>7658</v>
      </c>
      <c r="B1314" t="s">
        <v>7659</v>
      </c>
      <c r="C1314" s="34" t="s">
        <v>840</v>
      </c>
      <c r="F1314" t="s">
        <v>840</v>
      </c>
      <c r="G1314" t="s">
        <v>6932</v>
      </c>
      <c r="H1314">
        <v>5</v>
      </c>
      <c r="I1314">
        <f>VLOOKUP(B1314,BRAND!B:D,3,FALSE)</f>
        <v>17</v>
      </c>
      <c r="J1314">
        <v>9</v>
      </c>
      <c r="M1314">
        <v>1</v>
      </c>
    </row>
    <row r="1315" spans="1:13">
      <c r="A1315" t="s">
        <v>12261</v>
      </c>
      <c r="B1315" t="s">
        <v>7659</v>
      </c>
      <c r="C1315" s="34" t="s">
        <v>12262</v>
      </c>
      <c r="F1315" t="s">
        <v>12262</v>
      </c>
      <c r="G1315" t="s">
        <v>6932</v>
      </c>
      <c r="H1315">
        <v>5</v>
      </c>
    </row>
    <row r="1316" spans="1:13">
      <c r="A1316" t="s">
        <v>12263</v>
      </c>
      <c r="B1316" t="s">
        <v>7659</v>
      </c>
      <c r="C1316" s="34" t="s">
        <v>12264</v>
      </c>
      <c r="F1316" t="s">
        <v>12264</v>
      </c>
      <c r="G1316" t="s">
        <v>6932</v>
      </c>
      <c r="H1316">
        <v>5</v>
      </c>
    </row>
    <row r="1317" spans="1:13">
      <c r="A1317" t="s">
        <v>12265</v>
      </c>
      <c r="B1317" t="s">
        <v>7659</v>
      </c>
      <c r="C1317" s="34" t="s">
        <v>12266</v>
      </c>
      <c r="F1317" t="s">
        <v>12266</v>
      </c>
      <c r="G1317" t="s">
        <v>6932</v>
      </c>
      <c r="H1317">
        <v>5</v>
      </c>
    </row>
    <row r="1318" spans="1:13">
      <c r="A1318" t="s">
        <v>12267</v>
      </c>
      <c r="B1318" t="s">
        <v>7659</v>
      </c>
      <c r="C1318" s="34" t="s">
        <v>12268</v>
      </c>
      <c r="F1318" t="s">
        <v>12268</v>
      </c>
      <c r="G1318" t="s">
        <v>6932</v>
      </c>
      <c r="H1318">
        <v>5</v>
      </c>
    </row>
    <row r="1319" spans="1:13">
      <c r="A1319" t="s">
        <v>12269</v>
      </c>
      <c r="B1319" t="s">
        <v>7659</v>
      </c>
      <c r="C1319" s="34" t="s">
        <v>12270</v>
      </c>
      <c r="F1319" t="s">
        <v>12271</v>
      </c>
      <c r="G1319" t="s">
        <v>6932</v>
      </c>
      <c r="H1319">
        <v>5</v>
      </c>
    </row>
    <row r="1320" spans="1:13">
      <c r="A1320" t="s">
        <v>12272</v>
      </c>
      <c r="B1320" t="s">
        <v>7659</v>
      </c>
      <c r="C1320" s="34">
        <v>13</v>
      </c>
      <c r="F1320" t="s">
        <v>12273</v>
      </c>
      <c r="G1320" t="s">
        <v>6932</v>
      </c>
      <c r="H1320">
        <v>5</v>
      </c>
    </row>
    <row r="1321" spans="1:13">
      <c r="A1321" t="s">
        <v>12274</v>
      </c>
      <c r="B1321" t="s">
        <v>7659</v>
      </c>
      <c r="C1321" s="34">
        <v>8</v>
      </c>
      <c r="F1321" t="s">
        <v>12275</v>
      </c>
      <c r="G1321" t="s">
        <v>6932</v>
      </c>
      <c r="H1321">
        <v>5</v>
      </c>
    </row>
    <row r="1322" spans="1:13">
      <c r="A1322" t="s">
        <v>12276</v>
      </c>
      <c r="B1322" t="s">
        <v>7659</v>
      </c>
      <c r="C1322" s="34" t="s">
        <v>12277</v>
      </c>
      <c r="F1322" t="s">
        <v>12277</v>
      </c>
      <c r="G1322" t="s">
        <v>6932</v>
      </c>
      <c r="H1322">
        <v>5</v>
      </c>
    </row>
    <row r="1323" spans="1:13">
      <c r="A1323" t="s">
        <v>12278</v>
      </c>
      <c r="B1323" t="s">
        <v>7659</v>
      </c>
      <c r="C1323" s="34" t="s">
        <v>12279</v>
      </c>
      <c r="F1323" t="s">
        <v>12279</v>
      </c>
      <c r="G1323" t="s">
        <v>6932</v>
      </c>
      <c r="H1323">
        <v>5</v>
      </c>
    </row>
    <row r="1324" spans="1:13">
      <c r="A1324" t="s">
        <v>12280</v>
      </c>
      <c r="B1324" t="s">
        <v>7659</v>
      </c>
      <c r="C1324" s="34">
        <v>11</v>
      </c>
      <c r="F1324" t="s">
        <v>12281</v>
      </c>
      <c r="G1324" t="s">
        <v>6932</v>
      </c>
      <c r="H1324">
        <v>5</v>
      </c>
    </row>
    <row r="1325" spans="1:13">
      <c r="A1325" t="s">
        <v>12282</v>
      </c>
      <c r="B1325" t="s">
        <v>7659</v>
      </c>
      <c r="C1325" s="34" t="s">
        <v>10004</v>
      </c>
      <c r="F1325" t="s">
        <v>12283</v>
      </c>
      <c r="G1325" t="s">
        <v>6932</v>
      </c>
      <c r="H1325">
        <v>5</v>
      </c>
    </row>
    <row r="1326" spans="1:13">
      <c r="A1326" t="s">
        <v>12284</v>
      </c>
      <c r="B1326" t="s">
        <v>7659</v>
      </c>
      <c r="C1326" s="34">
        <v>17</v>
      </c>
      <c r="F1326" t="s">
        <v>12285</v>
      </c>
      <c r="G1326" t="s">
        <v>6932</v>
      </c>
      <c r="H1326">
        <v>5</v>
      </c>
    </row>
    <row r="1327" spans="1:13">
      <c r="A1327" t="s">
        <v>12286</v>
      </c>
      <c r="B1327" t="s">
        <v>7659</v>
      </c>
      <c r="C1327" s="34">
        <v>4</v>
      </c>
      <c r="F1327" t="s">
        <v>12287</v>
      </c>
      <c r="G1327" t="s">
        <v>6932</v>
      </c>
      <c r="H1327">
        <v>5</v>
      </c>
    </row>
    <row r="1328" spans="1:13">
      <c r="A1328" t="s">
        <v>12288</v>
      </c>
      <c r="B1328" t="s">
        <v>7659</v>
      </c>
      <c r="C1328" s="34">
        <v>16</v>
      </c>
      <c r="F1328" t="s">
        <v>12289</v>
      </c>
      <c r="G1328" t="s">
        <v>6932</v>
      </c>
      <c r="H1328">
        <v>5</v>
      </c>
    </row>
    <row r="1329" spans="1:13">
      <c r="A1329" t="s">
        <v>12290</v>
      </c>
      <c r="B1329" t="s">
        <v>7659</v>
      </c>
      <c r="C1329" s="34">
        <v>10</v>
      </c>
      <c r="F1329" t="s">
        <v>12291</v>
      </c>
      <c r="G1329" t="s">
        <v>6932</v>
      </c>
      <c r="H1329">
        <v>5</v>
      </c>
    </row>
    <row r="1330" spans="1:13">
      <c r="A1330" t="s">
        <v>12292</v>
      </c>
      <c r="B1330" t="s">
        <v>7659</v>
      </c>
      <c r="C1330" s="34">
        <v>15</v>
      </c>
      <c r="F1330" t="s">
        <v>12293</v>
      </c>
      <c r="G1330" t="s">
        <v>6932</v>
      </c>
      <c r="H1330">
        <v>5</v>
      </c>
    </row>
    <row r="1331" spans="1:13">
      <c r="A1331" t="s">
        <v>12294</v>
      </c>
      <c r="B1331" t="s">
        <v>7659</v>
      </c>
      <c r="C1331" s="34" t="s">
        <v>8070</v>
      </c>
      <c r="F1331" t="s">
        <v>12295</v>
      </c>
      <c r="G1331" t="s">
        <v>6932</v>
      </c>
      <c r="H1331">
        <v>5</v>
      </c>
    </row>
    <row r="1332" spans="1:13">
      <c r="A1332" t="s">
        <v>12296</v>
      </c>
      <c r="B1332" t="s">
        <v>7659</v>
      </c>
      <c r="C1332" s="34">
        <v>19</v>
      </c>
      <c r="F1332" t="s">
        <v>12297</v>
      </c>
      <c r="G1332" t="s">
        <v>6932</v>
      </c>
      <c r="H1332">
        <v>5</v>
      </c>
    </row>
    <row r="1333" spans="1:13">
      <c r="A1333" t="s">
        <v>12298</v>
      </c>
      <c r="B1333" t="s">
        <v>7659</v>
      </c>
      <c r="C1333" s="34">
        <v>21</v>
      </c>
      <c r="F1333" t="s">
        <v>12299</v>
      </c>
      <c r="G1333" t="s">
        <v>6932</v>
      </c>
      <c r="H1333">
        <v>5</v>
      </c>
    </row>
    <row r="1334" spans="1:13">
      <c r="A1334" t="s">
        <v>12300</v>
      </c>
      <c r="B1334" t="s">
        <v>7659</v>
      </c>
      <c r="C1334" s="34" t="s">
        <v>12301</v>
      </c>
      <c r="F1334" t="s">
        <v>12302</v>
      </c>
      <c r="G1334" t="s">
        <v>6932</v>
      </c>
      <c r="H1334">
        <v>5</v>
      </c>
    </row>
    <row r="1335" spans="1:13">
      <c r="A1335" t="s">
        <v>12303</v>
      </c>
      <c r="B1335" t="s">
        <v>7659</v>
      </c>
      <c r="C1335" s="34" t="s">
        <v>12304</v>
      </c>
      <c r="F1335" t="s">
        <v>12305</v>
      </c>
      <c r="G1335" t="s">
        <v>6932</v>
      </c>
      <c r="H1335">
        <v>5</v>
      </c>
    </row>
    <row r="1336" spans="1:13">
      <c r="A1336" t="s">
        <v>12306</v>
      </c>
      <c r="B1336" t="s">
        <v>7659</v>
      </c>
      <c r="C1336" s="34">
        <v>6</v>
      </c>
      <c r="F1336">
        <v>6</v>
      </c>
      <c r="G1336" t="s">
        <v>6932</v>
      </c>
      <c r="H1336">
        <v>5</v>
      </c>
    </row>
    <row r="1337" spans="1:13">
      <c r="A1337" t="s">
        <v>12307</v>
      </c>
      <c r="B1337" t="s">
        <v>7659</v>
      </c>
      <c r="C1337" s="34" t="s">
        <v>12308</v>
      </c>
      <c r="F1337" t="s">
        <v>12308</v>
      </c>
      <c r="G1337" t="s">
        <v>6932</v>
      </c>
      <c r="H1337">
        <v>5</v>
      </c>
    </row>
    <row r="1338" spans="1:13">
      <c r="A1338" t="s">
        <v>12309</v>
      </c>
      <c r="B1338" t="s">
        <v>7659</v>
      </c>
      <c r="C1338" s="34" t="s">
        <v>12310</v>
      </c>
      <c r="F1338" t="s">
        <v>12311</v>
      </c>
      <c r="G1338" t="s">
        <v>6932</v>
      </c>
      <c r="H1338">
        <v>5</v>
      </c>
    </row>
    <row r="1339" spans="1:13">
      <c r="A1339" t="s">
        <v>7660</v>
      </c>
      <c r="B1339" t="s">
        <v>7661</v>
      </c>
      <c r="C1339" s="34" t="s">
        <v>1438</v>
      </c>
      <c r="F1339" t="s">
        <v>1438</v>
      </c>
      <c r="G1339" t="s">
        <v>6932</v>
      </c>
      <c r="H1339">
        <v>5</v>
      </c>
      <c r="I1339">
        <f>VLOOKUP(B1339,BRAND!B:D,3,FALSE)</f>
        <v>5.5</v>
      </c>
      <c r="J1339">
        <v>4</v>
      </c>
      <c r="M1339">
        <v>1</v>
      </c>
    </row>
    <row r="1340" spans="1:13">
      <c r="A1340" t="s">
        <v>7662</v>
      </c>
      <c r="B1340" t="s">
        <v>7663</v>
      </c>
      <c r="C1340" s="34" t="s">
        <v>1438</v>
      </c>
      <c r="F1340" t="s">
        <v>1438</v>
      </c>
      <c r="G1340" t="s">
        <v>6932</v>
      </c>
      <c r="H1340">
        <v>5</v>
      </c>
      <c r="I1340">
        <f>VLOOKUP(B1340,BRAND!B:D,3,FALSE)</f>
        <v>5.5</v>
      </c>
      <c r="J1340">
        <v>4</v>
      </c>
      <c r="M1340">
        <v>1</v>
      </c>
    </row>
    <row r="1341" spans="1:13">
      <c r="A1341" t="s">
        <v>2370</v>
      </c>
      <c r="B1341" t="s">
        <v>521</v>
      </c>
      <c r="C1341" s="34" t="s">
        <v>1438</v>
      </c>
      <c r="F1341" t="s">
        <v>1438</v>
      </c>
      <c r="H1341">
        <v>15</v>
      </c>
      <c r="I1341">
        <f>VLOOKUP(B1341,BRAND!B:D,3,FALSE)</f>
        <v>9</v>
      </c>
      <c r="J1341">
        <v>4</v>
      </c>
      <c r="K1341" t="s">
        <v>821</v>
      </c>
      <c r="M1341">
        <v>1</v>
      </c>
    </row>
    <row r="1342" spans="1:13">
      <c r="A1342" t="s">
        <v>6910</v>
      </c>
      <c r="B1342" t="s">
        <v>6911</v>
      </c>
      <c r="C1342" s="34" t="s">
        <v>6912</v>
      </c>
      <c r="F1342" t="s">
        <v>1511</v>
      </c>
      <c r="H1342">
        <v>5</v>
      </c>
      <c r="I1342">
        <f>VLOOKUP(B1342,BRAND!B:D,3,FALSE)</f>
        <v>5</v>
      </c>
      <c r="J1342">
        <v>6</v>
      </c>
      <c r="M1342">
        <v>1</v>
      </c>
    </row>
    <row r="1343" spans="1:13">
      <c r="A1343" t="s">
        <v>7664</v>
      </c>
      <c r="B1343" t="s">
        <v>7665</v>
      </c>
      <c r="C1343" s="34" t="s">
        <v>1438</v>
      </c>
      <c r="F1343" t="s">
        <v>1438</v>
      </c>
      <c r="G1343" t="s">
        <v>6932</v>
      </c>
      <c r="H1343">
        <v>5</v>
      </c>
      <c r="I1343">
        <f>VLOOKUP(B1343,BRAND!B:D,3,FALSE)</f>
        <v>5.5</v>
      </c>
      <c r="J1343">
        <v>4</v>
      </c>
      <c r="M1343">
        <v>1</v>
      </c>
    </row>
    <row r="1344" spans="1:13">
      <c r="A1344" t="s">
        <v>6835</v>
      </c>
      <c r="B1344" t="s">
        <v>6832</v>
      </c>
      <c r="C1344" s="34" t="s">
        <v>6836</v>
      </c>
      <c r="F1344" t="s">
        <v>6837</v>
      </c>
      <c r="H1344">
        <v>5</v>
      </c>
      <c r="I1344">
        <f>VLOOKUP(B1344,BRAND!B:D,3,FALSE)</f>
        <v>5</v>
      </c>
      <c r="J1344">
        <f>LEN(F1344)</f>
        <v>19</v>
      </c>
      <c r="M1344">
        <v>1</v>
      </c>
    </row>
    <row r="1345" spans="1:13">
      <c r="A1345" t="s">
        <v>6831</v>
      </c>
      <c r="B1345" t="s">
        <v>6832</v>
      </c>
      <c r="C1345" s="34" t="s">
        <v>6833</v>
      </c>
      <c r="F1345" t="s">
        <v>6834</v>
      </c>
      <c r="H1345">
        <v>5</v>
      </c>
      <c r="I1345">
        <f>VLOOKUP(B1345,BRAND!B:D,3,FALSE)</f>
        <v>5</v>
      </c>
      <c r="J1345">
        <f>LEN(F1345)</f>
        <v>12</v>
      </c>
      <c r="M1345">
        <v>1</v>
      </c>
    </row>
    <row r="1346" spans="1:13">
      <c r="A1346" t="s">
        <v>2975</v>
      </c>
      <c r="B1346" t="s">
        <v>1224</v>
      </c>
      <c r="C1346" s="34" t="s">
        <v>534</v>
      </c>
      <c r="F1346" t="s">
        <v>534</v>
      </c>
      <c r="H1346">
        <v>5</v>
      </c>
      <c r="I1346">
        <f>VLOOKUP(B1346,BRAND!B:D,3,FALSE)</f>
        <v>9</v>
      </c>
      <c r="J1346">
        <v>6</v>
      </c>
      <c r="K1346" t="s">
        <v>821</v>
      </c>
      <c r="M1346">
        <v>1</v>
      </c>
    </row>
    <row r="1347" spans="1:13">
      <c r="A1347" t="s">
        <v>3890</v>
      </c>
      <c r="B1347" t="s">
        <v>1224</v>
      </c>
      <c r="C1347" s="34" t="s">
        <v>536</v>
      </c>
      <c r="F1347" t="s">
        <v>536</v>
      </c>
      <c r="H1347">
        <v>5</v>
      </c>
      <c r="I1347">
        <f>VLOOKUP(B1347,BRAND!B:D,3,FALSE)</f>
        <v>9</v>
      </c>
      <c r="J1347">
        <v>5</v>
      </c>
      <c r="K1347" t="s">
        <v>821</v>
      </c>
      <c r="M1347">
        <v>1</v>
      </c>
    </row>
    <row r="1348" spans="1:13">
      <c r="A1348" t="s">
        <v>3891</v>
      </c>
      <c r="B1348" t="s">
        <v>1224</v>
      </c>
      <c r="C1348" s="34" t="s">
        <v>842</v>
      </c>
      <c r="F1348" t="s">
        <v>842</v>
      </c>
      <c r="H1348">
        <v>5</v>
      </c>
      <c r="I1348">
        <f>VLOOKUP(B1348,BRAND!B:D,3,FALSE)</f>
        <v>9</v>
      </c>
      <c r="J1348">
        <v>5</v>
      </c>
      <c r="K1348" t="s">
        <v>821</v>
      </c>
      <c r="M1348">
        <v>1</v>
      </c>
    </row>
    <row r="1349" spans="1:13">
      <c r="A1349" t="s">
        <v>9582</v>
      </c>
      <c r="B1349" t="s">
        <v>1224</v>
      </c>
      <c r="C1349" s="34" t="s">
        <v>788</v>
      </c>
      <c r="F1349" t="s">
        <v>788</v>
      </c>
      <c r="H1349">
        <v>5</v>
      </c>
      <c r="I1349">
        <f>VLOOKUP(B1349,BRAND!B:D,3,FALSE)</f>
        <v>9</v>
      </c>
      <c r="J1349">
        <v>4</v>
      </c>
      <c r="M1349">
        <v>1</v>
      </c>
    </row>
    <row r="1350" spans="1:13">
      <c r="A1350" t="s">
        <v>2371</v>
      </c>
      <c r="B1350" t="s">
        <v>1224</v>
      </c>
      <c r="C1350" s="34" t="s">
        <v>1438</v>
      </c>
      <c r="F1350" t="s">
        <v>1438</v>
      </c>
      <c r="H1350">
        <v>15</v>
      </c>
      <c r="I1350">
        <f>VLOOKUP(B1350,BRAND!B:D,3,FALSE)</f>
        <v>9</v>
      </c>
      <c r="J1350">
        <v>4</v>
      </c>
      <c r="K1350" t="s">
        <v>821</v>
      </c>
      <c r="M1350">
        <v>0</v>
      </c>
    </row>
    <row r="1351" spans="1:13">
      <c r="A1351" t="s">
        <v>7666</v>
      </c>
      <c r="B1351" t="s">
        <v>7667</v>
      </c>
      <c r="C1351" s="34" t="s">
        <v>1438</v>
      </c>
      <c r="F1351" t="s">
        <v>1438</v>
      </c>
      <c r="G1351" t="s">
        <v>6932</v>
      </c>
      <c r="H1351">
        <v>5</v>
      </c>
      <c r="I1351">
        <f>VLOOKUP(B1351,BRAND!B:D,3,FALSE)</f>
        <v>5.5</v>
      </c>
      <c r="J1351">
        <v>4</v>
      </c>
      <c r="M1351">
        <v>0</v>
      </c>
    </row>
    <row r="1352" spans="1:13">
      <c r="A1352" t="s">
        <v>2327</v>
      </c>
      <c r="B1352" t="s">
        <v>501</v>
      </c>
      <c r="C1352" s="34" t="s">
        <v>1438</v>
      </c>
      <c r="F1352" t="s">
        <v>1438</v>
      </c>
      <c r="H1352">
        <v>15</v>
      </c>
      <c r="I1352">
        <f>VLOOKUP(B1352,BRAND!B:D,3,FALSE)</f>
        <v>9</v>
      </c>
      <c r="J1352">
        <v>4</v>
      </c>
      <c r="K1352" t="s">
        <v>821</v>
      </c>
      <c r="M1352">
        <v>1</v>
      </c>
    </row>
    <row r="1353" spans="1:13">
      <c r="A1353" t="s">
        <v>4827</v>
      </c>
      <c r="B1353" t="s">
        <v>18</v>
      </c>
      <c r="C1353" s="34" t="s">
        <v>1478</v>
      </c>
      <c r="F1353" t="s">
        <v>1478</v>
      </c>
      <c r="H1353">
        <v>5</v>
      </c>
      <c r="I1353">
        <f>VLOOKUP(B1353,BRAND!B:D,3,FALSE)</f>
        <v>9</v>
      </c>
      <c r="J1353">
        <f>LEN(F1353)</f>
        <v>11</v>
      </c>
      <c r="K1353" t="s">
        <v>822</v>
      </c>
      <c r="M1353">
        <v>1</v>
      </c>
    </row>
    <row r="1354" spans="1:13">
      <c r="A1354" t="s">
        <v>4746</v>
      </c>
      <c r="B1354" t="s">
        <v>18</v>
      </c>
      <c r="C1354" s="34" t="s">
        <v>1965</v>
      </c>
      <c r="F1354" t="s">
        <v>1965</v>
      </c>
      <c r="H1354">
        <v>5</v>
      </c>
      <c r="I1354">
        <f>VLOOKUP(B1354,BRAND!B:D,3,FALSE)</f>
        <v>9</v>
      </c>
      <c r="J1354">
        <f>LEN(F1354)</f>
        <v>10</v>
      </c>
      <c r="K1354" t="s">
        <v>822</v>
      </c>
      <c r="M1354">
        <v>1</v>
      </c>
    </row>
    <row r="1355" spans="1:13">
      <c r="A1355" t="s">
        <v>4244</v>
      </c>
      <c r="B1355" t="s">
        <v>18</v>
      </c>
      <c r="C1355" s="34" t="s">
        <v>1980</v>
      </c>
      <c r="F1355" t="s">
        <v>1980</v>
      </c>
      <c r="H1355">
        <v>5</v>
      </c>
      <c r="I1355">
        <f>VLOOKUP(B1355,BRAND!B:D,3,FALSE)</f>
        <v>9</v>
      </c>
      <c r="J1355">
        <f>LEN(F1355)</f>
        <v>10</v>
      </c>
      <c r="K1355" t="s">
        <v>822</v>
      </c>
      <c r="M1355">
        <v>1</v>
      </c>
    </row>
    <row r="1356" spans="1:13">
      <c r="A1356" t="s">
        <v>1606</v>
      </c>
      <c r="B1356" t="s">
        <v>18</v>
      </c>
      <c r="C1356" s="34" t="s">
        <v>898</v>
      </c>
      <c r="F1356" t="s">
        <v>898</v>
      </c>
      <c r="H1356">
        <v>5</v>
      </c>
      <c r="I1356">
        <f>VLOOKUP(B1356,BRAND!B:D,3,FALSE)</f>
        <v>9</v>
      </c>
      <c r="J1356">
        <v>6</v>
      </c>
      <c r="K1356" t="s">
        <v>822</v>
      </c>
      <c r="M1356">
        <v>1</v>
      </c>
    </row>
    <row r="1357" spans="1:13">
      <c r="A1357" t="s">
        <v>1629</v>
      </c>
      <c r="B1357" t="s">
        <v>18</v>
      </c>
      <c r="C1357" s="34" t="s">
        <v>995</v>
      </c>
      <c r="F1357" t="s">
        <v>995</v>
      </c>
      <c r="H1357">
        <v>5</v>
      </c>
      <c r="I1357">
        <f>VLOOKUP(B1357,BRAND!B:D,3,FALSE)</f>
        <v>9</v>
      </c>
      <c r="J1357">
        <v>6</v>
      </c>
      <c r="K1357" t="s">
        <v>822</v>
      </c>
      <c r="L1357">
        <v>1</v>
      </c>
      <c r="M1357">
        <v>1</v>
      </c>
    </row>
    <row r="1358" spans="1:13">
      <c r="A1358" t="s">
        <v>1600</v>
      </c>
      <c r="B1358" t="s">
        <v>18</v>
      </c>
      <c r="C1358" s="34" t="s">
        <v>1513</v>
      </c>
      <c r="F1358" t="s">
        <v>1513</v>
      </c>
      <c r="H1358">
        <v>5</v>
      </c>
      <c r="I1358">
        <f>VLOOKUP(B1358,BRAND!B:D,3,FALSE)</f>
        <v>9</v>
      </c>
      <c r="J1358">
        <v>5</v>
      </c>
      <c r="K1358" t="s">
        <v>822</v>
      </c>
      <c r="M1358">
        <v>1</v>
      </c>
    </row>
    <row r="1359" spans="1:13">
      <c r="A1359" t="s">
        <v>1677</v>
      </c>
      <c r="B1359" t="s">
        <v>18</v>
      </c>
      <c r="C1359" s="34" t="s">
        <v>876</v>
      </c>
      <c r="F1359" t="s">
        <v>876</v>
      </c>
      <c r="H1359">
        <v>5</v>
      </c>
      <c r="I1359">
        <f>VLOOKUP(B1359,BRAND!B:D,3,FALSE)</f>
        <v>9</v>
      </c>
      <c r="J1359">
        <v>4</v>
      </c>
      <c r="K1359" t="s">
        <v>822</v>
      </c>
      <c r="M1359">
        <v>1</v>
      </c>
    </row>
    <row r="1360" spans="1:13">
      <c r="A1360" t="s">
        <v>1534</v>
      </c>
      <c r="B1360" t="s">
        <v>18</v>
      </c>
      <c r="C1360" s="34" t="s">
        <v>1438</v>
      </c>
      <c r="F1360" t="s">
        <v>1438</v>
      </c>
      <c r="H1360">
        <v>15</v>
      </c>
      <c r="I1360">
        <f>VLOOKUP(B1360,BRAND!B:D,3,FALSE)</f>
        <v>9</v>
      </c>
      <c r="J1360">
        <v>4</v>
      </c>
      <c r="K1360" t="s">
        <v>822</v>
      </c>
      <c r="M1360">
        <v>1</v>
      </c>
    </row>
    <row r="1361" spans="1:13">
      <c r="A1361" t="s">
        <v>1631</v>
      </c>
      <c r="B1361" t="s">
        <v>721</v>
      </c>
      <c r="C1361" s="34" t="s">
        <v>5378</v>
      </c>
      <c r="F1361" t="s">
        <v>1478</v>
      </c>
      <c r="H1361">
        <v>5</v>
      </c>
      <c r="I1361">
        <f>VLOOKUP(B1361,BRAND!B:D,3,FALSE)</f>
        <v>9</v>
      </c>
      <c r="J1361">
        <f>LEN(F1361)</f>
        <v>11</v>
      </c>
      <c r="K1361" t="s">
        <v>822</v>
      </c>
      <c r="M1361">
        <v>1</v>
      </c>
    </row>
    <row r="1362" spans="1:13">
      <c r="A1362" t="s">
        <v>5345</v>
      </c>
      <c r="B1362" t="s">
        <v>721</v>
      </c>
      <c r="C1362" s="34" t="s">
        <v>898</v>
      </c>
      <c r="F1362" t="s">
        <v>898</v>
      </c>
      <c r="H1362">
        <v>5</v>
      </c>
      <c r="I1362">
        <f>VLOOKUP(B1362,BRAND!B:D,3,FALSE)</f>
        <v>9</v>
      </c>
      <c r="J1362">
        <v>6</v>
      </c>
      <c r="K1362" t="s">
        <v>822</v>
      </c>
      <c r="M1362">
        <v>1</v>
      </c>
    </row>
    <row r="1363" spans="1:13">
      <c r="A1363" t="s">
        <v>5343</v>
      </c>
      <c r="B1363" t="s">
        <v>721</v>
      </c>
      <c r="C1363" s="34" t="s">
        <v>5376</v>
      </c>
      <c r="F1363" t="s">
        <v>995</v>
      </c>
      <c r="H1363">
        <v>5</v>
      </c>
      <c r="I1363">
        <f>VLOOKUP(B1363,BRAND!B:D,3,FALSE)</f>
        <v>9</v>
      </c>
      <c r="J1363">
        <v>6</v>
      </c>
      <c r="K1363" t="s">
        <v>822</v>
      </c>
      <c r="M1363">
        <v>1</v>
      </c>
    </row>
    <row r="1364" spans="1:13">
      <c r="A1364" t="s">
        <v>5344</v>
      </c>
      <c r="B1364" t="s">
        <v>721</v>
      </c>
      <c r="C1364" s="34" t="s">
        <v>5377</v>
      </c>
      <c r="F1364" t="s">
        <v>867</v>
      </c>
      <c r="H1364">
        <v>5</v>
      </c>
      <c r="I1364">
        <f>VLOOKUP(B1364,BRAND!B:D,3,FALSE)</f>
        <v>9</v>
      </c>
      <c r="J1364">
        <v>4</v>
      </c>
      <c r="K1364" t="s">
        <v>822</v>
      </c>
      <c r="M1364">
        <v>1</v>
      </c>
    </row>
    <row r="1365" spans="1:13">
      <c r="A1365" t="s">
        <v>1630</v>
      </c>
      <c r="B1365" t="s">
        <v>721</v>
      </c>
      <c r="C1365" s="34" t="s">
        <v>5375</v>
      </c>
      <c r="F1365" t="s">
        <v>1513</v>
      </c>
      <c r="H1365">
        <v>6</v>
      </c>
      <c r="I1365">
        <f>VLOOKUP(B1365,BRAND!B:D,3,FALSE)</f>
        <v>9</v>
      </c>
      <c r="J1365">
        <v>5</v>
      </c>
      <c r="K1365" t="s">
        <v>822</v>
      </c>
      <c r="M1365">
        <v>1</v>
      </c>
    </row>
    <row r="1366" spans="1:13">
      <c r="A1366" t="s">
        <v>3135</v>
      </c>
      <c r="B1366" t="s">
        <v>602</v>
      </c>
      <c r="C1366" s="34" t="s">
        <v>561</v>
      </c>
      <c r="F1366" t="s">
        <v>561</v>
      </c>
      <c r="H1366">
        <v>5</v>
      </c>
      <c r="I1366" t="e">
        <f>VLOOKUP(B1366,BRAND!B:D,3,FALSE)</f>
        <v>#N/A</v>
      </c>
      <c r="J1366">
        <v>3</v>
      </c>
      <c r="K1366" t="s">
        <v>821</v>
      </c>
      <c r="M1366">
        <v>1</v>
      </c>
    </row>
    <row r="1367" spans="1:13">
      <c r="A1367" t="s">
        <v>2222</v>
      </c>
      <c r="B1367" t="s">
        <v>602</v>
      </c>
      <c r="C1367" s="34" t="s">
        <v>1438</v>
      </c>
      <c r="F1367" t="s">
        <v>1438</v>
      </c>
      <c r="H1367">
        <v>15</v>
      </c>
      <c r="I1367" t="e">
        <f>VLOOKUP(B1367,BRAND!B:D,3,FALSE)</f>
        <v>#N/A</v>
      </c>
      <c r="J1367">
        <v>4</v>
      </c>
      <c r="K1367" t="s">
        <v>821</v>
      </c>
      <c r="M1367">
        <v>1</v>
      </c>
    </row>
    <row r="1368" spans="1:13">
      <c r="A1368" t="s">
        <v>7670</v>
      </c>
      <c r="B1368" t="s">
        <v>7671</v>
      </c>
      <c r="C1368" s="34" t="s">
        <v>1438</v>
      </c>
      <c r="F1368" t="s">
        <v>1438</v>
      </c>
      <c r="G1368" t="s">
        <v>6932</v>
      </c>
      <c r="H1368">
        <v>5</v>
      </c>
      <c r="I1368">
        <f>VLOOKUP(B1368,BRAND!B:D,3,FALSE)</f>
        <v>5.5</v>
      </c>
      <c r="J1368">
        <v>4</v>
      </c>
      <c r="L1368">
        <v>1</v>
      </c>
      <c r="M1368">
        <v>1</v>
      </c>
    </row>
    <row r="1369" spans="1:13">
      <c r="A1369" t="s">
        <v>10746</v>
      </c>
      <c r="B1369" t="s">
        <v>19</v>
      </c>
      <c r="C1369" s="34" t="s">
        <v>10747</v>
      </c>
      <c r="F1369" t="s">
        <v>10747</v>
      </c>
      <c r="H1369">
        <v>5</v>
      </c>
    </row>
    <row r="1370" spans="1:13">
      <c r="A1370" t="s">
        <v>4976</v>
      </c>
      <c r="B1370" t="s">
        <v>19</v>
      </c>
      <c r="C1370" s="34" t="s">
        <v>1438</v>
      </c>
      <c r="F1370" t="s">
        <v>1438</v>
      </c>
      <c r="G1370" t="s">
        <v>801</v>
      </c>
      <c r="H1370">
        <v>6</v>
      </c>
      <c r="I1370">
        <f>VLOOKUP(B1370,BRAND!B:D,3,FALSE)</f>
        <v>3</v>
      </c>
      <c r="J1370">
        <v>4</v>
      </c>
      <c r="K1370" t="s">
        <v>821</v>
      </c>
      <c r="M1370">
        <v>1</v>
      </c>
    </row>
    <row r="1371" spans="1:13">
      <c r="A1371" t="s">
        <v>2711</v>
      </c>
      <c r="B1371" t="s">
        <v>19</v>
      </c>
      <c r="C1371" s="34" t="s">
        <v>1438</v>
      </c>
      <c r="F1371" t="s">
        <v>1438</v>
      </c>
      <c r="H1371">
        <v>15</v>
      </c>
      <c r="I1371">
        <f>VLOOKUP(B1371,BRAND!B:D,3,FALSE)</f>
        <v>3</v>
      </c>
      <c r="J1371">
        <v>4</v>
      </c>
      <c r="K1371" t="s">
        <v>821</v>
      </c>
      <c r="M1371">
        <v>1</v>
      </c>
    </row>
    <row r="1372" spans="1:13">
      <c r="A1372" t="s">
        <v>7674</v>
      </c>
      <c r="B1372" t="s">
        <v>7673</v>
      </c>
      <c r="C1372" s="34" t="s">
        <v>7675</v>
      </c>
      <c r="F1372" t="s">
        <v>7675</v>
      </c>
      <c r="G1372" t="s">
        <v>6932</v>
      </c>
      <c r="H1372">
        <v>5</v>
      </c>
      <c r="I1372">
        <f>VLOOKUP(B1372,BRAND!B:D,3,FALSE)</f>
        <v>5.5</v>
      </c>
      <c r="J1372">
        <v>5</v>
      </c>
      <c r="M1372">
        <v>1</v>
      </c>
    </row>
    <row r="1373" spans="1:13">
      <c r="A1373" t="s">
        <v>7672</v>
      </c>
      <c r="B1373" t="s">
        <v>7673</v>
      </c>
      <c r="C1373" s="34" t="s">
        <v>1438</v>
      </c>
      <c r="F1373" t="s">
        <v>1438</v>
      </c>
      <c r="G1373" t="s">
        <v>6932</v>
      </c>
      <c r="H1373">
        <v>5</v>
      </c>
      <c r="I1373">
        <f>VLOOKUP(B1373,BRAND!B:D,3,FALSE)</f>
        <v>5.5</v>
      </c>
      <c r="J1373">
        <v>4</v>
      </c>
      <c r="M1373">
        <v>1</v>
      </c>
    </row>
    <row r="1374" spans="1:13">
      <c r="A1374" t="s">
        <v>5025</v>
      </c>
      <c r="B1374" t="s">
        <v>383</v>
      </c>
      <c r="C1374" s="34" t="s">
        <v>5374</v>
      </c>
      <c r="F1374" t="s">
        <v>777</v>
      </c>
      <c r="G1374" t="s">
        <v>801</v>
      </c>
      <c r="H1374">
        <v>6</v>
      </c>
      <c r="I1374">
        <f>VLOOKUP(B1374,BRAND!B:D,3,FALSE)</f>
        <v>9</v>
      </c>
      <c r="J1374">
        <v>7</v>
      </c>
      <c r="K1374" t="s">
        <v>821</v>
      </c>
      <c r="M1374">
        <v>0</v>
      </c>
    </row>
    <row r="1375" spans="1:13">
      <c r="A1375" t="s">
        <v>4998</v>
      </c>
      <c r="B1375" t="s">
        <v>383</v>
      </c>
      <c r="C1375" s="34" t="s">
        <v>742</v>
      </c>
      <c r="F1375" t="s">
        <v>742</v>
      </c>
      <c r="G1375" t="s">
        <v>801</v>
      </c>
      <c r="H1375">
        <v>6</v>
      </c>
      <c r="I1375">
        <f>VLOOKUP(B1375,BRAND!B:D,3,FALSE)</f>
        <v>9</v>
      </c>
      <c r="J1375">
        <v>6</v>
      </c>
      <c r="K1375" t="s">
        <v>821</v>
      </c>
      <c r="M1375">
        <v>0</v>
      </c>
    </row>
    <row r="1376" spans="1:13">
      <c r="A1376" t="s">
        <v>10045</v>
      </c>
      <c r="B1376" t="s">
        <v>383</v>
      </c>
      <c r="C1376" s="34" t="s">
        <v>5374</v>
      </c>
      <c r="F1376" t="s">
        <v>1438</v>
      </c>
      <c r="H1376">
        <v>15</v>
      </c>
      <c r="I1376">
        <f>VLOOKUP(B1376,BRAND!B:D,3,FALSE)</f>
        <v>9</v>
      </c>
      <c r="J1376">
        <v>4</v>
      </c>
      <c r="K1376" t="s">
        <v>821</v>
      </c>
      <c r="M1376">
        <v>1</v>
      </c>
    </row>
    <row r="1377" spans="1:13">
      <c r="A1377" t="s">
        <v>10055</v>
      </c>
      <c r="B1377" t="s">
        <v>7013</v>
      </c>
      <c r="C1377" s="34" t="s">
        <v>1438</v>
      </c>
      <c r="F1377" t="s">
        <v>1438</v>
      </c>
      <c r="H1377">
        <v>15</v>
      </c>
      <c r="I1377">
        <f>VLOOKUP(B1377,BRAND!B:D,3,FALSE)</f>
        <v>11</v>
      </c>
      <c r="J1377">
        <v>4</v>
      </c>
      <c r="M1377">
        <v>0</v>
      </c>
    </row>
    <row r="1378" spans="1:13">
      <c r="A1378" t="s">
        <v>7676</v>
      </c>
      <c r="B1378" t="s">
        <v>7677</v>
      </c>
      <c r="C1378" s="34" t="s">
        <v>1438</v>
      </c>
      <c r="F1378" t="s">
        <v>1438</v>
      </c>
      <c r="G1378" t="s">
        <v>6932</v>
      </c>
      <c r="H1378">
        <v>5</v>
      </c>
      <c r="I1378">
        <f>VLOOKUP(B1378,BRAND!B:D,3,FALSE)</f>
        <v>5.5</v>
      </c>
      <c r="J1378">
        <v>4</v>
      </c>
      <c r="L1378">
        <v>1</v>
      </c>
      <c r="M1378">
        <v>1</v>
      </c>
    </row>
    <row r="1379" spans="1:13">
      <c r="A1379" t="s">
        <v>9583</v>
      </c>
      <c r="B1379" t="s">
        <v>6610</v>
      </c>
      <c r="C1379" s="34" t="s">
        <v>1438</v>
      </c>
      <c r="F1379" t="s">
        <v>1438</v>
      </c>
      <c r="H1379">
        <v>5</v>
      </c>
      <c r="I1379">
        <f>VLOOKUP(B1379,BRAND!B:D,3,FALSE)</f>
        <v>5</v>
      </c>
      <c r="J1379">
        <v>4</v>
      </c>
      <c r="M1379">
        <v>1</v>
      </c>
    </row>
    <row r="1380" spans="1:13">
      <c r="A1380" t="s">
        <v>7678</v>
      </c>
      <c r="B1380" t="s">
        <v>7222</v>
      </c>
      <c r="C1380" s="34" t="s">
        <v>1438</v>
      </c>
      <c r="F1380" t="s">
        <v>1438</v>
      </c>
      <c r="G1380" t="s">
        <v>801</v>
      </c>
      <c r="H1380">
        <v>5</v>
      </c>
      <c r="I1380">
        <f>VLOOKUP(B1380,BRAND!B:D,3,FALSE)</f>
        <v>5.5</v>
      </c>
      <c r="J1380">
        <v>4</v>
      </c>
      <c r="M1380">
        <v>1</v>
      </c>
    </row>
    <row r="1381" spans="1:13">
      <c r="A1381" t="s">
        <v>7221</v>
      </c>
      <c r="B1381" t="s">
        <v>7222</v>
      </c>
      <c r="C1381" s="34" t="s">
        <v>1438</v>
      </c>
      <c r="F1381" t="s">
        <v>1438</v>
      </c>
      <c r="H1381">
        <v>5</v>
      </c>
      <c r="I1381">
        <f>VLOOKUP(B1381,BRAND!B:D,3,FALSE)</f>
        <v>5.5</v>
      </c>
      <c r="M1381">
        <v>1</v>
      </c>
    </row>
    <row r="1382" spans="1:13">
      <c r="A1382" t="s">
        <v>7679</v>
      </c>
      <c r="B1382" t="s">
        <v>7680</v>
      </c>
      <c r="C1382" s="34" t="s">
        <v>1438</v>
      </c>
      <c r="F1382" t="s">
        <v>1438</v>
      </c>
      <c r="G1382" t="s">
        <v>6932</v>
      </c>
      <c r="H1382">
        <v>5</v>
      </c>
      <c r="I1382">
        <f>VLOOKUP(B1382,BRAND!B:D,3,FALSE)</f>
        <v>5.5</v>
      </c>
      <c r="J1382">
        <v>4</v>
      </c>
      <c r="M1382">
        <v>1</v>
      </c>
    </row>
    <row r="1383" spans="1:13">
      <c r="A1383" t="s">
        <v>7683</v>
      </c>
      <c r="B1383" t="s">
        <v>7682</v>
      </c>
      <c r="C1383" s="34" t="s">
        <v>534</v>
      </c>
      <c r="F1383" t="s">
        <v>534</v>
      </c>
      <c r="G1383" t="s">
        <v>6932</v>
      </c>
      <c r="H1383">
        <v>5</v>
      </c>
      <c r="I1383">
        <f>VLOOKUP(B1383,BRAND!B:D,3,FALSE)</f>
        <v>5.5</v>
      </c>
      <c r="J1383">
        <v>6</v>
      </c>
      <c r="M1383">
        <v>1</v>
      </c>
    </row>
    <row r="1384" spans="1:13">
      <c r="A1384" t="s">
        <v>7681</v>
      </c>
      <c r="B1384" t="s">
        <v>7682</v>
      </c>
      <c r="C1384" s="34" t="s">
        <v>5232</v>
      </c>
      <c r="F1384" t="s">
        <v>536</v>
      </c>
      <c r="G1384" t="s">
        <v>6932</v>
      </c>
      <c r="H1384">
        <v>5</v>
      </c>
      <c r="I1384">
        <f>VLOOKUP(B1384,BRAND!B:D,3,FALSE)</f>
        <v>5.5</v>
      </c>
      <c r="J1384">
        <v>5</v>
      </c>
      <c r="M1384">
        <v>1</v>
      </c>
    </row>
    <row r="1385" spans="1:13">
      <c r="A1385" t="s">
        <v>7685</v>
      </c>
      <c r="B1385" t="s">
        <v>7686</v>
      </c>
      <c r="C1385" s="34" t="s">
        <v>1438</v>
      </c>
      <c r="F1385" t="s">
        <v>1438</v>
      </c>
      <c r="G1385" t="s">
        <v>6932</v>
      </c>
      <c r="H1385">
        <v>5</v>
      </c>
      <c r="I1385">
        <f>VLOOKUP(B1385,BRAND!B:D,3,FALSE)</f>
        <v>5.5</v>
      </c>
      <c r="J1385">
        <v>4</v>
      </c>
      <c r="M1385">
        <v>1</v>
      </c>
    </row>
    <row r="1386" spans="1:13">
      <c r="A1386" t="s">
        <v>7687</v>
      </c>
      <c r="B1386" t="s">
        <v>7688</v>
      </c>
      <c r="C1386" s="34" t="s">
        <v>1438</v>
      </c>
      <c r="F1386" t="s">
        <v>1438</v>
      </c>
      <c r="G1386" t="s">
        <v>6932</v>
      </c>
      <c r="H1386">
        <v>5</v>
      </c>
      <c r="I1386">
        <f>VLOOKUP(B1386,BRAND!B:D,3,FALSE)</f>
        <v>5.5</v>
      </c>
      <c r="J1386">
        <v>4</v>
      </c>
      <c r="M1386">
        <v>1</v>
      </c>
    </row>
    <row r="1387" spans="1:13">
      <c r="A1387" t="s">
        <v>4080</v>
      </c>
      <c r="B1387" t="s">
        <v>1095</v>
      </c>
      <c r="C1387" s="34" t="s">
        <v>804</v>
      </c>
      <c r="F1387" t="s">
        <v>804</v>
      </c>
      <c r="H1387">
        <v>5</v>
      </c>
      <c r="I1387">
        <f>VLOOKUP(B1387,BRAND!B:D,3,FALSE)</f>
        <v>9</v>
      </c>
      <c r="J1387">
        <v>7</v>
      </c>
      <c r="K1387" t="s">
        <v>821</v>
      </c>
      <c r="M1387">
        <v>0</v>
      </c>
    </row>
    <row r="1388" spans="1:13">
      <c r="A1388" t="s">
        <v>7061</v>
      </c>
      <c r="B1388" t="s">
        <v>1095</v>
      </c>
      <c r="C1388" s="34" t="s">
        <v>7062</v>
      </c>
      <c r="F1388" t="s">
        <v>913</v>
      </c>
      <c r="H1388">
        <v>5</v>
      </c>
      <c r="I1388">
        <f>VLOOKUP(B1388,BRAND!B:D,3,FALSE)</f>
        <v>9</v>
      </c>
      <c r="J1388">
        <v>5</v>
      </c>
      <c r="M1388">
        <v>1</v>
      </c>
    </row>
    <row r="1389" spans="1:13">
      <c r="A1389" t="s">
        <v>7689</v>
      </c>
      <c r="B1389" t="s">
        <v>7690</v>
      </c>
      <c r="C1389" s="34" t="s">
        <v>1438</v>
      </c>
      <c r="F1389" t="s">
        <v>1438</v>
      </c>
      <c r="G1389" t="s">
        <v>6932</v>
      </c>
      <c r="H1389">
        <v>5</v>
      </c>
      <c r="I1389">
        <f>VLOOKUP(B1389,BRAND!B:D,3,FALSE)</f>
        <v>5.5</v>
      </c>
      <c r="J1389">
        <v>4</v>
      </c>
      <c r="M1389">
        <v>1</v>
      </c>
    </row>
    <row r="1390" spans="1:13">
      <c r="A1390" t="s">
        <v>7691</v>
      </c>
      <c r="B1390" t="s">
        <v>7692</v>
      </c>
      <c r="C1390" s="34" t="s">
        <v>1438</v>
      </c>
      <c r="F1390" t="s">
        <v>1438</v>
      </c>
      <c r="G1390" t="s">
        <v>6932</v>
      </c>
      <c r="H1390">
        <v>5</v>
      </c>
      <c r="I1390">
        <f>VLOOKUP(B1390,BRAND!B:D,3,FALSE)</f>
        <v>5.5</v>
      </c>
      <c r="J1390">
        <v>4</v>
      </c>
      <c r="M1390">
        <v>1</v>
      </c>
    </row>
    <row r="1391" spans="1:13">
      <c r="A1391" t="s">
        <v>7693</v>
      </c>
      <c r="B1391" t="s">
        <v>7694</v>
      </c>
      <c r="C1391" s="34" t="s">
        <v>1438</v>
      </c>
      <c r="F1391" t="s">
        <v>1438</v>
      </c>
      <c r="G1391" t="s">
        <v>6932</v>
      </c>
      <c r="H1391">
        <v>5</v>
      </c>
      <c r="I1391">
        <f>VLOOKUP(B1391,BRAND!B:D,3,FALSE)</f>
        <v>5.5</v>
      </c>
      <c r="J1391">
        <v>4</v>
      </c>
      <c r="L1391">
        <v>1</v>
      </c>
      <c r="M1391">
        <v>1</v>
      </c>
    </row>
    <row r="1392" spans="1:13">
      <c r="A1392" t="s">
        <v>7695</v>
      </c>
      <c r="B1392" t="s">
        <v>7696</v>
      </c>
      <c r="C1392" s="34" t="s">
        <v>1438</v>
      </c>
      <c r="F1392" t="s">
        <v>1438</v>
      </c>
      <c r="G1392" t="s">
        <v>6932</v>
      </c>
      <c r="H1392">
        <v>5</v>
      </c>
      <c r="I1392">
        <f>VLOOKUP(B1392,BRAND!B:D,3,FALSE)</f>
        <v>5.5</v>
      </c>
      <c r="J1392">
        <v>4</v>
      </c>
      <c r="M1392">
        <v>1</v>
      </c>
    </row>
    <row r="1393" spans="1:13">
      <c r="A1393" t="s">
        <v>3639</v>
      </c>
      <c r="B1393" t="s">
        <v>20</v>
      </c>
      <c r="C1393" s="34" t="s">
        <v>776</v>
      </c>
      <c r="F1393" t="s">
        <v>776</v>
      </c>
      <c r="H1393">
        <v>5</v>
      </c>
      <c r="I1393">
        <f>VLOOKUP(B1393,BRAND!B:D,3,FALSE)</f>
        <v>9</v>
      </c>
      <c r="J1393">
        <v>5</v>
      </c>
      <c r="K1393" t="s">
        <v>821</v>
      </c>
      <c r="M1393">
        <v>1</v>
      </c>
    </row>
    <row r="1394" spans="1:13">
      <c r="A1394" t="s">
        <v>14610</v>
      </c>
      <c r="B1394" t="s">
        <v>14611</v>
      </c>
      <c r="C1394" s="34" t="s">
        <v>1438</v>
      </c>
      <c r="F1394" t="s">
        <v>1438</v>
      </c>
      <c r="G1394" t="s">
        <v>6932</v>
      </c>
      <c r="H1394">
        <v>5</v>
      </c>
      <c r="I1394">
        <f>VLOOKUP(B1394,BRAND!B:D,3,FALSE)</f>
        <v>0</v>
      </c>
      <c r="J1394">
        <f>LEN(F1394)</f>
        <v>4</v>
      </c>
      <c r="K1394" t="s">
        <v>821</v>
      </c>
      <c r="L1394">
        <v>0</v>
      </c>
      <c r="M1394">
        <v>1</v>
      </c>
    </row>
    <row r="1395" spans="1:13">
      <c r="A1395" t="s">
        <v>15530</v>
      </c>
      <c r="B1395" t="s">
        <v>14612</v>
      </c>
      <c r="C1395" s="34" t="s">
        <v>897</v>
      </c>
      <c r="F1395" t="s">
        <v>897</v>
      </c>
      <c r="G1395" t="s">
        <v>6932</v>
      </c>
      <c r="H1395">
        <v>5</v>
      </c>
      <c r="I1395">
        <f>VLOOKUP(B1395,BRAND!B:D,3,FALSE)</f>
        <v>0</v>
      </c>
      <c r="J1395">
        <f>LEN(F1395)</f>
        <v>4</v>
      </c>
      <c r="K1395" t="s">
        <v>821</v>
      </c>
      <c r="L1395">
        <v>0</v>
      </c>
      <c r="M1395">
        <v>1</v>
      </c>
    </row>
    <row r="1396" spans="1:13">
      <c r="A1396" t="s">
        <v>14546</v>
      </c>
      <c r="B1396" t="s">
        <v>14547</v>
      </c>
      <c r="C1396" s="34" t="s">
        <v>1438</v>
      </c>
      <c r="F1396" t="s">
        <v>1438</v>
      </c>
      <c r="G1396" t="s">
        <v>6932</v>
      </c>
      <c r="H1396">
        <v>5</v>
      </c>
      <c r="I1396">
        <f>VLOOKUP(B1396,BRAND!B:D,3,FALSE)</f>
        <v>0</v>
      </c>
      <c r="J1396">
        <f>LEN(F1396)</f>
        <v>4</v>
      </c>
      <c r="K1396" t="s">
        <v>821</v>
      </c>
      <c r="L1396">
        <v>0</v>
      </c>
      <c r="M1396">
        <v>1</v>
      </c>
    </row>
    <row r="1397" spans="1:13">
      <c r="A1397" t="s">
        <v>3940</v>
      </c>
      <c r="B1397" t="s">
        <v>21</v>
      </c>
      <c r="C1397" s="34" t="s">
        <v>776</v>
      </c>
      <c r="F1397" t="s">
        <v>776</v>
      </c>
      <c r="H1397">
        <v>5</v>
      </c>
      <c r="I1397">
        <f>VLOOKUP(B1397,BRAND!B:D,3,FALSE)</f>
        <v>9</v>
      </c>
      <c r="J1397">
        <v>5</v>
      </c>
      <c r="K1397" t="s">
        <v>821</v>
      </c>
      <c r="M1397">
        <v>1</v>
      </c>
    </row>
    <row r="1398" spans="1:13">
      <c r="A1398" t="s">
        <v>7697</v>
      </c>
      <c r="B1398" t="s">
        <v>7698</v>
      </c>
      <c r="C1398" s="34" t="s">
        <v>1438</v>
      </c>
      <c r="F1398" t="s">
        <v>1438</v>
      </c>
      <c r="G1398" t="s">
        <v>6932</v>
      </c>
      <c r="H1398">
        <v>5</v>
      </c>
      <c r="I1398">
        <f>VLOOKUP(B1398,BRAND!B:D,3,FALSE)</f>
        <v>5.5</v>
      </c>
      <c r="J1398">
        <v>4</v>
      </c>
      <c r="M1398">
        <v>1</v>
      </c>
    </row>
    <row r="1399" spans="1:13">
      <c r="A1399" t="s">
        <v>3620</v>
      </c>
      <c r="B1399" t="s">
        <v>629</v>
      </c>
      <c r="C1399" s="34" t="s">
        <v>776</v>
      </c>
      <c r="F1399" t="s">
        <v>776</v>
      </c>
      <c r="H1399">
        <v>5</v>
      </c>
      <c r="I1399">
        <f>VLOOKUP(B1399,BRAND!B:D,3,FALSE)</f>
        <v>9</v>
      </c>
      <c r="J1399">
        <v>5</v>
      </c>
      <c r="K1399" t="s">
        <v>821</v>
      </c>
      <c r="M1399">
        <v>1</v>
      </c>
    </row>
    <row r="1400" spans="1:13">
      <c r="A1400" t="s">
        <v>3818</v>
      </c>
      <c r="B1400" t="s">
        <v>1130</v>
      </c>
      <c r="C1400" s="34" t="s">
        <v>776</v>
      </c>
      <c r="F1400" t="s">
        <v>776</v>
      </c>
      <c r="H1400">
        <v>5</v>
      </c>
      <c r="I1400">
        <f>VLOOKUP(B1400,BRAND!B:D,3,FALSE)</f>
        <v>5.5</v>
      </c>
      <c r="J1400">
        <v>5</v>
      </c>
      <c r="K1400" t="e">
        <v>#N/A</v>
      </c>
      <c r="M1400">
        <v>1</v>
      </c>
    </row>
    <row r="1401" spans="1:13">
      <c r="A1401" t="s">
        <v>4500</v>
      </c>
      <c r="B1401" t="s">
        <v>23</v>
      </c>
      <c r="C1401" s="34" t="s">
        <v>798</v>
      </c>
      <c r="F1401" t="s">
        <v>798</v>
      </c>
      <c r="H1401">
        <v>5</v>
      </c>
      <c r="I1401">
        <f>VLOOKUP(B1401,BRAND!B:D,3,FALSE)</f>
        <v>5.5</v>
      </c>
      <c r="J1401">
        <v>9</v>
      </c>
      <c r="K1401" t="s">
        <v>821</v>
      </c>
      <c r="M1401">
        <v>0</v>
      </c>
    </row>
    <row r="1402" spans="1:13">
      <c r="A1402" t="s">
        <v>10828</v>
      </c>
      <c r="B1402" t="s">
        <v>23</v>
      </c>
      <c r="C1402" s="34" t="s">
        <v>897</v>
      </c>
      <c r="F1402" t="s">
        <v>746</v>
      </c>
      <c r="H1402">
        <v>5</v>
      </c>
      <c r="I1402">
        <f>VLOOKUP(B1402,BRAND!B:D,3,FALSE)</f>
        <v>5.5</v>
      </c>
      <c r="J1402">
        <v>6</v>
      </c>
      <c r="K1402" t="s">
        <v>821</v>
      </c>
      <c r="M1402">
        <v>0</v>
      </c>
    </row>
    <row r="1403" spans="1:13">
      <c r="A1403" t="s">
        <v>4346</v>
      </c>
      <c r="B1403" t="s">
        <v>23</v>
      </c>
      <c r="C1403" s="34" t="s">
        <v>742</v>
      </c>
      <c r="F1403" t="s">
        <v>742</v>
      </c>
      <c r="H1403">
        <v>5</v>
      </c>
      <c r="I1403">
        <f>VLOOKUP(B1403,BRAND!B:D,3,FALSE)</f>
        <v>5.5</v>
      </c>
      <c r="J1403">
        <v>6</v>
      </c>
      <c r="K1403" t="s">
        <v>821</v>
      </c>
      <c r="M1403">
        <v>0</v>
      </c>
    </row>
    <row r="1404" spans="1:13">
      <c r="A1404" t="s">
        <v>5174</v>
      </c>
      <c r="B1404" t="s">
        <v>23</v>
      </c>
      <c r="C1404" s="34" t="s">
        <v>534</v>
      </c>
      <c r="F1404" t="s">
        <v>534</v>
      </c>
      <c r="H1404">
        <v>5</v>
      </c>
      <c r="I1404">
        <f>VLOOKUP(B1404,BRAND!B:D,3,FALSE)</f>
        <v>5.5</v>
      </c>
      <c r="J1404">
        <v>6</v>
      </c>
      <c r="K1404" t="s">
        <v>821</v>
      </c>
      <c r="M1404">
        <v>0</v>
      </c>
    </row>
    <row r="1405" spans="1:13">
      <c r="A1405" t="s">
        <v>4535</v>
      </c>
      <c r="B1405" t="s">
        <v>23</v>
      </c>
      <c r="C1405" s="34" t="s">
        <v>764</v>
      </c>
      <c r="F1405" t="s">
        <v>764</v>
      </c>
      <c r="H1405">
        <v>5</v>
      </c>
      <c r="I1405">
        <f>VLOOKUP(B1405,BRAND!B:D,3,FALSE)</f>
        <v>5.5</v>
      </c>
      <c r="J1405">
        <v>5</v>
      </c>
      <c r="K1405" t="s">
        <v>821</v>
      </c>
      <c r="M1405">
        <v>0</v>
      </c>
    </row>
    <row r="1406" spans="1:13">
      <c r="A1406" t="s">
        <v>4713</v>
      </c>
      <c r="B1406" t="s">
        <v>23</v>
      </c>
      <c r="C1406" s="34" t="s">
        <v>872</v>
      </c>
      <c r="F1406" t="s">
        <v>872</v>
      </c>
      <c r="H1406">
        <v>5</v>
      </c>
      <c r="I1406">
        <f>VLOOKUP(B1406,BRAND!B:D,3,FALSE)</f>
        <v>5.5</v>
      </c>
      <c r="J1406">
        <v>5</v>
      </c>
      <c r="K1406" t="s">
        <v>821</v>
      </c>
      <c r="M1406">
        <v>0</v>
      </c>
    </row>
    <row r="1407" spans="1:13">
      <c r="A1407" t="s">
        <v>4189</v>
      </c>
      <c r="B1407" t="s">
        <v>23</v>
      </c>
      <c r="C1407" s="34" t="s">
        <v>6545</v>
      </c>
      <c r="F1407" t="s">
        <v>776</v>
      </c>
      <c r="H1407">
        <v>5</v>
      </c>
      <c r="I1407">
        <f>VLOOKUP(B1407,BRAND!B:D,3,FALSE)</f>
        <v>5.5</v>
      </c>
      <c r="J1407">
        <v>5</v>
      </c>
      <c r="K1407" t="s">
        <v>821</v>
      </c>
      <c r="M1407">
        <v>1</v>
      </c>
    </row>
    <row r="1408" spans="1:13">
      <c r="A1408" t="s">
        <v>7699</v>
      </c>
      <c r="B1408" t="s">
        <v>23</v>
      </c>
      <c r="C1408" s="34" t="s">
        <v>1438</v>
      </c>
      <c r="F1408" t="s">
        <v>1438</v>
      </c>
      <c r="G1408" t="s">
        <v>6932</v>
      </c>
      <c r="H1408">
        <v>5</v>
      </c>
      <c r="I1408">
        <f>VLOOKUP(B1408,BRAND!B:D,3,FALSE)</f>
        <v>5.5</v>
      </c>
      <c r="J1408">
        <v>4</v>
      </c>
      <c r="M1408">
        <v>0</v>
      </c>
    </row>
    <row r="1409" spans="1:13">
      <c r="A1409" t="str">
        <f>B1409&amp;" | "&amp;F1409&amp;" | "&amp;G1409</f>
        <v xml:space="preserve">BLANCHE_DE_NAMUR | ROSE | </v>
      </c>
      <c r="B1409" t="s">
        <v>23</v>
      </c>
      <c r="C1409" t="s">
        <v>897</v>
      </c>
      <c r="F1409" t="s">
        <v>897</v>
      </c>
      <c r="H1409">
        <v>5</v>
      </c>
    </row>
    <row r="1410" spans="1:13">
      <c r="A1410" t="s">
        <v>3540</v>
      </c>
      <c r="B1410" t="s">
        <v>639</v>
      </c>
      <c r="C1410" s="34" t="s">
        <v>776</v>
      </c>
      <c r="F1410" t="s">
        <v>776</v>
      </c>
      <c r="H1410">
        <v>5</v>
      </c>
      <c r="I1410">
        <f>VLOOKUP(B1410,BRAND!B:D,3,FALSE)</f>
        <v>9</v>
      </c>
      <c r="J1410">
        <v>5</v>
      </c>
      <c r="K1410" t="s">
        <v>821</v>
      </c>
      <c r="M1410">
        <v>0</v>
      </c>
    </row>
    <row r="1411" spans="1:13">
      <c r="A1411" t="s">
        <v>7700</v>
      </c>
      <c r="B1411" t="s">
        <v>7701</v>
      </c>
      <c r="C1411" s="34" t="s">
        <v>1438</v>
      </c>
      <c r="F1411" t="s">
        <v>1438</v>
      </c>
      <c r="G1411" t="s">
        <v>6932</v>
      </c>
      <c r="H1411">
        <v>5</v>
      </c>
      <c r="I1411">
        <f>VLOOKUP(B1411,BRAND!B:D,3,FALSE)</f>
        <v>5.5</v>
      </c>
      <c r="J1411">
        <v>4</v>
      </c>
      <c r="M1411">
        <v>1</v>
      </c>
    </row>
    <row r="1412" spans="1:13">
      <c r="A1412" t="s">
        <v>13905</v>
      </c>
      <c r="B1412" t="s">
        <v>13906</v>
      </c>
      <c r="C1412" s="34" t="s">
        <v>1438</v>
      </c>
      <c r="F1412" t="s">
        <v>1438</v>
      </c>
      <c r="G1412" t="s">
        <v>6932</v>
      </c>
      <c r="H1412">
        <v>5</v>
      </c>
      <c r="I1412">
        <f>VLOOKUP(B1412,BRAND!B:D,3,FALSE)</f>
        <v>0</v>
      </c>
      <c r="J1412">
        <f>LEN(F1412)</f>
        <v>4</v>
      </c>
      <c r="K1412" t="s">
        <v>821</v>
      </c>
      <c r="L1412">
        <v>0</v>
      </c>
      <c r="M1412">
        <v>1</v>
      </c>
    </row>
    <row r="1413" spans="1:13">
      <c r="A1413" t="s">
        <v>2626</v>
      </c>
      <c r="B1413" t="s">
        <v>22</v>
      </c>
      <c r="C1413" s="34" t="s">
        <v>776</v>
      </c>
      <c r="F1413" t="s">
        <v>776</v>
      </c>
      <c r="H1413">
        <v>5</v>
      </c>
      <c r="I1413">
        <f>VLOOKUP(B1413,BRAND!B:D,3,FALSE)</f>
        <v>9</v>
      </c>
      <c r="J1413">
        <v>5</v>
      </c>
      <c r="K1413" t="s">
        <v>821</v>
      </c>
      <c r="M1413">
        <v>1</v>
      </c>
    </row>
    <row r="1414" spans="1:13">
      <c r="A1414" t="s">
        <v>7702</v>
      </c>
      <c r="B1414" t="s">
        <v>7703</v>
      </c>
      <c r="C1414" s="34" t="s">
        <v>1438</v>
      </c>
      <c r="F1414" t="s">
        <v>1438</v>
      </c>
      <c r="G1414" t="s">
        <v>6932</v>
      </c>
      <c r="H1414">
        <v>5</v>
      </c>
      <c r="I1414">
        <f>VLOOKUP(B1414,BRAND!B:D,3,FALSE)</f>
        <v>5.5</v>
      </c>
      <c r="J1414">
        <v>4</v>
      </c>
      <c r="M1414">
        <v>0</v>
      </c>
    </row>
    <row r="1415" spans="1:13">
      <c r="A1415" t="s">
        <v>7704</v>
      </c>
      <c r="B1415" t="s">
        <v>7705</v>
      </c>
      <c r="C1415" s="34" t="s">
        <v>1438</v>
      </c>
      <c r="F1415" t="s">
        <v>1438</v>
      </c>
      <c r="G1415" t="s">
        <v>6932</v>
      </c>
      <c r="H1415">
        <v>5</v>
      </c>
      <c r="I1415">
        <f>VLOOKUP(B1415,BRAND!B:D,3,FALSE)</f>
        <v>5.5</v>
      </c>
      <c r="J1415">
        <v>4</v>
      </c>
      <c r="M1415">
        <v>1</v>
      </c>
    </row>
    <row r="1416" spans="1:13">
      <c r="A1416" t="s">
        <v>5557</v>
      </c>
      <c r="B1416" t="s">
        <v>843</v>
      </c>
      <c r="C1416" s="34" t="s">
        <v>5558</v>
      </c>
      <c r="F1416" t="s">
        <v>776</v>
      </c>
      <c r="H1416">
        <v>5</v>
      </c>
      <c r="I1416">
        <f>VLOOKUP(B1416,BRAND!B:D,3,FALSE)</f>
        <v>5.5</v>
      </c>
      <c r="J1416">
        <v>5</v>
      </c>
      <c r="K1416" t="e">
        <v>#N/A</v>
      </c>
      <c r="M1416">
        <v>0</v>
      </c>
    </row>
    <row r="1417" spans="1:13">
      <c r="A1417" t="s">
        <v>9584</v>
      </c>
      <c r="B1417" t="s">
        <v>843</v>
      </c>
      <c r="C1417" s="34" t="s">
        <v>782</v>
      </c>
      <c r="F1417" t="s">
        <v>782</v>
      </c>
      <c r="G1417" t="s">
        <v>6932</v>
      </c>
      <c r="H1417">
        <v>5</v>
      </c>
      <c r="I1417">
        <f>VLOOKUP(B1417,BRAND!B:D,3,FALSE)</f>
        <v>5.5</v>
      </c>
      <c r="J1417">
        <v>4</v>
      </c>
      <c r="M1417">
        <v>1</v>
      </c>
    </row>
    <row r="1418" spans="1:13">
      <c r="A1418" t="s">
        <v>7706</v>
      </c>
      <c r="B1418" t="s">
        <v>7707</v>
      </c>
      <c r="C1418" s="34" t="s">
        <v>1438</v>
      </c>
      <c r="F1418" t="s">
        <v>1438</v>
      </c>
      <c r="G1418" t="s">
        <v>6932</v>
      </c>
      <c r="H1418">
        <v>5</v>
      </c>
      <c r="I1418">
        <f>VLOOKUP(B1418,BRAND!B:D,3,FALSE)</f>
        <v>5.5</v>
      </c>
      <c r="J1418">
        <v>4</v>
      </c>
      <c r="M1418">
        <v>1</v>
      </c>
    </row>
    <row r="1419" spans="1:13">
      <c r="A1419" t="s">
        <v>7708</v>
      </c>
      <c r="B1419" t="s">
        <v>7709</v>
      </c>
      <c r="C1419" s="34" t="s">
        <v>1438</v>
      </c>
      <c r="F1419" t="s">
        <v>1438</v>
      </c>
      <c r="G1419" t="s">
        <v>6932</v>
      </c>
      <c r="H1419">
        <v>5</v>
      </c>
      <c r="I1419">
        <f>VLOOKUP(B1419,BRAND!B:D,3,FALSE)</f>
        <v>5.5</v>
      </c>
      <c r="J1419">
        <v>4</v>
      </c>
      <c r="M1419">
        <v>1</v>
      </c>
    </row>
    <row r="1420" spans="1:13">
      <c r="A1420" t="s">
        <v>2648</v>
      </c>
      <c r="B1420" t="s">
        <v>522</v>
      </c>
      <c r="C1420" s="34" t="s">
        <v>1438</v>
      </c>
      <c r="F1420" t="s">
        <v>1438</v>
      </c>
      <c r="H1420">
        <v>15</v>
      </c>
      <c r="I1420">
        <f>VLOOKUP(B1420,BRAND!B:D,3,FALSE)</f>
        <v>9</v>
      </c>
      <c r="J1420">
        <v>4</v>
      </c>
      <c r="K1420" t="s">
        <v>821</v>
      </c>
      <c r="L1420">
        <v>1</v>
      </c>
      <c r="M1420">
        <v>1</v>
      </c>
    </row>
    <row r="1421" spans="1:13">
      <c r="A1421" t="s">
        <v>3156</v>
      </c>
      <c r="B1421" t="s">
        <v>1012</v>
      </c>
      <c r="C1421" s="34" t="s">
        <v>1438</v>
      </c>
      <c r="F1421" t="s">
        <v>1438</v>
      </c>
      <c r="H1421">
        <v>15</v>
      </c>
      <c r="I1421">
        <f>VLOOKUP(B1421,BRAND!B:D,3,FALSE)</f>
        <v>9</v>
      </c>
      <c r="J1421">
        <v>4</v>
      </c>
      <c r="K1421" t="s">
        <v>821</v>
      </c>
      <c r="M1421">
        <v>1</v>
      </c>
    </row>
    <row r="1422" spans="1:13">
      <c r="A1422" t="s">
        <v>9585</v>
      </c>
      <c r="B1422" t="s">
        <v>24</v>
      </c>
      <c r="C1422" s="34" t="s">
        <v>534</v>
      </c>
      <c r="F1422" t="s">
        <v>534</v>
      </c>
      <c r="H1422">
        <v>5</v>
      </c>
      <c r="I1422">
        <f>VLOOKUP(B1422,BRAND!B:D,3,FALSE)</f>
        <v>5</v>
      </c>
      <c r="J1422">
        <v>6</v>
      </c>
      <c r="M1422">
        <v>1</v>
      </c>
    </row>
    <row r="1423" spans="1:13">
      <c r="A1423" t="s">
        <v>3527</v>
      </c>
      <c r="B1423" t="s">
        <v>24</v>
      </c>
      <c r="C1423" s="34" t="s">
        <v>561</v>
      </c>
      <c r="F1423" t="s">
        <v>561</v>
      </c>
      <c r="H1423">
        <v>5</v>
      </c>
      <c r="I1423">
        <f>VLOOKUP(B1423,BRAND!B:D,3,FALSE)</f>
        <v>5</v>
      </c>
      <c r="J1423">
        <v>3</v>
      </c>
      <c r="K1423" t="s">
        <v>821</v>
      </c>
      <c r="M1423">
        <v>1</v>
      </c>
    </row>
    <row r="1424" spans="1:13">
      <c r="A1424" t="s">
        <v>2408</v>
      </c>
      <c r="B1424" t="s">
        <v>24</v>
      </c>
      <c r="C1424" s="34" t="s">
        <v>1438</v>
      </c>
      <c r="F1424" t="s">
        <v>1438</v>
      </c>
      <c r="H1424">
        <v>15</v>
      </c>
      <c r="I1424">
        <f>VLOOKUP(B1424,BRAND!B:D,3,FALSE)</f>
        <v>5</v>
      </c>
      <c r="J1424">
        <v>4</v>
      </c>
      <c r="K1424" t="s">
        <v>821</v>
      </c>
      <c r="M1424">
        <v>1</v>
      </c>
    </row>
    <row r="1425" spans="1:13">
      <c r="A1425" t="s">
        <v>7710</v>
      </c>
      <c r="B1425" t="s">
        <v>7711</v>
      </c>
      <c r="C1425" s="34" t="s">
        <v>1438</v>
      </c>
      <c r="F1425" t="s">
        <v>1438</v>
      </c>
      <c r="G1425" t="s">
        <v>6932</v>
      </c>
      <c r="H1425">
        <v>5</v>
      </c>
      <c r="I1425">
        <f>VLOOKUP(B1425,BRAND!B:D,3,FALSE)</f>
        <v>5.5</v>
      </c>
      <c r="J1425">
        <v>4</v>
      </c>
      <c r="M1425">
        <v>1</v>
      </c>
    </row>
    <row r="1426" spans="1:13">
      <c r="A1426" t="s">
        <v>2443</v>
      </c>
      <c r="B1426" t="s">
        <v>1131</v>
      </c>
      <c r="C1426" s="34" t="s">
        <v>561</v>
      </c>
      <c r="F1426" t="s">
        <v>561</v>
      </c>
      <c r="H1426">
        <v>5</v>
      </c>
      <c r="I1426">
        <f>VLOOKUP(B1426,BRAND!B:D,3,FALSE)</f>
        <v>3</v>
      </c>
      <c r="J1426">
        <v>3</v>
      </c>
      <c r="K1426" t="s">
        <v>821</v>
      </c>
      <c r="M1426">
        <v>0</v>
      </c>
    </row>
    <row r="1427" spans="1:13">
      <c r="A1427" t="s">
        <v>2628</v>
      </c>
      <c r="B1427" t="s">
        <v>1131</v>
      </c>
      <c r="C1427" s="34" t="s">
        <v>1438</v>
      </c>
      <c r="F1427" t="s">
        <v>1438</v>
      </c>
      <c r="H1427">
        <v>15</v>
      </c>
      <c r="I1427">
        <f>VLOOKUP(B1427,BRAND!B:D,3,FALSE)</f>
        <v>3</v>
      </c>
      <c r="J1427">
        <v>4</v>
      </c>
      <c r="K1427" t="s">
        <v>821</v>
      </c>
      <c r="M1427">
        <v>0</v>
      </c>
    </row>
    <row r="1428" spans="1:13">
      <c r="A1428" t="s">
        <v>7712</v>
      </c>
      <c r="B1428" t="s">
        <v>7713</v>
      </c>
      <c r="C1428" s="34" t="s">
        <v>1438</v>
      </c>
      <c r="F1428" t="s">
        <v>1438</v>
      </c>
      <c r="G1428" t="s">
        <v>6932</v>
      </c>
      <c r="H1428">
        <v>5</v>
      </c>
      <c r="I1428">
        <f>VLOOKUP(B1428,BRAND!B:D,3,FALSE)</f>
        <v>5.5</v>
      </c>
      <c r="J1428">
        <v>4</v>
      </c>
      <c r="M1428">
        <v>1</v>
      </c>
    </row>
    <row r="1429" spans="1:13">
      <c r="A1429" t="s">
        <v>10853</v>
      </c>
      <c r="B1429" t="s">
        <v>536</v>
      </c>
      <c r="C1429" s="34" t="s">
        <v>536</v>
      </c>
      <c r="F1429" t="s">
        <v>536</v>
      </c>
      <c r="G1429" t="s">
        <v>6932</v>
      </c>
      <c r="H1429">
        <v>5</v>
      </c>
      <c r="I1429" t="e">
        <f>VLOOKUP(B1429,BRAND!B:D,3,FALSE)</f>
        <v>#N/A</v>
      </c>
      <c r="J1429">
        <v>5</v>
      </c>
      <c r="M1429">
        <v>1</v>
      </c>
    </row>
    <row r="1430" spans="1:13">
      <c r="A1430" t="s">
        <v>7646</v>
      </c>
      <c r="B1430" t="s">
        <v>7647</v>
      </c>
      <c r="C1430" s="34" t="s">
        <v>1438</v>
      </c>
      <c r="F1430" t="s">
        <v>1438</v>
      </c>
      <c r="G1430" t="s">
        <v>6932</v>
      </c>
      <c r="H1430">
        <v>5</v>
      </c>
      <c r="I1430">
        <f>VLOOKUP(B1430,BRAND!B:D,3,FALSE)</f>
        <v>5.5</v>
      </c>
      <c r="J1430">
        <v>4</v>
      </c>
      <c r="M1430">
        <v>1</v>
      </c>
    </row>
    <row r="1431" spans="1:13">
      <c r="A1431" t="s">
        <v>7648</v>
      </c>
      <c r="B1431" t="s">
        <v>7649</v>
      </c>
      <c r="C1431" s="34" t="s">
        <v>1438</v>
      </c>
      <c r="F1431" t="s">
        <v>1438</v>
      </c>
      <c r="G1431" t="s">
        <v>6932</v>
      </c>
      <c r="H1431">
        <v>5</v>
      </c>
      <c r="I1431">
        <f>VLOOKUP(B1431,BRAND!B:D,3,FALSE)</f>
        <v>5.5</v>
      </c>
      <c r="J1431">
        <v>4</v>
      </c>
      <c r="M1431">
        <v>1</v>
      </c>
    </row>
    <row r="1432" spans="1:13">
      <c r="A1432" t="s">
        <v>14975</v>
      </c>
      <c r="B1432" t="s">
        <v>14976</v>
      </c>
      <c r="C1432" s="34" t="s">
        <v>1438</v>
      </c>
      <c r="F1432" t="s">
        <v>1438</v>
      </c>
      <c r="G1432" t="s">
        <v>6932</v>
      </c>
      <c r="H1432">
        <v>5</v>
      </c>
      <c r="I1432">
        <f>VLOOKUP(B1432,BRAND!B:D,3,FALSE)</f>
        <v>5</v>
      </c>
      <c r="J1432">
        <v>0</v>
      </c>
      <c r="K1432" t="s">
        <v>821</v>
      </c>
      <c r="L1432">
        <v>0</v>
      </c>
      <c r="M1432">
        <v>0</v>
      </c>
    </row>
    <row r="1433" spans="1:13">
      <c r="A1433" t="s">
        <v>7650</v>
      </c>
      <c r="B1433" t="s">
        <v>7651</v>
      </c>
      <c r="C1433" s="34" t="s">
        <v>1438</v>
      </c>
      <c r="F1433" t="s">
        <v>1438</v>
      </c>
      <c r="G1433" t="s">
        <v>6932</v>
      </c>
      <c r="H1433">
        <v>5</v>
      </c>
      <c r="I1433">
        <f>VLOOKUP(B1433,BRAND!B:D,3,FALSE)</f>
        <v>5.5</v>
      </c>
      <c r="J1433">
        <v>4</v>
      </c>
      <c r="M1433">
        <v>1</v>
      </c>
    </row>
    <row r="1434" spans="1:13">
      <c r="A1434" t="s">
        <v>7108</v>
      </c>
      <c r="B1434" t="s">
        <v>6637</v>
      </c>
      <c r="C1434" s="34" t="s">
        <v>1438</v>
      </c>
      <c r="F1434" t="s">
        <v>1438</v>
      </c>
      <c r="H1434">
        <v>5</v>
      </c>
      <c r="I1434">
        <f>VLOOKUP(B1434,BRAND!B:D,3,FALSE)</f>
        <v>5</v>
      </c>
      <c r="J1434">
        <v>4</v>
      </c>
      <c r="M1434">
        <v>1</v>
      </c>
    </row>
    <row r="1435" spans="1:13">
      <c r="A1435" t="s">
        <v>7652</v>
      </c>
      <c r="B1435" t="s">
        <v>7653</v>
      </c>
      <c r="C1435" s="34" t="s">
        <v>1438</v>
      </c>
      <c r="F1435" t="s">
        <v>1438</v>
      </c>
      <c r="G1435" t="s">
        <v>6932</v>
      </c>
      <c r="H1435">
        <v>5</v>
      </c>
      <c r="I1435">
        <f>VLOOKUP(B1435,BRAND!B:D,3,FALSE)</f>
        <v>5.5</v>
      </c>
      <c r="J1435">
        <v>4</v>
      </c>
      <c r="M1435">
        <v>1</v>
      </c>
    </row>
    <row r="1436" spans="1:13">
      <c r="A1436" t="s">
        <v>2409</v>
      </c>
      <c r="B1436" t="s">
        <v>603</v>
      </c>
      <c r="C1436" s="34" t="s">
        <v>534</v>
      </c>
      <c r="F1436" t="s">
        <v>534</v>
      </c>
      <c r="H1436">
        <v>5</v>
      </c>
      <c r="I1436">
        <f>VLOOKUP(B1436,BRAND!B:D,3,FALSE)</f>
        <v>3</v>
      </c>
      <c r="J1436">
        <v>6</v>
      </c>
      <c r="K1436" t="s">
        <v>821</v>
      </c>
      <c r="M1436">
        <v>0</v>
      </c>
    </row>
    <row r="1437" spans="1:13">
      <c r="A1437" t="s">
        <v>2352</v>
      </c>
      <c r="B1437" t="s">
        <v>603</v>
      </c>
      <c r="C1437" s="34" t="s">
        <v>780</v>
      </c>
      <c r="F1437" t="s">
        <v>780</v>
      </c>
      <c r="H1437">
        <v>5</v>
      </c>
      <c r="I1437">
        <f>VLOOKUP(B1437,BRAND!B:D,3,FALSE)</f>
        <v>3</v>
      </c>
      <c r="J1437">
        <v>6</v>
      </c>
      <c r="K1437" t="s">
        <v>821</v>
      </c>
      <c r="M1437">
        <v>1</v>
      </c>
    </row>
    <row r="1438" spans="1:13">
      <c r="A1438" t="s">
        <v>2334</v>
      </c>
      <c r="B1438" t="s">
        <v>603</v>
      </c>
      <c r="C1438" s="34" t="s">
        <v>536</v>
      </c>
      <c r="F1438" t="s">
        <v>536</v>
      </c>
      <c r="H1438">
        <v>5</v>
      </c>
      <c r="I1438">
        <f>VLOOKUP(B1438,BRAND!B:D,3,FALSE)</f>
        <v>3</v>
      </c>
      <c r="J1438">
        <v>5</v>
      </c>
      <c r="K1438" t="s">
        <v>821</v>
      </c>
      <c r="M1438">
        <v>1</v>
      </c>
    </row>
    <row r="1439" spans="1:13">
      <c r="A1439" t="s">
        <v>2335</v>
      </c>
      <c r="B1439" t="s">
        <v>603</v>
      </c>
      <c r="C1439" s="34" t="s">
        <v>872</v>
      </c>
      <c r="F1439" t="s">
        <v>872</v>
      </c>
      <c r="H1439">
        <v>5</v>
      </c>
      <c r="I1439">
        <f>VLOOKUP(B1439,BRAND!B:D,3,FALSE)</f>
        <v>3</v>
      </c>
      <c r="J1439">
        <v>5</v>
      </c>
      <c r="K1439" t="s">
        <v>821</v>
      </c>
      <c r="M1439">
        <v>1</v>
      </c>
    </row>
    <row r="1440" spans="1:13">
      <c r="A1440" t="s">
        <v>2350</v>
      </c>
      <c r="B1440" t="s">
        <v>603</v>
      </c>
      <c r="C1440" s="34" t="s">
        <v>1438</v>
      </c>
      <c r="F1440" t="s">
        <v>1438</v>
      </c>
      <c r="H1440">
        <v>15</v>
      </c>
      <c r="I1440">
        <f>VLOOKUP(B1440,BRAND!B:D,3,FALSE)</f>
        <v>3</v>
      </c>
      <c r="J1440">
        <v>4</v>
      </c>
      <c r="K1440" t="s">
        <v>821</v>
      </c>
      <c r="M1440">
        <v>0</v>
      </c>
    </row>
    <row r="1441" spans="1:13">
      <c r="A1441" t="s">
        <v>3536</v>
      </c>
      <c r="B1441" t="s">
        <v>25</v>
      </c>
      <c r="C1441" s="34" t="s">
        <v>536</v>
      </c>
      <c r="F1441" t="s">
        <v>536</v>
      </c>
      <c r="H1441">
        <v>5</v>
      </c>
      <c r="I1441">
        <f>VLOOKUP(B1441,BRAND!B:D,3,FALSE)</f>
        <v>3</v>
      </c>
      <c r="J1441">
        <v>5</v>
      </c>
      <c r="K1441" t="s">
        <v>821</v>
      </c>
      <c r="M1441">
        <v>1</v>
      </c>
    </row>
    <row r="1442" spans="1:13">
      <c r="A1442" t="s">
        <v>3657</v>
      </c>
      <c r="B1442" t="s">
        <v>523</v>
      </c>
      <c r="C1442" s="34" t="s">
        <v>536</v>
      </c>
      <c r="F1442" t="s">
        <v>536</v>
      </c>
      <c r="H1442">
        <v>5</v>
      </c>
      <c r="I1442">
        <f>VLOOKUP(B1442,BRAND!B:D,3,FALSE)</f>
        <v>3</v>
      </c>
      <c r="J1442">
        <v>5</v>
      </c>
      <c r="K1442" t="s">
        <v>821</v>
      </c>
      <c r="M1442">
        <v>1</v>
      </c>
    </row>
    <row r="1443" spans="1:13" ht="14.15" customHeight="1">
      <c r="A1443" t="s">
        <v>2052</v>
      </c>
      <c r="B1443" t="s">
        <v>523</v>
      </c>
      <c r="C1443" s="34" t="s">
        <v>1438</v>
      </c>
      <c r="F1443" t="s">
        <v>1438</v>
      </c>
      <c r="H1443">
        <v>15</v>
      </c>
      <c r="I1443">
        <f>VLOOKUP(B1443,BRAND!B:D,3,FALSE)</f>
        <v>3</v>
      </c>
      <c r="J1443">
        <v>4</v>
      </c>
      <c r="K1443" t="s">
        <v>821</v>
      </c>
      <c r="M1443">
        <v>0</v>
      </c>
    </row>
    <row r="1444" spans="1:13">
      <c r="A1444" t="s">
        <v>7738</v>
      </c>
      <c r="B1444" t="s">
        <v>7739</v>
      </c>
      <c r="C1444" s="34" t="s">
        <v>1438</v>
      </c>
      <c r="F1444" t="s">
        <v>1438</v>
      </c>
      <c r="G1444" t="s">
        <v>6932</v>
      </c>
      <c r="H1444">
        <v>5</v>
      </c>
      <c r="I1444">
        <f>VLOOKUP(B1444,BRAND!B:D,3,FALSE)</f>
        <v>5.5</v>
      </c>
      <c r="J1444">
        <v>4</v>
      </c>
      <c r="M1444">
        <v>1</v>
      </c>
    </row>
    <row r="1445" spans="1:13">
      <c r="A1445" t="s">
        <v>4092</v>
      </c>
      <c r="B1445" t="s">
        <v>1096</v>
      </c>
      <c r="C1445" s="34" t="s">
        <v>5232</v>
      </c>
      <c r="F1445" t="s">
        <v>536</v>
      </c>
      <c r="H1445">
        <v>5</v>
      </c>
      <c r="I1445">
        <f>VLOOKUP(B1445,BRAND!B:D,3,FALSE)</f>
        <v>3</v>
      </c>
      <c r="J1445">
        <v>5</v>
      </c>
      <c r="K1445" t="s">
        <v>821</v>
      </c>
      <c r="M1445">
        <v>0</v>
      </c>
    </row>
    <row r="1446" spans="1:13">
      <c r="A1446" t="s">
        <v>7740</v>
      </c>
      <c r="B1446" t="s">
        <v>7741</v>
      </c>
      <c r="C1446" s="34" t="s">
        <v>1438</v>
      </c>
      <c r="F1446" t="s">
        <v>1438</v>
      </c>
      <c r="G1446" t="s">
        <v>6932</v>
      </c>
      <c r="H1446">
        <v>5</v>
      </c>
      <c r="I1446">
        <f>VLOOKUP(B1446,BRAND!B:D,3,FALSE)</f>
        <v>5.5</v>
      </c>
      <c r="J1446">
        <v>4</v>
      </c>
      <c r="M1446">
        <v>1</v>
      </c>
    </row>
    <row r="1447" spans="1:13">
      <c r="A1447" t="s">
        <v>7742</v>
      </c>
      <c r="B1447" t="s">
        <v>7743</v>
      </c>
      <c r="C1447" s="34" t="s">
        <v>1438</v>
      </c>
      <c r="F1447" t="s">
        <v>1438</v>
      </c>
      <c r="G1447" t="s">
        <v>6932</v>
      </c>
      <c r="H1447">
        <v>5</v>
      </c>
      <c r="I1447">
        <f>VLOOKUP(B1447,BRAND!B:D,3,FALSE)</f>
        <v>5.5</v>
      </c>
      <c r="J1447">
        <v>4</v>
      </c>
      <c r="M1447">
        <v>1</v>
      </c>
    </row>
    <row r="1448" spans="1:13">
      <c r="A1448" t="s">
        <v>3845</v>
      </c>
      <c r="B1448" t="s">
        <v>1225</v>
      </c>
      <c r="C1448" s="34" t="s">
        <v>782</v>
      </c>
      <c r="F1448" t="s">
        <v>782</v>
      </c>
      <c r="H1448">
        <v>5</v>
      </c>
      <c r="I1448">
        <f>VLOOKUP(B1448,BRAND!B:D,3,FALSE)</f>
        <v>3</v>
      </c>
      <c r="J1448">
        <v>4</v>
      </c>
      <c r="K1448" t="s">
        <v>821</v>
      </c>
      <c r="M1448">
        <v>0</v>
      </c>
    </row>
    <row r="1449" spans="1:13">
      <c r="A1449" t="s">
        <v>3526</v>
      </c>
      <c r="B1449" t="s">
        <v>462</v>
      </c>
      <c r="C1449" s="34" t="s">
        <v>561</v>
      </c>
      <c r="F1449" t="s">
        <v>561</v>
      </c>
      <c r="H1449">
        <v>5</v>
      </c>
      <c r="I1449">
        <f>VLOOKUP(B1449,BRAND!B:D,3,FALSE)</f>
        <v>9</v>
      </c>
      <c r="J1449">
        <v>3</v>
      </c>
      <c r="K1449" t="s">
        <v>821</v>
      </c>
      <c r="M1449">
        <v>1</v>
      </c>
    </row>
    <row r="1450" spans="1:13">
      <c r="A1450" t="s">
        <v>7744</v>
      </c>
      <c r="B1450" t="s">
        <v>463</v>
      </c>
      <c r="C1450" s="34" t="s">
        <v>534</v>
      </c>
      <c r="F1450" t="s">
        <v>534</v>
      </c>
      <c r="G1450" t="s">
        <v>6932</v>
      </c>
      <c r="H1450">
        <v>5</v>
      </c>
      <c r="I1450">
        <f>VLOOKUP(B1450,BRAND!B:D,3,FALSE)</f>
        <v>9</v>
      </c>
      <c r="J1450">
        <v>6</v>
      </c>
      <c r="M1450">
        <v>1</v>
      </c>
    </row>
    <row r="1451" spans="1:13">
      <c r="A1451" t="s">
        <v>7745</v>
      </c>
      <c r="B1451" t="s">
        <v>463</v>
      </c>
      <c r="C1451" s="34" t="s">
        <v>561</v>
      </c>
      <c r="F1451" t="s">
        <v>561</v>
      </c>
      <c r="G1451" t="s">
        <v>6932</v>
      </c>
      <c r="H1451">
        <v>5</v>
      </c>
      <c r="I1451">
        <f>VLOOKUP(B1451,BRAND!B:D,3,FALSE)</f>
        <v>9</v>
      </c>
      <c r="J1451">
        <v>3</v>
      </c>
      <c r="M1451">
        <v>1</v>
      </c>
    </row>
    <row r="1452" spans="1:13">
      <c r="A1452" t="s">
        <v>3020</v>
      </c>
      <c r="B1452" t="s">
        <v>463</v>
      </c>
      <c r="C1452" s="34" t="s">
        <v>1438</v>
      </c>
      <c r="F1452" t="s">
        <v>1438</v>
      </c>
      <c r="H1452">
        <v>15</v>
      </c>
      <c r="I1452">
        <f>VLOOKUP(B1452,BRAND!B:D,3,FALSE)</f>
        <v>9</v>
      </c>
      <c r="J1452">
        <v>4</v>
      </c>
      <c r="K1452" t="s">
        <v>821</v>
      </c>
      <c r="M1452">
        <v>1</v>
      </c>
    </row>
    <row r="1453" spans="1:13">
      <c r="A1453" t="s">
        <v>7095</v>
      </c>
      <c r="B1453" t="s">
        <v>6623</v>
      </c>
      <c r="C1453" s="34" t="s">
        <v>1438</v>
      </c>
      <c r="F1453" t="s">
        <v>1438</v>
      </c>
      <c r="H1453">
        <v>5</v>
      </c>
      <c r="I1453">
        <f>VLOOKUP(B1453,BRAND!B:D,3,FALSE)</f>
        <v>5</v>
      </c>
      <c r="J1453">
        <v>4</v>
      </c>
      <c r="M1453">
        <v>1</v>
      </c>
    </row>
    <row r="1454" spans="1:13">
      <c r="A1454" t="s">
        <v>7746</v>
      </c>
      <c r="B1454" t="s">
        <v>7747</v>
      </c>
      <c r="C1454" s="34" t="s">
        <v>534</v>
      </c>
      <c r="F1454" t="s">
        <v>534</v>
      </c>
      <c r="G1454" t="s">
        <v>6932</v>
      </c>
      <c r="H1454">
        <v>5</v>
      </c>
      <c r="I1454">
        <f>VLOOKUP(B1454,BRAND!B:D,3,FALSE)</f>
        <v>5.5</v>
      </c>
      <c r="J1454">
        <v>6</v>
      </c>
      <c r="M1454">
        <v>1</v>
      </c>
    </row>
    <row r="1455" spans="1:13">
      <c r="A1455" t="s">
        <v>7748</v>
      </c>
      <c r="B1455" t="s">
        <v>7747</v>
      </c>
      <c r="C1455" s="34" t="s">
        <v>776</v>
      </c>
      <c r="F1455" t="s">
        <v>776</v>
      </c>
      <c r="G1455" t="s">
        <v>6932</v>
      </c>
      <c r="H1455">
        <v>5</v>
      </c>
      <c r="I1455">
        <f>VLOOKUP(B1455,BRAND!B:D,3,FALSE)</f>
        <v>5.5</v>
      </c>
      <c r="J1455">
        <v>5</v>
      </c>
      <c r="M1455">
        <v>1</v>
      </c>
    </row>
    <row r="1456" spans="1:13">
      <c r="A1456" t="s">
        <v>7749</v>
      </c>
      <c r="B1456" t="s">
        <v>7747</v>
      </c>
      <c r="C1456" s="34" t="s">
        <v>763</v>
      </c>
      <c r="F1456" t="s">
        <v>763</v>
      </c>
      <c r="G1456" t="s">
        <v>6932</v>
      </c>
      <c r="H1456">
        <v>5</v>
      </c>
      <c r="I1456">
        <f>VLOOKUP(B1456,BRAND!B:D,3,FALSE)</f>
        <v>5.5</v>
      </c>
      <c r="J1456">
        <v>5</v>
      </c>
      <c r="M1456">
        <v>1</v>
      </c>
    </row>
    <row r="1457" spans="1:13">
      <c r="A1457" t="s">
        <v>7752</v>
      </c>
      <c r="B1457" t="s">
        <v>7751</v>
      </c>
      <c r="C1457" s="34" t="s">
        <v>534</v>
      </c>
      <c r="F1457" t="s">
        <v>534</v>
      </c>
      <c r="G1457" t="s">
        <v>6932</v>
      </c>
      <c r="H1457">
        <v>5</v>
      </c>
      <c r="I1457">
        <f>VLOOKUP(B1457,BRAND!B:D,3,FALSE)</f>
        <v>5.5</v>
      </c>
      <c r="J1457">
        <v>6</v>
      </c>
      <c r="M1457">
        <v>1</v>
      </c>
    </row>
    <row r="1458" spans="1:13">
      <c r="A1458" t="s">
        <v>7753</v>
      </c>
      <c r="B1458" t="s">
        <v>7751</v>
      </c>
      <c r="C1458" s="34" t="s">
        <v>751</v>
      </c>
      <c r="F1458" t="s">
        <v>751</v>
      </c>
      <c r="G1458" t="s">
        <v>6932</v>
      </c>
      <c r="H1458">
        <v>5</v>
      </c>
      <c r="I1458">
        <f>VLOOKUP(B1458,BRAND!B:D,3,FALSE)</f>
        <v>5.5</v>
      </c>
      <c r="J1458">
        <v>5</v>
      </c>
      <c r="M1458">
        <v>1</v>
      </c>
    </row>
    <row r="1459" spans="1:13">
      <c r="A1459" t="s">
        <v>7754</v>
      </c>
      <c r="B1459" t="s">
        <v>7751</v>
      </c>
      <c r="C1459" s="34" t="s">
        <v>536</v>
      </c>
      <c r="F1459" t="s">
        <v>536</v>
      </c>
      <c r="G1459" t="s">
        <v>6932</v>
      </c>
      <c r="H1459">
        <v>5</v>
      </c>
      <c r="I1459">
        <f>VLOOKUP(B1459,BRAND!B:D,3,FALSE)</f>
        <v>5.5</v>
      </c>
      <c r="J1459">
        <v>5</v>
      </c>
      <c r="M1459">
        <v>1</v>
      </c>
    </row>
    <row r="1460" spans="1:13">
      <c r="A1460" t="s">
        <v>7750</v>
      </c>
      <c r="B1460" t="s">
        <v>7751</v>
      </c>
      <c r="C1460" s="34" t="s">
        <v>842</v>
      </c>
      <c r="F1460" t="s">
        <v>842</v>
      </c>
      <c r="G1460" t="s">
        <v>6932</v>
      </c>
      <c r="H1460">
        <v>5</v>
      </c>
      <c r="I1460">
        <f>VLOOKUP(B1460,BRAND!B:D,3,FALSE)</f>
        <v>5.5</v>
      </c>
      <c r="J1460">
        <v>5</v>
      </c>
      <c r="M1460">
        <v>1</v>
      </c>
    </row>
    <row r="1461" spans="1:13">
      <c r="A1461" t="s">
        <v>2275</v>
      </c>
      <c r="B1461" t="s">
        <v>1849</v>
      </c>
      <c r="C1461" s="34" t="s">
        <v>778</v>
      </c>
      <c r="F1461" t="s">
        <v>778</v>
      </c>
      <c r="H1461">
        <v>5</v>
      </c>
      <c r="I1461">
        <f>VLOOKUP(B1461,BRAND!B:D,3,FALSE)</f>
        <v>5.5</v>
      </c>
      <c r="J1461">
        <v>4</v>
      </c>
      <c r="K1461" t="e">
        <v>#N/A</v>
      </c>
      <c r="M1461">
        <v>0</v>
      </c>
    </row>
    <row r="1462" spans="1:13">
      <c r="A1462" t="s">
        <v>3784</v>
      </c>
      <c r="B1462" t="s">
        <v>247</v>
      </c>
      <c r="C1462" s="34" t="s">
        <v>777</v>
      </c>
      <c r="F1462" t="s">
        <v>777</v>
      </c>
      <c r="H1462">
        <v>5</v>
      </c>
      <c r="I1462">
        <f>VLOOKUP(B1462,BRAND!B:D,3,FALSE)</f>
        <v>3</v>
      </c>
      <c r="J1462">
        <v>7</v>
      </c>
      <c r="K1462" t="s">
        <v>821</v>
      </c>
      <c r="M1462">
        <v>1</v>
      </c>
    </row>
    <row r="1463" spans="1:13">
      <c r="A1463" t="s">
        <v>7755</v>
      </c>
      <c r="B1463" t="s">
        <v>247</v>
      </c>
      <c r="C1463" s="34" t="s">
        <v>536</v>
      </c>
      <c r="F1463" t="s">
        <v>536</v>
      </c>
      <c r="G1463" t="s">
        <v>6932</v>
      </c>
      <c r="H1463">
        <v>5</v>
      </c>
      <c r="I1463">
        <f>VLOOKUP(B1463,BRAND!B:D,3,FALSE)</f>
        <v>3</v>
      </c>
      <c r="J1463">
        <v>5</v>
      </c>
      <c r="M1463">
        <v>1</v>
      </c>
    </row>
    <row r="1464" spans="1:13">
      <c r="A1464" t="s">
        <v>7756</v>
      </c>
      <c r="B1464" t="s">
        <v>247</v>
      </c>
      <c r="C1464" s="34" t="s">
        <v>842</v>
      </c>
      <c r="F1464" t="s">
        <v>842</v>
      </c>
      <c r="G1464" t="s">
        <v>6932</v>
      </c>
      <c r="H1464">
        <v>5</v>
      </c>
      <c r="I1464">
        <f>VLOOKUP(B1464,BRAND!B:D,3,FALSE)</f>
        <v>3</v>
      </c>
      <c r="J1464">
        <v>5</v>
      </c>
      <c r="M1464">
        <v>1</v>
      </c>
    </row>
    <row r="1465" spans="1:13">
      <c r="A1465" t="s">
        <v>2861</v>
      </c>
      <c r="B1465" t="s">
        <v>247</v>
      </c>
      <c r="C1465" s="34" t="s">
        <v>782</v>
      </c>
      <c r="F1465" t="s">
        <v>782</v>
      </c>
      <c r="H1465">
        <v>5</v>
      </c>
      <c r="I1465">
        <f>VLOOKUP(B1465,BRAND!B:D,3,FALSE)</f>
        <v>3</v>
      </c>
      <c r="J1465">
        <v>4</v>
      </c>
      <c r="K1465" t="s">
        <v>821</v>
      </c>
      <c r="M1465">
        <v>0</v>
      </c>
    </row>
    <row r="1466" spans="1:13">
      <c r="A1466" t="s">
        <v>4145</v>
      </c>
      <c r="B1466" t="s">
        <v>247</v>
      </c>
      <c r="C1466" s="34" t="s">
        <v>778</v>
      </c>
      <c r="F1466" t="s">
        <v>778</v>
      </c>
      <c r="H1466">
        <v>5</v>
      </c>
      <c r="I1466">
        <f>VLOOKUP(B1466,BRAND!B:D,3,FALSE)</f>
        <v>3</v>
      </c>
      <c r="J1466">
        <v>4</v>
      </c>
      <c r="K1466" t="s">
        <v>821</v>
      </c>
      <c r="M1466">
        <v>1</v>
      </c>
    </row>
    <row r="1467" spans="1:13">
      <c r="A1467" t="s">
        <v>2591</v>
      </c>
      <c r="B1467" t="s">
        <v>247</v>
      </c>
      <c r="C1467" s="34" t="s">
        <v>1438</v>
      </c>
      <c r="F1467" t="s">
        <v>1438</v>
      </c>
      <c r="H1467">
        <v>15</v>
      </c>
      <c r="I1467">
        <f>VLOOKUP(B1467,BRAND!B:D,3,FALSE)</f>
        <v>3</v>
      </c>
      <c r="J1467">
        <v>4</v>
      </c>
      <c r="K1467" t="s">
        <v>821</v>
      </c>
      <c r="M1467">
        <v>0</v>
      </c>
    </row>
    <row r="1468" spans="1:13">
      <c r="A1468" t="s">
        <v>12312</v>
      </c>
      <c r="B1468" t="s">
        <v>12010</v>
      </c>
      <c r="C1468" s="34" t="s">
        <v>12313</v>
      </c>
      <c r="F1468" t="s">
        <v>12314</v>
      </c>
      <c r="G1468" t="s">
        <v>6932</v>
      </c>
      <c r="H1468">
        <v>5</v>
      </c>
    </row>
    <row r="1469" spans="1:13">
      <c r="A1469" t="s">
        <v>12317</v>
      </c>
      <c r="B1469" t="s">
        <v>12010</v>
      </c>
      <c r="C1469" s="34" t="s">
        <v>12318</v>
      </c>
      <c r="F1469" t="s">
        <v>12318</v>
      </c>
      <c r="G1469" t="s">
        <v>6932</v>
      </c>
      <c r="H1469">
        <v>5</v>
      </c>
    </row>
    <row r="1470" spans="1:13">
      <c r="A1470" t="s">
        <v>13629</v>
      </c>
      <c r="B1470" t="s">
        <v>12010</v>
      </c>
      <c r="C1470" s="34" t="s">
        <v>12319</v>
      </c>
      <c r="F1470" t="s">
        <v>12319</v>
      </c>
      <c r="G1470" t="s">
        <v>801</v>
      </c>
      <c r="H1470">
        <v>5</v>
      </c>
    </row>
    <row r="1471" spans="1:13">
      <c r="A1471" t="s">
        <v>12315</v>
      </c>
      <c r="B1471" t="s">
        <v>12010</v>
      </c>
      <c r="C1471" s="34" t="s">
        <v>881</v>
      </c>
      <c r="F1471" t="s">
        <v>12316</v>
      </c>
      <c r="G1471" t="s">
        <v>6932</v>
      </c>
      <c r="H1471">
        <v>8</v>
      </c>
      <c r="I1471">
        <f>VLOOKUP(B1471,BRAND!B:D,3,FALSE)</f>
        <v>18</v>
      </c>
      <c r="J1471">
        <v>6</v>
      </c>
      <c r="K1471" t="s">
        <v>821</v>
      </c>
    </row>
    <row r="1472" spans="1:13">
      <c r="A1472" t="s">
        <v>2283</v>
      </c>
      <c r="B1472" t="s">
        <v>1147</v>
      </c>
      <c r="C1472" s="34" t="s">
        <v>1438</v>
      </c>
      <c r="F1472" t="s">
        <v>1438</v>
      </c>
      <c r="H1472">
        <v>15</v>
      </c>
      <c r="I1472">
        <f>VLOOKUP(B1472,BRAND!B:D,3,FALSE)</f>
        <v>3</v>
      </c>
      <c r="J1472">
        <v>4</v>
      </c>
      <c r="K1472" t="s">
        <v>821</v>
      </c>
      <c r="M1472">
        <v>0</v>
      </c>
    </row>
    <row r="1473" spans="1:13">
      <c r="A1473" t="s">
        <v>3571</v>
      </c>
      <c r="B1473" t="s">
        <v>503</v>
      </c>
      <c r="C1473" s="34" t="s">
        <v>534</v>
      </c>
      <c r="F1473" t="s">
        <v>534</v>
      </c>
      <c r="H1473">
        <v>5</v>
      </c>
      <c r="I1473">
        <f>VLOOKUP(B1473,BRAND!B:D,3,FALSE)</f>
        <v>3</v>
      </c>
      <c r="J1473">
        <v>6</v>
      </c>
      <c r="K1473" t="s">
        <v>821</v>
      </c>
      <c r="M1473">
        <v>1</v>
      </c>
    </row>
    <row r="1474" spans="1:13">
      <c r="A1474" t="s">
        <v>7757</v>
      </c>
      <c r="B1474" t="s">
        <v>7758</v>
      </c>
      <c r="C1474" s="34" t="s">
        <v>6360</v>
      </c>
      <c r="F1474" t="s">
        <v>6360</v>
      </c>
      <c r="G1474" t="s">
        <v>6932</v>
      </c>
      <c r="H1474">
        <v>5</v>
      </c>
      <c r="I1474">
        <f>VLOOKUP(B1474,BRAND!B:D,3,FALSE)</f>
        <v>5.5</v>
      </c>
      <c r="J1474">
        <v>3</v>
      </c>
      <c r="M1474">
        <v>1</v>
      </c>
    </row>
    <row r="1475" spans="1:13">
      <c r="A1475" t="s">
        <v>4960</v>
      </c>
      <c r="B1475" t="s">
        <v>26</v>
      </c>
      <c r="C1475" s="34" t="s">
        <v>1438</v>
      </c>
      <c r="F1475" t="s">
        <v>1438</v>
      </c>
      <c r="G1475" t="s">
        <v>801</v>
      </c>
      <c r="H1475">
        <v>6</v>
      </c>
      <c r="I1475">
        <f>VLOOKUP(B1475,BRAND!B:D,3,FALSE)</f>
        <v>3</v>
      </c>
      <c r="J1475">
        <v>4</v>
      </c>
      <c r="K1475" t="s">
        <v>821</v>
      </c>
      <c r="M1475">
        <v>1</v>
      </c>
    </row>
    <row r="1476" spans="1:13">
      <c r="A1476" t="s">
        <v>2567</v>
      </c>
      <c r="B1476" t="s">
        <v>26</v>
      </c>
      <c r="C1476" s="34" t="s">
        <v>1438</v>
      </c>
      <c r="F1476" t="s">
        <v>1438</v>
      </c>
      <c r="H1476">
        <v>15</v>
      </c>
      <c r="I1476">
        <f>VLOOKUP(B1476,BRAND!B:D,3,FALSE)</f>
        <v>3</v>
      </c>
      <c r="J1476">
        <v>4</v>
      </c>
      <c r="K1476" t="s">
        <v>821</v>
      </c>
      <c r="M1476">
        <v>1</v>
      </c>
    </row>
    <row r="1477" spans="1:13">
      <c r="A1477" t="s">
        <v>3328</v>
      </c>
      <c r="B1477" t="s">
        <v>1013</v>
      </c>
      <c r="C1477" s="34" t="s">
        <v>5232</v>
      </c>
      <c r="F1477" t="s">
        <v>536</v>
      </c>
      <c r="H1477">
        <v>5</v>
      </c>
      <c r="I1477">
        <f>VLOOKUP(B1477,BRAND!B:D,3,FALSE)</f>
        <v>3</v>
      </c>
      <c r="J1477">
        <v>5</v>
      </c>
      <c r="K1477" t="s">
        <v>821</v>
      </c>
      <c r="M1477">
        <v>1</v>
      </c>
    </row>
    <row r="1478" spans="1:13">
      <c r="A1478" t="s">
        <v>7759</v>
      </c>
      <c r="B1478" t="s">
        <v>7760</v>
      </c>
      <c r="C1478" s="34" t="s">
        <v>1438</v>
      </c>
      <c r="F1478" t="s">
        <v>1438</v>
      </c>
      <c r="G1478" t="s">
        <v>6932</v>
      </c>
      <c r="H1478">
        <v>5</v>
      </c>
      <c r="I1478">
        <f>VLOOKUP(B1478,BRAND!B:D,3,FALSE)</f>
        <v>5.5</v>
      </c>
      <c r="J1478">
        <v>4</v>
      </c>
      <c r="M1478">
        <v>1</v>
      </c>
    </row>
    <row r="1479" spans="1:13">
      <c r="A1479" t="s">
        <v>2448</v>
      </c>
      <c r="B1479" t="s">
        <v>1097</v>
      </c>
      <c r="C1479" s="34" t="s">
        <v>1438</v>
      </c>
      <c r="F1479" t="s">
        <v>1438</v>
      </c>
      <c r="H1479">
        <v>15</v>
      </c>
      <c r="I1479">
        <f>VLOOKUP(B1479,BRAND!B:D,3,FALSE)</f>
        <v>3</v>
      </c>
      <c r="J1479">
        <v>4</v>
      </c>
      <c r="K1479" t="s">
        <v>821</v>
      </c>
      <c r="M1479">
        <v>0</v>
      </c>
    </row>
    <row r="1480" spans="1:13">
      <c r="A1480" t="s">
        <v>7761</v>
      </c>
      <c r="B1480" s="26" t="s">
        <v>393</v>
      </c>
      <c r="C1480" s="34" t="s">
        <v>6948</v>
      </c>
      <c r="F1480" t="s">
        <v>6948</v>
      </c>
      <c r="G1480" t="s">
        <v>6932</v>
      </c>
      <c r="H1480">
        <v>5</v>
      </c>
      <c r="I1480">
        <f>VLOOKUP(B1480,BRAND!B:D,3,FALSE)</f>
        <v>3</v>
      </c>
      <c r="J1480">
        <v>6</v>
      </c>
      <c r="M1480">
        <v>1</v>
      </c>
    </row>
    <row r="1481" spans="1:13">
      <c r="A1481" t="s">
        <v>7762</v>
      </c>
      <c r="B1481" t="s">
        <v>393</v>
      </c>
      <c r="C1481" s="34" t="s">
        <v>788</v>
      </c>
      <c r="F1481" t="s">
        <v>788</v>
      </c>
      <c r="G1481" t="s">
        <v>6932</v>
      </c>
      <c r="H1481">
        <v>5</v>
      </c>
      <c r="I1481">
        <f>VLOOKUP(B1481,BRAND!B:D,3,FALSE)</f>
        <v>3</v>
      </c>
      <c r="J1481">
        <v>4</v>
      </c>
      <c r="M1481">
        <v>1</v>
      </c>
    </row>
    <row r="1482" spans="1:13">
      <c r="A1482" t="s">
        <v>2501</v>
      </c>
      <c r="B1482" t="s">
        <v>393</v>
      </c>
      <c r="C1482" s="34" t="s">
        <v>1438</v>
      </c>
      <c r="F1482" t="s">
        <v>1438</v>
      </c>
      <c r="H1482">
        <v>15</v>
      </c>
      <c r="I1482">
        <f>VLOOKUP(B1482,BRAND!B:D,3,FALSE)</f>
        <v>3</v>
      </c>
      <c r="J1482">
        <v>4</v>
      </c>
      <c r="K1482" t="s">
        <v>821</v>
      </c>
      <c r="M1482">
        <v>1</v>
      </c>
    </row>
    <row r="1483" spans="1:13">
      <c r="A1483" t="s">
        <v>7763</v>
      </c>
      <c r="B1483" t="s">
        <v>7764</v>
      </c>
      <c r="C1483" s="34" t="s">
        <v>772</v>
      </c>
      <c r="F1483" t="s">
        <v>772</v>
      </c>
      <c r="G1483" t="s">
        <v>6932</v>
      </c>
      <c r="H1483">
        <v>5</v>
      </c>
      <c r="I1483">
        <f>VLOOKUP(B1483,BRAND!B:D,3,FALSE)</f>
        <v>5.5</v>
      </c>
      <c r="J1483">
        <v>6</v>
      </c>
      <c r="M1483">
        <v>1</v>
      </c>
    </row>
    <row r="1484" spans="1:13">
      <c r="A1484" t="s">
        <v>10056</v>
      </c>
      <c r="B1484" t="s">
        <v>7765</v>
      </c>
      <c r="C1484" s="34" t="s">
        <v>534</v>
      </c>
      <c r="F1484" t="s">
        <v>534</v>
      </c>
      <c r="G1484" t="s">
        <v>6932</v>
      </c>
      <c r="H1484">
        <v>5</v>
      </c>
      <c r="I1484">
        <f>VLOOKUP(B1484,BRAND!B:D,3,FALSE)</f>
        <v>5.5</v>
      </c>
      <c r="J1484">
        <v>6</v>
      </c>
      <c r="M1484">
        <v>0</v>
      </c>
    </row>
    <row r="1485" spans="1:13">
      <c r="A1485" t="s">
        <v>9586</v>
      </c>
      <c r="B1485" t="s">
        <v>9985</v>
      </c>
      <c r="C1485" s="34" t="s">
        <v>534</v>
      </c>
      <c r="F1485" t="s">
        <v>534</v>
      </c>
      <c r="G1485" t="s">
        <v>6932</v>
      </c>
      <c r="H1485">
        <v>5</v>
      </c>
      <c r="I1485">
        <f>VLOOKUP(B1485,BRAND!B:D,3,FALSE)</f>
        <v>5.5</v>
      </c>
      <c r="J1485">
        <v>6</v>
      </c>
      <c r="M1485">
        <v>1</v>
      </c>
    </row>
    <row r="1486" spans="1:13">
      <c r="A1486" t="s">
        <v>7099</v>
      </c>
      <c r="B1486" t="s">
        <v>6627</v>
      </c>
      <c r="C1486" s="34" t="s">
        <v>1438</v>
      </c>
      <c r="F1486" t="s">
        <v>1438</v>
      </c>
      <c r="H1486">
        <v>5</v>
      </c>
      <c r="I1486">
        <f>VLOOKUP(B1486,BRAND!B:D,3,FALSE)</f>
        <v>5</v>
      </c>
      <c r="J1486">
        <v>4</v>
      </c>
      <c r="M1486">
        <v>1</v>
      </c>
    </row>
    <row r="1487" spans="1:13">
      <c r="A1487" t="s">
        <v>7766</v>
      </c>
      <c r="B1487" t="s">
        <v>7767</v>
      </c>
      <c r="C1487" s="34" t="s">
        <v>1438</v>
      </c>
      <c r="F1487" t="s">
        <v>1438</v>
      </c>
      <c r="G1487" t="s">
        <v>6932</v>
      </c>
      <c r="H1487">
        <v>5</v>
      </c>
      <c r="I1487">
        <f>VLOOKUP(B1487,BRAND!B:D,3,FALSE)</f>
        <v>5.5</v>
      </c>
      <c r="J1487">
        <v>4</v>
      </c>
      <c r="M1487">
        <v>1</v>
      </c>
    </row>
    <row r="1488" spans="1:13">
      <c r="A1488" t="s">
        <v>7768</v>
      </c>
      <c r="B1488" t="s">
        <v>7769</v>
      </c>
      <c r="C1488" s="34" t="s">
        <v>1438</v>
      </c>
      <c r="F1488" t="s">
        <v>1438</v>
      </c>
      <c r="G1488" t="s">
        <v>6932</v>
      </c>
      <c r="H1488">
        <v>5</v>
      </c>
      <c r="I1488">
        <f>VLOOKUP(B1488,BRAND!B:D,3,FALSE)</f>
        <v>5.5</v>
      </c>
      <c r="J1488">
        <v>4</v>
      </c>
      <c r="M1488">
        <v>1</v>
      </c>
    </row>
    <row r="1489" spans="1:13">
      <c r="A1489" t="s">
        <v>2682</v>
      </c>
      <c r="B1489" t="s">
        <v>1148</v>
      </c>
      <c r="C1489" s="34" t="s">
        <v>1438</v>
      </c>
      <c r="F1489" t="s">
        <v>1438</v>
      </c>
      <c r="H1489">
        <v>15</v>
      </c>
      <c r="I1489">
        <f>VLOOKUP(B1489,BRAND!B:D,3,FALSE)</f>
        <v>3</v>
      </c>
      <c r="J1489">
        <v>4</v>
      </c>
      <c r="K1489" t="s">
        <v>821</v>
      </c>
      <c r="M1489">
        <v>0</v>
      </c>
    </row>
    <row r="1490" spans="1:13">
      <c r="A1490" t="s">
        <v>2120</v>
      </c>
      <c r="B1490" t="s">
        <v>27</v>
      </c>
      <c r="C1490" s="34" t="s">
        <v>5231</v>
      </c>
      <c r="F1490" t="s">
        <v>1438</v>
      </c>
      <c r="H1490">
        <v>15</v>
      </c>
      <c r="I1490">
        <f>VLOOKUP(B1490,BRAND!B:D,3,FALSE)</f>
        <v>3</v>
      </c>
      <c r="J1490">
        <v>4</v>
      </c>
      <c r="K1490" t="s">
        <v>821</v>
      </c>
      <c r="M1490">
        <v>1</v>
      </c>
    </row>
    <row r="1491" spans="1:13">
      <c r="A1491" t="s">
        <v>4608</v>
      </c>
      <c r="B1491" t="s">
        <v>1226</v>
      </c>
      <c r="C1491" s="34" t="s">
        <v>772</v>
      </c>
      <c r="F1491" t="s">
        <v>772</v>
      </c>
      <c r="H1491">
        <v>5</v>
      </c>
      <c r="I1491">
        <f>VLOOKUP(B1491,BRAND!B:D,3,FALSE)</f>
        <v>3</v>
      </c>
      <c r="J1491">
        <v>6</v>
      </c>
      <c r="K1491" t="s">
        <v>821</v>
      </c>
      <c r="M1491">
        <v>0</v>
      </c>
    </row>
    <row r="1492" spans="1:13">
      <c r="A1492" t="s">
        <v>4493</v>
      </c>
      <c r="B1492" t="s">
        <v>1226</v>
      </c>
      <c r="C1492" s="34" t="s">
        <v>872</v>
      </c>
      <c r="F1492" t="s">
        <v>872</v>
      </c>
      <c r="H1492">
        <v>5</v>
      </c>
      <c r="I1492">
        <f>VLOOKUP(B1492,BRAND!B:D,3,FALSE)</f>
        <v>3</v>
      </c>
      <c r="J1492">
        <v>5</v>
      </c>
      <c r="K1492" t="s">
        <v>821</v>
      </c>
      <c r="M1492">
        <v>0</v>
      </c>
    </row>
    <row r="1493" spans="1:13">
      <c r="A1493" t="s">
        <v>4839</v>
      </c>
      <c r="B1493" t="s">
        <v>1226</v>
      </c>
      <c r="C1493" s="34" t="s">
        <v>897</v>
      </c>
      <c r="F1493" t="s">
        <v>897</v>
      </c>
      <c r="H1493">
        <v>5</v>
      </c>
      <c r="I1493">
        <f>VLOOKUP(B1493,BRAND!B:D,3,FALSE)</f>
        <v>3</v>
      </c>
      <c r="J1493">
        <v>4</v>
      </c>
      <c r="K1493" t="s">
        <v>821</v>
      </c>
      <c r="M1493">
        <v>0</v>
      </c>
    </row>
    <row r="1494" spans="1:13">
      <c r="A1494" t="s">
        <v>2261</v>
      </c>
      <c r="B1494" t="s">
        <v>1226</v>
      </c>
      <c r="C1494" s="34" t="s">
        <v>1438</v>
      </c>
      <c r="F1494" t="s">
        <v>1438</v>
      </c>
      <c r="H1494">
        <v>15</v>
      </c>
      <c r="I1494">
        <f>VLOOKUP(B1494,BRAND!B:D,3,FALSE)</f>
        <v>3</v>
      </c>
      <c r="J1494">
        <v>4</v>
      </c>
      <c r="K1494" t="s">
        <v>821</v>
      </c>
      <c r="M1494">
        <v>0</v>
      </c>
    </row>
    <row r="1495" spans="1:13">
      <c r="A1495" t="s">
        <v>7770</v>
      </c>
      <c r="B1495" t="s">
        <v>7771</v>
      </c>
      <c r="C1495" s="34" t="s">
        <v>1438</v>
      </c>
      <c r="F1495" t="s">
        <v>1438</v>
      </c>
      <c r="G1495" t="s">
        <v>6932</v>
      </c>
      <c r="H1495">
        <v>5</v>
      </c>
      <c r="I1495">
        <f>VLOOKUP(B1495,BRAND!B:D,3,FALSE)</f>
        <v>5.5</v>
      </c>
      <c r="J1495">
        <v>4</v>
      </c>
      <c r="M1495">
        <v>1</v>
      </c>
    </row>
    <row r="1496" spans="1:13">
      <c r="A1496" t="s">
        <v>7777</v>
      </c>
      <c r="B1496" t="s">
        <v>464</v>
      </c>
      <c r="C1496" s="34" t="s">
        <v>919</v>
      </c>
      <c r="F1496" t="s">
        <v>919</v>
      </c>
      <c r="G1496" t="s">
        <v>6932</v>
      </c>
      <c r="H1496">
        <v>5</v>
      </c>
      <c r="I1496">
        <f>VLOOKUP(B1496,BRAND!B:D,3,FALSE)</f>
        <v>3</v>
      </c>
      <c r="J1496">
        <v>9</v>
      </c>
      <c r="M1496">
        <v>1</v>
      </c>
    </row>
    <row r="1497" spans="1:13">
      <c r="A1497" t="s">
        <v>4065</v>
      </c>
      <c r="B1497" t="s">
        <v>464</v>
      </c>
      <c r="C1497" s="34" t="s">
        <v>1482</v>
      </c>
      <c r="F1497" t="s">
        <v>1482</v>
      </c>
      <c r="H1497">
        <v>5</v>
      </c>
      <c r="I1497">
        <f>VLOOKUP(B1497,BRAND!B:D,3,FALSE)</f>
        <v>3</v>
      </c>
      <c r="J1497">
        <v>9</v>
      </c>
      <c r="K1497" t="s">
        <v>821</v>
      </c>
      <c r="M1497">
        <v>1</v>
      </c>
    </row>
    <row r="1498" spans="1:13">
      <c r="A1498" t="s">
        <v>7774</v>
      </c>
      <c r="B1498" t="s">
        <v>464</v>
      </c>
      <c r="C1498" s="34" t="s">
        <v>7775</v>
      </c>
      <c r="F1498" t="s">
        <v>7775</v>
      </c>
      <c r="G1498" t="s">
        <v>6932</v>
      </c>
      <c r="H1498">
        <v>5</v>
      </c>
      <c r="I1498">
        <f>VLOOKUP(B1498,BRAND!B:D,3,FALSE)</f>
        <v>3</v>
      </c>
      <c r="J1498">
        <v>8</v>
      </c>
      <c r="M1498">
        <v>1</v>
      </c>
    </row>
    <row r="1499" spans="1:13">
      <c r="A1499" t="s">
        <v>4174</v>
      </c>
      <c r="B1499" s="26" t="s">
        <v>464</v>
      </c>
      <c r="C1499" s="34" t="s">
        <v>904</v>
      </c>
      <c r="F1499" t="s">
        <v>904</v>
      </c>
      <c r="H1499">
        <v>5</v>
      </c>
      <c r="I1499">
        <f>VLOOKUP(B1499,BRAND!B:D,3,FALSE)</f>
        <v>3</v>
      </c>
      <c r="J1499">
        <v>8</v>
      </c>
      <c r="K1499" t="s">
        <v>821</v>
      </c>
      <c r="M1499">
        <v>1</v>
      </c>
    </row>
    <row r="1500" spans="1:13">
      <c r="A1500" t="s">
        <v>7772</v>
      </c>
      <c r="B1500" t="s">
        <v>464</v>
      </c>
      <c r="C1500" s="34" t="s">
        <v>7773</v>
      </c>
      <c r="F1500" t="s">
        <v>7773</v>
      </c>
      <c r="G1500" t="s">
        <v>6932</v>
      </c>
      <c r="H1500">
        <v>5</v>
      </c>
      <c r="I1500">
        <f>VLOOKUP(B1500,BRAND!B:D,3,FALSE)</f>
        <v>3</v>
      </c>
      <c r="J1500">
        <v>7</v>
      </c>
      <c r="M1500">
        <v>1</v>
      </c>
    </row>
    <row r="1501" spans="1:13">
      <c r="A1501" t="s">
        <v>4174</v>
      </c>
      <c r="B1501" t="s">
        <v>464</v>
      </c>
      <c r="C1501" s="34" t="s">
        <v>10854</v>
      </c>
      <c r="F1501" t="s">
        <v>534</v>
      </c>
      <c r="H1501">
        <v>5</v>
      </c>
      <c r="I1501">
        <f>VLOOKUP(B1501,BRAND!B:D,3,FALSE)</f>
        <v>3</v>
      </c>
      <c r="J1501">
        <v>6</v>
      </c>
      <c r="K1501" t="s">
        <v>821</v>
      </c>
      <c r="M1501">
        <v>0</v>
      </c>
    </row>
    <row r="1502" spans="1:13">
      <c r="A1502" t="s">
        <v>3128</v>
      </c>
      <c r="B1502" t="s">
        <v>464</v>
      </c>
      <c r="C1502" s="34" t="s">
        <v>751</v>
      </c>
      <c r="F1502" t="s">
        <v>751</v>
      </c>
      <c r="H1502">
        <v>5</v>
      </c>
      <c r="I1502">
        <f>VLOOKUP(B1502,BRAND!B:D,3,FALSE)</f>
        <v>3</v>
      </c>
      <c r="J1502">
        <v>5</v>
      </c>
      <c r="K1502" t="s">
        <v>821</v>
      </c>
      <c r="M1502">
        <v>0</v>
      </c>
    </row>
    <row r="1503" spans="1:13">
      <c r="A1503" t="s">
        <v>3507</v>
      </c>
      <c r="B1503" t="s">
        <v>464</v>
      </c>
      <c r="C1503" s="34" t="s">
        <v>536</v>
      </c>
      <c r="F1503" t="s">
        <v>536</v>
      </c>
      <c r="H1503">
        <v>5</v>
      </c>
      <c r="I1503">
        <f>VLOOKUP(B1503,BRAND!B:D,3,FALSE)</f>
        <v>3</v>
      </c>
      <c r="J1503">
        <v>5</v>
      </c>
      <c r="K1503" t="s">
        <v>821</v>
      </c>
      <c r="M1503">
        <v>0</v>
      </c>
    </row>
    <row r="1504" spans="1:13">
      <c r="A1504" t="s">
        <v>3017</v>
      </c>
      <c r="B1504" t="s">
        <v>464</v>
      </c>
      <c r="C1504" s="34" t="s">
        <v>842</v>
      </c>
      <c r="F1504" t="s">
        <v>842</v>
      </c>
      <c r="H1504">
        <v>5</v>
      </c>
      <c r="I1504">
        <f>VLOOKUP(B1504,BRAND!B:D,3,FALSE)</f>
        <v>3</v>
      </c>
      <c r="J1504">
        <v>5</v>
      </c>
      <c r="K1504" t="s">
        <v>821</v>
      </c>
      <c r="M1504">
        <v>0</v>
      </c>
    </row>
    <row r="1505" spans="1:13">
      <c r="A1505" t="s">
        <v>7776</v>
      </c>
      <c r="B1505" t="s">
        <v>464</v>
      </c>
      <c r="C1505" s="34" t="s">
        <v>788</v>
      </c>
      <c r="F1505" t="s">
        <v>788</v>
      </c>
      <c r="G1505" t="s">
        <v>6932</v>
      </c>
      <c r="H1505">
        <v>5</v>
      </c>
      <c r="I1505">
        <f>VLOOKUP(B1505,BRAND!B:D,3,FALSE)</f>
        <v>3</v>
      </c>
      <c r="J1505">
        <v>4</v>
      </c>
      <c r="M1505">
        <v>1</v>
      </c>
    </row>
    <row r="1506" spans="1:13">
      <c r="A1506" t="s">
        <v>3640</v>
      </c>
      <c r="B1506" t="s">
        <v>464</v>
      </c>
      <c r="C1506" s="34" t="s">
        <v>561</v>
      </c>
      <c r="F1506" t="s">
        <v>561</v>
      </c>
      <c r="H1506">
        <v>5</v>
      </c>
      <c r="I1506">
        <f>VLOOKUP(B1506,BRAND!B:D,3,FALSE)</f>
        <v>3</v>
      </c>
      <c r="J1506">
        <v>3</v>
      </c>
      <c r="K1506" t="s">
        <v>821</v>
      </c>
      <c r="M1506">
        <v>0</v>
      </c>
    </row>
    <row r="1507" spans="1:13">
      <c r="A1507" t="s">
        <v>2606</v>
      </c>
      <c r="B1507" t="s">
        <v>464</v>
      </c>
      <c r="C1507" s="34" t="s">
        <v>786</v>
      </c>
      <c r="F1507" t="s">
        <v>786</v>
      </c>
      <c r="H1507">
        <v>5</v>
      </c>
      <c r="I1507">
        <f>VLOOKUP(B1507,BRAND!B:D,3,FALSE)</f>
        <v>3</v>
      </c>
      <c r="J1507">
        <v>3</v>
      </c>
      <c r="K1507" t="s">
        <v>821</v>
      </c>
      <c r="M1507">
        <v>1</v>
      </c>
    </row>
    <row r="1508" spans="1:13">
      <c r="A1508" t="s">
        <v>2082</v>
      </c>
      <c r="B1508" t="s">
        <v>464</v>
      </c>
      <c r="C1508" s="34" t="s">
        <v>1438</v>
      </c>
      <c r="F1508" t="s">
        <v>1438</v>
      </c>
      <c r="H1508">
        <v>15</v>
      </c>
      <c r="I1508">
        <f>VLOOKUP(B1508,BRAND!B:D,3,FALSE)</f>
        <v>3</v>
      </c>
      <c r="J1508">
        <v>4</v>
      </c>
      <c r="K1508" t="s">
        <v>821</v>
      </c>
      <c r="M1508">
        <v>0</v>
      </c>
    </row>
    <row r="1509" spans="1:13">
      <c r="A1509" t="s">
        <v>2372</v>
      </c>
      <c r="B1509" t="s">
        <v>1149</v>
      </c>
      <c r="C1509" s="34" t="s">
        <v>534</v>
      </c>
      <c r="F1509" t="s">
        <v>534</v>
      </c>
      <c r="H1509">
        <v>5</v>
      </c>
      <c r="I1509">
        <f>VLOOKUP(B1509,BRAND!B:D,3,FALSE)</f>
        <v>5.5</v>
      </c>
      <c r="J1509">
        <v>6</v>
      </c>
      <c r="K1509" t="e">
        <v>#N/A</v>
      </c>
      <c r="M1509">
        <v>0</v>
      </c>
    </row>
    <row r="1510" spans="1:13">
      <c r="A1510" t="s">
        <v>2241</v>
      </c>
      <c r="B1510" t="s">
        <v>1149</v>
      </c>
      <c r="C1510" s="34" t="s">
        <v>1438</v>
      </c>
      <c r="F1510" t="s">
        <v>1438</v>
      </c>
      <c r="H1510">
        <v>15</v>
      </c>
      <c r="I1510">
        <f>VLOOKUP(B1510,BRAND!B:D,3,FALSE)</f>
        <v>5.5</v>
      </c>
      <c r="J1510">
        <v>4</v>
      </c>
      <c r="K1510" t="e">
        <v>#N/A</v>
      </c>
      <c r="M1510">
        <v>0</v>
      </c>
    </row>
    <row r="1511" spans="1:13">
      <c r="A1511" t="s">
        <v>10270</v>
      </c>
      <c r="B1511" t="s">
        <v>5491</v>
      </c>
      <c r="C1511" s="34" t="s">
        <v>7411</v>
      </c>
      <c r="F1511" t="s">
        <v>1438</v>
      </c>
      <c r="H1511">
        <v>5</v>
      </c>
      <c r="I1511">
        <f>VLOOKUP(B1511,BRAND!B:D,3,FALSE)</f>
        <v>5</v>
      </c>
      <c r="J1511">
        <v>4</v>
      </c>
      <c r="K1511" t="s">
        <v>821</v>
      </c>
      <c r="M1511">
        <v>1</v>
      </c>
    </row>
    <row r="1512" spans="1:13">
      <c r="A1512" t="s">
        <v>10271</v>
      </c>
      <c r="B1512" t="s">
        <v>5491</v>
      </c>
      <c r="C1512" s="34" t="s">
        <v>842</v>
      </c>
      <c r="F1512" t="s">
        <v>1438</v>
      </c>
      <c r="H1512">
        <v>5</v>
      </c>
      <c r="I1512">
        <f>VLOOKUP(B1512,BRAND!B:D,3,FALSE)</f>
        <v>5</v>
      </c>
      <c r="J1512">
        <v>4</v>
      </c>
      <c r="K1512" t="s">
        <v>821</v>
      </c>
      <c r="M1512">
        <v>1</v>
      </c>
    </row>
    <row r="1513" spans="1:13">
      <c r="A1513" t="s">
        <v>2979</v>
      </c>
      <c r="B1513" t="s">
        <v>302</v>
      </c>
      <c r="C1513" s="34" t="s">
        <v>536</v>
      </c>
      <c r="F1513" t="s">
        <v>536</v>
      </c>
      <c r="H1513">
        <v>5</v>
      </c>
      <c r="I1513">
        <f>VLOOKUP(B1513,BRAND!B:D,3,FALSE)</f>
        <v>3</v>
      </c>
      <c r="J1513">
        <v>5</v>
      </c>
      <c r="K1513" t="s">
        <v>821</v>
      </c>
      <c r="M1513">
        <v>0</v>
      </c>
    </row>
    <row r="1514" spans="1:13">
      <c r="A1514" t="s">
        <v>2974</v>
      </c>
      <c r="B1514" t="s">
        <v>302</v>
      </c>
      <c r="C1514" s="34" t="s">
        <v>842</v>
      </c>
      <c r="F1514" t="s">
        <v>842</v>
      </c>
      <c r="H1514">
        <v>5</v>
      </c>
      <c r="I1514">
        <f>VLOOKUP(B1514,BRAND!B:D,3,FALSE)</f>
        <v>3</v>
      </c>
      <c r="J1514">
        <v>5</v>
      </c>
      <c r="K1514" t="s">
        <v>821</v>
      </c>
      <c r="M1514">
        <v>0</v>
      </c>
    </row>
    <row r="1515" spans="1:13">
      <c r="A1515" t="s">
        <v>2806</v>
      </c>
      <c r="B1515" t="s">
        <v>302</v>
      </c>
      <c r="C1515" s="34" t="s">
        <v>1438</v>
      </c>
      <c r="F1515" t="s">
        <v>1438</v>
      </c>
      <c r="H1515">
        <v>15</v>
      </c>
      <c r="I1515">
        <f>VLOOKUP(B1515,BRAND!B:D,3,FALSE)</f>
        <v>3</v>
      </c>
      <c r="J1515">
        <v>4</v>
      </c>
      <c r="K1515" t="s">
        <v>821</v>
      </c>
      <c r="M1515">
        <v>1</v>
      </c>
    </row>
    <row r="1516" spans="1:13">
      <c r="A1516" t="s">
        <v>14961</v>
      </c>
      <c r="B1516" t="s">
        <v>14962</v>
      </c>
      <c r="C1516" s="34" t="s">
        <v>1438</v>
      </c>
      <c r="F1516" t="s">
        <v>1438</v>
      </c>
      <c r="G1516" t="s">
        <v>6932</v>
      </c>
      <c r="H1516">
        <v>5</v>
      </c>
      <c r="I1516">
        <f>VLOOKUP(B1516,BRAND!B:D,3,FALSE)</f>
        <v>5</v>
      </c>
      <c r="J1516">
        <v>0</v>
      </c>
      <c r="K1516" t="s">
        <v>821</v>
      </c>
      <c r="L1516">
        <v>0</v>
      </c>
      <c r="M1516">
        <v>0</v>
      </c>
    </row>
    <row r="1517" spans="1:13">
      <c r="A1517" t="s">
        <v>7778</v>
      </c>
      <c r="B1517" t="s">
        <v>7779</v>
      </c>
      <c r="C1517" s="34" t="s">
        <v>1438</v>
      </c>
      <c r="F1517" t="s">
        <v>1438</v>
      </c>
      <c r="G1517" t="s">
        <v>6932</v>
      </c>
      <c r="H1517">
        <v>5</v>
      </c>
      <c r="I1517">
        <f>VLOOKUP(B1517,BRAND!B:D,3,FALSE)</f>
        <v>5.5</v>
      </c>
      <c r="J1517">
        <v>4</v>
      </c>
      <c r="M1517">
        <v>1</v>
      </c>
    </row>
    <row r="1518" spans="1:13">
      <c r="A1518" t="s">
        <v>2820</v>
      </c>
      <c r="B1518" t="s">
        <v>673</v>
      </c>
      <c r="C1518" s="34" t="s">
        <v>534</v>
      </c>
      <c r="F1518" t="s">
        <v>534</v>
      </c>
      <c r="H1518">
        <v>5</v>
      </c>
      <c r="I1518">
        <f>VLOOKUP(B1518,BRAND!B:D,3,FALSE)</f>
        <v>3</v>
      </c>
      <c r="J1518">
        <v>6</v>
      </c>
      <c r="K1518" t="s">
        <v>821</v>
      </c>
      <c r="M1518">
        <v>0</v>
      </c>
    </row>
    <row r="1519" spans="1:13">
      <c r="A1519" t="s">
        <v>2936</v>
      </c>
      <c r="B1519" t="s">
        <v>673</v>
      </c>
      <c r="C1519" s="34" t="s">
        <v>536</v>
      </c>
      <c r="F1519" t="s">
        <v>536</v>
      </c>
      <c r="H1519">
        <v>5</v>
      </c>
      <c r="I1519">
        <f>VLOOKUP(B1519,BRAND!B:D,3,FALSE)</f>
        <v>3</v>
      </c>
      <c r="J1519">
        <v>5</v>
      </c>
      <c r="K1519" t="s">
        <v>821</v>
      </c>
      <c r="M1519">
        <v>0</v>
      </c>
    </row>
    <row r="1520" spans="1:13">
      <c r="A1520" t="s">
        <v>2149</v>
      </c>
      <c r="B1520" t="s">
        <v>673</v>
      </c>
      <c r="C1520" s="34" t="s">
        <v>1438</v>
      </c>
      <c r="F1520" t="s">
        <v>1438</v>
      </c>
      <c r="H1520">
        <v>15</v>
      </c>
      <c r="I1520">
        <f>VLOOKUP(B1520,BRAND!B:D,3,FALSE)</f>
        <v>3</v>
      </c>
      <c r="J1520">
        <v>4</v>
      </c>
      <c r="K1520" t="s">
        <v>821</v>
      </c>
      <c r="M1520">
        <v>1</v>
      </c>
    </row>
    <row r="1521" spans="1:13">
      <c r="A1521" t="s">
        <v>3957</v>
      </c>
      <c r="B1521" t="s">
        <v>248</v>
      </c>
      <c r="C1521" s="34" t="s">
        <v>10251</v>
      </c>
      <c r="F1521" t="s">
        <v>861</v>
      </c>
      <c r="H1521">
        <v>4</v>
      </c>
      <c r="I1521">
        <f>VLOOKUP(B1521,BRAND!B:D,3,FALSE)</f>
        <v>9</v>
      </c>
      <c r="J1521">
        <f>LEN(F1521)</f>
        <v>11</v>
      </c>
      <c r="K1521" t="s">
        <v>821</v>
      </c>
      <c r="M1521">
        <v>1</v>
      </c>
    </row>
    <row r="1522" spans="1:13">
      <c r="A1522" t="s">
        <v>3532</v>
      </c>
      <c r="B1522" t="s">
        <v>248</v>
      </c>
      <c r="C1522" s="34" t="s">
        <v>862</v>
      </c>
      <c r="F1522" t="s">
        <v>862</v>
      </c>
      <c r="H1522">
        <v>4</v>
      </c>
      <c r="I1522">
        <f>VLOOKUP(B1522,BRAND!B:D,3,FALSE)</f>
        <v>9</v>
      </c>
      <c r="J1522">
        <f>LEN(F1522)</f>
        <v>10</v>
      </c>
      <c r="K1522" t="s">
        <v>821</v>
      </c>
      <c r="M1522">
        <v>1</v>
      </c>
    </row>
    <row r="1523" spans="1:13">
      <c r="A1523" t="s">
        <v>2160</v>
      </c>
      <c r="B1523" t="s">
        <v>248</v>
      </c>
      <c r="C1523" s="34" t="s">
        <v>798</v>
      </c>
      <c r="F1523" t="s">
        <v>798</v>
      </c>
      <c r="H1523">
        <v>5</v>
      </c>
      <c r="I1523">
        <f>VLOOKUP(B1523,BRAND!B:D,3,FALSE)</f>
        <v>9</v>
      </c>
      <c r="J1523">
        <v>9</v>
      </c>
      <c r="K1523" t="s">
        <v>821</v>
      </c>
      <c r="M1523">
        <v>1</v>
      </c>
    </row>
    <row r="1524" spans="1:13">
      <c r="A1524" t="s">
        <v>2890</v>
      </c>
      <c r="B1524" t="s">
        <v>248</v>
      </c>
      <c r="C1524" s="34" t="s">
        <v>777</v>
      </c>
      <c r="F1524" t="s">
        <v>777</v>
      </c>
      <c r="H1524">
        <v>5</v>
      </c>
      <c r="I1524">
        <f>VLOOKUP(B1524,BRAND!B:D,3,FALSE)</f>
        <v>9</v>
      </c>
      <c r="J1524">
        <v>7</v>
      </c>
      <c r="K1524" t="s">
        <v>821</v>
      </c>
      <c r="M1524">
        <v>0</v>
      </c>
    </row>
    <row r="1525" spans="1:13">
      <c r="A1525" t="s">
        <v>3952</v>
      </c>
      <c r="B1525" t="s">
        <v>248</v>
      </c>
      <c r="C1525" s="34" t="s">
        <v>746</v>
      </c>
      <c r="F1525" t="s">
        <v>746</v>
      </c>
      <c r="H1525">
        <v>5</v>
      </c>
      <c r="I1525">
        <f>VLOOKUP(B1525,BRAND!B:D,3,FALSE)</f>
        <v>9</v>
      </c>
      <c r="J1525">
        <v>6</v>
      </c>
      <c r="K1525" t="s">
        <v>821</v>
      </c>
      <c r="M1525">
        <v>1</v>
      </c>
    </row>
    <row r="1526" spans="1:13">
      <c r="A1526" t="s">
        <v>2590</v>
      </c>
      <c r="B1526" t="s">
        <v>248</v>
      </c>
      <c r="C1526" s="34" t="s">
        <v>763</v>
      </c>
      <c r="F1526" t="s">
        <v>763</v>
      </c>
      <c r="H1526">
        <v>5</v>
      </c>
      <c r="I1526">
        <f>VLOOKUP(B1526,BRAND!B:D,3,FALSE)</f>
        <v>9</v>
      </c>
      <c r="J1526">
        <v>5</v>
      </c>
      <c r="K1526" t="s">
        <v>821</v>
      </c>
      <c r="M1526">
        <v>1</v>
      </c>
    </row>
    <row r="1527" spans="1:13">
      <c r="A1527" t="s">
        <v>7780</v>
      </c>
      <c r="B1527" t="s">
        <v>248</v>
      </c>
      <c r="C1527" s="34" t="s">
        <v>7781</v>
      </c>
      <c r="F1527" t="s">
        <v>7781</v>
      </c>
      <c r="G1527" t="s">
        <v>6932</v>
      </c>
      <c r="H1527">
        <v>5</v>
      </c>
      <c r="I1527">
        <f>VLOOKUP(B1527,BRAND!B:D,3,FALSE)</f>
        <v>9</v>
      </c>
      <c r="J1527">
        <v>4</v>
      </c>
      <c r="M1527">
        <v>1</v>
      </c>
    </row>
    <row r="1528" spans="1:13">
      <c r="A1528" t="s">
        <v>7782</v>
      </c>
      <c r="B1528" t="s">
        <v>248</v>
      </c>
      <c r="C1528" s="34" t="s">
        <v>7783</v>
      </c>
      <c r="F1528" t="s">
        <v>7783</v>
      </c>
      <c r="G1528" t="s">
        <v>6932</v>
      </c>
      <c r="H1528">
        <v>5</v>
      </c>
      <c r="I1528">
        <f>VLOOKUP(B1528,BRAND!B:D,3,FALSE)</f>
        <v>9</v>
      </c>
      <c r="J1528">
        <v>4</v>
      </c>
      <c r="M1528">
        <v>1</v>
      </c>
    </row>
    <row r="1529" spans="1:13">
      <c r="A1529" t="s">
        <v>7784</v>
      </c>
      <c r="B1529" t="s">
        <v>248</v>
      </c>
      <c r="C1529" s="34" t="s">
        <v>7785</v>
      </c>
      <c r="F1529" t="s">
        <v>7785</v>
      </c>
      <c r="G1529" t="s">
        <v>6932</v>
      </c>
      <c r="H1529">
        <v>5</v>
      </c>
      <c r="I1529">
        <f>VLOOKUP(B1529,BRAND!B:D,3,FALSE)</f>
        <v>9</v>
      </c>
      <c r="J1529">
        <v>4</v>
      </c>
      <c r="M1529">
        <v>1</v>
      </c>
    </row>
    <row r="1530" spans="1:13">
      <c r="A1530" t="s">
        <v>7786</v>
      </c>
      <c r="B1530" t="s">
        <v>248</v>
      </c>
      <c r="C1530" s="34" t="s">
        <v>7787</v>
      </c>
      <c r="F1530" t="s">
        <v>7787</v>
      </c>
      <c r="G1530" t="s">
        <v>6932</v>
      </c>
      <c r="H1530">
        <v>5</v>
      </c>
      <c r="I1530">
        <f>VLOOKUP(B1530,BRAND!B:D,3,FALSE)</f>
        <v>9</v>
      </c>
      <c r="J1530">
        <v>4</v>
      </c>
      <c r="M1530">
        <v>1</v>
      </c>
    </row>
    <row r="1531" spans="1:13">
      <c r="A1531" t="s">
        <v>7788</v>
      </c>
      <c r="B1531" t="s">
        <v>248</v>
      </c>
      <c r="C1531" s="34" t="s">
        <v>7789</v>
      </c>
      <c r="F1531" t="s">
        <v>7789</v>
      </c>
      <c r="G1531" t="s">
        <v>6932</v>
      </c>
      <c r="H1531">
        <v>5</v>
      </c>
      <c r="I1531">
        <f>VLOOKUP(B1531,BRAND!B:D,3,FALSE)</f>
        <v>9</v>
      </c>
      <c r="J1531">
        <v>4</v>
      </c>
      <c r="M1531">
        <v>1</v>
      </c>
    </row>
    <row r="1532" spans="1:13">
      <c r="A1532" t="s">
        <v>3927</v>
      </c>
      <c r="B1532" t="s">
        <v>248</v>
      </c>
      <c r="C1532" s="34" t="s">
        <v>780</v>
      </c>
      <c r="F1532" t="s">
        <v>780</v>
      </c>
      <c r="H1532">
        <v>6</v>
      </c>
      <c r="I1532">
        <f>VLOOKUP(B1532,BRAND!B:D,3,FALSE)</f>
        <v>9</v>
      </c>
      <c r="J1532">
        <v>6</v>
      </c>
      <c r="K1532" t="s">
        <v>821</v>
      </c>
      <c r="M1532">
        <v>1</v>
      </c>
    </row>
    <row r="1533" spans="1:13">
      <c r="A1533" t="s">
        <v>5039</v>
      </c>
      <c r="B1533" t="s">
        <v>248</v>
      </c>
      <c r="C1533" s="34" t="s">
        <v>1438</v>
      </c>
      <c r="F1533" t="s">
        <v>1438</v>
      </c>
      <c r="G1533" t="s">
        <v>801</v>
      </c>
      <c r="H1533">
        <v>6</v>
      </c>
      <c r="I1533">
        <f>VLOOKUP(B1533,BRAND!B:D,3,FALSE)</f>
        <v>9</v>
      </c>
      <c r="J1533">
        <v>4</v>
      </c>
      <c r="K1533" t="s">
        <v>821</v>
      </c>
      <c r="M1533">
        <v>0</v>
      </c>
    </row>
    <row r="1534" spans="1:13">
      <c r="A1534" t="s">
        <v>7123</v>
      </c>
      <c r="B1534" t="s">
        <v>6647</v>
      </c>
      <c r="C1534" s="34" t="s">
        <v>1438</v>
      </c>
      <c r="F1534" t="s">
        <v>1438</v>
      </c>
      <c r="H1534">
        <v>5</v>
      </c>
      <c r="I1534">
        <f>VLOOKUP(B1534,BRAND!B:D,3,FALSE)</f>
        <v>3</v>
      </c>
      <c r="J1534">
        <v>4</v>
      </c>
      <c r="M1534">
        <v>1</v>
      </c>
    </row>
    <row r="1535" spans="1:13">
      <c r="A1535" t="s">
        <v>4873</v>
      </c>
      <c r="B1535" t="s">
        <v>28</v>
      </c>
      <c r="C1535" s="34" t="s">
        <v>1506</v>
      </c>
      <c r="F1535" t="s">
        <v>1506</v>
      </c>
      <c r="H1535">
        <v>5</v>
      </c>
      <c r="I1535" t="e">
        <f>VLOOKUP(B1535,BRAND!B:D,3,FALSE)</f>
        <v>#N/A</v>
      </c>
      <c r="J1535">
        <v>6</v>
      </c>
      <c r="K1535" t="s">
        <v>821</v>
      </c>
      <c r="M1535">
        <v>0</v>
      </c>
    </row>
    <row r="1536" spans="1:13">
      <c r="A1536" t="s">
        <v>4337</v>
      </c>
      <c r="B1536" t="s">
        <v>28</v>
      </c>
      <c r="C1536" s="34" t="s">
        <v>751</v>
      </c>
      <c r="F1536" t="s">
        <v>751</v>
      </c>
      <c r="H1536">
        <v>5</v>
      </c>
      <c r="I1536" t="e">
        <f>VLOOKUP(B1536,BRAND!B:D,3,FALSE)</f>
        <v>#N/A</v>
      </c>
      <c r="J1536">
        <v>5</v>
      </c>
      <c r="K1536" t="s">
        <v>821</v>
      </c>
      <c r="M1536">
        <v>0</v>
      </c>
    </row>
    <row r="1537" spans="1:13">
      <c r="A1537" t="s">
        <v>2469</v>
      </c>
      <c r="B1537" t="s">
        <v>28</v>
      </c>
      <c r="C1537" s="34" t="s">
        <v>1438</v>
      </c>
      <c r="F1537" t="s">
        <v>1438</v>
      </c>
      <c r="H1537">
        <v>15</v>
      </c>
      <c r="I1537" t="e">
        <f>VLOOKUP(B1537,BRAND!B:D,3,FALSE)</f>
        <v>#N/A</v>
      </c>
      <c r="J1537">
        <v>4</v>
      </c>
      <c r="K1537" t="s">
        <v>821</v>
      </c>
      <c r="M1537">
        <v>1</v>
      </c>
    </row>
    <row r="1538" spans="1:13">
      <c r="A1538" t="s">
        <v>7790</v>
      </c>
      <c r="B1538" t="s">
        <v>7791</v>
      </c>
      <c r="C1538" s="34" t="s">
        <v>1438</v>
      </c>
      <c r="F1538" t="s">
        <v>1438</v>
      </c>
      <c r="G1538" t="s">
        <v>6932</v>
      </c>
      <c r="H1538">
        <v>5</v>
      </c>
      <c r="I1538">
        <f>VLOOKUP(B1538,BRAND!B:D,3,FALSE)</f>
        <v>5.5</v>
      </c>
      <c r="J1538">
        <v>4</v>
      </c>
      <c r="M1538">
        <v>1</v>
      </c>
    </row>
    <row r="1539" spans="1:13">
      <c r="A1539" t="s">
        <v>2884</v>
      </c>
      <c r="B1539" t="s">
        <v>1227</v>
      </c>
      <c r="C1539" s="34" t="s">
        <v>1438</v>
      </c>
      <c r="F1539" t="s">
        <v>1438</v>
      </c>
      <c r="H1539">
        <v>15</v>
      </c>
      <c r="I1539">
        <f>VLOOKUP(B1539,BRAND!B:D,3,FALSE)</f>
        <v>3</v>
      </c>
      <c r="J1539">
        <v>4</v>
      </c>
      <c r="K1539" t="s">
        <v>821</v>
      </c>
      <c r="M1539">
        <v>0</v>
      </c>
    </row>
    <row r="1540" spans="1:13">
      <c r="A1540" t="s">
        <v>3236</v>
      </c>
      <c r="B1540" t="s">
        <v>394</v>
      </c>
      <c r="C1540" s="34" t="s">
        <v>1438</v>
      </c>
      <c r="F1540" t="s">
        <v>1438</v>
      </c>
      <c r="H1540">
        <v>15</v>
      </c>
      <c r="I1540">
        <f>VLOOKUP(B1540,BRAND!B:D,3,FALSE)</f>
        <v>3</v>
      </c>
      <c r="J1540">
        <v>4</v>
      </c>
      <c r="K1540" t="s">
        <v>821</v>
      </c>
      <c r="L1540" s="29"/>
      <c r="M1540">
        <v>1</v>
      </c>
    </row>
    <row r="1541" spans="1:13">
      <c r="A1541" t="s">
        <v>2329</v>
      </c>
      <c r="B1541" t="s">
        <v>630</v>
      </c>
      <c r="C1541" s="34" t="s">
        <v>1438</v>
      </c>
      <c r="F1541" t="s">
        <v>1438</v>
      </c>
      <c r="H1541">
        <v>15</v>
      </c>
      <c r="I1541">
        <f>VLOOKUP(B1541,BRAND!B:D,3,FALSE)</f>
        <v>3</v>
      </c>
      <c r="J1541">
        <v>4</v>
      </c>
      <c r="K1541" t="s">
        <v>821</v>
      </c>
      <c r="M1541">
        <v>1</v>
      </c>
    </row>
    <row r="1542" spans="1:13">
      <c r="A1542" t="s">
        <v>4052</v>
      </c>
      <c r="B1542" t="s">
        <v>249</v>
      </c>
      <c r="C1542" s="34" t="s">
        <v>772</v>
      </c>
      <c r="F1542" t="s">
        <v>772</v>
      </c>
      <c r="H1542">
        <v>5</v>
      </c>
      <c r="I1542">
        <f>VLOOKUP(B1542,BRAND!B:D,3,FALSE)</f>
        <v>3</v>
      </c>
      <c r="J1542">
        <v>6</v>
      </c>
      <c r="K1542" t="s">
        <v>821</v>
      </c>
      <c r="M1542">
        <v>1</v>
      </c>
    </row>
    <row r="1543" spans="1:13">
      <c r="A1543" t="s">
        <v>4053</v>
      </c>
      <c r="B1543" t="s">
        <v>249</v>
      </c>
      <c r="C1543" s="34" t="s">
        <v>534</v>
      </c>
      <c r="F1543" t="s">
        <v>534</v>
      </c>
      <c r="H1543">
        <v>5</v>
      </c>
      <c r="I1543">
        <f>VLOOKUP(B1543,BRAND!B:D,3,FALSE)</f>
        <v>3</v>
      </c>
      <c r="J1543">
        <v>6</v>
      </c>
      <c r="K1543" t="s">
        <v>821</v>
      </c>
      <c r="M1543">
        <v>1</v>
      </c>
    </row>
    <row r="1544" spans="1:13">
      <c r="A1544" t="s">
        <v>3269</v>
      </c>
      <c r="B1544" t="s">
        <v>249</v>
      </c>
      <c r="C1544" s="34" t="s">
        <v>842</v>
      </c>
      <c r="F1544" t="s">
        <v>842</v>
      </c>
      <c r="H1544">
        <v>5</v>
      </c>
      <c r="I1544">
        <f>VLOOKUP(B1544,BRAND!B:D,3,FALSE)</f>
        <v>3</v>
      </c>
      <c r="J1544">
        <v>5</v>
      </c>
      <c r="K1544" t="s">
        <v>821</v>
      </c>
      <c r="M1544">
        <v>0</v>
      </c>
    </row>
    <row r="1545" spans="1:13">
      <c r="A1545" t="s">
        <v>2265</v>
      </c>
      <c r="B1545" t="s">
        <v>249</v>
      </c>
      <c r="C1545" s="34" t="s">
        <v>1438</v>
      </c>
      <c r="F1545" t="s">
        <v>1438</v>
      </c>
      <c r="H1545">
        <v>15</v>
      </c>
      <c r="I1545">
        <f>VLOOKUP(B1545,BRAND!B:D,3,FALSE)</f>
        <v>3</v>
      </c>
      <c r="J1545">
        <v>4</v>
      </c>
      <c r="K1545" t="s">
        <v>821</v>
      </c>
      <c r="M1545">
        <v>0</v>
      </c>
    </row>
    <row r="1546" spans="1:13">
      <c r="A1546" t="s">
        <v>3157</v>
      </c>
      <c r="B1546" t="s">
        <v>864</v>
      </c>
      <c r="C1546" s="34" t="s">
        <v>775</v>
      </c>
      <c r="F1546" t="s">
        <v>775</v>
      </c>
      <c r="H1546">
        <v>5</v>
      </c>
      <c r="I1546">
        <f>VLOOKUP(B1546,BRAND!B:D,3,FALSE)</f>
        <v>3</v>
      </c>
      <c r="J1546">
        <v>3</v>
      </c>
      <c r="K1546" t="s">
        <v>821</v>
      </c>
      <c r="M1546">
        <v>0</v>
      </c>
    </row>
    <row r="1547" spans="1:13">
      <c r="A1547" t="s">
        <v>4985</v>
      </c>
      <c r="B1547" t="s">
        <v>864</v>
      </c>
      <c r="C1547" s="34" t="s">
        <v>1438</v>
      </c>
      <c r="F1547" t="s">
        <v>1438</v>
      </c>
      <c r="G1547" t="s">
        <v>801</v>
      </c>
      <c r="H1547">
        <v>6</v>
      </c>
      <c r="I1547">
        <f>VLOOKUP(B1547,BRAND!B:D,3,FALSE)</f>
        <v>3</v>
      </c>
      <c r="J1547">
        <v>4</v>
      </c>
      <c r="K1547" t="s">
        <v>821</v>
      </c>
      <c r="M1547">
        <v>0</v>
      </c>
    </row>
    <row r="1548" spans="1:13">
      <c r="A1548" t="s">
        <v>2223</v>
      </c>
      <c r="B1548" t="s">
        <v>864</v>
      </c>
      <c r="C1548" s="34" t="s">
        <v>1438</v>
      </c>
      <c r="F1548" t="s">
        <v>1438</v>
      </c>
      <c r="H1548">
        <v>15</v>
      </c>
      <c r="I1548">
        <f>VLOOKUP(B1548,BRAND!B:D,3,FALSE)</f>
        <v>3</v>
      </c>
      <c r="J1548">
        <v>4</v>
      </c>
      <c r="K1548" t="s">
        <v>821</v>
      </c>
      <c r="M1548">
        <v>1</v>
      </c>
    </row>
    <row r="1549" spans="1:13">
      <c r="A1549" t="s">
        <v>2330</v>
      </c>
      <c r="B1549" t="s">
        <v>1023</v>
      </c>
      <c r="C1549" s="34" t="s">
        <v>1438</v>
      </c>
      <c r="F1549" t="s">
        <v>1438</v>
      </c>
      <c r="H1549">
        <v>15</v>
      </c>
      <c r="I1549">
        <f>VLOOKUP(B1549,BRAND!B:D,3,FALSE)</f>
        <v>3</v>
      </c>
      <c r="J1549">
        <v>4</v>
      </c>
      <c r="K1549" t="s">
        <v>821</v>
      </c>
      <c r="M1549">
        <v>0</v>
      </c>
    </row>
    <row r="1550" spans="1:13">
      <c r="A1550" t="s">
        <v>4227</v>
      </c>
      <c r="B1550" t="s">
        <v>250</v>
      </c>
      <c r="C1550" s="34" t="s">
        <v>775</v>
      </c>
      <c r="F1550" t="s">
        <v>775</v>
      </c>
      <c r="H1550">
        <v>5</v>
      </c>
      <c r="I1550">
        <f>VLOOKUP(B1550,BRAND!B:D,3,FALSE)</f>
        <v>3</v>
      </c>
      <c r="J1550">
        <v>3</v>
      </c>
      <c r="K1550" t="s">
        <v>821</v>
      </c>
      <c r="M1550">
        <v>1</v>
      </c>
    </row>
    <row r="1551" spans="1:13">
      <c r="A1551" t="s">
        <v>2331</v>
      </c>
      <c r="B1551" t="s">
        <v>250</v>
      </c>
      <c r="C1551" s="34" t="s">
        <v>1438</v>
      </c>
      <c r="F1551" t="s">
        <v>1438</v>
      </c>
      <c r="H1551">
        <v>15</v>
      </c>
      <c r="I1551">
        <f>VLOOKUP(B1551,BRAND!B:D,3,FALSE)</f>
        <v>3</v>
      </c>
      <c r="J1551">
        <v>4</v>
      </c>
      <c r="K1551" t="s">
        <v>821</v>
      </c>
      <c r="M1551">
        <v>0</v>
      </c>
    </row>
    <row r="1552" spans="1:13">
      <c r="A1552" t="s">
        <v>3177</v>
      </c>
      <c r="B1552" t="s">
        <v>1228</v>
      </c>
      <c r="C1552" s="34" t="s">
        <v>1438</v>
      </c>
      <c r="F1552" t="s">
        <v>1438</v>
      </c>
      <c r="H1552">
        <v>15</v>
      </c>
      <c r="I1552">
        <f>VLOOKUP(B1552,BRAND!B:D,3,FALSE)</f>
        <v>3</v>
      </c>
      <c r="J1552">
        <v>4</v>
      </c>
      <c r="K1552" t="s">
        <v>821</v>
      </c>
      <c r="M1552">
        <v>0</v>
      </c>
    </row>
    <row r="1553" spans="1:13">
      <c r="A1553" t="s">
        <v>4820</v>
      </c>
      <c r="B1553" t="s">
        <v>1024</v>
      </c>
      <c r="C1553" s="34" t="s">
        <v>760</v>
      </c>
      <c r="F1553" t="s">
        <v>760</v>
      </c>
      <c r="H1553">
        <v>5</v>
      </c>
      <c r="I1553">
        <f>VLOOKUP(B1553,BRAND!B:D,3,FALSE)</f>
        <v>3</v>
      </c>
      <c r="J1553">
        <v>6</v>
      </c>
      <c r="K1553" t="s">
        <v>821</v>
      </c>
      <c r="M1553">
        <v>0</v>
      </c>
    </row>
    <row r="1554" spans="1:13">
      <c r="A1554" t="s">
        <v>4785</v>
      </c>
      <c r="B1554" t="s">
        <v>1024</v>
      </c>
      <c r="C1554" s="34" t="s">
        <v>776</v>
      </c>
      <c r="F1554" t="s">
        <v>776</v>
      </c>
      <c r="H1554">
        <v>5</v>
      </c>
      <c r="I1554">
        <f>VLOOKUP(B1554,BRAND!B:D,3,FALSE)</f>
        <v>3</v>
      </c>
      <c r="J1554">
        <v>5</v>
      </c>
      <c r="K1554" t="s">
        <v>821</v>
      </c>
      <c r="M1554">
        <v>0</v>
      </c>
    </row>
    <row r="1555" spans="1:13">
      <c r="A1555" t="s">
        <v>3000</v>
      </c>
      <c r="B1555" t="s">
        <v>1024</v>
      </c>
      <c r="C1555" s="34" t="s">
        <v>1438</v>
      </c>
      <c r="F1555" t="s">
        <v>1438</v>
      </c>
      <c r="H1555">
        <v>15</v>
      </c>
      <c r="I1555">
        <f>VLOOKUP(B1555,BRAND!B:D,3,FALSE)</f>
        <v>3</v>
      </c>
      <c r="J1555">
        <v>4</v>
      </c>
      <c r="K1555" t="s">
        <v>821</v>
      </c>
      <c r="M1555">
        <v>0</v>
      </c>
    </row>
    <row r="1556" spans="1:13">
      <c r="A1556" t="s">
        <v>3875</v>
      </c>
      <c r="B1556" t="s">
        <v>303</v>
      </c>
      <c r="C1556" s="34" t="s">
        <v>534</v>
      </c>
      <c r="F1556" t="s">
        <v>534</v>
      </c>
      <c r="H1556">
        <v>5</v>
      </c>
      <c r="I1556">
        <f>VLOOKUP(B1556,BRAND!B:D,3,FALSE)</f>
        <v>3</v>
      </c>
      <c r="J1556">
        <v>6</v>
      </c>
      <c r="K1556" t="s">
        <v>821</v>
      </c>
      <c r="M1556">
        <v>0</v>
      </c>
    </row>
    <row r="1557" spans="1:13">
      <c r="A1557" t="s">
        <v>9587</v>
      </c>
      <c r="B1557" t="s">
        <v>303</v>
      </c>
      <c r="C1557" s="34" t="s">
        <v>536</v>
      </c>
      <c r="F1557" t="s">
        <v>536</v>
      </c>
      <c r="G1557" t="s">
        <v>6932</v>
      </c>
      <c r="H1557">
        <v>5</v>
      </c>
      <c r="I1557">
        <f>VLOOKUP(B1557,BRAND!B:D,3,FALSE)</f>
        <v>3</v>
      </c>
      <c r="J1557">
        <v>5</v>
      </c>
      <c r="M1557">
        <v>1</v>
      </c>
    </row>
    <row r="1558" spans="1:13">
      <c r="A1558" t="s">
        <v>2112</v>
      </c>
      <c r="B1558" t="s">
        <v>1763</v>
      </c>
      <c r="C1558" s="34" t="s">
        <v>1438</v>
      </c>
      <c r="F1558" t="s">
        <v>1438</v>
      </c>
      <c r="H1558">
        <v>15</v>
      </c>
      <c r="I1558">
        <f>VLOOKUP(B1558,BRAND!B:D,3,FALSE)</f>
        <v>3</v>
      </c>
      <c r="J1558">
        <v>4</v>
      </c>
      <c r="K1558" t="s">
        <v>821</v>
      </c>
      <c r="M1558">
        <v>0</v>
      </c>
    </row>
    <row r="1559" spans="1:13">
      <c r="A1559" t="s">
        <v>4401</v>
      </c>
      <c r="B1559" t="s">
        <v>997</v>
      </c>
      <c r="C1559" s="34" t="s">
        <v>783</v>
      </c>
      <c r="F1559" t="s">
        <v>783</v>
      </c>
      <c r="H1559">
        <v>5</v>
      </c>
      <c r="I1559">
        <f>VLOOKUP(B1559,BRAND!B:D,3,FALSE)</f>
        <v>3</v>
      </c>
      <c r="J1559">
        <f>LEN(F1559)</f>
        <v>10</v>
      </c>
      <c r="K1559" t="s">
        <v>821</v>
      </c>
      <c r="M1559">
        <v>1</v>
      </c>
    </row>
    <row r="1560" spans="1:13">
      <c r="A1560" t="s">
        <v>4668</v>
      </c>
      <c r="B1560" t="s">
        <v>997</v>
      </c>
      <c r="C1560" s="34" t="s">
        <v>840</v>
      </c>
      <c r="F1560" t="s">
        <v>840</v>
      </c>
      <c r="H1560">
        <v>5</v>
      </c>
      <c r="I1560">
        <f>VLOOKUP(B1560,BRAND!B:D,3,FALSE)</f>
        <v>3</v>
      </c>
      <c r="J1560">
        <v>9</v>
      </c>
      <c r="K1560" t="s">
        <v>821</v>
      </c>
      <c r="M1560">
        <v>0</v>
      </c>
    </row>
    <row r="1561" spans="1:13">
      <c r="A1561" t="s">
        <v>4372</v>
      </c>
      <c r="B1561" t="s">
        <v>997</v>
      </c>
      <c r="C1561" s="34" t="s">
        <v>1489</v>
      </c>
      <c r="F1561" t="s">
        <v>1489</v>
      </c>
      <c r="H1561">
        <v>5</v>
      </c>
      <c r="I1561">
        <f>VLOOKUP(B1561,BRAND!B:D,3,FALSE)</f>
        <v>3</v>
      </c>
      <c r="J1561">
        <v>7</v>
      </c>
      <c r="K1561" t="s">
        <v>821</v>
      </c>
      <c r="M1561">
        <v>0</v>
      </c>
    </row>
    <row r="1562" spans="1:13">
      <c r="A1562" t="s">
        <v>4842</v>
      </c>
      <c r="B1562" t="s">
        <v>997</v>
      </c>
      <c r="C1562" s="34" t="s">
        <v>746</v>
      </c>
      <c r="F1562" t="s">
        <v>746</v>
      </c>
      <c r="H1562">
        <v>5</v>
      </c>
      <c r="I1562">
        <f>VLOOKUP(B1562,BRAND!B:D,3,FALSE)</f>
        <v>3</v>
      </c>
      <c r="J1562">
        <v>6</v>
      </c>
      <c r="K1562" t="s">
        <v>821</v>
      </c>
      <c r="M1562">
        <v>0</v>
      </c>
    </row>
    <row r="1563" spans="1:13">
      <c r="A1563" t="s">
        <v>4610</v>
      </c>
      <c r="B1563" t="s">
        <v>997</v>
      </c>
      <c r="C1563" s="34" t="s">
        <v>898</v>
      </c>
      <c r="F1563" t="s">
        <v>898</v>
      </c>
      <c r="H1563">
        <v>5</v>
      </c>
      <c r="I1563">
        <f>VLOOKUP(B1563,BRAND!B:D,3,FALSE)</f>
        <v>3</v>
      </c>
      <c r="J1563">
        <v>6</v>
      </c>
      <c r="K1563" t="s">
        <v>821</v>
      </c>
      <c r="M1563">
        <v>0</v>
      </c>
    </row>
    <row r="1564" spans="1:13">
      <c r="A1564" t="s">
        <v>2862</v>
      </c>
      <c r="B1564" t="s">
        <v>997</v>
      </c>
      <c r="C1564" s="34" t="s">
        <v>946</v>
      </c>
      <c r="F1564" t="s">
        <v>946</v>
      </c>
      <c r="H1564">
        <v>5</v>
      </c>
      <c r="I1564">
        <f>VLOOKUP(B1564,BRAND!B:D,3,FALSE)</f>
        <v>3</v>
      </c>
      <c r="J1564">
        <v>6</v>
      </c>
      <c r="K1564" t="s">
        <v>821</v>
      </c>
      <c r="M1564">
        <v>0</v>
      </c>
    </row>
    <row r="1565" spans="1:13">
      <c r="A1565" t="s">
        <v>4405</v>
      </c>
      <c r="B1565" t="s">
        <v>997</v>
      </c>
      <c r="C1565" s="34" t="s">
        <v>776</v>
      </c>
      <c r="F1565" t="s">
        <v>776</v>
      </c>
      <c r="H1565">
        <v>5</v>
      </c>
      <c r="I1565">
        <f>VLOOKUP(B1565,BRAND!B:D,3,FALSE)</f>
        <v>3</v>
      </c>
      <c r="J1565">
        <v>5</v>
      </c>
      <c r="K1565" t="s">
        <v>821</v>
      </c>
      <c r="M1565">
        <v>0</v>
      </c>
    </row>
    <row r="1566" spans="1:13">
      <c r="A1566" t="s">
        <v>2991</v>
      </c>
      <c r="B1566" t="s">
        <v>997</v>
      </c>
      <c r="C1566" s="34" t="s">
        <v>782</v>
      </c>
      <c r="F1566" t="s">
        <v>782</v>
      </c>
      <c r="H1566">
        <v>5</v>
      </c>
      <c r="I1566">
        <f>VLOOKUP(B1566,BRAND!B:D,3,FALSE)</f>
        <v>3</v>
      </c>
      <c r="J1566">
        <v>4</v>
      </c>
      <c r="K1566" t="s">
        <v>821</v>
      </c>
      <c r="M1566">
        <v>0</v>
      </c>
    </row>
    <row r="1567" spans="1:13">
      <c r="A1567" t="s">
        <v>4769</v>
      </c>
      <c r="B1567" t="s">
        <v>997</v>
      </c>
      <c r="C1567" s="34" t="s">
        <v>781</v>
      </c>
      <c r="F1567" t="s">
        <v>781</v>
      </c>
      <c r="H1567">
        <v>5</v>
      </c>
      <c r="I1567">
        <f>VLOOKUP(B1567,BRAND!B:D,3,FALSE)</f>
        <v>3</v>
      </c>
      <c r="J1567">
        <v>4</v>
      </c>
      <c r="K1567" t="s">
        <v>821</v>
      </c>
      <c r="M1567">
        <v>0</v>
      </c>
    </row>
    <row r="1568" spans="1:13">
      <c r="A1568" t="s">
        <v>4149</v>
      </c>
      <c r="B1568" t="s">
        <v>997</v>
      </c>
      <c r="C1568" s="34" t="s">
        <v>897</v>
      </c>
      <c r="F1568" t="s">
        <v>897</v>
      </c>
      <c r="H1568">
        <v>5</v>
      </c>
      <c r="I1568">
        <f>VLOOKUP(B1568,BRAND!B:D,3,FALSE)</f>
        <v>3</v>
      </c>
      <c r="J1568">
        <v>4</v>
      </c>
      <c r="K1568" t="s">
        <v>821</v>
      </c>
      <c r="M1568">
        <v>0</v>
      </c>
    </row>
    <row r="1569" spans="1:13">
      <c r="A1569" t="s">
        <v>3163</v>
      </c>
      <c r="B1569" t="s">
        <v>997</v>
      </c>
      <c r="C1569" s="34" t="s">
        <v>773</v>
      </c>
      <c r="F1569" t="s">
        <v>773</v>
      </c>
      <c r="H1569">
        <v>5</v>
      </c>
      <c r="I1569">
        <f>VLOOKUP(B1569,BRAND!B:D,3,FALSE)</f>
        <v>3</v>
      </c>
      <c r="J1569">
        <v>4</v>
      </c>
      <c r="K1569" t="s">
        <v>821</v>
      </c>
      <c r="M1569">
        <v>0</v>
      </c>
    </row>
    <row r="1570" spans="1:13">
      <c r="A1570" t="s">
        <v>4066</v>
      </c>
      <c r="B1570" t="s">
        <v>997</v>
      </c>
      <c r="C1570" s="34" t="s">
        <v>988</v>
      </c>
      <c r="F1570" t="s">
        <v>988</v>
      </c>
      <c r="H1570">
        <v>5</v>
      </c>
      <c r="I1570">
        <f>VLOOKUP(B1570,BRAND!B:D,3,FALSE)</f>
        <v>3</v>
      </c>
      <c r="J1570">
        <v>4</v>
      </c>
      <c r="K1570" t="s">
        <v>821</v>
      </c>
      <c r="M1570">
        <v>0</v>
      </c>
    </row>
    <row r="1571" spans="1:13">
      <c r="A1571" t="s">
        <v>3759</v>
      </c>
      <c r="B1571" t="s">
        <v>997</v>
      </c>
      <c r="C1571" s="34" t="s">
        <v>775</v>
      </c>
      <c r="F1571" t="s">
        <v>775</v>
      </c>
      <c r="H1571">
        <v>5</v>
      </c>
      <c r="I1571">
        <f>VLOOKUP(B1571,BRAND!B:D,3,FALSE)</f>
        <v>3</v>
      </c>
      <c r="J1571">
        <v>3</v>
      </c>
      <c r="K1571" t="s">
        <v>821</v>
      </c>
      <c r="M1571">
        <v>0</v>
      </c>
    </row>
    <row r="1572" spans="1:13">
      <c r="A1572" t="s">
        <v>2088</v>
      </c>
      <c r="B1572" t="s">
        <v>997</v>
      </c>
      <c r="C1572" s="34" t="s">
        <v>1438</v>
      </c>
      <c r="F1572" t="s">
        <v>1438</v>
      </c>
      <c r="H1572">
        <v>15</v>
      </c>
      <c r="I1572">
        <f>VLOOKUP(B1572,BRAND!B:D,3,FALSE)</f>
        <v>3</v>
      </c>
      <c r="J1572">
        <v>4</v>
      </c>
      <c r="K1572" t="s">
        <v>821</v>
      </c>
      <c r="M1572">
        <v>0</v>
      </c>
    </row>
    <row r="1573" spans="1:13">
      <c r="A1573" t="s">
        <v>4183</v>
      </c>
      <c r="B1573" t="s">
        <v>1025</v>
      </c>
      <c r="C1573" s="34" t="s">
        <v>1970</v>
      </c>
      <c r="F1573" t="s">
        <v>1970</v>
      </c>
      <c r="H1573">
        <v>5</v>
      </c>
      <c r="I1573">
        <f>VLOOKUP(B1573,BRAND!B:D,3,FALSE)</f>
        <v>3</v>
      </c>
      <c r="J1573">
        <v>8</v>
      </c>
      <c r="K1573" t="s">
        <v>821</v>
      </c>
      <c r="M1573">
        <v>0</v>
      </c>
    </row>
    <row r="1574" spans="1:13">
      <c r="A1574" t="s">
        <v>4175</v>
      </c>
      <c r="B1574" t="s">
        <v>1025</v>
      </c>
      <c r="C1574" s="34" t="s">
        <v>536</v>
      </c>
      <c r="F1574" t="s">
        <v>536</v>
      </c>
      <c r="H1574">
        <v>5</v>
      </c>
      <c r="I1574">
        <f>VLOOKUP(B1574,BRAND!B:D,3,FALSE)</f>
        <v>3</v>
      </c>
      <c r="J1574">
        <v>5</v>
      </c>
      <c r="K1574" t="s">
        <v>821</v>
      </c>
      <c r="M1574">
        <v>0</v>
      </c>
    </row>
    <row r="1575" spans="1:13">
      <c r="A1575" t="s">
        <v>2557</v>
      </c>
      <c r="B1575" t="s">
        <v>1025</v>
      </c>
      <c r="C1575" s="34" t="s">
        <v>842</v>
      </c>
      <c r="F1575" t="s">
        <v>842</v>
      </c>
      <c r="H1575">
        <v>5</v>
      </c>
      <c r="I1575">
        <f>VLOOKUP(B1575,BRAND!B:D,3,FALSE)</f>
        <v>3</v>
      </c>
      <c r="J1575">
        <v>5</v>
      </c>
      <c r="K1575" t="s">
        <v>821</v>
      </c>
      <c r="M1575">
        <v>0</v>
      </c>
    </row>
    <row r="1576" spans="1:13">
      <c r="A1576" t="s">
        <v>7792</v>
      </c>
      <c r="B1576" t="s">
        <v>1025</v>
      </c>
      <c r="C1576" s="34" t="s">
        <v>1438</v>
      </c>
      <c r="F1576" t="s">
        <v>1438</v>
      </c>
      <c r="G1576" t="s">
        <v>6932</v>
      </c>
      <c r="H1576">
        <v>5</v>
      </c>
      <c r="I1576">
        <f>VLOOKUP(B1576,BRAND!B:D,3,FALSE)</f>
        <v>3</v>
      </c>
      <c r="J1576">
        <v>4</v>
      </c>
      <c r="M1576">
        <v>1</v>
      </c>
    </row>
    <row r="1577" spans="1:13">
      <c r="A1577" t="s">
        <v>2051</v>
      </c>
      <c r="B1577" t="s">
        <v>1025</v>
      </c>
      <c r="C1577" s="34" t="s">
        <v>1438</v>
      </c>
      <c r="F1577" t="s">
        <v>1438</v>
      </c>
      <c r="H1577">
        <v>15</v>
      </c>
      <c r="I1577">
        <f>VLOOKUP(B1577,BRAND!B:D,3,FALSE)</f>
        <v>3</v>
      </c>
      <c r="J1577">
        <v>4</v>
      </c>
      <c r="K1577" t="s">
        <v>821</v>
      </c>
      <c r="M1577">
        <v>0</v>
      </c>
    </row>
    <row r="1578" spans="1:13">
      <c r="A1578" t="s">
        <v>7793</v>
      </c>
      <c r="B1578" t="s">
        <v>7794</v>
      </c>
      <c r="C1578" s="34" t="s">
        <v>1438</v>
      </c>
      <c r="F1578" t="s">
        <v>1438</v>
      </c>
      <c r="G1578" t="s">
        <v>6932</v>
      </c>
      <c r="H1578">
        <v>5</v>
      </c>
      <c r="I1578">
        <f>VLOOKUP(B1578,BRAND!B:D,3,FALSE)</f>
        <v>5.5</v>
      </c>
      <c r="J1578">
        <v>4</v>
      </c>
      <c r="M1578">
        <v>1</v>
      </c>
    </row>
    <row r="1579" spans="1:13">
      <c r="A1579" t="s">
        <v>12488</v>
      </c>
      <c r="B1579" t="s">
        <v>12027</v>
      </c>
      <c r="C1579" s="34" t="s">
        <v>1438</v>
      </c>
      <c r="F1579" t="s">
        <v>1438</v>
      </c>
      <c r="G1579" t="s">
        <v>6932</v>
      </c>
      <c r="H1579">
        <v>9</v>
      </c>
      <c r="I1579">
        <f>VLOOKUP(B1579,BRAND!B:D,3,FALSE)</f>
        <v>32</v>
      </c>
      <c r="J1579">
        <v>7</v>
      </c>
      <c r="K1579" t="s">
        <v>821</v>
      </c>
    </row>
    <row r="1580" spans="1:13">
      <c r="A1580" t="s">
        <v>7797</v>
      </c>
      <c r="B1580" t="s">
        <v>7796</v>
      </c>
      <c r="C1580" s="34" t="s">
        <v>534</v>
      </c>
      <c r="F1580" t="s">
        <v>534</v>
      </c>
      <c r="G1580" t="s">
        <v>6932</v>
      </c>
      <c r="H1580">
        <v>5</v>
      </c>
      <c r="I1580">
        <f>VLOOKUP(B1580,BRAND!B:D,3,FALSE)</f>
        <v>8</v>
      </c>
      <c r="J1580">
        <v>6</v>
      </c>
      <c r="M1580">
        <v>1</v>
      </c>
    </row>
    <row r="1581" spans="1:13">
      <c r="A1581" t="s">
        <v>7798</v>
      </c>
      <c r="B1581" t="s">
        <v>7796</v>
      </c>
      <c r="C1581" s="34" t="s">
        <v>536</v>
      </c>
      <c r="F1581" t="s">
        <v>536</v>
      </c>
      <c r="G1581" t="s">
        <v>6932</v>
      </c>
      <c r="H1581">
        <v>5</v>
      </c>
      <c r="I1581">
        <f>VLOOKUP(B1581,BRAND!B:D,3,FALSE)</f>
        <v>8</v>
      </c>
      <c r="J1581">
        <v>5</v>
      </c>
      <c r="M1581">
        <v>1</v>
      </c>
    </row>
    <row r="1582" spans="1:13">
      <c r="A1582" t="s">
        <v>7795</v>
      </c>
      <c r="B1582" t="s">
        <v>7796</v>
      </c>
      <c r="C1582" s="34" t="s">
        <v>776</v>
      </c>
      <c r="F1582" t="s">
        <v>776</v>
      </c>
      <c r="G1582" t="s">
        <v>6932</v>
      </c>
      <c r="H1582">
        <v>5</v>
      </c>
      <c r="I1582">
        <f>VLOOKUP(B1582,BRAND!B:D,3,FALSE)</f>
        <v>8</v>
      </c>
      <c r="J1582">
        <v>5</v>
      </c>
      <c r="M1582">
        <v>1</v>
      </c>
    </row>
    <row r="1583" spans="1:13">
      <c r="A1583" t="s">
        <v>7799</v>
      </c>
      <c r="B1583" t="s">
        <v>7800</v>
      </c>
      <c r="C1583" s="34" t="s">
        <v>1438</v>
      </c>
      <c r="F1583" t="s">
        <v>1438</v>
      </c>
      <c r="G1583" t="s">
        <v>6932</v>
      </c>
      <c r="H1583">
        <v>5</v>
      </c>
      <c r="I1583">
        <f>VLOOKUP(B1583,BRAND!B:D,3,FALSE)</f>
        <v>5.5</v>
      </c>
      <c r="J1583">
        <v>4</v>
      </c>
      <c r="M1583">
        <v>1</v>
      </c>
    </row>
    <row r="1584" spans="1:13">
      <c r="A1584" t="s">
        <v>12066</v>
      </c>
      <c r="B1584" t="s">
        <v>236</v>
      </c>
      <c r="C1584" s="34" t="s">
        <v>745</v>
      </c>
      <c r="F1584" t="s">
        <v>745</v>
      </c>
      <c r="G1584" t="s">
        <v>6932</v>
      </c>
      <c r="H1584">
        <v>4</v>
      </c>
    </row>
    <row r="1585" spans="1:13">
      <c r="A1585" t="s">
        <v>9588</v>
      </c>
      <c r="B1585" t="s">
        <v>236</v>
      </c>
      <c r="C1585" s="34" t="s">
        <v>777</v>
      </c>
      <c r="F1585" t="s">
        <v>777</v>
      </c>
      <c r="H1585">
        <v>5</v>
      </c>
      <c r="I1585" t="str">
        <f>VLOOKUP(B1585,BRAND!B:D,3,FALSE)</f>
        <v>PRIORITY_VLOOKUP</v>
      </c>
      <c r="J1585">
        <v>7</v>
      </c>
      <c r="M1585">
        <v>1</v>
      </c>
    </row>
    <row r="1586" spans="1:13">
      <c r="A1586" t="s">
        <v>7802</v>
      </c>
      <c r="B1586" t="s">
        <v>236</v>
      </c>
      <c r="C1586" s="34" t="s">
        <v>6364</v>
      </c>
      <c r="F1586" t="s">
        <v>6364</v>
      </c>
      <c r="G1586" t="s">
        <v>6932</v>
      </c>
      <c r="H1586">
        <v>5</v>
      </c>
      <c r="I1586" t="str">
        <f>VLOOKUP(B1586,BRAND!B:D,3,FALSE)</f>
        <v>PRIORITY_VLOOKUP</v>
      </c>
      <c r="J1586">
        <v>6</v>
      </c>
      <c r="M1586">
        <v>1</v>
      </c>
    </row>
    <row r="1587" spans="1:13">
      <c r="A1587" t="s">
        <v>3268</v>
      </c>
      <c r="B1587" t="s">
        <v>236</v>
      </c>
      <c r="C1587" s="34" t="s">
        <v>536</v>
      </c>
      <c r="F1587" t="s">
        <v>536</v>
      </c>
      <c r="H1587">
        <v>5</v>
      </c>
      <c r="I1587" t="str">
        <f>VLOOKUP(B1587,BRAND!B:D,3,FALSE)</f>
        <v>PRIORITY_VLOOKUP</v>
      </c>
      <c r="J1587">
        <v>5</v>
      </c>
      <c r="K1587" t="s">
        <v>830</v>
      </c>
      <c r="M1587">
        <v>0</v>
      </c>
    </row>
    <row r="1588" spans="1:13">
      <c r="A1588" t="s">
        <v>7801</v>
      </c>
      <c r="B1588" t="s">
        <v>236</v>
      </c>
      <c r="C1588" s="34" t="s">
        <v>776</v>
      </c>
      <c r="F1588" t="s">
        <v>776</v>
      </c>
      <c r="G1588" t="s">
        <v>6932</v>
      </c>
      <c r="H1588">
        <v>5</v>
      </c>
      <c r="I1588" t="str">
        <f>VLOOKUP(B1588,BRAND!B:D,3,FALSE)</f>
        <v>PRIORITY_VLOOKUP</v>
      </c>
      <c r="J1588">
        <v>5</v>
      </c>
      <c r="M1588">
        <v>1</v>
      </c>
    </row>
    <row r="1589" spans="1:13">
      <c r="A1589" t="s">
        <v>10043</v>
      </c>
      <c r="B1589" t="s">
        <v>236</v>
      </c>
      <c r="C1589" s="34" t="s">
        <v>1438</v>
      </c>
      <c r="F1589" t="s">
        <v>1438</v>
      </c>
      <c r="G1589" t="s">
        <v>801</v>
      </c>
      <c r="H1589">
        <v>5</v>
      </c>
      <c r="I1589" t="str">
        <f>VLOOKUP(B1589,BRAND!B:D,3,FALSE)</f>
        <v>PRIORITY_VLOOKUP</v>
      </c>
      <c r="J1589">
        <v>4</v>
      </c>
      <c r="M1589">
        <v>1</v>
      </c>
    </row>
    <row r="1590" spans="1:13">
      <c r="A1590" t="s">
        <v>3312</v>
      </c>
      <c r="B1590" t="s">
        <v>236</v>
      </c>
      <c r="C1590" s="34" t="s">
        <v>775</v>
      </c>
      <c r="F1590" t="s">
        <v>775</v>
      </c>
      <c r="H1590">
        <v>5</v>
      </c>
      <c r="I1590" t="str">
        <f>VLOOKUP(B1590,BRAND!B:D,3,FALSE)</f>
        <v>PRIORITY_VLOOKUP</v>
      </c>
      <c r="J1590">
        <v>3</v>
      </c>
      <c r="K1590" t="s">
        <v>830</v>
      </c>
      <c r="M1590">
        <v>0</v>
      </c>
    </row>
    <row r="1591" spans="1:13">
      <c r="A1591" t="s">
        <v>2967</v>
      </c>
      <c r="B1591" t="s">
        <v>236</v>
      </c>
      <c r="C1591" s="34" t="s">
        <v>561</v>
      </c>
      <c r="F1591" t="s">
        <v>561</v>
      </c>
      <c r="H1591">
        <v>5</v>
      </c>
      <c r="I1591" t="str">
        <f>VLOOKUP(B1591,BRAND!B:D,3,FALSE)</f>
        <v>PRIORITY_VLOOKUP</v>
      </c>
      <c r="J1591">
        <v>3</v>
      </c>
      <c r="K1591" t="s">
        <v>830</v>
      </c>
      <c r="M1591">
        <v>1</v>
      </c>
    </row>
    <row r="1592" spans="1:13">
      <c r="A1592" t="s">
        <v>11401</v>
      </c>
      <c r="B1592" t="s">
        <v>236</v>
      </c>
      <c r="C1592" s="34" t="s">
        <v>777</v>
      </c>
      <c r="F1592" t="s">
        <v>777</v>
      </c>
      <c r="G1592" t="s">
        <v>6932</v>
      </c>
      <c r="H1592">
        <v>5</v>
      </c>
    </row>
    <row r="1593" spans="1:13">
      <c r="A1593" t="s">
        <v>11402</v>
      </c>
      <c r="B1593" t="s">
        <v>236</v>
      </c>
      <c r="C1593" s="34" t="s">
        <v>561</v>
      </c>
      <c r="F1593" t="s">
        <v>561</v>
      </c>
      <c r="G1593" t="s">
        <v>6932</v>
      </c>
      <c r="H1593">
        <v>5</v>
      </c>
    </row>
    <row r="1594" spans="1:13">
      <c r="A1594" t="s">
        <v>11403</v>
      </c>
      <c r="B1594" t="s">
        <v>236</v>
      </c>
      <c r="C1594" s="34" t="s">
        <v>796</v>
      </c>
      <c r="F1594" t="s">
        <v>796</v>
      </c>
      <c r="G1594" t="s">
        <v>6932</v>
      </c>
      <c r="H1594">
        <v>5</v>
      </c>
    </row>
    <row r="1595" spans="1:13">
      <c r="A1595" t="s">
        <v>11404</v>
      </c>
      <c r="B1595" t="s">
        <v>236</v>
      </c>
      <c r="C1595" s="34" t="s">
        <v>996</v>
      </c>
      <c r="F1595" t="s">
        <v>996</v>
      </c>
      <c r="G1595" t="s">
        <v>6932</v>
      </c>
      <c r="H1595">
        <v>5</v>
      </c>
    </row>
    <row r="1596" spans="1:13">
      <c r="A1596" t="s">
        <v>11405</v>
      </c>
      <c r="B1596" t="s">
        <v>236</v>
      </c>
      <c r="C1596" s="34" t="s">
        <v>795</v>
      </c>
      <c r="F1596" t="s">
        <v>795</v>
      </c>
      <c r="G1596" t="s">
        <v>6932</v>
      </c>
      <c r="H1596">
        <v>5</v>
      </c>
    </row>
    <row r="1597" spans="1:13">
      <c r="A1597" t="s">
        <v>11406</v>
      </c>
      <c r="B1597" t="s">
        <v>236</v>
      </c>
      <c r="C1597" s="34" t="s">
        <v>10965</v>
      </c>
      <c r="F1597" t="s">
        <v>10965</v>
      </c>
      <c r="G1597" t="s">
        <v>6932</v>
      </c>
      <c r="H1597">
        <v>5</v>
      </c>
    </row>
    <row r="1598" spans="1:13">
      <c r="A1598" t="s">
        <v>11407</v>
      </c>
      <c r="B1598" t="s">
        <v>236</v>
      </c>
      <c r="C1598" s="34" t="s">
        <v>10966</v>
      </c>
      <c r="F1598" t="s">
        <v>10966</v>
      </c>
      <c r="G1598" t="s">
        <v>6932</v>
      </c>
      <c r="H1598">
        <v>5</v>
      </c>
    </row>
    <row r="1599" spans="1:13">
      <c r="A1599" t="s">
        <v>11408</v>
      </c>
      <c r="B1599" t="s">
        <v>236</v>
      </c>
      <c r="C1599" s="34" t="s">
        <v>794</v>
      </c>
      <c r="F1599" t="s">
        <v>794</v>
      </c>
      <c r="G1599" t="s">
        <v>6932</v>
      </c>
      <c r="H1599">
        <v>5</v>
      </c>
    </row>
    <row r="1600" spans="1:13">
      <c r="A1600" t="s">
        <v>11409</v>
      </c>
      <c r="B1600" t="s">
        <v>236</v>
      </c>
      <c r="C1600" s="34" t="s">
        <v>10967</v>
      </c>
      <c r="F1600" t="s">
        <v>10967</v>
      </c>
      <c r="G1600" t="s">
        <v>6932</v>
      </c>
      <c r="H1600">
        <v>5</v>
      </c>
    </row>
    <row r="1601" spans="1:13">
      <c r="A1601" t="s">
        <v>13626</v>
      </c>
      <c r="B1601" t="s">
        <v>236</v>
      </c>
      <c r="C1601" s="34" t="s">
        <v>561</v>
      </c>
      <c r="F1601" t="s">
        <v>561</v>
      </c>
      <c r="G1601" t="s">
        <v>801</v>
      </c>
      <c r="H1601">
        <v>5</v>
      </c>
    </row>
    <row r="1602" spans="1:13">
      <c r="A1602" t="s">
        <v>13625</v>
      </c>
      <c r="B1602" t="s">
        <v>236</v>
      </c>
      <c r="C1602" s="34" t="s">
        <v>996</v>
      </c>
      <c r="F1602" t="s">
        <v>996</v>
      </c>
      <c r="G1602" t="s">
        <v>801</v>
      </c>
      <c r="H1602">
        <v>5</v>
      </c>
    </row>
    <row r="1603" spans="1:13">
      <c r="A1603" t="s">
        <v>2968</v>
      </c>
      <c r="B1603" t="s">
        <v>236</v>
      </c>
      <c r="C1603" s="34" t="s">
        <v>1438</v>
      </c>
      <c r="F1603" t="s">
        <v>1438</v>
      </c>
      <c r="H1603">
        <v>15</v>
      </c>
      <c r="I1603" t="str">
        <f>VLOOKUP(B1603,BRAND!B:D,3,FALSE)</f>
        <v>PRIORITY_VLOOKUP</v>
      </c>
      <c r="J1603">
        <v>4</v>
      </c>
      <c r="K1603" t="s">
        <v>830</v>
      </c>
      <c r="M1603">
        <v>0</v>
      </c>
    </row>
    <row r="1604" spans="1:13">
      <c r="A1604" t="s">
        <v>2750</v>
      </c>
      <c r="B1604" t="s">
        <v>481</v>
      </c>
      <c r="C1604" s="34" t="s">
        <v>1438</v>
      </c>
      <c r="F1604" t="s">
        <v>1438</v>
      </c>
      <c r="H1604">
        <v>15</v>
      </c>
      <c r="I1604">
        <f>VLOOKUP(B1604,BRAND!B:D,3,FALSE)</f>
        <v>3</v>
      </c>
      <c r="J1604">
        <v>4</v>
      </c>
      <c r="K1604" t="s">
        <v>821</v>
      </c>
      <c r="M1604">
        <v>1</v>
      </c>
    </row>
    <row r="1605" spans="1:13">
      <c r="A1605" t="s">
        <v>9026</v>
      </c>
      <c r="B1605" t="s">
        <v>9027</v>
      </c>
      <c r="C1605" s="34" t="s">
        <v>1438</v>
      </c>
      <c r="F1605" t="s">
        <v>1438</v>
      </c>
      <c r="G1605" t="s">
        <v>6932</v>
      </c>
      <c r="H1605">
        <v>5</v>
      </c>
      <c r="I1605">
        <f>VLOOKUP(B1605,BRAND!B:D,3,FALSE)</f>
        <v>5.5</v>
      </c>
      <c r="J1605">
        <v>4</v>
      </c>
      <c r="M1605">
        <v>1</v>
      </c>
    </row>
    <row r="1606" spans="1:13">
      <c r="A1606" t="s">
        <v>4594</v>
      </c>
      <c r="B1606" t="s">
        <v>640</v>
      </c>
      <c r="C1606" s="34" t="s">
        <v>798</v>
      </c>
      <c r="F1606" t="s">
        <v>798</v>
      </c>
      <c r="H1606">
        <v>5</v>
      </c>
      <c r="I1606">
        <f>VLOOKUP(B1606,BRAND!B:D,3,FALSE)</f>
        <v>3</v>
      </c>
      <c r="J1606">
        <v>9</v>
      </c>
      <c r="K1606" t="s">
        <v>821</v>
      </c>
      <c r="M1606">
        <v>0</v>
      </c>
    </row>
    <row r="1607" spans="1:13">
      <c r="A1607" t="s">
        <v>2960</v>
      </c>
      <c r="B1607" t="s">
        <v>640</v>
      </c>
      <c r="C1607" s="34" t="s">
        <v>1438</v>
      </c>
      <c r="F1607" t="s">
        <v>1438</v>
      </c>
      <c r="H1607">
        <v>15</v>
      </c>
      <c r="I1607">
        <f>VLOOKUP(B1607,BRAND!B:D,3,FALSE)</f>
        <v>3</v>
      </c>
      <c r="J1607">
        <v>4</v>
      </c>
      <c r="K1607" t="s">
        <v>821</v>
      </c>
      <c r="M1607">
        <v>0</v>
      </c>
    </row>
    <row r="1608" spans="1:13">
      <c r="A1608" t="s">
        <v>4869</v>
      </c>
      <c r="B1608" t="s">
        <v>524</v>
      </c>
      <c r="C1608" s="34" t="s">
        <v>763</v>
      </c>
      <c r="F1608" t="s">
        <v>763</v>
      </c>
      <c r="H1608">
        <v>5</v>
      </c>
      <c r="I1608">
        <f>VLOOKUP(B1608,BRAND!B:D,3,FALSE)</f>
        <v>3</v>
      </c>
      <c r="J1608">
        <v>5</v>
      </c>
      <c r="K1608" t="s">
        <v>821</v>
      </c>
      <c r="M1608">
        <v>0</v>
      </c>
    </row>
    <row r="1609" spans="1:13">
      <c r="A1609" t="s">
        <v>7842</v>
      </c>
      <c r="B1609" t="s">
        <v>524</v>
      </c>
      <c r="C1609" s="34" t="s">
        <v>1438</v>
      </c>
      <c r="F1609" t="s">
        <v>1438</v>
      </c>
      <c r="G1609" t="s">
        <v>6932</v>
      </c>
      <c r="H1609">
        <v>5</v>
      </c>
      <c r="I1609">
        <f>VLOOKUP(B1609,BRAND!B:D,3,FALSE)</f>
        <v>3</v>
      </c>
      <c r="J1609">
        <v>4</v>
      </c>
      <c r="M1609">
        <v>1</v>
      </c>
    </row>
    <row r="1610" spans="1:13">
      <c r="A1610" t="s">
        <v>2524</v>
      </c>
      <c r="B1610" t="s">
        <v>524</v>
      </c>
      <c r="C1610" s="34" t="s">
        <v>1438</v>
      </c>
      <c r="F1610" t="s">
        <v>1438</v>
      </c>
      <c r="H1610">
        <v>15</v>
      </c>
      <c r="I1610">
        <f>VLOOKUP(B1610,BRAND!B:D,3,FALSE)</f>
        <v>3</v>
      </c>
      <c r="J1610">
        <v>4</v>
      </c>
      <c r="K1610" t="s">
        <v>821</v>
      </c>
      <c r="M1610">
        <v>0</v>
      </c>
    </row>
    <row r="1611" spans="1:13">
      <c r="A1611" t="s">
        <v>14963</v>
      </c>
      <c r="B1611" t="s">
        <v>14964</v>
      </c>
      <c r="C1611" s="34" t="s">
        <v>6602</v>
      </c>
      <c r="F1611" t="s">
        <v>777</v>
      </c>
      <c r="G1611" t="s">
        <v>6932</v>
      </c>
      <c r="H1611">
        <v>5</v>
      </c>
      <c r="I1611">
        <f>VLOOKUP(B1611,BRAND!B:D,3,FALSE)</f>
        <v>5</v>
      </c>
      <c r="J1611">
        <v>0</v>
      </c>
      <c r="K1611" t="s">
        <v>821</v>
      </c>
      <c r="L1611">
        <v>0</v>
      </c>
      <c r="M1611">
        <v>0</v>
      </c>
    </row>
    <row r="1612" spans="1:13">
      <c r="A1612" t="s">
        <v>14965</v>
      </c>
      <c r="B1612" t="s">
        <v>14964</v>
      </c>
      <c r="C1612" s="34" t="s">
        <v>1438</v>
      </c>
      <c r="F1612" t="s">
        <v>1438</v>
      </c>
      <c r="G1612" t="s">
        <v>6932</v>
      </c>
      <c r="H1612">
        <v>5</v>
      </c>
      <c r="I1612">
        <f>VLOOKUP(B1612,BRAND!B:D,3,FALSE)</f>
        <v>5</v>
      </c>
      <c r="J1612">
        <v>0</v>
      </c>
      <c r="K1612" t="s">
        <v>821</v>
      </c>
      <c r="L1612">
        <v>0</v>
      </c>
      <c r="M1612">
        <v>0</v>
      </c>
    </row>
    <row r="1613" spans="1:13">
      <c r="A1613" t="s">
        <v>14966</v>
      </c>
      <c r="B1613" t="s">
        <v>14964</v>
      </c>
      <c r="C1613" s="34" t="s">
        <v>6361</v>
      </c>
      <c r="F1613" t="s">
        <v>6361</v>
      </c>
      <c r="G1613" t="s">
        <v>6932</v>
      </c>
      <c r="H1613">
        <v>5</v>
      </c>
      <c r="I1613">
        <f>VLOOKUP(B1613,BRAND!B:D,3,FALSE)</f>
        <v>5</v>
      </c>
      <c r="J1613">
        <v>0</v>
      </c>
      <c r="K1613" t="s">
        <v>821</v>
      </c>
      <c r="L1613">
        <v>0</v>
      </c>
      <c r="M1613">
        <v>0</v>
      </c>
    </row>
    <row r="1614" spans="1:13">
      <c r="A1614" t="s">
        <v>14967</v>
      </c>
      <c r="B1614" t="s">
        <v>14964</v>
      </c>
      <c r="C1614" s="34" t="s">
        <v>14968</v>
      </c>
      <c r="F1614" t="s">
        <v>14968</v>
      </c>
      <c r="G1614" t="s">
        <v>6932</v>
      </c>
      <c r="H1614">
        <v>5</v>
      </c>
      <c r="I1614">
        <f>VLOOKUP(B1614,BRAND!B:D,3,FALSE)</f>
        <v>5</v>
      </c>
      <c r="J1614">
        <v>0</v>
      </c>
      <c r="K1614" t="s">
        <v>821</v>
      </c>
      <c r="L1614">
        <v>0</v>
      </c>
      <c r="M1614">
        <v>0</v>
      </c>
    </row>
    <row r="1615" spans="1:13">
      <c r="A1615" t="s">
        <v>4095</v>
      </c>
      <c r="B1615" t="s">
        <v>525</v>
      </c>
      <c r="C1615" s="34" t="s">
        <v>536</v>
      </c>
      <c r="F1615" t="s">
        <v>536</v>
      </c>
      <c r="H1615">
        <v>5</v>
      </c>
      <c r="I1615">
        <f>VLOOKUP(B1615,BRAND!B:D,3,FALSE)</f>
        <v>9</v>
      </c>
      <c r="J1615">
        <v>5</v>
      </c>
      <c r="K1615" t="s">
        <v>821</v>
      </c>
      <c r="M1615">
        <v>0</v>
      </c>
    </row>
    <row r="1616" spans="1:13">
      <c r="A1616" t="s">
        <v>7843</v>
      </c>
      <c r="B1616" t="s">
        <v>525</v>
      </c>
      <c r="C1616" s="34" t="s">
        <v>1438</v>
      </c>
      <c r="F1616" t="s">
        <v>1438</v>
      </c>
      <c r="G1616" t="s">
        <v>6932</v>
      </c>
      <c r="H1616">
        <v>5</v>
      </c>
      <c r="I1616">
        <f>VLOOKUP(B1616,BRAND!B:D,3,FALSE)</f>
        <v>9</v>
      </c>
      <c r="J1616">
        <v>4</v>
      </c>
      <c r="M1616">
        <v>1</v>
      </c>
    </row>
    <row r="1617" spans="1:13">
      <c r="A1617" t="s">
        <v>2406</v>
      </c>
      <c r="B1617" t="s">
        <v>525</v>
      </c>
      <c r="C1617" s="34" t="s">
        <v>1438</v>
      </c>
      <c r="F1617" t="s">
        <v>1438</v>
      </c>
      <c r="H1617">
        <v>15</v>
      </c>
      <c r="I1617">
        <f>VLOOKUP(B1617,BRAND!B:D,3,FALSE)</f>
        <v>9</v>
      </c>
      <c r="J1617">
        <v>4</v>
      </c>
      <c r="K1617" t="s">
        <v>821</v>
      </c>
      <c r="M1617">
        <v>0</v>
      </c>
    </row>
    <row r="1618" spans="1:13">
      <c r="A1618" t="s">
        <v>2145</v>
      </c>
      <c r="B1618" t="s">
        <v>526</v>
      </c>
      <c r="C1618" s="34" t="s">
        <v>772</v>
      </c>
      <c r="F1618" t="s">
        <v>772</v>
      </c>
      <c r="H1618">
        <v>5</v>
      </c>
      <c r="I1618">
        <f>VLOOKUP(B1618,BRAND!B:D,3,FALSE)</f>
        <v>3</v>
      </c>
      <c r="J1618">
        <v>6</v>
      </c>
      <c r="K1618" t="s">
        <v>821</v>
      </c>
      <c r="M1618">
        <v>0</v>
      </c>
    </row>
    <row r="1619" spans="1:13">
      <c r="A1619" t="s">
        <v>3715</v>
      </c>
      <c r="B1619" t="s">
        <v>526</v>
      </c>
      <c r="C1619" s="34" t="s">
        <v>534</v>
      </c>
      <c r="F1619" t="s">
        <v>534</v>
      </c>
      <c r="H1619">
        <v>5</v>
      </c>
      <c r="I1619">
        <f>VLOOKUP(B1619,BRAND!B:D,3,FALSE)</f>
        <v>3</v>
      </c>
      <c r="J1619">
        <v>6</v>
      </c>
      <c r="K1619" t="s">
        <v>821</v>
      </c>
      <c r="M1619">
        <v>1</v>
      </c>
    </row>
    <row r="1620" spans="1:13">
      <c r="A1620" t="s">
        <v>4094</v>
      </c>
      <c r="B1620" t="s">
        <v>526</v>
      </c>
      <c r="C1620" s="34" t="s">
        <v>536</v>
      </c>
      <c r="F1620" t="s">
        <v>536</v>
      </c>
      <c r="H1620">
        <v>5</v>
      </c>
      <c r="I1620">
        <f>VLOOKUP(B1620,BRAND!B:D,3,FALSE)</f>
        <v>3</v>
      </c>
      <c r="J1620">
        <v>5</v>
      </c>
      <c r="K1620" t="s">
        <v>821</v>
      </c>
      <c r="M1620">
        <v>0</v>
      </c>
    </row>
    <row r="1621" spans="1:13">
      <c r="A1621" t="s">
        <v>2379</v>
      </c>
      <c r="B1621" t="s">
        <v>526</v>
      </c>
      <c r="C1621" s="34" t="s">
        <v>842</v>
      </c>
      <c r="F1621" t="s">
        <v>842</v>
      </c>
      <c r="H1621">
        <v>5</v>
      </c>
      <c r="I1621">
        <f>VLOOKUP(B1621,BRAND!B:D,3,FALSE)</f>
        <v>3</v>
      </c>
      <c r="J1621">
        <v>5</v>
      </c>
      <c r="K1621" t="s">
        <v>821</v>
      </c>
      <c r="M1621">
        <v>0</v>
      </c>
    </row>
    <row r="1622" spans="1:13">
      <c r="A1622" t="s">
        <v>2123</v>
      </c>
      <c r="B1622" t="s">
        <v>526</v>
      </c>
      <c r="C1622" s="34" t="s">
        <v>1438</v>
      </c>
      <c r="F1622" t="s">
        <v>1438</v>
      </c>
      <c r="H1622">
        <v>15</v>
      </c>
      <c r="I1622">
        <f>VLOOKUP(B1622,BRAND!B:D,3,FALSE)</f>
        <v>3</v>
      </c>
      <c r="J1622">
        <v>4</v>
      </c>
      <c r="K1622" t="s">
        <v>821</v>
      </c>
      <c r="M1622">
        <v>0</v>
      </c>
    </row>
    <row r="1623" spans="1:13">
      <c r="A1623" t="s">
        <v>10057</v>
      </c>
      <c r="B1623" t="s">
        <v>7002</v>
      </c>
      <c r="C1623" s="34" t="s">
        <v>1438</v>
      </c>
      <c r="F1623" t="s">
        <v>1438</v>
      </c>
      <c r="H1623">
        <v>15</v>
      </c>
      <c r="I1623">
        <f>VLOOKUP(B1623,BRAND!B:D,3,FALSE)</f>
        <v>11</v>
      </c>
      <c r="J1623">
        <v>4</v>
      </c>
      <c r="M1623">
        <v>0</v>
      </c>
    </row>
    <row r="1624" spans="1:13">
      <c r="A1624" t="s">
        <v>7072</v>
      </c>
      <c r="B1624" t="s">
        <v>7073</v>
      </c>
      <c r="C1624" s="34" t="s">
        <v>7074</v>
      </c>
      <c r="F1624" t="s">
        <v>913</v>
      </c>
      <c r="H1624">
        <v>5</v>
      </c>
      <c r="I1624">
        <f>VLOOKUP(B1624,BRAND!B:D,3,FALSE)</f>
        <v>5</v>
      </c>
      <c r="J1624">
        <v>5</v>
      </c>
      <c r="M1624">
        <v>1</v>
      </c>
    </row>
    <row r="1625" spans="1:13">
      <c r="A1625" t="s">
        <v>3757</v>
      </c>
      <c r="B1625" t="s">
        <v>671</v>
      </c>
      <c r="C1625" s="34" t="s">
        <v>780</v>
      </c>
      <c r="F1625" t="s">
        <v>780</v>
      </c>
      <c r="H1625">
        <v>5</v>
      </c>
      <c r="I1625">
        <f>VLOOKUP(B1625,BRAND!B:D,3,FALSE)</f>
        <v>3</v>
      </c>
      <c r="J1625">
        <v>6</v>
      </c>
      <c r="K1625" t="s">
        <v>821</v>
      </c>
      <c r="M1625">
        <v>1</v>
      </c>
    </row>
    <row r="1626" spans="1:13">
      <c r="A1626" t="s">
        <v>3520</v>
      </c>
      <c r="B1626" t="s">
        <v>671</v>
      </c>
      <c r="C1626" s="34" t="s">
        <v>999</v>
      </c>
      <c r="F1626" t="s">
        <v>999</v>
      </c>
      <c r="H1626">
        <v>5</v>
      </c>
      <c r="I1626">
        <f>VLOOKUP(B1626,BRAND!B:D,3,FALSE)</f>
        <v>3</v>
      </c>
      <c r="J1626">
        <v>5</v>
      </c>
      <c r="K1626" t="s">
        <v>821</v>
      </c>
      <c r="M1626">
        <v>0</v>
      </c>
    </row>
    <row r="1627" spans="1:13">
      <c r="A1627" t="s">
        <v>2669</v>
      </c>
      <c r="B1627" t="s">
        <v>671</v>
      </c>
      <c r="C1627" s="34" t="s">
        <v>1438</v>
      </c>
      <c r="F1627" t="s">
        <v>1438</v>
      </c>
      <c r="H1627">
        <v>15</v>
      </c>
      <c r="I1627">
        <f>VLOOKUP(B1627,BRAND!B:D,3,FALSE)</f>
        <v>3</v>
      </c>
      <c r="J1627">
        <v>4</v>
      </c>
      <c r="K1627" t="s">
        <v>821</v>
      </c>
      <c r="M1627">
        <v>0</v>
      </c>
    </row>
    <row r="1628" spans="1:13">
      <c r="A1628" t="s">
        <v>11593</v>
      </c>
      <c r="B1628" t="s">
        <v>10927</v>
      </c>
      <c r="C1628" s="34" t="s">
        <v>11062</v>
      </c>
      <c r="F1628" t="s">
        <v>11062</v>
      </c>
      <c r="G1628" t="s">
        <v>6932</v>
      </c>
      <c r="H1628">
        <v>5</v>
      </c>
    </row>
    <row r="1629" spans="1:13">
      <c r="A1629" t="s">
        <v>11594</v>
      </c>
      <c r="B1629" t="s">
        <v>10927</v>
      </c>
      <c r="C1629" s="34" t="s">
        <v>11063</v>
      </c>
      <c r="F1629" t="s">
        <v>11063</v>
      </c>
      <c r="G1629" t="s">
        <v>6932</v>
      </c>
      <c r="H1629">
        <v>5</v>
      </c>
    </row>
    <row r="1630" spans="1:13">
      <c r="A1630" t="s">
        <v>11595</v>
      </c>
      <c r="B1630" t="s">
        <v>10927</v>
      </c>
      <c r="C1630" s="34" t="s">
        <v>11064</v>
      </c>
      <c r="F1630" t="s">
        <v>11064</v>
      </c>
      <c r="G1630" t="s">
        <v>6932</v>
      </c>
      <c r="H1630">
        <v>5</v>
      </c>
    </row>
    <row r="1631" spans="1:13">
      <c r="A1631" t="s">
        <v>11596</v>
      </c>
      <c r="B1631" t="s">
        <v>10927</v>
      </c>
      <c r="C1631" s="34" t="s">
        <v>11065</v>
      </c>
      <c r="F1631" t="s">
        <v>11065</v>
      </c>
      <c r="G1631" t="s">
        <v>6932</v>
      </c>
      <c r="H1631">
        <v>5</v>
      </c>
    </row>
    <row r="1632" spans="1:13">
      <c r="A1632" t="s">
        <v>11597</v>
      </c>
      <c r="B1632" t="s">
        <v>10927</v>
      </c>
      <c r="C1632" s="34" t="s">
        <v>11066</v>
      </c>
      <c r="F1632" t="s">
        <v>11066</v>
      </c>
      <c r="G1632" t="s">
        <v>6932</v>
      </c>
      <c r="H1632">
        <v>5</v>
      </c>
    </row>
    <row r="1633" spans="1:8">
      <c r="A1633" t="s">
        <v>11598</v>
      </c>
      <c r="B1633" t="s">
        <v>10927</v>
      </c>
      <c r="C1633" s="34" t="s">
        <v>11067</v>
      </c>
      <c r="F1633" t="s">
        <v>11067</v>
      </c>
      <c r="G1633" t="s">
        <v>6932</v>
      </c>
      <c r="H1633">
        <v>5</v>
      </c>
    </row>
    <row r="1634" spans="1:8">
      <c r="A1634" t="s">
        <v>11599</v>
      </c>
      <c r="B1634" t="s">
        <v>10927</v>
      </c>
      <c r="C1634" s="34" t="s">
        <v>11068</v>
      </c>
      <c r="F1634" t="s">
        <v>11068</v>
      </c>
      <c r="G1634" t="s">
        <v>6932</v>
      </c>
      <c r="H1634">
        <v>5</v>
      </c>
    </row>
    <row r="1635" spans="1:8">
      <c r="A1635" t="s">
        <v>11600</v>
      </c>
      <c r="B1635" t="s">
        <v>10927</v>
      </c>
      <c r="C1635" s="34" t="s">
        <v>11069</v>
      </c>
      <c r="F1635" t="s">
        <v>11069</v>
      </c>
      <c r="G1635" t="s">
        <v>6932</v>
      </c>
      <c r="H1635">
        <v>5</v>
      </c>
    </row>
    <row r="1636" spans="1:8">
      <c r="A1636" t="s">
        <v>11601</v>
      </c>
      <c r="B1636" t="s">
        <v>10927</v>
      </c>
      <c r="C1636" s="34" t="s">
        <v>11070</v>
      </c>
      <c r="F1636" t="s">
        <v>11070</v>
      </c>
      <c r="G1636" t="s">
        <v>6932</v>
      </c>
      <c r="H1636">
        <v>5</v>
      </c>
    </row>
    <row r="1637" spans="1:8">
      <c r="A1637" t="s">
        <v>11602</v>
      </c>
      <c r="B1637" t="s">
        <v>10927</v>
      </c>
      <c r="C1637" s="34" t="s">
        <v>11071</v>
      </c>
      <c r="F1637" t="s">
        <v>11071</v>
      </c>
      <c r="G1637" t="s">
        <v>801</v>
      </c>
      <c r="H1637">
        <v>5</v>
      </c>
    </row>
    <row r="1638" spans="1:8">
      <c r="A1638" t="s">
        <v>11603</v>
      </c>
      <c r="B1638" t="s">
        <v>10927</v>
      </c>
      <c r="C1638" s="34" t="s">
        <v>11072</v>
      </c>
      <c r="F1638" t="s">
        <v>11072</v>
      </c>
      <c r="G1638" t="s">
        <v>6932</v>
      </c>
      <c r="H1638">
        <v>5</v>
      </c>
    </row>
    <row r="1639" spans="1:8">
      <c r="A1639" t="s">
        <v>11604</v>
      </c>
      <c r="B1639" t="s">
        <v>10927</v>
      </c>
      <c r="C1639" s="34" t="s">
        <v>11073</v>
      </c>
      <c r="F1639" t="s">
        <v>11073</v>
      </c>
      <c r="G1639" t="s">
        <v>6932</v>
      </c>
      <c r="H1639">
        <v>5</v>
      </c>
    </row>
    <row r="1640" spans="1:8">
      <c r="A1640" t="s">
        <v>11605</v>
      </c>
      <c r="B1640" t="s">
        <v>10927</v>
      </c>
      <c r="C1640" s="34" t="s">
        <v>11074</v>
      </c>
      <c r="F1640" t="s">
        <v>11074</v>
      </c>
      <c r="G1640" t="s">
        <v>6932</v>
      </c>
      <c r="H1640">
        <v>5</v>
      </c>
    </row>
    <row r="1641" spans="1:8">
      <c r="A1641" t="s">
        <v>11606</v>
      </c>
      <c r="B1641" t="s">
        <v>10927</v>
      </c>
      <c r="C1641" s="34" t="s">
        <v>11075</v>
      </c>
      <c r="F1641" t="s">
        <v>11075</v>
      </c>
      <c r="G1641" t="s">
        <v>6932</v>
      </c>
      <c r="H1641">
        <v>5</v>
      </c>
    </row>
    <row r="1642" spans="1:8">
      <c r="A1642" t="s">
        <v>11607</v>
      </c>
      <c r="B1642" t="s">
        <v>10927</v>
      </c>
      <c r="C1642" s="34" t="s">
        <v>11076</v>
      </c>
      <c r="F1642" t="s">
        <v>11076</v>
      </c>
      <c r="G1642" t="s">
        <v>6932</v>
      </c>
      <c r="H1642">
        <v>5</v>
      </c>
    </row>
    <row r="1643" spans="1:8">
      <c r="A1643" t="s">
        <v>11608</v>
      </c>
      <c r="B1643" t="s">
        <v>10927</v>
      </c>
      <c r="C1643" s="34" t="s">
        <v>11077</v>
      </c>
      <c r="F1643" t="s">
        <v>11077</v>
      </c>
      <c r="G1643" t="s">
        <v>6932</v>
      </c>
      <c r="H1643">
        <v>5</v>
      </c>
    </row>
    <row r="1644" spans="1:8">
      <c r="A1644" t="s">
        <v>11609</v>
      </c>
      <c r="B1644" t="s">
        <v>10927</v>
      </c>
      <c r="C1644" s="34" t="s">
        <v>11078</v>
      </c>
      <c r="F1644" t="s">
        <v>11078</v>
      </c>
      <c r="G1644" t="s">
        <v>6932</v>
      </c>
      <c r="H1644">
        <v>5</v>
      </c>
    </row>
    <row r="1645" spans="1:8">
      <c r="A1645" t="s">
        <v>11610</v>
      </c>
      <c r="B1645" t="s">
        <v>10927</v>
      </c>
      <c r="C1645" s="34" t="s">
        <v>11079</v>
      </c>
      <c r="F1645" t="s">
        <v>11079</v>
      </c>
      <c r="G1645" t="s">
        <v>6932</v>
      </c>
      <c r="H1645">
        <v>5</v>
      </c>
    </row>
    <row r="1646" spans="1:8">
      <c r="A1646" t="s">
        <v>11611</v>
      </c>
      <c r="B1646" t="s">
        <v>10927</v>
      </c>
      <c r="C1646" s="34" t="s">
        <v>11080</v>
      </c>
      <c r="F1646" t="s">
        <v>11080</v>
      </c>
      <c r="G1646" t="s">
        <v>6932</v>
      </c>
      <c r="H1646">
        <v>5</v>
      </c>
    </row>
    <row r="1647" spans="1:8">
      <c r="A1647" t="s">
        <v>11612</v>
      </c>
      <c r="B1647" t="s">
        <v>10927</v>
      </c>
      <c r="C1647" s="34" t="s">
        <v>11081</v>
      </c>
      <c r="F1647" t="s">
        <v>11081</v>
      </c>
      <c r="G1647" t="s">
        <v>6932</v>
      </c>
      <c r="H1647">
        <v>5</v>
      </c>
    </row>
    <row r="1648" spans="1:8">
      <c r="A1648" t="s">
        <v>11613</v>
      </c>
      <c r="B1648" t="s">
        <v>10927</v>
      </c>
      <c r="C1648" s="34" t="s">
        <v>11082</v>
      </c>
      <c r="F1648" t="s">
        <v>11082</v>
      </c>
      <c r="G1648" t="s">
        <v>6932</v>
      </c>
      <c r="H1648">
        <v>5</v>
      </c>
    </row>
    <row r="1649" spans="1:13">
      <c r="A1649" t="s">
        <v>11614</v>
      </c>
      <c r="B1649" t="s">
        <v>10927</v>
      </c>
      <c r="C1649" s="34" t="s">
        <v>11083</v>
      </c>
      <c r="F1649" t="s">
        <v>11083</v>
      </c>
      <c r="G1649" t="s">
        <v>6932</v>
      </c>
      <c r="H1649">
        <v>5</v>
      </c>
    </row>
    <row r="1650" spans="1:13">
      <c r="A1650" t="s">
        <v>7854</v>
      </c>
      <c r="B1650" t="s">
        <v>395</v>
      </c>
      <c r="C1650" s="34" t="s">
        <v>1999</v>
      </c>
      <c r="F1650" t="s">
        <v>7855</v>
      </c>
      <c r="G1650" t="s">
        <v>6932</v>
      </c>
      <c r="H1650">
        <v>5</v>
      </c>
      <c r="I1650">
        <f>VLOOKUP(B1650,BRAND!B:D,3,FALSE)</f>
        <v>3</v>
      </c>
      <c r="J1650">
        <f>LEN(F1650)</f>
        <v>11</v>
      </c>
      <c r="M1650">
        <v>1</v>
      </c>
    </row>
    <row r="1651" spans="1:13">
      <c r="A1651" t="s">
        <v>7852</v>
      </c>
      <c r="B1651" t="s">
        <v>395</v>
      </c>
      <c r="C1651" s="34" t="s">
        <v>7845</v>
      </c>
      <c r="F1651" t="s">
        <v>7853</v>
      </c>
      <c r="G1651" t="s">
        <v>6932</v>
      </c>
      <c r="H1651">
        <v>5</v>
      </c>
      <c r="I1651">
        <f>VLOOKUP(B1651,BRAND!B:D,3,FALSE)</f>
        <v>3</v>
      </c>
      <c r="J1651">
        <v>8</v>
      </c>
      <c r="M1651">
        <v>1</v>
      </c>
    </row>
    <row r="1652" spans="1:13">
      <c r="A1652" t="s">
        <v>7848</v>
      </c>
      <c r="B1652" t="s">
        <v>395</v>
      </c>
      <c r="C1652" s="34" t="s">
        <v>7849</v>
      </c>
      <c r="F1652" t="s">
        <v>7849</v>
      </c>
      <c r="G1652" t="s">
        <v>6932</v>
      </c>
      <c r="H1652">
        <v>5</v>
      </c>
      <c r="I1652">
        <f>VLOOKUP(B1652,BRAND!B:D,3,FALSE)</f>
        <v>3</v>
      </c>
      <c r="J1652">
        <v>5</v>
      </c>
      <c r="M1652">
        <v>1</v>
      </c>
    </row>
    <row r="1653" spans="1:13">
      <c r="A1653" t="s">
        <v>7846</v>
      </c>
      <c r="B1653" t="s">
        <v>395</v>
      </c>
      <c r="C1653" s="34" t="s">
        <v>7847</v>
      </c>
      <c r="F1653" t="s">
        <v>7847</v>
      </c>
      <c r="G1653" t="s">
        <v>6932</v>
      </c>
      <c r="H1653">
        <v>5</v>
      </c>
      <c r="I1653">
        <f>VLOOKUP(B1653,BRAND!B:D,3,FALSE)</f>
        <v>3</v>
      </c>
      <c r="J1653">
        <v>5</v>
      </c>
      <c r="M1653">
        <v>1</v>
      </c>
    </row>
    <row r="1654" spans="1:13">
      <c r="A1654" t="s">
        <v>7844</v>
      </c>
      <c r="B1654" t="s">
        <v>395</v>
      </c>
      <c r="C1654" s="34" t="s">
        <v>7845</v>
      </c>
      <c r="F1654" t="s">
        <v>7845</v>
      </c>
      <c r="G1654" t="s">
        <v>801</v>
      </c>
      <c r="H1654">
        <v>5</v>
      </c>
      <c r="I1654">
        <f>VLOOKUP(B1654,BRAND!B:D,3,FALSE)</f>
        <v>3</v>
      </c>
      <c r="J1654">
        <v>4</v>
      </c>
      <c r="M1654">
        <v>1</v>
      </c>
    </row>
    <row r="1655" spans="1:13">
      <c r="A1655" t="s">
        <v>7850</v>
      </c>
      <c r="B1655" t="s">
        <v>395</v>
      </c>
      <c r="C1655" s="34" t="s">
        <v>7851</v>
      </c>
      <c r="F1655" t="s">
        <v>7851</v>
      </c>
      <c r="G1655" t="s">
        <v>6932</v>
      </c>
      <c r="H1655">
        <v>5</v>
      </c>
      <c r="I1655">
        <f>VLOOKUP(B1655,BRAND!B:D,3,FALSE)</f>
        <v>3</v>
      </c>
      <c r="J1655">
        <v>4</v>
      </c>
      <c r="M1655">
        <v>1</v>
      </c>
    </row>
    <row r="1656" spans="1:13">
      <c r="A1656" t="s">
        <v>10748</v>
      </c>
      <c r="B1656" t="s">
        <v>395</v>
      </c>
      <c r="C1656" s="34" t="s">
        <v>7845</v>
      </c>
      <c r="F1656" t="s">
        <v>7845</v>
      </c>
      <c r="H1656">
        <v>5</v>
      </c>
    </row>
    <row r="1657" spans="1:13">
      <c r="A1657" t="s">
        <v>10749</v>
      </c>
      <c r="B1657" t="s">
        <v>395</v>
      </c>
      <c r="C1657" s="34" t="s">
        <v>10750</v>
      </c>
      <c r="F1657" t="s">
        <v>10750</v>
      </c>
      <c r="H1657">
        <v>5</v>
      </c>
    </row>
    <row r="1658" spans="1:13">
      <c r="A1658" t="s">
        <v>10751</v>
      </c>
      <c r="B1658" t="s">
        <v>395</v>
      </c>
      <c r="C1658" s="34" t="s">
        <v>10752</v>
      </c>
      <c r="F1658" t="s">
        <v>10752</v>
      </c>
      <c r="H1658">
        <v>5</v>
      </c>
    </row>
    <row r="1659" spans="1:13">
      <c r="A1659" t="s">
        <v>11989</v>
      </c>
      <c r="B1659" t="s">
        <v>395</v>
      </c>
      <c r="C1659" s="34" t="s">
        <v>10752</v>
      </c>
      <c r="D1659" t="s">
        <v>6733</v>
      </c>
      <c r="F1659" t="s">
        <v>10752</v>
      </c>
      <c r="H1659">
        <v>5</v>
      </c>
    </row>
    <row r="1660" spans="1:13">
      <c r="A1660" t="s">
        <v>7850</v>
      </c>
      <c r="B1660" t="s">
        <v>395</v>
      </c>
      <c r="C1660" s="34" t="s">
        <v>7851</v>
      </c>
      <c r="F1660" t="s">
        <v>7851</v>
      </c>
      <c r="H1660">
        <v>5</v>
      </c>
    </row>
    <row r="1661" spans="1:13">
      <c r="A1661" t="s">
        <v>10753</v>
      </c>
      <c r="B1661" t="s">
        <v>395</v>
      </c>
      <c r="C1661" s="34" t="s">
        <v>10754</v>
      </c>
      <c r="F1661" t="s">
        <v>10754</v>
      </c>
      <c r="H1661">
        <v>5</v>
      </c>
    </row>
    <row r="1662" spans="1:13">
      <c r="A1662" t="s">
        <v>10755</v>
      </c>
      <c r="B1662" t="s">
        <v>395</v>
      </c>
      <c r="C1662" s="34" t="s">
        <v>10756</v>
      </c>
      <c r="F1662" t="s">
        <v>10756</v>
      </c>
      <c r="H1662">
        <v>5</v>
      </c>
    </row>
    <row r="1663" spans="1:13">
      <c r="A1663" t="s">
        <v>10757</v>
      </c>
      <c r="B1663" t="s">
        <v>395</v>
      </c>
      <c r="C1663" s="34" t="s">
        <v>10758</v>
      </c>
      <c r="F1663" t="s">
        <v>10758</v>
      </c>
      <c r="H1663">
        <v>5</v>
      </c>
    </row>
    <row r="1664" spans="1:13">
      <c r="A1664" t="s">
        <v>10759</v>
      </c>
      <c r="B1664" t="s">
        <v>395</v>
      </c>
      <c r="C1664" s="34" t="s">
        <v>9305</v>
      </c>
      <c r="F1664" t="s">
        <v>9305</v>
      </c>
      <c r="H1664">
        <v>5</v>
      </c>
    </row>
    <row r="1665" spans="1:13">
      <c r="A1665" t="s">
        <v>10760</v>
      </c>
      <c r="B1665" t="s">
        <v>395</v>
      </c>
      <c r="C1665" s="34" t="s">
        <v>10761</v>
      </c>
      <c r="F1665" t="s">
        <v>10761</v>
      </c>
      <c r="H1665">
        <v>5</v>
      </c>
    </row>
    <row r="1666" spans="1:13">
      <c r="A1666" t="s">
        <v>7844</v>
      </c>
      <c r="B1666" t="s">
        <v>395</v>
      </c>
      <c r="C1666" s="34" t="s">
        <v>7845</v>
      </c>
      <c r="F1666" t="s">
        <v>7845</v>
      </c>
      <c r="G1666" t="s">
        <v>801</v>
      </c>
      <c r="H1666">
        <v>5</v>
      </c>
    </row>
    <row r="1667" spans="1:13">
      <c r="A1667" t="s">
        <v>10762</v>
      </c>
      <c r="B1667" t="s">
        <v>395</v>
      </c>
      <c r="C1667" s="34" t="s">
        <v>10763</v>
      </c>
      <c r="F1667" t="s">
        <v>10763</v>
      </c>
      <c r="H1667">
        <v>5</v>
      </c>
    </row>
    <row r="1668" spans="1:13">
      <c r="A1668" t="s">
        <v>10875</v>
      </c>
      <c r="B1668" t="s">
        <v>395</v>
      </c>
      <c r="C1668" s="34" t="s">
        <v>7845</v>
      </c>
      <c r="F1668" t="s">
        <v>7845</v>
      </c>
      <c r="G1668" t="s">
        <v>802</v>
      </c>
      <c r="H1668">
        <v>5</v>
      </c>
    </row>
    <row r="1669" spans="1:13">
      <c r="A1669" t="s">
        <v>3030</v>
      </c>
      <c r="B1669" t="s">
        <v>395</v>
      </c>
      <c r="C1669" s="34" t="s">
        <v>1438</v>
      </c>
      <c r="F1669" t="s">
        <v>1438</v>
      </c>
      <c r="H1669">
        <v>15</v>
      </c>
      <c r="I1669">
        <f>VLOOKUP(B1669,BRAND!B:D,3,FALSE)</f>
        <v>3</v>
      </c>
      <c r="J1669">
        <v>4</v>
      </c>
      <c r="K1669" t="s">
        <v>821</v>
      </c>
      <c r="M1669">
        <v>1</v>
      </c>
    </row>
    <row r="1670" spans="1:13">
      <c r="A1670" t="s">
        <v>7858</v>
      </c>
      <c r="B1670" t="s">
        <v>7857</v>
      </c>
      <c r="C1670" s="34" t="s">
        <v>7859</v>
      </c>
      <c r="F1670" t="s">
        <v>7859</v>
      </c>
      <c r="G1670" t="s">
        <v>6932</v>
      </c>
      <c r="H1670">
        <v>5</v>
      </c>
      <c r="I1670">
        <f>VLOOKUP(B1670,BRAND!B:D,3,FALSE)</f>
        <v>5.5</v>
      </c>
      <c r="J1670">
        <v>6</v>
      </c>
      <c r="M1670">
        <v>1</v>
      </c>
    </row>
    <row r="1671" spans="1:13">
      <c r="A1671" t="s">
        <v>7860</v>
      </c>
      <c r="B1671" t="s">
        <v>7857</v>
      </c>
      <c r="C1671" s="34" t="s">
        <v>7861</v>
      </c>
      <c r="F1671" t="s">
        <v>7861</v>
      </c>
      <c r="G1671" t="s">
        <v>6932</v>
      </c>
      <c r="H1671">
        <v>5</v>
      </c>
      <c r="I1671">
        <f>VLOOKUP(B1671,BRAND!B:D,3,FALSE)</f>
        <v>5.5</v>
      </c>
      <c r="J1671">
        <v>5</v>
      </c>
      <c r="M1671">
        <v>1</v>
      </c>
    </row>
    <row r="1672" spans="1:13">
      <c r="A1672" t="s">
        <v>7856</v>
      </c>
      <c r="B1672" t="s">
        <v>7857</v>
      </c>
      <c r="C1672" s="34" t="s">
        <v>561</v>
      </c>
      <c r="F1672" t="s">
        <v>561</v>
      </c>
      <c r="G1672" t="s">
        <v>6932</v>
      </c>
      <c r="H1672">
        <v>5</v>
      </c>
      <c r="I1672">
        <f>VLOOKUP(B1672,BRAND!B:D,3,FALSE)</f>
        <v>5.5</v>
      </c>
      <c r="J1672">
        <v>3</v>
      </c>
      <c r="M1672">
        <v>1</v>
      </c>
    </row>
    <row r="1673" spans="1:13">
      <c r="A1673" t="s">
        <v>7864</v>
      </c>
      <c r="B1673" t="s">
        <v>7863</v>
      </c>
      <c r="C1673" s="34" t="s">
        <v>772</v>
      </c>
      <c r="F1673" t="s">
        <v>772</v>
      </c>
      <c r="G1673" t="s">
        <v>6932</v>
      </c>
      <c r="H1673">
        <v>5</v>
      </c>
      <c r="I1673">
        <f>VLOOKUP(B1673,BRAND!B:D,3,FALSE)</f>
        <v>5.5</v>
      </c>
      <c r="J1673">
        <v>6</v>
      </c>
      <c r="M1673">
        <v>1</v>
      </c>
    </row>
    <row r="1674" spans="1:13">
      <c r="A1674" t="s">
        <v>7865</v>
      </c>
      <c r="B1674" t="s">
        <v>7863</v>
      </c>
      <c r="C1674" s="34" t="s">
        <v>534</v>
      </c>
      <c r="F1674" t="s">
        <v>534</v>
      </c>
      <c r="G1674" t="s">
        <v>6932</v>
      </c>
      <c r="H1674">
        <v>5</v>
      </c>
      <c r="I1674">
        <f>VLOOKUP(B1674,BRAND!B:D,3,FALSE)</f>
        <v>5.5</v>
      </c>
      <c r="J1674">
        <v>6</v>
      </c>
      <c r="M1674">
        <v>1</v>
      </c>
    </row>
    <row r="1675" spans="1:13">
      <c r="A1675" t="s">
        <v>7862</v>
      </c>
      <c r="B1675" t="s">
        <v>7863</v>
      </c>
      <c r="C1675" s="34" t="s">
        <v>536</v>
      </c>
      <c r="F1675" t="s">
        <v>536</v>
      </c>
      <c r="G1675" t="s">
        <v>6932</v>
      </c>
      <c r="H1675">
        <v>5</v>
      </c>
      <c r="I1675">
        <f>VLOOKUP(B1675,BRAND!B:D,3,FALSE)</f>
        <v>5.5</v>
      </c>
      <c r="J1675">
        <v>5</v>
      </c>
      <c r="L1675" s="29"/>
      <c r="M1675">
        <v>1</v>
      </c>
    </row>
    <row r="1676" spans="1:13">
      <c r="A1676" t="s">
        <v>15109</v>
      </c>
      <c r="B1676" t="s">
        <v>15110</v>
      </c>
      <c r="C1676" s="34" t="s">
        <v>536</v>
      </c>
      <c r="F1676" t="s">
        <v>536</v>
      </c>
      <c r="G1676" t="s">
        <v>6932</v>
      </c>
      <c r="H1676">
        <v>5</v>
      </c>
      <c r="I1676">
        <f>VLOOKUP(B1676,BRAND!B:D,3,FALSE)</f>
        <v>5</v>
      </c>
      <c r="J1676">
        <v>0</v>
      </c>
      <c r="K1676" t="s">
        <v>821</v>
      </c>
      <c r="L1676">
        <v>0</v>
      </c>
      <c r="M1676">
        <v>0</v>
      </c>
    </row>
    <row r="1677" spans="1:13">
      <c r="A1677" t="s">
        <v>15111</v>
      </c>
      <c r="B1677" t="s">
        <v>15110</v>
      </c>
      <c r="C1677" s="34" t="s">
        <v>10023</v>
      </c>
      <c r="F1677" t="s">
        <v>10023</v>
      </c>
      <c r="G1677" t="s">
        <v>6932</v>
      </c>
      <c r="H1677">
        <v>5</v>
      </c>
      <c r="I1677">
        <f>VLOOKUP(B1677,BRAND!B:D,3,FALSE)</f>
        <v>5</v>
      </c>
      <c r="J1677">
        <v>0</v>
      </c>
      <c r="K1677" t="s">
        <v>821</v>
      </c>
      <c r="L1677">
        <v>0</v>
      </c>
      <c r="M1677">
        <v>0</v>
      </c>
    </row>
    <row r="1678" spans="1:13">
      <c r="A1678" t="s">
        <v>15112</v>
      </c>
      <c r="B1678" t="s">
        <v>15110</v>
      </c>
      <c r="C1678" s="34" t="s">
        <v>561</v>
      </c>
      <c r="F1678" t="s">
        <v>561</v>
      </c>
      <c r="G1678" t="s">
        <v>6932</v>
      </c>
      <c r="H1678">
        <v>5</v>
      </c>
      <c r="I1678">
        <f>VLOOKUP(B1678,BRAND!B:D,3,FALSE)</f>
        <v>5</v>
      </c>
      <c r="J1678">
        <v>0</v>
      </c>
      <c r="K1678" t="s">
        <v>821</v>
      </c>
      <c r="L1678">
        <v>0</v>
      </c>
      <c r="M1678">
        <v>0</v>
      </c>
    </row>
    <row r="1679" spans="1:13">
      <c r="A1679" t="s">
        <v>15113</v>
      </c>
      <c r="B1679" t="s">
        <v>15110</v>
      </c>
      <c r="C1679" s="34" t="s">
        <v>776</v>
      </c>
      <c r="F1679" t="s">
        <v>776</v>
      </c>
      <c r="G1679" t="s">
        <v>6932</v>
      </c>
      <c r="H1679">
        <v>5</v>
      </c>
      <c r="I1679">
        <f>VLOOKUP(B1679,BRAND!B:D,3,FALSE)</f>
        <v>5</v>
      </c>
      <c r="J1679">
        <v>0</v>
      </c>
      <c r="K1679" t="s">
        <v>821</v>
      </c>
      <c r="L1679">
        <v>0</v>
      </c>
      <c r="M1679">
        <v>0</v>
      </c>
    </row>
    <row r="1680" spans="1:13">
      <c r="A1680" t="s">
        <v>15114</v>
      </c>
      <c r="B1680" t="s">
        <v>15110</v>
      </c>
      <c r="C1680" s="34" t="s">
        <v>535</v>
      </c>
      <c r="F1680" t="s">
        <v>535</v>
      </c>
      <c r="G1680" t="s">
        <v>6932</v>
      </c>
      <c r="H1680">
        <v>5</v>
      </c>
      <c r="I1680">
        <f>VLOOKUP(B1680,BRAND!B:D,3,FALSE)</f>
        <v>5</v>
      </c>
      <c r="J1680">
        <v>0</v>
      </c>
      <c r="K1680" t="s">
        <v>821</v>
      </c>
      <c r="L1680">
        <v>0</v>
      </c>
      <c r="M1680">
        <v>0</v>
      </c>
    </row>
    <row r="1681" spans="1:13">
      <c r="A1681" t="s">
        <v>15115</v>
      </c>
      <c r="B1681" t="s">
        <v>15110</v>
      </c>
      <c r="C1681" s="34" t="s">
        <v>1999</v>
      </c>
      <c r="F1681" t="s">
        <v>14411</v>
      </c>
      <c r="G1681" t="s">
        <v>6932</v>
      </c>
      <c r="H1681">
        <v>5</v>
      </c>
      <c r="I1681">
        <f>VLOOKUP(B1681,BRAND!B:D,3,FALSE)</f>
        <v>5</v>
      </c>
      <c r="J1681">
        <v>0</v>
      </c>
      <c r="K1681" t="s">
        <v>821</v>
      </c>
      <c r="L1681">
        <v>0</v>
      </c>
      <c r="M1681">
        <v>0</v>
      </c>
    </row>
    <row r="1682" spans="1:13">
      <c r="A1682" t="s">
        <v>15116</v>
      </c>
      <c r="B1682" t="s">
        <v>15110</v>
      </c>
      <c r="C1682" s="34" t="s">
        <v>913</v>
      </c>
      <c r="F1682" t="s">
        <v>913</v>
      </c>
      <c r="G1682" t="s">
        <v>6932</v>
      </c>
      <c r="H1682">
        <v>5</v>
      </c>
      <c r="I1682">
        <f>VLOOKUP(B1682,BRAND!B:D,3,FALSE)</f>
        <v>5</v>
      </c>
      <c r="J1682">
        <v>0</v>
      </c>
      <c r="K1682" t="s">
        <v>821</v>
      </c>
      <c r="L1682">
        <v>0</v>
      </c>
      <c r="M1682">
        <v>0</v>
      </c>
    </row>
    <row r="1683" spans="1:13">
      <c r="A1683" t="s">
        <v>15117</v>
      </c>
      <c r="B1683" t="s">
        <v>15110</v>
      </c>
      <c r="C1683" s="34" t="s">
        <v>15118</v>
      </c>
      <c r="F1683" t="s">
        <v>15118</v>
      </c>
      <c r="G1683" t="s">
        <v>6932</v>
      </c>
      <c r="H1683">
        <v>5</v>
      </c>
      <c r="I1683">
        <f>VLOOKUP(B1683,BRAND!B:D,3,FALSE)</f>
        <v>5</v>
      </c>
      <c r="J1683">
        <v>0</v>
      </c>
      <c r="K1683" t="s">
        <v>821</v>
      </c>
      <c r="L1683">
        <v>0</v>
      </c>
      <c r="M1683">
        <v>0</v>
      </c>
    </row>
    <row r="1684" spans="1:13">
      <c r="A1684" t="s">
        <v>15119</v>
      </c>
      <c r="B1684" t="s">
        <v>15110</v>
      </c>
      <c r="C1684" s="34" t="s">
        <v>15120</v>
      </c>
      <c r="F1684" t="s">
        <v>15120</v>
      </c>
      <c r="G1684" t="s">
        <v>6932</v>
      </c>
      <c r="H1684">
        <v>5</v>
      </c>
      <c r="I1684">
        <f>VLOOKUP(B1684,BRAND!B:D,3,FALSE)</f>
        <v>5</v>
      </c>
      <c r="J1684">
        <v>0</v>
      </c>
      <c r="K1684" t="s">
        <v>821</v>
      </c>
      <c r="L1684">
        <v>0</v>
      </c>
      <c r="M1684">
        <v>0</v>
      </c>
    </row>
    <row r="1685" spans="1:13">
      <c r="A1685" t="s">
        <v>15112</v>
      </c>
      <c r="B1685" t="s">
        <v>15110</v>
      </c>
      <c r="C1685" s="34" t="s">
        <v>561</v>
      </c>
      <c r="F1685" t="s">
        <v>561</v>
      </c>
      <c r="G1685" t="s">
        <v>6932</v>
      </c>
      <c r="H1685">
        <v>5</v>
      </c>
      <c r="I1685">
        <f>VLOOKUP(B1685,BRAND!B:D,3,FALSE)</f>
        <v>5</v>
      </c>
      <c r="J1685">
        <v>0</v>
      </c>
      <c r="K1685" t="s">
        <v>821</v>
      </c>
      <c r="L1685">
        <v>0</v>
      </c>
      <c r="M1685">
        <v>0</v>
      </c>
    </row>
    <row r="1686" spans="1:13">
      <c r="A1686" t="s">
        <v>15121</v>
      </c>
      <c r="B1686" t="s">
        <v>15110</v>
      </c>
      <c r="C1686" s="34" t="s">
        <v>15122</v>
      </c>
      <c r="F1686" t="s">
        <v>15122</v>
      </c>
      <c r="G1686" t="s">
        <v>6932</v>
      </c>
      <c r="H1686">
        <v>5</v>
      </c>
      <c r="I1686">
        <f>VLOOKUP(B1686,BRAND!B:D,3,FALSE)</f>
        <v>5</v>
      </c>
      <c r="J1686">
        <v>0</v>
      </c>
      <c r="K1686" t="s">
        <v>821</v>
      </c>
      <c r="L1686">
        <v>0</v>
      </c>
      <c r="M1686">
        <v>0</v>
      </c>
    </row>
    <row r="1687" spans="1:13">
      <c r="A1687" t="s">
        <v>15123</v>
      </c>
      <c r="B1687" t="s">
        <v>15110</v>
      </c>
      <c r="C1687" s="34" t="s">
        <v>788</v>
      </c>
      <c r="F1687" t="s">
        <v>788</v>
      </c>
      <c r="G1687" t="s">
        <v>6932</v>
      </c>
      <c r="H1687">
        <v>5</v>
      </c>
      <c r="I1687">
        <f>VLOOKUP(B1687,BRAND!B:D,3,FALSE)</f>
        <v>5</v>
      </c>
      <c r="J1687">
        <v>0</v>
      </c>
      <c r="K1687" t="s">
        <v>821</v>
      </c>
      <c r="L1687">
        <v>0</v>
      </c>
      <c r="M1687">
        <v>0</v>
      </c>
    </row>
    <row r="1688" spans="1:13">
      <c r="A1688" t="s">
        <v>2373</v>
      </c>
      <c r="B1688" t="s">
        <v>527</v>
      </c>
      <c r="C1688" s="34" t="s">
        <v>1438</v>
      </c>
      <c r="F1688" t="s">
        <v>1438</v>
      </c>
      <c r="H1688">
        <v>15</v>
      </c>
      <c r="I1688">
        <f>VLOOKUP(B1688,BRAND!B:D,3,FALSE)</f>
        <v>3</v>
      </c>
      <c r="J1688">
        <v>4</v>
      </c>
      <c r="K1688" t="s">
        <v>821</v>
      </c>
      <c r="M1688">
        <v>1</v>
      </c>
    </row>
    <row r="1689" spans="1:13">
      <c r="A1689" t="s">
        <v>3696</v>
      </c>
      <c r="B1689" t="s">
        <v>1775</v>
      </c>
      <c r="C1689" s="34" t="s">
        <v>534</v>
      </c>
      <c r="F1689" t="s">
        <v>534</v>
      </c>
      <c r="H1689">
        <v>5</v>
      </c>
      <c r="I1689">
        <f>VLOOKUP(B1689,BRAND!B:D,3,FALSE)</f>
        <v>3</v>
      </c>
      <c r="J1689">
        <v>6</v>
      </c>
      <c r="K1689" t="s">
        <v>821</v>
      </c>
      <c r="M1689">
        <v>0</v>
      </c>
    </row>
    <row r="1690" spans="1:13">
      <c r="A1690" t="s">
        <v>2453</v>
      </c>
      <c r="B1690" t="s">
        <v>528</v>
      </c>
      <c r="C1690" s="34" t="s">
        <v>536</v>
      </c>
      <c r="F1690" t="s">
        <v>536</v>
      </c>
      <c r="H1690">
        <v>5</v>
      </c>
      <c r="I1690">
        <f>VLOOKUP(B1690,BRAND!B:D,3,FALSE)</f>
        <v>3</v>
      </c>
      <c r="J1690">
        <v>5</v>
      </c>
      <c r="K1690" t="s">
        <v>821</v>
      </c>
      <c r="M1690">
        <v>1</v>
      </c>
    </row>
    <row r="1691" spans="1:13">
      <c r="A1691" t="s">
        <v>2150</v>
      </c>
      <c r="B1691" t="s">
        <v>528</v>
      </c>
      <c r="C1691" s="34" t="s">
        <v>1438</v>
      </c>
      <c r="F1691" t="s">
        <v>1438</v>
      </c>
      <c r="H1691">
        <v>15</v>
      </c>
      <c r="I1691">
        <f>VLOOKUP(B1691,BRAND!B:D,3,FALSE)</f>
        <v>3</v>
      </c>
      <c r="J1691">
        <v>4</v>
      </c>
      <c r="K1691" t="s">
        <v>821</v>
      </c>
      <c r="M1691">
        <v>0</v>
      </c>
    </row>
    <row r="1692" spans="1:13">
      <c r="A1692" t="s">
        <v>14608</v>
      </c>
      <c r="B1692" t="s">
        <v>14609</v>
      </c>
      <c r="C1692" s="34" t="s">
        <v>561</v>
      </c>
      <c r="F1692" t="s">
        <v>561</v>
      </c>
      <c r="G1692" t="s">
        <v>6932</v>
      </c>
      <c r="H1692">
        <v>5</v>
      </c>
      <c r="I1692">
        <f>VLOOKUP(B1692,BRAND!B:D,3,FALSE)</f>
        <v>0</v>
      </c>
      <c r="J1692">
        <f t="shared" ref="J1692:J1714" si="19">LEN(F1692)</f>
        <v>3</v>
      </c>
      <c r="K1692" t="s">
        <v>821</v>
      </c>
      <c r="L1692">
        <v>0</v>
      </c>
      <c r="M1692">
        <v>1</v>
      </c>
    </row>
    <row r="1693" spans="1:13">
      <c r="A1693" t="s">
        <v>14291</v>
      </c>
      <c r="B1693" t="s">
        <v>14260</v>
      </c>
      <c r="C1693" s="34" t="s">
        <v>903</v>
      </c>
      <c r="F1693" t="s">
        <v>14292</v>
      </c>
      <c r="G1693" t="s">
        <v>6932</v>
      </c>
      <c r="H1693">
        <v>4</v>
      </c>
      <c r="I1693">
        <f>VLOOKUP(B1693,BRAND!B:D,3,FALSE)</f>
        <v>0</v>
      </c>
      <c r="J1693">
        <f t="shared" si="19"/>
        <v>11</v>
      </c>
      <c r="K1693" t="s">
        <v>821</v>
      </c>
      <c r="L1693">
        <v>0</v>
      </c>
      <c r="M1693">
        <v>1</v>
      </c>
    </row>
    <row r="1694" spans="1:13">
      <c r="A1694" t="s">
        <v>14319</v>
      </c>
      <c r="B1694" t="s">
        <v>14260</v>
      </c>
      <c r="C1694" s="34" t="s">
        <v>14320</v>
      </c>
      <c r="F1694" t="s">
        <v>14321</v>
      </c>
      <c r="G1694" t="s">
        <v>6932</v>
      </c>
      <c r="H1694">
        <v>5</v>
      </c>
      <c r="I1694">
        <f>VLOOKUP(B1694,BRAND!B:D,3,FALSE)</f>
        <v>0</v>
      </c>
      <c r="J1694">
        <f t="shared" si="19"/>
        <v>18</v>
      </c>
      <c r="K1694" t="s">
        <v>821</v>
      </c>
      <c r="L1694">
        <v>0</v>
      </c>
      <c r="M1694">
        <v>1</v>
      </c>
    </row>
    <row r="1695" spans="1:13">
      <c r="A1695" t="s">
        <v>14268</v>
      </c>
      <c r="B1695" t="s">
        <v>14260</v>
      </c>
      <c r="C1695" s="34" t="s">
        <v>12408</v>
      </c>
      <c r="F1695" t="s">
        <v>14269</v>
      </c>
      <c r="G1695" t="s">
        <v>6932</v>
      </c>
      <c r="H1695">
        <v>5</v>
      </c>
      <c r="I1695">
        <f>VLOOKUP(B1695,BRAND!B:D,3,FALSE)</f>
        <v>0</v>
      </c>
      <c r="J1695">
        <f t="shared" si="19"/>
        <v>17</v>
      </c>
      <c r="K1695" t="s">
        <v>821</v>
      </c>
      <c r="L1695">
        <v>0</v>
      </c>
      <c r="M1695">
        <v>1</v>
      </c>
    </row>
    <row r="1696" spans="1:13">
      <c r="A1696" t="s">
        <v>14304</v>
      </c>
      <c r="B1696" t="s">
        <v>14260</v>
      </c>
      <c r="C1696" s="34" t="s">
        <v>14305</v>
      </c>
      <c r="F1696" t="s">
        <v>14306</v>
      </c>
      <c r="G1696" t="s">
        <v>6932</v>
      </c>
      <c r="H1696">
        <v>5</v>
      </c>
      <c r="I1696">
        <f>VLOOKUP(B1696,BRAND!B:D,3,FALSE)</f>
        <v>0</v>
      </c>
      <c r="J1696">
        <f t="shared" si="19"/>
        <v>16</v>
      </c>
      <c r="K1696" t="s">
        <v>821</v>
      </c>
      <c r="L1696">
        <v>0</v>
      </c>
      <c r="M1696">
        <v>1</v>
      </c>
    </row>
    <row r="1697" spans="1:13">
      <c r="A1697" t="s">
        <v>14301</v>
      </c>
      <c r="B1697" t="s">
        <v>14260</v>
      </c>
      <c r="C1697" s="34" t="s">
        <v>14302</v>
      </c>
      <c r="F1697" t="s">
        <v>14303</v>
      </c>
      <c r="G1697" t="s">
        <v>6932</v>
      </c>
      <c r="H1697">
        <v>5</v>
      </c>
      <c r="I1697">
        <f>VLOOKUP(B1697,BRAND!B:D,3,FALSE)</f>
        <v>0</v>
      </c>
      <c r="J1697">
        <f t="shared" si="19"/>
        <v>16</v>
      </c>
      <c r="K1697" t="s">
        <v>821</v>
      </c>
      <c r="L1697">
        <v>0</v>
      </c>
      <c r="M1697">
        <v>1</v>
      </c>
    </row>
    <row r="1698" spans="1:13">
      <c r="A1698" t="s">
        <v>14282</v>
      </c>
      <c r="B1698" t="s">
        <v>14260</v>
      </c>
      <c r="C1698" s="34" t="s">
        <v>14283</v>
      </c>
      <c r="F1698" t="s">
        <v>14284</v>
      </c>
      <c r="G1698" t="s">
        <v>6932</v>
      </c>
      <c r="H1698">
        <v>5</v>
      </c>
      <c r="I1698">
        <f>VLOOKUP(B1698,BRAND!B:D,3,FALSE)</f>
        <v>0</v>
      </c>
      <c r="J1698">
        <f t="shared" si="19"/>
        <v>15</v>
      </c>
      <c r="K1698" t="s">
        <v>821</v>
      </c>
      <c r="L1698">
        <v>0</v>
      </c>
      <c r="M1698">
        <v>1</v>
      </c>
    </row>
    <row r="1699" spans="1:13">
      <c r="A1699" t="s">
        <v>14273</v>
      </c>
      <c r="B1699" t="s">
        <v>14260</v>
      </c>
      <c r="C1699" s="34" t="s">
        <v>14274</v>
      </c>
      <c r="F1699" t="s">
        <v>14275</v>
      </c>
      <c r="G1699" t="s">
        <v>6932</v>
      </c>
      <c r="H1699">
        <v>5</v>
      </c>
      <c r="I1699">
        <f>VLOOKUP(B1699,BRAND!B:D,3,FALSE)</f>
        <v>0</v>
      </c>
      <c r="J1699">
        <f t="shared" si="19"/>
        <v>15</v>
      </c>
      <c r="K1699" t="s">
        <v>821</v>
      </c>
      <c r="L1699">
        <v>0</v>
      </c>
      <c r="M1699">
        <v>1</v>
      </c>
    </row>
    <row r="1700" spans="1:13">
      <c r="A1700" t="s">
        <v>14298</v>
      </c>
      <c r="B1700" t="s">
        <v>14260</v>
      </c>
      <c r="C1700" s="34" t="s">
        <v>14299</v>
      </c>
      <c r="F1700" t="s">
        <v>14300</v>
      </c>
      <c r="G1700" t="s">
        <v>6932</v>
      </c>
      <c r="H1700">
        <v>5</v>
      </c>
      <c r="I1700">
        <f>VLOOKUP(B1700,BRAND!B:D,3,FALSE)</f>
        <v>0</v>
      </c>
      <c r="J1700">
        <f t="shared" si="19"/>
        <v>14</v>
      </c>
      <c r="K1700" t="s">
        <v>821</v>
      </c>
      <c r="L1700">
        <v>0</v>
      </c>
      <c r="M1700">
        <v>1</v>
      </c>
    </row>
    <row r="1701" spans="1:13">
      <c r="A1701" t="s">
        <v>14307</v>
      </c>
      <c r="B1701" t="s">
        <v>14260</v>
      </c>
      <c r="C1701" s="34" t="s">
        <v>14308</v>
      </c>
      <c r="F1701" t="s">
        <v>14309</v>
      </c>
      <c r="G1701" t="s">
        <v>6932</v>
      </c>
      <c r="H1701">
        <v>5</v>
      </c>
      <c r="I1701">
        <f>VLOOKUP(B1701,BRAND!B:D,3,FALSE)</f>
        <v>0</v>
      </c>
      <c r="J1701">
        <f t="shared" si="19"/>
        <v>14</v>
      </c>
      <c r="K1701" t="s">
        <v>821</v>
      </c>
      <c r="L1701">
        <v>0</v>
      </c>
      <c r="M1701">
        <v>1</v>
      </c>
    </row>
    <row r="1702" spans="1:13">
      <c r="A1702" t="s">
        <v>14313</v>
      </c>
      <c r="B1702" t="s">
        <v>14260</v>
      </c>
      <c r="C1702" s="34" t="s">
        <v>14314</v>
      </c>
      <c r="F1702" t="s">
        <v>14315</v>
      </c>
      <c r="G1702" t="s">
        <v>6932</v>
      </c>
      <c r="H1702">
        <v>5</v>
      </c>
      <c r="I1702">
        <f>VLOOKUP(B1702,BRAND!B:D,3,FALSE)</f>
        <v>0</v>
      </c>
      <c r="J1702">
        <f t="shared" si="19"/>
        <v>14</v>
      </c>
      <c r="K1702" t="s">
        <v>821</v>
      </c>
      <c r="L1702">
        <v>0</v>
      </c>
      <c r="M1702">
        <v>1</v>
      </c>
    </row>
    <row r="1703" spans="1:13">
      <c r="A1703" t="s">
        <v>14316</v>
      </c>
      <c r="B1703" t="s">
        <v>14260</v>
      </c>
      <c r="C1703" s="34" t="s">
        <v>14317</v>
      </c>
      <c r="F1703" t="s">
        <v>14318</v>
      </c>
      <c r="G1703" t="s">
        <v>6932</v>
      </c>
      <c r="H1703">
        <v>5</v>
      </c>
      <c r="I1703">
        <f>VLOOKUP(B1703,BRAND!B:D,3,FALSE)</f>
        <v>0</v>
      </c>
      <c r="J1703">
        <f t="shared" si="19"/>
        <v>13</v>
      </c>
      <c r="K1703" t="s">
        <v>821</v>
      </c>
      <c r="L1703">
        <v>0</v>
      </c>
      <c r="M1703">
        <v>1</v>
      </c>
    </row>
    <row r="1704" spans="1:13">
      <c r="A1704" t="s">
        <v>14276</v>
      </c>
      <c r="B1704" t="s">
        <v>14260</v>
      </c>
      <c r="C1704" s="34" t="s">
        <v>14277</v>
      </c>
      <c r="F1704" t="s">
        <v>14278</v>
      </c>
      <c r="G1704" t="s">
        <v>6932</v>
      </c>
      <c r="H1704">
        <v>5</v>
      </c>
      <c r="I1704">
        <f>VLOOKUP(B1704,BRAND!B:D,3,FALSE)</f>
        <v>0</v>
      </c>
      <c r="J1704">
        <f t="shared" si="19"/>
        <v>12</v>
      </c>
      <c r="K1704" t="s">
        <v>821</v>
      </c>
      <c r="L1704">
        <v>0</v>
      </c>
      <c r="M1704">
        <v>1</v>
      </c>
    </row>
    <row r="1705" spans="1:13">
      <c r="A1705" t="s">
        <v>14288</v>
      </c>
      <c r="B1705" t="s">
        <v>14260</v>
      </c>
      <c r="C1705" s="34" t="s">
        <v>14289</v>
      </c>
      <c r="F1705" t="s">
        <v>14290</v>
      </c>
      <c r="G1705" t="s">
        <v>6932</v>
      </c>
      <c r="H1705">
        <v>5</v>
      </c>
      <c r="I1705">
        <f>VLOOKUP(B1705,BRAND!B:D,3,FALSE)</f>
        <v>0</v>
      </c>
      <c r="J1705">
        <f t="shared" si="19"/>
        <v>11</v>
      </c>
      <c r="K1705" t="s">
        <v>821</v>
      </c>
      <c r="L1705">
        <v>0</v>
      </c>
      <c r="M1705">
        <v>1</v>
      </c>
    </row>
    <row r="1706" spans="1:13">
      <c r="A1706" t="s">
        <v>14266</v>
      </c>
      <c r="B1706" t="s">
        <v>14260</v>
      </c>
      <c r="C1706" s="34" t="s">
        <v>8148</v>
      </c>
      <c r="F1706" t="s">
        <v>14267</v>
      </c>
      <c r="G1706" t="s">
        <v>6932</v>
      </c>
      <c r="H1706">
        <v>5</v>
      </c>
      <c r="I1706">
        <f>VLOOKUP(B1706,BRAND!B:D,3,FALSE)</f>
        <v>0</v>
      </c>
      <c r="J1706">
        <f t="shared" si="19"/>
        <v>11</v>
      </c>
      <c r="K1706" t="s">
        <v>821</v>
      </c>
      <c r="L1706">
        <v>0</v>
      </c>
      <c r="M1706">
        <v>1</v>
      </c>
    </row>
    <row r="1707" spans="1:13">
      <c r="A1707" t="s">
        <v>14285</v>
      </c>
      <c r="B1707" t="s">
        <v>14260</v>
      </c>
      <c r="C1707" s="34" t="s">
        <v>14286</v>
      </c>
      <c r="F1707" t="s">
        <v>14287</v>
      </c>
      <c r="G1707" t="s">
        <v>6932</v>
      </c>
      <c r="H1707">
        <v>5</v>
      </c>
      <c r="I1707">
        <f>VLOOKUP(B1707,BRAND!B:D,3,FALSE)</f>
        <v>0</v>
      </c>
      <c r="J1707">
        <f t="shared" si="19"/>
        <v>11</v>
      </c>
      <c r="K1707" t="s">
        <v>821</v>
      </c>
      <c r="L1707">
        <v>0</v>
      </c>
      <c r="M1707">
        <v>1</v>
      </c>
    </row>
    <row r="1708" spans="1:13">
      <c r="A1708" t="s">
        <v>14296</v>
      </c>
      <c r="B1708" t="s">
        <v>14260</v>
      </c>
      <c r="C1708" s="34" t="s">
        <v>8784</v>
      </c>
      <c r="F1708" t="s">
        <v>14297</v>
      </c>
      <c r="G1708" t="s">
        <v>6932</v>
      </c>
      <c r="H1708">
        <v>5</v>
      </c>
      <c r="I1708">
        <f>VLOOKUP(B1708,BRAND!B:D,3,FALSE)</f>
        <v>0</v>
      </c>
      <c r="J1708">
        <f t="shared" si="19"/>
        <v>11</v>
      </c>
      <c r="K1708" t="s">
        <v>821</v>
      </c>
      <c r="L1708">
        <v>0</v>
      </c>
      <c r="M1708">
        <v>1</v>
      </c>
    </row>
    <row r="1709" spans="1:13">
      <c r="A1709" t="s">
        <v>14293</v>
      </c>
      <c r="B1709" t="s">
        <v>14260</v>
      </c>
      <c r="C1709" s="34" t="s">
        <v>14294</v>
      </c>
      <c r="F1709" t="s">
        <v>14295</v>
      </c>
      <c r="G1709" t="s">
        <v>6932</v>
      </c>
      <c r="H1709">
        <v>5</v>
      </c>
      <c r="I1709">
        <f>VLOOKUP(B1709,BRAND!B:D,3,FALSE)</f>
        <v>0</v>
      </c>
      <c r="J1709">
        <f t="shared" si="19"/>
        <v>10</v>
      </c>
      <c r="K1709" t="s">
        <v>821</v>
      </c>
      <c r="L1709">
        <v>0</v>
      </c>
      <c r="M1709">
        <v>1</v>
      </c>
    </row>
    <row r="1710" spans="1:13">
      <c r="A1710" t="s">
        <v>14270</v>
      </c>
      <c r="B1710" t="s">
        <v>14260</v>
      </c>
      <c r="C1710" s="34" t="s">
        <v>14271</v>
      </c>
      <c r="F1710" t="s">
        <v>14272</v>
      </c>
      <c r="G1710" t="s">
        <v>6932</v>
      </c>
      <c r="H1710">
        <v>5</v>
      </c>
      <c r="I1710">
        <f>VLOOKUP(B1710,BRAND!B:D,3,FALSE)</f>
        <v>0</v>
      </c>
      <c r="J1710">
        <f t="shared" si="19"/>
        <v>10</v>
      </c>
      <c r="K1710" t="s">
        <v>821</v>
      </c>
      <c r="L1710">
        <v>0</v>
      </c>
      <c r="M1710">
        <v>1</v>
      </c>
    </row>
    <row r="1711" spans="1:13">
      <c r="A1711" t="s">
        <v>14263</v>
      </c>
      <c r="B1711" t="s">
        <v>14260</v>
      </c>
      <c r="C1711" s="34" t="s">
        <v>14264</v>
      </c>
      <c r="F1711" t="s">
        <v>14265</v>
      </c>
      <c r="G1711" t="s">
        <v>6932</v>
      </c>
      <c r="H1711">
        <v>5</v>
      </c>
      <c r="I1711">
        <f>VLOOKUP(B1711,BRAND!B:D,3,FALSE)</f>
        <v>0</v>
      </c>
      <c r="J1711">
        <f t="shared" si="19"/>
        <v>10</v>
      </c>
      <c r="K1711" t="s">
        <v>821</v>
      </c>
      <c r="L1711">
        <v>0</v>
      </c>
      <c r="M1711">
        <v>1</v>
      </c>
    </row>
    <row r="1712" spans="1:13">
      <c r="A1712" t="s">
        <v>14279</v>
      </c>
      <c r="B1712" t="s">
        <v>14260</v>
      </c>
      <c r="C1712" s="34" t="s">
        <v>14280</v>
      </c>
      <c r="F1712" t="s">
        <v>14281</v>
      </c>
      <c r="G1712" t="s">
        <v>6932</v>
      </c>
      <c r="H1712">
        <v>5</v>
      </c>
      <c r="I1712">
        <f>VLOOKUP(B1712,BRAND!B:D,3,FALSE)</f>
        <v>0</v>
      </c>
      <c r="J1712">
        <f t="shared" si="19"/>
        <v>10</v>
      </c>
      <c r="K1712" t="s">
        <v>821</v>
      </c>
      <c r="L1712">
        <v>0</v>
      </c>
      <c r="M1712">
        <v>1</v>
      </c>
    </row>
    <row r="1713" spans="1:13">
      <c r="A1713" t="s">
        <v>14310</v>
      </c>
      <c r="B1713" t="s">
        <v>14260</v>
      </c>
      <c r="C1713" s="34" t="s">
        <v>14311</v>
      </c>
      <c r="F1713" t="s">
        <v>14312</v>
      </c>
      <c r="G1713" t="s">
        <v>6932</v>
      </c>
      <c r="H1713">
        <v>5</v>
      </c>
      <c r="I1713">
        <f>VLOOKUP(B1713,BRAND!B:D,3,FALSE)</f>
        <v>0</v>
      </c>
      <c r="J1713">
        <f t="shared" si="19"/>
        <v>9</v>
      </c>
      <c r="K1713" t="s">
        <v>821</v>
      </c>
      <c r="L1713">
        <v>0</v>
      </c>
      <c r="M1713">
        <v>1</v>
      </c>
    </row>
    <row r="1714" spans="1:13">
      <c r="A1714" t="s">
        <v>14259</v>
      </c>
      <c r="B1714" t="s">
        <v>14260</v>
      </c>
      <c r="C1714" s="34" t="s">
        <v>14881</v>
      </c>
      <c r="F1714" t="s">
        <v>14262</v>
      </c>
      <c r="G1714" t="s">
        <v>6932</v>
      </c>
      <c r="H1714">
        <v>6</v>
      </c>
      <c r="I1714">
        <f>VLOOKUP(B1714,BRAND!B:D,3,FALSE)</f>
        <v>0</v>
      </c>
      <c r="J1714">
        <f t="shared" si="19"/>
        <v>14</v>
      </c>
      <c r="K1714" t="s">
        <v>821</v>
      </c>
      <c r="L1714">
        <v>0</v>
      </c>
      <c r="M1714">
        <v>1</v>
      </c>
    </row>
    <row r="1715" spans="1:13">
      <c r="A1715" t="s">
        <v>7866</v>
      </c>
      <c r="B1715" t="s">
        <v>7867</v>
      </c>
      <c r="C1715" s="34" t="s">
        <v>1438</v>
      </c>
      <c r="F1715" t="s">
        <v>1438</v>
      </c>
      <c r="G1715" t="s">
        <v>6932</v>
      </c>
      <c r="H1715">
        <v>5</v>
      </c>
      <c r="I1715">
        <f>VLOOKUP(B1715,BRAND!B:D,3,FALSE)</f>
        <v>5.5</v>
      </c>
      <c r="J1715">
        <v>4</v>
      </c>
      <c r="M1715">
        <v>1</v>
      </c>
    </row>
    <row r="1716" spans="1:13">
      <c r="A1716" t="s">
        <v>14759</v>
      </c>
      <c r="B1716" t="s">
        <v>14754</v>
      </c>
      <c r="C1716" s="34" t="s">
        <v>898</v>
      </c>
      <c r="F1716" t="s">
        <v>898</v>
      </c>
      <c r="G1716" t="s">
        <v>6932</v>
      </c>
      <c r="H1716">
        <v>4</v>
      </c>
      <c r="I1716">
        <f>VLOOKUP(B1716,BRAND!B:D,3,FALSE)</f>
        <v>0</v>
      </c>
      <c r="J1716">
        <f t="shared" ref="J1716:J1721" si="20">LEN(F1716)</f>
        <v>6</v>
      </c>
      <c r="K1716" t="s">
        <v>821</v>
      </c>
      <c r="L1716">
        <v>0</v>
      </c>
      <c r="M1716">
        <v>1</v>
      </c>
    </row>
    <row r="1717" spans="1:13">
      <c r="A1717" t="s">
        <v>14758</v>
      </c>
      <c r="B1717" t="s">
        <v>14754</v>
      </c>
      <c r="C1717" s="34" t="s">
        <v>1999</v>
      </c>
      <c r="F1717" t="s">
        <v>1999</v>
      </c>
      <c r="G1717" t="s">
        <v>6932</v>
      </c>
      <c r="H1717">
        <v>5</v>
      </c>
      <c r="I1717">
        <f>VLOOKUP(B1717,BRAND!B:D,3,FALSE)</f>
        <v>0</v>
      </c>
      <c r="J1717">
        <f t="shared" si="20"/>
        <v>7</v>
      </c>
      <c r="K1717" t="s">
        <v>821</v>
      </c>
      <c r="L1717">
        <v>0</v>
      </c>
      <c r="M1717">
        <v>1</v>
      </c>
    </row>
    <row r="1718" spans="1:13">
      <c r="A1718" t="s">
        <v>14756</v>
      </c>
      <c r="B1718" t="s">
        <v>14754</v>
      </c>
      <c r="C1718" s="34" t="s">
        <v>755</v>
      </c>
      <c r="F1718" t="s">
        <v>755</v>
      </c>
      <c r="G1718" t="s">
        <v>6932</v>
      </c>
      <c r="H1718">
        <v>5</v>
      </c>
      <c r="I1718">
        <f>VLOOKUP(B1718,BRAND!B:D,3,FALSE)</f>
        <v>0</v>
      </c>
      <c r="J1718">
        <f t="shared" si="20"/>
        <v>6</v>
      </c>
      <c r="K1718" t="s">
        <v>821</v>
      </c>
      <c r="L1718">
        <v>0</v>
      </c>
      <c r="M1718">
        <v>1</v>
      </c>
    </row>
    <row r="1719" spans="1:13">
      <c r="A1719" t="s">
        <v>14753</v>
      </c>
      <c r="B1719" t="s">
        <v>14754</v>
      </c>
      <c r="C1719" s="34" t="s">
        <v>536</v>
      </c>
      <c r="F1719" t="s">
        <v>536</v>
      </c>
      <c r="G1719" t="s">
        <v>6932</v>
      </c>
      <c r="H1719">
        <v>5</v>
      </c>
      <c r="I1719">
        <f>VLOOKUP(B1719,BRAND!B:D,3,FALSE)</f>
        <v>0</v>
      </c>
      <c r="J1719">
        <f t="shared" si="20"/>
        <v>5</v>
      </c>
      <c r="K1719" t="s">
        <v>821</v>
      </c>
      <c r="L1719">
        <v>0</v>
      </c>
      <c r="M1719">
        <v>1</v>
      </c>
    </row>
    <row r="1720" spans="1:13">
      <c r="A1720" t="s">
        <v>14755</v>
      </c>
      <c r="B1720" t="s">
        <v>14754</v>
      </c>
      <c r="C1720" s="34" t="s">
        <v>776</v>
      </c>
      <c r="F1720" t="s">
        <v>776</v>
      </c>
      <c r="G1720" t="s">
        <v>6932</v>
      </c>
      <c r="H1720">
        <v>5</v>
      </c>
      <c r="I1720">
        <f>VLOOKUP(B1720,BRAND!B:D,3,FALSE)</f>
        <v>0</v>
      </c>
      <c r="J1720">
        <f t="shared" si="20"/>
        <v>5</v>
      </c>
      <c r="K1720" t="s">
        <v>821</v>
      </c>
      <c r="L1720">
        <v>0</v>
      </c>
      <c r="M1720">
        <v>1</v>
      </c>
    </row>
    <row r="1721" spans="1:13">
      <c r="A1721" t="s">
        <v>14757</v>
      </c>
      <c r="B1721" t="s">
        <v>14754</v>
      </c>
      <c r="C1721" s="34" t="s">
        <v>751</v>
      </c>
      <c r="F1721" t="s">
        <v>751</v>
      </c>
      <c r="G1721" t="s">
        <v>6932</v>
      </c>
      <c r="H1721">
        <v>5</v>
      </c>
      <c r="I1721">
        <f>VLOOKUP(B1721,BRAND!B:D,3,FALSE)</f>
        <v>0</v>
      </c>
      <c r="J1721">
        <f t="shared" si="20"/>
        <v>5</v>
      </c>
      <c r="K1721" t="s">
        <v>821</v>
      </c>
      <c r="L1721">
        <v>0</v>
      </c>
      <c r="M1721">
        <v>1</v>
      </c>
    </row>
    <row r="1722" spans="1:13">
      <c r="A1722" t="s">
        <v>3871</v>
      </c>
      <c r="B1722" t="s">
        <v>1808</v>
      </c>
      <c r="C1722" s="34" t="s">
        <v>534</v>
      </c>
      <c r="F1722" t="s">
        <v>534</v>
      </c>
      <c r="H1722">
        <v>5</v>
      </c>
      <c r="I1722">
        <f>VLOOKUP(B1722,BRAND!B:D,3,FALSE)</f>
        <v>3</v>
      </c>
      <c r="J1722">
        <v>6</v>
      </c>
      <c r="K1722" t="s">
        <v>821</v>
      </c>
      <c r="M1722">
        <v>0</v>
      </c>
    </row>
    <row r="1723" spans="1:13">
      <c r="A1723" t="s">
        <v>2749</v>
      </c>
      <c r="B1723" t="s">
        <v>1229</v>
      </c>
      <c r="C1723" s="34" t="s">
        <v>1438</v>
      </c>
      <c r="F1723" t="s">
        <v>1438</v>
      </c>
      <c r="H1723">
        <v>15</v>
      </c>
      <c r="I1723">
        <f>VLOOKUP(B1723,BRAND!B:D,3,FALSE)</f>
        <v>3</v>
      </c>
      <c r="J1723">
        <v>4</v>
      </c>
      <c r="K1723" t="s">
        <v>821</v>
      </c>
      <c r="M1723">
        <v>0</v>
      </c>
    </row>
    <row r="1724" spans="1:13">
      <c r="A1724" t="s">
        <v>7868</v>
      </c>
      <c r="B1724" t="s">
        <v>7869</v>
      </c>
      <c r="C1724" s="34" t="s">
        <v>1438</v>
      </c>
      <c r="F1724" t="s">
        <v>1438</v>
      </c>
      <c r="G1724" t="s">
        <v>6932</v>
      </c>
      <c r="H1724">
        <v>5</v>
      </c>
      <c r="I1724">
        <f>VLOOKUP(B1724,BRAND!B:D,3,FALSE)</f>
        <v>5.5</v>
      </c>
      <c r="J1724">
        <v>4</v>
      </c>
      <c r="M1724">
        <v>1</v>
      </c>
    </row>
    <row r="1725" spans="1:13">
      <c r="A1725" t="s">
        <v>7871</v>
      </c>
      <c r="B1725" t="s">
        <v>618</v>
      </c>
      <c r="C1725" s="34" t="s">
        <v>7872</v>
      </c>
      <c r="F1725" t="s">
        <v>7872</v>
      </c>
      <c r="G1725" t="s">
        <v>6932</v>
      </c>
      <c r="H1725">
        <v>5</v>
      </c>
      <c r="I1725">
        <f>VLOOKUP(B1725,BRAND!B:D,3,FALSE)</f>
        <v>5</v>
      </c>
      <c r="J1725">
        <v>8</v>
      </c>
      <c r="M1725">
        <v>1</v>
      </c>
    </row>
    <row r="1726" spans="1:13">
      <c r="A1726" t="s">
        <v>3574</v>
      </c>
      <c r="B1726" t="s">
        <v>618</v>
      </c>
      <c r="C1726" s="34" t="s">
        <v>772</v>
      </c>
      <c r="F1726" t="s">
        <v>772</v>
      </c>
      <c r="H1726">
        <v>5</v>
      </c>
      <c r="I1726">
        <f>VLOOKUP(B1726,BRAND!B:D,3,FALSE)</f>
        <v>5</v>
      </c>
      <c r="J1726">
        <v>6</v>
      </c>
      <c r="K1726" t="s">
        <v>821</v>
      </c>
      <c r="M1726">
        <v>0</v>
      </c>
    </row>
    <row r="1727" spans="1:13">
      <c r="A1727" t="s">
        <v>7870</v>
      </c>
      <c r="B1727" t="s">
        <v>618</v>
      </c>
      <c r="C1727" s="34" t="s">
        <v>534</v>
      </c>
      <c r="F1727" t="s">
        <v>534</v>
      </c>
      <c r="G1727" t="s">
        <v>6932</v>
      </c>
      <c r="H1727">
        <v>5</v>
      </c>
      <c r="I1727">
        <f>VLOOKUP(B1727,BRAND!B:D,3,FALSE)</f>
        <v>5</v>
      </c>
      <c r="J1727">
        <v>6</v>
      </c>
      <c r="M1727">
        <v>1</v>
      </c>
    </row>
    <row r="1728" spans="1:13">
      <c r="A1728" t="s">
        <v>3004</v>
      </c>
      <c r="B1728" t="s">
        <v>618</v>
      </c>
      <c r="C1728" s="34" t="s">
        <v>536</v>
      </c>
      <c r="F1728" t="s">
        <v>536</v>
      </c>
      <c r="H1728">
        <v>5</v>
      </c>
      <c r="I1728">
        <f>VLOOKUP(B1728,BRAND!B:D,3,FALSE)</f>
        <v>5</v>
      </c>
      <c r="J1728">
        <v>5</v>
      </c>
      <c r="K1728" t="s">
        <v>821</v>
      </c>
      <c r="M1728">
        <v>0</v>
      </c>
    </row>
    <row r="1729" spans="1:13">
      <c r="A1729" t="s">
        <v>2144</v>
      </c>
      <c r="B1729" t="s">
        <v>618</v>
      </c>
      <c r="C1729" s="34" t="s">
        <v>842</v>
      </c>
      <c r="F1729" t="s">
        <v>842</v>
      </c>
      <c r="H1729">
        <v>5</v>
      </c>
      <c r="I1729">
        <f>VLOOKUP(B1729,BRAND!B:D,3,FALSE)</f>
        <v>5</v>
      </c>
      <c r="J1729">
        <v>5</v>
      </c>
      <c r="K1729" t="s">
        <v>821</v>
      </c>
      <c r="M1729">
        <v>0</v>
      </c>
    </row>
    <row r="1730" spans="1:13">
      <c r="A1730" t="s">
        <v>7873</v>
      </c>
      <c r="B1730" t="s">
        <v>618</v>
      </c>
      <c r="C1730" s="34" t="s">
        <v>7874</v>
      </c>
      <c r="F1730" t="s">
        <v>7875</v>
      </c>
      <c r="G1730" t="s">
        <v>6932</v>
      </c>
      <c r="H1730">
        <v>5</v>
      </c>
      <c r="I1730">
        <f>VLOOKUP(B1730,BRAND!B:D,3,FALSE)</f>
        <v>5</v>
      </c>
      <c r="J1730">
        <v>4</v>
      </c>
      <c r="M1730">
        <v>1</v>
      </c>
    </row>
    <row r="1731" spans="1:13">
      <c r="A1731" t="s">
        <v>3129</v>
      </c>
      <c r="B1731" t="s">
        <v>618</v>
      </c>
      <c r="C1731" s="34" t="s">
        <v>1438</v>
      </c>
      <c r="F1731" t="s">
        <v>1438</v>
      </c>
      <c r="H1731">
        <v>15</v>
      </c>
      <c r="I1731">
        <f>VLOOKUP(B1731,BRAND!B:D,3,FALSE)</f>
        <v>5</v>
      </c>
      <c r="J1731">
        <v>4</v>
      </c>
      <c r="K1731" t="s">
        <v>821</v>
      </c>
      <c r="M1731">
        <v>0</v>
      </c>
    </row>
    <row r="1732" spans="1:13">
      <c r="A1732" t="s">
        <v>2847</v>
      </c>
      <c r="B1732" t="s">
        <v>304</v>
      </c>
      <c r="C1732" s="34" t="s">
        <v>1999</v>
      </c>
      <c r="F1732" t="s">
        <v>1999</v>
      </c>
      <c r="H1732">
        <v>5</v>
      </c>
      <c r="I1732">
        <f>VLOOKUP(B1732,BRAND!B:D,3,FALSE)</f>
        <v>3</v>
      </c>
      <c r="J1732">
        <v>7</v>
      </c>
      <c r="K1732" t="s">
        <v>821</v>
      </c>
      <c r="M1732">
        <v>1</v>
      </c>
    </row>
    <row r="1733" spans="1:13">
      <c r="A1733" t="s">
        <v>9589</v>
      </c>
      <c r="B1733" t="s">
        <v>304</v>
      </c>
      <c r="C1733" s="34" t="s">
        <v>534</v>
      </c>
      <c r="F1733" t="s">
        <v>534</v>
      </c>
      <c r="H1733">
        <v>5</v>
      </c>
      <c r="I1733">
        <f>VLOOKUP(B1733,BRAND!B:D,3,FALSE)</f>
        <v>3</v>
      </c>
      <c r="J1733">
        <v>6</v>
      </c>
      <c r="M1733">
        <v>1</v>
      </c>
    </row>
    <row r="1734" spans="1:13">
      <c r="A1734" t="s">
        <v>2848</v>
      </c>
      <c r="B1734" t="s">
        <v>304</v>
      </c>
      <c r="C1734" s="34" t="s">
        <v>5232</v>
      </c>
      <c r="F1734" t="s">
        <v>536</v>
      </c>
      <c r="H1734">
        <v>5</v>
      </c>
      <c r="I1734">
        <f>VLOOKUP(B1734,BRAND!B:D,3,FALSE)</f>
        <v>3</v>
      </c>
      <c r="J1734">
        <v>5</v>
      </c>
      <c r="K1734" t="s">
        <v>821</v>
      </c>
      <c r="M1734">
        <v>1</v>
      </c>
    </row>
    <row r="1735" spans="1:13">
      <c r="A1735" t="s">
        <v>2849</v>
      </c>
      <c r="B1735" t="s">
        <v>304</v>
      </c>
      <c r="C1735" s="34" t="s">
        <v>842</v>
      </c>
      <c r="F1735" t="s">
        <v>842</v>
      </c>
      <c r="H1735">
        <v>5</v>
      </c>
      <c r="I1735">
        <f>VLOOKUP(B1735,BRAND!B:D,3,FALSE)</f>
        <v>3</v>
      </c>
      <c r="J1735">
        <v>5</v>
      </c>
      <c r="K1735" t="s">
        <v>821</v>
      </c>
      <c r="M1735">
        <v>1</v>
      </c>
    </row>
    <row r="1736" spans="1:13">
      <c r="A1736" t="s">
        <v>9590</v>
      </c>
      <c r="B1736" t="s">
        <v>304</v>
      </c>
      <c r="C1736" s="34" t="s">
        <v>788</v>
      </c>
      <c r="F1736" t="s">
        <v>788</v>
      </c>
      <c r="G1736" t="s">
        <v>6932</v>
      </c>
      <c r="H1736">
        <v>5</v>
      </c>
      <c r="I1736">
        <f>VLOOKUP(B1736,BRAND!B:D,3,FALSE)</f>
        <v>3</v>
      </c>
      <c r="J1736">
        <v>4</v>
      </c>
      <c r="M1736">
        <v>1</v>
      </c>
    </row>
    <row r="1737" spans="1:13">
      <c r="A1737" t="s">
        <v>2970</v>
      </c>
      <c r="B1737" t="s">
        <v>529</v>
      </c>
      <c r="C1737" s="34" t="s">
        <v>534</v>
      </c>
      <c r="F1737" t="s">
        <v>534</v>
      </c>
      <c r="H1737">
        <v>5</v>
      </c>
      <c r="I1737">
        <f>VLOOKUP(B1737,BRAND!B:D,3,FALSE)</f>
        <v>3</v>
      </c>
      <c r="J1737">
        <v>6</v>
      </c>
      <c r="K1737" t="s">
        <v>821</v>
      </c>
      <c r="M1737">
        <v>1</v>
      </c>
    </row>
    <row r="1738" spans="1:13">
      <c r="A1738" t="s">
        <v>4371</v>
      </c>
      <c r="B1738" t="s">
        <v>529</v>
      </c>
      <c r="C1738" s="34" t="s">
        <v>536</v>
      </c>
      <c r="F1738" t="s">
        <v>536</v>
      </c>
      <c r="H1738">
        <v>5</v>
      </c>
      <c r="I1738">
        <f>VLOOKUP(B1738,BRAND!B:D,3,FALSE)</f>
        <v>3</v>
      </c>
      <c r="J1738">
        <v>5</v>
      </c>
      <c r="K1738" t="s">
        <v>821</v>
      </c>
      <c r="M1738">
        <v>1</v>
      </c>
    </row>
    <row r="1739" spans="1:13">
      <c r="A1739" t="s">
        <v>2677</v>
      </c>
      <c r="B1739" t="s">
        <v>529</v>
      </c>
      <c r="C1739" s="34" t="s">
        <v>1438</v>
      </c>
      <c r="F1739" t="s">
        <v>1438</v>
      </c>
      <c r="H1739">
        <v>15</v>
      </c>
      <c r="I1739">
        <f>VLOOKUP(B1739,BRAND!B:D,3,FALSE)</f>
        <v>3</v>
      </c>
      <c r="J1739">
        <v>4</v>
      </c>
      <c r="K1739" t="s">
        <v>821</v>
      </c>
      <c r="M1739">
        <v>1</v>
      </c>
    </row>
    <row r="1740" spans="1:13">
      <c r="A1740" t="s">
        <v>14356</v>
      </c>
      <c r="B1740" t="s">
        <v>7877</v>
      </c>
      <c r="C1740" s="34" t="s">
        <v>14357</v>
      </c>
      <c r="F1740" t="s">
        <v>14358</v>
      </c>
      <c r="G1740" t="s">
        <v>6932</v>
      </c>
      <c r="H1740">
        <v>5</v>
      </c>
      <c r="I1740">
        <f>VLOOKUP(B1740,BRAND!B:D,3,FALSE)</f>
        <v>0</v>
      </c>
      <c r="J1740">
        <f t="shared" ref="J1740:J1761" si="21">LEN(F1740)</f>
        <v>32</v>
      </c>
      <c r="K1740" t="s">
        <v>821</v>
      </c>
      <c r="L1740">
        <v>0</v>
      </c>
      <c r="M1740">
        <v>1</v>
      </c>
    </row>
    <row r="1741" spans="1:13">
      <c r="A1741" t="s">
        <v>14350</v>
      </c>
      <c r="B1741" t="s">
        <v>7877</v>
      </c>
      <c r="C1741" s="34" t="s">
        <v>14351</v>
      </c>
      <c r="F1741" t="s">
        <v>14352</v>
      </c>
      <c r="G1741" t="s">
        <v>801</v>
      </c>
      <c r="H1741">
        <v>5</v>
      </c>
      <c r="I1741">
        <f>VLOOKUP(B1741,BRAND!B:D,3,FALSE)</f>
        <v>0</v>
      </c>
      <c r="J1741">
        <f t="shared" si="21"/>
        <v>27</v>
      </c>
      <c r="K1741" t="s">
        <v>821</v>
      </c>
      <c r="L1741">
        <v>0</v>
      </c>
      <c r="M1741">
        <v>1</v>
      </c>
    </row>
    <row r="1742" spans="1:13">
      <c r="A1742" t="s">
        <v>14334</v>
      </c>
      <c r="B1742" t="s">
        <v>7877</v>
      </c>
      <c r="C1742" s="34" t="s">
        <v>378</v>
      </c>
      <c r="F1742" t="s">
        <v>14335</v>
      </c>
      <c r="G1742" t="s">
        <v>6932</v>
      </c>
      <c r="H1742">
        <v>5</v>
      </c>
      <c r="I1742">
        <f>VLOOKUP(B1742,BRAND!B:D,3,FALSE)</f>
        <v>0</v>
      </c>
      <c r="J1742">
        <f t="shared" si="21"/>
        <v>21</v>
      </c>
      <c r="K1742" t="s">
        <v>821</v>
      </c>
      <c r="L1742">
        <v>0</v>
      </c>
      <c r="M1742">
        <v>1</v>
      </c>
    </row>
    <row r="1743" spans="1:13">
      <c r="A1743" t="s">
        <v>14329</v>
      </c>
      <c r="B1743" t="s">
        <v>7877</v>
      </c>
      <c r="C1743" s="34" t="s">
        <v>13440</v>
      </c>
      <c r="F1743" t="s">
        <v>14330</v>
      </c>
      <c r="G1743" t="s">
        <v>6932</v>
      </c>
      <c r="H1743">
        <v>5</v>
      </c>
      <c r="I1743">
        <f>VLOOKUP(B1743,BRAND!B:D,3,FALSE)</f>
        <v>0</v>
      </c>
      <c r="J1743">
        <f t="shared" si="21"/>
        <v>21</v>
      </c>
      <c r="K1743" t="s">
        <v>821</v>
      </c>
      <c r="L1743">
        <v>0</v>
      </c>
      <c r="M1743">
        <v>1</v>
      </c>
    </row>
    <row r="1744" spans="1:13">
      <c r="A1744" t="s">
        <v>14341</v>
      </c>
      <c r="B1744" t="s">
        <v>7877</v>
      </c>
      <c r="C1744" s="34" t="s">
        <v>14342</v>
      </c>
      <c r="F1744" t="s">
        <v>14343</v>
      </c>
      <c r="G1744" t="s">
        <v>6932</v>
      </c>
      <c r="H1744">
        <v>5</v>
      </c>
      <c r="I1744">
        <f>VLOOKUP(B1744,BRAND!B:D,3,FALSE)</f>
        <v>0</v>
      </c>
      <c r="J1744">
        <f t="shared" si="21"/>
        <v>21</v>
      </c>
      <c r="K1744" t="s">
        <v>821</v>
      </c>
      <c r="L1744">
        <v>0</v>
      </c>
      <c r="M1744">
        <v>1</v>
      </c>
    </row>
    <row r="1745" spans="1:13">
      <c r="A1745" t="s">
        <v>14366</v>
      </c>
      <c r="B1745" t="s">
        <v>7877</v>
      </c>
      <c r="C1745" s="34" t="s">
        <v>14367</v>
      </c>
      <c r="F1745" t="s">
        <v>14368</v>
      </c>
      <c r="G1745" t="s">
        <v>6932</v>
      </c>
      <c r="H1745">
        <v>5</v>
      </c>
      <c r="I1745">
        <f>VLOOKUP(B1745,BRAND!B:D,3,FALSE)</f>
        <v>0</v>
      </c>
      <c r="J1745">
        <f t="shared" si="21"/>
        <v>16</v>
      </c>
      <c r="K1745" t="s">
        <v>821</v>
      </c>
      <c r="L1745">
        <v>0</v>
      </c>
      <c r="M1745">
        <v>1</v>
      </c>
    </row>
    <row r="1746" spans="1:13">
      <c r="A1746" t="s">
        <v>14360</v>
      </c>
      <c r="B1746" t="s">
        <v>7877</v>
      </c>
      <c r="C1746" s="34" t="s">
        <v>14361</v>
      </c>
      <c r="F1746" t="s">
        <v>14362</v>
      </c>
      <c r="G1746" t="s">
        <v>6932</v>
      </c>
      <c r="H1746">
        <v>5</v>
      </c>
      <c r="I1746">
        <f>VLOOKUP(B1746,BRAND!B:D,3,FALSE)</f>
        <v>0</v>
      </c>
      <c r="J1746">
        <f t="shared" si="21"/>
        <v>12</v>
      </c>
      <c r="K1746" t="s">
        <v>821</v>
      </c>
      <c r="L1746">
        <v>0</v>
      </c>
      <c r="M1746">
        <v>1</v>
      </c>
    </row>
    <row r="1747" spans="1:13">
      <c r="A1747" t="s">
        <v>14338</v>
      </c>
      <c r="B1747" t="s">
        <v>7877</v>
      </c>
      <c r="C1747" s="34" t="s">
        <v>14339</v>
      </c>
      <c r="F1747" t="s">
        <v>14340</v>
      </c>
      <c r="G1747" t="s">
        <v>6932</v>
      </c>
      <c r="H1747">
        <v>5</v>
      </c>
      <c r="I1747">
        <f>VLOOKUP(B1747,BRAND!B:D,3,FALSE)</f>
        <v>0</v>
      </c>
      <c r="J1747">
        <f t="shared" si="21"/>
        <v>12</v>
      </c>
      <c r="K1747" t="s">
        <v>821</v>
      </c>
      <c r="L1747">
        <v>0</v>
      </c>
      <c r="M1747">
        <v>1</v>
      </c>
    </row>
    <row r="1748" spans="1:13">
      <c r="A1748" t="s">
        <v>14326</v>
      </c>
      <c r="B1748" t="s">
        <v>7877</v>
      </c>
      <c r="C1748" s="34" t="s">
        <v>14327</v>
      </c>
      <c r="F1748" t="s">
        <v>14328</v>
      </c>
      <c r="G1748" t="s">
        <v>6932</v>
      </c>
      <c r="H1748">
        <v>5</v>
      </c>
      <c r="I1748">
        <f>VLOOKUP(B1748,BRAND!B:D,3,FALSE)</f>
        <v>0</v>
      </c>
      <c r="J1748">
        <f t="shared" si="21"/>
        <v>12</v>
      </c>
      <c r="K1748" t="s">
        <v>821</v>
      </c>
      <c r="L1748">
        <v>0</v>
      </c>
      <c r="M1748">
        <v>1</v>
      </c>
    </row>
    <row r="1749" spans="1:13">
      <c r="A1749" t="s">
        <v>14353</v>
      </c>
      <c r="B1749" t="s">
        <v>7877</v>
      </c>
      <c r="C1749" s="34" t="s">
        <v>14354</v>
      </c>
      <c r="F1749" t="s">
        <v>14355</v>
      </c>
      <c r="G1749" t="s">
        <v>6932</v>
      </c>
      <c r="H1749">
        <v>5</v>
      </c>
      <c r="I1749">
        <f>VLOOKUP(B1749,BRAND!B:D,3,FALSE)</f>
        <v>0</v>
      </c>
      <c r="J1749">
        <f t="shared" si="21"/>
        <v>12</v>
      </c>
      <c r="K1749" t="s">
        <v>821</v>
      </c>
      <c r="L1749">
        <v>0</v>
      </c>
      <c r="M1749">
        <v>1</v>
      </c>
    </row>
    <row r="1750" spans="1:13">
      <c r="A1750" t="s">
        <v>14344</v>
      </c>
      <c r="B1750" t="s">
        <v>7877</v>
      </c>
      <c r="C1750" s="34" t="s">
        <v>8174</v>
      </c>
      <c r="F1750" t="s">
        <v>8174</v>
      </c>
      <c r="G1750" t="s">
        <v>6932</v>
      </c>
      <c r="H1750">
        <v>5</v>
      </c>
      <c r="I1750">
        <f>VLOOKUP(B1750,BRAND!B:D,3,FALSE)</f>
        <v>0</v>
      </c>
      <c r="J1750">
        <f t="shared" si="21"/>
        <v>11</v>
      </c>
      <c r="K1750" t="s">
        <v>821</v>
      </c>
      <c r="L1750">
        <v>0</v>
      </c>
      <c r="M1750">
        <v>1</v>
      </c>
    </row>
    <row r="1751" spans="1:13">
      <c r="A1751" t="s">
        <v>14331</v>
      </c>
      <c r="B1751" t="s">
        <v>7877</v>
      </c>
      <c r="C1751" s="34" t="s">
        <v>14332</v>
      </c>
      <c r="F1751" t="s">
        <v>14333</v>
      </c>
      <c r="G1751" t="s">
        <v>6932</v>
      </c>
      <c r="H1751">
        <v>5</v>
      </c>
      <c r="I1751">
        <f>VLOOKUP(B1751,BRAND!B:D,3,FALSE)</f>
        <v>0</v>
      </c>
      <c r="J1751">
        <f t="shared" si="21"/>
        <v>11</v>
      </c>
      <c r="K1751" t="s">
        <v>821</v>
      </c>
      <c r="L1751">
        <v>0</v>
      </c>
      <c r="M1751">
        <v>1</v>
      </c>
    </row>
    <row r="1752" spans="1:13">
      <c r="A1752" t="s">
        <v>14365</v>
      </c>
      <c r="B1752" t="s">
        <v>7877</v>
      </c>
      <c r="C1752" s="34" t="s">
        <v>6364</v>
      </c>
      <c r="F1752" t="s">
        <v>5625</v>
      </c>
      <c r="G1752" t="s">
        <v>6932</v>
      </c>
      <c r="H1752">
        <v>5</v>
      </c>
      <c r="I1752">
        <f>VLOOKUP(B1752,BRAND!B:D,3,FALSE)</f>
        <v>0</v>
      </c>
      <c r="J1752">
        <f t="shared" si="21"/>
        <v>10</v>
      </c>
      <c r="K1752" t="s">
        <v>821</v>
      </c>
      <c r="L1752">
        <v>0</v>
      </c>
      <c r="M1752">
        <v>1</v>
      </c>
    </row>
    <row r="1753" spans="1:13">
      <c r="A1753" t="s">
        <v>14324</v>
      </c>
      <c r="B1753" t="s">
        <v>7877</v>
      </c>
      <c r="C1753" s="34" t="s">
        <v>755</v>
      </c>
      <c r="F1753" t="s">
        <v>14325</v>
      </c>
      <c r="G1753" t="s">
        <v>6932</v>
      </c>
      <c r="H1753">
        <v>5</v>
      </c>
      <c r="I1753">
        <f>VLOOKUP(B1753,BRAND!B:D,3,FALSE)</f>
        <v>0</v>
      </c>
      <c r="J1753">
        <f t="shared" si="21"/>
        <v>10</v>
      </c>
      <c r="K1753" t="s">
        <v>821</v>
      </c>
      <c r="L1753">
        <v>0</v>
      </c>
      <c r="M1753">
        <v>1</v>
      </c>
    </row>
    <row r="1754" spans="1:13">
      <c r="A1754" t="s">
        <v>14336</v>
      </c>
      <c r="B1754" t="s">
        <v>7877</v>
      </c>
      <c r="C1754" s="34" t="s">
        <v>842</v>
      </c>
      <c r="F1754" t="s">
        <v>14337</v>
      </c>
      <c r="G1754" t="s">
        <v>6932</v>
      </c>
      <c r="H1754">
        <v>5</v>
      </c>
      <c r="I1754">
        <f>VLOOKUP(B1754,BRAND!B:D,3,FALSE)</f>
        <v>0</v>
      </c>
      <c r="J1754">
        <f t="shared" si="21"/>
        <v>9</v>
      </c>
      <c r="K1754" t="s">
        <v>821</v>
      </c>
      <c r="L1754">
        <v>0</v>
      </c>
      <c r="M1754">
        <v>1</v>
      </c>
    </row>
    <row r="1755" spans="1:13">
      <c r="A1755" t="s">
        <v>14348</v>
      </c>
      <c r="B1755" t="s">
        <v>7877</v>
      </c>
      <c r="C1755" s="34" t="s">
        <v>14349</v>
      </c>
      <c r="F1755" t="s">
        <v>14349</v>
      </c>
      <c r="G1755" t="s">
        <v>6932</v>
      </c>
      <c r="H1755">
        <v>5</v>
      </c>
      <c r="I1755">
        <f>VLOOKUP(B1755,BRAND!B:D,3,FALSE)</f>
        <v>0</v>
      </c>
      <c r="J1755">
        <f t="shared" si="21"/>
        <v>9</v>
      </c>
      <c r="K1755" t="s">
        <v>821</v>
      </c>
      <c r="L1755">
        <v>0</v>
      </c>
      <c r="M1755">
        <v>1</v>
      </c>
    </row>
    <row r="1756" spans="1:13">
      <c r="A1756" t="s">
        <v>14323</v>
      </c>
      <c r="B1756" t="s">
        <v>7877</v>
      </c>
      <c r="C1756" s="34" t="s">
        <v>12855</v>
      </c>
      <c r="F1756" t="s">
        <v>12856</v>
      </c>
      <c r="G1756" t="s">
        <v>6932</v>
      </c>
      <c r="H1756">
        <v>5</v>
      </c>
      <c r="I1756">
        <f>VLOOKUP(B1756,BRAND!B:D,3,FALSE)</f>
        <v>0</v>
      </c>
      <c r="J1756">
        <f t="shared" si="21"/>
        <v>8</v>
      </c>
      <c r="K1756" t="s">
        <v>821</v>
      </c>
      <c r="L1756">
        <v>0</v>
      </c>
      <c r="M1756">
        <v>1</v>
      </c>
    </row>
    <row r="1757" spans="1:13">
      <c r="A1757" t="s">
        <v>14345</v>
      </c>
      <c r="B1757" t="s">
        <v>7877</v>
      </c>
      <c r="C1757" s="34" t="s">
        <v>14346</v>
      </c>
      <c r="F1757" t="s">
        <v>14346</v>
      </c>
      <c r="G1757" t="s">
        <v>6932</v>
      </c>
      <c r="H1757">
        <v>5</v>
      </c>
      <c r="I1757">
        <f>VLOOKUP(B1757,BRAND!B:D,3,FALSE)</f>
        <v>0</v>
      </c>
      <c r="J1757">
        <f t="shared" si="21"/>
        <v>8</v>
      </c>
      <c r="K1757" t="s">
        <v>821</v>
      </c>
      <c r="L1757">
        <v>0</v>
      </c>
      <c r="M1757">
        <v>1</v>
      </c>
    </row>
    <row r="1758" spans="1:13">
      <c r="A1758" t="s">
        <v>14359</v>
      </c>
      <c r="B1758" t="s">
        <v>7877</v>
      </c>
      <c r="C1758" s="34" t="s">
        <v>777</v>
      </c>
      <c r="F1758" t="s">
        <v>777</v>
      </c>
      <c r="G1758" t="s">
        <v>6932</v>
      </c>
      <c r="H1758">
        <v>5</v>
      </c>
      <c r="I1758">
        <f>VLOOKUP(B1758,BRAND!B:D,3,FALSE)</f>
        <v>0</v>
      </c>
      <c r="J1758">
        <f t="shared" si="21"/>
        <v>7</v>
      </c>
      <c r="K1758" t="s">
        <v>821</v>
      </c>
      <c r="L1758">
        <v>0</v>
      </c>
      <c r="M1758">
        <v>1</v>
      </c>
    </row>
    <row r="1759" spans="1:13">
      <c r="A1759" t="s">
        <v>14363</v>
      </c>
      <c r="B1759" t="s">
        <v>7877</v>
      </c>
      <c r="C1759" s="34" t="s">
        <v>14364</v>
      </c>
      <c r="F1759" t="s">
        <v>14364</v>
      </c>
      <c r="G1759" t="s">
        <v>6932</v>
      </c>
      <c r="H1759">
        <v>5</v>
      </c>
      <c r="I1759">
        <f>VLOOKUP(B1759,BRAND!B:D,3,FALSE)</f>
        <v>0</v>
      </c>
      <c r="J1759">
        <f t="shared" si="21"/>
        <v>7</v>
      </c>
      <c r="K1759" t="s">
        <v>821</v>
      </c>
      <c r="L1759">
        <v>0</v>
      </c>
      <c r="M1759">
        <v>1</v>
      </c>
    </row>
    <row r="1760" spans="1:13">
      <c r="A1760" t="s">
        <v>14347</v>
      </c>
      <c r="B1760" t="s">
        <v>7877</v>
      </c>
      <c r="C1760" s="34" t="s">
        <v>10415</v>
      </c>
      <c r="F1760" t="s">
        <v>10415</v>
      </c>
      <c r="G1760" t="s">
        <v>6932</v>
      </c>
      <c r="H1760">
        <v>5</v>
      </c>
      <c r="I1760">
        <f>VLOOKUP(B1760,BRAND!B:D,3,FALSE)</f>
        <v>0</v>
      </c>
      <c r="J1760">
        <f t="shared" si="21"/>
        <v>5</v>
      </c>
      <c r="K1760" t="s">
        <v>821</v>
      </c>
      <c r="L1760">
        <v>0</v>
      </c>
      <c r="M1760">
        <v>1</v>
      </c>
    </row>
    <row r="1761" spans="1:13">
      <c r="A1761" t="s">
        <v>14322</v>
      </c>
      <c r="B1761" t="s">
        <v>7877</v>
      </c>
      <c r="C1761" s="34" t="s">
        <v>900</v>
      </c>
      <c r="F1761" t="s">
        <v>900</v>
      </c>
      <c r="G1761" t="s">
        <v>6932</v>
      </c>
      <c r="H1761">
        <v>5</v>
      </c>
      <c r="I1761">
        <f>VLOOKUP(B1761,BRAND!B:D,3,FALSE)</f>
        <v>0</v>
      </c>
      <c r="J1761">
        <f t="shared" si="21"/>
        <v>5</v>
      </c>
      <c r="K1761" t="s">
        <v>821</v>
      </c>
      <c r="L1761">
        <v>0</v>
      </c>
      <c r="M1761">
        <v>1</v>
      </c>
    </row>
    <row r="1762" spans="1:13">
      <c r="A1762" t="s">
        <v>7876</v>
      </c>
      <c r="B1762" t="s">
        <v>7877</v>
      </c>
      <c r="C1762" s="34" t="s">
        <v>1438</v>
      </c>
      <c r="F1762" t="s">
        <v>1438</v>
      </c>
      <c r="G1762" t="s">
        <v>6932</v>
      </c>
      <c r="H1762">
        <v>5</v>
      </c>
      <c r="I1762">
        <f>VLOOKUP(B1762,BRAND!B:D,3,FALSE)</f>
        <v>0</v>
      </c>
      <c r="J1762">
        <v>4</v>
      </c>
      <c r="M1762">
        <v>1</v>
      </c>
    </row>
    <row r="1763" spans="1:13">
      <c r="A1763" t="s">
        <v>14897</v>
      </c>
      <c r="B1763" t="s">
        <v>7877</v>
      </c>
      <c r="C1763" s="34" t="s">
        <v>14898</v>
      </c>
      <c r="F1763" t="s">
        <v>14898</v>
      </c>
      <c r="G1763" t="s">
        <v>801</v>
      </c>
      <c r="H1763">
        <v>5</v>
      </c>
      <c r="I1763">
        <f>VLOOKUP(B1763,BRAND!B:D,3,FALSE)</f>
        <v>0</v>
      </c>
      <c r="J1763">
        <v>0</v>
      </c>
      <c r="K1763" t="s">
        <v>821</v>
      </c>
      <c r="L1763">
        <v>0</v>
      </c>
      <c r="M1763">
        <v>0</v>
      </c>
    </row>
    <row r="1764" spans="1:13">
      <c r="A1764" t="s">
        <v>14899</v>
      </c>
      <c r="B1764" t="s">
        <v>7877</v>
      </c>
      <c r="C1764" s="34" t="s">
        <v>561</v>
      </c>
      <c r="F1764" t="s">
        <v>561</v>
      </c>
      <c r="G1764" t="s">
        <v>801</v>
      </c>
      <c r="H1764">
        <v>5</v>
      </c>
      <c r="I1764">
        <f>VLOOKUP(B1764,BRAND!B:D,3,FALSE)</f>
        <v>0</v>
      </c>
      <c r="J1764">
        <v>0</v>
      </c>
      <c r="K1764" t="s">
        <v>821</v>
      </c>
      <c r="L1764">
        <v>0</v>
      </c>
      <c r="M1764">
        <v>0</v>
      </c>
    </row>
    <row r="1765" spans="1:13">
      <c r="A1765" t="s">
        <v>14900</v>
      </c>
      <c r="B1765" t="s">
        <v>7877</v>
      </c>
      <c r="C1765" s="34" t="s">
        <v>14901</v>
      </c>
      <c r="F1765" t="s">
        <v>14901</v>
      </c>
      <c r="G1765" t="s">
        <v>6932</v>
      </c>
      <c r="H1765">
        <v>5</v>
      </c>
      <c r="I1765">
        <f>VLOOKUP(B1765,BRAND!B:D,3,FALSE)</f>
        <v>0</v>
      </c>
      <c r="J1765">
        <v>0</v>
      </c>
      <c r="K1765" t="s">
        <v>821</v>
      </c>
      <c r="L1765">
        <v>0</v>
      </c>
      <c r="M1765">
        <v>0</v>
      </c>
    </row>
    <row r="1766" spans="1:13">
      <c r="A1766" t="s">
        <v>14902</v>
      </c>
      <c r="B1766" t="s">
        <v>7877</v>
      </c>
      <c r="C1766" s="34" t="s">
        <v>777</v>
      </c>
      <c r="F1766" t="s">
        <v>777</v>
      </c>
      <c r="G1766" t="s">
        <v>801</v>
      </c>
      <c r="H1766">
        <v>5</v>
      </c>
      <c r="I1766">
        <f>VLOOKUP(B1766,BRAND!B:D,3,FALSE)</f>
        <v>0</v>
      </c>
      <c r="J1766">
        <v>0</v>
      </c>
      <c r="K1766" t="s">
        <v>821</v>
      </c>
      <c r="L1766">
        <v>0</v>
      </c>
      <c r="M1766">
        <v>0</v>
      </c>
    </row>
    <row r="1767" spans="1:13">
      <c r="A1767" t="s">
        <v>14903</v>
      </c>
      <c r="B1767" t="s">
        <v>7877</v>
      </c>
      <c r="C1767" s="34" t="s">
        <v>11306</v>
      </c>
      <c r="F1767" t="s">
        <v>11306</v>
      </c>
      <c r="G1767" t="s">
        <v>801</v>
      </c>
      <c r="H1767">
        <v>5</v>
      </c>
      <c r="I1767">
        <f>VLOOKUP(B1767,BRAND!B:D,3,FALSE)</f>
        <v>0</v>
      </c>
      <c r="J1767">
        <v>0</v>
      </c>
      <c r="K1767" t="s">
        <v>821</v>
      </c>
      <c r="L1767">
        <v>0</v>
      </c>
      <c r="M1767">
        <v>0</v>
      </c>
    </row>
    <row r="1768" spans="1:13">
      <c r="A1768" t="s">
        <v>14904</v>
      </c>
      <c r="B1768" t="s">
        <v>7877</v>
      </c>
      <c r="C1768" s="34" t="s">
        <v>561</v>
      </c>
      <c r="D1768" t="s">
        <v>1965</v>
      </c>
      <c r="F1768" t="s">
        <v>14905</v>
      </c>
      <c r="G1768" t="s">
        <v>6932</v>
      </c>
      <c r="H1768">
        <v>5</v>
      </c>
      <c r="I1768">
        <f>VLOOKUP(B1768,BRAND!B:D,3,FALSE)</f>
        <v>0</v>
      </c>
      <c r="J1768">
        <v>0</v>
      </c>
      <c r="K1768" t="s">
        <v>821</v>
      </c>
      <c r="L1768">
        <v>0</v>
      </c>
      <c r="M1768">
        <v>0</v>
      </c>
    </row>
    <row r="1769" spans="1:13">
      <c r="A1769" t="s">
        <v>14906</v>
      </c>
      <c r="B1769" t="s">
        <v>7877</v>
      </c>
      <c r="C1769" s="34" t="s">
        <v>753</v>
      </c>
      <c r="F1769" t="s">
        <v>753</v>
      </c>
      <c r="G1769" t="s">
        <v>6932</v>
      </c>
      <c r="H1769">
        <v>5</v>
      </c>
      <c r="I1769">
        <f>VLOOKUP(B1769,BRAND!B:D,3,FALSE)</f>
        <v>0</v>
      </c>
      <c r="J1769">
        <v>0</v>
      </c>
      <c r="K1769" t="s">
        <v>821</v>
      </c>
      <c r="L1769">
        <v>0</v>
      </c>
      <c r="M1769">
        <v>0</v>
      </c>
    </row>
    <row r="1770" spans="1:13">
      <c r="A1770" t="s">
        <v>9028</v>
      </c>
      <c r="B1770" t="s">
        <v>9029</v>
      </c>
      <c r="C1770" s="34" t="s">
        <v>1438</v>
      </c>
      <c r="F1770" t="s">
        <v>1438</v>
      </c>
      <c r="G1770" t="s">
        <v>6932</v>
      </c>
      <c r="H1770">
        <v>5</v>
      </c>
      <c r="I1770">
        <f>VLOOKUP(B1770,BRAND!B:D,3,FALSE)</f>
        <v>5.5</v>
      </c>
      <c r="J1770">
        <v>4</v>
      </c>
      <c r="M1770">
        <v>1</v>
      </c>
    </row>
    <row r="1771" spans="1:13">
      <c r="A1771" t="s">
        <v>9034</v>
      </c>
      <c r="B1771" t="s">
        <v>9035</v>
      </c>
      <c r="C1771" s="34" t="s">
        <v>1438</v>
      </c>
      <c r="F1771" t="s">
        <v>1438</v>
      </c>
      <c r="G1771" t="s">
        <v>6932</v>
      </c>
      <c r="H1771">
        <v>5</v>
      </c>
      <c r="I1771">
        <f>VLOOKUP(B1771,BRAND!B:D,3,FALSE)</f>
        <v>5.5</v>
      </c>
      <c r="J1771">
        <v>4</v>
      </c>
      <c r="M1771">
        <v>1</v>
      </c>
    </row>
    <row r="1772" spans="1:13">
      <c r="A1772" t="s">
        <v>10058</v>
      </c>
      <c r="B1772" t="s">
        <v>1387</v>
      </c>
      <c r="C1772" s="34" t="s">
        <v>5332</v>
      </c>
      <c r="F1772" t="s">
        <v>5332</v>
      </c>
      <c r="H1772">
        <v>5</v>
      </c>
      <c r="I1772">
        <f>VLOOKUP(B1772,BRAND!B:D,3,FALSE)</f>
        <v>0</v>
      </c>
      <c r="J1772">
        <f>LEN(F1772)</f>
        <v>11</v>
      </c>
      <c r="K1772" t="e">
        <v>#N/A</v>
      </c>
      <c r="M1772">
        <v>0</v>
      </c>
    </row>
    <row r="1773" spans="1:13">
      <c r="A1773" t="s">
        <v>10059</v>
      </c>
      <c r="B1773" t="s">
        <v>1387</v>
      </c>
      <c r="C1773" s="34" t="s">
        <v>5334</v>
      </c>
      <c r="F1773" t="s">
        <v>5334</v>
      </c>
      <c r="H1773">
        <v>5</v>
      </c>
      <c r="I1773">
        <f>VLOOKUP(B1773,BRAND!B:D,3,FALSE)</f>
        <v>0</v>
      </c>
      <c r="J1773">
        <v>7</v>
      </c>
      <c r="K1773" t="e">
        <v>#N/A</v>
      </c>
      <c r="M1773">
        <v>0</v>
      </c>
    </row>
    <row r="1774" spans="1:13">
      <c r="A1774" t="s">
        <v>9592</v>
      </c>
      <c r="B1774" t="s">
        <v>1387</v>
      </c>
      <c r="C1774" s="34" t="s">
        <v>1999</v>
      </c>
      <c r="F1774" t="s">
        <v>1999</v>
      </c>
      <c r="H1774">
        <v>5</v>
      </c>
      <c r="I1774">
        <f>VLOOKUP(B1774,BRAND!B:D,3,FALSE)</f>
        <v>0</v>
      </c>
      <c r="J1774">
        <v>7</v>
      </c>
      <c r="M1774">
        <v>1</v>
      </c>
    </row>
    <row r="1775" spans="1:13">
      <c r="A1775" t="s">
        <v>10060</v>
      </c>
      <c r="B1775" t="s">
        <v>1387</v>
      </c>
      <c r="C1775" s="34" t="s">
        <v>5331</v>
      </c>
      <c r="F1775" t="s">
        <v>5331</v>
      </c>
      <c r="H1775">
        <v>5</v>
      </c>
      <c r="I1775">
        <f>VLOOKUP(B1775,BRAND!B:D,3,FALSE)</f>
        <v>0</v>
      </c>
      <c r="J1775">
        <v>6</v>
      </c>
      <c r="K1775" t="e">
        <v>#N/A</v>
      </c>
      <c r="M1775">
        <v>0</v>
      </c>
    </row>
    <row r="1776" spans="1:13">
      <c r="A1776" t="s">
        <v>10839</v>
      </c>
      <c r="B1776" t="s">
        <v>1387</v>
      </c>
      <c r="C1776" s="34" t="s">
        <v>10838</v>
      </c>
      <c r="F1776" t="s">
        <v>534</v>
      </c>
      <c r="H1776">
        <v>5</v>
      </c>
      <c r="I1776">
        <f>VLOOKUP(B1776,BRAND!B:D,3,FALSE)</f>
        <v>0</v>
      </c>
      <c r="J1776">
        <v>6</v>
      </c>
      <c r="K1776" t="e">
        <v>#N/A</v>
      </c>
      <c r="M1776">
        <v>0</v>
      </c>
    </row>
    <row r="1777" spans="1:13">
      <c r="A1777" t="s">
        <v>10061</v>
      </c>
      <c r="B1777" t="s">
        <v>1387</v>
      </c>
      <c r="C1777" s="34" t="s">
        <v>536</v>
      </c>
      <c r="F1777" t="s">
        <v>536</v>
      </c>
      <c r="H1777">
        <v>5</v>
      </c>
      <c r="I1777">
        <f>VLOOKUP(B1777,BRAND!B:D,3,FALSE)</f>
        <v>0</v>
      </c>
      <c r="J1777">
        <v>5</v>
      </c>
      <c r="K1777" t="e">
        <v>#N/A</v>
      </c>
      <c r="M1777">
        <v>0</v>
      </c>
    </row>
    <row r="1778" spans="1:13">
      <c r="A1778" t="s">
        <v>10062</v>
      </c>
      <c r="B1778" t="s">
        <v>1387</v>
      </c>
      <c r="C1778" s="34" t="s">
        <v>5330</v>
      </c>
      <c r="F1778" t="s">
        <v>5330</v>
      </c>
      <c r="H1778">
        <v>5</v>
      </c>
      <c r="I1778">
        <f>VLOOKUP(B1778,BRAND!B:D,3,FALSE)</f>
        <v>0</v>
      </c>
      <c r="J1778">
        <v>5</v>
      </c>
      <c r="K1778" t="e">
        <v>#N/A</v>
      </c>
      <c r="M1778">
        <v>0</v>
      </c>
    </row>
    <row r="1779" spans="1:13">
      <c r="A1779" t="s">
        <v>10063</v>
      </c>
      <c r="B1779" t="s">
        <v>1387</v>
      </c>
      <c r="C1779" s="34" t="s">
        <v>5328</v>
      </c>
      <c r="F1779" t="s">
        <v>5328</v>
      </c>
      <c r="H1779">
        <v>5</v>
      </c>
      <c r="I1779">
        <f>VLOOKUP(B1779,BRAND!B:D,3,FALSE)</f>
        <v>0</v>
      </c>
      <c r="J1779">
        <v>5</v>
      </c>
      <c r="K1779" t="e">
        <v>#N/A</v>
      </c>
      <c r="M1779">
        <v>0</v>
      </c>
    </row>
    <row r="1780" spans="1:13">
      <c r="A1780" t="s">
        <v>3825</v>
      </c>
      <c r="B1780" t="s">
        <v>1387</v>
      </c>
      <c r="C1780" s="34" t="s">
        <v>776</v>
      </c>
      <c r="F1780" t="s">
        <v>776</v>
      </c>
      <c r="H1780">
        <v>5</v>
      </c>
      <c r="I1780">
        <f>VLOOKUP(B1780,BRAND!B:D,3,FALSE)</f>
        <v>0</v>
      </c>
      <c r="J1780">
        <v>5</v>
      </c>
      <c r="K1780" t="e">
        <v>#N/A</v>
      </c>
      <c r="M1780">
        <v>0</v>
      </c>
    </row>
    <row r="1781" spans="1:13">
      <c r="A1781" t="s">
        <v>7878</v>
      </c>
      <c r="B1781" t="s">
        <v>1387</v>
      </c>
      <c r="C1781" s="34" t="s">
        <v>7879</v>
      </c>
      <c r="F1781" t="s">
        <v>7879</v>
      </c>
      <c r="G1781" t="s">
        <v>6932</v>
      </c>
      <c r="H1781">
        <v>5</v>
      </c>
      <c r="I1781">
        <f>VLOOKUP(B1781,BRAND!B:D,3,FALSE)</f>
        <v>0</v>
      </c>
      <c r="J1781">
        <v>5</v>
      </c>
      <c r="M1781">
        <v>1</v>
      </c>
    </row>
    <row r="1782" spans="1:13">
      <c r="A1782" t="s">
        <v>7880</v>
      </c>
      <c r="B1782" t="s">
        <v>1387</v>
      </c>
      <c r="C1782" s="34" t="s">
        <v>7881</v>
      </c>
      <c r="F1782" t="s">
        <v>7881</v>
      </c>
      <c r="G1782" t="s">
        <v>6932</v>
      </c>
      <c r="H1782">
        <v>5</v>
      </c>
      <c r="I1782">
        <f>VLOOKUP(B1782,BRAND!B:D,3,FALSE)</f>
        <v>0</v>
      </c>
      <c r="J1782">
        <v>5</v>
      </c>
      <c r="M1782">
        <v>1</v>
      </c>
    </row>
    <row r="1783" spans="1:13">
      <c r="A1783" t="s">
        <v>10064</v>
      </c>
      <c r="B1783" t="s">
        <v>1387</v>
      </c>
      <c r="C1783" s="34" t="s">
        <v>5329</v>
      </c>
      <c r="F1783" t="s">
        <v>5329</v>
      </c>
      <c r="H1783">
        <v>5</v>
      </c>
      <c r="I1783">
        <f>VLOOKUP(B1783,BRAND!B:D,3,FALSE)</f>
        <v>0</v>
      </c>
      <c r="J1783">
        <v>4</v>
      </c>
      <c r="K1783" t="e">
        <v>#N/A</v>
      </c>
      <c r="M1783">
        <v>0</v>
      </c>
    </row>
    <row r="1784" spans="1:13">
      <c r="A1784" t="s">
        <v>10065</v>
      </c>
      <c r="B1784" t="s">
        <v>1387</v>
      </c>
      <c r="C1784" s="34" t="s">
        <v>778</v>
      </c>
      <c r="F1784" t="s">
        <v>778</v>
      </c>
      <c r="H1784">
        <v>5</v>
      </c>
      <c r="I1784">
        <f>VLOOKUP(B1784,BRAND!B:D,3,FALSE)</f>
        <v>0</v>
      </c>
      <c r="J1784">
        <v>4</v>
      </c>
      <c r="K1784" t="e">
        <v>#N/A</v>
      </c>
      <c r="M1784">
        <v>0</v>
      </c>
    </row>
    <row r="1785" spans="1:13">
      <c r="A1785" t="s">
        <v>10066</v>
      </c>
      <c r="B1785" t="s">
        <v>1387</v>
      </c>
      <c r="C1785" s="34" t="s">
        <v>5364</v>
      </c>
      <c r="F1785" t="s">
        <v>5364</v>
      </c>
      <c r="H1785">
        <v>5</v>
      </c>
      <c r="I1785">
        <f>VLOOKUP(B1785,BRAND!B:D,3,FALSE)</f>
        <v>0</v>
      </c>
      <c r="J1785">
        <v>4</v>
      </c>
      <c r="K1785" t="e">
        <v>#N/A</v>
      </c>
      <c r="M1785">
        <v>0</v>
      </c>
    </row>
    <row r="1786" spans="1:13">
      <c r="A1786" t="s">
        <v>7882</v>
      </c>
      <c r="B1786" t="s">
        <v>1387</v>
      </c>
      <c r="C1786" s="34" t="s">
        <v>561</v>
      </c>
      <c r="F1786" t="s">
        <v>561</v>
      </c>
      <c r="H1786">
        <v>5</v>
      </c>
      <c r="I1786">
        <f>VLOOKUP(B1786,BRAND!B:D,3,FALSE)</f>
        <v>0</v>
      </c>
      <c r="J1786">
        <v>3</v>
      </c>
      <c r="K1786" t="e">
        <v>#N/A</v>
      </c>
      <c r="M1786">
        <v>1</v>
      </c>
    </row>
    <row r="1787" spans="1:13">
      <c r="A1787" t="s">
        <v>10764</v>
      </c>
      <c r="B1787" t="s">
        <v>1387</v>
      </c>
      <c r="C1787" s="34" t="s">
        <v>781</v>
      </c>
      <c r="F1787" t="s">
        <v>781</v>
      </c>
      <c r="H1787">
        <v>5</v>
      </c>
    </row>
    <row r="1788" spans="1:13">
      <c r="A1788" t="s">
        <v>10765</v>
      </c>
      <c r="B1788" t="s">
        <v>1387</v>
      </c>
      <c r="C1788" s="34" t="s">
        <v>10890</v>
      </c>
      <c r="F1788" t="s">
        <v>776</v>
      </c>
      <c r="G1788" t="s">
        <v>801</v>
      </c>
      <c r="H1788">
        <v>5</v>
      </c>
    </row>
    <row r="1789" spans="1:13">
      <c r="A1789" t="str">
        <f>B1789&amp;" | "&amp;F1789&amp;" | "&amp;G1789</f>
        <v xml:space="preserve">BROUWERIJ_T_IJ | CALYPSO | </v>
      </c>
      <c r="B1789" t="s">
        <v>1387</v>
      </c>
      <c r="C1789" t="s">
        <v>5334</v>
      </c>
      <c r="F1789" t="s">
        <v>5334</v>
      </c>
      <c r="H1789">
        <v>5</v>
      </c>
    </row>
    <row r="1790" spans="1:13">
      <c r="A1790" t="str">
        <f>B1790&amp;" | "&amp;F1790&amp;" | "&amp;G1790</f>
        <v xml:space="preserve">BROUWERIJ_T_IJ | BLOND | </v>
      </c>
      <c r="B1790" t="s">
        <v>1387</v>
      </c>
      <c r="C1790" t="s">
        <v>536</v>
      </c>
      <c r="F1790" t="s">
        <v>536</v>
      </c>
      <c r="H1790">
        <v>5</v>
      </c>
    </row>
    <row r="1791" spans="1:13">
      <c r="A1791" t="str">
        <f>B1791&amp;" | "&amp;F1791&amp;" | "&amp;G1791</f>
        <v xml:space="preserve">BROUWERIJ_T_IJ | NIJPA | </v>
      </c>
      <c r="B1791" t="s">
        <v>1387</v>
      </c>
      <c r="C1791" t="s">
        <v>5328</v>
      </c>
      <c r="F1791" t="s">
        <v>5328</v>
      </c>
      <c r="H1791">
        <v>5</v>
      </c>
    </row>
    <row r="1792" spans="1:13">
      <c r="A1792" t="str">
        <f>B1792&amp;" | "&amp;F1792&amp;" | "&amp;G1792</f>
        <v xml:space="preserve">BROUWERIJ_T_IJ | TURBO | </v>
      </c>
      <c r="B1792" t="s">
        <v>1387</v>
      </c>
      <c r="C1792" t="s">
        <v>10685</v>
      </c>
      <c r="F1792" t="s">
        <v>10685</v>
      </c>
      <c r="H1792">
        <v>5</v>
      </c>
    </row>
    <row r="1793" spans="1:13">
      <c r="A1793" t="s">
        <v>10768</v>
      </c>
      <c r="B1793" t="s">
        <v>10767</v>
      </c>
      <c r="C1793" s="34" t="s">
        <v>5512</v>
      </c>
      <c r="F1793" t="s">
        <v>5512</v>
      </c>
      <c r="H1793">
        <v>5</v>
      </c>
    </row>
    <row r="1794" spans="1:13">
      <c r="A1794" t="s">
        <v>10769</v>
      </c>
      <c r="B1794" t="s">
        <v>10767</v>
      </c>
      <c r="C1794" s="34" t="s">
        <v>791</v>
      </c>
      <c r="F1794" t="s">
        <v>791</v>
      </c>
      <c r="H1794">
        <v>5</v>
      </c>
    </row>
    <row r="1795" spans="1:13">
      <c r="A1795" t="s">
        <v>10770</v>
      </c>
      <c r="B1795" t="s">
        <v>10767</v>
      </c>
      <c r="C1795" s="34" t="s">
        <v>742</v>
      </c>
      <c r="F1795" t="s">
        <v>742</v>
      </c>
      <c r="H1795">
        <v>5</v>
      </c>
    </row>
    <row r="1796" spans="1:13">
      <c r="A1796" t="s">
        <v>10766</v>
      </c>
      <c r="B1796" t="s">
        <v>10767</v>
      </c>
      <c r="C1796" s="34" t="s">
        <v>5374</v>
      </c>
      <c r="F1796" t="s">
        <v>777</v>
      </c>
      <c r="G1796" t="s">
        <v>801</v>
      </c>
      <c r="H1796">
        <v>6</v>
      </c>
    </row>
    <row r="1797" spans="1:13">
      <c r="A1797" t="s">
        <v>10766</v>
      </c>
      <c r="B1797" t="s">
        <v>10767</v>
      </c>
      <c r="C1797" s="34" t="s">
        <v>5374</v>
      </c>
      <c r="F1797" t="s">
        <v>777</v>
      </c>
      <c r="H1797">
        <v>6</v>
      </c>
    </row>
    <row r="1798" spans="1:13">
      <c r="A1798" t="s">
        <v>11386</v>
      </c>
      <c r="B1798" t="s">
        <v>10894</v>
      </c>
      <c r="C1798" s="34" t="s">
        <v>777</v>
      </c>
      <c r="F1798" t="s">
        <v>777</v>
      </c>
      <c r="H1798">
        <v>5</v>
      </c>
    </row>
    <row r="1799" spans="1:13">
      <c r="A1799" t="s">
        <v>5503</v>
      </c>
      <c r="B1799" t="s">
        <v>722</v>
      </c>
      <c r="C1799" s="34" t="s">
        <v>6436</v>
      </c>
      <c r="F1799" t="s">
        <v>1459</v>
      </c>
      <c r="H1799">
        <v>15</v>
      </c>
      <c r="I1799">
        <f>VLOOKUP(B1799,BRAND!B:D,3,FALSE)</f>
        <v>9</v>
      </c>
      <c r="J1799">
        <v>9</v>
      </c>
      <c r="K1799" t="s">
        <v>822</v>
      </c>
      <c r="M1799">
        <v>1</v>
      </c>
    </row>
    <row r="1800" spans="1:13">
      <c r="A1800" t="s">
        <v>5504</v>
      </c>
      <c r="B1800" t="s">
        <v>722</v>
      </c>
      <c r="C1800" s="34" t="s">
        <v>6435</v>
      </c>
      <c r="F1800" t="s">
        <v>5190</v>
      </c>
      <c r="H1800">
        <v>15</v>
      </c>
      <c r="I1800">
        <f>VLOOKUP(B1800,BRAND!B:D,3,FALSE)</f>
        <v>9</v>
      </c>
      <c r="J1800">
        <v>5</v>
      </c>
      <c r="K1800" t="s">
        <v>822</v>
      </c>
      <c r="M1800">
        <v>1</v>
      </c>
    </row>
    <row r="1801" spans="1:13">
      <c r="A1801" t="s">
        <v>4280</v>
      </c>
      <c r="B1801" t="s">
        <v>1890</v>
      </c>
      <c r="C1801" s="34" t="s">
        <v>534</v>
      </c>
      <c r="F1801" t="s">
        <v>534</v>
      </c>
      <c r="H1801">
        <v>5</v>
      </c>
      <c r="I1801">
        <f>VLOOKUP(B1801,BRAND!B:D,3,FALSE)</f>
        <v>5</v>
      </c>
      <c r="J1801">
        <v>6</v>
      </c>
      <c r="K1801" t="s">
        <v>821</v>
      </c>
      <c r="M1801">
        <v>0</v>
      </c>
    </row>
    <row r="1802" spans="1:13">
      <c r="A1802" t="s">
        <v>7883</v>
      </c>
      <c r="B1802" t="s">
        <v>7884</v>
      </c>
      <c r="C1802" s="34" t="s">
        <v>534</v>
      </c>
      <c r="F1802" t="s">
        <v>534</v>
      </c>
      <c r="G1802" t="s">
        <v>6932</v>
      </c>
      <c r="H1802">
        <v>5</v>
      </c>
      <c r="I1802">
        <f>VLOOKUP(B1802,BRAND!B:D,3,FALSE)</f>
        <v>5.5</v>
      </c>
      <c r="J1802">
        <v>6</v>
      </c>
      <c r="M1802">
        <v>1</v>
      </c>
    </row>
    <row r="1803" spans="1:13">
      <c r="A1803" t="s">
        <v>4560</v>
      </c>
      <c r="B1803" t="s">
        <v>29</v>
      </c>
      <c r="C1803" s="34" t="s">
        <v>794</v>
      </c>
      <c r="F1803" t="s">
        <v>794</v>
      </c>
      <c r="H1803">
        <v>5</v>
      </c>
      <c r="I1803">
        <f>VLOOKUP(B1803,BRAND!B:D,3,FALSE)</f>
        <v>3</v>
      </c>
      <c r="J1803">
        <f>LEN(F1803)</f>
        <v>10</v>
      </c>
      <c r="K1803" t="s">
        <v>821</v>
      </c>
      <c r="M1803">
        <v>0</v>
      </c>
    </row>
    <row r="1804" spans="1:13">
      <c r="A1804" t="s">
        <v>3980</v>
      </c>
      <c r="B1804" t="s">
        <v>29</v>
      </c>
      <c r="C1804" s="34" t="s">
        <v>534</v>
      </c>
      <c r="F1804" t="s">
        <v>534</v>
      </c>
      <c r="H1804">
        <v>5</v>
      </c>
      <c r="I1804">
        <f>VLOOKUP(B1804,BRAND!B:D,3,FALSE)</f>
        <v>3</v>
      </c>
      <c r="J1804">
        <v>6</v>
      </c>
      <c r="K1804" t="s">
        <v>821</v>
      </c>
      <c r="M1804">
        <v>1</v>
      </c>
    </row>
    <row r="1805" spans="1:13">
      <c r="A1805" t="s">
        <v>3051</v>
      </c>
      <c r="B1805" t="s">
        <v>667</v>
      </c>
      <c r="C1805" s="34" t="s">
        <v>6545</v>
      </c>
      <c r="F1805" t="s">
        <v>776</v>
      </c>
      <c r="H1805">
        <v>5</v>
      </c>
      <c r="I1805">
        <f>VLOOKUP(B1805,BRAND!B:D,3,FALSE)</f>
        <v>3</v>
      </c>
      <c r="J1805">
        <v>5</v>
      </c>
      <c r="K1805" t="s">
        <v>821</v>
      </c>
      <c r="M1805">
        <v>1</v>
      </c>
    </row>
    <row r="1806" spans="1:13">
      <c r="A1806" t="s">
        <v>7885</v>
      </c>
      <c r="B1806" t="s">
        <v>30</v>
      </c>
      <c r="C1806" s="34" t="s">
        <v>950</v>
      </c>
      <c r="F1806" t="s">
        <v>950</v>
      </c>
      <c r="G1806" t="s">
        <v>6932</v>
      </c>
      <c r="H1806">
        <v>5</v>
      </c>
      <c r="I1806">
        <f>VLOOKUP(B1806,BRAND!B:D,3,FALSE)</f>
        <v>3</v>
      </c>
      <c r="J1806">
        <v>7</v>
      </c>
      <c r="M1806">
        <v>1</v>
      </c>
    </row>
    <row r="1807" spans="1:13">
      <c r="A1807" t="s">
        <v>3578</v>
      </c>
      <c r="B1807" t="s">
        <v>30</v>
      </c>
      <c r="C1807" s="34" t="s">
        <v>776</v>
      </c>
      <c r="F1807" t="s">
        <v>776</v>
      </c>
      <c r="H1807">
        <v>5</v>
      </c>
      <c r="I1807">
        <f>VLOOKUP(B1807,BRAND!B:D,3,FALSE)</f>
        <v>3</v>
      </c>
      <c r="J1807">
        <v>5</v>
      </c>
      <c r="K1807" t="s">
        <v>821</v>
      </c>
      <c r="M1807">
        <v>0</v>
      </c>
    </row>
    <row r="1808" spans="1:13">
      <c r="A1808" t="s">
        <v>3895</v>
      </c>
      <c r="B1808" t="s">
        <v>530</v>
      </c>
      <c r="C1808" s="34" t="s">
        <v>534</v>
      </c>
      <c r="F1808" t="s">
        <v>534</v>
      </c>
      <c r="H1808">
        <v>5</v>
      </c>
      <c r="I1808">
        <f>VLOOKUP(B1808,BRAND!B:D,3,FALSE)</f>
        <v>3</v>
      </c>
      <c r="J1808">
        <v>6</v>
      </c>
      <c r="K1808" t="s">
        <v>821</v>
      </c>
      <c r="M1808">
        <v>0</v>
      </c>
    </row>
    <row r="1809" spans="1:13">
      <c r="A1809" t="s">
        <v>3389</v>
      </c>
      <c r="B1809" t="s">
        <v>530</v>
      </c>
      <c r="C1809" s="34" t="s">
        <v>772</v>
      </c>
      <c r="F1809" t="s">
        <v>772</v>
      </c>
      <c r="H1809">
        <v>5</v>
      </c>
      <c r="I1809">
        <f>VLOOKUP(B1809,BRAND!B:D,3,FALSE)</f>
        <v>3</v>
      </c>
      <c r="J1809">
        <v>6</v>
      </c>
      <c r="K1809" t="s">
        <v>821</v>
      </c>
      <c r="M1809">
        <v>1</v>
      </c>
    </row>
    <row r="1810" spans="1:13">
      <c r="A1810" t="s">
        <v>3618</v>
      </c>
      <c r="B1810" t="s">
        <v>530</v>
      </c>
      <c r="C1810" s="34" t="s">
        <v>842</v>
      </c>
      <c r="F1810" t="s">
        <v>842</v>
      </c>
      <c r="H1810">
        <v>5</v>
      </c>
      <c r="I1810">
        <f>VLOOKUP(B1810,BRAND!B:D,3,FALSE)</f>
        <v>3</v>
      </c>
      <c r="J1810">
        <v>5</v>
      </c>
      <c r="K1810" t="s">
        <v>821</v>
      </c>
      <c r="M1810">
        <v>0</v>
      </c>
    </row>
    <row r="1811" spans="1:13">
      <c r="A1811" t="s">
        <v>4043</v>
      </c>
      <c r="B1811" t="s">
        <v>530</v>
      </c>
      <c r="C1811" s="34" t="s">
        <v>5232</v>
      </c>
      <c r="F1811" t="s">
        <v>536</v>
      </c>
      <c r="H1811">
        <v>5</v>
      </c>
      <c r="I1811">
        <f>VLOOKUP(B1811,BRAND!B:D,3,FALSE)</f>
        <v>3</v>
      </c>
      <c r="J1811">
        <v>5</v>
      </c>
      <c r="K1811" t="s">
        <v>821</v>
      </c>
      <c r="M1811">
        <v>1</v>
      </c>
    </row>
    <row r="1812" spans="1:13">
      <c r="A1812" t="s">
        <v>7886</v>
      </c>
      <c r="B1812" t="s">
        <v>530</v>
      </c>
      <c r="C1812" s="34" t="s">
        <v>1438</v>
      </c>
      <c r="F1812" t="s">
        <v>1438</v>
      </c>
      <c r="G1812" t="s">
        <v>6932</v>
      </c>
      <c r="H1812">
        <v>5</v>
      </c>
      <c r="I1812">
        <f>VLOOKUP(B1812,BRAND!B:D,3,FALSE)</f>
        <v>3</v>
      </c>
      <c r="J1812">
        <v>4</v>
      </c>
      <c r="M1812">
        <v>1</v>
      </c>
    </row>
    <row r="1813" spans="1:13">
      <c r="A1813" t="s">
        <v>4363</v>
      </c>
      <c r="B1813" t="s">
        <v>530</v>
      </c>
      <c r="C1813" s="34" t="s">
        <v>775</v>
      </c>
      <c r="F1813" t="s">
        <v>775</v>
      </c>
      <c r="H1813">
        <v>5</v>
      </c>
      <c r="I1813">
        <f>VLOOKUP(B1813,BRAND!B:D,3,FALSE)</f>
        <v>3</v>
      </c>
      <c r="J1813">
        <v>3</v>
      </c>
      <c r="K1813" t="s">
        <v>821</v>
      </c>
      <c r="M1813">
        <v>0</v>
      </c>
    </row>
    <row r="1814" spans="1:13">
      <c r="A1814" t="s">
        <v>6544</v>
      </c>
      <c r="B1814" t="s">
        <v>530</v>
      </c>
      <c r="C1814" s="34" t="s">
        <v>5232</v>
      </c>
      <c r="F1814" t="s">
        <v>1438</v>
      </c>
      <c r="G1814" t="s">
        <v>801</v>
      </c>
      <c r="H1814">
        <v>6</v>
      </c>
      <c r="I1814">
        <f>VLOOKUP(B1814,BRAND!B:D,3,FALSE)</f>
        <v>3</v>
      </c>
      <c r="J1814">
        <v>4</v>
      </c>
      <c r="K1814" t="s">
        <v>821</v>
      </c>
      <c r="M1814">
        <v>1</v>
      </c>
    </row>
    <row r="1815" spans="1:13">
      <c r="A1815" t="s">
        <v>7892</v>
      </c>
      <c r="B1815" t="s">
        <v>31</v>
      </c>
      <c r="C1815" s="34" t="s">
        <v>7893</v>
      </c>
      <c r="F1815" t="s">
        <v>7893</v>
      </c>
      <c r="G1815" t="s">
        <v>6932</v>
      </c>
      <c r="H1815">
        <v>3</v>
      </c>
      <c r="I1815">
        <f>VLOOKUP(B1815,BRAND!B:D,3,FALSE)</f>
        <v>3</v>
      </c>
      <c r="J1815">
        <v>3</v>
      </c>
      <c r="M1815">
        <v>1</v>
      </c>
    </row>
    <row r="1816" spans="1:13">
      <c r="A1816" t="s">
        <v>7889</v>
      </c>
      <c r="B1816" t="s">
        <v>31</v>
      </c>
      <c r="C1816" s="34" t="s">
        <v>7890</v>
      </c>
      <c r="F1816" t="s">
        <v>7890</v>
      </c>
      <c r="G1816" t="s">
        <v>6932</v>
      </c>
      <c r="H1816">
        <v>5</v>
      </c>
      <c r="I1816">
        <f>VLOOKUP(B1816,BRAND!B:D,3,FALSE)</f>
        <v>3</v>
      </c>
      <c r="J1816">
        <v>9</v>
      </c>
      <c r="M1816">
        <v>1</v>
      </c>
    </row>
    <row r="1817" spans="1:13">
      <c r="A1817" t="s">
        <v>3528</v>
      </c>
      <c r="B1817" t="s">
        <v>31</v>
      </c>
      <c r="C1817" s="34" t="s">
        <v>534</v>
      </c>
      <c r="F1817" t="s">
        <v>534</v>
      </c>
      <c r="H1817">
        <v>5</v>
      </c>
      <c r="I1817">
        <f>VLOOKUP(B1817,BRAND!B:D,3,FALSE)</f>
        <v>3</v>
      </c>
      <c r="J1817">
        <v>6</v>
      </c>
      <c r="K1817" t="s">
        <v>821</v>
      </c>
      <c r="M1817">
        <v>1</v>
      </c>
    </row>
    <row r="1818" spans="1:13">
      <c r="A1818" t="s">
        <v>7891</v>
      </c>
      <c r="B1818" t="s">
        <v>31</v>
      </c>
      <c r="C1818" s="34" t="s">
        <v>535</v>
      </c>
      <c r="F1818" t="s">
        <v>535</v>
      </c>
      <c r="G1818" t="s">
        <v>6932</v>
      </c>
      <c r="H1818">
        <v>5</v>
      </c>
      <c r="I1818">
        <f>VLOOKUP(B1818,BRAND!B:D,3,FALSE)</f>
        <v>3</v>
      </c>
      <c r="J1818">
        <v>6</v>
      </c>
      <c r="M1818">
        <v>1</v>
      </c>
    </row>
    <row r="1819" spans="1:13">
      <c r="A1819" t="s">
        <v>4329</v>
      </c>
      <c r="B1819" t="s">
        <v>31</v>
      </c>
      <c r="C1819" s="34" t="s">
        <v>842</v>
      </c>
      <c r="F1819" t="s">
        <v>842</v>
      </c>
      <c r="H1819">
        <v>5</v>
      </c>
      <c r="I1819">
        <f>VLOOKUP(B1819,BRAND!B:D,3,FALSE)</f>
        <v>3</v>
      </c>
      <c r="J1819">
        <v>5</v>
      </c>
      <c r="K1819" t="s">
        <v>821</v>
      </c>
      <c r="M1819">
        <v>0</v>
      </c>
    </row>
    <row r="1820" spans="1:13">
      <c r="A1820" t="s">
        <v>3765</v>
      </c>
      <c r="B1820" t="s">
        <v>31</v>
      </c>
      <c r="C1820" s="34" t="s">
        <v>5232</v>
      </c>
      <c r="F1820" t="s">
        <v>536</v>
      </c>
      <c r="H1820">
        <v>5</v>
      </c>
      <c r="I1820">
        <f>VLOOKUP(B1820,BRAND!B:D,3,FALSE)</f>
        <v>3</v>
      </c>
      <c r="J1820">
        <v>5</v>
      </c>
      <c r="K1820" t="s">
        <v>821</v>
      </c>
      <c r="M1820">
        <v>1</v>
      </c>
    </row>
    <row r="1821" spans="1:13">
      <c r="A1821" t="s">
        <v>7888</v>
      </c>
      <c r="B1821" t="s">
        <v>31</v>
      </c>
      <c r="C1821" s="34" t="s">
        <v>751</v>
      </c>
      <c r="F1821" t="s">
        <v>751</v>
      </c>
      <c r="G1821" t="s">
        <v>6932</v>
      </c>
      <c r="H1821">
        <v>5</v>
      </c>
      <c r="I1821">
        <f>VLOOKUP(B1821,BRAND!B:D,3,FALSE)</f>
        <v>3</v>
      </c>
      <c r="J1821">
        <v>5</v>
      </c>
      <c r="M1821">
        <v>1</v>
      </c>
    </row>
    <row r="1822" spans="1:13">
      <c r="A1822" t="s">
        <v>7887</v>
      </c>
      <c r="B1822" t="s">
        <v>31</v>
      </c>
      <c r="C1822" s="34" t="s">
        <v>776</v>
      </c>
      <c r="F1822" t="s">
        <v>776</v>
      </c>
      <c r="G1822" t="s">
        <v>6932</v>
      </c>
      <c r="H1822">
        <v>5</v>
      </c>
      <c r="I1822">
        <f>VLOOKUP(B1822,BRAND!B:D,3,FALSE)</f>
        <v>3</v>
      </c>
      <c r="J1822">
        <v>5</v>
      </c>
      <c r="M1822">
        <v>1</v>
      </c>
    </row>
    <row r="1823" spans="1:13">
      <c r="A1823" t="s">
        <v>7894</v>
      </c>
      <c r="B1823" t="s">
        <v>31</v>
      </c>
      <c r="C1823" s="34" t="s">
        <v>1438</v>
      </c>
      <c r="F1823" t="s">
        <v>561</v>
      </c>
      <c r="G1823" t="s">
        <v>6932</v>
      </c>
      <c r="H1823">
        <v>5</v>
      </c>
      <c r="I1823">
        <f>VLOOKUP(B1823,BRAND!B:D,3,FALSE)</f>
        <v>3</v>
      </c>
      <c r="J1823">
        <v>3</v>
      </c>
      <c r="M1823">
        <v>1</v>
      </c>
    </row>
    <row r="1824" spans="1:13">
      <c r="A1824" t="s">
        <v>12472</v>
      </c>
      <c r="B1824" t="s">
        <v>31</v>
      </c>
      <c r="C1824" s="34" t="s">
        <v>534</v>
      </c>
      <c r="F1824" t="s">
        <v>534</v>
      </c>
      <c r="G1824" t="s">
        <v>6932</v>
      </c>
      <c r="H1824">
        <v>5</v>
      </c>
    </row>
    <row r="1825" spans="1:13">
      <c r="A1825" t="s">
        <v>12473</v>
      </c>
      <c r="B1825" t="s">
        <v>31</v>
      </c>
      <c r="C1825" s="34" t="s">
        <v>12474</v>
      </c>
      <c r="F1825" t="s">
        <v>12474</v>
      </c>
      <c r="G1825" t="s">
        <v>6932</v>
      </c>
      <c r="H1825">
        <v>5</v>
      </c>
    </row>
    <row r="1826" spans="1:13">
      <c r="A1826" t="s">
        <v>12478</v>
      </c>
      <c r="B1826" t="s">
        <v>31</v>
      </c>
      <c r="C1826" s="34" t="s">
        <v>12479</v>
      </c>
      <c r="F1826" t="s">
        <v>12480</v>
      </c>
      <c r="G1826" t="s">
        <v>6932</v>
      </c>
      <c r="H1826">
        <v>5</v>
      </c>
    </row>
    <row r="1827" spans="1:13">
      <c r="A1827" t="s">
        <v>7894</v>
      </c>
      <c r="B1827" t="s">
        <v>31</v>
      </c>
      <c r="C1827" s="34" t="s">
        <v>561</v>
      </c>
      <c r="F1827" t="s">
        <v>561</v>
      </c>
      <c r="G1827" t="s">
        <v>6932</v>
      </c>
      <c r="H1827">
        <v>5</v>
      </c>
    </row>
    <row r="1828" spans="1:13">
      <c r="A1828" t="s">
        <v>12486</v>
      </c>
      <c r="B1828" t="s">
        <v>31</v>
      </c>
      <c r="C1828" s="34" t="s">
        <v>534</v>
      </c>
      <c r="F1828" t="s">
        <v>534</v>
      </c>
      <c r="G1828" t="s">
        <v>801</v>
      </c>
      <c r="H1828">
        <v>5</v>
      </c>
    </row>
    <row r="1829" spans="1:13">
      <c r="A1829" t="s">
        <v>3303</v>
      </c>
      <c r="B1829" t="s">
        <v>1230</v>
      </c>
      <c r="C1829" s="34" t="s">
        <v>1438</v>
      </c>
      <c r="F1829" t="s">
        <v>1438</v>
      </c>
      <c r="H1829">
        <v>15</v>
      </c>
      <c r="I1829">
        <f>VLOOKUP(B1829,BRAND!B:D,3,FALSE)</f>
        <v>5.5</v>
      </c>
      <c r="J1829">
        <v>4</v>
      </c>
      <c r="K1829" t="e">
        <v>#N/A</v>
      </c>
      <c r="M1829">
        <v>0</v>
      </c>
    </row>
    <row r="1830" spans="1:13">
      <c r="A1830" t="s">
        <v>2661</v>
      </c>
      <c r="B1830" t="s">
        <v>1781</v>
      </c>
      <c r="C1830" s="34" t="s">
        <v>1438</v>
      </c>
      <c r="F1830" t="s">
        <v>1438</v>
      </c>
      <c r="H1830">
        <v>15</v>
      </c>
      <c r="I1830">
        <f>VLOOKUP(B1830,BRAND!B:D,3,FALSE)</f>
        <v>3</v>
      </c>
      <c r="J1830">
        <v>4</v>
      </c>
      <c r="K1830" t="s">
        <v>821</v>
      </c>
      <c r="M1830">
        <v>1</v>
      </c>
    </row>
    <row r="1831" spans="1:13">
      <c r="A1831" t="s">
        <v>7895</v>
      </c>
      <c r="B1831" t="s">
        <v>7896</v>
      </c>
      <c r="C1831" s="34" t="s">
        <v>1438</v>
      </c>
      <c r="F1831" t="s">
        <v>1438</v>
      </c>
      <c r="G1831" t="s">
        <v>6932</v>
      </c>
      <c r="H1831">
        <v>5</v>
      </c>
      <c r="I1831">
        <f>VLOOKUP(B1831,BRAND!B:D,3,FALSE)</f>
        <v>5.5</v>
      </c>
      <c r="J1831">
        <v>4</v>
      </c>
      <c r="M1831">
        <v>1</v>
      </c>
    </row>
    <row r="1832" spans="1:13">
      <c r="A1832" t="s">
        <v>7897</v>
      </c>
      <c r="B1832" t="s">
        <v>7898</v>
      </c>
      <c r="C1832" s="34" t="s">
        <v>1438</v>
      </c>
      <c r="F1832" t="s">
        <v>1438</v>
      </c>
      <c r="G1832" t="s">
        <v>6932</v>
      </c>
      <c r="H1832">
        <v>5</v>
      </c>
      <c r="I1832">
        <f>VLOOKUP(B1832,BRAND!B:D,3,FALSE)</f>
        <v>5.5</v>
      </c>
      <c r="J1832">
        <v>4</v>
      </c>
      <c r="M1832">
        <v>1</v>
      </c>
    </row>
    <row r="1833" spans="1:13">
      <c r="A1833" t="s">
        <v>12489</v>
      </c>
      <c r="B1833" t="s">
        <v>12028</v>
      </c>
      <c r="C1833" s="34" t="s">
        <v>10929</v>
      </c>
      <c r="F1833" t="s">
        <v>10929</v>
      </c>
      <c r="G1833" t="s">
        <v>6932</v>
      </c>
      <c r="H1833">
        <v>5</v>
      </c>
    </row>
    <row r="1834" spans="1:13">
      <c r="A1834" t="s">
        <v>12490</v>
      </c>
      <c r="B1834" t="s">
        <v>12028</v>
      </c>
      <c r="C1834" s="34" t="s">
        <v>12491</v>
      </c>
      <c r="F1834" t="s">
        <v>12491</v>
      </c>
      <c r="G1834" t="s">
        <v>6932</v>
      </c>
      <c r="H1834">
        <v>5</v>
      </c>
    </row>
    <row r="1835" spans="1:13">
      <c r="A1835" t="s">
        <v>12492</v>
      </c>
      <c r="B1835" t="s">
        <v>12028</v>
      </c>
      <c r="C1835" s="34" t="s">
        <v>12493</v>
      </c>
      <c r="F1835" t="s">
        <v>12493</v>
      </c>
      <c r="G1835" t="s">
        <v>6932</v>
      </c>
      <c r="H1835">
        <v>5</v>
      </c>
    </row>
    <row r="1836" spans="1:13">
      <c r="A1836" t="s">
        <v>12494</v>
      </c>
      <c r="B1836" t="s">
        <v>12028</v>
      </c>
      <c r="C1836" s="34" t="s">
        <v>12495</v>
      </c>
      <c r="F1836" t="s">
        <v>12495</v>
      </c>
      <c r="G1836" t="s">
        <v>6932</v>
      </c>
      <c r="H1836">
        <v>5</v>
      </c>
    </row>
    <row r="1837" spans="1:13">
      <c r="A1837" t="s">
        <v>12496</v>
      </c>
      <c r="B1837" t="s">
        <v>12028</v>
      </c>
      <c r="C1837" s="34" t="s">
        <v>12497</v>
      </c>
      <c r="F1837" t="s">
        <v>12497</v>
      </c>
      <c r="G1837" t="s">
        <v>6932</v>
      </c>
      <c r="H1837">
        <v>5</v>
      </c>
    </row>
    <row r="1838" spans="1:13">
      <c r="A1838" t="s">
        <v>12498</v>
      </c>
      <c r="B1838" t="s">
        <v>12028</v>
      </c>
      <c r="C1838" s="34" t="s">
        <v>535</v>
      </c>
      <c r="F1838" t="s">
        <v>535</v>
      </c>
      <c r="G1838" t="s">
        <v>6932</v>
      </c>
      <c r="H1838">
        <v>5</v>
      </c>
    </row>
    <row r="1839" spans="1:13">
      <c r="A1839" t="s">
        <v>12499</v>
      </c>
      <c r="B1839" t="s">
        <v>12028</v>
      </c>
      <c r="C1839" s="34" t="s">
        <v>12500</v>
      </c>
      <c r="F1839" t="s">
        <v>12500</v>
      </c>
      <c r="G1839" t="s">
        <v>6932</v>
      </c>
      <c r="H1839">
        <v>5</v>
      </c>
    </row>
    <row r="1840" spans="1:13">
      <c r="A1840" t="s">
        <v>12501</v>
      </c>
      <c r="B1840" t="s">
        <v>12028</v>
      </c>
      <c r="C1840" s="34" t="s">
        <v>12502</v>
      </c>
      <c r="F1840" t="s">
        <v>12502</v>
      </c>
      <c r="G1840" t="s">
        <v>6932</v>
      </c>
      <c r="H1840">
        <v>5</v>
      </c>
    </row>
    <row r="1841" spans="1:13" ht="22.5" customHeight="1">
      <c r="A1841" t="s">
        <v>12503</v>
      </c>
      <c r="B1841" t="s">
        <v>12028</v>
      </c>
      <c r="C1841" s="34" t="s">
        <v>12504</v>
      </c>
      <c r="F1841" t="s">
        <v>12504</v>
      </c>
      <c r="G1841" t="s">
        <v>6932</v>
      </c>
      <c r="H1841">
        <v>5</v>
      </c>
    </row>
    <row r="1842" spans="1:13">
      <c r="A1842" t="s">
        <v>12505</v>
      </c>
      <c r="B1842" t="s">
        <v>12028</v>
      </c>
      <c r="C1842" s="34" t="s">
        <v>12506</v>
      </c>
      <c r="F1842" t="s">
        <v>12506</v>
      </c>
      <c r="G1842" t="s">
        <v>6932</v>
      </c>
      <c r="H1842">
        <v>5</v>
      </c>
    </row>
    <row r="1843" spans="1:13">
      <c r="A1843" t="s">
        <v>12507</v>
      </c>
      <c r="B1843" t="s">
        <v>12028</v>
      </c>
      <c r="C1843" s="34" t="s">
        <v>12508</v>
      </c>
      <c r="F1843" t="s">
        <v>12508</v>
      </c>
      <c r="G1843" t="s">
        <v>6932</v>
      </c>
      <c r="H1843">
        <v>5</v>
      </c>
    </row>
    <row r="1844" spans="1:13">
      <c r="A1844" t="s">
        <v>12509</v>
      </c>
      <c r="B1844" t="s">
        <v>12028</v>
      </c>
      <c r="C1844" s="34" t="s">
        <v>12510</v>
      </c>
      <c r="F1844" t="s">
        <v>12510</v>
      </c>
      <c r="G1844" t="s">
        <v>6932</v>
      </c>
      <c r="H1844">
        <v>5</v>
      </c>
    </row>
    <row r="1845" spans="1:13">
      <c r="A1845" t="s">
        <v>12511</v>
      </c>
      <c r="B1845" t="s">
        <v>12028</v>
      </c>
      <c r="C1845" s="34" t="s">
        <v>772</v>
      </c>
      <c r="F1845" t="s">
        <v>772</v>
      </c>
      <c r="G1845" t="s">
        <v>6932</v>
      </c>
      <c r="H1845">
        <v>5</v>
      </c>
    </row>
    <row r="1846" spans="1:13">
      <c r="A1846" t="s">
        <v>12512</v>
      </c>
      <c r="B1846" t="s">
        <v>12028</v>
      </c>
      <c r="C1846" s="34" t="s">
        <v>10752</v>
      </c>
      <c r="F1846" t="s">
        <v>12513</v>
      </c>
      <c r="G1846" t="s">
        <v>6932</v>
      </c>
      <c r="H1846">
        <v>5</v>
      </c>
    </row>
    <row r="1847" spans="1:13">
      <c r="A1847" t="s">
        <v>12514</v>
      </c>
      <c r="B1847" t="s">
        <v>12028</v>
      </c>
      <c r="C1847" s="34" t="s">
        <v>12515</v>
      </c>
      <c r="F1847" t="s">
        <v>12515</v>
      </c>
      <c r="G1847" t="s">
        <v>6932</v>
      </c>
      <c r="H1847">
        <v>5</v>
      </c>
    </row>
    <row r="1848" spans="1:13">
      <c r="A1848" t="s">
        <v>12516</v>
      </c>
      <c r="B1848" t="s">
        <v>12028</v>
      </c>
      <c r="C1848" s="34" t="s">
        <v>12517</v>
      </c>
      <c r="F1848" t="s">
        <v>12518</v>
      </c>
      <c r="G1848" t="s">
        <v>6932</v>
      </c>
      <c r="H1848">
        <v>5</v>
      </c>
    </row>
    <row r="1849" spans="1:13">
      <c r="A1849" t="s">
        <v>2254</v>
      </c>
      <c r="B1849" t="s">
        <v>32</v>
      </c>
      <c r="C1849" s="34" t="s">
        <v>1438</v>
      </c>
      <c r="F1849" t="s">
        <v>1438</v>
      </c>
      <c r="H1849">
        <v>15</v>
      </c>
      <c r="I1849">
        <f>VLOOKUP(B1849,BRAND!B:D,3,FALSE)</f>
        <v>3</v>
      </c>
      <c r="J1849">
        <v>4</v>
      </c>
      <c r="K1849" t="s">
        <v>821</v>
      </c>
      <c r="M1849">
        <v>1</v>
      </c>
    </row>
    <row r="1850" spans="1:13">
      <c r="A1850" t="s">
        <v>7909</v>
      </c>
      <c r="B1850" t="s">
        <v>7900</v>
      </c>
      <c r="C1850" s="34" t="s">
        <v>7910</v>
      </c>
      <c r="F1850" t="s">
        <v>7910</v>
      </c>
      <c r="G1850" t="s">
        <v>6932</v>
      </c>
      <c r="H1850">
        <v>5</v>
      </c>
      <c r="I1850">
        <f>VLOOKUP(B1850,BRAND!B:D,3,FALSE)</f>
        <v>5.5</v>
      </c>
      <c r="J1850">
        <v>8</v>
      </c>
      <c r="M1850">
        <v>1</v>
      </c>
    </row>
    <row r="1851" spans="1:13">
      <c r="A1851" t="s">
        <v>7905</v>
      </c>
      <c r="B1851" t="s">
        <v>7900</v>
      </c>
      <c r="C1851" s="34" t="s">
        <v>7906</v>
      </c>
      <c r="F1851" t="s">
        <v>7906</v>
      </c>
      <c r="G1851" t="s">
        <v>6932</v>
      </c>
      <c r="H1851">
        <v>5</v>
      </c>
      <c r="I1851">
        <f>VLOOKUP(B1851,BRAND!B:D,3,FALSE)</f>
        <v>5.5</v>
      </c>
      <c r="J1851">
        <v>7</v>
      </c>
      <c r="M1851">
        <v>1</v>
      </c>
    </row>
    <row r="1852" spans="1:13">
      <c r="A1852" t="s">
        <v>7907</v>
      </c>
      <c r="B1852" t="s">
        <v>7900</v>
      </c>
      <c r="C1852" s="34" t="s">
        <v>7908</v>
      </c>
      <c r="F1852" t="s">
        <v>7908</v>
      </c>
      <c r="G1852" t="s">
        <v>6932</v>
      </c>
      <c r="H1852">
        <v>5</v>
      </c>
      <c r="I1852">
        <f>VLOOKUP(B1852,BRAND!B:D,3,FALSE)</f>
        <v>5.5</v>
      </c>
      <c r="J1852">
        <v>7</v>
      </c>
      <c r="M1852">
        <v>1</v>
      </c>
    </row>
    <row r="1853" spans="1:13">
      <c r="A1853" t="s">
        <v>7899</v>
      </c>
      <c r="B1853" t="s">
        <v>7900</v>
      </c>
      <c r="C1853" s="34" t="s">
        <v>534</v>
      </c>
      <c r="F1853" t="s">
        <v>534</v>
      </c>
      <c r="G1853" t="s">
        <v>6932</v>
      </c>
      <c r="H1853">
        <v>5</v>
      </c>
      <c r="I1853">
        <f>VLOOKUP(B1853,BRAND!B:D,3,FALSE)</f>
        <v>5.5</v>
      </c>
      <c r="J1853">
        <v>6</v>
      </c>
      <c r="M1853">
        <v>1</v>
      </c>
    </row>
    <row r="1854" spans="1:13">
      <c r="A1854" t="s">
        <v>7903</v>
      </c>
      <c r="B1854" t="s">
        <v>7900</v>
      </c>
      <c r="C1854" s="34" t="s">
        <v>7904</v>
      </c>
      <c r="F1854" t="s">
        <v>7904</v>
      </c>
      <c r="G1854" t="s">
        <v>6932</v>
      </c>
      <c r="H1854">
        <v>5</v>
      </c>
      <c r="I1854">
        <f>VLOOKUP(B1854,BRAND!B:D,3,FALSE)</f>
        <v>5.5</v>
      </c>
      <c r="J1854">
        <v>5</v>
      </c>
      <c r="M1854">
        <v>1</v>
      </c>
    </row>
    <row r="1855" spans="1:13">
      <c r="A1855" t="s">
        <v>7901</v>
      </c>
      <c r="B1855" t="s">
        <v>7900</v>
      </c>
      <c r="C1855" s="34" t="s">
        <v>842</v>
      </c>
      <c r="F1855" t="s">
        <v>842</v>
      </c>
      <c r="G1855" t="s">
        <v>6932</v>
      </c>
      <c r="H1855">
        <v>5</v>
      </c>
      <c r="I1855">
        <f>VLOOKUP(B1855,BRAND!B:D,3,FALSE)</f>
        <v>5.5</v>
      </c>
      <c r="J1855">
        <v>5</v>
      </c>
      <c r="M1855">
        <v>1</v>
      </c>
    </row>
    <row r="1856" spans="1:13">
      <c r="A1856" t="s">
        <v>7902</v>
      </c>
      <c r="B1856" t="s">
        <v>7900</v>
      </c>
      <c r="C1856" s="34" t="s">
        <v>561</v>
      </c>
      <c r="F1856" t="s">
        <v>561</v>
      </c>
      <c r="G1856" t="s">
        <v>6932</v>
      </c>
      <c r="H1856">
        <v>5</v>
      </c>
      <c r="I1856">
        <f>VLOOKUP(B1856,BRAND!B:D,3,FALSE)</f>
        <v>5.5</v>
      </c>
      <c r="J1856">
        <v>3</v>
      </c>
      <c r="M1856">
        <v>1</v>
      </c>
    </row>
    <row r="1857" spans="1:13">
      <c r="A1857" t="s">
        <v>14257</v>
      </c>
      <c r="B1857" t="s">
        <v>14253</v>
      </c>
      <c r="C1857" s="34" t="s">
        <v>9119</v>
      </c>
      <c r="F1857" t="s">
        <v>9119</v>
      </c>
      <c r="G1857" t="s">
        <v>6932</v>
      </c>
      <c r="H1857">
        <v>5</v>
      </c>
      <c r="I1857">
        <f>VLOOKUP(B1857,BRAND!B:D,3,FALSE)</f>
        <v>0</v>
      </c>
      <c r="J1857">
        <f t="shared" ref="J1857:J1867" si="22">LEN(F1857)</f>
        <v>8</v>
      </c>
      <c r="K1857" t="s">
        <v>821</v>
      </c>
      <c r="L1857">
        <v>0</v>
      </c>
      <c r="M1857">
        <v>1</v>
      </c>
    </row>
    <row r="1858" spans="1:13">
      <c r="A1858" t="s">
        <v>14255</v>
      </c>
      <c r="B1858" t="s">
        <v>14253</v>
      </c>
      <c r="C1858" s="34" t="s">
        <v>14186</v>
      </c>
      <c r="F1858" t="s">
        <v>14186</v>
      </c>
      <c r="G1858" t="s">
        <v>6932</v>
      </c>
      <c r="H1858">
        <v>5</v>
      </c>
      <c r="I1858">
        <f>VLOOKUP(B1858,BRAND!B:D,3,FALSE)</f>
        <v>0</v>
      </c>
      <c r="J1858">
        <f t="shared" si="22"/>
        <v>6</v>
      </c>
      <c r="K1858" t="s">
        <v>821</v>
      </c>
      <c r="L1858">
        <v>0</v>
      </c>
      <c r="M1858">
        <v>1</v>
      </c>
    </row>
    <row r="1859" spans="1:13">
      <c r="A1859" t="s">
        <v>14254</v>
      </c>
      <c r="B1859" t="s">
        <v>14253</v>
      </c>
      <c r="C1859" s="34" t="s">
        <v>10023</v>
      </c>
      <c r="F1859" t="s">
        <v>10023</v>
      </c>
      <c r="G1859" t="s">
        <v>6932</v>
      </c>
      <c r="H1859">
        <v>5</v>
      </c>
      <c r="I1859">
        <f>VLOOKUP(B1859,BRAND!B:D,3,FALSE)</f>
        <v>0</v>
      </c>
      <c r="J1859">
        <f t="shared" si="22"/>
        <v>6</v>
      </c>
      <c r="K1859" t="s">
        <v>821</v>
      </c>
      <c r="L1859">
        <v>0</v>
      </c>
      <c r="M1859">
        <v>1</v>
      </c>
    </row>
    <row r="1860" spans="1:13">
      <c r="A1860" t="s">
        <v>14252</v>
      </c>
      <c r="B1860" t="s">
        <v>14253</v>
      </c>
      <c r="C1860" s="34" t="s">
        <v>536</v>
      </c>
      <c r="F1860" t="s">
        <v>536</v>
      </c>
      <c r="G1860" t="s">
        <v>6932</v>
      </c>
      <c r="H1860">
        <v>5</v>
      </c>
      <c r="I1860">
        <f>VLOOKUP(B1860,BRAND!B:D,3,FALSE)</f>
        <v>0</v>
      </c>
      <c r="J1860">
        <f t="shared" si="22"/>
        <v>5</v>
      </c>
      <c r="K1860" t="s">
        <v>821</v>
      </c>
      <c r="L1860">
        <v>0</v>
      </c>
      <c r="M1860">
        <v>1</v>
      </c>
    </row>
    <row r="1861" spans="1:13">
      <c r="A1861" t="s">
        <v>14256</v>
      </c>
      <c r="B1861" t="s">
        <v>14253</v>
      </c>
      <c r="C1861" s="34" t="s">
        <v>776</v>
      </c>
      <c r="F1861" t="s">
        <v>776</v>
      </c>
      <c r="G1861" t="s">
        <v>6932</v>
      </c>
      <c r="H1861">
        <v>5</v>
      </c>
      <c r="I1861">
        <f>VLOOKUP(B1861,BRAND!B:D,3,FALSE)</f>
        <v>0</v>
      </c>
      <c r="J1861">
        <f t="shared" si="22"/>
        <v>5</v>
      </c>
      <c r="K1861" t="s">
        <v>821</v>
      </c>
      <c r="L1861">
        <v>0</v>
      </c>
      <c r="M1861">
        <v>1</v>
      </c>
    </row>
    <row r="1862" spans="1:13">
      <c r="A1862" t="s">
        <v>14258</v>
      </c>
      <c r="B1862" t="s">
        <v>14253</v>
      </c>
      <c r="C1862" s="34" t="s">
        <v>842</v>
      </c>
      <c r="F1862" t="s">
        <v>842</v>
      </c>
      <c r="G1862" t="s">
        <v>6932</v>
      </c>
      <c r="H1862">
        <v>5</v>
      </c>
      <c r="I1862">
        <f>VLOOKUP(B1862,BRAND!B:D,3,FALSE)</f>
        <v>0</v>
      </c>
      <c r="J1862">
        <f t="shared" si="22"/>
        <v>5</v>
      </c>
      <c r="K1862" t="s">
        <v>821</v>
      </c>
      <c r="L1862">
        <v>0</v>
      </c>
      <c r="M1862">
        <v>1</v>
      </c>
    </row>
    <row r="1863" spans="1:13">
      <c r="A1863" t="s">
        <v>14369</v>
      </c>
      <c r="B1863" t="s">
        <v>7912</v>
      </c>
      <c r="C1863" s="34" t="s">
        <v>900</v>
      </c>
      <c r="F1863" t="s">
        <v>900</v>
      </c>
      <c r="G1863" t="s">
        <v>6932</v>
      </c>
      <c r="H1863">
        <v>5</v>
      </c>
      <c r="I1863">
        <f>VLOOKUP(B1863,BRAND!B:D,3,FALSE)</f>
        <v>0</v>
      </c>
      <c r="J1863">
        <f t="shared" si="22"/>
        <v>5</v>
      </c>
      <c r="K1863" t="s">
        <v>821</v>
      </c>
      <c r="L1863">
        <v>0</v>
      </c>
      <c r="M1863">
        <v>1</v>
      </c>
    </row>
    <row r="1864" spans="1:13">
      <c r="A1864" t="s">
        <v>14369</v>
      </c>
      <c r="B1864" t="s">
        <v>7912</v>
      </c>
      <c r="C1864" s="34" t="s">
        <v>900</v>
      </c>
      <c r="F1864" t="s">
        <v>900</v>
      </c>
      <c r="G1864" t="s">
        <v>6932</v>
      </c>
      <c r="H1864">
        <v>5</v>
      </c>
      <c r="I1864">
        <f>VLOOKUP(B1864,BRAND!B:D,3,FALSE)</f>
        <v>0</v>
      </c>
      <c r="J1864">
        <f t="shared" si="22"/>
        <v>5</v>
      </c>
      <c r="K1864" t="s">
        <v>821</v>
      </c>
      <c r="L1864">
        <v>0</v>
      </c>
      <c r="M1864">
        <v>1</v>
      </c>
    </row>
    <row r="1865" spans="1:13">
      <c r="A1865" t="s">
        <v>14369</v>
      </c>
      <c r="B1865" t="s">
        <v>7912</v>
      </c>
      <c r="C1865" s="34" t="s">
        <v>900</v>
      </c>
      <c r="F1865" t="s">
        <v>900</v>
      </c>
      <c r="G1865" t="s">
        <v>6932</v>
      </c>
      <c r="H1865">
        <v>5</v>
      </c>
      <c r="I1865">
        <f>VLOOKUP(B1865,BRAND!B:D,3,FALSE)</f>
        <v>0</v>
      </c>
      <c r="J1865">
        <f t="shared" si="22"/>
        <v>5</v>
      </c>
      <c r="K1865" t="s">
        <v>821</v>
      </c>
      <c r="L1865">
        <v>0</v>
      </c>
      <c r="M1865">
        <v>1</v>
      </c>
    </row>
    <row r="1866" spans="1:13">
      <c r="A1866" t="s">
        <v>14369</v>
      </c>
      <c r="B1866" t="s">
        <v>7912</v>
      </c>
      <c r="C1866" s="34" t="s">
        <v>900</v>
      </c>
      <c r="F1866" t="s">
        <v>900</v>
      </c>
      <c r="G1866" t="s">
        <v>6932</v>
      </c>
      <c r="H1866">
        <v>5</v>
      </c>
      <c r="I1866">
        <f>VLOOKUP(B1866,BRAND!B:D,3,FALSE)</f>
        <v>0</v>
      </c>
      <c r="J1866">
        <f t="shared" si="22"/>
        <v>5</v>
      </c>
      <c r="K1866" t="s">
        <v>821</v>
      </c>
      <c r="L1866">
        <v>0</v>
      </c>
      <c r="M1866">
        <v>1</v>
      </c>
    </row>
    <row r="1867" spans="1:13">
      <c r="A1867" t="s">
        <v>14369</v>
      </c>
      <c r="B1867" t="s">
        <v>7912</v>
      </c>
      <c r="C1867" s="34" t="s">
        <v>900</v>
      </c>
      <c r="F1867" t="s">
        <v>900</v>
      </c>
      <c r="G1867" t="s">
        <v>6932</v>
      </c>
      <c r="H1867">
        <v>5</v>
      </c>
      <c r="I1867">
        <f>VLOOKUP(B1867,BRAND!B:D,3,FALSE)</f>
        <v>0</v>
      </c>
      <c r="J1867">
        <f t="shared" si="22"/>
        <v>5</v>
      </c>
      <c r="K1867" t="s">
        <v>821</v>
      </c>
      <c r="L1867">
        <v>0</v>
      </c>
      <c r="M1867">
        <v>1</v>
      </c>
    </row>
    <row r="1868" spans="1:13">
      <c r="A1868" t="s">
        <v>7911</v>
      </c>
      <c r="B1868" t="s">
        <v>7912</v>
      </c>
      <c r="C1868" s="34" t="s">
        <v>1438</v>
      </c>
      <c r="F1868" t="s">
        <v>1438</v>
      </c>
      <c r="G1868" t="s">
        <v>6932</v>
      </c>
      <c r="H1868">
        <v>5</v>
      </c>
      <c r="I1868">
        <f>VLOOKUP(B1868,BRAND!B:D,3,FALSE)</f>
        <v>0</v>
      </c>
      <c r="J1868">
        <v>4</v>
      </c>
      <c r="L1868">
        <v>1</v>
      </c>
      <c r="M1868">
        <v>1</v>
      </c>
    </row>
    <row r="1869" spans="1:13">
      <c r="A1869" t="s">
        <v>4970</v>
      </c>
      <c r="B1869" t="s">
        <v>396</v>
      </c>
      <c r="C1869" s="34" t="s">
        <v>1438</v>
      </c>
      <c r="F1869" t="s">
        <v>1438</v>
      </c>
      <c r="G1869" t="s">
        <v>801</v>
      </c>
      <c r="H1869">
        <v>6</v>
      </c>
      <c r="I1869">
        <f>VLOOKUP(B1869,BRAND!B:D,3,FALSE)</f>
        <v>3</v>
      </c>
      <c r="J1869">
        <v>4</v>
      </c>
      <c r="K1869" t="s">
        <v>821</v>
      </c>
      <c r="M1869">
        <v>0</v>
      </c>
    </row>
    <row r="1870" spans="1:13">
      <c r="A1870" t="s">
        <v>2008</v>
      </c>
      <c r="B1870" t="s">
        <v>396</v>
      </c>
      <c r="C1870" s="34" t="s">
        <v>1438</v>
      </c>
      <c r="F1870" t="s">
        <v>1438</v>
      </c>
      <c r="H1870">
        <v>15</v>
      </c>
      <c r="I1870">
        <f>VLOOKUP(B1870,BRAND!B:D,3,FALSE)</f>
        <v>3</v>
      </c>
      <c r="J1870">
        <v>4</v>
      </c>
      <c r="K1870" t="s">
        <v>821</v>
      </c>
      <c r="M1870">
        <v>1</v>
      </c>
    </row>
    <row r="1871" spans="1:13">
      <c r="A1871" t="s">
        <v>2819</v>
      </c>
      <c r="B1871" t="s">
        <v>1231</v>
      </c>
      <c r="C1871" s="34" t="s">
        <v>1438</v>
      </c>
      <c r="F1871" t="s">
        <v>1438</v>
      </c>
      <c r="H1871">
        <v>15</v>
      </c>
      <c r="I1871">
        <f>VLOOKUP(B1871,BRAND!B:D,3,FALSE)</f>
        <v>3</v>
      </c>
      <c r="J1871">
        <v>4</v>
      </c>
      <c r="K1871" t="s">
        <v>821</v>
      </c>
      <c r="M1871">
        <v>0</v>
      </c>
    </row>
    <row r="1872" spans="1:13">
      <c r="A1872" t="s">
        <v>3902</v>
      </c>
      <c r="B1872" t="s">
        <v>397</v>
      </c>
      <c r="C1872" s="34" t="s">
        <v>746</v>
      </c>
      <c r="F1872" t="s">
        <v>746</v>
      </c>
      <c r="H1872">
        <v>5</v>
      </c>
      <c r="I1872">
        <f>VLOOKUP(B1872,BRAND!B:D,3,FALSE)</f>
        <v>3</v>
      </c>
      <c r="J1872">
        <v>6</v>
      </c>
      <c r="K1872" t="s">
        <v>821</v>
      </c>
      <c r="M1872">
        <v>0</v>
      </c>
    </row>
    <row r="1873" spans="1:13">
      <c r="A1873" t="s">
        <v>3276</v>
      </c>
      <c r="B1873" t="s">
        <v>397</v>
      </c>
      <c r="C1873" s="34" t="s">
        <v>776</v>
      </c>
      <c r="F1873" t="s">
        <v>776</v>
      </c>
      <c r="H1873">
        <v>5</v>
      </c>
      <c r="I1873">
        <f>VLOOKUP(B1873,BRAND!B:D,3,FALSE)</f>
        <v>3</v>
      </c>
      <c r="J1873">
        <v>5</v>
      </c>
      <c r="K1873" t="s">
        <v>821</v>
      </c>
      <c r="M1873">
        <v>0</v>
      </c>
    </row>
    <row r="1874" spans="1:13">
      <c r="A1874" t="s">
        <v>3575</v>
      </c>
      <c r="B1874" t="s">
        <v>397</v>
      </c>
      <c r="C1874" s="34" t="s">
        <v>913</v>
      </c>
      <c r="F1874" t="s">
        <v>913</v>
      </c>
      <c r="H1874">
        <v>5</v>
      </c>
      <c r="I1874">
        <f>VLOOKUP(B1874,BRAND!B:D,3,FALSE)</f>
        <v>3</v>
      </c>
      <c r="J1874">
        <v>5</v>
      </c>
      <c r="K1874" t="s">
        <v>821</v>
      </c>
      <c r="M1874">
        <v>1</v>
      </c>
    </row>
    <row r="1875" spans="1:13">
      <c r="A1875" t="s">
        <v>7913</v>
      </c>
      <c r="B1875" t="s">
        <v>397</v>
      </c>
      <c r="C1875" s="34" t="s">
        <v>1438</v>
      </c>
      <c r="F1875" t="s">
        <v>1438</v>
      </c>
      <c r="G1875" t="s">
        <v>6932</v>
      </c>
      <c r="H1875">
        <v>5</v>
      </c>
      <c r="I1875">
        <f>VLOOKUP(B1875,BRAND!B:D,3,FALSE)</f>
        <v>3</v>
      </c>
      <c r="J1875">
        <v>4</v>
      </c>
      <c r="M1875">
        <v>1</v>
      </c>
    </row>
    <row r="1876" spans="1:13">
      <c r="A1876" t="s">
        <v>9593</v>
      </c>
      <c r="B1876" t="s">
        <v>674</v>
      </c>
      <c r="C1876" s="34" t="s">
        <v>5176</v>
      </c>
      <c r="F1876" t="s">
        <v>5176</v>
      </c>
      <c r="G1876" t="s">
        <v>6932</v>
      </c>
      <c r="H1876">
        <v>5</v>
      </c>
      <c r="I1876">
        <f>VLOOKUP(B1876,BRAND!B:D,3,FALSE)</f>
        <v>3</v>
      </c>
      <c r="J1876">
        <v>6</v>
      </c>
      <c r="M1876">
        <v>1</v>
      </c>
    </row>
    <row r="1877" spans="1:13">
      <c r="A1877" t="s">
        <v>2558</v>
      </c>
      <c r="B1877" t="s">
        <v>1099</v>
      </c>
      <c r="C1877" s="34" t="s">
        <v>1438</v>
      </c>
      <c r="F1877" t="s">
        <v>1438</v>
      </c>
      <c r="H1877">
        <v>15</v>
      </c>
      <c r="I1877">
        <f>VLOOKUP(B1877,BRAND!B:D,3,FALSE)</f>
        <v>3</v>
      </c>
      <c r="J1877">
        <v>4</v>
      </c>
      <c r="K1877" t="s">
        <v>821</v>
      </c>
      <c r="M1877">
        <v>0</v>
      </c>
    </row>
    <row r="1878" spans="1:13">
      <c r="A1878" t="s">
        <v>3216</v>
      </c>
      <c r="B1878" t="s">
        <v>1232</v>
      </c>
      <c r="C1878" s="34" t="s">
        <v>1438</v>
      </c>
      <c r="F1878" t="s">
        <v>1438</v>
      </c>
      <c r="H1878">
        <v>15</v>
      </c>
      <c r="I1878">
        <f>VLOOKUP(B1878,BRAND!B:D,3,FALSE)</f>
        <v>3</v>
      </c>
      <c r="J1878">
        <v>4</v>
      </c>
      <c r="K1878" t="s">
        <v>821</v>
      </c>
      <c r="M1878">
        <v>0</v>
      </c>
    </row>
    <row r="1879" spans="1:13">
      <c r="A1879" t="s">
        <v>6768</v>
      </c>
      <c r="B1879" t="s">
        <v>6758</v>
      </c>
      <c r="C1879" s="34" t="s">
        <v>6769</v>
      </c>
      <c r="F1879" t="s">
        <v>6770</v>
      </c>
      <c r="H1879">
        <v>5</v>
      </c>
      <c r="I1879">
        <f>VLOOKUP(B1879,BRAND!B:D,3,FALSE)</f>
        <v>5</v>
      </c>
      <c r="J1879">
        <f t="shared" ref="J1879:J1885" si="23">LEN(F1879)</f>
        <v>17</v>
      </c>
      <c r="M1879">
        <v>1</v>
      </c>
    </row>
    <row r="1880" spans="1:13">
      <c r="A1880" t="s">
        <v>6765</v>
      </c>
      <c r="B1880" t="s">
        <v>6758</v>
      </c>
      <c r="C1880" s="34" t="s">
        <v>6766</v>
      </c>
      <c r="F1880" t="s">
        <v>6767</v>
      </c>
      <c r="H1880">
        <v>5</v>
      </c>
      <c r="I1880">
        <f>VLOOKUP(B1880,BRAND!B:D,3,FALSE)</f>
        <v>5</v>
      </c>
      <c r="J1880">
        <f t="shared" si="23"/>
        <v>14</v>
      </c>
      <c r="M1880">
        <v>1</v>
      </c>
    </row>
    <row r="1881" spans="1:13">
      <c r="A1881" t="s">
        <v>6771</v>
      </c>
      <c r="B1881" t="s">
        <v>6758</v>
      </c>
      <c r="C1881" s="34" t="s">
        <v>6772</v>
      </c>
      <c r="F1881" t="s">
        <v>6772</v>
      </c>
      <c r="H1881">
        <v>5</v>
      </c>
      <c r="I1881">
        <f>VLOOKUP(B1881,BRAND!B:D,3,FALSE)</f>
        <v>5</v>
      </c>
      <c r="J1881">
        <f t="shared" si="23"/>
        <v>12</v>
      </c>
      <c r="M1881">
        <v>1</v>
      </c>
    </row>
    <row r="1882" spans="1:13">
      <c r="A1882" t="s">
        <v>6763</v>
      </c>
      <c r="B1882" t="s">
        <v>6758</v>
      </c>
      <c r="C1882" s="34" t="s">
        <v>877</v>
      </c>
      <c r="F1882" t="s">
        <v>877</v>
      </c>
      <c r="H1882">
        <v>5</v>
      </c>
      <c r="I1882">
        <f>VLOOKUP(B1882,BRAND!B:D,3,FALSE)</f>
        <v>5</v>
      </c>
      <c r="J1882">
        <f t="shared" si="23"/>
        <v>12</v>
      </c>
      <c r="M1882">
        <v>1</v>
      </c>
    </row>
    <row r="1883" spans="1:13">
      <c r="A1883" t="s">
        <v>6757</v>
      </c>
      <c r="B1883" t="s">
        <v>6758</v>
      </c>
      <c r="C1883" s="34" t="s">
        <v>6759</v>
      </c>
      <c r="F1883" t="s">
        <v>79</v>
      </c>
      <c r="H1883">
        <v>5</v>
      </c>
      <c r="I1883">
        <f>VLOOKUP(B1883,BRAND!B:D,3,FALSE)</f>
        <v>5</v>
      </c>
      <c r="J1883">
        <f t="shared" si="23"/>
        <v>11</v>
      </c>
      <c r="M1883">
        <v>1</v>
      </c>
    </row>
    <row r="1884" spans="1:13">
      <c r="A1884" t="s">
        <v>6760</v>
      </c>
      <c r="B1884" t="s">
        <v>6758</v>
      </c>
      <c r="C1884" s="34" t="s">
        <v>1965</v>
      </c>
      <c r="F1884" t="s">
        <v>1965</v>
      </c>
      <c r="H1884">
        <v>5</v>
      </c>
      <c r="I1884">
        <f>VLOOKUP(B1884,BRAND!B:D,3,FALSE)</f>
        <v>5</v>
      </c>
      <c r="J1884">
        <f t="shared" si="23"/>
        <v>10</v>
      </c>
      <c r="M1884">
        <v>1</v>
      </c>
    </row>
    <row r="1885" spans="1:13">
      <c r="A1885" t="s">
        <v>6773</v>
      </c>
      <c r="B1885" t="s">
        <v>6758</v>
      </c>
      <c r="C1885" s="34" t="s">
        <v>6774</v>
      </c>
      <c r="F1885" t="s">
        <v>6775</v>
      </c>
      <c r="H1885">
        <v>5</v>
      </c>
      <c r="I1885">
        <f>VLOOKUP(B1885,BRAND!B:D,3,FALSE)</f>
        <v>5</v>
      </c>
      <c r="J1885">
        <f t="shared" si="23"/>
        <v>10</v>
      </c>
      <c r="M1885">
        <v>1</v>
      </c>
    </row>
    <row r="1886" spans="1:13">
      <c r="A1886" t="s">
        <v>6776</v>
      </c>
      <c r="B1886" t="s">
        <v>6758</v>
      </c>
      <c r="C1886" s="34" t="s">
        <v>6777</v>
      </c>
      <c r="F1886" t="s">
        <v>6777</v>
      </c>
      <c r="H1886">
        <v>5</v>
      </c>
      <c r="I1886">
        <f>VLOOKUP(B1886,BRAND!B:D,3,FALSE)</f>
        <v>5</v>
      </c>
      <c r="J1886">
        <v>9</v>
      </c>
      <c r="M1886">
        <v>1</v>
      </c>
    </row>
    <row r="1887" spans="1:13">
      <c r="A1887" t="s">
        <v>6761</v>
      </c>
      <c r="B1887" t="s">
        <v>6758</v>
      </c>
      <c r="C1887" s="34" t="s">
        <v>880</v>
      </c>
      <c r="F1887" t="s">
        <v>880</v>
      </c>
      <c r="H1887">
        <v>5</v>
      </c>
      <c r="I1887">
        <f>VLOOKUP(B1887,BRAND!B:D,3,FALSE)</f>
        <v>5</v>
      </c>
      <c r="J1887">
        <v>7</v>
      </c>
      <c r="M1887">
        <v>1</v>
      </c>
    </row>
    <row r="1888" spans="1:13">
      <c r="A1888" t="s">
        <v>6762</v>
      </c>
      <c r="B1888" t="s">
        <v>6758</v>
      </c>
      <c r="C1888" s="34" t="s">
        <v>6733</v>
      </c>
      <c r="F1888" t="s">
        <v>6733</v>
      </c>
      <c r="H1888">
        <v>5</v>
      </c>
      <c r="I1888">
        <f>VLOOKUP(B1888,BRAND!B:D,3,FALSE)</f>
        <v>5</v>
      </c>
      <c r="J1888">
        <v>5</v>
      </c>
      <c r="M1888">
        <v>1</v>
      </c>
    </row>
    <row r="1889" spans="1:13">
      <c r="A1889" t="s">
        <v>6764</v>
      </c>
      <c r="B1889" t="s">
        <v>6758</v>
      </c>
      <c r="C1889" s="34" t="s">
        <v>881</v>
      </c>
      <c r="F1889" t="s">
        <v>881</v>
      </c>
      <c r="H1889">
        <v>5</v>
      </c>
      <c r="I1889">
        <f>VLOOKUP(B1889,BRAND!B:D,3,FALSE)</f>
        <v>5</v>
      </c>
      <c r="J1889">
        <v>5</v>
      </c>
      <c r="M1889">
        <v>1</v>
      </c>
    </row>
    <row r="1890" spans="1:13">
      <c r="A1890" t="s">
        <v>10067</v>
      </c>
      <c r="B1890" t="s">
        <v>7004</v>
      </c>
      <c r="C1890" s="34" t="s">
        <v>1438</v>
      </c>
      <c r="F1890" t="s">
        <v>1438</v>
      </c>
      <c r="H1890">
        <v>15</v>
      </c>
      <c r="I1890">
        <f>VLOOKUP(B1890,BRAND!B:D,3,FALSE)</f>
        <v>11</v>
      </c>
      <c r="J1890">
        <v>4</v>
      </c>
      <c r="M1890">
        <v>0</v>
      </c>
    </row>
    <row r="1891" spans="1:13">
      <c r="A1891" t="s">
        <v>9600</v>
      </c>
      <c r="B1891" t="s">
        <v>251</v>
      </c>
      <c r="C1891" s="34" t="s">
        <v>994</v>
      </c>
      <c r="F1891" t="s">
        <v>994</v>
      </c>
      <c r="G1891" t="s">
        <v>6932</v>
      </c>
      <c r="H1891">
        <v>5</v>
      </c>
      <c r="I1891">
        <f>VLOOKUP(B1891,BRAND!B:D,3,FALSE)</f>
        <v>3</v>
      </c>
      <c r="J1891">
        <f>LEN(F1891)</f>
        <v>10</v>
      </c>
      <c r="M1891">
        <v>1</v>
      </c>
    </row>
    <row r="1892" spans="1:13">
      <c r="A1892" t="s">
        <v>7914</v>
      </c>
      <c r="B1892" t="s">
        <v>251</v>
      </c>
      <c r="C1892" s="34" t="s">
        <v>793</v>
      </c>
      <c r="F1892" t="s">
        <v>793</v>
      </c>
      <c r="G1892" t="s">
        <v>6932</v>
      </c>
      <c r="H1892">
        <v>5</v>
      </c>
      <c r="I1892">
        <f>VLOOKUP(B1892,BRAND!B:D,3,FALSE)</f>
        <v>3</v>
      </c>
      <c r="J1892">
        <v>9</v>
      </c>
      <c r="M1892">
        <v>1</v>
      </c>
    </row>
    <row r="1893" spans="1:13">
      <c r="A1893" t="s">
        <v>9599</v>
      </c>
      <c r="B1893" t="s">
        <v>251</v>
      </c>
      <c r="C1893" s="34" t="s">
        <v>904</v>
      </c>
      <c r="F1893" t="s">
        <v>904</v>
      </c>
      <c r="G1893" t="s">
        <v>6932</v>
      </c>
      <c r="H1893">
        <v>5</v>
      </c>
      <c r="I1893">
        <f>VLOOKUP(B1893,BRAND!B:D,3,FALSE)</f>
        <v>3</v>
      </c>
      <c r="J1893">
        <v>8</v>
      </c>
      <c r="M1893">
        <v>1</v>
      </c>
    </row>
    <row r="1894" spans="1:13">
      <c r="A1894" t="s">
        <v>5180</v>
      </c>
      <c r="B1894" t="s">
        <v>251</v>
      </c>
      <c r="C1894" s="34" t="s">
        <v>5181</v>
      </c>
      <c r="F1894" t="s">
        <v>5181</v>
      </c>
      <c r="H1894">
        <v>5</v>
      </c>
      <c r="I1894">
        <f>VLOOKUP(B1894,BRAND!B:D,3,FALSE)</f>
        <v>3</v>
      </c>
      <c r="J1894">
        <v>7</v>
      </c>
      <c r="K1894" t="s">
        <v>821</v>
      </c>
      <c r="M1894">
        <v>0</v>
      </c>
    </row>
    <row r="1895" spans="1:13">
      <c r="A1895" t="s">
        <v>9595</v>
      </c>
      <c r="B1895" t="s">
        <v>251</v>
      </c>
      <c r="C1895" s="34" t="s">
        <v>5181</v>
      </c>
      <c r="F1895" t="s">
        <v>5181</v>
      </c>
      <c r="G1895" t="s">
        <v>6932</v>
      </c>
      <c r="H1895">
        <v>5</v>
      </c>
      <c r="I1895">
        <f>VLOOKUP(B1895,BRAND!B:D,3,FALSE)</f>
        <v>3</v>
      </c>
      <c r="J1895">
        <v>7</v>
      </c>
      <c r="M1895">
        <v>1</v>
      </c>
    </row>
    <row r="1896" spans="1:13">
      <c r="A1896" t="s">
        <v>4411</v>
      </c>
      <c r="B1896" t="s">
        <v>251</v>
      </c>
      <c r="C1896" s="34" t="s">
        <v>535</v>
      </c>
      <c r="F1896" t="s">
        <v>535</v>
      </c>
      <c r="H1896">
        <v>5</v>
      </c>
      <c r="I1896">
        <f>VLOOKUP(B1896,BRAND!B:D,3,FALSE)</f>
        <v>3</v>
      </c>
      <c r="J1896">
        <v>6</v>
      </c>
      <c r="K1896" t="s">
        <v>821</v>
      </c>
      <c r="M1896">
        <v>0</v>
      </c>
    </row>
    <row r="1897" spans="1:13">
      <c r="A1897" t="s">
        <v>3419</v>
      </c>
      <c r="B1897" t="s">
        <v>251</v>
      </c>
      <c r="C1897" s="34" t="s">
        <v>5233</v>
      </c>
      <c r="F1897" t="s">
        <v>534</v>
      </c>
      <c r="H1897">
        <v>5</v>
      </c>
      <c r="I1897">
        <f>VLOOKUP(B1897,BRAND!B:D,3,FALSE)</f>
        <v>3</v>
      </c>
      <c r="J1897">
        <v>6</v>
      </c>
      <c r="K1897" t="s">
        <v>821</v>
      </c>
      <c r="M1897">
        <v>1</v>
      </c>
    </row>
    <row r="1898" spans="1:13">
      <c r="A1898" t="s">
        <v>5178</v>
      </c>
      <c r="B1898" t="s">
        <v>251</v>
      </c>
      <c r="C1898" s="34" t="s">
        <v>5179</v>
      </c>
      <c r="F1898" t="s">
        <v>5179</v>
      </c>
      <c r="H1898">
        <v>5</v>
      </c>
      <c r="I1898">
        <f>VLOOKUP(B1898,BRAND!B:D,3,FALSE)</f>
        <v>3</v>
      </c>
      <c r="J1898">
        <v>5</v>
      </c>
      <c r="K1898" t="s">
        <v>821</v>
      </c>
      <c r="M1898">
        <v>0</v>
      </c>
    </row>
    <row r="1899" spans="1:13">
      <c r="A1899" t="s">
        <v>3885</v>
      </c>
      <c r="B1899" t="s">
        <v>251</v>
      </c>
      <c r="C1899" s="34" t="s">
        <v>776</v>
      </c>
      <c r="F1899" t="s">
        <v>776</v>
      </c>
      <c r="H1899">
        <v>5</v>
      </c>
      <c r="I1899">
        <f>VLOOKUP(B1899,BRAND!B:D,3,FALSE)</f>
        <v>3</v>
      </c>
      <c r="J1899">
        <v>5</v>
      </c>
      <c r="K1899" t="s">
        <v>821</v>
      </c>
      <c r="M1899">
        <v>0</v>
      </c>
    </row>
    <row r="1900" spans="1:13">
      <c r="A1900" t="s">
        <v>9598</v>
      </c>
      <c r="B1900" t="s">
        <v>251</v>
      </c>
      <c r="C1900" s="34" t="s">
        <v>881</v>
      </c>
      <c r="F1900" t="s">
        <v>881</v>
      </c>
      <c r="H1900">
        <v>5</v>
      </c>
      <c r="I1900">
        <f>VLOOKUP(B1900,BRAND!B:D,3,FALSE)</f>
        <v>3</v>
      </c>
      <c r="J1900">
        <v>5</v>
      </c>
      <c r="K1900" t="s">
        <v>821</v>
      </c>
      <c r="M1900">
        <v>0</v>
      </c>
    </row>
    <row r="1901" spans="1:13">
      <c r="A1901" t="s">
        <v>9594</v>
      </c>
      <c r="B1901" t="s">
        <v>251</v>
      </c>
      <c r="C1901" s="34" t="s">
        <v>751</v>
      </c>
      <c r="F1901" t="s">
        <v>751</v>
      </c>
      <c r="H1901">
        <v>5</v>
      </c>
      <c r="I1901">
        <f>VLOOKUP(B1901,BRAND!B:D,3,FALSE)</f>
        <v>3</v>
      </c>
      <c r="J1901">
        <v>5</v>
      </c>
      <c r="M1901">
        <v>1</v>
      </c>
    </row>
    <row r="1902" spans="1:13">
      <c r="A1902" t="s">
        <v>9597</v>
      </c>
      <c r="B1902" t="s">
        <v>251</v>
      </c>
      <c r="C1902" s="34" t="s">
        <v>7401</v>
      </c>
      <c r="F1902" t="s">
        <v>7401</v>
      </c>
      <c r="G1902" t="s">
        <v>6932</v>
      </c>
      <c r="H1902">
        <v>5</v>
      </c>
      <c r="I1902">
        <f>VLOOKUP(B1902,BRAND!B:D,3,FALSE)</f>
        <v>3</v>
      </c>
      <c r="J1902">
        <v>5</v>
      </c>
      <c r="M1902">
        <v>1</v>
      </c>
    </row>
    <row r="1903" spans="1:13">
      <c r="A1903" t="s">
        <v>9598</v>
      </c>
      <c r="B1903" t="s">
        <v>251</v>
      </c>
      <c r="C1903" s="34" t="s">
        <v>881</v>
      </c>
      <c r="F1903" t="s">
        <v>881</v>
      </c>
      <c r="G1903" t="s">
        <v>6932</v>
      </c>
      <c r="H1903">
        <v>5</v>
      </c>
      <c r="I1903">
        <f>VLOOKUP(B1903,BRAND!B:D,3,FALSE)</f>
        <v>3</v>
      </c>
      <c r="J1903">
        <v>5</v>
      </c>
      <c r="M1903">
        <v>1</v>
      </c>
    </row>
    <row r="1904" spans="1:13">
      <c r="A1904" t="s">
        <v>9596</v>
      </c>
      <c r="B1904" t="s">
        <v>251</v>
      </c>
      <c r="C1904" s="34" t="s">
        <v>1438</v>
      </c>
      <c r="F1904" t="s">
        <v>1438</v>
      </c>
      <c r="G1904" t="s">
        <v>6932</v>
      </c>
      <c r="H1904">
        <v>5</v>
      </c>
      <c r="I1904">
        <f>VLOOKUP(B1904,BRAND!B:D,3,FALSE)</f>
        <v>3</v>
      </c>
      <c r="J1904">
        <v>4</v>
      </c>
      <c r="M1904">
        <v>1</v>
      </c>
    </row>
    <row r="1905" spans="1:13">
      <c r="A1905" t="s">
        <v>5182</v>
      </c>
      <c r="B1905" t="s">
        <v>251</v>
      </c>
      <c r="C1905" s="34" t="s">
        <v>788</v>
      </c>
      <c r="F1905" t="s">
        <v>788</v>
      </c>
      <c r="H1905">
        <v>5</v>
      </c>
      <c r="I1905">
        <f>VLOOKUP(B1905,BRAND!B:D,3,FALSE)</f>
        <v>3</v>
      </c>
      <c r="J1905">
        <v>4</v>
      </c>
      <c r="K1905" t="s">
        <v>821</v>
      </c>
      <c r="M1905">
        <v>1</v>
      </c>
    </row>
    <row r="1906" spans="1:13">
      <c r="A1906" t="s">
        <v>10068</v>
      </c>
      <c r="B1906" t="s">
        <v>7916</v>
      </c>
      <c r="C1906" s="34" t="s">
        <v>1999</v>
      </c>
      <c r="F1906" t="s">
        <v>1999</v>
      </c>
      <c r="H1906">
        <v>5</v>
      </c>
      <c r="I1906">
        <f>VLOOKUP(B1906,BRAND!B:D,3,FALSE)</f>
        <v>5.5</v>
      </c>
      <c r="J1906">
        <v>7</v>
      </c>
      <c r="K1906" t="s">
        <v>821</v>
      </c>
      <c r="M1906">
        <v>0</v>
      </c>
    </row>
    <row r="1907" spans="1:13">
      <c r="A1907" t="s">
        <v>7917</v>
      </c>
      <c r="B1907" t="s">
        <v>7916</v>
      </c>
      <c r="C1907" s="34" t="s">
        <v>772</v>
      </c>
      <c r="F1907" t="s">
        <v>772</v>
      </c>
      <c r="G1907" t="s">
        <v>6932</v>
      </c>
      <c r="H1907">
        <v>5</v>
      </c>
      <c r="I1907">
        <f>VLOOKUP(B1907,BRAND!B:D,3,FALSE)</f>
        <v>5.5</v>
      </c>
      <c r="J1907">
        <v>6</v>
      </c>
      <c r="M1907">
        <v>1</v>
      </c>
    </row>
    <row r="1908" spans="1:13">
      <c r="A1908" t="s">
        <v>7918</v>
      </c>
      <c r="B1908" t="s">
        <v>7916</v>
      </c>
      <c r="C1908" s="34" t="s">
        <v>534</v>
      </c>
      <c r="F1908" t="s">
        <v>534</v>
      </c>
      <c r="G1908" t="s">
        <v>6932</v>
      </c>
      <c r="H1908">
        <v>5</v>
      </c>
      <c r="I1908">
        <f>VLOOKUP(B1908,BRAND!B:D,3,FALSE)</f>
        <v>5.5</v>
      </c>
      <c r="J1908">
        <v>6</v>
      </c>
      <c r="M1908">
        <v>1</v>
      </c>
    </row>
    <row r="1909" spans="1:13">
      <c r="A1909" t="s">
        <v>10069</v>
      </c>
      <c r="B1909" t="s">
        <v>7916</v>
      </c>
      <c r="C1909" s="34" t="s">
        <v>751</v>
      </c>
      <c r="F1909" t="s">
        <v>751</v>
      </c>
      <c r="H1909">
        <v>5</v>
      </c>
      <c r="I1909">
        <f>VLOOKUP(B1909,BRAND!B:D,3,FALSE)</f>
        <v>5.5</v>
      </c>
      <c r="J1909">
        <v>5</v>
      </c>
      <c r="K1909" t="s">
        <v>821</v>
      </c>
      <c r="M1909">
        <v>0</v>
      </c>
    </row>
    <row r="1910" spans="1:13">
      <c r="A1910" t="s">
        <v>7915</v>
      </c>
      <c r="B1910" t="s">
        <v>7916</v>
      </c>
      <c r="C1910" s="34" t="s">
        <v>536</v>
      </c>
      <c r="F1910" t="s">
        <v>536</v>
      </c>
      <c r="G1910" t="s">
        <v>6932</v>
      </c>
      <c r="H1910">
        <v>5</v>
      </c>
      <c r="I1910">
        <f>VLOOKUP(B1910,BRAND!B:D,3,FALSE)</f>
        <v>5.5</v>
      </c>
      <c r="J1910">
        <v>5</v>
      </c>
      <c r="M1910">
        <v>1</v>
      </c>
    </row>
    <row r="1911" spans="1:13">
      <c r="A1911" t="s">
        <v>10070</v>
      </c>
      <c r="B1911" t="s">
        <v>7916</v>
      </c>
      <c r="C1911" s="34" t="s">
        <v>781</v>
      </c>
      <c r="F1911" t="s">
        <v>781</v>
      </c>
      <c r="H1911">
        <v>5</v>
      </c>
      <c r="I1911">
        <f>VLOOKUP(B1911,BRAND!B:D,3,FALSE)</f>
        <v>5.5</v>
      </c>
      <c r="J1911">
        <v>4</v>
      </c>
      <c r="K1911" t="s">
        <v>821</v>
      </c>
      <c r="M1911">
        <v>0</v>
      </c>
    </row>
    <row r="1912" spans="1:13">
      <c r="A1912" t="s">
        <v>3484</v>
      </c>
      <c r="B1912" t="s">
        <v>1100</v>
      </c>
      <c r="C1912" s="34" t="s">
        <v>946</v>
      </c>
      <c r="F1912" t="s">
        <v>946</v>
      </c>
      <c r="H1912">
        <v>5</v>
      </c>
      <c r="I1912">
        <f>VLOOKUP(B1912,BRAND!B:D,3,FALSE)</f>
        <v>9</v>
      </c>
      <c r="J1912">
        <v>6</v>
      </c>
      <c r="K1912" t="s">
        <v>821</v>
      </c>
      <c r="M1912">
        <v>1</v>
      </c>
    </row>
    <row r="1913" spans="1:13">
      <c r="A1913" t="s">
        <v>2492</v>
      </c>
      <c r="B1913" t="s">
        <v>1100</v>
      </c>
      <c r="C1913" s="34" t="s">
        <v>1438</v>
      </c>
      <c r="F1913" t="s">
        <v>1438</v>
      </c>
      <c r="H1913">
        <v>15</v>
      </c>
      <c r="I1913">
        <f>VLOOKUP(B1913,BRAND!B:D,3,FALSE)</f>
        <v>9</v>
      </c>
      <c r="J1913">
        <v>4</v>
      </c>
      <c r="K1913" t="s">
        <v>821</v>
      </c>
      <c r="M1913">
        <v>0</v>
      </c>
    </row>
    <row r="1914" spans="1:13">
      <c r="A1914" t="s">
        <v>15232</v>
      </c>
      <c r="B1914" t="s">
        <v>15233</v>
      </c>
      <c r="C1914" s="34" t="s">
        <v>15234</v>
      </c>
      <c r="F1914" t="s">
        <v>15234</v>
      </c>
      <c r="G1914" t="s">
        <v>6932</v>
      </c>
      <c r="H1914">
        <v>5</v>
      </c>
      <c r="I1914">
        <f>VLOOKUP(B1914,BRAND!B:D,3,FALSE)</f>
        <v>5</v>
      </c>
      <c r="J1914">
        <v>0</v>
      </c>
      <c r="K1914" t="s">
        <v>821</v>
      </c>
      <c r="L1914">
        <v>0</v>
      </c>
      <c r="M1914">
        <v>0</v>
      </c>
    </row>
    <row r="1915" spans="1:13">
      <c r="A1915" t="s">
        <v>15511</v>
      </c>
      <c r="B1915" t="s">
        <v>15233</v>
      </c>
      <c r="C1915" s="34" t="s">
        <v>561</v>
      </c>
      <c r="F1915" t="s">
        <v>561</v>
      </c>
      <c r="G1915" t="s">
        <v>6932</v>
      </c>
      <c r="H1915">
        <v>5</v>
      </c>
      <c r="I1915">
        <f>VLOOKUP(B1915,BRAND!B:D,3,FALSE)</f>
        <v>5</v>
      </c>
      <c r="J1915">
        <v>0</v>
      </c>
      <c r="K1915" t="s">
        <v>821</v>
      </c>
      <c r="L1915">
        <v>0</v>
      </c>
      <c r="M1915">
        <v>0</v>
      </c>
    </row>
    <row r="1916" spans="1:13">
      <c r="A1916" t="s">
        <v>15512</v>
      </c>
      <c r="B1916" t="s">
        <v>15233</v>
      </c>
      <c r="C1916" s="34" t="s">
        <v>15513</v>
      </c>
      <c r="F1916" t="s">
        <v>15513</v>
      </c>
      <c r="G1916" t="s">
        <v>6932</v>
      </c>
      <c r="H1916">
        <v>5</v>
      </c>
      <c r="I1916">
        <f>VLOOKUP(B1916,BRAND!B:D,3,FALSE)</f>
        <v>5</v>
      </c>
      <c r="J1916">
        <v>0</v>
      </c>
      <c r="K1916" t="s">
        <v>821</v>
      </c>
      <c r="L1916">
        <v>0</v>
      </c>
      <c r="M1916">
        <v>0</v>
      </c>
    </row>
    <row r="1917" spans="1:13">
      <c r="A1917" t="s">
        <v>15514</v>
      </c>
      <c r="B1917" t="s">
        <v>15233</v>
      </c>
      <c r="C1917" s="34" t="s">
        <v>15515</v>
      </c>
      <c r="F1917" t="s">
        <v>15515</v>
      </c>
      <c r="G1917" t="s">
        <v>6932</v>
      </c>
      <c r="H1917">
        <v>5</v>
      </c>
      <c r="I1917">
        <f>VLOOKUP(B1917,BRAND!B:D,3,FALSE)</f>
        <v>5</v>
      </c>
      <c r="J1917">
        <v>0</v>
      </c>
      <c r="K1917" t="s">
        <v>821</v>
      </c>
      <c r="L1917">
        <v>0</v>
      </c>
      <c r="M1917">
        <v>0</v>
      </c>
    </row>
    <row r="1918" spans="1:13">
      <c r="A1918" t="s">
        <v>15516</v>
      </c>
      <c r="B1918" t="s">
        <v>15233</v>
      </c>
      <c r="C1918" s="34" t="s">
        <v>15517</v>
      </c>
      <c r="F1918" t="s">
        <v>15517</v>
      </c>
      <c r="G1918" t="s">
        <v>6932</v>
      </c>
      <c r="H1918">
        <v>5</v>
      </c>
      <c r="I1918">
        <f>VLOOKUP(B1918,BRAND!B:D,3,FALSE)</f>
        <v>5</v>
      </c>
      <c r="J1918">
        <v>0</v>
      </c>
      <c r="K1918" t="s">
        <v>821</v>
      </c>
      <c r="L1918">
        <v>0</v>
      </c>
      <c r="M1918">
        <v>0</v>
      </c>
    </row>
    <row r="1919" spans="1:13">
      <c r="A1919" t="s">
        <v>15518</v>
      </c>
      <c r="B1919" t="s">
        <v>15233</v>
      </c>
      <c r="C1919" s="34" t="s">
        <v>15519</v>
      </c>
      <c r="F1919" t="s">
        <v>15519</v>
      </c>
      <c r="G1919" t="s">
        <v>801</v>
      </c>
      <c r="H1919">
        <v>5</v>
      </c>
      <c r="I1919">
        <f>VLOOKUP(B1919,BRAND!B:D,3,FALSE)</f>
        <v>5</v>
      </c>
      <c r="J1919">
        <v>0</v>
      </c>
      <c r="K1919" t="s">
        <v>821</v>
      </c>
      <c r="L1919">
        <v>0</v>
      </c>
      <c r="M1919">
        <v>0</v>
      </c>
    </row>
    <row r="1920" spans="1:13">
      <c r="A1920" t="s">
        <v>4496</v>
      </c>
      <c r="B1920" t="s">
        <v>921</v>
      </c>
      <c r="C1920" s="34" t="s">
        <v>1476</v>
      </c>
      <c r="F1920" t="s">
        <v>1476</v>
      </c>
      <c r="H1920">
        <v>15</v>
      </c>
      <c r="I1920">
        <f>VLOOKUP(B1920,BRAND!B:D,3,FALSE)</f>
        <v>9</v>
      </c>
      <c r="J1920">
        <f>LEN(F1920)</f>
        <v>11</v>
      </c>
      <c r="K1920" t="s">
        <v>821</v>
      </c>
      <c r="M1920">
        <v>0</v>
      </c>
    </row>
    <row r="1921" spans="1:13">
      <c r="A1921" t="s">
        <v>4664</v>
      </c>
      <c r="B1921" t="s">
        <v>921</v>
      </c>
      <c r="C1921" s="34" t="s">
        <v>783</v>
      </c>
      <c r="F1921" t="s">
        <v>783</v>
      </c>
      <c r="H1921">
        <v>15</v>
      </c>
      <c r="I1921">
        <f>VLOOKUP(B1921,BRAND!B:D,3,FALSE)</f>
        <v>9</v>
      </c>
      <c r="J1921">
        <f>LEN(F1921)</f>
        <v>10</v>
      </c>
      <c r="K1921" t="s">
        <v>821</v>
      </c>
      <c r="M1921">
        <v>0</v>
      </c>
    </row>
    <row r="1922" spans="1:13">
      <c r="A1922" t="s">
        <v>4431</v>
      </c>
      <c r="B1922" t="s">
        <v>921</v>
      </c>
      <c r="C1922" s="34" t="s">
        <v>1489</v>
      </c>
      <c r="F1922" t="s">
        <v>1489</v>
      </c>
      <c r="H1922">
        <v>15</v>
      </c>
      <c r="I1922">
        <f>VLOOKUP(B1922,BRAND!B:D,3,FALSE)</f>
        <v>9</v>
      </c>
      <c r="J1922">
        <v>7</v>
      </c>
      <c r="K1922" t="s">
        <v>821</v>
      </c>
      <c r="M1922">
        <v>0</v>
      </c>
    </row>
    <row r="1923" spans="1:13">
      <c r="A1923" t="s">
        <v>4515</v>
      </c>
      <c r="B1923" t="s">
        <v>921</v>
      </c>
      <c r="C1923" s="34" t="s">
        <v>772</v>
      </c>
      <c r="F1923" t="s">
        <v>772</v>
      </c>
      <c r="H1923">
        <v>15</v>
      </c>
      <c r="I1923">
        <f>VLOOKUP(B1923,BRAND!B:D,3,FALSE)</f>
        <v>9</v>
      </c>
      <c r="J1923">
        <v>6</v>
      </c>
      <c r="K1923" t="s">
        <v>821</v>
      </c>
      <c r="M1923">
        <v>0</v>
      </c>
    </row>
    <row r="1924" spans="1:13">
      <c r="A1924" t="s">
        <v>4760</v>
      </c>
      <c r="B1924" t="s">
        <v>921</v>
      </c>
      <c r="C1924" s="34" t="s">
        <v>800</v>
      </c>
      <c r="F1924" t="s">
        <v>800</v>
      </c>
      <c r="H1924">
        <v>15</v>
      </c>
      <c r="I1924">
        <f>VLOOKUP(B1924,BRAND!B:D,3,FALSE)</f>
        <v>9</v>
      </c>
      <c r="J1924">
        <v>6</v>
      </c>
      <c r="K1924" t="s">
        <v>821</v>
      </c>
      <c r="M1924">
        <v>0</v>
      </c>
    </row>
    <row r="1925" spans="1:13">
      <c r="A1925" t="s">
        <v>4656</v>
      </c>
      <c r="B1925" t="s">
        <v>921</v>
      </c>
      <c r="C1925" s="34" t="s">
        <v>764</v>
      </c>
      <c r="F1925" t="s">
        <v>764</v>
      </c>
      <c r="H1925">
        <v>15</v>
      </c>
      <c r="I1925">
        <f>VLOOKUP(B1925,BRAND!B:D,3,FALSE)</f>
        <v>9</v>
      </c>
      <c r="J1925">
        <v>5</v>
      </c>
      <c r="K1925" t="s">
        <v>821</v>
      </c>
      <c r="M1925">
        <v>0</v>
      </c>
    </row>
    <row r="1926" spans="1:13">
      <c r="A1926" t="s">
        <v>4118</v>
      </c>
      <c r="B1926" t="s">
        <v>921</v>
      </c>
      <c r="C1926" s="34" t="s">
        <v>799</v>
      </c>
      <c r="F1926" t="s">
        <v>799</v>
      </c>
      <c r="H1926">
        <v>15</v>
      </c>
      <c r="I1926">
        <f>VLOOKUP(B1926,BRAND!B:D,3,FALSE)</f>
        <v>9</v>
      </c>
      <c r="J1926">
        <v>5</v>
      </c>
      <c r="K1926" t="s">
        <v>821</v>
      </c>
      <c r="M1926">
        <v>0</v>
      </c>
    </row>
    <row r="1927" spans="1:13">
      <c r="A1927" t="s">
        <v>4630</v>
      </c>
      <c r="B1927" t="s">
        <v>921</v>
      </c>
      <c r="C1927" s="34" t="s">
        <v>1513</v>
      </c>
      <c r="F1927" t="s">
        <v>1513</v>
      </c>
      <c r="H1927">
        <v>15</v>
      </c>
      <c r="I1927">
        <f>VLOOKUP(B1927,BRAND!B:D,3,FALSE)</f>
        <v>9</v>
      </c>
      <c r="J1927">
        <v>5</v>
      </c>
      <c r="K1927" t="s">
        <v>821</v>
      </c>
      <c r="M1927">
        <v>0</v>
      </c>
    </row>
    <row r="1928" spans="1:13">
      <c r="A1928" t="s">
        <v>4532</v>
      </c>
      <c r="B1928" t="s">
        <v>921</v>
      </c>
      <c r="C1928" s="34" t="s">
        <v>778</v>
      </c>
      <c r="F1928" t="s">
        <v>778</v>
      </c>
      <c r="H1928">
        <v>15</v>
      </c>
      <c r="I1928">
        <f>VLOOKUP(B1928,BRAND!B:D,3,FALSE)</f>
        <v>9</v>
      </c>
      <c r="J1928">
        <v>4</v>
      </c>
      <c r="K1928" t="s">
        <v>821</v>
      </c>
      <c r="M1928">
        <v>0</v>
      </c>
    </row>
    <row r="1929" spans="1:13">
      <c r="A1929" t="s">
        <v>2197</v>
      </c>
      <c r="B1929" t="s">
        <v>921</v>
      </c>
      <c r="C1929" s="34" t="s">
        <v>1438</v>
      </c>
      <c r="F1929" t="s">
        <v>1438</v>
      </c>
      <c r="H1929">
        <v>15</v>
      </c>
      <c r="I1929">
        <f>VLOOKUP(B1929,BRAND!B:D,3,FALSE)</f>
        <v>9</v>
      </c>
      <c r="J1929">
        <v>4</v>
      </c>
      <c r="K1929" t="s">
        <v>821</v>
      </c>
      <c r="M1929">
        <v>0</v>
      </c>
    </row>
    <row r="1930" spans="1:13">
      <c r="A1930" t="s">
        <v>4534</v>
      </c>
      <c r="B1930" t="s">
        <v>921</v>
      </c>
      <c r="C1930" s="34" t="s">
        <v>775</v>
      </c>
      <c r="F1930" t="s">
        <v>775</v>
      </c>
      <c r="H1930">
        <v>15</v>
      </c>
      <c r="I1930">
        <f>VLOOKUP(B1930,BRAND!B:D,3,FALSE)</f>
        <v>9</v>
      </c>
      <c r="J1930">
        <v>3</v>
      </c>
      <c r="K1930" t="s">
        <v>821</v>
      </c>
      <c r="L1930">
        <v>0</v>
      </c>
      <c r="M1930">
        <v>0</v>
      </c>
    </row>
    <row r="1931" spans="1:13">
      <c r="A1931" t="s">
        <v>9601</v>
      </c>
      <c r="B1931" t="s">
        <v>9986</v>
      </c>
      <c r="C1931" s="34" t="s">
        <v>946</v>
      </c>
      <c r="F1931" t="s">
        <v>946</v>
      </c>
      <c r="G1931" t="s">
        <v>6932</v>
      </c>
      <c r="H1931">
        <v>5</v>
      </c>
      <c r="I1931">
        <f>VLOOKUP(B1931,BRAND!B:D,3,FALSE)</f>
        <v>5.5</v>
      </c>
      <c r="J1931">
        <v>6</v>
      </c>
      <c r="M1931">
        <v>1</v>
      </c>
    </row>
    <row r="1932" spans="1:13">
      <c r="A1932" t="s">
        <v>9602</v>
      </c>
      <c r="B1932" t="s">
        <v>9986</v>
      </c>
      <c r="C1932" s="34" t="s">
        <v>788</v>
      </c>
      <c r="F1932" t="s">
        <v>788</v>
      </c>
      <c r="G1932" t="s">
        <v>6932</v>
      </c>
      <c r="H1932">
        <v>5</v>
      </c>
      <c r="I1932">
        <f>VLOOKUP(B1932,BRAND!B:D,3,FALSE)</f>
        <v>5.5</v>
      </c>
      <c r="J1932">
        <v>4</v>
      </c>
      <c r="M1932">
        <v>1</v>
      </c>
    </row>
    <row r="1933" spans="1:13">
      <c r="A1933" t="s">
        <v>10467</v>
      </c>
      <c r="B1933" t="s">
        <v>10400</v>
      </c>
      <c r="C1933" s="34" t="s">
        <v>1438</v>
      </c>
      <c r="F1933" t="s">
        <v>1438</v>
      </c>
      <c r="G1933" t="s">
        <v>6932</v>
      </c>
      <c r="H1933">
        <v>5</v>
      </c>
      <c r="I1933">
        <f>VLOOKUP(B1933,BRAND!B:D,3,FALSE)</f>
        <v>0</v>
      </c>
      <c r="J1933">
        <f>LEN(F1933)</f>
        <v>4</v>
      </c>
      <c r="L1933">
        <v>0</v>
      </c>
    </row>
    <row r="1934" spans="1:13" ht="35.5" customHeight="1">
      <c r="A1934" t="s">
        <v>4579</v>
      </c>
      <c r="B1934" t="s">
        <v>34</v>
      </c>
      <c r="C1934" s="34" t="s">
        <v>1467</v>
      </c>
      <c r="F1934" t="s">
        <v>1467</v>
      </c>
      <c r="H1934">
        <v>4</v>
      </c>
      <c r="I1934">
        <f>VLOOKUP(B1934,BRAND!B:D,3,FALSE)</f>
        <v>3</v>
      </c>
      <c r="J1934">
        <f>LEN(F1934)</f>
        <v>12</v>
      </c>
      <c r="K1934" t="s">
        <v>822</v>
      </c>
      <c r="M1934">
        <v>1</v>
      </c>
    </row>
    <row r="1935" spans="1:13">
      <c r="A1935" t="s">
        <v>1628</v>
      </c>
      <c r="B1935" t="s">
        <v>34</v>
      </c>
      <c r="C1935" s="34" t="s">
        <v>1476</v>
      </c>
      <c r="F1935" t="s">
        <v>1476</v>
      </c>
      <c r="H1935">
        <v>5</v>
      </c>
      <c r="I1935">
        <f>VLOOKUP(B1935,BRAND!B:D,3,FALSE)</f>
        <v>3</v>
      </c>
      <c r="J1935">
        <f>LEN(F1935)</f>
        <v>11</v>
      </c>
      <c r="K1935" t="s">
        <v>822</v>
      </c>
      <c r="M1935">
        <v>1</v>
      </c>
    </row>
    <row r="1936" spans="1:13">
      <c r="A1936" t="s">
        <v>5217</v>
      </c>
      <c r="B1936" t="s">
        <v>34</v>
      </c>
      <c r="C1936" s="34" t="s">
        <v>1981</v>
      </c>
      <c r="F1936" t="s">
        <v>1981</v>
      </c>
      <c r="H1936">
        <v>5</v>
      </c>
      <c r="I1936">
        <f>VLOOKUP(B1936,BRAND!B:D,3,FALSE)</f>
        <v>3</v>
      </c>
      <c r="J1936">
        <f>LEN(F1936)</f>
        <v>10</v>
      </c>
      <c r="K1936" t="s">
        <v>822</v>
      </c>
      <c r="M1936">
        <v>1</v>
      </c>
    </row>
    <row r="1937" spans="1:13">
      <c r="A1937" t="s">
        <v>5216</v>
      </c>
      <c r="B1937" t="s">
        <v>34</v>
      </c>
      <c r="C1937" s="34" t="s">
        <v>1965</v>
      </c>
      <c r="F1937" t="s">
        <v>1965</v>
      </c>
      <c r="H1937">
        <v>5</v>
      </c>
      <c r="I1937">
        <f>VLOOKUP(B1937,BRAND!B:D,3,FALSE)</f>
        <v>3</v>
      </c>
      <c r="J1937">
        <f>LEN(F1937)</f>
        <v>10</v>
      </c>
      <c r="K1937" t="s">
        <v>822</v>
      </c>
      <c r="M1937">
        <v>1</v>
      </c>
    </row>
    <row r="1938" spans="1:13">
      <c r="A1938" t="s">
        <v>5220</v>
      </c>
      <c r="B1938" t="s">
        <v>34</v>
      </c>
      <c r="C1938" s="34" t="s">
        <v>5183</v>
      </c>
      <c r="F1938" t="s">
        <v>5183</v>
      </c>
      <c r="H1938">
        <v>5</v>
      </c>
      <c r="I1938">
        <f>VLOOKUP(B1938,BRAND!B:D,3,FALSE)</f>
        <v>3</v>
      </c>
      <c r="J1938">
        <v>9</v>
      </c>
      <c r="K1938" t="s">
        <v>822</v>
      </c>
      <c r="M1938">
        <v>1</v>
      </c>
    </row>
    <row r="1939" spans="1:13">
      <c r="A1939" t="s">
        <v>5218</v>
      </c>
      <c r="B1939" t="s">
        <v>34</v>
      </c>
      <c r="C1939" s="34" t="s">
        <v>1483</v>
      </c>
      <c r="F1939" t="s">
        <v>1483</v>
      </c>
      <c r="H1939">
        <v>5</v>
      </c>
      <c r="I1939">
        <f>VLOOKUP(B1939,BRAND!B:D,3,FALSE)</f>
        <v>3</v>
      </c>
      <c r="J1939">
        <v>9</v>
      </c>
      <c r="K1939" t="s">
        <v>822</v>
      </c>
      <c r="M1939">
        <v>1</v>
      </c>
    </row>
    <row r="1940" spans="1:13">
      <c r="A1940" s="29" t="s">
        <v>5219</v>
      </c>
      <c r="B1940" s="29" t="s">
        <v>34</v>
      </c>
      <c r="C1940" s="36" t="s">
        <v>746</v>
      </c>
      <c r="D1940" s="29"/>
      <c r="E1940" s="29"/>
      <c r="F1940" s="29" t="s">
        <v>746</v>
      </c>
      <c r="G1940" s="29"/>
      <c r="H1940" s="29">
        <v>5</v>
      </c>
      <c r="I1940">
        <f>VLOOKUP(B1940,BRAND!B:D,3,FALSE)</f>
        <v>3</v>
      </c>
      <c r="J1940">
        <v>6</v>
      </c>
      <c r="K1940" t="s">
        <v>822</v>
      </c>
      <c r="M1940">
        <v>1</v>
      </c>
    </row>
    <row r="1941" spans="1:13">
      <c r="A1941" s="29" t="s">
        <v>1670</v>
      </c>
      <c r="B1941" s="29" t="s">
        <v>34</v>
      </c>
      <c r="C1941" s="36" t="s">
        <v>995</v>
      </c>
      <c r="D1941" s="29"/>
      <c r="E1941" s="29"/>
      <c r="F1941" s="29" t="s">
        <v>995</v>
      </c>
      <c r="G1941" s="29"/>
      <c r="H1941" s="29">
        <v>5</v>
      </c>
      <c r="I1941">
        <f>VLOOKUP(B1941,BRAND!B:D,3,FALSE)</f>
        <v>3</v>
      </c>
      <c r="J1941">
        <v>6</v>
      </c>
      <c r="K1941" t="s">
        <v>822</v>
      </c>
      <c r="M1941">
        <v>1</v>
      </c>
    </row>
    <row r="1942" spans="1:13">
      <c r="A1942" t="s">
        <v>4110</v>
      </c>
      <c r="B1942" t="s">
        <v>34</v>
      </c>
      <c r="C1942" s="34" t="s">
        <v>764</v>
      </c>
      <c r="F1942" t="s">
        <v>764</v>
      </c>
      <c r="H1942">
        <v>5</v>
      </c>
      <c r="I1942">
        <f>VLOOKUP(B1942,BRAND!B:D,3,FALSE)</f>
        <v>3</v>
      </c>
      <c r="J1942">
        <v>5</v>
      </c>
      <c r="K1942" t="s">
        <v>822</v>
      </c>
      <c r="M1942">
        <v>1</v>
      </c>
    </row>
    <row r="1943" spans="1:13">
      <c r="A1943" t="s">
        <v>1687</v>
      </c>
      <c r="B1943" t="s">
        <v>34</v>
      </c>
      <c r="C1943" s="34" t="s">
        <v>799</v>
      </c>
      <c r="F1943" t="s">
        <v>799</v>
      </c>
      <c r="H1943">
        <v>5</v>
      </c>
      <c r="I1943">
        <f>VLOOKUP(B1943,BRAND!B:D,3,FALSE)</f>
        <v>3</v>
      </c>
      <c r="J1943">
        <v>5</v>
      </c>
      <c r="K1943" t="s">
        <v>822</v>
      </c>
      <c r="M1943">
        <v>1</v>
      </c>
    </row>
    <row r="1944" spans="1:13">
      <c r="A1944" t="s">
        <v>4568</v>
      </c>
      <c r="B1944" t="s">
        <v>34</v>
      </c>
      <c r="C1944" s="34" t="s">
        <v>1513</v>
      </c>
      <c r="F1944" t="s">
        <v>1513</v>
      </c>
      <c r="H1944">
        <v>5</v>
      </c>
      <c r="I1944">
        <f>VLOOKUP(B1944,BRAND!B:D,3,FALSE)</f>
        <v>3</v>
      </c>
      <c r="J1944">
        <v>5</v>
      </c>
      <c r="K1944" t="s">
        <v>822</v>
      </c>
      <c r="M1944">
        <v>1</v>
      </c>
    </row>
    <row r="1945" spans="1:13">
      <c r="A1945" s="29" t="s">
        <v>5026</v>
      </c>
      <c r="B1945" s="29" t="s">
        <v>34</v>
      </c>
      <c r="C1945" s="36" t="s">
        <v>876</v>
      </c>
      <c r="D1945" s="29"/>
      <c r="E1945" s="29"/>
      <c r="F1945" s="29" t="s">
        <v>876</v>
      </c>
      <c r="G1945" s="29" t="s">
        <v>801</v>
      </c>
      <c r="H1945" s="29">
        <v>6</v>
      </c>
      <c r="I1945">
        <f>VLOOKUP(B1945,BRAND!B:D,3,FALSE)</f>
        <v>3</v>
      </c>
      <c r="J1945">
        <v>4</v>
      </c>
      <c r="K1945" t="s">
        <v>822</v>
      </c>
      <c r="M1945">
        <v>1</v>
      </c>
    </row>
    <row r="1946" spans="1:13">
      <c r="A1946" t="s">
        <v>5029</v>
      </c>
      <c r="B1946" t="s">
        <v>34</v>
      </c>
      <c r="C1946" s="34" t="s">
        <v>1515</v>
      </c>
      <c r="F1946" t="s">
        <v>1515</v>
      </c>
      <c r="G1946" t="s">
        <v>801</v>
      </c>
      <c r="H1946">
        <v>6</v>
      </c>
      <c r="I1946">
        <f>VLOOKUP(B1946,BRAND!B:D,3,FALSE)</f>
        <v>3</v>
      </c>
      <c r="J1946">
        <v>4</v>
      </c>
      <c r="K1946" t="s">
        <v>822</v>
      </c>
      <c r="M1946">
        <v>1</v>
      </c>
    </row>
    <row r="1947" spans="1:13">
      <c r="A1947" t="s">
        <v>1532</v>
      </c>
      <c r="B1947" t="s">
        <v>34</v>
      </c>
      <c r="C1947" s="34" t="s">
        <v>5234</v>
      </c>
      <c r="F1947" t="s">
        <v>898</v>
      </c>
      <c r="H1947">
        <v>7</v>
      </c>
      <c r="I1947">
        <f>VLOOKUP(B1947,BRAND!B:D,3,FALSE)</f>
        <v>3</v>
      </c>
      <c r="J1947">
        <v>6</v>
      </c>
      <c r="K1947" t="s">
        <v>822</v>
      </c>
      <c r="M1947">
        <v>1</v>
      </c>
    </row>
    <row r="1948" spans="1:13">
      <c r="A1948" t="s">
        <v>2823</v>
      </c>
      <c r="B1948" t="s">
        <v>504</v>
      </c>
      <c r="C1948" s="34" t="s">
        <v>1438</v>
      </c>
      <c r="F1948" t="s">
        <v>1438</v>
      </c>
      <c r="H1948">
        <v>15</v>
      </c>
      <c r="I1948">
        <f>VLOOKUP(B1948,BRAND!B:D,3,FALSE)</f>
        <v>3</v>
      </c>
      <c r="J1948">
        <v>4</v>
      </c>
      <c r="K1948" t="s">
        <v>821</v>
      </c>
      <c r="M1948">
        <v>1</v>
      </c>
    </row>
    <row r="1949" spans="1:13">
      <c r="A1949" t="s">
        <v>7919</v>
      </c>
      <c r="B1949" t="s">
        <v>7920</v>
      </c>
      <c r="C1949" s="34" t="s">
        <v>1438</v>
      </c>
      <c r="F1949" t="s">
        <v>1438</v>
      </c>
      <c r="G1949" t="s">
        <v>6932</v>
      </c>
      <c r="H1949">
        <v>5</v>
      </c>
      <c r="I1949">
        <f>VLOOKUP(B1949,BRAND!B:D,3,FALSE)</f>
        <v>5.5</v>
      </c>
      <c r="J1949">
        <v>4</v>
      </c>
      <c r="M1949">
        <v>1</v>
      </c>
    </row>
    <row r="1950" spans="1:13">
      <c r="A1950" t="s">
        <v>2804</v>
      </c>
      <c r="B1950" t="s">
        <v>1233</v>
      </c>
      <c r="C1950" s="34" t="s">
        <v>1438</v>
      </c>
      <c r="F1950" t="s">
        <v>1438</v>
      </c>
      <c r="H1950">
        <v>15</v>
      </c>
      <c r="I1950">
        <f>VLOOKUP(B1950,BRAND!B:D,3,FALSE)</f>
        <v>3</v>
      </c>
      <c r="J1950">
        <v>4</v>
      </c>
      <c r="K1950" t="s">
        <v>821</v>
      </c>
      <c r="M1950">
        <v>0</v>
      </c>
    </row>
    <row r="1951" spans="1:13">
      <c r="A1951" t="s">
        <v>2541</v>
      </c>
      <c r="B1951" t="s">
        <v>252</v>
      </c>
      <c r="C1951" s="34" t="s">
        <v>862</v>
      </c>
      <c r="F1951" t="s">
        <v>862</v>
      </c>
      <c r="H1951">
        <v>3</v>
      </c>
      <c r="I1951">
        <f>VLOOKUP(B1951,BRAND!B:D,3,FALSE)</f>
        <v>3</v>
      </c>
      <c r="J1951">
        <f>LEN(F1951)</f>
        <v>10</v>
      </c>
      <c r="K1951" t="s">
        <v>821</v>
      </c>
      <c r="M1951">
        <v>0</v>
      </c>
    </row>
    <row r="1952" spans="1:13">
      <c r="A1952" t="s">
        <v>7921</v>
      </c>
      <c r="B1952" t="s">
        <v>252</v>
      </c>
      <c r="C1952" s="34" t="s">
        <v>863</v>
      </c>
      <c r="F1952" t="s">
        <v>863</v>
      </c>
      <c r="G1952" t="s">
        <v>6932</v>
      </c>
      <c r="H1952">
        <v>5</v>
      </c>
      <c r="I1952">
        <f>VLOOKUP(B1952,BRAND!B:D,3,FALSE)</f>
        <v>3</v>
      </c>
      <c r="J1952">
        <f>LEN(F1952)</f>
        <v>10</v>
      </c>
      <c r="M1952">
        <v>1</v>
      </c>
    </row>
    <row r="1953" spans="1:13">
      <c r="A1953" t="s">
        <v>4136</v>
      </c>
      <c r="B1953" t="s">
        <v>252</v>
      </c>
      <c r="C1953" s="34" t="s">
        <v>798</v>
      </c>
      <c r="F1953" t="s">
        <v>798</v>
      </c>
      <c r="H1953">
        <v>5</v>
      </c>
      <c r="I1953">
        <f>VLOOKUP(B1953,BRAND!B:D,3,FALSE)</f>
        <v>3</v>
      </c>
      <c r="J1953">
        <v>9</v>
      </c>
      <c r="K1953" t="s">
        <v>821</v>
      </c>
      <c r="M1953">
        <v>0</v>
      </c>
    </row>
    <row r="1954" spans="1:13">
      <c r="A1954" t="s">
        <v>3517</v>
      </c>
      <c r="B1954" t="s">
        <v>252</v>
      </c>
      <c r="C1954" s="34" t="s">
        <v>780</v>
      </c>
      <c r="F1954" t="s">
        <v>780</v>
      </c>
      <c r="H1954">
        <v>5</v>
      </c>
      <c r="I1954">
        <f>VLOOKUP(B1954,BRAND!B:D,3,FALSE)</f>
        <v>3</v>
      </c>
      <c r="J1954">
        <v>6</v>
      </c>
      <c r="K1954" t="s">
        <v>821</v>
      </c>
      <c r="M1954">
        <v>1</v>
      </c>
    </row>
    <row r="1955" spans="1:13">
      <c r="A1955" t="s">
        <v>3518</v>
      </c>
      <c r="B1955" t="s">
        <v>252</v>
      </c>
      <c r="C1955" s="34" t="s">
        <v>746</v>
      </c>
      <c r="F1955" t="s">
        <v>746</v>
      </c>
      <c r="H1955">
        <v>5</v>
      </c>
      <c r="I1955">
        <f>VLOOKUP(B1955,BRAND!B:D,3,FALSE)</f>
        <v>3</v>
      </c>
      <c r="J1955">
        <v>6</v>
      </c>
      <c r="K1955" t="s">
        <v>821</v>
      </c>
      <c r="M1955">
        <v>1</v>
      </c>
    </row>
    <row r="1956" spans="1:13">
      <c r="A1956" t="s">
        <v>7922</v>
      </c>
      <c r="B1956" t="s">
        <v>252</v>
      </c>
      <c r="C1956" s="34" t="s">
        <v>7923</v>
      </c>
      <c r="F1956" t="s">
        <v>7923</v>
      </c>
      <c r="G1956" t="s">
        <v>6932</v>
      </c>
      <c r="H1956">
        <v>5</v>
      </c>
      <c r="I1956">
        <f>VLOOKUP(B1956,BRAND!B:D,3,FALSE)</f>
        <v>3</v>
      </c>
      <c r="J1956">
        <v>3</v>
      </c>
      <c r="M1956">
        <v>1</v>
      </c>
    </row>
    <row r="1957" spans="1:13">
      <c r="A1957" t="s">
        <v>2347</v>
      </c>
      <c r="B1957" t="s">
        <v>252</v>
      </c>
      <c r="C1957" s="34" t="s">
        <v>1438</v>
      </c>
      <c r="F1957" t="s">
        <v>1438</v>
      </c>
      <c r="H1957">
        <v>15</v>
      </c>
      <c r="I1957">
        <f>VLOOKUP(B1957,BRAND!B:D,3,FALSE)</f>
        <v>3</v>
      </c>
      <c r="J1957">
        <v>4</v>
      </c>
      <c r="K1957" t="s">
        <v>821</v>
      </c>
      <c r="M1957">
        <v>0</v>
      </c>
    </row>
    <row r="1958" spans="1:13">
      <c r="A1958" t="s">
        <v>7924</v>
      </c>
      <c r="B1958" t="s">
        <v>7925</v>
      </c>
      <c r="C1958" s="34" t="s">
        <v>1438</v>
      </c>
      <c r="F1958" t="s">
        <v>1438</v>
      </c>
      <c r="G1958" t="s">
        <v>6932</v>
      </c>
      <c r="H1958">
        <v>5</v>
      </c>
      <c r="I1958">
        <f>VLOOKUP(B1958,BRAND!B:D,3,FALSE)</f>
        <v>5.5</v>
      </c>
      <c r="J1958">
        <v>4</v>
      </c>
      <c r="M1958">
        <v>1</v>
      </c>
    </row>
    <row r="1959" spans="1:13">
      <c r="A1959" t="s">
        <v>14389</v>
      </c>
      <c r="B1959" t="s">
        <v>14371</v>
      </c>
      <c r="C1959" s="34" t="s">
        <v>14390</v>
      </c>
      <c r="F1959" t="s">
        <v>14391</v>
      </c>
      <c r="G1959" t="s">
        <v>6932</v>
      </c>
      <c r="H1959">
        <v>5</v>
      </c>
      <c r="I1959">
        <f>VLOOKUP(B1959,BRAND!B:D,3,FALSE)</f>
        <v>0</v>
      </c>
      <c r="J1959">
        <f t="shared" ref="J1959:J1969" si="24">LEN(F1959)</f>
        <v>19</v>
      </c>
      <c r="K1959" t="s">
        <v>821</v>
      </c>
      <c r="L1959">
        <v>0</v>
      </c>
      <c r="M1959">
        <v>1</v>
      </c>
    </row>
    <row r="1960" spans="1:13">
      <c r="A1960" t="s">
        <v>14380</v>
      </c>
      <c r="B1960" t="s">
        <v>14371</v>
      </c>
      <c r="C1960" s="34" t="s">
        <v>776</v>
      </c>
      <c r="F1960" t="s">
        <v>14381</v>
      </c>
      <c r="G1960" t="s">
        <v>6932</v>
      </c>
      <c r="H1960">
        <v>5</v>
      </c>
      <c r="I1960">
        <f>VLOOKUP(B1960,BRAND!B:D,3,FALSE)</f>
        <v>0</v>
      </c>
      <c r="J1960">
        <f t="shared" si="24"/>
        <v>17</v>
      </c>
      <c r="K1960" t="s">
        <v>821</v>
      </c>
      <c r="L1960">
        <v>0</v>
      </c>
      <c r="M1960">
        <v>1</v>
      </c>
    </row>
    <row r="1961" spans="1:13">
      <c r="A1961" t="s">
        <v>14382</v>
      </c>
      <c r="B1961" t="s">
        <v>14371</v>
      </c>
      <c r="C1961" s="34" t="s">
        <v>852</v>
      </c>
      <c r="F1961" t="s">
        <v>14383</v>
      </c>
      <c r="G1961" t="s">
        <v>6932</v>
      </c>
      <c r="H1961">
        <v>5</v>
      </c>
      <c r="I1961">
        <f>VLOOKUP(B1961,BRAND!B:D,3,FALSE)</f>
        <v>0</v>
      </c>
      <c r="J1961">
        <f t="shared" si="24"/>
        <v>17</v>
      </c>
      <c r="K1961" t="s">
        <v>821</v>
      </c>
      <c r="L1961">
        <v>0</v>
      </c>
      <c r="M1961">
        <v>1</v>
      </c>
    </row>
    <row r="1962" spans="1:13">
      <c r="A1962" t="s">
        <v>14384</v>
      </c>
      <c r="B1962" t="s">
        <v>14371</v>
      </c>
      <c r="C1962" s="34" t="s">
        <v>14385</v>
      </c>
      <c r="F1962" t="s">
        <v>14386</v>
      </c>
      <c r="G1962" t="s">
        <v>6932</v>
      </c>
      <c r="H1962">
        <v>5</v>
      </c>
      <c r="I1962">
        <f>VLOOKUP(B1962,BRAND!B:D,3,FALSE)</f>
        <v>0</v>
      </c>
      <c r="J1962">
        <f t="shared" si="24"/>
        <v>16</v>
      </c>
      <c r="K1962" t="s">
        <v>821</v>
      </c>
      <c r="L1962">
        <v>0</v>
      </c>
      <c r="M1962">
        <v>1</v>
      </c>
    </row>
    <row r="1963" spans="1:13">
      <c r="A1963" t="s">
        <v>14370</v>
      </c>
      <c r="B1963" t="s">
        <v>14371</v>
      </c>
      <c r="C1963" s="34" t="s">
        <v>14372</v>
      </c>
      <c r="F1963" t="s">
        <v>14373</v>
      </c>
      <c r="G1963" t="s">
        <v>6932</v>
      </c>
      <c r="H1963">
        <v>5</v>
      </c>
      <c r="I1963">
        <f>VLOOKUP(B1963,BRAND!B:D,3,FALSE)</f>
        <v>0</v>
      </c>
      <c r="J1963">
        <f t="shared" si="24"/>
        <v>14</v>
      </c>
      <c r="K1963" t="s">
        <v>821</v>
      </c>
      <c r="L1963">
        <v>0</v>
      </c>
      <c r="M1963">
        <v>1</v>
      </c>
    </row>
    <row r="1964" spans="1:13">
      <c r="A1964" t="s">
        <v>14395</v>
      </c>
      <c r="B1964" t="s">
        <v>14371</v>
      </c>
      <c r="C1964" s="34" t="s">
        <v>897</v>
      </c>
      <c r="F1964" t="s">
        <v>14396</v>
      </c>
      <c r="G1964" t="s">
        <v>6932</v>
      </c>
      <c r="H1964">
        <v>5</v>
      </c>
      <c r="I1964">
        <f>VLOOKUP(B1964,BRAND!B:D,3,FALSE)</f>
        <v>0</v>
      </c>
      <c r="J1964">
        <f t="shared" si="24"/>
        <v>13</v>
      </c>
      <c r="K1964" t="s">
        <v>821</v>
      </c>
      <c r="L1964">
        <v>0</v>
      </c>
      <c r="M1964">
        <v>1</v>
      </c>
    </row>
    <row r="1965" spans="1:13">
      <c r="A1965" t="s">
        <v>14397</v>
      </c>
      <c r="B1965" t="s">
        <v>14371</v>
      </c>
      <c r="C1965" s="34" t="s">
        <v>14398</v>
      </c>
      <c r="F1965" t="s">
        <v>14399</v>
      </c>
      <c r="G1965" t="s">
        <v>6932</v>
      </c>
      <c r="H1965">
        <v>5</v>
      </c>
      <c r="I1965">
        <f>VLOOKUP(B1965,BRAND!B:D,3,FALSE)</f>
        <v>0</v>
      </c>
      <c r="J1965">
        <f t="shared" si="24"/>
        <v>13</v>
      </c>
      <c r="K1965" t="s">
        <v>821</v>
      </c>
      <c r="L1965">
        <v>0</v>
      </c>
      <c r="M1965">
        <v>1</v>
      </c>
    </row>
    <row r="1966" spans="1:13">
      <c r="A1966" t="s">
        <v>14374</v>
      </c>
      <c r="B1966" t="s">
        <v>14371</v>
      </c>
      <c r="C1966" s="34" t="s">
        <v>14375</v>
      </c>
      <c r="F1966" t="s">
        <v>14376</v>
      </c>
      <c r="G1966" t="s">
        <v>6932</v>
      </c>
      <c r="H1966">
        <v>5</v>
      </c>
      <c r="I1966">
        <f>VLOOKUP(B1966,BRAND!B:D,3,FALSE)</f>
        <v>0</v>
      </c>
      <c r="J1966">
        <f t="shared" si="24"/>
        <v>11</v>
      </c>
      <c r="K1966" t="s">
        <v>821</v>
      </c>
      <c r="L1966">
        <v>0</v>
      </c>
      <c r="M1966">
        <v>1</v>
      </c>
    </row>
    <row r="1967" spans="1:13">
      <c r="A1967" t="s">
        <v>14387</v>
      </c>
      <c r="B1967" t="s">
        <v>14371</v>
      </c>
      <c r="C1967" s="34" t="s">
        <v>561</v>
      </c>
      <c r="F1967" t="s">
        <v>14388</v>
      </c>
      <c r="G1967" t="s">
        <v>6932</v>
      </c>
      <c r="H1967">
        <v>5</v>
      </c>
      <c r="I1967">
        <f>VLOOKUP(B1967,BRAND!B:D,3,FALSE)</f>
        <v>0</v>
      </c>
      <c r="J1967">
        <f t="shared" si="24"/>
        <v>11</v>
      </c>
      <c r="K1967" t="s">
        <v>821</v>
      </c>
      <c r="L1967">
        <v>0</v>
      </c>
      <c r="M1967">
        <v>1</v>
      </c>
    </row>
    <row r="1968" spans="1:13">
      <c r="A1968" t="s">
        <v>14392</v>
      </c>
      <c r="B1968" t="s">
        <v>14371</v>
      </c>
      <c r="C1968" s="34" t="s">
        <v>14393</v>
      </c>
      <c r="F1968" t="s">
        <v>14394</v>
      </c>
      <c r="G1968" t="s">
        <v>6932</v>
      </c>
      <c r="H1968">
        <v>5</v>
      </c>
      <c r="I1968">
        <f>VLOOKUP(B1968,BRAND!B:D,3,FALSE)</f>
        <v>0</v>
      </c>
      <c r="J1968">
        <f t="shared" si="24"/>
        <v>11</v>
      </c>
      <c r="K1968" t="s">
        <v>821</v>
      </c>
      <c r="L1968">
        <v>0</v>
      </c>
      <c r="M1968">
        <v>1</v>
      </c>
    </row>
    <row r="1969" spans="1:13">
      <c r="A1969" t="s">
        <v>14377</v>
      </c>
      <c r="B1969" t="s">
        <v>14371</v>
      </c>
      <c r="C1969" s="34" t="s">
        <v>14378</v>
      </c>
      <c r="F1969" t="s">
        <v>14379</v>
      </c>
      <c r="G1969" t="s">
        <v>6932</v>
      </c>
      <c r="H1969">
        <v>5</v>
      </c>
      <c r="I1969">
        <f>VLOOKUP(B1969,BRAND!B:D,3,FALSE)</f>
        <v>0</v>
      </c>
      <c r="J1969">
        <f t="shared" si="24"/>
        <v>8</v>
      </c>
      <c r="K1969" t="s">
        <v>821</v>
      </c>
      <c r="L1969">
        <v>0</v>
      </c>
      <c r="M1969">
        <v>1</v>
      </c>
    </row>
    <row r="1970" spans="1:13">
      <c r="A1970" t="s">
        <v>4154</v>
      </c>
      <c r="B1970" t="s">
        <v>1914</v>
      </c>
      <c r="C1970" s="34" t="s">
        <v>1438</v>
      </c>
      <c r="F1970" t="s">
        <v>1438</v>
      </c>
      <c r="H1970">
        <v>15</v>
      </c>
      <c r="I1970">
        <f>VLOOKUP(B1970,BRAND!B:D,3,FALSE)</f>
        <v>11</v>
      </c>
      <c r="J1970">
        <v>4</v>
      </c>
      <c r="K1970" t="s">
        <v>824</v>
      </c>
      <c r="M1970">
        <v>0</v>
      </c>
    </row>
    <row r="1971" spans="1:13">
      <c r="A1971" t="s">
        <v>5227</v>
      </c>
      <c r="B1971" t="s">
        <v>36</v>
      </c>
      <c r="C1971" s="34" t="s">
        <v>5185</v>
      </c>
      <c r="F1971" t="s">
        <v>5185</v>
      </c>
      <c r="H1971">
        <v>3</v>
      </c>
      <c r="I1971">
        <f>VLOOKUP(B1971,BRAND!B:D,3,FALSE)</f>
        <v>3</v>
      </c>
      <c r="J1971">
        <f>LEN(F1971)</f>
        <v>18</v>
      </c>
      <c r="K1971" t="s">
        <v>822</v>
      </c>
      <c r="M1971">
        <v>1</v>
      </c>
    </row>
    <row r="1972" spans="1:13">
      <c r="A1972" t="s">
        <v>5228</v>
      </c>
      <c r="B1972" t="s">
        <v>36</v>
      </c>
      <c r="C1972" s="34" t="s">
        <v>5186</v>
      </c>
      <c r="F1972" t="s">
        <v>5186</v>
      </c>
      <c r="H1972">
        <v>3</v>
      </c>
      <c r="I1972">
        <f>VLOOKUP(B1972,BRAND!B:D,3,FALSE)</f>
        <v>3</v>
      </c>
      <c r="J1972">
        <f>LEN(F1972)</f>
        <v>12</v>
      </c>
      <c r="K1972" t="s">
        <v>822</v>
      </c>
      <c r="M1972">
        <v>1</v>
      </c>
    </row>
    <row r="1973" spans="1:13">
      <c r="A1973" t="s">
        <v>5226</v>
      </c>
      <c r="B1973" t="s">
        <v>36</v>
      </c>
      <c r="C1973" s="34" t="s">
        <v>761</v>
      </c>
      <c r="F1973" t="s">
        <v>761</v>
      </c>
      <c r="H1973">
        <v>3</v>
      </c>
      <c r="I1973">
        <f>VLOOKUP(B1973,BRAND!B:D,3,FALSE)</f>
        <v>3</v>
      </c>
      <c r="J1973">
        <v>5</v>
      </c>
      <c r="K1973" t="s">
        <v>822</v>
      </c>
      <c r="M1973">
        <v>1</v>
      </c>
    </row>
    <row r="1974" spans="1:13">
      <c r="A1974" t="s">
        <v>5223</v>
      </c>
      <c r="B1974" t="s">
        <v>36</v>
      </c>
      <c r="C1974" s="34" t="s">
        <v>5187</v>
      </c>
      <c r="F1974" t="s">
        <v>5187</v>
      </c>
      <c r="H1974">
        <v>4</v>
      </c>
      <c r="I1974">
        <f>VLOOKUP(B1974,BRAND!B:D,3,FALSE)</f>
        <v>3</v>
      </c>
      <c r="J1974">
        <f>LEN(F1974)</f>
        <v>12</v>
      </c>
      <c r="K1974" t="s">
        <v>822</v>
      </c>
      <c r="M1974">
        <v>1</v>
      </c>
    </row>
    <row r="1975" spans="1:13">
      <c r="A1975" t="s">
        <v>5222</v>
      </c>
      <c r="B1975" t="s">
        <v>36</v>
      </c>
      <c r="C1975" s="34" t="s">
        <v>1481</v>
      </c>
      <c r="F1975" t="s">
        <v>1481</v>
      </c>
      <c r="H1975">
        <v>5</v>
      </c>
      <c r="I1975">
        <f>VLOOKUP(B1975,BRAND!B:D,3,FALSE)</f>
        <v>3</v>
      </c>
      <c r="J1975">
        <f>LEN(F1975)</f>
        <v>10</v>
      </c>
      <c r="K1975" t="s">
        <v>822</v>
      </c>
      <c r="M1975">
        <v>1</v>
      </c>
    </row>
    <row r="1976" spans="1:13">
      <c r="A1976" t="s">
        <v>5224</v>
      </c>
      <c r="B1976" t="s">
        <v>36</v>
      </c>
      <c r="C1976" s="34" t="s">
        <v>746</v>
      </c>
      <c r="F1976" t="s">
        <v>746</v>
      </c>
      <c r="H1976">
        <v>5</v>
      </c>
      <c r="I1976">
        <f>VLOOKUP(B1976,BRAND!B:D,3,FALSE)</f>
        <v>3</v>
      </c>
      <c r="J1976">
        <v>6</v>
      </c>
      <c r="K1976" t="s">
        <v>822</v>
      </c>
      <c r="M1976">
        <v>1</v>
      </c>
    </row>
    <row r="1977" spans="1:13">
      <c r="A1977" t="s">
        <v>5225</v>
      </c>
      <c r="B1977" t="s">
        <v>36</v>
      </c>
      <c r="C1977" s="34" t="s">
        <v>896</v>
      </c>
      <c r="F1977" t="s">
        <v>896</v>
      </c>
      <c r="H1977">
        <v>5</v>
      </c>
      <c r="I1977">
        <f>VLOOKUP(B1977,BRAND!B:D,3,FALSE)</f>
        <v>3</v>
      </c>
      <c r="J1977">
        <v>6</v>
      </c>
      <c r="K1977" t="s">
        <v>822</v>
      </c>
      <c r="M1977">
        <v>1</v>
      </c>
    </row>
    <row r="1978" spans="1:13">
      <c r="A1978" t="s">
        <v>5221</v>
      </c>
      <c r="B1978" t="s">
        <v>36</v>
      </c>
      <c r="C1978" s="34" t="s">
        <v>995</v>
      </c>
      <c r="F1978" t="s">
        <v>995</v>
      </c>
      <c r="H1978">
        <v>5</v>
      </c>
      <c r="I1978">
        <f>VLOOKUP(B1978,BRAND!B:D,3,FALSE)</f>
        <v>3</v>
      </c>
      <c r="J1978">
        <v>6</v>
      </c>
      <c r="K1978" t="s">
        <v>822</v>
      </c>
      <c r="M1978">
        <v>1</v>
      </c>
    </row>
    <row r="1979" spans="1:13">
      <c r="A1979" t="s">
        <v>1722</v>
      </c>
      <c r="B1979" t="s">
        <v>36</v>
      </c>
      <c r="C1979" s="34" t="s">
        <v>799</v>
      </c>
      <c r="F1979" t="s">
        <v>799</v>
      </c>
      <c r="H1979">
        <v>5</v>
      </c>
      <c r="I1979">
        <f>VLOOKUP(B1979,BRAND!B:D,3,FALSE)</f>
        <v>3</v>
      </c>
      <c r="J1979">
        <v>5</v>
      </c>
      <c r="K1979" t="s">
        <v>822</v>
      </c>
      <c r="M1979">
        <v>1</v>
      </c>
    </row>
    <row r="1980" spans="1:13">
      <c r="A1980" t="s">
        <v>1613</v>
      </c>
      <c r="B1980" t="s">
        <v>36</v>
      </c>
      <c r="C1980" s="34" t="s">
        <v>1438</v>
      </c>
      <c r="F1980" t="s">
        <v>1438</v>
      </c>
      <c r="H1980">
        <v>15</v>
      </c>
      <c r="I1980">
        <f>VLOOKUP(B1980,BRAND!B:D,3,FALSE)</f>
        <v>3</v>
      </c>
      <c r="J1980">
        <v>4</v>
      </c>
      <c r="K1980" t="s">
        <v>822</v>
      </c>
      <c r="M1980">
        <v>1</v>
      </c>
    </row>
    <row r="1981" spans="1:13">
      <c r="A1981" t="s">
        <v>14403</v>
      </c>
      <c r="B1981" t="s">
        <v>14401</v>
      </c>
      <c r="C1981" s="34" t="s">
        <v>14404</v>
      </c>
      <c r="F1981" t="s">
        <v>14404</v>
      </c>
      <c r="G1981" t="s">
        <v>6932</v>
      </c>
      <c r="H1981">
        <v>5</v>
      </c>
      <c r="I1981">
        <f>VLOOKUP(B1981,BRAND!B:D,3,FALSE)</f>
        <v>0</v>
      </c>
      <c r="J1981">
        <f>LEN(F1981)</f>
        <v>6</v>
      </c>
      <c r="K1981" t="s">
        <v>821</v>
      </c>
      <c r="L1981">
        <v>0</v>
      </c>
      <c r="M1981">
        <v>1</v>
      </c>
    </row>
    <row r="1982" spans="1:13">
      <c r="A1982" t="s">
        <v>14400</v>
      </c>
      <c r="B1982" t="s">
        <v>14401</v>
      </c>
      <c r="C1982" s="34" t="s">
        <v>5442</v>
      </c>
      <c r="F1982" t="s">
        <v>534</v>
      </c>
      <c r="G1982" t="s">
        <v>6932</v>
      </c>
      <c r="H1982">
        <v>5</v>
      </c>
      <c r="I1982">
        <f>VLOOKUP(B1982,BRAND!B:D,3,FALSE)</f>
        <v>0</v>
      </c>
      <c r="J1982">
        <f>LEN(F1982)</f>
        <v>6</v>
      </c>
      <c r="K1982" t="s">
        <v>821</v>
      </c>
      <c r="L1982">
        <v>0</v>
      </c>
      <c r="M1982">
        <v>1</v>
      </c>
    </row>
    <row r="1983" spans="1:13">
      <c r="A1983" t="s">
        <v>14402</v>
      </c>
      <c r="B1983" t="s">
        <v>14401</v>
      </c>
      <c r="C1983" s="34" t="s">
        <v>561</v>
      </c>
      <c r="F1983" t="s">
        <v>561</v>
      </c>
      <c r="G1983" t="s">
        <v>6932</v>
      </c>
      <c r="H1983">
        <v>5</v>
      </c>
      <c r="I1983">
        <f>VLOOKUP(B1983,BRAND!B:D,3,FALSE)</f>
        <v>0</v>
      </c>
      <c r="J1983">
        <f>LEN(F1983)</f>
        <v>3</v>
      </c>
      <c r="K1983" t="s">
        <v>821</v>
      </c>
      <c r="L1983">
        <v>0</v>
      </c>
      <c r="M1983">
        <v>1</v>
      </c>
    </row>
    <row r="1984" spans="1:13">
      <c r="A1984" t="s">
        <v>14405</v>
      </c>
      <c r="B1984" t="s">
        <v>14401</v>
      </c>
      <c r="C1984" s="34" t="s">
        <v>775</v>
      </c>
      <c r="F1984" t="s">
        <v>775</v>
      </c>
      <c r="G1984" t="s">
        <v>6932</v>
      </c>
      <c r="H1984">
        <v>5</v>
      </c>
      <c r="I1984">
        <f>VLOOKUP(B1984,BRAND!B:D,3,FALSE)</f>
        <v>0</v>
      </c>
      <c r="J1984">
        <f>LEN(F1984)</f>
        <v>3</v>
      </c>
      <c r="K1984" t="s">
        <v>821</v>
      </c>
      <c r="L1984">
        <v>0</v>
      </c>
      <c r="M1984">
        <v>1</v>
      </c>
    </row>
    <row r="1985" spans="1:13">
      <c r="A1985" t="s">
        <v>9605</v>
      </c>
      <c r="B1985" t="s">
        <v>5474</v>
      </c>
      <c r="C1985" s="34" t="s">
        <v>536</v>
      </c>
      <c r="F1985" t="s">
        <v>961</v>
      </c>
      <c r="H1985">
        <v>5</v>
      </c>
      <c r="I1985">
        <f>VLOOKUP(B1985,BRAND!B:D,3,FALSE)</f>
        <v>5</v>
      </c>
      <c r="J1985">
        <f>LEN(F1985)</f>
        <v>12</v>
      </c>
      <c r="K1985" t="s">
        <v>821</v>
      </c>
      <c r="M1985">
        <v>1</v>
      </c>
    </row>
    <row r="1986" spans="1:13">
      <c r="A1986" t="s">
        <v>9603</v>
      </c>
      <c r="B1986" t="s">
        <v>5474</v>
      </c>
      <c r="C1986" s="34" t="s">
        <v>5374</v>
      </c>
      <c r="F1986" t="s">
        <v>777</v>
      </c>
      <c r="H1986">
        <v>5</v>
      </c>
      <c r="I1986">
        <f>VLOOKUP(B1986,BRAND!B:D,3,FALSE)</f>
        <v>5</v>
      </c>
      <c r="J1986">
        <v>7</v>
      </c>
      <c r="K1986" t="s">
        <v>821</v>
      </c>
      <c r="M1986">
        <v>1</v>
      </c>
    </row>
    <row r="1987" spans="1:13">
      <c r="A1987" t="s">
        <v>9604</v>
      </c>
      <c r="B1987" t="s">
        <v>5474</v>
      </c>
      <c r="C1987" s="34" t="s">
        <v>5374</v>
      </c>
      <c r="F1987" t="s">
        <v>777</v>
      </c>
      <c r="G1987" t="s">
        <v>801</v>
      </c>
      <c r="H1987">
        <v>5</v>
      </c>
      <c r="I1987">
        <f>VLOOKUP(B1987,BRAND!B:D,3,FALSE)</f>
        <v>5</v>
      </c>
      <c r="J1987">
        <v>7</v>
      </c>
      <c r="K1987" t="s">
        <v>821</v>
      </c>
      <c r="M1987">
        <v>1</v>
      </c>
    </row>
    <row r="1988" spans="1:13">
      <c r="A1988" t="s">
        <v>10071</v>
      </c>
      <c r="B1988" t="s">
        <v>5474</v>
      </c>
      <c r="C1988" s="34" t="s">
        <v>775</v>
      </c>
      <c r="F1988" t="s">
        <v>841</v>
      </c>
      <c r="H1988">
        <v>5</v>
      </c>
      <c r="I1988">
        <f>VLOOKUP(B1988,BRAND!B:D,3,FALSE)</f>
        <v>5</v>
      </c>
      <c r="J1988">
        <v>5</v>
      </c>
      <c r="K1988" t="s">
        <v>821</v>
      </c>
      <c r="M1988">
        <v>0</v>
      </c>
    </row>
    <row r="1989" spans="1:13">
      <c r="A1989" t="str">
        <f>B1989&amp;" | "&amp;F1989&amp;" | "&amp;G1989</f>
        <v xml:space="preserve">CARA | RED | </v>
      </c>
      <c r="B1989" t="s">
        <v>5474</v>
      </c>
      <c r="C1989" t="s">
        <v>775</v>
      </c>
      <c r="F1989" t="s">
        <v>775</v>
      </c>
      <c r="H1989">
        <v>5</v>
      </c>
    </row>
    <row r="1990" spans="1:13">
      <c r="A1990" t="s">
        <v>4228</v>
      </c>
      <c r="B1990" t="s">
        <v>319</v>
      </c>
      <c r="C1990" s="34" t="s">
        <v>793</v>
      </c>
      <c r="F1990" t="s">
        <v>793</v>
      </c>
      <c r="H1990">
        <v>5</v>
      </c>
      <c r="I1990">
        <f>VLOOKUP(B1990,BRAND!B:D,3,FALSE)</f>
        <v>3</v>
      </c>
      <c r="J1990">
        <v>9</v>
      </c>
      <c r="K1990" t="s">
        <v>821</v>
      </c>
      <c r="M1990">
        <v>1</v>
      </c>
    </row>
    <row r="1991" spans="1:13">
      <c r="A1991" t="s">
        <v>7927</v>
      </c>
      <c r="B1991" t="s">
        <v>319</v>
      </c>
      <c r="C1991" s="34" t="s">
        <v>7928</v>
      </c>
      <c r="F1991" t="s">
        <v>7928</v>
      </c>
      <c r="G1991" t="s">
        <v>6932</v>
      </c>
      <c r="H1991">
        <v>5</v>
      </c>
      <c r="I1991">
        <f>VLOOKUP(B1991,BRAND!B:D,3,FALSE)</f>
        <v>3</v>
      </c>
      <c r="J1991">
        <v>8</v>
      </c>
      <c r="M1991">
        <v>1</v>
      </c>
    </row>
    <row r="1992" spans="1:13">
      <c r="A1992" t="s">
        <v>7926</v>
      </c>
      <c r="B1992" t="s">
        <v>319</v>
      </c>
      <c r="C1992" s="34" t="s">
        <v>1438</v>
      </c>
      <c r="F1992" t="s">
        <v>1438</v>
      </c>
      <c r="G1992" t="s">
        <v>6932</v>
      </c>
      <c r="H1992">
        <v>5</v>
      </c>
      <c r="I1992">
        <f>VLOOKUP(B1992,BRAND!B:D,3,FALSE)</f>
        <v>3</v>
      </c>
      <c r="J1992">
        <v>4</v>
      </c>
      <c r="M1992">
        <v>1</v>
      </c>
    </row>
    <row r="1993" spans="1:13">
      <c r="A1993" t="s">
        <v>3443</v>
      </c>
      <c r="B1993" t="s">
        <v>1235</v>
      </c>
      <c r="C1993" s="34" t="s">
        <v>561</v>
      </c>
      <c r="F1993" t="s">
        <v>561</v>
      </c>
      <c r="H1993">
        <v>5</v>
      </c>
      <c r="I1993">
        <f>VLOOKUP(B1993,BRAND!B:D,3,FALSE)</f>
        <v>3</v>
      </c>
      <c r="J1993">
        <v>3</v>
      </c>
      <c r="K1993" t="s">
        <v>821</v>
      </c>
      <c r="M1993">
        <v>0</v>
      </c>
    </row>
    <row r="1994" spans="1:13">
      <c r="A1994" t="s">
        <v>3052</v>
      </c>
      <c r="B1994" t="s">
        <v>1235</v>
      </c>
      <c r="C1994" s="34" t="s">
        <v>1438</v>
      </c>
      <c r="F1994" t="s">
        <v>1438</v>
      </c>
      <c r="H1994">
        <v>15</v>
      </c>
      <c r="I1994">
        <f>VLOOKUP(B1994,BRAND!B:D,3,FALSE)</f>
        <v>3</v>
      </c>
      <c r="J1994">
        <v>4</v>
      </c>
      <c r="K1994" t="s">
        <v>821</v>
      </c>
      <c r="M1994">
        <v>0</v>
      </c>
    </row>
    <row r="1995" spans="1:13">
      <c r="A1995" t="s">
        <v>7929</v>
      </c>
      <c r="B1995" t="s">
        <v>7930</v>
      </c>
      <c r="C1995" s="34" t="s">
        <v>772</v>
      </c>
      <c r="F1995" t="s">
        <v>772</v>
      </c>
      <c r="G1995" t="s">
        <v>6932</v>
      </c>
      <c r="H1995">
        <v>5</v>
      </c>
      <c r="I1995">
        <f>VLOOKUP(B1995,BRAND!B:D,3,FALSE)</f>
        <v>5.5</v>
      </c>
      <c r="J1995">
        <v>6</v>
      </c>
      <c r="M1995">
        <v>1</v>
      </c>
    </row>
    <row r="1996" spans="1:13">
      <c r="A1996" t="s">
        <v>7931</v>
      </c>
      <c r="B1996" t="s">
        <v>7930</v>
      </c>
      <c r="C1996" s="34" t="s">
        <v>534</v>
      </c>
      <c r="F1996" t="s">
        <v>534</v>
      </c>
      <c r="G1996" t="s">
        <v>6932</v>
      </c>
      <c r="H1996">
        <v>5</v>
      </c>
      <c r="I1996">
        <f>VLOOKUP(B1996,BRAND!B:D,3,FALSE)</f>
        <v>5.5</v>
      </c>
      <c r="J1996">
        <v>6</v>
      </c>
      <c r="M1996">
        <v>1</v>
      </c>
    </row>
    <row r="1997" spans="1:13">
      <c r="A1997" t="s">
        <v>11388</v>
      </c>
      <c r="B1997" t="s">
        <v>10896</v>
      </c>
      <c r="C1997" s="34" t="s">
        <v>900</v>
      </c>
      <c r="F1997" t="s">
        <v>900</v>
      </c>
      <c r="H1997">
        <v>5</v>
      </c>
    </row>
    <row r="1998" spans="1:13">
      <c r="A1998" t="s">
        <v>4780</v>
      </c>
      <c r="B1998" t="s">
        <v>37</v>
      </c>
      <c r="C1998" s="34" t="s">
        <v>776</v>
      </c>
      <c r="F1998" t="s">
        <v>776</v>
      </c>
      <c r="H1998">
        <v>5</v>
      </c>
      <c r="I1998">
        <f>VLOOKUP(B1998,BRAND!B:D,3,FALSE)</f>
        <v>3</v>
      </c>
      <c r="J1998">
        <v>5</v>
      </c>
      <c r="K1998" t="s">
        <v>821</v>
      </c>
      <c r="M1998">
        <v>0</v>
      </c>
    </row>
    <row r="1999" spans="1:13">
      <c r="A1999" t="s">
        <v>3695</v>
      </c>
      <c r="B1999" t="s">
        <v>37</v>
      </c>
      <c r="C1999" s="34" t="s">
        <v>5236</v>
      </c>
      <c r="F1999" t="s">
        <v>536</v>
      </c>
      <c r="H1999">
        <v>5</v>
      </c>
      <c r="I1999">
        <f>VLOOKUP(B1999,BRAND!B:D,3,FALSE)</f>
        <v>3</v>
      </c>
      <c r="J1999">
        <v>5</v>
      </c>
      <c r="K1999" t="s">
        <v>821</v>
      </c>
      <c r="M1999">
        <v>1</v>
      </c>
    </row>
    <row r="2000" spans="1:13">
      <c r="A2000" t="s">
        <v>7932</v>
      </c>
      <c r="B2000" t="s">
        <v>37</v>
      </c>
      <c r="C2000" s="34" t="s">
        <v>1438</v>
      </c>
      <c r="F2000" t="s">
        <v>1438</v>
      </c>
      <c r="G2000" t="s">
        <v>6932</v>
      </c>
      <c r="H2000">
        <v>5</v>
      </c>
      <c r="I2000">
        <f>VLOOKUP(B2000,BRAND!B:D,3,FALSE)</f>
        <v>3</v>
      </c>
      <c r="J2000">
        <v>4</v>
      </c>
      <c r="M2000">
        <v>1</v>
      </c>
    </row>
    <row r="2001" spans="1:13">
      <c r="A2001" t="s">
        <v>5189</v>
      </c>
      <c r="B2001" t="s">
        <v>37</v>
      </c>
      <c r="C2001" s="34" t="s">
        <v>5460</v>
      </c>
      <c r="F2001" t="s">
        <v>1438</v>
      </c>
      <c r="G2001" t="s">
        <v>801</v>
      </c>
      <c r="H2001">
        <v>6</v>
      </c>
      <c r="I2001">
        <f>VLOOKUP(B2001,BRAND!B:D,3,FALSE)</f>
        <v>3</v>
      </c>
      <c r="J2001">
        <v>4</v>
      </c>
      <c r="K2001" t="s">
        <v>821</v>
      </c>
      <c r="M2001">
        <v>1</v>
      </c>
    </row>
    <row r="2002" spans="1:13">
      <c r="A2002" t="s">
        <v>6916</v>
      </c>
      <c r="B2002" t="s">
        <v>6917</v>
      </c>
      <c r="C2002" s="34" t="s">
        <v>6918</v>
      </c>
      <c r="F2002" t="s">
        <v>764</v>
      </c>
      <c r="H2002">
        <v>5</v>
      </c>
      <c r="I2002">
        <f>VLOOKUP(B2002,BRAND!B:D,3,FALSE)</f>
        <v>5</v>
      </c>
      <c r="J2002">
        <v>5</v>
      </c>
      <c r="M2002">
        <v>1</v>
      </c>
    </row>
    <row r="2003" spans="1:13">
      <c r="A2003" t="s">
        <v>3215</v>
      </c>
      <c r="B2003" t="s">
        <v>1236</v>
      </c>
      <c r="C2003" s="34" t="s">
        <v>1438</v>
      </c>
      <c r="F2003" t="s">
        <v>1438</v>
      </c>
      <c r="H2003">
        <v>15</v>
      </c>
      <c r="I2003">
        <f>VLOOKUP(B2003,BRAND!B:D,3,FALSE)</f>
        <v>3</v>
      </c>
      <c r="J2003">
        <v>4</v>
      </c>
      <c r="K2003" t="s">
        <v>821</v>
      </c>
      <c r="M2003">
        <v>0</v>
      </c>
    </row>
    <row r="2004" spans="1:13">
      <c r="A2004" t="s">
        <v>7934</v>
      </c>
      <c r="B2004" t="s">
        <v>38</v>
      </c>
      <c r="C2004" s="34" t="s">
        <v>2000</v>
      </c>
      <c r="F2004" t="s">
        <v>2000</v>
      </c>
      <c r="G2004" t="s">
        <v>6932</v>
      </c>
      <c r="H2004">
        <v>5</v>
      </c>
      <c r="I2004">
        <f>VLOOKUP(B2004,BRAND!B:D,3,FALSE)</f>
        <v>3</v>
      </c>
      <c r="J2004">
        <v>5</v>
      </c>
      <c r="M2004">
        <v>1</v>
      </c>
    </row>
    <row r="2005" spans="1:13">
      <c r="A2005" t="s">
        <v>7935</v>
      </c>
      <c r="B2005" t="s">
        <v>38</v>
      </c>
      <c r="C2005" s="34" t="s">
        <v>1438</v>
      </c>
      <c r="F2005" t="s">
        <v>1438</v>
      </c>
      <c r="G2005" t="s">
        <v>801</v>
      </c>
      <c r="H2005">
        <v>5</v>
      </c>
      <c r="I2005">
        <f>VLOOKUP(B2005,BRAND!B:D,3,FALSE)</f>
        <v>3</v>
      </c>
      <c r="J2005">
        <v>4</v>
      </c>
      <c r="M2005">
        <v>1</v>
      </c>
    </row>
    <row r="2006" spans="1:13">
      <c r="A2006" t="s">
        <v>7933</v>
      </c>
      <c r="B2006" t="s">
        <v>38</v>
      </c>
      <c r="C2006" s="34" t="s">
        <v>775</v>
      </c>
      <c r="F2006" t="s">
        <v>775</v>
      </c>
      <c r="G2006" t="s">
        <v>6932</v>
      </c>
      <c r="H2006">
        <v>5</v>
      </c>
      <c r="I2006">
        <f>VLOOKUP(B2006,BRAND!B:D,3,FALSE)</f>
        <v>3</v>
      </c>
      <c r="J2006">
        <v>3</v>
      </c>
      <c r="M2006">
        <v>1</v>
      </c>
    </row>
    <row r="2007" spans="1:13">
      <c r="A2007" t="s">
        <v>2817</v>
      </c>
      <c r="B2007" t="s">
        <v>38</v>
      </c>
      <c r="C2007" s="34" t="s">
        <v>1438</v>
      </c>
      <c r="F2007" t="s">
        <v>1438</v>
      </c>
      <c r="H2007">
        <v>15</v>
      </c>
      <c r="I2007">
        <f>VLOOKUP(B2007,BRAND!B:D,3,FALSE)</f>
        <v>3</v>
      </c>
      <c r="J2007">
        <v>4</v>
      </c>
      <c r="K2007" t="s">
        <v>821</v>
      </c>
      <c r="M2007">
        <v>1</v>
      </c>
    </row>
    <row r="2008" spans="1:13">
      <c r="A2008" t="s">
        <v>14412</v>
      </c>
      <c r="B2008" t="s">
        <v>14407</v>
      </c>
      <c r="C2008" s="34" t="s">
        <v>770</v>
      </c>
      <c r="F2008" t="s">
        <v>14413</v>
      </c>
      <c r="G2008" t="s">
        <v>6932</v>
      </c>
      <c r="H2008">
        <v>5</v>
      </c>
      <c r="I2008">
        <f>VLOOKUP(B2008,BRAND!B:D,3,FALSE)</f>
        <v>0</v>
      </c>
      <c r="J2008">
        <f>LEN(F2008)</f>
        <v>29</v>
      </c>
      <c r="K2008" t="s">
        <v>821</v>
      </c>
      <c r="L2008">
        <v>0</v>
      </c>
      <c r="M2008">
        <v>1</v>
      </c>
    </row>
    <row r="2009" spans="1:13">
      <c r="A2009" t="s">
        <v>14410</v>
      </c>
      <c r="B2009" t="s">
        <v>14407</v>
      </c>
      <c r="C2009" s="34" t="s">
        <v>1999</v>
      </c>
      <c r="F2009" t="s">
        <v>14411</v>
      </c>
      <c r="G2009" t="s">
        <v>6932</v>
      </c>
      <c r="H2009">
        <v>5</v>
      </c>
      <c r="I2009">
        <f>VLOOKUP(B2009,BRAND!B:D,3,FALSE)</f>
        <v>0</v>
      </c>
      <c r="J2009">
        <f>LEN(F2009)</f>
        <v>16</v>
      </c>
      <c r="K2009" t="s">
        <v>821</v>
      </c>
      <c r="L2009">
        <v>0</v>
      </c>
      <c r="M2009">
        <v>1</v>
      </c>
    </row>
    <row r="2010" spans="1:13">
      <c r="A2010" t="s">
        <v>14406</v>
      </c>
      <c r="B2010" t="s">
        <v>14407</v>
      </c>
      <c r="C2010" s="34" t="s">
        <v>7060</v>
      </c>
      <c r="F2010" t="s">
        <v>14408</v>
      </c>
      <c r="G2010" t="s">
        <v>6932</v>
      </c>
      <c r="H2010">
        <v>5</v>
      </c>
      <c r="I2010">
        <f>VLOOKUP(B2010,BRAND!B:D,3,FALSE)</f>
        <v>0</v>
      </c>
      <c r="J2010">
        <f>LEN(F2010)</f>
        <v>16</v>
      </c>
      <c r="K2010" t="s">
        <v>821</v>
      </c>
      <c r="L2010">
        <v>0</v>
      </c>
      <c r="M2010">
        <v>1</v>
      </c>
    </row>
    <row r="2011" spans="1:13">
      <c r="A2011" t="s">
        <v>14414</v>
      </c>
      <c r="B2011" t="s">
        <v>14407</v>
      </c>
      <c r="C2011" s="34" t="s">
        <v>14415</v>
      </c>
      <c r="F2011" t="s">
        <v>774</v>
      </c>
      <c r="G2011" t="s">
        <v>6932</v>
      </c>
      <c r="H2011">
        <v>5</v>
      </c>
      <c r="I2011">
        <f>VLOOKUP(B2011,BRAND!B:D,3,FALSE)</f>
        <v>0</v>
      </c>
      <c r="J2011">
        <f>LEN(F2011)</f>
        <v>9</v>
      </c>
      <c r="K2011" t="s">
        <v>821</v>
      </c>
      <c r="L2011">
        <v>0</v>
      </c>
      <c r="M2011">
        <v>1</v>
      </c>
    </row>
    <row r="2012" spans="1:13">
      <c r="A2012" t="s">
        <v>14409</v>
      </c>
      <c r="B2012" t="s">
        <v>14407</v>
      </c>
      <c r="C2012" s="34" t="s">
        <v>745</v>
      </c>
      <c r="F2012" t="s">
        <v>745</v>
      </c>
      <c r="G2012" t="s">
        <v>6932</v>
      </c>
      <c r="H2012">
        <v>5</v>
      </c>
      <c r="I2012">
        <f>VLOOKUP(B2012,BRAND!B:D,3,FALSE)</f>
        <v>0</v>
      </c>
      <c r="J2012">
        <f>LEN(F2012)</f>
        <v>5</v>
      </c>
      <c r="K2012" t="s">
        <v>821</v>
      </c>
      <c r="L2012">
        <v>0</v>
      </c>
      <c r="M2012">
        <v>1</v>
      </c>
    </row>
    <row r="2013" spans="1:13">
      <c r="A2013" t="s">
        <v>3343</v>
      </c>
      <c r="B2013" t="s">
        <v>1237</v>
      </c>
      <c r="C2013" s="34" t="s">
        <v>1438</v>
      </c>
      <c r="F2013" t="s">
        <v>1438</v>
      </c>
      <c r="H2013">
        <v>15</v>
      </c>
      <c r="I2013">
        <f>VLOOKUP(B2013,BRAND!B:D,3,FALSE)</f>
        <v>3</v>
      </c>
      <c r="J2013">
        <v>4</v>
      </c>
      <c r="K2013" t="s">
        <v>821</v>
      </c>
      <c r="M2013">
        <v>0</v>
      </c>
    </row>
    <row r="2014" spans="1:13">
      <c r="A2014" t="s">
        <v>9606</v>
      </c>
      <c r="B2014" t="s">
        <v>466</v>
      </c>
      <c r="C2014" s="34" t="s">
        <v>536</v>
      </c>
      <c r="F2014" t="s">
        <v>536</v>
      </c>
      <c r="G2014" t="s">
        <v>6932</v>
      </c>
      <c r="H2014">
        <v>5</v>
      </c>
      <c r="I2014">
        <f>VLOOKUP(B2014,BRAND!B:D,3,FALSE)</f>
        <v>3</v>
      </c>
      <c r="J2014">
        <v>5</v>
      </c>
      <c r="M2014">
        <v>1</v>
      </c>
    </row>
    <row r="2015" spans="1:13">
      <c r="A2015" t="s">
        <v>9607</v>
      </c>
      <c r="B2015" t="s">
        <v>466</v>
      </c>
      <c r="C2015" s="34" t="s">
        <v>561</v>
      </c>
      <c r="F2015" t="s">
        <v>561</v>
      </c>
      <c r="G2015" t="s">
        <v>6932</v>
      </c>
      <c r="H2015">
        <v>5</v>
      </c>
      <c r="I2015">
        <f>VLOOKUP(B2015,BRAND!B:D,3,FALSE)</f>
        <v>3</v>
      </c>
      <c r="J2015">
        <v>3</v>
      </c>
      <c r="M2015">
        <v>1</v>
      </c>
    </row>
    <row r="2016" spans="1:13">
      <c r="A2016" t="s">
        <v>4155</v>
      </c>
      <c r="B2016" t="s">
        <v>1918</v>
      </c>
      <c r="C2016" s="34" t="s">
        <v>1438</v>
      </c>
      <c r="F2016" t="s">
        <v>1438</v>
      </c>
      <c r="H2016">
        <v>15</v>
      </c>
      <c r="I2016">
        <f>VLOOKUP(B2016,BRAND!B:D,3,FALSE)</f>
        <v>11</v>
      </c>
      <c r="J2016">
        <v>4</v>
      </c>
      <c r="K2016" t="s">
        <v>821</v>
      </c>
      <c r="M2016">
        <v>0</v>
      </c>
    </row>
    <row r="2017" spans="1:13">
      <c r="A2017" t="s">
        <v>3761</v>
      </c>
      <c r="B2017" t="s">
        <v>399</v>
      </c>
      <c r="C2017" s="34" t="s">
        <v>535</v>
      </c>
      <c r="F2017" t="s">
        <v>535</v>
      </c>
      <c r="H2017">
        <v>5</v>
      </c>
      <c r="I2017">
        <f>VLOOKUP(B2017,BRAND!B:D,3,FALSE)</f>
        <v>3</v>
      </c>
      <c r="J2017">
        <v>6</v>
      </c>
      <c r="K2017" t="s">
        <v>821</v>
      </c>
      <c r="M2017">
        <v>0</v>
      </c>
    </row>
    <row r="2018" spans="1:13">
      <c r="A2018" t="s">
        <v>9609</v>
      </c>
      <c r="B2018" t="s">
        <v>399</v>
      </c>
      <c r="C2018" s="34" t="s">
        <v>773</v>
      </c>
      <c r="F2018" t="s">
        <v>773</v>
      </c>
      <c r="G2018" t="s">
        <v>6932</v>
      </c>
      <c r="H2018">
        <v>5</v>
      </c>
      <c r="I2018">
        <f>VLOOKUP(B2018,BRAND!B:D,3,FALSE)</f>
        <v>3</v>
      </c>
      <c r="J2018">
        <v>4</v>
      </c>
      <c r="M2018">
        <v>1</v>
      </c>
    </row>
    <row r="2019" spans="1:13">
      <c r="A2019" t="s">
        <v>1545</v>
      </c>
      <c r="B2019" t="s">
        <v>234</v>
      </c>
      <c r="C2019" s="34" t="s">
        <v>5237</v>
      </c>
      <c r="F2019" t="s">
        <v>1438</v>
      </c>
      <c r="H2019">
        <v>5</v>
      </c>
      <c r="I2019">
        <f>VLOOKUP(B2019,BRAND!B:D,3,FALSE)</f>
        <v>3</v>
      </c>
      <c r="J2019">
        <v>4</v>
      </c>
      <c r="K2019" t="s">
        <v>821</v>
      </c>
      <c r="M2019">
        <v>1</v>
      </c>
    </row>
    <row r="2020" spans="1:13">
      <c r="A2020" t="s">
        <v>14969</v>
      </c>
      <c r="B2020" t="s">
        <v>14970</v>
      </c>
      <c r="C2020" s="34" t="s">
        <v>536</v>
      </c>
      <c r="F2020" t="s">
        <v>536</v>
      </c>
      <c r="G2020" t="s">
        <v>801</v>
      </c>
      <c r="H2020">
        <v>5</v>
      </c>
      <c r="I2020">
        <f>VLOOKUP(B2020,BRAND!B:D,3,FALSE)</f>
        <v>5</v>
      </c>
      <c r="J2020">
        <v>0</v>
      </c>
      <c r="K2020" t="s">
        <v>821</v>
      </c>
      <c r="L2020">
        <v>0</v>
      </c>
      <c r="M2020">
        <v>0</v>
      </c>
    </row>
    <row r="2021" spans="1:13">
      <c r="A2021" t="s">
        <v>2730</v>
      </c>
      <c r="B2021" t="s">
        <v>1151</v>
      </c>
      <c r="C2021" s="34" t="s">
        <v>1438</v>
      </c>
      <c r="F2021" t="s">
        <v>1438</v>
      </c>
      <c r="H2021">
        <v>5</v>
      </c>
      <c r="I2021">
        <f>VLOOKUP(B2021,BRAND!B:D,3,FALSE)</f>
        <v>5.5</v>
      </c>
      <c r="J2021">
        <v>4</v>
      </c>
      <c r="K2021" t="e">
        <v>#N/A</v>
      </c>
      <c r="M2021">
        <v>0</v>
      </c>
    </row>
    <row r="2022" spans="1:13">
      <c r="A2022" t="s">
        <v>4761</v>
      </c>
      <c r="B2022" t="s">
        <v>1238</v>
      </c>
      <c r="C2022" s="34" t="s">
        <v>1493</v>
      </c>
      <c r="F2022" t="s">
        <v>1493</v>
      </c>
      <c r="H2022">
        <v>5</v>
      </c>
      <c r="I2022">
        <f>VLOOKUP(B2022,BRAND!B:D,3,FALSE)</f>
        <v>3</v>
      </c>
      <c r="J2022">
        <v>7</v>
      </c>
      <c r="K2022" t="s">
        <v>821</v>
      </c>
      <c r="M2022">
        <v>0</v>
      </c>
    </row>
    <row r="2023" spans="1:13">
      <c r="A2023" t="s">
        <v>4762</v>
      </c>
      <c r="B2023" t="s">
        <v>1238</v>
      </c>
      <c r="C2023" s="34" t="s">
        <v>746</v>
      </c>
      <c r="F2023" t="s">
        <v>746</v>
      </c>
      <c r="H2023">
        <v>5</v>
      </c>
      <c r="I2023">
        <f>VLOOKUP(B2023,BRAND!B:D,3,FALSE)</f>
        <v>3</v>
      </c>
      <c r="J2023">
        <v>6</v>
      </c>
      <c r="K2023" t="s">
        <v>821</v>
      </c>
      <c r="M2023">
        <v>0</v>
      </c>
    </row>
    <row r="2024" spans="1:13">
      <c r="A2024" t="s">
        <v>3173</v>
      </c>
      <c r="B2024" t="s">
        <v>1238</v>
      </c>
      <c r="C2024" s="34" t="s">
        <v>1438</v>
      </c>
      <c r="F2024" t="s">
        <v>1438</v>
      </c>
      <c r="H2024">
        <v>15</v>
      </c>
      <c r="I2024">
        <f>VLOOKUP(B2024,BRAND!B:D,3,FALSE)</f>
        <v>3</v>
      </c>
      <c r="J2024">
        <v>4</v>
      </c>
      <c r="K2024" t="s">
        <v>821</v>
      </c>
      <c r="M2024">
        <v>0</v>
      </c>
    </row>
    <row r="2025" spans="1:13">
      <c r="A2025" t="s">
        <v>3007</v>
      </c>
      <c r="B2025" t="s">
        <v>1239</v>
      </c>
      <c r="C2025" s="34" t="s">
        <v>1438</v>
      </c>
      <c r="F2025" t="s">
        <v>1438</v>
      </c>
      <c r="H2025">
        <v>15</v>
      </c>
      <c r="I2025">
        <f>VLOOKUP(B2025,BRAND!B:D,3,FALSE)</f>
        <v>5.5</v>
      </c>
      <c r="J2025">
        <v>4</v>
      </c>
      <c r="K2025" t="e">
        <v>#N/A</v>
      </c>
      <c r="M2025">
        <v>0</v>
      </c>
    </row>
    <row r="2026" spans="1:13">
      <c r="A2026" t="s">
        <v>7151</v>
      </c>
      <c r="B2026" t="s">
        <v>7152</v>
      </c>
      <c r="C2026" s="34" t="s">
        <v>1438</v>
      </c>
      <c r="F2026" t="s">
        <v>1438</v>
      </c>
      <c r="H2026">
        <v>5</v>
      </c>
      <c r="I2026">
        <f>VLOOKUP(B2026,BRAND!B:D,3,FALSE)</f>
        <v>3</v>
      </c>
      <c r="M2026">
        <v>1</v>
      </c>
    </row>
    <row r="2027" spans="1:13">
      <c r="A2027" t="s">
        <v>4549</v>
      </c>
      <c r="B2027" t="s">
        <v>532</v>
      </c>
      <c r="C2027" s="34" t="s">
        <v>910</v>
      </c>
      <c r="F2027" t="s">
        <v>910</v>
      </c>
      <c r="H2027">
        <v>5</v>
      </c>
      <c r="I2027">
        <f>VLOOKUP(B2027,BRAND!B:D,3,FALSE)</f>
        <v>3</v>
      </c>
      <c r="J2027">
        <v>8</v>
      </c>
      <c r="K2027" t="s">
        <v>821</v>
      </c>
      <c r="M2027">
        <v>0</v>
      </c>
    </row>
    <row r="2028" spans="1:13">
      <c r="A2028" t="s">
        <v>3464</v>
      </c>
      <c r="B2028" t="s">
        <v>532</v>
      </c>
      <c r="C2028" s="34" t="s">
        <v>534</v>
      </c>
      <c r="F2028" t="s">
        <v>534</v>
      </c>
      <c r="H2028">
        <v>5</v>
      </c>
      <c r="I2028">
        <f>VLOOKUP(B2028,BRAND!B:D,3,FALSE)</f>
        <v>3</v>
      </c>
      <c r="J2028">
        <v>6</v>
      </c>
      <c r="K2028" t="s">
        <v>821</v>
      </c>
      <c r="M2028">
        <v>1</v>
      </c>
    </row>
    <row r="2029" spans="1:13">
      <c r="A2029" t="s">
        <v>2151</v>
      </c>
      <c r="B2029" t="s">
        <v>532</v>
      </c>
      <c r="C2029" s="34" t="s">
        <v>1438</v>
      </c>
      <c r="F2029" t="s">
        <v>1438</v>
      </c>
      <c r="H2029">
        <v>15</v>
      </c>
      <c r="I2029">
        <f>VLOOKUP(B2029,BRAND!B:D,3,FALSE)</f>
        <v>3</v>
      </c>
      <c r="J2029">
        <v>4</v>
      </c>
      <c r="K2029" t="s">
        <v>821</v>
      </c>
      <c r="M2029">
        <v>0</v>
      </c>
    </row>
    <row r="2030" spans="1:13">
      <c r="A2030" t="s">
        <v>14424</v>
      </c>
      <c r="B2030" t="s">
        <v>320</v>
      </c>
      <c r="C2030" s="34" t="s">
        <v>775</v>
      </c>
      <c r="F2030" t="s">
        <v>5370</v>
      </c>
      <c r="G2030" t="s">
        <v>6932</v>
      </c>
      <c r="H2030">
        <v>5</v>
      </c>
      <c r="I2030">
        <f>VLOOKUP(B2030,BRAND!B:D,3,FALSE)</f>
        <v>3</v>
      </c>
      <c r="J2030">
        <f>LEN(F2030)</f>
        <v>10</v>
      </c>
      <c r="K2030" t="s">
        <v>821</v>
      </c>
      <c r="L2030">
        <v>0</v>
      </c>
      <c r="M2030">
        <v>1</v>
      </c>
    </row>
    <row r="2031" spans="1:13">
      <c r="A2031" t="s">
        <v>14421</v>
      </c>
      <c r="B2031" t="s">
        <v>320</v>
      </c>
      <c r="C2031" s="34" t="s">
        <v>535</v>
      </c>
      <c r="F2031" t="s">
        <v>535</v>
      </c>
      <c r="G2031" t="s">
        <v>6932</v>
      </c>
      <c r="H2031">
        <v>5</v>
      </c>
      <c r="I2031">
        <f>VLOOKUP(B2031,BRAND!B:D,3,FALSE)</f>
        <v>3</v>
      </c>
      <c r="J2031">
        <f>LEN(F2031)</f>
        <v>6</v>
      </c>
      <c r="K2031" t="s">
        <v>821</v>
      </c>
      <c r="L2031">
        <v>0</v>
      </c>
      <c r="M2031">
        <v>1</v>
      </c>
    </row>
    <row r="2032" spans="1:13">
      <c r="A2032" t="s">
        <v>14417</v>
      </c>
      <c r="B2032" t="s">
        <v>320</v>
      </c>
      <c r="C2032" s="34" t="s">
        <v>10023</v>
      </c>
      <c r="F2032" t="s">
        <v>10023</v>
      </c>
      <c r="G2032" t="s">
        <v>6932</v>
      </c>
      <c r="H2032">
        <v>5</v>
      </c>
      <c r="I2032">
        <f>VLOOKUP(B2032,BRAND!B:D,3,FALSE)</f>
        <v>3</v>
      </c>
      <c r="J2032">
        <f>LEN(F2032)</f>
        <v>6</v>
      </c>
      <c r="K2032" t="s">
        <v>821</v>
      </c>
      <c r="L2032">
        <v>0</v>
      </c>
      <c r="M2032">
        <v>1</v>
      </c>
    </row>
    <row r="2033" spans="1:13">
      <c r="A2033" t="s">
        <v>3090</v>
      </c>
      <c r="B2033" t="s">
        <v>320</v>
      </c>
      <c r="C2033" s="34" t="s">
        <v>534</v>
      </c>
      <c r="F2033" t="s">
        <v>534</v>
      </c>
      <c r="H2033">
        <v>5</v>
      </c>
      <c r="I2033">
        <f>VLOOKUP(B2033,BRAND!B:D,3,FALSE)</f>
        <v>3</v>
      </c>
      <c r="J2033">
        <v>6</v>
      </c>
      <c r="K2033" t="s">
        <v>821</v>
      </c>
      <c r="M2033">
        <v>0</v>
      </c>
    </row>
    <row r="2034" spans="1:13">
      <c r="A2034" t="s">
        <v>14418</v>
      </c>
      <c r="B2034" t="s">
        <v>320</v>
      </c>
      <c r="C2034" s="34" t="s">
        <v>534</v>
      </c>
      <c r="F2034" t="s">
        <v>534</v>
      </c>
      <c r="G2034" t="s">
        <v>6932</v>
      </c>
      <c r="H2034">
        <v>5</v>
      </c>
      <c r="I2034">
        <f>VLOOKUP(B2034,BRAND!B:D,3,FALSE)</f>
        <v>3</v>
      </c>
      <c r="J2034">
        <f t="shared" ref="J2034:J2043" si="25">LEN(F2034)</f>
        <v>6</v>
      </c>
      <c r="K2034" t="s">
        <v>821</v>
      </c>
      <c r="L2034">
        <v>0</v>
      </c>
      <c r="M2034">
        <v>1</v>
      </c>
    </row>
    <row r="2035" spans="1:13">
      <c r="A2035" t="s">
        <v>14420</v>
      </c>
      <c r="B2035" t="s">
        <v>320</v>
      </c>
      <c r="C2035" s="34" t="s">
        <v>6364</v>
      </c>
      <c r="F2035" t="s">
        <v>6364</v>
      </c>
      <c r="G2035" t="s">
        <v>6932</v>
      </c>
      <c r="H2035">
        <v>5</v>
      </c>
      <c r="I2035">
        <f>VLOOKUP(B2035,BRAND!B:D,3,FALSE)</f>
        <v>3</v>
      </c>
      <c r="J2035">
        <f t="shared" si="25"/>
        <v>6</v>
      </c>
      <c r="K2035" t="s">
        <v>821</v>
      </c>
      <c r="L2035">
        <v>0</v>
      </c>
      <c r="M2035">
        <v>1</v>
      </c>
    </row>
    <row r="2036" spans="1:13">
      <c r="A2036" t="s">
        <v>14426</v>
      </c>
      <c r="B2036" t="s">
        <v>320</v>
      </c>
      <c r="C2036" s="34" t="s">
        <v>6948</v>
      </c>
      <c r="F2036" t="s">
        <v>6948</v>
      </c>
      <c r="G2036" t="s">
        <v>6932</v>
      </c>
      <c r="H2036">
        <v>5</v>
      </c>
      <c r="I2036">
        <f>VLOOKUP(B2036,BRAND!B:D,3,FALSE)</f>
        <v>3</v>
      </c>
      <c r="J2036">
        <f t="shared" si="25"/>
        <v>6</v>
      </c>
      <c r="K2036" t="s">
        <v>821</v>
      </c>
      <c r="L2036">
        <v>0</v>
      </c>
      <c r="M2036">
        <v>1</v>
      </c>
    </row>
    <row r="2037" spans="1:13">
      <c r="A2037" t="s">
        <v>14427</v>
      </c>
      <c r="B2037" t="s">
        <v>320</v>
      </c>
      <c r="C2037" s="34" t="s">
        <v>842</v>
      </c>
      <c r="F2037" t="s">
        <v>842</v>
      </c>
      <c r="G2037" t="s">
        <v>6932</v>
      </c>
      <c r="H2037">
        <v>5</v>
      </c>
      <c r="I2037">
        <f>VLOOKUP(B2037,BRAND!B:D,3,FALSE)</f>
        <v>3</v>
      </c>
      <c r="J2037">
        <f t="shared" si="25"/>
        <v>5</v>
      </c>
      <c r="K2037" t="s">
        <v>821</v>
      </c>
      <c r="L2037">
        <v>0</v>
      </c>
      <c r="M2037">
        <v>1</v>
      </c>
    </row>
    <row r="2038" spans="1:13">
      <c r="A2038" t="s">
        <v>14425</v>
      </c>
      <c r="B2038" t="s">
        <v>320</v>
      </c>
      <c r="C2038" s="34" t="s">
        <v>776</v>
      </c>
      <c r="F2038" t="s">
        <v>776</v>
      </c>
      <c r="G2038" t="s">
        <v>6932</v>
      </c>
      <c r="H2038">
        <v>5</v>
      </c>
      <c r="I2038">
        <f>VLOOKUP(B2038,BRAND!B:D,3,FALSE)</f>
        <v>3</v>
      </c>
      <c r="J2038">
        <f t="shared" si="25"/>
        <v>5</v>
      </c>
      <c r="K2038" t="s">
        <v>821</v>
      </c>
      <c r="L2038">
        <v>0</v>
      </c>
      <c r="M2038">
        <v>1</v>
      </c>
    </row>
    <row r="2039" spans="1:13">
      <c r="A2039" t="s">
        <v>14416</v>
      </c>
      <c r="B2039" t="s">
        <v>320</v>
      </c>
      <c r="C2039" s="34" t="s">
        <v>536</v>
      </c>
      <c r="F2039" t="s">
        <v>536</v>
      </c>
      <c r="G2039" t="s">
        <v>6932</v>
      </c>
      <c r="H2039">
        <v>5</v>
      </c>
      <c r="I2039">
        <f>VLOOKUP(B2039,BRAND!B:D,3,FALSE)</f>
        <v>3</v>
      </c>
      <c r="J2039">
        <f t="shared" si="25"/>
        <v>5</v>
      </c>
      <c r="K2039" t="s">
        <v>821</v>
      </c>
      <c r="L2039">
        <v>0</v>
      </c>
      <c r="M2039">
        <v>1</v>
      </c>
    </row>
    <row r="2040" spans="1:13">
      <c r="A2040" t="s">
        <v>14422</v>
      </c>
      <c r="B2040" t="s">
        <v>320</v>
      </c>
      <c r="C2040" s="34" t="s">
        <v>788</v>
      </c>
      <c r="F2040" t="s">
        <v>788</v>
      </c>
      <c r="G2040" t="s">
        <v>6932</v>
      </c>
      <c r="H2040">
        <v>5</v>
      </c>
      <c r="I2040">
        <f>VLOOKUP(B2040,BRAND!B:D,3,FALSE)</f>
        <v>3</v>
      </c>
      <c r="J2040">
        <f t="shared" si="25"/>
        <v>4</v>
      </c>
      <c r="K2040" t="s">
        <v>821</v>
      </c>
      <c r="L2040">
        <v>0</v>
      </c>
      <c r="M2040">
        <v>1</v>
      </c>
    </row>
    <row r="2041" spans="1:13">
      <c r="A2041" t="s">
        <v>14428</v>
      </c>
      <c r="B2041" t="s">
        <v>320</v>
      </c>
      <c r="C2041" s="34" t="s">
        <v>14429</v>
      </c>
      <c r="F2041" t="s">
        <v>14429</v>
      </c>
      <c r="G2041" t="s">
        <v>6932</v>
      </c>
      <c r="H2041">
        <v>5</v>
      </c>
      <c r="I2041">
        <f>VLOOKUP(B2041,BRAND!B:D,3,FALSE)</f>
        <v>3</v>
      </c>
      <c r="J2041">
        <f t="shared" si="25"/>
        <v>4</v>
      </c>
      <c r="K2041" t="s">
        <v>821</v>
      </c>
      <c r="L2041">
        <v>0</v>
      </c>
      <c r="M2041">
        <v>1</v>
      </c>
    </row>
    <row r="2042" spans="1:13">
      <c r="A2042" t="s">
        <v>14423</v>
      </c>
      <c r="B2042" t="s">
        <v>320</v>
      </c>
      <c r="C2042" s="34" t="s">
        <v>786</v>
      </c>
      <c r="F2042" t="s">
        <v>786</v>
      </c>
      <c r="G2042" t="s">
        <v>6932</v>
      </c>
      <c r="H2042">
        <v>5</v>
      </c>
      <c r="I2042">
        <f>VLOOKUP(B2042,BRAND!B:D,3,FALSE)</f>
        <v>3</v>
      </c>
      <c r="J2042">
        <f t="shared" si="25"/>
        <v>3</v>
      </c>
      <c r="K2042" t="s">
        <v>821</v>
      </c>
      <c r="L2042">
        <v>0</v>
      </c>
      <c r="M2042">
        <v>1</v>
      </c>
    </row>
    <row r="2043" spans="1:13">
      <c r="A2043" t="s">
        <v>14419</v>
      </c>
      <c r="B2043" t="s">
        <v>320</v>
      </c>
      <c r="C2043" s="34" t="s">
        <v>561</v>
      </c>
      <c r="F2043" t="s">
        <v>561</v>
      </c>
      <c r="G2043" t="s">
        <v>6932</v>
      </c>
      <c r="H2043">
        <v>5</v>
      </c>
      <c r="I2043">
        <f>VLOOKUP(B2043,BRAND!B:D,3,FALSE)</f>
        <v>3</v>
      </c>
      <c r="J2043">
        <f t="shared" si="25"/>
        <v>3</v>
      </c>
      <c r="K2043" t="s">
        <v>821</v>
      </c>
      <c r="L2043">
        <v>0</v>
      </c>
      <c r="M2043">
        <v>1</v>
      </c>
    </row>
    <row r="2044" spans="1:13">
      <c r="A2044" t="s">
        <v>2132</v>
      </c>
      <c r="B2044" t="s">
        <v>1240</v>
      </c>
      <c r="C2044" s="34" t="s">
        <v>776</v>
      </c>
      <c r="F2044" t="s">
        <v>776</v>
      </c>
      <c r="H2044">
        <v>5</v>
      </c>
      <c r="I2044">
        <f>VLOOKUP(B2044,BRAND!B:D,3,FALSE)</f>
        <v>3</v>
      </c>
      <c r="J2044">
        <v>5</v>
      </c>
      <c r="K2044" t="s">
        <v>821</v>
      </c>
      <c r="M2044">
        <v>0</v>
      </c>
    </row>
    <row r="2045" spans="1:13">
      <c r="A2045" t="s">
        <v>4854</v>
      </c>
      <c r="B2045" t="s">
        <v>1240</v>
      </c>
      <c r="C2045" s="34" t="s">
        <v>781</v>
      </c>
      <c r="F2045" t="s">
        <v>781</v>
      </c>
      <c r="H2045">
        <v>5</v>
      </c>
      <c r="I2045">
        <f>VLOOKUP(B2045,BRAND!B:D,3,FALSE)</f>
        <v>3</v>
      </c>
      <c r="J2045">
        <v>4</v>
      </c>
      <c r="K2045" t="s">
        <v>821</v>
      </c>
      <c r="M2045">
        <v>0</v>
      </c>
    </row>
    <row r="2046" spans="1:13">
      <c r="A2046" t="s">
        <v>4419</v>
      </c>
      <c r="B2046" t="s">
        <v>1240</v>
      </c>
      <c r="C2046" s="34" t="s">
        <v>1992</v>
      </c>
      <c r="F2046" t="s">
        <v>1992</v>
      </c>
      <c r="H2046">
        <v>5</v>
      </c>
      <c r="I2046">
        <f>VLOOKUP(B2046,BRAND!B:D,3,FALSE)</f>
        <v>3</v>
      </c>
      <c r="J2046">
        <v>3</v>
      </c>
      <c r="K2046" t="s">
        <v>821</v>
      </c>
      <c r="M2046">
        <v>0</v>
      </c>
    </row>
    <row r="2047" spans="1:13">
      <c r="A2047" t="s">
        <v>4186</v>
      </c>
      <c r="B2047" t="s">
        <v>1240</v>
      </c>
      <c r="C2047" s="34" t="s">
        <v>775</v>
      </c>
      <c r="F2047" t="s">
        <v>775</v>
      </c>
      <c r="H2047">
        <v>5</v>
      </c>
      <c r="I2047">
        <f>VLOOKUP(B2047,BRAND!B:D,3,FALSE)</f>
        <v>3</v>
      </c>
      <c r="J2047">
        <v>3</v>
      </c>
      <c r="K2047" t="s">
        <v>821</v>
      </c>
      <c r="M2047">
        <v>0</v>
      </c>
    </row>
    <row r="2048" spans="1:13" ht="14.5" customHeight="1">
      <c r="A2048" t="s">
        <v>2767</v>
      </c>
      <c r="B2048" t="s">
        <v>1240</v>
      </c>
      <c r="C2048" s="34" t="s">
        <v>1438</v>
      </c>
      <c r="F2048" t="s">
        <v>1438</v>
      </c>
      <c r="H2048">
        <v>15</v>
      </c>
      <c r="I2048">
        <f>VLOOKUP(B2048,BRAND!B:D,3,FALSE)</f>
        <v>3</v>
      </c>
      <c r="J2048">
        <v>4</v>
      </c>
      <c r="K2048" t="s">
        <v>821</v>
      </c>
      <c r="M2048">
        <v>0</v>
      </c>
    </row>
    <row r="2049" spans="1:13" ht="14.5" customHeight="1">
      <c r="A2049" t="s">
        <v>4165</v>
      </c>
      <c r="B2049" t="s">
        <v>1059</v>
      </c>
      <c r="C2049" s="34" t="s">
        <v>1438</v>
      </c>
      <c r="F2049" t="s">
        <v>1438</v>
      </c>
      <c r="H2049">
        <v>15</v>
      </c>
      <c r="I2049">
        <f>VLOOKUP(B2049,BRAND!B:D,3,FALSE)</f>
        <v>11</v>
      </c>
      <c r="J2049">
        <v>4</v>
      </c>
      <c r="K2049" t="s">
        <v>1420</v>
      </c>
      <c r="M2049">
        <v>0</v>
      </c>
    </row>
    <row r="2050" spans="1:13" ht="14.5" customHeight="1">
      <c r="A2050" t="s">
        <v>7040</v>
      </c>
      <c r="B2050" t="s">
        <v>1152</v>
      </c>
      <c r="C2050" s="34" t="s">
        <v>1438</v>
      </c>
      <c r="F2050" t="s">
        <v>1438</v>
      </c>
      <c r="H2050">
        <v>5</v>
      </c>
      <c r="I2050">
        <f>VLOOKUP(B2050,BRAND!B:D,3,FALSE)</f>
        <v>3</v>
      </c>
      <c r="J2050">
        <v>4</v>
      </c>
      <c r="M2050">
        <v>1</v>
      </c>
    </row>
    <row r="2051" spans="1:13" ht="14.5" customHeight="1">
      <c r="A2051" t="s">
        <v>7939</v>
      </c>
      <c r="B2051" t="s">
        <v>7937</v>
      </c>
      <c r="C2051" s="34" t="s">
        <v>750</v>
      </c>
      <c r="F2051" t="s">
        <v>750</v>
      </c>
      <c r="G2051" t="s">
        <v>6932</v>
      </c>
      <c r="H2051">
        <v>5</v>
      </c>
      <c r="I2051">
        <f>VLOOKUP(B2051,BRAND!B:D,3,FALSE)</f>
        <v>5.5</v>
      </c>
      <c r="J2051">
        <v>6</v>
      </c>
      <c r="M2051">
        <v>1</v>
      </c>
    </row>
    <row r="2052" spans="1:13">
      <c r="A2052" t="s">
        <v>7938</v>
      </c>
      <c r="B2052" t="s">
        <v>7937</v>
      </c>
      <c r="C2052" s="34" t="s">
        <v>1513</v>
      </c>
      <c r="F2052" t="s">
        <v>1513</v>
      </c>
      <c r="G2052" t="s">
        <v>6932</v>
      </c>
      <c r="H2052">
        <v>5</v>
      </c>
      <c r="I2052">
        <f>VLOOKUP(B2052,BRAND!B:D,3,FALSE)</f>
        <v>5.5</v>
      </c>
      <c r="J2052">
        <v>5</v>
      </c>
      <c r="M2052">
        <v>1</v>
      </c>
    </row>
    <row r="2053" spans="1:13">
      <c r="A2053" t="s">
        <v>7940</v>
      </c>
      <c r="B2053" t="s">
        <v>7937</v>
      </c>
      <c r="C2053" s="34" t="s">
        <v>875</v>
      </c>
      <c r="F2053" t="s">
        <v>875</v>
      </c>
      <c r="G2053" t="s">
        <v>6932</v>
      </c>
      <c r="H2053">
        <v>5</v>
      </c>
      <c r="I2053">
        <f>VLOOKUP(B2053,BRAND!B:D,3,FALSE)</f>
        <v>5.5</v>
      </c>
      <c r="J2053">
        <v>5</v>
      </c>
      <c r="M2053">
        <v>1</v>
      </c>
    </row>
    <row r="2054" spans="1:13">
      <c r="A2054" t="s">
        <v>7936</v>
      </c>
      <c r="B2054" t="s">
        <v>7937</v>
      </c>
      <c r="C2054" s="34" t="s">
        <v>872</v>
      </c>
      <c r="F2054" t="s">
        <v>872</v>
      </c>
      <c r="G2054" t="s">
        <v>6932</v>
      </c>
      <c r="H2054">
        <v>5</v>
      </c>
      <c r="I2054">
        <f>VLOOKUP(B2054,BRAND!B:D,3,FALSE)</f>
        <v>5.5</v>
      </c>
      <c r="J2054">
        <v>5</v>
      </c>
      <c r="M2054">
        <v>1</v>
      </c>
    </row>
    <row r="2055" spans="1:13">
      <c r="A2055" t="s">
        <v>7942</v>
      </c>
      <c r="B2055" t="s">
        <v>7937</v>
      </c>
      <c r="C2055" s="34" t="s">
        <v>7943</v>
      </c>
      <c r="F2055" t="s">
        <v>7943</v>
      </c>
      <c r="G2055" t="s">
        <v>6932</v>
      </c>
      <c r="H2055">
        <v>5</v>
      </c>
      <c r="I2055">
        <f>VLOOKUP(B2055,BRAND!B:D,3,FALSE)</f>
        <v>5.5</v>
      </c>
      <c r="J2055">
        <v>5</v>
      </c>
      <c r="M2055">
        <v>1</v>
      </c>
    </row>
    <row r="2056" spans="1:13">
      <c r="A2056" t="s">
        <v>7944</v>
      </c>
      <c r="B2056" t="s">
        <v>7937</v>
      </c>
      <c r="C2056" s="34" t="s">
        <v>7945</v>
      </c>
      <c r="F2056" t="s">
        <v>7945</v>
      </c>
      <c r="G2056" t="s">
        <v>6932</v>
      </c>
      <c r="H2056">
        <v>5</v>
      </c>
      <c r="I2056">
        <f>VLOOKUP(B2056,BRAND!B:D,3,FALSE)</f>
        <v>5.5</v>
      </c>
      <c r="J2056">
        <v>5</v>
      </c>
      <c r="M2056">
        <v>1</v>
      </c>
    </row>
    <row r="2057" spans="1:13">
      <c r="A2057" t="s">
        <v>7941</v>
      </c>
      <c r="B2057" t="s">
        <v>7937</v>
      </c>
      <c r="C2057" s="34" t="s">
        <v>869</v>
      </c>
      <c r="F2057" t="s">
        <v>869</v>
      </c>
      <c r="G2057" t="s">
        <v>6932</v>
      </c>
      <c r="H2057">
        <v>5</v>
      </c>
      <c r="I2057">
        <f>VLOOKUP(B2057,BRAND!B:D,3,FALSE)</f>
        <v>5.5</v>
      </c>
      <c r="J2057">
        <v>4</v>
      </c>
      <c r="M2057">
        <v>1</v>
      </c>
    </row>
    <row r="2058" spans="1:13">
      <c r="A2058" t="s">
        <v>15240</v>
      </c>
      <c r="B2058" t="s">
        <v>13929</v>
      </c>
      <c r="C2058" s="34" t="s">
        <v>15241</v>
      </c>
      <c r="F2058" t="s">
        <v>15241</v>
      </c>
      <c r="G2058" t="s">
        <v>6932</v>
      </c>
      <c r="H2058">
        <v>5</v>
      </c>
      <c r="I2058">
        <f>VLOOKUP(B2058,BRAND!B:D,3,FALSE)</f>
        <v>5</v>
      </c>
      <c r="J2058">
        <v>0</v>
      </c>
      <c r="K2058" t="s">
        <v>821</v>
      </c>
      <c r="L2058">
        <v>0</v>
      </c>
      <c r="M2058">
        <v>0</v>
      </c>
    </row>
    <row r="2059" spans="1:13">
      <c r="A2059" t="s">
        <v>1705</v>
      </c>
      <c r="B2059" t="s">
        <v>1443</v>
      </c>
      <c r="C2059" s="34" t="s">
        <v>898</v>
      </c>
      <c r="F2059" t="s">
        <v>898</v>
      </c>
      <c r="H2059">
        <v>5</v>
      </c>
      <c r="I2059">
        <f>VLOOKUP(B2059,BRAND!B:D,3,FALSE)</f>
        <v>3</v>
      </c>
      <c r="J2059">
        <v>6</v>
      </c>
      <c r="K2059" t="s">
        <v>821</v>
      </c>
      <c r="M2059">
        <v>1</v>
      </c>
    </row>
    <row r="2060" spans="1:13">
      <c r="A2060" t="s">
        <v>1690</v>
      </c>
      <c r="B2060" t="s">
        <v>1443</v>
      </c>
      <c r="C2060" s="34" t="s">
        <v>799</v>
      </c>
      <c r="F2060" t="s">
        <v>799</v>
      </c>
      <c r="H2060">
        <v>5</v>
      </c>
      <c r="I2060">
        <f>VLOOKUP(B2060,BRAND!B:D,3,FALSE)</f>
        <v>3</v>
      </c>
      <c r="J2060">
        <v>5</v>
      </c>
      <c r="K2060" t="s">
        <v>821</v>
      </c>
      <c r="M2060">
        <v>1</v>
      </c>
    </row>
    <row r="2061" spans="1:13">
      <c r="A2061" t="s">
        <v>4803</v>
      </c>
      <c r="B2061" t="s">
        <v>1443</v>
      </c>
      <c r="C2061" s="34" t="s">
        <v>763</v>
      </c>
      <c r="F2061" t="s">
        <v>763</v>
      </c>
      <c r="H2061">
        <v>5</v>
      </c>
      <c r="I2061">
        <f>VLOOKUP(B2061,BRAND!B:D,3,FALSE)</f>
        <v>3</v>
      </c>
      <c r="J2061">
        <v>5</v>
      </c>
      <c r="K2061" t="s">
        <v>821</v>
      </c>
      <c r="M2061">
        <v>1</v>
      </c>
    </row>
    <row r="2062" spans="1:13">
      <c r="A2062" t="s">
        <v>1706</v>
      </c>
      <c r="B2062" t="s">
        <v>1443</v>
      </c>
      <c r="C2062" s="34" t="s">
        <v>775</v>
      </c>
      <c r="F2062" t="s">
        <v>775</v>
      </c>
      <c r="H2062">
        <v>5</v>
      </c>
      <c r="I2062">
        <f>VLOOKUP(B2062,BRAND!B:D,3,FALSE)</f>
        <v>3</v>
      </c>
      <c r="J2062">
        <v>3</v>
      </c>
      <c r="K2062" t="s">
        <v>821</v>
      </c>
      <c r="M2062">
        <v>1</v>
      </c>
    </row>
    <row r="2063" spans="1:13">
      <c r="A2063" t="s">
        <v>1733</v>
      </c>
      <c r="B2063" t="s">
        <v>1443</v>
      </c>
      <c r="C2063" s="34" t="s">
        <v>1438</v>
      </c>
      <c r="F2063" t="s">
        <v>1438</v>
      </c>
      <c r="H2063">
        <v>15</v>
      </c>
      <c r="I2063">
        <f>VLOOKUP(B2063,BRAND!B:D,3,FALSE)</f>
        <v>3</v>
      </c>
      <c r="J2063">
        <v>4</v>
      </c>
      <c r="K2063" t="s">
        <v>821</v>
      </c>
      <c r="M2063">
        <v>1</v>
      </c>
    </row>
    <row r="2064" spans="1:13">
      <c r="A2064" t="s">
        <v>7949</v>
      </c>
      <c r="B2064" t="s">
        <v>7947</v>
      </c>
      <c r="C2064" s="34" t="s">
        <v>7950</v>
      </c>
      <c r="F2064" t="s">
        <v>7950</v>
      </c>
      <c r="G2064" t="s">
        <v>6932</v>
      </c>
      <c r="H2064">
        <v>5</v>
      </c>
      <c r="I2064">
        <f>VLOOKUP(B2064,BRAND!B:D,3,FALSE)</f>
        <v>5.5</v>
      </c>
      <c r="J2064">
        <v>6</v>
      </c>
      <c r="M2064">
        <v>1</v>
      </c>
    </row>
    <row r="2065" spans="1:13">
      <c r="A2065" t="s">
        <v>7951</v>
      </c>
      <c r="B2065" t="s">
        <v>7947</v>
      </c>
      <c r="C2065" s="34" t="s">
        <v>534</v>
      </c>
      <c r="F2065" t="s">
        <v>534</v>
      </c>
      <c r="G2065" t="s">
        <v>6932</v>
      </c>
      <c r="H2065">
        <v>5</v>
      </c>
      <c r="I2065">
        <f>VLOOKUP(B2065,BRAND!B:D,3,FALSE)</f>
        <v>5.5</v>
      </c>
      <c r="J2065">
        <v>6</v>
      </c>
      <c r="M2065">
        <v>1</v>
      </c>
    </row>
    <row r="2066" spans="1:13">
      <c r="A2066" t="s">
        <v>7952</v>
      </c>
      <c r="B2066" t="s">
        <v>7947</v>
      </c>
      <c r="C2066" s="34" t="s">
        <v>746</v>
      </c>
      <c r="F2066" t="s">
        <v>746</v>
      </c>
      <c r="G2066" t="s">
        <v>6932</v>
      </c>
      <c r="H2066">
        <v>5</v>
      </c>
      <c r="I2066">
        <f>VLOOKUP(B2066,BRAND!B:D,3,FALSE)</f>
        <v>5.5</v>
      </c>
      <c r="J2066">
        <v>6</v>
      </c>
      <c r="M2066">
        <v>1</v>
      </c>
    </row>
    <row r="2067" spans="1:13">
      <c r="A2067" t="s">
        <v>7948</v>
      </c>
      <c r="B2067" t="s">
        <v>7947</v>
      </c>
      <c r="C2067" s="34" t="s">
        <v>751</v>
      </c>
      <c r="F2067" t="s">
        <v>751</v>
      </c>
      <c r="G2067" t="s">
        <v>6932</v>
      </c>
      <c r="H2067">
        <v>5</v>
      </c>
      <c r="I2067">
        <f>VLOOKUP(B2067,BRAND!B:D,3,FALSE)</f>
        <v>5.5</v>
      </c>
      <c r="J2067">
        <v>5</v>
      </c>
      <c r="M2067">
        <v>1</v>
      </c>
    </row>
    <row r="2068" spans="1:13" ht="19" customHeight="1">
      <c r="A2068" t="s">
        <v>7955</v>
      </c>
      <c r="B2068" t="s">
        <v>7947</v>
      </c>
      <c r="C2068" s="34" t="s">
        <v>776</v>
      </c>
      <c r="F2068" t="s">
        <v>776</v>
      </c>
      <c r="G2068" t="s">
        <v>6932</v>
      </c>
      <c r="H2068">
        <v>5</v>
      </c>
      <c r="I2068">
        <f>VLOOKUP(B2068,BRAND!B:D,3,FALSE)</f>
        <v>5.5</v>
      </c>
      <c r="J2068">
        <v>5</v>
      </c>
      <c r="M2068">
        <v>1</v>
      </c>
    </row>
    <row r="2069" spans="1:13">
      <c r="A2069" t="s">
        <v>7946</v>
      </c>
      <c r="B2069" t="s">
        <v>7947</v>
      </c>
      <c r="C2069" s="34" t="s">
        <v>788</v>
      </c>
      <c r="F2069" t="s">
        <v>788</v>
      </c>
      <c r="G2069" t="s">
        <v>6932</v>
      </c>
      <c r="H2069">
        <v>5</v>
      </c>
      <c r="I2069">
        <f>VLOOKUP(B2069,BRAND!B:D,3,FALSE)</f>
        <v>5.5</v>
      </c>
      <c r="J2069">
        <v>4</v>
      </c>
      <c r="M2069">
        <v>1</v>
      </c>
    </row>
    <row r="2070" spans="1:13">
      <c r="A2070" t="s">
        <v>7953</v>
      </c>
      <c r="B2070" t="s">
        <v>7947</v>
      </c>
      <c r="C2070" s="34" t="s">
        <v>561</v>
      </c>
      <c r="F2070" t="s">
        <v>561</v>
      </c>
      <c r="G2070" t="s">
        <v>6932</v>
      </c>
      <c r="H2070">
        <v>5</v>
      </c>
      <c r="I2070">
        <f>VLOOKUP(B2070,BRAND!B:D,3,FALSE)</f>
        <v>5.5</v>
      </c>
      <c r="J2070">
        <v>3</v>
      </c>
      <c r="M2070">
        <v>1</v>
      </c>
    </row>
    <row r="2071" spans="1:13">
      <c r="A2071" t="s">
        <v>7954</v>
      </c>
      <c r="B2071" t="s">
        <v>7947</v>
      </c>
      <c r="C2071" s="34">
        <v>350</v>
      </c>
      <c r="F2071">
        <v>350</v>
      </c>
      <c r="G2071" t="s">
        <v>6932</v>
      </c>
      <c r="H2071">
        <v>5</v>
      </c>
      <c r="I2071">
        <f>VLOOKUP(B2071,BRAND!B:D,3,FALSE)</f>
        <v>5.5</v>
      </c>
      <c r="J2071">
        <v>3</v>
      </c>
      <c r="M2071">
        <v>1</v>
      </c>
    </row>
    <row r="2072" spans="1:13">
      <c r="A2072" t="s">
        <v>2272</v>
      </c>
      <c r="B2072" t="s">
        <v>1026</v>
      </c>
      <c r="C2072" s="34" t="s">
        <v>777</v>
      </c>
      <c r="F2072" t="s">
        <v>777</v>
      </c>
      <c r="H2072">
        <v>5</v>
      </c>
      <c r="I2072">
        <f>VLOOKUP(B2072,BRAND!B:D,3,FALSE)</f>
        <v>3</v>
      </c>
      <c r="J2072">
        <v>7</v>
      </c>
      <c r="K2072" t="s">
        <v>821</v>
      </c>
      <c r="M2072">
        <v>0</v>
      </c>
    </row>
    <row r="2073" spans="1:13">
      <c r="A2073" t="s">
        <v>3769</v>
      </c>
      <c r="B2073" t="s">
        <v>533</v>
      </c>
      <c r="C2073" s="34" t="s">
        <v>842</v>
      </c>
      <c r="F2073" t="s">
        <v>842</v>
      </c>
      <c r="H2073">
        <v>5</v>
      </c>
      <c r="I2073">
        <f>VLOOKUP(B2073,BRAND!B:D,3,FALSE)</f>
        <v>3</v>
      </c>
      <c r="J2073">
        <v>5</v>
      </c>
      <c r="K2073" t="s">
        <v>821</v>
      </c>
      <c r="M2073">
        <v>0</v>
      </c>
    </row>
    <row r="2074" spans="1:13">
      <c r="A2074" t="s">
        <v>5357</v>
      </c>
      <c r="B2074" t="s">
        <v>533</v>
      </c>
      <c r="C2074" s="34" t="s">
        <v>5380</v>
      </c>
      <c r="F2074" t="s">
        <v>792</v>
      </c>
      <c r="H2074">
        <v>5</v>
      </c>
      <c r="I2074">
        <f>VLOOKUP(B2074,BRAND!B:D,3,FALSE)</f>
        <v>3</v>
      </c>
      <c r="J2074">
        <v>4</v>
      </c>
      <c r="K2074" t="s">
        <v>821</v>
      </c>
      <c r="M2074">
        <v>1</v>
      </c>
    </row>
    <row r="2075" spans="1:13">
      <c r="A2075" t="s">
        <v>5356</v>
      </c>
      <c r="B2075" t="s">
        <v>533</v>
      </c>
      <c r="C2075" s="34" t="s">
        <v>5379</v>
      </c>
      <c r="F2075" t="s">
        <v>781</v>
      </c>
      <c r="H2075">
        <v>5</v>
      </c>
      <c r="I2075">
        <f>VLOOKUP(B2075,BRAND!B:D,3,FALSE)</f>
        <v>3</v>
      </c>
      <c r="J2075">
        <v>4</v>
      </c>
      <c r="K2075" t="s">
        <v>821</v>
      </c>
      <c r="M2075">
        <v>1</v>
      </c>
    </row>
    <row r="2076" spans="1:13">
      <c r="A2076" t="s">
        <v>10471</v>
      </c>
      <c r="B2076" t="s">
        <v>10389</v>
      </c>
      <c r="C2076" s="34" t="s">
        <v>10472</v>
      </c>
      <c r="F2076" t="s">
        <v>10473</v>
      </c>
      <c r="G2076" t="s">
        <v>6932</v>
      </c>
      <c r="H2076">
        <v>5</v>
      </c>
      <c r="I2076">
        <f>VLOOKUP(B2076,BRAND!B:D,3,FALSE)</f>
        <v>5.5</v>
      </c>
      <c r="J2076">
        <f>LEN(F2076)</f>
        <v>15</v>
      </c>
      <c r="L2076">
        <v>0</v>
      </c>
    </row>
    <row r="2077" spans="1:13">
      <c r="A2077" t="s">
        <v>10468</v>
      </c>
      <c r="B2077" t="s">
        <v>10389</v>
      </c>
      <c r="C2077" s="34" t="s">
        <v>10469</v>
      </c>
      <c r="F2077" t="s">
        <v>10470</v>
      </c>
      <c r="G2077" t="s">
        <v>6932</v>
      </c>
      <c r="H2077">
        <v>5</v>
      </c>
      <c r="I2077">
        <f>VLOOKUP(B2077,BRAND!B:D,3,FALSE)</f>
        <v>5.5</v>
      </c>
      <c r="J2077">
        <f>LEN(F2077)</f>
        <v>12</v>
      </c>
      <c r="L2077">
        <v>0</v>
      </c>
    </row>
    <row r="2078" spans="1:13">
      <c r="A2078" t="s">
        <v>10474</v>
      </c>
      <c r="B2078" t="s">
        <v>10389</v>
      </c>
      <c r="C2078" s="34" t="s">
        <v>1513</v>
      </c>
      <c r="F2078" t="s">
        <v>1513</v>
      </c>
      <c r="G2078" t="s">
        <v>6932</v>
      </c>
      <c r="H2078">
        <v>5</v>
      </c>
      <c r="I2078">
        <f>VLOOKUP(B2078,BRAND!B:D,3,FALSE)</f>
        <v>5.5</v>
      </c>
      <c r="J2078">
        <f>LEN(F2078)</f>
        <v>5</v>
      </c>
      <c r="L2078">
        <v>0</v>
      </c>
    </row>
    <row r="2079" spans="1:13">
      <c r="A2079" t="s">
        <v>7956</v>
      </c>
      <c r="B2079" t="s">
        <v>7957</v>
      </c>
      <c r="C2079" s="34" t="s">
        <v>1438</v>
      </c>
      <c r="F2079" t="s">
        <v>1438</v>
      </c>
      <c r="G2079" t="s">
        <v>6932</v>
      </c>
      <c r="H2079">
        <v>5</v>
      </c>
      <c r="I2079">
        <f>VLOOKUP(B2079,BRAND!B:D,3,FALSE)</f>
        <v>5.5</v>
      </c>
      <c r="J2079">
        <v>4</v>
      </c>
      <c r="M2079">
        <v>1</v>
      </c>
    </row>
    <row r="2080" spans="1:13">
      <c r="A2080" t="s">
        <v>7960</v>
      </c>
      <c r="B2080" t="s">
        <v>7961</v>
      </c>
      <c r="C2080" s="34" t="s">
        <v>1438</v>
      </c>
      <c r="F2080" t="s">
        <v>1438</v>
      </c>
      <c r="G2080" t="s">
        <v>6932</v>
      </c>
      <c r="H2080">
        <v>5</v>
      </c>
      <c r="I2080">
        <f>VLOOKUP(B2080,BRAND!B:D,3,FALSE)</f>
        <v>5.5</v>
      </c>
      <c r="J2080">
        <v>4</v>
      </c>
      <c r="M2080">
        <v>1</v>
      </c>
    </row>
    <row r="2081" spans="1:13">
      <c r="A2081" t="s">
        <v>7958</v>
      </c>
      <c r="B2081" t="s">
        <v>7959</v>
      </c>
      <c r="C2081" s="34" t="s">
        <v>1438</v>
      </c>
      <c r="F2081" t="s">
        <v>1438</v>
      </c>
      <c r="G2081" t="s">
        <v>6932</v>
      </c>
      <c r="H2081">
        <v>5</v>
      </c>
      <c r="I2081">
        <f>VLOOKUP(B2081,BRAND!B:D,3,FALSE)</f>
        <v>5.5</v>
      </c>
      <c r="J2081">
        <v>4</v>
      </c>
      <c r="M2081">
        <v>1</v>
      </c>
    </row>
    <row r="2082" spans="1:13">
      <c r="A2082" t="s">
        <v>4064</v>
      </c>
      <c r="B2082" t="s">
        <v>1439</v>
      </c>
      <c r="C2082" s="34" t="s">
        <v>5238</v>
      </c>
      <c r="F2082" t="s">
        <v>782</v>
      </c>
      <c r="H2082">
        <v>5</v>
      </c>
      <c r="I2082">
        <f>VLOOKUP(B2082,BRAND!B:D,3,FALSE)</f>
        <v>3</v>
      </c>
      <c r="J2082">
        <v>4</v>
      </c>
      <c r="K2082" t="s">
        <v>822</v>
      </c>
      <c r="M2082">
        <v>1</v>
      </c>
    </row>
    <row r="2083" spans="1:13">
      <c r="A2083" t="s">
        <v>1549</v>
      </c>
      <c r="B2083" t="s">
        <v>1439</v>
      </c>
      <c r="C2083" s="34" t="s">
        <v>5239</v>
      </c>
      <c r="F2083" t="s">
        <v>775</v>
      </c>
      <c r="H2083">
        <v>5</v>
      </c>
      <c r="I2083">
        <f>VLOOKUP(B2083,BRAND!B:D,3,FALSE)</f>
        <v>3</v>
      </c>
      <c r="J2083">
        <v>3</v>
      </c>
      <c r="K2083" t="s">
        <v>822</v>
      </c>
      <c r="M2083">
        <v>1</v>
      </c>
    </row>
    <row r="2084" spans="1:13">
      <c r="A2084" t="s">
        <v>9613</v>
      </c>
      <c r="B2084" t="s">
        <v>5191</v>
      </c>
      <c r="C2084" s="34" t="s">
        <v>1467</v>
      </c>
      <c r="F2084" t="s">
        <v>1467</v>
      </c>
      <c r="G2084" t="s">
        <v>6932</v>
      </c>
      <c r="H2084">
        <v>5</v>
      </c>
      <c r="I2084">
        <f>VLOOKUP(B2084,BRAND!B:D,3,FALSE)</f>
        <v>3</v>
      </c>
      <c r="J2084">
        <f>LEN(F2084)</f>
        <v>12</v>
      </c>
      <c r="M2084">
        <v>1</v>
      </c>
    </row>
    <row r="2085" spans="1:13">
      <c r="A2085" t="s">
        <v>9615</v>
      </c>
      <c r="B2085" t="s">
        <v>5191</v>
      </c>
      <c r="C2085" s="34" t="s">
        <v>1478</v>
      </c>
      <c r="F2085" t="s">
        <v>1478</v>
      </c>
      <c r="G2085" t="s">
        <v>6932</v>
      </c>
      <c r="H2085">
        <v>5</v>
      </c>
      <c r="I2085">
        <f>VLOOKUP(B2085,BRAND!B:D,3,FALSE)</f>
        <v>3</v>
      </c>
      <c r="J2085">
        <f>LEN(F2085)</f>
        <v>11</v>
      </c>
      <c r="M2085">
        <v>1</v>
      </c>
    </row>
    <row r="2086" spans="1:13">
      <c r="A2086" t="s">
        <v>9616</v>
      </c>
      <c r="B2086" t="s">
        <v>5191</v>
      </c>
      <c r="C2086" s="34" t="s">
        <v>798</v>
      </c>
      <c r="F2086" t="s">
        <v>798</v>
      </c>
      <c r="G2086" t="s">
        <v>6932</v>
      </c>
      <c r="H2086">
        <v>5</v>
      </c>
      <c r="I2086">
        <f>VLOOKUP(B2086,BRAND!B:D,3,FALSE)</f>
        <v>3</v>
      </c>
      <c r="J2086">
        <v>9</v>
      </c>
      <c r="M2086">
        <v>1</v>
      </c>
    </row>
    <row r="2087" spans="1:13">
      <c r="A2087" t="s">
        <v>9611</v>
      </c>
      <c r="B2087" t="s">
        <v>5191</v>
      </c>
      <c r="C2087" s="34" t="s">
        <v>1493</v>
      </c>
      <c r="F2087" t="s">
        <v>1493</v>
      </c>
      <c r="G2087" t="s">
        <v>6932</v>
      </c>
      <c r="H2087">
        <v>5</v>
      </c>
      <c r="I2087">
        <f>VLOOKUP(B2087,BRAND!B:D,3,FALSE)</f>
        <v>3</v>
      </c>
      <c r="J2087">
        <v>7</v>
      </c>
      <c r="M2087">
        <v>1</v>
      </c>
    </row>
    <row r="2088" spans="1:13">
      <c r="A2088" t="s">
        <v>9612</v>
      </c>
      <c r="B2088" t="s">
        <v>5191</v>
      </c>
      <c r="C2088" s="34" t="s">
        <v>746</v>
      </c>
      <c r="F2088" t="s">
        <v>746</v>
      </c>
      <c r="G2088" t="s">
        <v>6932</v>
      </c>
      <c r="H2088">
        <v>5</v>
      </c>
      <c r="I2088">
        <f>VLOOKUP(B2088,BRAND!B:D,3,FALSE)</f>
        <v>3</v>
      </c>
      <c r="J2088">
        <v>6</v>
      </c>
      <c r="M2088">
        <v>1</v>
      </c>
    </row>
    <row r="2089" spans="1:13">
      <c r="A2089" t="s">
        <v>9614</v>
      </c>
      <c r="B2089" t="s">
        <v>5191</v>
      </c>
      <c r="C2089" s="34" t="s">
        <v>881</v>
      </c>
      <c r="F2089" t="s">
        <v>881</v>
      </c>
      <c r="G2089" t="s">
        <v>6932</v>
      </c>
      <c r="H2089">
        <v>5</v>
      </c>
      <c r="I2089">
        <f>VLOOKUP(B2089,BRAND!B:D,3,FALSE)</f>
        <v>3</v>
      </c>
      <c r="J2089">
        <v>5</v>
      </c>
      <c r="M2089">
        <v>1</v>
      </c>
    </row>
    <row r="2090" spans="1:13">
      <c r="A2090" t="s">
        <v>7963</v>
      </c>
      <c r="B2090" t="s">
        <v>641</v>
      </c>
      <c r="C2090" s="34" t="s">
        <v>840</v>
      </c>
      <c r="F2090" t="s">
        <v>840</v>
      </c>
      <c r="G2090" t="s">
        <v>6932</v>
      </c>
      <c r="H2090">
        <v>5</v>
      </c>
      <c r="I2090">
        <f>VLOOKUP(B2090,BRAND!B:D,3,FALSE)</f>
        <v>3</v>
      </c>
      <c r="J2090">
        <v>9</v>
      </c>
      <c r="M2090">
        <v>1</v>
      </c>
    </row>
    <row r="2091" spans="1:13">
      <c r="A2091" t="s">
        <v>7962</v>
      </c>
      <c r="B2091" t="s">
        <v>641</v>
      </c>
      <c r="C2091" s="34" t="s">
        <v>772</v>
      </c>
      <c r="F2091" t="s">
        <v>772</v>
      </c>
      <c r="G2091" t="s">
        <v>6932</v>
      </c>
      <c r="H2091">
        <v>5</v>
      </c>
      <c r="I2091">
        <f>VLOOKUP(B2091,BRAND!B:D,3,FALSE)</f>
        <v>3</v>
      </c>
      <c r="J2091">
        <v>6</v>
      </c>
      <c r="M2091">
        <v>1</v>
      </c>
    </row>
    <row r="2092" spans="1:13">
      <c r="A2092" t="s">
        <v>3852</v>
      </c>
      <c r="B2092" t="s">
        <v>641</v>
      </c>
      <c r="C2092" s="34" t="s">
        <v>534</v>
      </c>
      <c r="F2092" t="s">
        <v>534</v>
      </c>
      <c r="H2092">
        <v>5</v>
      </c>
      <c r="I2092">
        <f>VLOOKUP(B2092,BRAND!B:D,3,FALSE)</f>
        <v>3</v>
      </c>
      <c r="J2092">
        <v>6</v>
      </c>
      <c r="K2092" t="s">
        <v>821</v>
      </c>
      <c r="M2092">
        <v>1</v>
      </c>
    </row>
    <row r="2093" spans="1:13">
      <c r="A2093" t="s">
        <v>9617</v>
      </c>
      <c r="B2093" t="s">
        <v>641</v>
      </c>
      <c r="C2093" s="34" t="s">
        <v>536</v>
      </c>
      <c r="F2093" t="s">
        <v>536</v>
      </c>
      <c r="H2093">
        <v>5</v>
      </c>
      <c r="I2093">
        <f>VLOOKUP(B2093,BRAND!B:D,3,FALSE)</f>
        <v>3</v>
      </c>
      <c r="J2093">
        <v>5</v>
      </c>
      <c r="M2093">
        <v>1</v>
      </c>
    </row>
    <row r="2094" spans="1:13">
      <c r="A2094" t="s">
        <v>2510</v>
      </c>
      <c r="B2094" t="s">
        <v>641</v>
      </c>
      <c r="C2094" s="34" t="s">
        <v>1438</v>
      </c>
      <c r="F2094" t="s">
        <v>1438</v>
      </c>
      <c r="H2094">
        <v>15</v>
      </c>
      <c r="I2094">
        <f>VLOOKUP(B2094,BRAND!B:D,3,FALSE)</f>
        <v>3</v>
      </c>
      <c r="J2094">
        <v>4</v>
      </c>
      <c r="K2094" t="s">
        <v>821</v>
      </c>
      <c r="M2094">
        <v>0</v>
      </c>
    </row>
    <row r="2095" spans="1:13">
      <c r="A2095" t="s">
        <v>2086</v>
      </c>
      <c r="B2095" t="s">
        <v>1020</v>
      </c>
      <c r="C2095" s="34" t="s">
        <v>1438</v>
      </c>
      <c r="F2095" t="s">
        <v>1438</v>
      </c>
      <c r="H2095">
        <v>15</v>
      </c>
      <c r="I2095">
        <f>VLOOKUP(B2095,BRAND!B:D,3,FALSE)</f>
        <v>3</v>
      </c>
      <c r="J2095">
        <v>4</v>
      </c>
      <c r="K2095" t="s">
        <v>821</v>
      </c>
      <c r="M2095">
        <v>0</v>
      </c>
    </row>
    <row r="2096" spans="1:13">
      <c r="A2096" t="s">
        <v>3324</v>
      </c>
      <c r="B2096" t="s">
        <v>1241</v>
      </c>
      <c r="C2096" s="34" t="s">
        <v>1438</v>
      </c>
      <c r="F2096" t="s">
        <v>1438</v>
      </c>
      <c r="H2096">
        <v>15</v>
      </c>
      <c r="I2096">
        <f>VLOOKUP(B2096,BRAND!B:D,3,FALSE)</f>
        <v>5.5</v>
      </c>
      <c r="J2096">
        <v>4</v>
      </c>
      <c r="K2096" t="e">
        <v>#N/A</v>
      </c>
      <c r="M2096">
        <v>0</v>
      </c>
    </row>
    <row r="2097" spans="1:13">
      <c r="A2097" t="s">
        <v>3934</v>
      </c>
      <c r="B2097" t="s">
        <v>254</v>
      </c>
      <c r="C2097" s="34" t="s">
        <v>6944</v>
      </c>
      <c r="F2097" t="s">
        <v>534</v>
      </c>
      <c r="H2097">
        <v>4</v>
      </c>
      <c r="I2097">
        <f>VLOOKUP(B2097,BRAND!B:D,3,FALSE)</f>
        <v>3</v>
      </c>
      <c r="J2097">
        <v>6</v>
      </c>
      <c r="K2097" t="s">
        <v>821</v>
      </c>
      <c r="M2097">
        <v>1</v>
      </c>
    </row>
    <row r="2098" spans="1:13">
      <c r="A2098" t="s">
        <v>5229</v>
      </c>
      <c r="B2098" t="s">
        <v>254</v>
      </c>
      <c r="C2098" s="34" t="s">
        <v>5252</v>
      </c>
      <c r="F2098">
        <v>175</v>
      </c>
      <c r="H2098">
        <v>4</v>
      </c>
      <c r="I2098">
        <f>VLOOKUP(B2098,BRAND!B:D,3,FALSE)</f>
        <v>3</v>
      </c>
      <c r="J2098">
        <v>3</v>
      </c>
      <c r="K2098" t="s">
        <v>821</v>
      </c>
      <c r="M2098">
        <v>0</v>
      </c>
    </row>
    <row r="2099" spans="1:13">
      <c r="A2099" t="s">
        <v>3997</v>
      </c>
      <c r="B2099" t="s">
        <v>254</v>
      </c>
      <c r="C2099" s="34" t="s">
        <v>5240</v>
      </c>
      <c r="F2099" t="s">
        <v>775</v>
      </c>
      <c r="H2099">
        <v>4</v>
      </c>
      <c r="I2099">
        <f>VLOOKUP(B2099,BRAND!B:D,3,FALSE)</f>
        <v>3</v>
      </c>
      <c r="J2099">
        <v>3</v>
      </c>
      <c r="K2099" t="s">
        <v>821</v>
      </c>
      <c r="M2099">
        <v>1</v>
      </c>
    </row>
    <row r="2100" spans="1:13">
      <c r="A2100" t="s">
        <v>4179</v>
      </c>
      <c r="B2100" t="s">
        <v>254</v>
      </c>
      <c r="C2100" s="34" t="s">
        <v>794</v>
      </c>
      <c r="F2100" t="s">
        <v>794</v>
      </c>
      <c r="H2100">
        <v>5</v>
      </c>
      <c r="I2100">
        <f>VLOOKUP(B2100,BRAND!B:D,3,FALSE)</f>
        <v>3</v>
      </c>
      <c r="J2100">
        <f>LEN(F2100)</f>
        <v>10</v>
      </c>
      <c r="K2100" t="s">
        <v>821</v>
      </c>
      <c r="M2100">
        <v>0</v>
      </c>
    </row>
    <row r="2101" spans="1:13">
      <c r="A2101" t="s">
        <v>2993</v>
      </c>
      <c r="B2101" t="s">
        <v>254</v>
      </c>
      <c r="C2101" s="34" t="s">
        <v>535</v>
      </c>
      <c r="F2101" t="s">
        <v>535</v>
      </c>
      <c r="H2101">
        <v>5</v>
      </c>
      <c r="I2101">
        <f>VLOOKUP(B2101,BRAND!B:D,3,FALSE)</f>
        <v>3</v>
      </c>
      <c r="J2101">
        <v>6</v>
      </c>
      <c r="K2101" t="s">
        <v>821</v>
      </c>
      <c r="M2101">
        <v>0</v>
      </c>
    </row>
    <row r="2102" spans="1:13">
      <c r="A2102" t="s">
        <v>3430</v>
      </c>
      <c r="B2102" t="s">
        <v>254</v>
      </c>
      <c r="C2102" s="34" t="s">
        <v>536</v>
      </c>
      <c r="F2102" t="s">
        <v>536</v>
      </c>
      <c r="H2102">
        <v>5</v>
      </c>
      <c r="I2102">
        <f>VLOOKUP(B2102,BRAND!B:D,3,FALSE)</f>
        <v>3</v>
      </c>
      <c r="J2102">
        <v>5</v>
      </c>
      <c r="K2102" t="s">
        <v>821</v>
      </c>
      <c r="M2102">
        <v>1</v>
      </c>
    </row>
    <row r="2103" spans="1:13">
      <c r="A2103" t="s">
        <v>3508</v>
      </c>
      <c r="B2103" t="s">
        <v>254</v>
      </c>
      <c r="C2103" s="34" t="s">
        <v>5487</v>
      </c>
      <c r="F2103" t="s">
        <v>799</v>
      </c>
      <c r="H2103">
        <v>5</v>
      </c>
      <c r="I2103">
        <f>VLOOKUP(B2103,BRAND!B:D,3,FALSE)</f>
        <v>3</v>
      </c>
      <c r="J2103">
        <v>5</v>
      </c>
      <c r="K2103" t="s">
        <v>821</v>
      </c>
      <c r="M2103">
        <v>1</v>
      </c>
    </row>
    <row r="2104" spans="1:13">
      <c r="A2104" t="s">
        <v>3469</v>
      </c>
      <c r="B2104" t="s">
        <v>254</v>
      </c>
      <c r="C2104" s="34" t="s">
        <v>6438</v>
      </c>
      <c r="F2104" t="s">
        <v>781</v>
      </c>
      <c r="H2104">
        <v>5</v>
      </c>
      <c r="I2104">
        <f>VLOOKUP(B2104,BRAND!B:D,3,FALSE)</f>
        <v>3</v>
      </c>
      <c r="J2104">
        <v>4</v>
      </c>
      <c r="K2104" t="s">
        <v>821</v>
      </c>
      <c r="M2104">
        <v>1</v>
      </c>
    </row>
    <row r="2105" spans="1:13">
      <c r="A2105" t="s">
        <v>5192</v>
      </c>
      <c r="B2105" t="s">
        <v>254</v>
      </c>
      <c r="C2105" s="34" t="s">
        <v>10891</v>
      </c>
      <c r="F2105" t="s">
        <v>782</v>
      </c>
      <c r="H2105">
        <v>5</v>
      </c>
      <c r="I2105">
        <f>VLOOKUP(B2105,BRAND!B:D,3,FALSE)</f>
        <v>3</v>
      </c>
      <c r="J2105">
        <v>4</v>
      </c>
      <c r="K2105" t="s">
        <v>821</v>
      </c>
      <c r="M2105">
        <v>1</v>
      </c>
    </row>
    <row r="2106" spans="1:13">
      <c r="A2106" t="s">
        <v>5501</v>
      </c>
      <c r="B2106" t="s">
        <v>5509</v>
      </c>
      <c r="C2106" s="34" t="s">
        <v>5507</v>
      </c>
      <c r="F2106" t="s">
        <v>5507</v>
      </c>
      <c r="H2106">
        <v>15</v>
      </c>
      <c r="I2106">
        <f>VLOOKUP(B2106,BRAND!B:D,3,FALSE)</f>
        <v>5.5</v>
      </c>
      <c r="J2106">
        <v>4</v>
      </c>
      <c r="K2106" t="e">
        <v>#N/A</v>
      </c>
      <c r="M2106">
        <v>1</v>
      </c>
    </row>
    <row r="2107" spans="1:13">
      <c r="A2107" t="s">
        <v>2121</v>
      </c>
      <c r="B2107" t="s">
        <v>253</v>
      </c>
      <c r="C2107" s="34" t="s">
        <v>1967</v>
      </c>
      <c r="F2107" t="s">
        <v>1967</v>
      </c>
      <c r="H2107">
        <v>4</v>
      </c>
      <c r="I2107">
        <f>VLOOKUP(B2107,BRAND!B:D,3,FALSE)</f>
        <v>3</v>
      </c>
      <c r="J2107">
        <f>LEN(F2107)</f>
        <v>15</v>
      </c>
      <c r="K2107" t="s">
        <v>821</v>
      </c>
      <c r="M2107">
        <v>0</v>
      </c>
    </row>
    <row r="2108" spans="1:13">
      <c r="A2108" t="s">
        <v>3925</v>
      </c>
      <c r="B2108" t="s">
        <v>253</v>
      </c>
      <c r="C2108" s="34" t="s">
        <v>5241</v>
      </c>
      <c r="F2108" t="s">
        <v>746</v>
      </c>
      <c r="H2108">
        <v>5</v>
      </c>
      <c r="I2108">
        <f>VLOOKUP(B2108,BRAND!B:D,3,FALSE)</f>
        <v>3</v>
      </c>
      <c r="J2108">
        <v>6</v>
      </c>
      <c r="K2108" t="s">
        <v>821</v>
      </c>
      <c r="M2108">
        <v>1</v>
      </c>
    </row>
    <row r="2109" spans="1:13">
      <c r="A2109" t="s">
        <v>4325</v>
      </c>
      <c r="B2109" t="s">
        <v>253</v>
      </c>
      <c r="C2109" s="34" t="s">
        <v>799</v>
      </c>
      <c r="F2109" t="s">
        <v>799</v>
      </c>
      <c r="H2109">
        <v>5</v>
      </c>
      <c r="I2109">
        <f>VLOOKUP(B2109,BRAND!B:D,3,FALSE)</f>
        <v>3</v>
      </c>
      <c r="J2109">
        <v>5</v>
      </c>
      <c r="K2109" t="s">
        <v>821</v>
      </c>
      <c r="M2109">
        <v>0</v>
      </c>
    </row>
    <row r="2110" spans="1:13">
      <c r="A2110" t="s">
        <v>5047</v>
      </c>
      <c r="B2110" t="s">
        <v>253</v>
      </c>
      <c r="C2110" s="34" t="s">
        <v>5244</v>
      </c>
      <c r="F2110" t="s">
        <v>5046</v>
      </c>
      <c r="H2110">
        <v>5</v>
      </c>
      <c r="I2110">
        <f>VLOOKUP(B2110,BRAND!B:D,3,FALSE)</f>
        <v>3</v>
      </c>
      <c r="J2110">
        <v>4</v>
      </c>
      <c r="K2110" t="s">
        <v>821</v>
      </c>
      <c r="M2110">
        <v>0</v>
      </c>
    </row>
    <row r="2111" spans="1:13">
      <c r="A2111" t="s">
        <v>4013</v>
      </c>
      <c r="B2111" t="s">
        <v>253</v>
      </c>
      <c r="C2111" s="34" t="s">
        <v>10888</v>
      </c>
      <c r="F2111" t="s">
        <v>747</v>
      </c>
      <c r="H2111">
        <v>5</v>
      </c>
      <c r="I2111">
        <f>VLOOKUP(B2111,BRAND!B:D,3,FALSE)</f>
        <v>3</v>
      </c>
      <c r="J2111">
        <v>4</v>
      </c>
      <c r="K2111" t="s">
        <v>821</v>
      </c>
      <c r="M2111">
        <v>1</v>
      </c>
    </row>
    <row r="2112" spans="1:13">
      <c r="A2112" t="s">
        <v>2471</v>
      </c>
      <c r="B2112" t="s">
        <v>253</v>
      </c>
      <c r="C2112" s="34" t="s">
        <v>778</v>
      </c>
      <c r="F2112" t="s">
        <v>778</v>
      </c>
      <c r="H2112">
        <v>5</v>
      </c>
      <c r="I2112">
        <f>VLOOKUP(B2112,BRAND!B:D,3,FALSE)</f>
        <v>3</v>
      </c>
      <c r="J2112">
        <v>4</v>
      </c>
      <c r="K2112" t="s">
        <v>821</v>
      </c>
      <c r="M2112">
        <v>1</v>
      </c>
    </row>
    <row r="2113" spans="1:13">
      <c r="A2113" t="s">
        <v>4014</v>
      </c>
      <c r="B2113" t="s">
        <v>253</v>
      </c>
      <c r="C2113" s="34" t="s">
        <v>561</v>
      </c>
      <c r="F2113" t="s">
        <v>561</v>
      </c>
      <c r="H2113">
        <v>5</v>
      </c>
      <c r="I2113">
        <f>VLOOKUP(B2113,BRAND!B:D,3,FALSE)</f>
        <v>3</v>
      </c>
      <c r="J2113">
        <v>3</v>
      </c>
      <c r="K2113" t="s">
        <v>821</v>
      </c>
      <c r="M2113">
        <v>1</v>
      </c>
    </row>
    <row r="2114" spans="1:13">
      <c r="A2114" t="s">
        <v>4216</v>
      </c>
      <c r="B2114" t="s">
        <v>253</v>
      </c>
      <c r="C2114" s="34" t="s">
        <v>1987</v>
      </c>
      <c r="F2114" t="s">
        <v>1987</v>
      </c>
      <c r="H2114">
        <v>5</v>
      </c>
      <c r="I2114">
        <f>VLOOKUP(B2114,BRAND!B:D,3,FALSE)</f>
        <v>3</v>
      </c>
      <c r="J2114">
        <v>3</v>
      </c>
      <c r="K2114" t="s">
        <v>821</v>
      </c>
      <c r="M2114">
        <v>1</v>
      </c>
    </row>
    <row r="2115" spans="1:13">
      <c r="A2115" t="s">
        <v>3974</v>
      </c>
      <c r="B2115" t="s">
        <v>253</v>
      </c>
      <c r="C2115" s="34" t="s">
        <v>786</v>
      </c>
      <c r="F2115" t="s">
        <v>786</v>
      </c>
      <c r="H2115">
        <v>5</v>
      </c>
      <c r="I2115">
        <f>VLOOKUP(B2115,BRAND!B:D,3,FALSE)</f>
        <v>3</v>
      </c>
      <c r="J2115">
        <v>3</v>
      </c>
      <c r="K2115" t="s">
        <v>821</v>
      </c>
      <c r="M2115">
        <v>1</v>
      </c>
    </row>
    <row r="2116" spans="1:13">
      <c r="A2116" t="s">
        <v>3975</v>
      </c>
      <c r="B2116" t="s">
        <v>253</v>
      </c>
      <c r="C2116" s="34" t="s">
        <v>5243</v>
      </c>
      <c r="F2116" t="s">
        <v>784</v>
      </c>
      <c r="H2116">
        <v>5</v>
      </c>
      <c r="I2116">
        <f>VLOOKUP(B2116,BRAND!B:D,3,FALSE)</f>
        <v>3</v>
      </c>
      <c r="J2116">
        <v>2</v>
      </c>
      <c r="K2116" t="s">
        <v>821</v>
      </c>
      <c r="M2116">
        <v>1</v>
      </c>
    </row>
    <row r="2117" spans="1:13">
      <c r="A2117" t="str">
        <f>B2117&amp;" | "&amp;F2117&amp;" | "&amp;G2117</f>
        <v xml:space="preserve">CHOUFFE | NICE | </v>
      </c>
      <c r="B2117" t="s">
        <v>253</v>
      </c>
      <c r="C2117" t="s">
        <v>5046</v>
      </c>
      <c r="F2117" t="s">
        <v>5046</v>
      </c>
      <c r="H2117">
        <v>5</v>
      </c>
    </row>
    <row r="2118" spans="1:13">
      <c r="A2118" t="s">
        <v>10876</v>
      </c>
      <c r="B2118" t="s">
        <v>253</v>
      </c>
      <c r="C2118" s="34" t="s">
        <v>798</v>
      </c>
      <c r="F2118" t="s">
        <v>798</v>
      </c>
      <c r="H2118">
        <v>5</v>
      </c>
    </row>
    <row r="2119" spans="1:13">
      <c r="A2119" t="s">
        <v>3926</v>
      </c>
      <c r="B2119" t="s">
        <v>253</v>
      </c>
      <c r="C2119" s="34" t="s">
        <v>5232</v>
      </c>
      <c r="F2119" t="s">
        <v>536</v>
      </c>
      <c r="H2119">
        <v>6</v>
      </c>
      <c r="I2119">
        <f>VLOOKUP(B2119,BRAND!B:D,3,FALSE)</f>
        <v>3</v>
      </c>
      <c r="J2119">
        <v>5</v>
      </c>
      <c r="K2119" t="s">
        <v>821</v>
      </c>
      <c r="M2119">
        <v>1</v>
      </c>
    </row>
    <row r="2120" spans="1:13">
      <c r="A2120" t="s">
        <v>5464</v>
      </c>
      <c r="B2120" t="s">
        <v>253</v>
      </c>
      <c r="C2120" s="34" t="s">
        <v>5235</v>
      </c>
      <c r="F2120" t="s">
        <v>1438</v>
      </c>
      <c r="G2120" t="s">
        <v>801</v>
      </c>
      <c r="H2120">
        <v>6</v>
      </c>
      <c r="I2120">
        <f>VLOOKUP(B2120,BRAND!B:D,3,FALSE)</f>
        <v>3</v>
      </c>
      <c r="J2120">
        <v>4</v>
      </c>
      <c r="K2120" t="s">
        <v>821</v>
      </c>
      <c r="M2120">
        <v>1</v>
      </c>
    </row>
    <row r="2121" spans="1:13">
      <c r="A2121" t="s">
        <v>4216</v>
      </c>
      <c r="B2121" t="s">
        <v>253</v>
      </c>
      <c r="C2121" s="34" t="s">
        <v>1987</v>
      </c>
      <c r="F2121" t="s">
        <v>1987</v>
      </c>
      <c r="G2121" t="s">
        <v>801</v>
      </c>
      <c r="H2121">
        <v>6</v>
      </c>
      <c r="I2121">
        <f>VLOOKUP(B2121,BRAND!B:D,3,FALSE)</f>
        <v>3</v>
      </c>
      <c r="J2121">
        <v>3</v>
      </c>
      <c r="K2121" t="s">
        <v>821</v>
      </c>
      <c r="M2121">
        <v>1</v>
      </c>
    </row>
    <row r="2122" spans="1:13">
      <c r="A2122" t="s">
        <v>7964</v>
      </c>
      <c r="B2122" t="s">
        <v>7965</v>
      </c>
      <c r="C2122" s="34" t="s">
        <v>534</v>
      </c>
      <c r="F2122" t="s">
        <v>534</v>
      </c>
      <c r="G2122" t="s">
        <v>6932</v>
      </c>
      <c r="H2122">
        <v>5</v>
      </c>
      <c r="I2122">
        <f>VLOOKUP(B2122,BRAND!B:D,3,FALSE)</f>
        <v>5.5</v>
      </c>
      <c r="J2122">
        <v>6</v>
      </c>
      <c r="M2122">
        <v>1</v>
      </c>
    </row>
    <row r="2123" spans="1:13">
      <c r="A2123" t="s">
        <v>7966</v>
      </c>
      <c r="B2123" t="s">
        <v>7965</v>
      </c>
      <c r="C2123" s="34" t="s">
        <v>7967</v>
      </c>
      <c r="F2123" t="s">
        <v>7967</v>
      </c>
      <c r="G2123" t="s">
        <v>6932</v>
      </c>
      <c r="H2123">
        <v>5</v>
      </c>
      <c r="I2123">
        <f>VLOOKUP(B2123,BRAND!B:D,3,FALSE)</f>
        <v>5.5</v>
      </c>
      <c r="J2123">
        <v>5</v>
      </c>
      <c r="M2123">
        <v>1</v>
      </c>
    </row>
    <row r="2124" spans="1:13">
      <c r="A2124" t="s">
        <v>9610</v>
      </c>
      <c r="B2124" t="s">
        <v>7965</v>
      </c>
      <c r="C2124" s="34" t="s">
        <v>751</v>
      </c>
      <c r="F2124" t="s">
        <v>751</v>
      </c>
      <c r="G2124" t="s">
        <v>6932</v>
      </c>
      <c r="H2124">
        <v>5</v>
      </c>
      <c r="I2124">
        <f>VLOOKUP(B2124,BRAND!B:D,3,FALSE)</f>
        <v>5.5</v>
      </c>
      <c r="J2124">
        <v>5</v>
      </c>
      <c r="M2124">
        <v>1</v>
      </c>
    </row>
    <row r="2125" spans="1:13">
      <c r="A2125" t="s">
        <v>7968</v>
      </c>
      <c r="B2125" t="s">
        <v>7969</v>
      </c>
      <c r="C2125" s="34" t="s">
        <v>1438</v>
      </c>
      <c r="F2125" t="s">
        <v>1438</v>
      </c>
      <c r="G2125" t="s">
        <v>6932</v>
      </c>
      <c r="H2125">
        <v>5</v>
      </c>
      <c r="I2125">
        <f>VLOOKUP(B2125,BRAND!B:D,3,FALSE)</f>
        <v>5.5</v>
      </c>
      <c r="J2125">
        <v>4</v>
      </c>
      <c r="M2125">
        <v>1</v>
      </c>
    </row>
    <row r="2126" spans="1:13">
      <c r="A2126" t="s">
        <v>4258</v>
      </c>
      <c r="B2126" t="s">
        <v>1101</v>
      </c>
      <c r="C2126" s="34" t="s">
        <v>1513</v>
      </c>
      <c r="F2126" t="s">
        <v>1513</v>
      </c>
      <c r="H2126">
        <v>5</v>
      </c>
      <c r="I2126">
        <f>VLOOKUP(B2126,BRAND!B:D,3,FALSE)</f>
        <v>3</v>
      </c>
      <c r="J2126">
        <v>5</v>
      </c>
      <c r="K2126" t="s">
        <v>1420</v>
      </c>
      <c r="M2126">
        <v>0</v>
      </c>
    </row>
    <row r="2127" spans="1:13">
      <c r="A2127" t="s">
        <v>2394</v>
      </c>
      <c r="B2127" t="s">
        <v>1101</v>
      </c>
      <c r="C2127" s="34" t="s">
        <v>1438</v>
      </c>
      <c r="F2127" t="s">
        <v>1438</v>
      </c>
      <c r="H2127">
        <v>15</v>
      </c>
      <c r="I2127">
        <f>VLOOKUP(B2127,BRAND!B:D,3,FALSE)</f>
        <v>3</v>
      </c>
      <c r="J2127">
        <v>4</v>
      </c>
      <c r="K2127" t="s">
        <v>1420</v>
      </c>
      <c r="M2127">
        <v>0</v>
      </c>
    </row>
    <row r="2128" spans="1:13">
      <c r="A2128" t="s">
        <v>7058</v>
      </c>
      <c r="B2128" t="s">
        <v>1839</v>
      </c>
      <c r="C2128" s="34" t="s">
        <v>1438</v>
      </c>
      <c r="F2128" t="s">
        <v>1438</v>
      </c>
      <c r="H2128">
        <v>5</v>
      </c>
      <c r="I2128">
        <f>VLOOKUP(B2128,BRAND!B:D,3,FALSE)</f>
        <v>11</v>
      </c>
      <c r="J2128">
        <v>4</v>
      </c>
      <c r="M2128">
        <v>1</v>
      </c>
    </row>
    <row r="2129" spans="1:13">
      <c r="A2129" t="str">
        <f>B2129&amp;" | "&amp;F2129&amp;" | "&amp;G2129</f>
        <v>CIDER_GEN | APPLE | ZERO</v>
      </c>
      <c r="B2129" t="s">
        <v>1839</v>
      </c>
      <c r="C2129" t="s">
        <v>764</v>
      </c>
      <c r="F2129" t="s">
        <v>764</v>
      </c>
      <c r="G2129" t="s">
        <v>801</v>
      </c>
      <c r="H2129">
        <v>5</v>
      </c>
    </row>
    <row r="2130" spans="1:13">
      <c r="A2130" t="s">
        <v>4991</v>
      </c>
      <c r="B2130" t="s">
        <v>1839</v>
      </c>
      <c r="C2130" s="34" t="s">
        <v>1438</v>
      </c>
      <c r="F2130" t="s">
        <v>1438</v>
      </c>
      <c r="G2130" t="s">
        <v>801</v>
      </c>
      <c r="H2130">
        <v>6</v>
      </c>
      <c r="I2130">
        <f>VLOOKUP(B2130,BRAND!B:D,3,FALSE)</f>
        <v>11</v>
      </c>
      <c r="J2130">
        <v>4</v>
      </c>
      <c r="K2130" t="s">
        <v>821</v>
      </c>
      <c r="M2130">
        <v>0</v>
      </c>
    </row>
    <row r="2131" spans="1:13">
      <c r="A2131" t="s">
        <v>4870</v>
      </c>
      <c r="B2131" t="s">
        <v>1839</v>
      </c>
      <c r="C2131" s="34" t="s">
        <v>1472</v>
      </c>
      <c r="F2131" t="s">
        <v>1472</v>
      </c>
      <c r="H2131">
        <v>15</v>
      </c>
      <c r="I2131">
        <f>VLOOKUP(B2131,BRAND!B:D,3,FALSE)</f>
        <v>11</v>
      </c>
      <c r="J2131">
        <f>LEN(F2131)</f>
        <v>11</v>
      </c>
      <c r="K2131" t="s">
        <v>821</v>
      </c>
      <c r="M2131">
        <v>0</v>
      </c>
    </row>
    <row r="2132" spans="1:13">
      <c r="A2132" t="s">
        <v>4518</v>
      </c>
      <c r="B2132" t="s">
        <v>1839</v>
      </c>
      <c r="C2132" s="34" t="s">
        <v>994</v>
      </c>
      <c r="F2132" t="s">
        <v>994</v>
      </c>
      <c r="H2132">
        <v>15</v>
      </c>
      <c r="I2132">
        <f>VLOOKUP(B2132,BRAND!B:D,3,FALSE)</f>
        <v>11</v>
      </c>
      <c r="J2132">
        <f>LEN(F2132)</f>
        <v>10</v>
      </c>
      <c r="K2132" t="s">
        <v>821</v>
      </c>
      <c r="M2132">
        <v>0</v>
      </c>
    </row>
    <row r="2133" spans="1:13">
      <c r="A2133" t="s">
        <v>3191</v>
      </c>
      <c r="B2133" t="s">
        <v>1839</v>
      </c>
      <c r="C2133" s="34" t="s">
        <v>804</v>
      </c>
      <c r="F2133" t="s">
        <v>804</v>
      </c>
      <c r="H2133">
        <v>15</v>
      </c>
      <c r="I2133">
        <f>VLOOKUP(B2133,BRAND!B:D,3,FALSE)</f>
        <v>11</v>
      </c>
      <c r="J2133">
        <v>7</v>
      </c>
      <c r="K2133" t="s">
        <v>821</v>
      </c>
      <c r="M2133">
        <v>0</v>
      </c>
    </row>
    <row r="2134" spans="1:13">
      <c r="A2134" t="s">
        <v>4062</v>
      </c>
      <c r="B2134" t="s">
        <v>1839</v>
      </c>
      <c r="C2134" s="34" t="s">
        <v>764</v>
      </c>
      <c r="F2134" t="s">
        <v>764</v>
      </c>
      <c r="H2134">
        <v>15</v>
      </c>
      <c r="I2134">
        <f>VLOOKUP(B2134,BRAND!B:D,3,FALSE)</f>
        <v>11</v>
      </c>
      <c r="J2134">
        <v>5</v>
      </c>
      <c r="K2134" t="s">
        <v>821</v>
      </c>
      <c r="M2134">
        <v>0</v>
      </c>
    </row>
    <row r="2135" spans="1:13">
      <c r="A2135" t="s">
        <v>4778</v>
      </c>
      <c r="B2135" t="s">
        <v>1839</v>
      </c>
      <c r="C2135" s="34" t="s">
        <v>1979</v>
      </c>
      <c r="F2135" t="s">
        <v>1979</v>
      </c>
      <c r="H2135">
        <v>15</v>
      </c>
      <c r="I2135">
        <f>VLOOKUP(B2135,BRAND!B:D,3,FALSE)</f>
        <v>11</v>
      </c>
      <c r="J2135">
        <v>5</v>
      </c>
      <c r="K2135" t="s">
        <v>821</v>
      </c>
      <c r="M2135">
        <v>0</v>
      </c>
    </row>
    <row r="2136" spans="1:13">
      <c r="A2136" t="s">
        <v>2005</v>
      </c>
      <c r="B2136" t="s">
        <v>1839</v>
      </c>
      <c r="C2136" s="34" t="s">
        <v>1438</v>
      </c>
      <c r="F2136" t="s">
        <v>1438</v>
      </c>
      <c r="H2136">
        <v>15</v>
      </c>
      <c r="I2136">
        <f>VLOOKUP(B2136,BRAND!B:D,3,FALSE)</f>
        <v>11</v>
      </c>
      <c r="J2136">
        <v>4</v>
      </c>
      <c r="K2136" t="s">
        <v>821</v>
      </c>
      <c r="M2136">
        <v>0</v>
      </c>
    </row>
    <row r="2137" spans="1:13">
      <c r="A2137" t="s">
        <v>4841</v>
      </c>
      <c r="B2137" t="s">
        <v>1839</v>
      </c>
      <c r="C2137" s="34" t="s">
        <v>897</v>
      </c>
      <c r="F2137" t="s">
        <v>897</v>
      </c>
      <c r="H2137">
        <v>15</v>
      </c>
      <c r="I2137">
        <f>VLOOKUP(B2137,BRAND!B:D,3,FALSE)</f>
        <v>11</v>
      </c>
      <c r="J2137">
        <v>4</v>
      </c>
      <c r="K2137" t="s">
        <v>821</v>
      </c>
      <c r="M2137">
        <v>0</v>
      </c>
    </row>
    <row r="2138" spans="1:13">
      <c r="A2138" t="s">
        <v>3256</v>
      </c>
      <c r="B2138" t="s">
        <v>1839</v>
      </c>
      <c r="C2138" s="34" t="s">
        <v>988</v>
      </c>
      <c r="F2138" t="s">
        <v>988</v>
      </c>
      <c r="H2138">
        <v>15</v>
      </c>
      <c r="I2138">
        <f>VLOOKUP(B2138,BRAND!B:D,3,FALSE)</f>
        <v>11</v>
      </c>
      <c r="J2138">
        <v>4</v>
      </c>
      <c r="K2138" t="s">
        <v>821</v>
      </c>
      <c r="M2138">
        <v>0</v>
      </c>
    </row>
    <row r="2139" spans="1:13">
      <c r="A2139" t="s">
        <v>4644</v>
      </c>
      <c r="B2139" t="s">
        <v>1839</v>
      </c>
      <c r="C2139" s="34" t="s">
        <v>1993</v>
      </c>
      <c r="F2139" t="s">
        <v>1993</v>
      </c>
      <c r="H2139">
        <v>15</v>
      </c>
      <c r="I2139">
        <f>VLOOKUP(B2139,BRAND!B:D,3,FALSE)</f>
        <v>11</v>
      </c>
      <c r="J2139">
        <v>3</v>
      </c>
      <c r="K2139" t="s">
        <v>821</v>
      </c>
      <c r="L2139">
        <v>0</v>
      </c>
      <c r="M2139">
        <v>0</v>
      </c>
    </row>
    <row r="2140" spans="1:13">
      <c r="A2140" t="s">
        <v>3321</v>
      </c>
      <c r="B2140" t="s">
        <v>1839</v>
      </c>
      <c r="C2140" s="34" t="s">
        <v>775</v>
      </c>
      <c r="F2140" t="s">
        <v>775</v>
      </c>
      <c r="H2140">
        <v>15</v>
      </c>
      <c r="I2140">
        <f>VLOOKUP(B2140,BRAND!B:D,3,FALSE)</f>
        <v>11</v>
      </c>
      <c r="J2140">
        <v>3</v>
      </c>
      <c r="K2140" t="s">
        <v>821</v>
      </c>
      <c r="L2140">
        <v>0</v>
      </c>
      <c r="M2140">
        <v>0</v>
      </c>
    </row>
    <row r="2141" spans="1:13">
      <c r="A2141" t="s">
        <v>7303</v>
      </c>
      <c r="B2141" t="s">
        <v>7304</v>
      </c>
      <c r="C2141" s="34" t="s">
        <v>1438</v>
      </c>
      <c r="F2141" t="s">
        <v>1438</v>
      </c>
      <c r="H2141">
        <v>5</v>
      </c>
      <c r="I2141">
        <f>VLOOKUP(B2141,BRAND!B:D,3,FALSE)</f>
        <v>5.5</v>
      </c>
      <c r="M2141">
        <v>1</v>
      </c>
    </row>
    <row r="2142" spans="1:13">
      <c r="A2142" t="s">
        <v>14197</v>
      </c>
      <c r="B2142" t="s">
        <v>14166</v>
      </c>
      <c r="C2142" s="34" t="s">
        <v>798</v>
      </c>
      <c r="F2142" t="s">
        <v>14198</v>
      </c>
      <c r="G2142" t="s">
        <v>6932</v>
      </c>
      <c r="H2142">
        <v>5</v>
      </c>
      <c r="I2142">
        <f>VLOOKUP(B2142,BRAND!B:D,3,FALSE)</f>
        <v>0</v>
      </c>
      <c r="J2142">
        <f t="shared" ref="J2142:J2158" si="26">LEN(F2142)</f>
        <v>24</v>
      </c>
      <c r="K2142" t="s">
        <v>821</v>
      </c>
      <c r="L2142">
        <v>0</v>
      </c>
      <c r="M2142">
        <v>1</v>
      </c>
    </row>
    <row r="2143" spans="1:13">
      <c r="A2143" t="s">
        <v>14189</v>
      </c>
      <c r="B2143" t="s">
        <v>14166</v>
      </c>
      <c r="C2143" s="34" t="s">
        <v>14190</v>
      </c>
      <c r="F2143" t="s">
        <v>14191</v>
      </c>
      <c r="G2143" t="s">
        <v>6932</v>
      </c>
      <c r="H2143">
        <v>5</v>
      </c>
      <c r="I2143">
        <f>VLOOKUP(B2143,BRAND!B:D,3,FALSE)</f>
        <v>0</v>
      </c>
      <c r="J2143">
        <f t="shared" si="26"/>
        <v>24</v>
      </c>
      <c r="K2143" t="s">
        <v>821</v>
      </c>
      <c r="L2143">
        <v>0</v>
      </c>
      <c r="M2143">
        <v>1</v>
      </c>
    </row>
    <row r="2144" spans="1:13">
      <c r="A2144" t="s">
        <v>14194</v>
      </c>
      <c r="B2144" t="s">
        <v>14166</v>
      </c>
      <c r="C2144" s="34" t="s">
        <v>868</v>
      </c>
      <c r="F2144" t="s">
        <v>14195</v>
      </c>
      <c r="G2144" t="s">
        <v>6932</v>
      </c>
      <c r="H2144">
        <v>5</v>
      </c>
      <c r="I2144">
        <f>VLOOKUP(B2144,BRAND!B:D,3,FALSE)</f>
        <v>0</v>
      </c>
      <c r="J2144">
        <f t="shared" si="26"/>
        <v>23</v>
      </c>
      <c r="K2144" t="s">
        <v>821</v>
      </c>
      <c r="L2144">
        <v>0</v>
      </c>
      <c r="M2144">
        <v>1</v>
      </c>
    </row>
    <row r="2145" spans="1:13">
      <c r="A2145" t="s">
        <v>14165</v>
      </c>
      <c r="B2145" t="s">
        <v>14166</v>
      </c>
      <c r="C2145" s="34" t="s">
        <v>6364</v>
      </c>
      <c r="F2145" t="s">
        <v>14167</v>
      </c>
      <c r="G2145" t="s">
        <v>6932</v>
      </c>
      <c r="H2145">
        <v>5</v>
      </c>
      <c r="I2145">
        <f>VLOOKUP(B2145,BRAND!B:D,3,FALSE)</f>
        <v>0</v>
      </c>
      <c r="J2145">
        <f t="shared" si="26"/>
        <v>20</v>
      </c>
      <c r="K2145" t="s">
        <v>821</v>
      </c>
      <c r="L2145">
        <v>0</v>
      </c>
      <c r="M2145">
        <v>1</v>
      </c>
    </row>
    <row r="2146" spans="1:13">
      <c r="A2146" t="s">
        <v>14185</v>
      </c>
      <c r="B2146" t="s">
        <v>14166</v>
      </c>
      <c r="C2146" s="34" t="s">
        <v>14186</v>
      </c>
      <c r="F2146" t="s">
        <v>14187</v>
      </c>
      <c r="G2146" t="s">
        <v>6932</v>
      </c>
      <c r="H2146">
        <v>5</v>
      </c>
      <c r="I2146">
        <f>VLOOKUP(B2146,BRAND!B:D,3,FALSE)</f>
        <v>0</v>
      </c>
      <c r="J2146">
        <f t="shared" si="26"/>
        <v>19</v>
      </c>
      <c r="K2146" t="s">
        <v>821</v>
      </c>
      <c r="L2146">
        <v>0</v>
      </c>
      <c r="M2146">
        <v>1</v>
      </c>
    </row>
    <row r="2147" spans="1:13">
      <c r="A2147" t="s">
        <v>14199</v>
      </c>
      <c r="B2147" t="s">
        <v>14166</v>
      </c>
      <c r="C2147" s="34" t="s">
        <v>879</v>
      </c>
      <c r="F2147" t="s">
        <v>14200</v>
      </c>
      <c r="G2147" t="s">
        <v>6932</v>
      </c>
      <c r="H2147">
        <v>5</v>
      </c>
      <c r="I2147">
        <f>VLOOKUP(B2147,BRAND!B:D,3,FALSE)</f>
        <v>0</v>
      </c>
      <c r="J2147">
        <f t="shared" si="26"/>
        <v>17</v>
      </c>
      <c r="K2147" t="s">
        <v>821</v>
      </c>
      <c r="L2147">
        <v>0</v>
      </c>
      <c r="M2147">
        <v>1</v>
      </c>
    </row>
    <row r="2148" spans="1:13">
      <c r="A2148" t="s">
        <v>14173</v>
      </c>
      <c r="B2148" t="s">
        <v>14166</v>
      </c>
      <c r="C2148" s="34" t="s">
        <v>14174</v>
      </c>
      <c r="F2148" t="s">
        <v>14175</v>
      </c>
      <c r="G2148" t="s">
        <v>6932</v>
      </c>
      <c r="H2148">
        <v>5</v>
      </c>
      <c r="I2148">
        <f>VLOOKUP(B2148,BRAND!B:D,3,FALSE)</f>
        <v>0</v>
      </c>
      <c r="J2148">
        <f t="shared" si="26"/>
        <v>16</v>
      </c>
      <c r="K2148" t="s">
        <v>821</v>
      </c>
      <c r="L2148">
        <v>0</v>
      </c>
      <c r="M2148">
        <v>1</v>
      </c>
    </row>
    <row r="2149" spans="1:13">
      <c r="A2149" t="s">
        <v>14188</v>
      </c>
      <c r="B2149" t="s">
        <v>14166</v>
      </c>
      <c r="C2149" s="34" t="s">
        <v>913</v>
      </c>
      <c r="F2149" t="s">
        <v>11193</v>
      </c>
      <c r="G2149" t="s">
        <v>6932</v>
      </c>
      <c r="H2149">
        <v>5</v>
      </c>
      <c r="I2149">
        <f>VLOOKUP(B2149,BRAND!B:D,3,FALSE)</f>
        <v>0</v>
      </c>
      <c r="J2149">
        <f t="shared" si="26"/>
        <v>14</v>
      </c>
      <c r="K2149" t="s">
        <v>821</v>
      </c>
      <c r="L2149">
        <v>0</v>
      </c>
      <c r="M2149">
        <v>1</v>
      </c>
    </row>
    <row r="2150" spans="1:13">
      <c r="A2150" t="s">
        <v>14181</v>
      </c>
      <c r="B2150" t="s">
        <v>14166</v>
      </c>
      <c r="C2150" s="34" t="s">
        <v>14182</v>
      </c>
      <c r="F2150" t="s">
        <v>14183</v>
      </c>
      <c r="G2150" t="s">
        <v>6932</v>
      </c>
      <c r="H2150">
        <v>5</v>
      </c>
      <c r="I2150">
        <f>VLOOKUP(B2150,BRAND!B:D,3,FALSE)</f>
        <v>0</v>
      </c>
      <c r="J2150">
        <f t="shared" si="26"/>
        <v>12</v>
      </c>
      <c r="K2150" t="s">
        <v>821</v>
      </c>
      <c r="L2150">
        <v>0</v>
      </c>
      <c r="M2150">
        <v>1</v>
      </c>
    </row>
    <row r="2151" spans="1:13">
      <c r="A2151" t="s">
        <v>14168</v>
      </c>
      <c r="B2151" t="s">
        <v>14166</v>
      </c>
      <c r="C2151" s="34" t="s">
        <v>14169</v>
      </c>
      <c r="F2151" t="s">
        <v>14170</v>
      </c>
      <c r="G2151" t="s">
        <v>6932</v>
      </c>
      <c r="H2151">
        <v>5</v>
      </c>
      <c r="I2151">
        <f>VLOOKUP(B2151,BRAND!B:D,3,FALSE)</f>
        <v>0</v>
      </c>
      <c r="J2151">
        <f t="shared" si="26"/>
        <v>11</v>
      </c>
      <c r="K2151" t="s">
        <v>821</v>
      </c>
      <c r="L2151">
        <v>0</v>
      </c>
      <c r="M2151">
        <v>1</v>
      </c>
    </row>
    <row r="2152" spans="1:13">
      <c r="A2152" t="s">
        <v>14176</v>
      </c>
      <c r="B2152" t="s">
        <v>14166</v>
      </c>
      <c r="C2152" s="34" t="s">
        <v>14177</v>
      </c>
      <c r="F2152" t="s">
        <v>14178</v>
      </c>
      <c r="G2152" t="s">
        <v>6932</v>
      </c>
      <c r="H2152">
        <v>5</v>
      </c>
      <c r="I2152">
        <f>VLOOKUP(B2152,BRAND!B:D,3,FALSE)</f>
        <v>0</v>
      </c>
      <c r="J2152">
        <f t="shared" si="26"/>
        <v>10</v>
      </c>
      <c r="K2152" t="s">
        <v>821</v>
      </c>
      <c r="L2152">
        <v>0</v>
      </c>
      <c r="M2152">
        <v>1</v>
      </c>
    </row>
    <row r="2153" spans="1:13">
      <c r="A2153" t="s">
        <v>14192</v>
      </c>
      <c r="B2153" t="s">
        <v>14166</v>
      </c>
      <c r="C2153" s="34" t="s">
        <v>6360</v>
      </c>
      <c r="F2153" t="s">
        <v>14193</v>
      </c>
      <c r="G2153" t="s">
        <v>6932</v>
      </c>
      <c r="H2153">
        <v>5</v>
      </c>
      <c r="I2153">
        <f>VLOOKUP(B2153,BRAND!B:D,3,FALSE)</f>
        <v>0</v>
      </c>
      <c r="J2153">
        <f t="shared" si="26"/>
        <v>7</v>
      </c>
      <c r="K2153" t="s">
        <v>821</v>
      </c>
      <c r="L2153">
        <v>0</v>
      </c>
      <c r="M2153">
        <v>1</v>
      </c>
    </row>
    <row r="2154" spans="1:13">
      <c r="A2154" t="s">
        <v>14196</v>
      </c>
      <c r="B2154" t="s">
        <v>14166</v>
      </c>
      <c r="C2154" s="34" t="s">
        <v>745</v>
      </c>
      <c r="F2154" t="s">
        <v>745</v>
      </c>
      <c r="G2154" t="s">
        <v>6932</v>
      </c>
      <c r="H2154">
        <v>5</v>
      </c>
      <c r="I2154">
        <f>VLOOKUP(B2154,BRAND!B:D,3,FALSE)</f>
        <v>0</v>
      </c>
      <c r="J2154">
        <f t="shared" si="26"/>
        <v>5</v>
      </c>
      <c r="K2154" t="s">
        <v>821</v>
      </c>
      <c r="L2154">
        <v>0</v>
      </c>
      <c r="M2154">
        <v>1</v>
      </c>
    </row>
    <row r="2155" spans="1:13">
      <c r="A2155" t="s">
        <v>14171</v>
      </c>
      <c r="B2155" t="s">
        <v>14166</v>
      </c>
      <c r="C2155" s="34" t="s">
        <v>14172</v>
      </c>
      <c r="F2155" t="s">
        <v>14172</v>
      </c>
      <c r="G2155" t="s">
        <v>6932</v>
      </c>
      <c r="H2155">
        <v>5</v>
      </c>
      <c r="I2155">
        <f>VLOOKUP(B2155,BRAND!B:D,3,FALSE)</f>
        <v>0</v>
      </c>
      <c r="J2155">
        <f t="shared" si="26"/>
        <v>4</v>
      </c>
      <c r="K2155" t="s">
        <v>821</v>
      </c>
      <c r="L2155">
        <v>0</v>
      </c>
      <c r="M2155">
        <v>1</v>
      </c>
    </row>
    <row r="2156" spans="1:13">
      <c r="A2156" t="s">
        <v>14201</v>
      </c>
      <c r="B2156" t="s">
        <v>14166</v>
      </c>
      <c r="C2156" s="34" t="s">
        <v>13279</v>
      </c>
      <c r="F2156" t="s">
        <v>13279</v>
      </c>
      <c r="G2156" t="s">
        <v>6932</v>
      </c>
      <c r="H2156">
        <v>5</v>
      </c>
      <c r="I2156">
        <f>VLOOKUP(B2156,BRAND!B:D,3,FALSE)</f>
        <v>0</v>
      </c>
      <c r="J2156">
        <f t="shared" si="26"/>
        <v>3</v>
      </c>
      <c r="K2156" t="s">
        <v>821</v>
      </c>
      <c r="L2156">
        <v>0</v>
      </c>
      <c r="M2156">
        <v>1</v>
      </c>
    </row>
    <row r="2157" spans="1:13">
      <c r="A2157" t="s">
        <v>14184</v>
      </c>
      <c r="B2157" t="s">
        <v>14166</v>
      </c>
      <c r="C2157" s="34" t="s">
        <v>561</v>
      </c>
      <c r="F2157" t="s">
        <v>561</v>
      </c>
      <c r="G2157" t="s">
        <v>6932</v>
      </c>
      <c r="H2157">
        <v>5</v>
      </c>
      <c r="I2157">
        <f>VLOOKUP(B2157,BRAND!B:D,3,FALSE)</f>
        <v>0</v>
      </c>
      <c r="J2157">
        <f t="shared" si="26"/>
        <v>3</v>
      </c>
      <c r="K2157" t="s">
        <v>821</v>
      </c>
      <c r="L2157">
        <v>0</v>
      </c>
      <c r="M2157">
        <v>1</v>
      </c>
    </row>
    <row r="2158" spans="1:13">
      <c r="A2158" t="s">
        <v>14179</v>
      </c>
      <c r="B2158" t="s">
        <v>14166</v>
      </c>
      <c r="C2158" s="34" t="s">
        <v>14180</v>
      </c>
      <c r="F2158" t="s">
        <v>14180</v>
      </c>
      <c r="G2158" t="s">
        <v>6932</v>
      </c>
      <c r="H2158">
        <v>6</v>
      </c>
      <c r="I2158">
        <f>VLOOKUP(B2158,BRAND!B:D,3,FALSE)</f>
        <v>0</v>
      </c>
      <c r="J2158">
        <f t="shared" si="26"/>
        <v>4</v>
      </c>
      <c r="K2158" t="s">
        <v>821</v>
      </c>
      <c r="L2158">
        <v>0</v>
      </c>
      <c r="M2158">
        <v>1</v>
      </c>
    </row>
    <row r="2159" spans="1:13">
      <c r="A2159" t="s">
        <v>3581</v>
      </c>
      <c r="B2159" t="s">
        <v>305</v>
      </c>
      <c r="C2159" s="34" t="s">
        <v>5232</v>
      </c>
      <c r="F2159" t="s">
        <v>536</v>
      </c>
      <c r="H2159">
        <v>5</v>
      </c>
      <c r="I2159">
        <f>VLOOKUP(B2159,BRAND!B:D,3,FALSE)</f>
        <v>3</v>
      </c>
      <c r="J2159">
        <v>5</v>
      </c>
      <c r="K2159" t="s">
        <v>821</v>
      </c>
      <c r="M2159">
        <v>1</v>
      </c>
    </row>
    <row r="2160" spans="1:13">
      <c r="A2160" t="s">
        <v>3611</v>
      </c>
      <c r="B2160" t="s">
        <v>305</v>
      </c>
      <c r="C2160" s="34" t="s">
        <v>5245</v>
      </c>
      <c r="F2160" t="s">
        <v>842</v>
      </c>
      <c r="H2160">
        <v>5</v>
      </c>
      <c r="I2160">
        <f>VLOOKUP(B2160,BRAND!B:D,3,FALSE)</f>
        <v>3</v>
      </c>
      <c r="J2160">
        <v>5</v>
      </c>
      <c r="K2160" t="s">
        <v>821</v>
      </c>
      <c r="M2160">
        <v>1</v>
      </c>
    </row>
    <row r="2161" spans="1:13">
      <c r="A2161" t="s">
        <v>3899</v>
      </c>
      <c r="B2161" t="s">
        <v>678</v>
      </c>
      <c r="C2161" s="34" t="s">
        <v>794</v>
      </c>
      <c r="F2161" t="s">
        <v>794</v>
      </c>
      <c r="H2161">
        <v>5</v>
      </c>
      <c r="I2161">
        <f>VLOOKUP(B2161,BRAND!B:D,3,FALSE)</f>
        <v>3</v>
      </c>
      <c r="J2161">
        <f>LEN(F2161)</f>
        <v>10</v>
      </c>
      <c r="K2161" t="s">
        <v>821</v>
      </c>
      <c r="M2161">
        <v>0</v>
      </c>
    </row>
    <row r="2162" spans="1:13">
      <c r="A2162" t="s">
        <v>2611</v>
      </c>
      <c r="B2162" t="s">
        <v>678</v>
      </c>
      <c r="C2162" s="34" t="s">
        <v>535</v>
      </c>
      <c r="F2162" t="s">
        <v>535</v>
      </c>
      <c r="H2162">
        <v>5</v>
      </c>
      <c r="I2162">
        <f>VLOOKUP(B2162,BRAND!B:D,3,FALSE)</f>
        <v>3</v>
      </c>
      <c r="J2162">
        <v>6</v>
      </c>
      <c r="K2162" t="s">
        <v>821</v>
      </c>
      <c r="M2162">
        <v>0</v>
      </c>
    </row>
    <row r="2163" spans="1:13">
      <c r="A2163" t="s">
        <v>3176</v>
      </c>
      <c r="B2163" t="s">
        <v>678</v>
      </c>
      <c r="C2163" s="34" t="s">
        <v>534</v>
      </c>
      <c r="F2163" t="s">
        <v>534</v>
      </c>
      <c r="H2163">
        <v>5</v>
      </c>
      <c r="I2163">
        <f>VLOOKUP(B2163,BRAND!B:D,3,FALSE)</f>
        <v>3</v>
      </c>
      <c r="J2163">
        <v>6</v>
      </c>
      <c r="K2163" t="s">
        <v>821</v>
      </c>
      <c r="M2163">
        <v>1</v>
      </c>
    </row>
    <row r="2164" spans="1:13">
      <c r="A2164" t="s">
        <v>4734</v>
      </c>
      <c r="B2164" t="s">
        <v>678</v>
      </c>
      <c r="C2164" s="34" t="s">
        <v>799</v>
      </c>
      <c r="F2164" t="s">
        <v>799</v>
      </c>
      <c r="H2164">
        <v>5</v>
      </c>
      <c r="I2164">
        <f>VLOOKUP(B2164,BRAND!B:D,3,FALSE)</f>
        <v>3</v>
      </c>
      <c r="J2164">
        <v>5</v>
      </c>
      <c r="K2164" t="s">
        <v>821</v>
      </c>
      <c r="M2164">
        <v>0</v>
      </c>
    </row>
    <row r="2165" spans="1:13">
      <c r="A2165" t="s">
        <v>3649</v>
      </c>
      <c r="B2165" t="s">
        <v>678</v>
      </c>
      <c r="C2165" s="34" t="s">
        <v>561</v>
      </c>
      <c r="F2165" t="s">
        <v>561</v>
      </c>
      <c r="H2165">
        <v>5</v>
      </c>
      <c r="I2165">
        <f>VLOOKUP(B2165,BRAND!B:D,3,FALSE)</f>
        <v>3</v>
      </c>
      <c r="J2165">
        <v>3</v>
      </c>
      <c r="K2165" t="s">
        <v>821</v>
      </c>
      <c r="M2165">
        <v>1</v>
      </c>
    </row>
    <row r="2166" spans="1:13">
      <c r="A2166" t="s">
        <v>2866</v>
      </c>
      <c r="B2166" t="s">
        <v>678</v>
      </c>
      <c r="C2166" s="34" t="s">
        <v>1438</v>
      </c>
      <c r="F2166" t="s">
        <v>1438</v>
      </c>
      <c r="H2166">
        <v>15</v>
      </c>
      <c r="I2166">
        <f>VLOOKUP(B2166,BRAND!B:D,3,FALSE)</f>
        <v>3</v>
      </c>
      <c r="J2166">
        <v>4</v>
      </c>
      <c r="K2166" t="s">
        <v>821</v>
      </c>
      <c r="M2166">
        <v>1</v>
      </c>
    </row>
    <row r="2167" spans="1:13">
      <c r="A2167" t="s">
        <v>7970</v>
      </c>
      <c r="B2167" t="s">
        <v>7971</v>
      </c>
      <c r="C2167" s="34" t="s">
        <v>1438</v>
      </c>
      <c r="F2167" t="s">
        <v>1438</v>
      </c>
      <c r="G2167" t="s">
        <v>6932</v>
      </c>
      <c r="H2167">
        <v>5</v>
      </c>
      <c r="I2167">
        <f>VLOOKUP(B2167,BRAND!B:D,3,FALSE)</f>
        <v>5.5</v>
      </c>
      <c r="J2167">
        <v>4</v>
      </c>
      <c r="M2167">
        <v>1</v>
      </c>
    </row>
    <row r="2168" spans="1:13">
      <c r="A2168" t="s">
        <v>2404</v>
      </c>
      <c r="B2168" t="s">
        <v>1102</v>
      </c>
      <c r="C2168" s="34" t="s">
        <v>1438</v>
      </c>
      <c r="F2168" t="s">
        <v>1438</v>
      </c>
      <c r="H2168">
        <v>15</v>
      </c>
      <c r="I2168">
        <f>VLOOKUP(B2168,BRAND!B:D,3,FALSE)</f>
        <v>3</v>
      </c>
      <c r="J2168">
        <v>4</v>
      </c>
      <c r="K2168" t="s">
        <v>821</v>
      </c>
      <c r="M2168">
        <v>0</v>
      </c>
    </row>
    <row r="2169" spans="1:13">
      <c r="A2169" t="s">
        <v>9619</v>
      </c>
      <c r="B2169" t="s">
        <v>482</v>
      </c>
      <c r="C2169" s="34" t="s">
        <v>1438</v>
      </c>
      <c r="F2169" t="s">
        <v>1438</v>
      </c>
      <c r="G2169" t="s">
        <v>6932</v>
      </c>
      <c r="H2169">
        <v>5</v>
      </c>
      <c r="I2169">
        <f>VLOOKUP(B2169,BRAND!B:D,3,FALSE)</f>
        <v>3</v>
      </c>
      <c r="J2169">
        <v>4</v>
      </c>
      <c r="M2169">
        <v>1</v>
      </c>
    </row>
    <row r="2170" spans="1:13">
      <c r="A2170" t="s">
        <v>7972</v>
      </c>
      <c r="B2170" t="s">
        <v>7973</v>
      </c>
      <c r="C2170" s="34" t="s">
        <v>1438</v>
      </c>
      <c r="F2170" t="s">
        <v>1438</v>
      </c>
      <c r="G2170" t="s">
        <v>6932</v>
      </c>
      <c r="H2170">
        <v>5</v>
      </c>
      <c r="I2170">
        <f>VLOOKUP(B2170,BRAND!B:D,3,FALSE)</f>
        <v>5.5</v>
      </c>
      <c r="J2170">
        <v>4</v>
      </c>
      <c r="M2170">
        <v>1</v>
      </c>
    </row>
    <row r="2171" spans="1:13">
      <c r="A2171" t="s">
        <v>11410</v>
      </c>
      <c r="B2171" t="s">
        <v>10899</v>
      </c>
      <c r="C2171" s="34" t="s">
        <v>11411</v>
      </c>
      <c r="F2171" t="s">
        <v>900</v>
      </c>
      <c r="G2171" t="s">
        <v>6932</v>
      </c>
      <c r="H2171">
        <v>5</v>
      </c>
    </row>
    <row r="2172" spans="1:13">
      <c r="A2172" t="s">
        <v>11412</v>
      </c>
      <c r="B2172" t="s">
        <v>10899</v>
      </c>
      <c r="C2172" s="34" t="s">
        <v>6689</v>
      </c>
      <c r="F2172" t="s">
        <v>6689</v>
      </c>
      <c r="G2172" t="s">
        <v>6932</v>
      </c>
      <c r="H2172">
        <v>5</v>
      </c>
    </row>
    <row r="2173" spans="1:13">
      <c r="A2173" t="s">
        <v>9621</v>
      </c>
      <c r="B2173" t="s">
        <v>6603</v>
      </c>
      <c r="C2173" s="34" t="s">
        <v>6605</v>
      </c>
      <c r="F2173" t="s">
        <v>6605</v>
      </c>
      <c r="H2173">
        <v>3</v>
      </c>
      <c r="I2173">
        <f>VLOOKUP(B2173,BRAND!B:D,3,FALSE)</f>
        <v>5</v>
      </c>
      <c r="J2173">
        <v>5</v>
      </c>
      <c r="M2173">
        <v>1</v>
      </c>
    </row>
    <row r="2174" spans="1:13">
      <c r="A2174" t="s">
        <v>9622</v>
      </c>
      <c r="B2174" t="s">
        <v>6603</v>
      </c>
      <c r="C2174" s="34" t="s">
        <v>6604</v>
      </c>
      <c r="F2174" t="s">
        <v>6604</v>
      </c>
      <c r="H2174">
        <v>4</v>
      </c>
      <c r="I2174">
        <f>VLOOKUP(B2174,BRAND!B:D,3,FALSE)</f>
        <v>5</v>
      </c>
      <c r="J2174">
        <v>7</v>
      </c>
      <c r="M2174">
        <v>1</v>
      </c>
    </row>
    <row r="2175" spans="1:13">
      <c r="A2175" t="s">
        <v>9620</v>
      </c>
      <c r="B2175" t="s">
        <v>6603</v>
      </c>
      <c r="C2175" s="34" t="s">
        <v>1438</v>
      </c>
      <c r="F2175" t="s">
        <v>1438</v>
      </c>
      <c r="H2175">
        <v>5</v>
      </c>
      <c r="I2175">
        <f>VLOOKUP(B2175,BRAND!B:D,3,FALSE)</f>
        <v>5</v>
      </c>
      <c r="J2175">
        <v>4</v>
      </c>
      <c r="M2175">
        <v>1</v>
      </c>
    </row>
    <row r="2176" spans="1:13">
      <c r="A2176" t="s">
        <v>9623</v>
      </c>
      <c r="B2176" t="s">
        <v>7223</v>
      </c>
      <c r="C2176" s="34" t="s">
        <v>5232</v>
      </c>
      <c r="F2176" t="s">
        <v>536</v>
      </c>
      <c r="G2176" t="s">
        <v>6932</v>
      </c>
      <c r="H2176">
        <v>5</v>
      </c>
      <c r="I2176">
        <f>VLOOKUP(B2176,BRAND!B:D,3,FALSE)</f>
        <v>5.5</v>
      </c>
      <c r="J2176">
        <v>5</v>
      </c>
      <c r="M2176">
        <v>1</v>
      </c>
    </row>
    <row r="2177" spans="1:13">
      <c r="A2177" t="s">
        <v>10042</v>
      </c>
      <c r="B2177" t="s">
        <v>7223</v>
      </c>
      <c r="C2177" s="34" t="s">
        <v>5232</v>
      </c>
      <c r="F2177" t="s">
        <v>1438</v>
      </c>
      <c r="G2177" t="s">
        <v>801</v>
      </c>
      <c r="H2177">
        <v>5</v>
      </c>
      <c r="I2177">
        <f>VLOOKUP(B2177,BRAND!B:D,3,FALSE)</f>
        <v>5.5</v>
      </c>
      <c r="J2177">
        <v>4</v>
      </c>
      <c r="M2177">
        <v>1</v>
      </c>
    </row>
    <row r="2178" spans="1:13">
      <c r="A2178" t="s">
        <v>3667</v>
      </c>
      <c r="B2178" t="s">
        <v>509</v>
      </c>
      <c r="C2178" s="34" t="s">
        <v>536</v>
      </c>
      <c r="F2178" t="s">
        <v>536</v>
      </c>
      <c r="H2178">
        <v>5</v>
      </c>
      <c r="I2178">
        <f>VLOOKUP(B2178,BRAND!B:D,3,FALSE)</f>
        <v>3</v>
      </c>
      <c r="J2178">
        <v>5</v>
      </c>
      <c r="K2178" t="s">
        <v>821</v>
      </c>
      <c r="M2178">
        <v>0</v>
      </c>
    </row>
    <row r="2179" spans="1:13">
      <c r="A2179" t="s">
        <v>4967</v>
      </c>
      <c r="B2179" t="s">
        <v>509</v>
      </c>
      <c r="C2179" s="34" t="s">
        <v>1438</v>
      </c>
      <c r="F2179" t="s">
        <v>1438</v>
      </c>
      <c r="G2179" t="s">
        <v>801</v>
      </c>
      <c r="H2179">
        <v>6</v>
      </c>
      <c r="I2179">
        <f>VLOOKUP(B2179,BRAND!B:D,3,FALSE)</f>
        <v>3</v>
      </c>
      <c r="J2179">
        <v>4</v>
      </c>
      <c r="K2179" t="s">
        <v>821</v>
      </c>
      <c r="M2179">
        <v>0</v>
      </c>
    </row>
    <row r="2180" spans="1:13">
      <c r="A2180" t="s">
        <v>2374</v>
      </c>
      <c r="B2180" t="s">
        <v>509</v>
      </c>
      <c r="C2180" s="34" t="s">
        <v>1438</v>
      </c>
      <c r="F2180" t="s">
        <v>1438</v>
      </c>
      <c r="H2180">
        <v>15</v>
      </c>
      <c r="I2180">
        <f>VLOOKUP(B2180,BRAND!B:D,3,FALSE)</f>
        <v>3</v>
      </c>
      <c r="J2180">
        <v>4</v>
      </c>
      <c r="K2180" t="s">
        <v>821</v>
      </c>
      <c r="M2180">
        <v>1</v>
      </c>
    </row>
    <row r="2181" spans="1:13">
      <c r="A2181" t="s">
        <v>9873</v>
      </c>
      <c r="B2181" t="s">
        <v>10012</v>
      </c>
      <c r="C2181" s="34" t="s">
        <v>1438</v>
      </c>
      <c r="G2181" t="s">
        <v>6932</v>
      </c>
      <c r="H2181">
        <v>5</v>
      </c>
      <c r="I2181">
        <f>VLOOKUP(B2181,BRAND!B:D,3,FALSE)</f>
        <v>5.5</v>
      </c>
      <c r="J2181">
        <f>LEN(F2181)</f>
        <v>0</v>
      </c>
      <c r="L2181">
        <v>0</v>
      </c>
      <c r="M2181">
        <v>0</v>
      </c>
    </row>
    <row r="2182" spans="1:13">
      <c r="A2182" t="s">
        <v>9873</v>
      </c>
      <c r="B2182" t="s">
        <v>10012</v>
      </c>
      <c r="C2182" s="34" t="s">
        <v>1438</v>
      </c>
      <c r="G2182" t="s">
        <v>6932</v>
      </c>
      <c r="H2182">
        <v>5</v>
      </c>
      <c r="I2182">
        <f>VLOOKUP(B2182,BRAND!B:D,3,FALSE)</f>
        <v>5.5</v>
      </c>
      <c r="J2182">
        <v>0</v>
      </c>
      <c r="M2182">
        <v>1</v>
      </c>
    </row>
    <row r="2183" spans="1:13">
      <c r="A2183" t="s">
        <v>7066</v>
      </c>
      <c r="B2183" t="s">
        <v>1243</v>
      </c>
      <c r="C2183" s="34" t="s">
        <v>1438</v>
      </c>
      <c r="F2183" t="s">
        <v>1438</v>
      </c>
      <c r="H2183">
        <v>5</v>
      </c>
      <c r="I2183">
        <f>VLOOKUP(B2183,BRAND!B:D,3,FALSE)</f>
        <v>3</v>
      </c>
      <c r="J2183">
        <v>4</v>
      </c>
      <c r="M2183">
        <v>1</v>
      </c>
    </row>
    <row r="2184" spans="1:13">
      <c r="A2184" t="s">
        <v>1519</v>
      </c>
      <c r="B2184" t="s">
        <v>40</v>
      </c>
      <c r="C2184" s="34" t="s">
        <v>1469</v>
      </c>
      <c r="F2184" t="s">
        <v>1469</v>
      </c>
      <c r="H2184">
        <v>4</v>
      </c>
      <c r="I2184">
        <f>VLOOKUP(B2184,BRAND!B:D,3,FALSE)</f>
        <v>3</v>
      </c>
      <c r="J2184">
        <f>LEN(F2184)</f>
        <v>12</v>
      </c>
      <c r="K2184" t="s">
        <v>822</v>
      </c>
      <c r="M2184">
        <v>1</v>
      </c>
    </row>
    <row r="2185" spans="1:13">
      <c r="A2185" t="s">
        <v>4848</v>
      </c>
      <c r="B2185" t="s">
        <v>40</v>
      </c>
      <c r="C2185" s="34" t="s">
        <v>1513</v>
      </c>
      <c r="F2185" t="s">
        <v>1513</v>
      </c>
      <c r="H2185">
        <v>5</v>
      </c>
      <c r="I2185">
        <f>VLOOKUP(B2185,BRAND!B:D,3,FALSE)</f>
        <v>3</v>
      </c>
      <c r="J2185">
        <v>5</v>
      </c>
      <c r="K2185" t="s">
        <v>822</v>
      </c>
      <c r="M2185">
        <v>1</v>
      </c>
    </row>
    <row r="2186" spans="1:13">
      <c r="A2186" t="s">
        <v>1519</v>
      </c>
      <c r="B2186" t="s">
        <v>40</v>
      </c>
      <c r="C2186" s="34" t="s">
        <v>1438</v>
      </c>
      <c r="F2186" t="s">
        <v>1438</v>
      </c>
      <c r="H2186">
        <v>15</v>
      </c>
      <c r="I2186">
        <f>VLOOKUP(B2186,BRAND!B:D,3,FALSE)</f>
        <v>3</v>
      </c>
      <c r="J2186">
        <v>4</v>
      </c>
      <c r="K2186" t="s">
        <v>822</v>
      </c>
      <c r="M2186">
        <v>1</v>
      </c>
    </row>
    <row r="2187" spans="1:13">
      <c r="A2187" t="s">
        <v>2124</v>
      </c>
      <c r="B2187" t="s">
        <v>1063</v>
      </c>
      <c r="C2187" s="34" t="s">
        <v>536</v>
      </c>
      <c r="F2187" t="s">
        <v>536</v>
      </c>
      <c r="H2187">
        <v>5</v>
      </c>
      <c r="I2187">
        <f>VLOOKUP(B2187,BRAND!B:D,3,FALSE)</f>
        <v>3</v>
      </c>
      <c r="J2187">
        <v>5</v>
      </c>
      <c r="K2187" t="s">
        <v>821</v>
      </c>
      <c r="M2187">
        <v>0</v>
      </c>
    </row>
    <row r="2188" spans="1:13">
      <c r="A2188" t="s">
        <v>2717</v>
      </c>
      <c r="B2188" t="s">
        <v>1063</v>
      </c>
      <c r="C2188" s="34" t="s">
        <v>1438</v>
      </c>
      <c r="F2188" t="s">
        <v>1438</v>
      </c>
      <c r="H2188">
        <v>15</v>
      </c>
      <c r="I2188">
        <f>VLOOKUP(B2188,BRAND!B:D,3,FALSE)</f>
        <v>3</v>
      </c>
      <c r="J2188">
        <v>4</v>
      </c>
      <c r="K2188" t="s">
        <v>821</v>
      </c>
      <c r="M2188">
        <v>0</v>
      </c>
    </row>
    <row r="2189" spans="1:13">
      <c r="A2189" t="s">
        <v>9624</v>
      </c>
      <c r="B2189" t="s">
        <v>400</v>
      </c>
      <c r="C2189" s="34" t="s">
        <v>842</v>
      </c>
      <c r="F2189" t="s">
        <v>842</v>
      </c>
      <c r="G2189" t="s">
        <v>6932</v>
      </c>
      <c r="H2189">
        <v>5</v>
      </c>
      <c r="I2189">
        <f>VLOOKUP(B2189,BRAND!B:D,3,FALSE)</f>
        <v>3</v>
      </c>
      <c r="J2189">
        <v>5</v>
      </c>
      <c r="M2189">
        <v>1</v>
      </c>
    </row>
    <row r="2190" spans="1:13">
      <c r="A2190" t="s">
        <v>9625</v>
      </c>
      <c r="B2190" t="s">
        <v>400</v>
      </c>
      <c r="C2190" s="34" t="s">
        <v>1438</v>
      </c>
      <c r="F2190" t="s">
        <v>1438</v>
      </c>
      <c r="G2190" t="s">
        <v>6932</v>
      </c>
      <c r="H2190">
        <v>5</v>
      </c>
      <c r="I2190">
        <f>VLOOKUP(B2190,BRAND!B:D,3,FALSE)</f>
        <v>3</v>
      </c>
      <c r="J2190">
        <v>4</v>
      </c>
      <c r="M2190">
        <v>1</v>
      </c>
    </row>
    <row r="2191" spans="1:13">
      <c r="A2191" t="s">
        <v>4837</v>
      </c>
      <c r="B2191" t="s">
        <v>675</v>
      </c>
      <c r="C2191" s="34" t="s">
        <v>933</v>
      </c>
      <c r="F2191" t="s">
        <v>933</v>
      </c>
      <c r="H2191">
        <v>5</v>
      </c>
      <c r="I2191" t="e">
        <f>VLOOKUP(B2191,BRAND!B:D,3,FALSE)</f>
        <v>#N/A</v>
      </c>
      <c r="J2191">
        <v>8</v>
      </c>
      <c r="K2191" t="s">
        <v>821</v>
      </c>
      <c r="M2191">
        <v>0</v>
      </c>
    </row>
    <row r="2192" spans="1:13">
      <c r="A2192" t="s">
        <v>4838</v>
      </c>
      <c r="B2192" t="s">
        <v>675</v>
      </c>
      <c r="C2192" s="34" t="s">
        <v>898</v>
      </c>
      <c r="F2192" t="s">
        <v>898</v>
      </c>
      <c r="H2192">
        <v>5</v>
      </c>
      <c r="I2192" t="e">
        <f>VLOOKUP(B2192,BRAND!B:D,3,FALSE)</f>
        <v>#N/A</v>
      </c>
      <c r="J2192">
        <v>6</v>
      </c>
      <c r="K2192" t="s">
        <v>821</v>
      </c>
      <c r="M2192">
        <v>0</v>
      </c>
    </row>
    <row r="2193" spans="1:13">
      <c r="A2193" t="s">
        <v>3274</v>
      </c>
      <c r="B2193" t="s">
        <v>675</v>
      </c>
      <c r="C2193" s="34" t="s">
        <v>763</v>
      </c>
      <c r="F2193" t="s">
        <v>763</v>
      </c>
      <c r="H2193">
        <v>5</v>
      </c>
      <c r="I2193" t="e">
        <f>VLOOKUP(B2193,BRAND!B:D,3,FALSE)</f>
        <v>#N/A</v>
      </c>
      <c r="J2193">
        <v>5</v>
      </c>
      <c r="K2193" t="s">
        <v>821</v>
      </c>
      <c r="M2193">
        <v>0</v>
      </c>
    </row>
    <row r="2194" spans="1:13">
      <c r="A2194" t="s">
        <v>2450</v>
      </c>
      <c r="B2194" t="s">
        <v>675</v>
      </c>
      <c r="C2194" s="34" t="s">
        <v>842</v>
      </c>
      <c r="F2194" t="s">
        <v>842</v>
      </c>
      <c r="H2194">
        <v>5</v>
      </c>
      <c r="I2194" t="e">
        <f>VLOOKUP(B2194,BRAND!B:D,3,FALSE)</f>
        <v>#N/A</v>
      </c>
      <c r="J2194">
        <v>5</v>
      </c>
      <c r="K2194" t="s">
        <v>821</v>
      </c>
      <c r="M2194">
        <v>0</v>
      </c>
    </row>
    <row r="2195" spans="1:13">
      <c r="A2195" t="s">
        <v>4852</v>
      </c>
      <c r="B2195" t="s">
        <v>675</v>
      </c>
      <c r="C2195" s="34" t="s">
        <v>776</v>
      </c>
      <c r="F2195" t="s">
        <v>776</v>
      </c>
      <c r="H2195">
        <v>5</v>
      </c>
      <c r="I2195" t="e">
        <f>VLOOKUP(B2195,BRAND!B:D,3,FALSE)</f>
        <v>#N/A</v>
      </c>
      <c r="J2195">
        <v>5</v>
      </c>
      <c r="K2195" t="s">
        <v>821</v>
      </c>
      <c r="M2195">
        <v>0</v>
      </c>
    </row>
    <row r="2196" spans="1:13">
      <c r="A2196" t="s">
        <v>2449</v>
      </c>
      <c r="B2196" t="s">
        <v>675</v>
      </c>
      <c r="C2196" s="34" t="s">
        <v>536</v>
      </c>
      <c r="F2196" t="s">
        <v>536</v>
      </c>
      <c r="H2196">
        <v>5</v>
      </c>
      <c r="I2196" t="e">
        <f>VLOOKUP(B2196,BRAND!B:D,3,FALSE)</f>
        <v>#N/A</v>
      </c>
      <c r="J2196">
        <v>5</v>
      </c>
      <c r="K2196" t="s">
        <v>821</v>
      </c>
      <c r="M2196">
        <v>1</v>
      </c>
    </row>
    <row r="2197" spans="1:13">
      <c r="A2197" t="s">
        <v>3275</v>
      </c>
      <c r="B2197" t="s">
        <v>675</v>
      </c>
      <c r="C2197" s="34" t="s">
        <v>781</v>
      </c>
      <c r="F2197" t="s">
        <v>781</v>
      </c>
      <c r="H2197">
        <v>5</v>
      </c>
      <c r="I2197" t="e">
        <f>VLOOKUP(B2197,BRAND!B:D,3,FALSE)</f>
        <v>#N/A</v>
      </c>
      <c r="J2197">
        <v>4</v>
      </c>
      <c r="K2197" t="s">
        <v>821</v>
      </c>
      <c r="M2197">
        <v>0</v>
      </c>
    </row>
    <row r="2198" spans="1:13">
      <c r="A2198" t="s">
        <v>4853</v>
      </c>
      <c r="B2198" t="s">
        <v>675</v>
      </c>
      <c r="C2198" s="34" t="s">
        <v>786</v>
      </c>
      <c r="F2198" t="s">
        <v>786</v>
      </c>
      <c r="H2198">
        <v>5</v>
      </c>
      <c r="I2198" t="e">
        <f>VLOOKUP(B2198,BRAND!B:D,3,FALSE)</f>
        <v>#N/A</v>
      </c>
      <c r="J2198">
        <v>3</v>
      </c>
      <c r="K2198" t="s">
        <v>821</v>
      </c>
      <c r="M2198">
        <v>0</v>
      </c>
    </row>
    <row r="2199" spans="1:13">
      <c r="A2199" t="s">
        <v>3522</v>
      </c>
      <c r="B2199" t="s">
        <v>675</v>
      </c>
      <c r="C2199" s="34" t="s">
        <v>561</v>
      </c>
      <c r="F2199" t="s">
        <v>561</v>
      </c>
      <c r="H2199">
        <v>5</v>
      </c>
      <c r="I2199" t="e">
        <f>VLOOKUP(B2199,BRAND!B:D,3,FALSE)</f>
        <v>#N/A</v>
      </c>
      <c r="J2199">
        <v>3</v>
      </c>
      <c r="K2199" t="s">
        <v>821</v>
      </c>
      <c r="M2199">
        <v>1</v>
      </c>
    </row>
    <row r="2200" spans="1:13">
      <c r="A2200" t="s">
        <v>4980</v>
      </c>
      <c r="B2200" t="s">
        <v>675</v>
      </c>
      <c r="C2200" s="34" t="s">
        <v>5232</v>
      </c>
      <c r="F2200" t="s">
        <v>536</v>
      </c>
      <c r="G2200" t="s">
        <v>801</v>
      </c>
      <c r="H2200">
        <v>6</v>
      </c>
      <c r="I2200" t="e">
        <f>VLOOKUP(B2200,BRAND!B:D,3,FALSE)</f>
        <v>#N/A</v>
      </c>
      <c r="J2200">
        <v>5</v>
      </c>
      <c r="K2200" t="s">
        <v>821</v>
      </c>
      <c r="M2200">
        <v>0</v>
      </c>
    </row>
    <row r="2201" spans="1:13">
      <c r="A2201" t="s">
        <v>2451</v>
      </c>
      <c r="B2201" t="s">
        <v>675</v>
      </c>
      <c r="C2201" s="34" t="s">
        <v>1438</v>
      </c>
      <c r="F2201" t="s">
        <v>1438</v>
      </c>
      <c r="H2201">
        <v>15</v>
      </c>
      <c r="I2201" t="e">
        <f>VLOOKUP(B2201,BRAND!B:D,3,FALSE)</f>
        <v>#N/A</v>
      </c>
      <c r="J2201">
        <v>4</v>
      </c>
      <c r="K2201" t="s">
        <v>821</v>
      </c>
      <c r="L2201">
        <v>1</v>
      </c>
      <c r="M2201">
        <v>1</v>
      </c>
    </row>
    <row r="2202" spans="1:13">
      <c r="A2202" t="s">
        <v>2244</v>
      </c>
      <c r="B2202" t="s">
        <v>41</v>
      </c>
      <c r="C2202" s="34" t="s">
        <v>1438</v>
      </c>
      <c r="F2202" t="s">
        <v>1438</v>
      </c>
      <c r="H2202">
        <v>15</v>
      </c>
      <c r="I2202">
        <f>VLOOKUP(B2202,BRAND!B:D,3,FALSE)</f>
        <v>3</v>
      </c>
      <c r="J2202">
        <v>4</v>
      </c>
      <c r="K2202" t="s">
        <v>821</v>
      </c>
      <c r="M2202">
        <v>1</v>
      </c>
    </row>
    <row r="2203" spans="1:13">
      <c r="A2203" t="s">
        <v>10402</v>
      </c>
      <c r="B2203" t="s">
        <v>42</v>
      </c>
      <c r="C2203" s="34" t="s">
        <v>1489</v>
      </c>
      <c r="F2203" t="s">
        <v>746</v>
      </c>
      <c r="G2203" t="s">
        <v>801</v>
      </c>
      <c r="H2203">
        <v>5</v>
      </c>
      <c r="I2203">
        <f>VLOOKUP(B2203,BRAND!B:D,3,FALSE)</f>
        <v>3</v>
      </c>
      <c r="J2203">
        <v>6</v>
      </c>
      <c r="K2203" t="s">
        <v>822</v>
      </c>
      <c r="M2203">
        <v>1</v>
      </c>
    </row>
    <row r="2204" spans="1:13">
      <c r="A2204" t="s">
        <v>10403</v>
      </c>
      <c r="B2204" t="s">
        <v>42</v>
      </c>
      <c r="C2204" s="34" t="s">
        <v>6531</v>
      </c>
      <c r="F2204" t="s">
        <v>746</v>
      </c>
      <c r="G2204" t="s">
        <v>801</v>
      </c>
      <c r="H2204">
        <v>5</v>
      </c>
      <c r="I2204">
        <f>VLOOKUP(B2204,BRAND!B:D,3,FALSE)</f>
        <v>3</v>
      </c>
      <c r="J2204">
        <v>6</v>
      </c>
      <c r="K2204" t="s">
        <v>822</v>
      </c>
      <c r="M2204">
        <v>1</v>
      </c>
    </row>
    <row r="2205" spans="1:13">
      <c r="A2205" t="s">
        <v>10404</v>
      </c>
      <c r="B2205" t="s">
        <v>42</v>
      </c>
      <c r="C2205" s="34" t="s">
        <v>1489</v>
      </c>
      <c r="F2205" t="s">
        <v>746</v>
      </c>
      <c r="G2205" t="s">
        <v>801</v>
      </c>
      <c r="H2205">
        <v>5</v>
      </c>
      <c r="I2205">
        <f>VLOOKUP(B2205,BRAND!B:D,3,FALSE)</f>
        <v>3</v>
      </c>
      <c r="J2205">
        <v>6</v>
      </c>
      <c r="K2205" t="s">
        <v>822</v>
      </c>
      <c r="M2205">
        <v>1</v>
      </c>
    </row>
    <row r="2206" spans="1:13">
      <c r="A2206" t="s">
        <v>10401</v>
      </c>
      <c r="B2206" t="s">
        <v>42</v>
      </c>
      <c r="C2206" s="34" t="s">
        <v>1489</v>
      </c>
      <c r="F2206" t="s">
        <v>746</v>
      </c>
      <c r="H2206">
        <v>5</v>
      </c>
      <c r="I2206">
        <f>VLOOKUP(B2206,BRAND!B:D,3,FALSE)</f>
        <v>3</v>
      </c>
      <c r="J2206">
        <v>6</v>
      </c>
      <c r="K2206" t="s">
        <v>822</v>
      </c>
      <c r="M2206">
        <v>1</v>
      </c>
    </row>
    <row r="2207" spans="1:13">
      <c r="A2207" t="s">
        <v>4381</v>
      </c>
      <c r="B2207" t="s">
        <v>42</v>
      </c>
      <c r="C2207" s="34" t="s">
        <v>6531</v>
      </c>
      <c r="F2207" t="s">
        <v>746</v>
      </c>
      <c r="H2207">
        <v>5</v>
      </c>
      <c r="I2207">
        <f>VLOOKUP(B2207,BRAND!B:D,3,FALSE)</f>
        <v>3</v>
      </c>
      <c r="J2207">
        <v>6</v>
      </c>
      <c r="K2207" t="s">
        <v>822</v>
      </c>
      <c r="M2207">
        <v>1</v>
      </c>
    </row>
    <row r="2208" spans="1:13">
      <c r="A2208" t="s">
        <v>4410</v>
      </c>
      <c r="B2208" t="s">
        <v>42</v>
      </c>
      <c r="C2208" s="34" t="s">
        <v>1513</v>
      </c>
      <c r="F2208" t="s">
        <v>1513</v>
      </c>
      <c r="H2208">
        <v>5</v>
      </c>
      <c r="I2208">
        <f>VLOOKUP(B2208,BRAND!B:D,3,FALSE)</f>
        <v>3</v>
      </c>
      <c r="J2208">
        <v>5</v>
      </c>
      <c r="K2208" t="s">
        <v>822</v>
      </c>
      <c r="M2208">
        <v>1</v>
      </c>
    </row>
    <row r="2209" spans="1:13">
      <c r="A2209" t="s">
        <v>5193</v>
      </c>
      <c r="B2209" t="s">
        <v>42</v>
      </c>
      <c r="C2209" s="34" t="s">
        <v>2000</v>
      </c>
      <c r="F2209" t="s">
        <v>2000</v>
      </c>
      <c r="H2209">
        <v>5</v>
      </c>
      <c r="I2209">
        <f>VLOOKUP(B2209,BRAND!B:D,3,FALSE)</f>
        <v>3</v>
      </c>
      <c r="J2209">
        <v>5</v>
      </c>
      <c r="K2209" t="s">
        <v>822</v>
      </c>
      <c r="M2209">
        <v>1</v>
      </c>
    </row>
    <row r="2210" spans="1:13">
      <c r="A2210" t="s">
        <v>4486</v>
      </c>
      <c r="B2210" t="s">
        <v>42</v>
      </c>
      <c r="C2210" s="34" t="s">
        <v>876</v>
      </c>
      <c r="F2210" t="s">
        <v>876</v>
      </c>
      <c r="H2210">
        <v>5</v>
      </c>
      <c r="I2210">
        <f>VLOOKUP(B2210,BRAND!B:D,3,FALSE)</f>
        <v>3</v>
      </c>
      <c r="J2210">
        <v>4</v>
      </c>
      <c r="K2210" t="s">
        <v>822</v>
      </c>
      <c r="M2210">
        <v>1</v>
      </c>
    </row>
    <row r="2211" spans="1:13">
      <c r="A2211" t="s">
        <v>1609</v>
      </c>
      <c r="B2211" t="s">
        <v>42</v>
      </c>
      <c r="C2211" s="34" t="s">
        <v>5552</v>
      </c>
      <c r="F2211" t="s">
        <v>1438</v>
      </c>
      <c r="G2211" t="s">
        <v>801</v>
      </c>
      <c r="H2211">
        <v>6</v>
      </c>
      <c r="I2211">
        <f>VLOOKUP(B2211,BRAND!B:D,3,FALSE)</f>
        <v>3</v>
      </c>
      <c r="J2211">
        <v>4</v>
      </c>
      <c r="K2211" t="s">
        <v>822</v>
      </c>
      <c r="M2211">
        <v>1</v>
      </c>
    </row>
    <row r="2212" spans="1:13">
      <c r="A2212" t="s">
        <v>1517</v>
      </c>
      <c r="B2212" t="s">
        <v>42</v>
      </c>
      <c r="C2212" s="34" t="s">
        <v>5552</v>
      </c>
      <c r="F2212" t="s">
        <v>1438</v>
      </c>
      <c r="H2212">
        <v>15</v>
      </c>
      <c r="I2212">
        <f>VLOOKUP(B2212,BRAND!B:D,3,FALSE)</f>
        <v>3</v>
      </c>
      <c r="J2212">
        <v>4</v>
      </c>
      <c r="K2212" t="s">
        <v>822</v>
      </c>
      <c r="M2212">
        <v>1</v>
      </c>
    </row>
    <row r="2213" spans="1:13">
      <c r="A2213" t="s">
        <v>3617</v>
      </c>
      <c r="B2213" t="s">
        <v>1153</v>
      </c>
      <c r="C2213" s="34" t="s">
        <v>534</v>
      </c>
      <c r="F2213" t="s">
        <v>534</v>
      </c>
      <c r="H2213">
        <v>5</v>
      </c>
      <c r="I2213">
        <f>VLOOKUP(B2213,BRAND!B:D,3,FALSE)</f>
        <v>3</v>
      </c>
      <c r="J2213">
        <v>6</v>
      </c>
      <c r="K2213" t="s">
        <v>821</v>
      </c>
      <c r="M2213">
        <v>0</v>
      </c>
    </row>
    <row r="2214" spans="1:13">
      <c r="A2214" t="s">
        <v>2737</v>
      </c>
      <c r="B2214" t="s">
        <v>1153</v>
      </c>
      <c r="C2214" s="34" t="s">
        <v>1438</v>
      </c>
      <c r="F2214" t="s">
        <v>1438</v>
      </c>
      <c r="H2214">
        <v>15</v>
      </c>
      <c r="I2214">
        <f>VLOOKUP(B2214,BRAND!B:D,3,FALSE)</f>
        <v>3</v>
      </c>
      <c r="J2214">
        <v>4</v>
      </c>
      <c r="K2214" t="s">
        <v>821</v>
      </c>
      <c r="M2214">
        <v>0</v>
      </c>
    </row>
    <row r="2215" spans="1:13">
      <c r="A2215" t="s">
        <v>7974</v>
      </c>
      <c r="B2215" t="s">
        <v>7975</v>
      </c>
      <c r="C2215" s="34" t="s">
        <v>1438</v>
      </c>
      <c r="F2215" t="s">
        <v>1438</v>
      </c>
      <c r="G2215" t="s">
        <v>6932</v>
      </c>
      <c r="H2215">
        <v>5</v>
      </c>
      <c r="I2215">
        <f>VLOOKUP(B2215,BRAND!B:D,3,FALSE)</f>
        <v>5.5</v>
      </c>
      <c r="J2215">
        <v>4</v>
      </c>
      <c r="M2215">
        <v>1</v>
      </c>
    </row>
    <row r="2216" spans="1:13">
      <c r="A2216" t="s">
        <v>10072</v>
      </c>
      <c r="B2216" t="s">
        <v>7009</v>
      </c>
      <c r="C2216" s="34" t="s">
        <v>1438</v>
      </c>
      <c r="F2216" t="s">
        <v>1438</v>
      </c>
      <c r="H2216">
        <v>15</v>
      </c>
      <c r="I2216">
        <f>VLOOKUP(B2216,BRAND!B:D,3,FALSE)</f>
        <v>11</v>
      </c>
      <c r="J2216">
        <v>4</v>
      </c>
      <c r="M2216">
        <v>0</v>
      </c>
    </row>
    <row r="2217" spans="1:13">
      <c r="A2217" t="s">
        <v>15124</v>
      </c>
      <c r="B2217" t="s">
        <v>15125</v>
      </c>
      <c r="C2217" s="34" t="s">
        <v>561</v>
      </c>
      <c r="F2217" t="s">
        <v>561</v>
      </c>
      <c r="G2217" t="s">
        <v>6932</v>
      </c>
      <c r="H2217">
        <v>5</v>
      </c>
      <c r="I2217">
        <f>VLOOKUP(B2217,BRAND!B:D,3,FALSE)</f>
        <v>5</v>
      </c>
      <c r="J2217">
        <v>0</v>
      </c>
      <c r="K2217" t="s">
        <v>821</v>
      </c>
      <c r="L2217">
        <v>0</v>
      </c>
      <c r="M2217">
        <v>0</v>
      </c>
    </row>
    <row r="2218" spans="1:13">
      <c r="A2218" t="s">
        <v>15126</v>
      </c>
      <c r="B2218" t="s">
        <v>15125</v>
      </c>
      <c r="C2218" s="34" t="s">
        <v>536</v>
      </c>
      <c r="F2218" t="s">
        <v>536</v>
      </c>
      <c r="G2218" t="s">
        <v>6932</v>
      </c>
      <c r="H2218">
        <v>5</v>
      </c>
      <c r="I2218">
        <f>VLOOKUP(B2218,BRAND!B:D,3,FALSE)</f>
        <v>5</v>
      </c>
      <c r="J2218">
        <v>0</v>
      </c>
      <c r="K2218" t="s">
        <v>821</v>
      </c>
      <c r="L2218">
        <v>0</v>
      </c>
      <c r="M2218">
        <v>0</v>
      </c>
    </row>
    <row r="2219" spans="1:13">
      <c r="A2219" t="s">
        <v>15127</v>
      </c>
      <c r="B2219" t="s">
        <v>15125</v>
      </c>
      <c r="C2219" s="34" t="s">
        <v>852</v>
      </c>
      <c r="F2219" t="s">
        <v>852</v>
      </c>
      <c r="G2219" t="s">
        <v>6932</v>
      </c>
      <c r="H2219">
        <v>5</v>
      </c>
      <c r="I2219">
        <f>VLOOKUP(B2219,BRAND!B:D,3,FALSE)</f>
        <v>5</v>
      </c>
      <c r="J2219">
        <v>0</v>
      </c>
      <c r="K2219" t="s">
        <v>821</v>
      </c>
      <c r="L2219">
        <v>0</v>
      </c>
      <c r="M2219">
        <v>0</v>
      </c>
    </row>
    <row r="2220" spans="1:13">
      <c r="A2220" t="s">
        <v>15128</v>
      </c>
      <c r="B2220" t="s">
        <v>15125</v>
      </c>
      <c r="C2220" s="34" t="s">
        <v>12474</v>
      </c>
      <c r="F2220" t="s">
        <v>12474</v>
      </c>
      <c r="G2220" t="s">
        <v>6932</v>
      </c>
      <c r="H2220">
        <v>5</v>
      </c>
      <c r="I2220">
        <f>VLOOKUP(B2220,BRAND!B:D,3,FALSE)</f>
        <v>5</v>
      </c>
      <c r="J2220">
        <v>0</v>
      </c>
      <c r="K2220" t="s">
        <v>821</v>
      </c>
      <c r="L2220">
        <v>0</v>
      </c>
      <c r="M2220">
        <v>0</v>
      </c>
    </row>
    <row r="2221" spans="1:13">
      <c r="A2221" t="s">
        <v>15129</v>
      </c>
      <c r="B2221" t="s">
        <v>15125</v>
      </c>
      <c r="C2221" s="34" t="s">
        <v>15130</v>
      </c>
      <c r="F2221" t="s">
        <v>15130</v>
      </c>
      <c r="G2221" t="s">
        <v>6932</v>
      </c>
      <c r="H2221">
        <v>5</v>
      </c>
      <c r="I2221">
        <f>VLOOKUP(B2221,BRAND!B:D,3,FALSE)</f>
        <v>5</v>
      </c>
      <c r="J2221">
        <v>0</v>
      </c>
      <c r="K2221" t="s">
        <v>821</v>
      </c>
      <c r="L2221">
        <v>0</v>
      </c>
      <c r="M2221">
        <v>0</v>
      </c>
    </row>
    <row r="2222" spans="1:13">
      <c r="A2222" t="s">
        <v>15131</v>
      </c>
      <c r="B2222" t="s">
        <v>15125</v>
      </c>
      <c r="C2222" s="34" t="s">
        <v>15132</v>
      </c>
      <c r="F2222" t="s">
        <v>15132</v>
      </c>
      <c r="G2222" t="s">
        <v>6932</v>
      </c>
      <c r="H2222">
        <v>5</v>
      </c>
      <c r="I2222">
        <f>VLOOKUP(B2222,BRAND!B:D,3,FALSE)</f>
        <v>5</v>
      </c>
      <c r="J2222">
        <v>0</v>
      </c>
      <c r="K2222" t="s">
        <v>821</v>
      </c>
      <c r="L2222">
        <v>0</v>
      </c>
      <c r="M2222">
        <v>0</v>
      </c>
    </row>
    <row r="2223" spans="1:13">
      <c r="A2223" t="s">
        <v>10073</v>
      </c>
      <c r="B2223" t="s">
        <v>1911</v>
      </c>
      <c r="C2223" s="34" t="s">
        <v>1438</v>
      </c>
      <c r="F2223" t="s">
        <v>1438</v>
      </c>
      <c r="H2223">
        <v>15</v>
      </c>
      <c r="I2223">
        <f>VLOOKUP(B2223,BRAND!B:D,3,FALSE)</f>
        <v>9</v>
      </c>
      <c r="J2223">
        <v>4</v>
      </c>
      <c r="M2223">
        <v>0</v>
      </c>
    </row>
    <row r="2224" spans="1:13">
      <c r="A2224" t="s">
        <v>10591</v>
      </c>
      <c r="B2224" t="s">
        <v>1465</v>
      </c>
      <c r="C2224" s="34" t="s">
        <v>1489</v>
      </c>
      <c r="F2224" t="s">
        <v>1489</v>
      </c>
      <c r="G2224" t="s">
        <v>801</v>
      </c>
      <c r="H2224">
        <v>5</v>
      </c>
      <c r="I2224">
        <f>VLOOKUP(B2224,BRAND!B:D,3,FALSE)</f>
        <v>11</v>
      </c>
      <c r="J2224">
        <f>LEN(F2224)</f>
        <v>7</v>
      </c>
      <c r="L2224">
        <v>0</v>
      </c>
    </row>
    <row r="2225" spans="1:13">
      <c r="A2225" t="s">
        <v>10590</v>
      </c>
      <c r="B2225" t="s">
        <v>1465</v>
      </c>
      <c r="C2225" s="34" t="s">
        <v>746</v>
      </c>
      <c r="F2225" t="s">
        <v>746</v>
      </c>
      <c r="G2225" t="s">
        <v>801</v>
      </c>
      <c r="H2225">
        <v>5</v>
      </c>
      <c r="I2225">
        <f>VLOOKUP(B2225,BRAND!B:D,3,FALSE)</f>
        <v>11</v>
      </c>
      <c r="J2225">
        <f>LEN(F2225)</f>
        <v>6</v>
      </c>
      <c r="L2225">
        <v>0</v>
      </c>
    </row>
    <row r="2226" spans="1:13">
      <c r="A2226" t="s">
        <v>10589</v>
      </c>
      <c r="B2226" t="s">
        <v>1465</v>
      </c>
      <c r="C2226" s="34" t="s">
        <v>1438</v>
      </c>
      <c r="F2226" t="s">
        <v>1438</v>
      </c>
      <c r="G2226" t="s">
        <v>6932</v>
      </c>
      <c r="H2226">
        <v>5</v>
      </c>
      <c r="I2226">
        <f>VLOOKUP(B2226,BRAND!B:D,3,FALSE)</f>
        <v>11</v>
      </c>
      <c r="J2226">
        <f>LEN(F2226)</f>
        <v>4</v>
      </c>
      <c r="L2226">
        <v>0</v>
      </c>
    </row>
    <row r="2227" spans="1:13">
      <c r="A2227" t="s">
        <v>4652</v>
      </c>
      <c r="B2227" t="s">
        <v>1465</v>
      </c>
      <c r="C2227" s="34" t="s">
        <v>1438</v>
      </c>
      <c r="F2227" t="s">
        <v>1438</v>
      </c>
      <c r="G2227" t="s">
        <v>801</v>
      </c>
      <c r="H2227">
        <v>5</v>
      </c>
      <c r="I2227">
        <f>VLOOKUP(B2227,BRAND!B:D,3,FALSE)</f>
        <v>11</v>
      </c>
      <c r="J2227">
        <f>LEN(F2227)</f>
        <v>4</v>
      </c>
      <c r="L2227">
        <v>0</v>
      </c>
    </row>
    <row r="2228" spans="1:13">
      <c r="A2228" t="s">
        <v>4911</v>
      </c>
      <c r="B2228" t="s">
        <v>1465</v>
      </c>
      <c r="C2228" s="34" t="s">
        <v>1488</v>
      </c>
      <c r="F2228" t="s">
        <v>1488</v>
      </c>
      <c r="G2228" t="s">
        <v>801</v>
      </c>
      <c r="H2228">
        <v>6</v>
      </c>
      <c r="I2228">
        <f>VLOOKUP(B2228,BRAND!B:D,3,FALSE)</f>
        <v>11</v>
      </c>
      <c r="J2228">
        <v>7</v>
      </c>
      <c r="K2228" t="s">
        <v>822</v>
      </c>
      <c r="M2228">
        <v>1</v>
      </c>
    </row>
    <row r="2229" spans="1:13">
      <c r="A2229" t="s">
        <v>5559</v>
      </c>
      <c r="B2229" t="s">
        <v>1465</v>
      </c>
      <c r="C2229" s="34" t="s">
        <v>2000</v>
      </c>
      <c r="F2229" t="s">
        <v>2000</v>
      </c>
      <c r="G2229" t="s">
        <v>801</v>
      </c>
      <c r="H2229">
        <v>6</v>
      </c>
      <c r="I2229">
        <f>VLOOKUP(B2229,BRAND!B:D,3,FALSE)</f>
        <v>11</v>
      </c>
      <c r="J2229">
        <v>5</v>
      </c>
      <c r="K2229" t="s">
        <v>822</v>
      </c>
      <c r="M2229">
        <v>0</v>
      </c>
    </row>
    <row r="2230" spans="1:13">
      <c r="A2230" t="s">
        <v>4652</v>
      </c>
      <c r="B2230" t="s">
        <v>1465</v>
      </c>
      <c r="C2230" s="34" t="s">
        <v>1438</v>
      </c>
      <c r="F2230" t="s">
        <v>1438</v>
      </c>
      <c r="G2230" t="s">
        <v>801</v>
      </c>
      <c r="H2230">
        <v>6</v>
      </c>
      <c r="I2230">
        <f>VLOOKUP(B2230,BRAND!B:D,3,FALSE)</f>
        <v>11</v>
      </c>
      <c r="J2230">
        <v>4</v>
      </c>
      <c r="K2230" t="s">
        <v>822</v>
      </c>
      <c r="M2230">
        <v>1</v>
      </c>
    </row>
    <row r="2231" spans="1:13">
      <c r="A2231" t="s">
        <v>5560</v>
      </c>
      <c r="B2231" t="s">
        <v>1465</v>
      </c>
      <c r="C2231" s="34" t="s">
        <v>746</v>
      </c>
      <c r="F2231" t="s">
        <v>746</v>
      </c>
      <c r="H2231">
        <v>15</v>
      </c>
      <c r="I2231">
        <f>VLOOKUP(B2231,BRAND!B:D,3,FALSE)</f>
        <v>11</v>
      </c>
      <c r="J2231">
        <v>6</v>
      </c>
      <c r="K2231" t="s">
        <v>822</v>
      </c>
      <c r="M2231">
        <v>0</v>
      </c>
    </row>
    <row r="2232" spans="1:13">
      <c r="A2232" t="s">
        <v>4097</v>
      </c>
      <c r="B2232" t="s">
        <v>1465</v>
      </c>
      <c r="C2232" s="34" t="s">
        <v>1513</v>
      </c>
      <c r="F2232" t="s">
        <v>1513</v>
      </c>
      <c r="H2232">
        <v>15</v>
      </c>
      <c r="I2232">
        <f>VLOOKUP(B2232,BRAND!B:D,3,FALSE)</f>
        <v>11</v>
      </c>
      <c r="J2232">
        <v>5</v>
      </c>
      <c r="K2232" t="s">
        <v>822</v>
      </c>
      <c r="M2232">
        <v>0</v>
      </c>
    </row>
    <row r="2233" spans="1:13">
      <c r="A2233" t="s">
        <v>6439</v>
      </c>
      <c r="B2233" t="s">
        <v>1465</v>
      </c>
      <c r="C2233" s="34" t="s">
        <v>1513</v>
      </c>
      <c r="F2233" t="s">
        <v>1513</v>
      </c>
      <c r="G2233" t="s">
        <v>801</v>
      </c>
      <c r="H2233">
        <v>15</v>
      </c>
      <c r="I2233">
        <f>VLOOKUP(B2233,BRAND!B:D,3,FALSE)</f>
        <v>11</v>
      </c>
      <c r="J2233">
        <v>5</v>
      </c>
      <c r="K2233" t="s">
        <v>822</v>
      </c>
      <c r="M2233">
        <v>1</v>
      </c>
    </row>
    <row r="2234" spans="1:13">
      <c r="A2234" t="s">
        <v>4268</v>
      </c>
      <c r="B2234" t="s">
        <v>1465</v>
      </c>
      <c r="C2234" s="34" t="s">
        <v>876</v>
      </c>
      <c r="F2234" t="s">
        <v>876</v>
      </c>
      <c r="H2234">
        <v>15</v>
      </c>
      <c r="I2234">
        <f>VLOOKUP(B2234,BRAND!B:D,3,FALSE)</f>
        <v>11</v>
      </c>
      <c r="J2234">
        <v>4</v>
      </c>
      <c r="K2234" t="s">
        <v>822</v>
      </c>
      <c r="M2234">
        <v>0</v>
      </c>
    </row>
    <row r="2235" spans="1:13">
      <c r="A2235" t="s">
        <v>1615</v>
      </c>
      <c r="B2235" t="s">
        <v>1465</v>
      </c>
      <c r="C2235" s="34" t="s">
        <v>1438</v>
      </c>
      <c r="F2235" t="s">
        <v>1438</v>
      </c>
      <c r="H2235">
        <v>15</v>
      </c>
      <c r="I2235">
        <f>VLOOKUP(B2235,BRAND!B:D,3,FALSE)</f>
        <v>11</v>
      </c>
      <c r="J2235">
        <v>4</v>
      </c>
      <c r="K2235" t="s">
        <v>822</v>
      </c>
      <c r="M2235">
        <v>1</v>
      </c>
    </row>
    <row r="2236" spans="1:13">
      <c r="A2236" t="s">
        <v>4364</v>
      </c>
      <c r="B2236" t="s">
        <v>1103</v>
      </c>
      <c r="C2236" s="34" t="s">
        <v>772</v>
      </c>
      <c r="F2236" t="s">
        <v>772</v>
      </c>
      <c r="H2236">
        <v>5</v>
      </c>
      <c r="I2236">
        <f>VLOOKUP(B2236,BRAND!B:D,3,FALSE)</f>
        <v>3</v>
      </c>
      <c r="J2236">
        <v>6</v>
      </c>
      <c r="K2236" t="s">
        <v>821</v>
      </c>
      <c r="M2236">
        <v>0</v>
      </c>
    </row>
    <row r="2237" spans="1:13">
      <c r="A2237" t="s">
        <v>4695</v>
      </c>
      <c r="B2237" t="s">
        <v>1103</v>
      </c>
      <c r="C2237" s="34" t="s">
        <v>867</v>
      </c>
      <c r="F2237" t="s">
        <v>867</v>
      </c>
      <c r="H2237">
        <v>5</v>
      </c>
      <c r="I2237">
        <f>VLOOKUP(B2237,BRAND!B:D,3,FALSE)</f>
        <v>3</v>
      </c>
      <c r="J2237">
        <v>4</v>
      </c>
      <c r="K2237" t="s">
        <v>821</v>
      </c>
      <c r="M2237">
        <v>0</v>
      </c>
    </row>
    <row r="2238" spans="1:13">
      <c r="A2238" t="s">
        <v>2500</v>
      </c>
      <c r="B2238" t="s">
        <v>1103</v>
      </c>
      <c r="C2238" s="34" t="s">
        <v>1438</v>
      </c>
      <c r="F2238" t="s">
        <v>1438</v>
      </c>
      <c r="H2238">
        <v>15</v>
      </c>
      <c r="I2238">
        <f>VLOOKUP(B2238,BRAND!B:D,3,FALSE)</f>
        <v>3</v>
      </c>
      <c r="J2238">
        <v>4</v>
      </c>
      <c r="K2238" t="s">
        <v>821</v>
      </c>
      <c r="M2238">
        <v>0</v>
      </c>
    </row>
    <row r="2239" spans="1:13">
      <c r="A2239" t="s">
        <v>7976</v>
      </c>
      <c r="B2239" t="s">
        <v>7977</v>
      </c>
      <c r="C2239" s="34" t="s">
        <v>1438</v>
      </c>
      <c r="F2239" t="s">
        <v>1438</v>
      </c>
      <c r="G2239" t="s">
        <v>6932</v>
      </c>
      <c r="H2239">
        <v>5</v>
      </c>
      <c r="I2239">
        <f>VLOOKUP(B2239,BRAND!B:D,3,FALSE)</f>
        <v>5.5</v>
      </c>
      <c r="J2239">
        <v>4</v>
      </c>
      <c r="M2239">
        <v>1</v>
      </c>
    </row>
    <row r="2240" spans="1:13">
      <c r="A2240" t="s">
        <v>3684</v>
      </c>
      <c r="B2240" t="s">
        <v>1060</v>
      </c>
      <c r="C2240" s="34" t="s">
        <v>536</v>
      </c>
      <c r="F2240" t="s">
        <v>536</v>
      </c>
      <c r="H2240">
        <v>5</v>
      </c>
      <c r="I2240">
        <f>VLOOKUP(B2240,BRAND!B:D,3,FALSE)</f>
        <v>3</v>
      </c>
      <c r="J2240">
        <v>5</v>
      </c>
      <c r="K2240" t="s">
        <v>821</v>
      </c>
      <c r="M2240">
        <v>0</v>
      </c>
    </row>
    <row r="2241" spans="1:13">
      <c r="A2241" t="s">
        <v>4951</v>
      </c>
      <c r="B2241" t="s">
        <v>1060</v>
      </c>
      <c r="C2241" s="34" t="s">
        <v>1438</v>
      </c>
      <c r="F2241" t="s">
        <v>1438</v>
      </c>
      <c r="G2241" t="s">
        <v>801</v>
      </c>
      <c r="H2241">
        <v>6</v>
      </c>
      <c r="I2241">
        <f>VLOOKUP(B2241,BRAND!B:D,3,FALSE)</f>
        <v>3</v>
      </c>
      <c r="J2241">
        <v>4</v>
      </c>
      <c r="K2241" t="s">
        <v>821</v>
      </c>
      <c r="M2241">
        <v>0</v>
      </c>
    </row>
    <row r="2242" spans="1:13">
      <c r="A2242" t="s">
        <v>2091</v>
      </c>
      <c r="B2242" t="s">
        <v>1060</v>
      </c>
      <c r="C2242" s="34" t="s">
        <v>1438</v>
      </c>
      <c r="F2242" t="s">
        <v>1438</v>
      </c>
      <c r="H2242">
        <v>15</v>
      </c>
      <c r="I2242">
        <f>VLOOKUP(B2242,BRAND!B:D,3,FALSE)</f>
        <v>3</v>
      </c>
      <c r="J2242">
        <v>4</v>
      </c>
      <c r="K2242" t="s">
        <v>821</v>
      </c>
      <c r="M2242">
        <v>0</v>
      </c>
    </row>
    <row r="2243" spans="1:13">
      <c r="A2243" t="s">
        <v>4611</v>
      </c>
      <c r="B2243" t="s">
        <v>1865</v>
      </c>
      <c r="C2243" s="34" t="s">
        <v>995</v>
      </c>
      <c r="F2243" t="s">
        <v>995</v>
      </c>
      <c r="H2243">
        <v>5</v>
      </c>
      <c r="I2243">
        <f>VLOOKUP(B2243,BRAND!B:D,3,FALSE)</f>
        <v>5</v>
      </c>
      <c r="J2243">
        <v>6</v>
      </c>
      <c r="K2243" t="s">
        <v>821</v>
      </c>
      <c r="M2243">
        <v>0</v>
      </c>
    </row>
    <row r="2244" spans="1:13">
      <c r="A2244" t="s">
        <v>4612</v>
      </c>
      <c r="B2244" t="s">
        <v>1865</v>
      </c>
      <c r="C2244" s="34" t="s">
        <v>764</v>
      </c>
      <c r="F2244" t="s">
        <v>764</v>
      </c>
      <c r="H2244">
        <v>5</v>
      </c>
      <c r="I2244">
        <f>VLOOKUP(B2244,BRAND!B:D,3,FALSE)</f>
        <v>5</v>
      </c>
      <c r="J2244">
        <v>5</v>
      </c>
      <c r="K2244" t="s">
        <v>821</v>
      </c>
      <c r="M2244">
        <v>0</v>
      </c>
    </row>
    <row r="2245" spans="1:13">
      <c r="A2245" t="s">
        <v>4283</v>
      </c>
      <c r="B2245" t="s">
        <v>1865</v>
      </c>
      <c r="C2245" s="34" t="s">
        <v>1438</v>
      </c>
      <c r="F2245" t="s">
        <v>1438</v>
      </c>
      <c r="H2245">
        <v>15</v>
      </c>
      <c r="I2245">
        <f>VLOOKUP(B2245,BRAND!B:D,3,FALSE)</f>
        <v>5</v>
      </c>
      <c r="J2245">
        <v>4</v>
      </c>
      <c r="K2245" t="s">
        <v>821</v>
      </c>
      <c r="M2245">
        <v>0</v>
      </c>
    </row>
    <row r="2246" spans="1:13">
      <c r="A2246" t="s">
        <v>2681</v>
      </c>
      <c r="B2246" t="s">
        <v>1154</v>
      </c>
      <c r="C2246" s="34" t="s">
        <v>1438</v>
      </c>
      <c r="F2246" t="s">
        <v>1438</v>
      </c>
      <c r="H2246">
        <v>15</v>
      </c>
      <c r="I2246">
        <f>VLOOKUP(B2246,BRAND!B:D,3,FALSE)</f>
        <v>3</v>
      </c>
      <c r="J2246">
        <v>4</v>
      </c>
      <c r="K2246" t="s">
        <v>821</v>
      </c>
      <c r="M2246">
        <v>0</v>
      </c>
    </row>
    <row r="2247" spans="1:13">
      <c r="A2247" t="s">
        <v>4213</v>
      </c>
      <c r="B2247" t="s">
        <v>1155</v>
      </c>
      <c r="C2247" s="34" t="s">
        <v>27</v>
      </c>
      <c r="F2247" t="s">
        <v>27</v>
      </c>
      <c r="H2247">
        <v>5</v>
      </c>
      <c r="I2247">
        <f>VLOOKUP(B2247,BRAND!B:D,3,FALSE)</f>
        <v>5.5</v>
      </c>
      <c r="J2247">
        <v>7</v>
      </c>
      <c r="K2247" t="e">
        <v>#N/A</v>
      </c>
      <c r="M2247">
        <v>0</v>
      </c>
    </row>
    <row r="2248" spans="1:13">
      <c r="A2248" t="s">
        <v>3111</v>
      </c>
      <c r="B2248" t="s">
        <v>1155</v>
      </c>
      <c r="C2248" s="34" t="s">
        <v>751</v>
      </c>
      <c r="F2248" t="s">
        <v>751</v>
      </c>
      <c r="H2248">
        <v>5</v>
      </c>
      <c r="I2248">
        <f>VLOOKUP(B2248,BRAND!B:D,3,FALSE)</f>
        <v>5.5</v>
      </c>
      <c r="J2248">
        <v>5</v>
      </c>
      <c r="K2248" t="e">
        <v>#N/A</v>
      </c>
      <c r="M2248">
        <v>0</v>
      </c>
    </row>
    <row r="2249" spans="1:13">
      <c r="A2249" t="s">
        <v>2671</v>
      </c>
      <c r="B2249" t="s">
        <v>1155</v>
      </c>
      <c r="C2249" s="34" t="s">
        <v>1438</v>
      </c>
      <c r="F2249" t="s">
        <v>1438</v>
      </c>
      <c r="H2249">
        <v>15</v>
      </c>
      <c r="I2249">
        <f>VLOOKUP(B2249,BRAND!B:D,3,FALSE)</f>
        <v>5.5</v>
      </c>
      <c r="J2249">
        <v>4</v>
      </c>
      <c r="K2249" t="e">
        <v>#N/A</v>
      </c>
      <c r="M2249">
        <v>0</v>
      </c>
    </row>
    <row r="2250" spans="1:13">
      <c r="A2250" t="s">
        <v>4047</v>
      </c>
      <c r="B2250" t="s">
        <v>817</v>
      </c>
      <c r="C2250" s="34" t="s">
        <v>536</v>
      </c>
      <c r="F2250" t="s">
        <v>536</v>
      </c>
      <c r="H2250">
        <v>5</v>
      </c>
      <c r="I2250">
        <f>VLOOKUP(B2250,BRAND!B:D,3,FALSE)</f>
        <v>3</v>
      </c>
      <c r="J2250">
        <v>5</v>
      </c>
      <c r="K2250" t="s">
        <v>821</v>
      </c>
      <c r="M2250">
        <v>0</v>
      </c>
    </row>
    <row r="2251" spans="1:13">
      <c r="A2251" t="s">
        <v>2445</v>
      </c>
      <c r="B2251" t="s">
        <v>817</v>
      </c>
      <c r="C2251" s="34" t="s">
        <v>1438</v>
      </c>
      <c r="F2251" t="s">
        <v>1438</v>
      </c>
      <c r="H2251">
        <v>15</v>
      </c>
      <c r="I2251">
        <f>VLOOKUP(B2251,BRAND!B:D,3,FALSE)</f>
        <v>3</v>
      </c>
      <c r="J2251">
        <v>4</v>
      </c>
      <c r="K2251" t="s">
        <v>821</v>
      </c>
      <c r="M2251">
        <v>0</v>
      </c>
    </row>
    <row r="2252" spans="1:13">
      <c r="A2252" t="s">
        <v>7978</v>
      </c>
      <c r="B2252" t="s">
        <v>7979</v>
      </c>
      <c r="C2252" s="34" t="s">
        <v>1438</v>
      </c>
      <c r="F2252" t="s">
        <v>1438</v>
      </c>
      <c r="G2252" t="s">
        <v>6932</v>
      </c>
      <c r="H2252">
        <v>5</v>
      </c>
      <c r="I2252">
        <f>VLOOKUP(B2252,BRAND!B:D,3,FALSE)</f>
        <v>5.5</v>
      </c>
      <c r="J2252">
        <v>4</v>
      </c>
      <c r="M2252">
        <v>1</v>
      </c>
    </row>
    <row r="2253" spans="1:13">
      <c r="A2253" t="s">
        <v>10476</v>
      </c>
      <c r="B2253" t="s">
        <v>10325</v>
      </c>
      <c r="C2253" s="34" t="s">
        <v>880</v>
      </c>
      <c r="D2253" t="s">
        <v>10397</v>
      </c>
      <c r="F2253" t="s">
        <v>10477</v>
      </c>
      <c r="G2253" t="s">
        <v>6932</v>
      </c>
      <c r="H2253">
        <v>5</v>
      </c>
      <c r="I2253">
        <f>VLOOKUP(B2253,BRAND!B:D,3,FALSE)</f>
        <v>5</v>
      </c>
      <c r="J2253">
        <f>LEN(F2253)</f>
        <v>20</v>
      </c>
      <c r="L2253">
        <v>0</v>
      </c>
    </row>
    <row r="2254" spans="1:13">
      <c r="A2254" t="s">
        <v>10478</v>
      </c>
      <c r="B2254" t="s">
        <v>10325</v>
      </c>
      <c r="C2254" s="34" t="s">
        <v>10479</v>
      </c>
      <c r="D2254" t="s">
        <v>10397</v>
      </c>
      <c r="F2254" t="s">
        <v>10480</v>
      </c>
      <c r="G2254" t="s">
        <v>6932</v>
      </c>
      <c r="H2254">
        <v>5</v>
      </c>
      <c r="I2254">
        <f>VLOOKUP(B2254,BRAND!B:D,3,FALSE)</f>
        <v>5</v>
      </c>
      <c r="J2254">
        <f>LEN(F2254)</f>
        <v>15</v>
      </c>
      <c r="L2254">
        <v>0</v>
      </c>
    </row>
    <row r="2255" spans="1:13">
      <c r="A2255" t="s">
        <v>10481</v>
      </c>
      <c r="B2255" t="s">
        <v>10325</v>
      </c>
      <c r="C2255" s="34" t="s">
        <v>994</v>
      </c>
      <c r="D2255" t="s">
        <v>10397</v>
      </c>
      <c r="F2255" t="s">
        <v>994</v>
      </c>
      <c r="G2255" t="s">
        <v>6932</v>
      </c>
      <c r="H2255">
        <v>5</v>
      </c>
      <c r="I2255">
        <f>VLOOKUP(B2255,BRAND!B:D,3,FALSE)</f>
        <v>5</v>
      </c>
      <c r="J2255">
        <f>LEN(F2255)</f>
        <v>10</v>
      </c>
      <c r="L2255">
        <v>0</v>
      </c>
    </row>
    <row r="2256" spans="1:13">
      <c r="A2256" t="s">
        <v>10475</v>
      </c>
      <c r="B2256" t="s">
        <v>10325</v>
      </c>
      <c r="C2256" s="34" t="s">
        <v>761</v>
      </c>
      <c r="D2256" t="s">
        <v>10397</v>
      </c>
      <c r="F2256" t="s">
        <v>761</v>
      </c>
      <c r="G2256" t="s">
        <v>6932</v>
      </c>
      <c r="H2256">
        <v>5</v>
      </c>
      <c r="I2256">
        <f>VLOOKUP(B2256,BRAND!B:D,3,FALSE)</f>
        <v>5</v>
      </c>
      <c r="J2256">
        <f>LEN(F2256)</f>
        <v>5</v>
      </c>
      <c r="L2256">
        <v>0</v>
      </c>
    </row>
    <row r="2257" spans="1:13">
      <c r="A2257" t="s">
        <v>10238</v>
      </c>
      <c r="B2257" t="s">
        <v>1027</v>
      </c>
      <c r="C2257" s="34" t="s">
        <v>1438</v>
      </c>
      <c r="F2257" t="s">
        <v>1438</v>
      </c>
      <c r="H2257">
        <v>5</v>
      </c>
      <c r="I2257">
        <f>VLOOKUP(B2257,BRAND!B:D,3,FALSE)</f>
        <v>3</v>
      </c>
      <c r="J2257">
        <v>3</v>
      </c>
      <c r="L2257">
        <v>1</v>
      </c>
    </row>
    <row r="2258" spans="1:13">
      <c r="A2258" t="s">
        <v>14430</v>
      </c>
      <c r="B2258" t="s">
        <v>1438</v>
      </c>
      <c r="C2258" s="34" t="s">
        <v>1438</v>
      </c>
      <c r="F2258" t="s">
        <v>1438</v>
      </c>
      <c r="G2258" t="s">
        <v>6932</v>
      </c>
      <c r="H2258">
        <v>5</v>
      </c>
      <c r="I2258">
        <f>VLOOKUP(B2258,BRAND!B:D,3,FALSE)</f>
        <v>0</v>
      </c>
      <c r="J2258">
        <f t="shared" ref="J2258:J2286" si="27">LEN(F2258)</f>
        <v>4</v>
      </c>
      <c r="K2258" t="s">
        <v>821</v>
      </c>
      <c r="L2258">
        <v>0</v>
      </c>
      <c r="M2258">
        <v>1</v>
      </c>
    </row>
    <row r="2259" spans="1:13">
      <c r="A2259" t="s">
        <v>14432</v>
      </c>
      <c r="B2259" t="s">
        <v>1438</v>
      </c>
      <c r="C2259" s="34" t="s">
        <v>1438</v>
      </c>
      <c r="F2259" t="s">
        <v>1438</v>
      </c>
      <c r="G2259" t="s">
        <v>801</v>
      </c>
      <c r="H2259">
        <v>5</v>
      </c>
      <c r="I2259">
        <f>VLOOKUP(B2259,BRAND!B:D,3,FALSE)</f>
        <v>0</v>
      </c>
      <c r="J2259">
        <f t="shared" si="27"/>
        <v>4</v>
      </c>
      <c r="K2259" t="s">
        <v>821</v>
      </c>
      <c r="L2259">
        <v>0</v>
      </c>
      <c r="M2259">
        <v>1</v>
      </c>
    </row>
    <row r="2260" spans="1:13">
      <c r="A2260" t="s">
        <v>14430</v>
      </c>
      <c r="B2260" t="s">
        <v>1438</v>
      </c>
      <c r="C2260" s="34" t="s">
        <v>1438</v>
      </c>
      <c r="F2260" t="s">
        <v>1438</v>
      </c>
      <c r="G2260" t="s">
        <v>6932</v>
      </c>
      <c r="H2260">
        <v>5</v>
      </c>
      <c r="I2260">
        <f>VLOOKUP(B2260,BRAND!B:D,3,FALSE)</f>
        <v>0</v>
      </c>
      <c r="J2260">
        <f t="shared" si="27"/>
        <v>4</v>
      </c>
      <c r="K2260" t="s">
        <v>821</v>
      </c>
      <c r="L2260">
        <v>0</v>
      </c>
      <c r="M2260">
        <v>1</v>
      </c>
    </row>
    <row r="2261" spans="1:13">
      <c r="A2261" t="s">
        <v>14651</v>
      </c>
      <c r="B2261" t="s">
        <v>14624</v>
      </c>
      <c r="C2261" s="34" t="s">
        <v>14649</v>
      </c>
      <c r="F2261" t="s">
        <v>14652</v>
      </c>
      <c r="G2261" t="s">
        <v>6932</v>
      </c>
      <c r="H2261">
        <v>5</v>
      </c>
      <c r="I2261">
        <f>VLOOKUP(B2261,BRAND!B:D,3,FALSE)</f>
        <v>0</v>
      </c>
      <c r="J2261">
        <f t="shared" si="27"/>
        <v>19</v>
      </c>
      <c r="K2261" t="s">
        <v>821</v>
      </c>
      <c r="L2261">
        <v>0</v>
      </c>
      <c r="M2261">
        <v>1</v>
      </c>
    </row>
    <row r="2262" spans="1:13">
      <c r="A2262" t="s">
        <v>14646</v>
      </c>
      <c r="B2262" t="s">
        <v>14624</v>
      </c>
      <c r="C2262" s="34" t="s">
        <v>10161</v>
      </c>
      <c r="F2262" t="s">
        <v>14647</v>
      </c>
      <c r="G2262" t="s">
        <v>6932</v>
      </c>
      <c r="H2262">
        <v>5</v>
      </c>
      <c r="I2262">
        <f>VLOOKUP(B2262,BRAND!B:D,3,FALSE)</f>
        <v>0</v>
      </c>
      <c r="J2262">
        <f t="shared" si="27"/>
        <v>16</v>
      </c>
      <c r="K2262" t="s">
        <v>821</v>
      </c>
      <c r="L2262">
        <v>0</v>
      </c>
      <c r="M2262">
        <v>1</v>
      </c>
    </row>
    <row r="2263" spans="1:13">
      <c r="A2263" t="s">
        <v>14654</v>
      </c>
      <c r="B2263" t="s">
        <v>14624</v>
      </c>
      <c r="C2263" s="34" t="s">
        <v>14655</v>
      </c>
      <c r="F2263" t="s">
        <v>14655</v>
      </c>
      <c r="G2263" t="s">
        <v>6932</v>
      </c>
      <c r="H2263">
        <v>5</v>
      </c>
      <c r="I2263">
        <f>VLOOKUP(B2263,BRAND!B:D,3,FALSE)</f>
        <v>0</v>
      </c>
      <c r="J2263">
        <f t="shared" si="27"/>
        <v>16</v>
      </c>
      <c r="K2263" t="s">
        <v>821</v>
      </c>
      <c r="L2263">
        <v>0</v>
      </c>
      <c r="M2263">
        <v>1</v>
      </c>
    </row>
    <row r="2264" spans="1:13">
      <c r="A2264" t="s">
        <v>14648</v>
      </c>
      <c r="B2264" t="s">
        <v>14624</v>
      </c>
      <c r="C2264" s="34" t="s">
        <v>14649</v>
      </c>
      <c r="F2264" t="s">
        <v>14650</v>
      </c>
      <c r="G2264" t="s">
        <v>6932</v>
      </c>
      <c r="H2264">
        <v>5</v>
      </c>
      <c r="I2264">
        <f>VLOOKUP(B2264,BRAND!B:D,3,FALSE)</f>
        <v>0</v>
      </c>
      <c r="J2264">
        <f t="shared" si="27"/>
        <v>15</v>
      </c>
      <c r="K2264" t="s">
        <v>821</v>
      </c>
      <c r="L2264">
        <v>0</v>
      </c>
      <c r="M2264">
        <v>1</v>
      </c>
    </row>
    <row r="2265" spans="1:13">
      <c r="A2265" t="s">
        <v>14658</v>
      </c>
      <c r="B2265" t="s">
        <v>14624</v>
      </c>
      <c r="C2265" s="34" t="s">
        <v>1999</v>
      </c>
      <c r="F2265" t="s">
        <v>7855</v>
      </c>
      <c r="G2265" t="s">
        <v>6932</v>
      </c>
      <c r="H2265">
        <v>5</v>
      </c>
      <c r="I2265">
        <f>VLOOKUP(B2265,BRAND!B:D,3,FALSE)</f>
        <v>0</v>
      </c>
      <c r="J2265">
        <f t="shared" si="27"/>
        <v>11</v>
      </c>
      <c r="K2265" t="s">
        <v>821</v>
      </c>
      <c r="L2265">
        <v>0</v>
      </c>
      <c r="M2265">
        <v>1</v>
      </c>
    </row>
    <row r="2266" spans="1:13">
      <c r="A2266" t="s">
        <v>14632</v>
      </c>
      <c r="B2266" t="s">
        <v>14624</v>
      </c>
      <c r="C2266" s="34" t="s">
        <v>14633</v>
      </c>
      <c r="F2266" t="s">
        <v>14633</v>
      </c>
      <c r="G2266" t="s">
        <v>6932</v>
      </c>
      <c r="H2266">
        <v>5</v>
      </c>
      <c r="I2266">
        <f>VLOOKUP(B2266,BRAND!B:D,3,FALSE)</f>
        <v>0</v>
      </c>
      <c r="J2266">
        <f t="shared" si="27"/>
        <v>10</v>
      </c>
      <c r="K2266" t="s">
        <v>821</v>
      </c>
      <c r="L2266">
        <v>0</v>
      </c>
      <c r="M2266">
        <v>1</v>
      </c>
    </row>
    <row r="2267" spans="1:13">
      <c r="A2267" t="s">
        <v>14656</v>
      </c>
      <c r="B2267" t="s">
        <v>14624</v>
      </c>
      <c r="C2267" s="34" t="s">
        <v>14657</v>
      </c>
      <c r="F2267" t="s">
        <v>14657</v>
      </c>
      <c r="G2267" t="s">
        <v>6932</v>
      </c>
      <c r="H2267">
        <v>5</v>
      </c>
      <c r="I2267">
        <f>VLOOKUP(B2267,BRAND!B:D,3,FALSE)</f>
        <v>0</v>
      </c>
      <c r="J2267">
        <f t="shared" si="27"/>
        <v>9</v>
      </c>
      <c r="K2267" t="s">
        <v>821</v>
      </c>
      <c r="L2267">
        <v>0</v>
      </c>
      <c r="M2267">
        <v>1</v>
      </c>
    </row>
    <row r="2268" spans="1:13">
      <c r="A2268" t="s">
        <v>14623</v>
      </c>
      <c r="B2268" t="s">
        <v>14624</v>
      </c>
      <c r="C2268" s="34" t="s">
        <v>14625</v>
      </c>
      <c r="F2268" t="s">
        <v>14626</v>
      </c>
      <c r="G2268" t="s">
        <v>6932</v>
      </c>
      <c r="H2268">
        <v>5</v>
      </c>
      <c r="I2268">
        <f>VLOOKUP(B2268,BRAND!B:D,3,FALSE)</f>
        <v>0</v>
      </c>
      <c r="J2268">
        <f t="shared" si="27"/>
        <v>9</v>
      </c>
      <c r="K2268" t="s">
        <v>821</v>
      </c>
      <c r="L2268">
        <v>0</v>
      </c>
      <c r="M2268">
        <v>1</v>
      </c>
    </row>
    <row r="2269" spans="1:13">
      <c r="A2269" t="s">
        <v>14653</v>
      </c>
      <c r="B2269" t="s">
        <v>14624</v>
      </c>
      <c r="C2269" s="34" t="s">
        <v>6933</v>
      </c>
      <c r="F2269" t="s">
        <v>6933</v>
      </c>
      <c r="G2269" t="s">
        <v>6932</v>
      </c>
      <c r="H2269">
        <v>5</v>
      </c>
      <c r="I2269">
        <f>VLOOKUP(B2269,BRAND!B:D,3,FALSE)</f>
        <v>0</v>
      </c>
      <c r="J2269">
        <f t="shared" si="27"/>
        <v>8</v>
      </c>
      <c r="K2269" t="s">
        <v>821</v>
      </c>
      <c r="L2269">
        <v>0</v>
      </c>
      <c r="M2269">
        <v>1</v>
      </c>
    </row>
    <row r="2270" spans="1:13">
      <c r="A2270" t="s">
        <v>14630</v>
      </c>
      <c r="B2270" t="s">
        <v>14624</v>
      </c>
      <c r="C2270" s="34" t="s">
        <v>776</v>
      </c>
      <c r="F2270" t="s">
        <v>12474</v>
      </c>
      <c r="G2270" t="s">
        <v>6932</v>
      </c>
      <c r="H2270">
        <v>5</v>
      </c>
      <c r="I2270">
        <f>VLOOKUP(B2270,BRAND!B:D,3,FALSE)</f>
        <v>0</v>
      </c>
      <c r="J2270">
        <f t="shared" si="27"/>
        <v>7</v>
      </c>
      <c r="K2270" t="s">
        <v>821</v>
      </c>
      <c r="L2270">
        <v>0</v>
      </c>
      <c r="M2270">
        <v>1</v>
      </c>
    </row>
    <row r="2271" spans="1:13">
      <c r="A2271" t="s">
        <v>14630</v>
      </c>
      <c r="B2271" t="s">
        <v>14624</v>
      </c>
      <c r="C2271" s="34" t="s">
        <v>776</v>
      </c>
      <c r="F2271" t="s">
        <v>12474</v>
      </c>
      <c r="G2271" t="s">
        <v>6932</v>
      </c>
      <c r="H2271">
        <v>5</v>
      </c>
      <c r="I2271">
        <f>VLOOKUP(B2271,BRAND!B:D,3,FALSE)</f>
        <v>0</v>
      </c>
      <c r="J2271">
        <f t="shared" si="27"/>
        <v>7</v>
      </c>
      <c r="K2271" t="s">
        <v>821</v>
      </c>
      <c r="L2271">
        <v>0</v>
      </c>
      <c r="M2271">
        <v>1</v>
      </c>
    </row>
    <row r="2272" spans="1:13">
      <c r="A2272" t="s">
        <v>14659</v>
      </c>
      <c r="B2272" t="s">
        <v>14624</v>
      </c>
      <c r="C2272" s="34" t="s">
        <v>977</v>
      </c>
      <c r="F2272" t="s">
        <v>534</v>
      </c>
      <c r="G2272" t="s">
        <v>6932</v>
      </c>
      <c r="H2272">
        <v>5</v>
      </c>
      <c r="I2272">
        <f>VLOOKUP(B2272,BRAND!B:D,3,FALSE)</f>
        <v>0</v>
      </c>
      <c r="J2272">
        <f t="shared" si="27"/>
        <v>6</v>
      </c>
      <c r="K2272" t="s">
        <v>821</v>
      </c>
      <c r="L2272">
        <v>0</v>
      </c>
      <c r="M2272">
        <v>1</v>
      </c>
    </row>
    <row r="2273" spans="1:13">
      <c r="A2273" t="s">
        <v>14641</v>
      </c>
      <c r="B2273" t="s">
        <v>14624</v>
      </c>
      <c r="C2273" s="34" t="s">
        <v>898</v>
      </c>
      <c r="F2273" t="s">
        <v>898</v>
      </c>
      <c r="G2273" t="s">
        <v>6932</v>
      </c>
      <c r="H2273">
        <v>5</v>
      </c>
      <c r="I2273">
        <f>VLOOKUP(B2273,BRAND!B:D,3,FALSE)</f>
        <v>0</v>
      </c>
      <c r="J2273">
        <f t="shared" si="27"/>
        <v>6</v>
      </c>
      <c r="K2273" t="s">
        <v>821</v>
      </c>
      <c r="L2273">
        <v>0</v>
      </c>
      <c r="M2273">
        <v>1</v>
      </c>
    </row>
    <row r="2274" spans="1:13">
      <c r="A2274" t="s">
        <v>14637</v>
      </c>
      <c r="B2274" t="s">
        <v>14624</v>
      </c>
      <c r="C2274" s="34" t="s">
        <v>852</v>
      </c>
      <c r="F2274" t="s">
        <v>852</v>
      </c>
      <c r="G2274" t="s">
        <v>6932</v>
      </c>
      <c r="H2274">
        <v>5</v>
      </c>
      <c r="I2274">
        <f>VLOOKUP(B2274,BRAND!B:D,3,FALSE)</f>
        <v>0</v>
      </c>
      <c r="J2274">
        <f t="shared" si="27"/>
        <v>6</v>
      </c>
      <c r="K2274" t="s">
        <v>821</v>
      </c>
      <c r="L2274">
        <v>0</v>
      </c>
      <c r="M2274">
        <v>1</v>
      </c>
    </row>
    <row r="2275" spans="1:13">
      <c r="A2275" t="s">
        <v>14629</v>
      </c>
      <c r="B2275" t="s">
        <v>14624</v>
      </c>
      <c r="C2275" s="34" t="s">
        <v>10023</v>
      </c>
      <c r="F2275" t="s">
        <v>10023</v>
      </c>
      <c r="G2275" t="s">
        <v>6932</v>
      </c>
      <c r="H2275">
        <v>5</v>
      </c>
      <c r="I2275">
        <f>VLOOKUP(B2275,BRAND!B:D,3,FALSE)</f>
        <v>0</v>
      </c>
      <c r="J2275">
        <f t="shared" si="27"/>
        <v>6</v>
      </c>
      <c r="K2275" t="s">
        <v>821</v>
      </c>
      <c r="L2275">
        <v>0</v>
      </c>
      <c r="M2275">
        <v>1</v>
      </c>
    </row>
    <row r="2276" spans="1:13">
      <c r="A2276" t="s">
        <v>14629</v>
      </c>
      <c r="B2276" t="s">
        <v>14624</v>
      </c>
      <c r="C2276" s="34" t="s">
        <v>14636</v>
      </c>
      <c r="F2276" t="s">
        <v>10023</v>
      </c>
      <c r="G2276" t="s">
        <v>6932</v>
      </c>
      <c r="H2276">
        <v>5</v>
      </c>
      <c r="I2276">
        <f>VLOOKUP(B2276,BRAND!B:D,3,FALSE)</f>
        <v>0</v>
      </c>
      <c r="J2276">
        <f t="shared" si="27"/>
        <v>6</v>
      </c>
      <c r="K2276" t="s">
        <v>821</v>
      </c>
      <c r="L2276">
        <v>0</v>
      </c>
      <c r="M2276">
        <v>1</v>
      </c>
    </row>
    <row r="2277" spans="1:13">
      <c r="A2277" t="s">
        <v>14644</v>
      </c>
      <c r="B2277" t="s">
        <v>14624</v>
      </c>
      <c r="C2277" s="34" t="s">
        <v>14645</v>
      </c>
      <c r="F2277" t="s">
        <v>14645</v>
      </c>
      <c r="G2277" t="s">
        <v>6932</v>
      </c>
      <c r="H2277">
        <v>5</v>
      </c>
      <c r="I2277">
        <f>VLOOKUP(B2277,BRAND!B:D,3,FALSE)</f>
        <v>0</v>
      </c>
      <c r="J2277">
        <f t="shared" si="27"/>
        <v>5</v>
      </c>
      <c r="K2277" t="s">
        <v>821</v>
      </c>
      <c r="L2277">
        <v>0</v>
      </c>
      <c r="M2277">
        <v>1</v>
      </c>
    </row>
    <row r="2278" spans="1:13">
      <c r="A2278" t="s">
        <v>14639</v>
      </c>
      <c r="B2278" t="s">
        <v>14624</v>
      </c>
      <c r="C2278" s="34" t="s">
        <v>913</v>
      </c>
      <c r="F2278" t="s">
        <v>913</v>
      </c>
      <c r="G2278" t="s">
        <v>6932</v>
      </c>
      <c r="H2278">
        <v>5</v>
      </c>
      <c r="I2278">
        <f>VLOOKUP(B2278,BRAND!B:D,3,FALSE)</f>
        <v>0</v>
      </c>
      <c r="J2278">
        <f t="shared" si="27"/>
        <v>5</v>
      </c>
      <c r="K2278" t="s">
        <v>821</v>
      </c>
      <c r="L2278">
        <v>0</v>
      </c>
      <c r="M2278">
        <v>1</v>
      </c>
    </row>
    <row r="2279" spans="1:13">
      <c r="A2279" t="s">
        <v>14628</v>
      </c>
      <c r="B2279" t="s">
        <v>14624</v>
      </c>
      <c r="C2279" s="34" t="s">
        <v>13890</v>
      </c>
      <c r="F2279" t="s">
        <v>536</v>
      </c>
      <c r="G2279" t="s">
        <v>6932</v>
      </c>
      <c r="H2279">
        <v>5</v>
      </c>
      <c r="I2279">
        <f>VLOOKUP(B2279,BRAND!B:D,3,FALSE)</f>
        <v>0</v>
      </c>
      <c r="J2279">
        <f t="shared" si="27"/>
        <v>5</v>
      </c>
      <c r="K2279" t="s">
        <v>821</v>
      </c>
      <c r="L2279">
        <v>0</v>
      </c>
      <c r="M2279">
        <v>1</v>
      </c>
    </row>
    <row r="2280" spans="1:13">
      <c r="A2280" t="s">
        <v>14628</v>
      </c>
      <c r="B2280" t="s">
        <v>14624</v>
      </c>
      <c r="C2280" s="34" t="s">
        <v>536</v>
      </c>
      <c r="F2280" t="s">
        <v>536</v>
      </c>
      <c r="G2280" t="s">
        <v>6932</v>
      </c>
      <c r="H2280">
        <v>5</v>
      </c>
      <c r="I2280">
        <f>VLOOKUP(B2280,BRAND!B:D,3,FALSE)</f>
        <v>0</v>
      </c>
      <c r="J2280">
        <f t="shared" si="27"/>
        <v>5</v>
      </c>
      <c r="K2280" t="s">
        <v>821</v>
      </c>
      <c r="L2280">
        <v>0</v>
      </c>
      <c r="M2280">
        <v>1</v>
      </c>
    </row>
    <row r="2281" spans="1:13">
      <c r="A2281" t="s">
        <v>14631</v>
      </c>
      <c r="B2281" t="s">
        <v>14624</v>
      </c>
      <c r="C2281" s="34" t="s">
        <v>842</v>
      </c>
      <c r="F2281" t="s">
        <v>14128</v>
      </c>
      <c r="G2281" t="s">
        <v>6932</v>
      </c>
      <c r="H2281">
        <v>5</v>
      </c>
      <c r="I2281">
        <f>VLOOKUP(B2281,BRAND!B:D,3,FALSE)</f>
        <v>0</v>
      </c>
      <c r="J2281">
        <f t="shared" si="27"/>
        <v>5</v>
      </c>
      <c r="K2281" t="s">
        <v>821</v>
      </c>
      <c r="L2281">
        <v>0</v>
      </c>
      <c r="M2281">
        <v>1</v>
      </c>
    </row>
    <row r="2282" spans="1:13">
      <c r="A2282" t="s">
        <v>14642</v>
      </c>
      <c r="B2282" t="s">
        <v>14624</v>
      </c>
      <c r="C2282" s="34" t="s">
        <v>14643</v>
      </c>
      <c r="F2282" t="s">
        <v>14643</v>
      </c>
      <c r="G2282" t="s">
        <v>6932</v>
      </c>
      <c r="H2282">
        <v>5</v>
      </c>
      <c r="I2282">
        <f>VLOOKUP(B2282,BRAND!B:D,3,FALSE)</f>
        <v>0</v>
      </c>
      <c r="J2282">
        <f t="shared" si="27"/>
        <v>5</v>
      </c>
      <c r="K2282" t="s">
        <v>821</v>
      </c>
      <c r="L2282">
        <v>0</v>
      </c>
      <c r="M2282">
        <v>1</v>
      </c>
    </row>
    <row r="2283" spans="1:13">
      <c r="A2283" t="s">
        <v>14634</v>
      </c>
      <c r="B2283" t="s">
        <v>14624</v>
      </c>
      <c r="C2283" s="34" t="s">
        <v>14635</v>
      </c>
      <c r="F2283" t="s">
        <v>14635</v>
      </c>
      <c r="G2283" t="s">
        <v>6932</v>
      </c>
      <c r="H2283">
        <v>5</v>
      </c>
      <c r="I2283">
        <f>VLOOKUP(B2283,BRAND!B:D,3,FALSE)</f>
        <v>0</v>
      </c>
      <c r="J2283">
        <f t="shared" si="27"/>
        <v>4</v>
      </c>
      <c r="K2283" t="s">
        <v>821</v>
      </c>
      <c r="L2283">
        <v>0</v>
      </c>
      <c r="M2283">
        <v>1</v>
      </c>
    </row>
    <row r="2284" spans="1:13">
      <c r="A2284" t="s">
        <v>14640</v>
      </c>
      <c r="B2284" t="s">
        <v>14624</v>
      </c>
      <c r="C2284" s="34" t="s">
        <v>788</v>
      </c>
      <c r="F2284" t="s">
        <v>788</v>
      </c>
      <c r="G2284" t="s">
        <v>6932</v>
      </c>
      <c r="H2284">
        <v>5</v>
      </c>
      <c r="I2284">
        <f>VLOOKUP(B2284,BRAND!B:D,3,FALSE)</f>
        <v>0</v>
      </c>
      <c r="J2284">
        <f t="shared" si="27"/>
        <v>4</v>
      </c>
      <c r="K2284" t="s">
        <v>821</v>
      </c>
      <c r="L2284">
        <v>0</v>
      </c>
      <c r="M2284">
        <v>1</v>
      </c>
    </row>
    <row r="2285" spans="1:13">
      <c r="A2285" t="s">
        <v>14627</v>
      </c>
      <c r="B2285" t="s">
        <v>14624</v>
      </c>
      <c r="C2285" s="34" t="s">
        <v>561</v>
      </c>
      <c r="F2285" t="s">
        <v>561</v>
      </c>
      <c r="G2285" t="s">
        <v>6932</v>
      </c>
      <c r="H2285">
        <v>5</v>
      </c>
      <c r="I2285">
        <f>VLOOKUP(B2285,BRAND!B:D,3,FALSE)</f>
        <v>0</v>
      </c>
      <c r="J2285">
        <f t="shared" si="27"/>
        <v>3</v>
      </c>
      <c r="K2285" t="s">
        <v>821</v>
      </c>
      <c r="L2285">
        <v>0</v>
      </c>
      <c r="M2285">
        <v>1</v>
      </c>
    </row>
    <row r="2286" spans="1:13">
      <c r="A2286" t="s">
        <v>14627</v>
      </c>
      <c r="B2286" t="s">
        <v>14624</v>
      </c>
      <c r="C2286" s="34" t="s">
        <v>14638</v>
      </c>
      <c r="F2286" t="s">
        <v>561</v>
      </c>
      <c r="G2286" t="s">
        <v>6932</v>
      </c>
      <c r="H2286">
        <v>5</v>
      </c>
      <c r="I2286">
        <f>VLOOKUP(B2286,BRAND!B:D,3,FALSE)</f>
        <v>0</v>
      </c>
      <c r="J2286">
        <f t="shared" si="27"/>
        <v>3</v>
      </c>
      <c r="K2286" t="s">
        <v>821</v>
      </c>
      <c r="L2286">
        <v>0</v>
      </c>
      <c r="M2286">
        <v>1</v>
      </c>
    </row>
    <row r="2287" spans="1:13">
      <c r="A2287" t="s">
        <v>5194</v>
      </c>
      <c r="B2287" t="s">
        <v>255</v>
      </c>
      <c r="C2287" s="34" t="s">
        <v>787</v>
      </c>
      <c r="F2287" t="s">
        <v>787</v>
      </c>
      <c r="H2287">
        <v>3</v>
      </c>
      <c r="I2287">
        <f>VLOOKUP(B2287,BRAND!B:D,3,FALSE)</f>
        <v>3</v>
      </c>
      <c r="J2287">
        <v>6</v>
      </c>
      <c r="K2287" t="s">
        <v>821</v>
      </c>
      <c r="M2287">
        <v>1</v>
      </c>
    </row>
    <row r="2288" spans="1:13">
      <c r="A2288" t="s">
        <v>5196</v>
      </c>
      <c r="B2288" t="s">
        <v>255</v>
      </c>
      <c r="C2288" s="34" t="s">
        <v>5247</v>
      </c>
      <c r="F2288" t="s">
        <v>976</v>
      </c>
      <c r="H2288">
        <v>4</v>
      </c>
      <c r="I2288">
        <f>VLOOKUP(B2288,BRAND!B:D,3,FALSE)</f>
        <v>3</v>
      </c>
      <c r="J2288">
        <f>LEN(F2288)</f>
        <v>12</v>
      </c>
      <c r="K2288" t="s">
        <v>821</v>
      </c>
      <c r="M2288">
        <v>1</v>
      </c>
    </row>
    <row r="2289" spans="1:13">
      <c r="A2289" t="s">
        <v>5195</v>
      </c>
      <c r="B2289" t="s">
        <v>255</v>
      </c>
      <c r="C2289" s="34" t="s">
        <v>5246</v>
      </c>
      <c r="F2289" t="s">
        <v>536</v>
      </c>
      <c r="H2289">
        <v>6</v>
      </c>
      <c r="I2289">
        <f>VLOOKUP(B2289,BRAND!B:D,3,FALSE)</f>
        <v>3</v>
      </c>
      <c r="J2289">
        <v>5</v>
      </c>
      <c r="K2289" t="s">
        <v>821</v>
      </c>
      <c r="M2289">
        <v>1</v>
      </c>
    </row>
    <row r="2290" spans="1:13">
      <c r="A2290" t="s">
        <v>5009</v>
      </c>
      <c r="B2290" t="s">
        <v>255</v>
      </c>
      <c r="C2290" s="34" t="s">
        <v>5235</v>
      </c>
      <c r="F2290" t="s">
        <v>1438</v>
      </c>
      <c r="G2290" t="s">
        <v>801</v>
      </c>
      <c r="H2290">
        <v>6</v>
      </c>
      <c r="I2290">
        <f>VLOOKUP(B2290,BRAND!B:D,3,FALSE)</f>
        <v>3</v>
      </c>
      <c r="J2290">
        <v>4</v>
      </c>
      <c r="K2290" t="s">
        <v>821</v>
      </c>
      <c r="M2290">
        <v>1</v>
      </c>
    </row>
    <row r="2291" spans="1:13">
      <c r="A2291" t="s">
        <v>3663</v>
      </c>
      <c r="B2291" t="s">
        <v>43</v>
      </c>
      <c r="C2291" s="34" t="s">
        <v>5248</v>
      </c>
      <c r="F2291" t="s">
        <v>791</v>
      </c>
      <c r="H2291">
        <v>5</v>
      </c>
      <c r="I2291">
        <f>VLOOKUP(B2291,BRAND!B:D,3,FALSE)</f>
        <v>3</v>
      </c>
      <c r="J2291">
        <v>5</v>
      </c>
      <c r="K2291" t="s">
        <v>821</v>
      </c>
      <c r="M2291">
        <v>1</v>
      </c>
    </row>
    <row r="2292" spans="1:13">
      <c r="A2292" t="s">
        <v>9626</v>
      </c>
      <c r="B2292" t="s">
        <v>43</v>
      </c>
      <c r="C2292" s="34" t="s">
        <v>2000</v>
      </c>
      <c r="F2292" t="s">
        <v>2000</v>
      </c>
      <c r="G2292" t="s">
        <v>6932</v>
      </c>
      <c r="H2292">
        <v>5</v>
      </c>
      <c r="I2292">
        <f>VLOOKUP(B2292,BRAND!B:D,3,FALSE)</f>
        <v>3</v>
      </c>
      <c r="J2292">
        <v>5</v>
      </c>
      <c r="M2292">
        <v>1</v>
      </c>
    </row>
    <row r="2293" spans="1:13">
      <c r="A2293" t="s">
        <v>6546</v>
      </c>
      <c r="B2293" t="s">
        <v>43</v>
      </c>
      <c r="C2293" s="34" t="s">
        <v>5248</v>
      </c>
      <c r="F2293" t="s">
        <v>791</v>
      </c>
      <c r="G2293" t="s">
        <v>801</v>
      </c>
      <c r="H2293">
        <v>6</v>
      </c>
      <c r="I2293">
        <f>VLOOKUP(B2293,BRAND!B:D,3,FALSE)</f>
        <v>3</v>
      </c>
      <c r="J2293">
        <v>5</v>
      </c>
      <c r="K2293" t="s">
        <v>821</v>
      </c>
      <c r="M2293">
        <v>1</v>
      </c>
    </row>
    <row r="2294" spans="1:13">
      <c r="A2294" t="s">
        <v>7206</v>
      </c>
      <c r="B2294" t="s">
        <v>7207</v>
      </c>
      <c r="C2294" s="34" t="s">
        <v>1438</v>
      </c>
      <c r="F2294" t="s">
        <v>1438</v>
      </c>
      <c r="H2294">
        <v>5</v>
      </c>
      <c r="I2294">
        <f>VLOOKUP(B2294,BRAND!B:D,3,FALSE)</f>
        <v>5.5</v>
      </c>
      <c r="M2294">
        <v>1</v>
      </c>
    </row>
    <row r="2295" spans="1:13">
      <c r="A2295" t="s">
        <v>5469</v>
      </c>
      <c r="B2295" t="s">
        <v>256</v>
      </c>
      <c r="C2295" s="34" t="s">
        <v>5470</v>
      </c>
      <c r="F2295" t="s">
        <v>789</v>
      </c>
      <c r="H2295">
        <v>3</v>
      </c>
      <c r="I2295">
        <f>VLOOKUP(B2295,BRAND!B:D,3,FALSE)</f>
        <v>3</v>
      </c>
      <c r="J2295">
        <f>LEN(F2295)</f>
        <v>12</v>
      </c>
      <c r="K2295" t="s">
        <v>821</v>
      </c>
      <c r="M2295">
        <v>1</v>
      </c>
    </row>
    <row r="2296" spans="1:13">
      <c r="A2296" t="s">
        <v>4105</v>
      </c>
      <c r="B2296" t="s">
        <v>256</v>
      </c>
      <c r="C2296" s="34" t="s">
        <v>794</v>
      </c>
      <c r="F2296" t="s">
        <v>794</v>
      </c>
      <c r="H2296">
        <v>3</v>
      </c>
      <c r="I2296">
        <f>VLOOKUP(B2296,BRAND!B:D,3,FALSE)</f>
        <v>3</v>
      </c>
      <c r="J2296">
        <f>LEN(F2296)</f>
        <v>10</v>
      </c>
      <c r="K2296" t="s">
        <v>821</v>
      </c>
      <c r="M2296">
        <v>0</v>
      </c>
    </row>
    <row r="2297" spans="1:13">
      <c r="A2297" t="s">
        <v>5202</v>
      </c>
      <c r="B2297" t="s">
        <v>256</v>
      </c>
      <c r="C2297" s="34" t="s">
        <v>785</v>
      </c>
      <c r="F2297" t="s">
        <v>785</v>
      </c>
      <c r="H2297">
        <v>3</v>
      </c>
      <c r="I2297">
        <f>VLOOKUP(B2297,BRAND!B:D,3,FALSE)</f>
        <v>3</v>
      </c>
      <c r="J2297">
        <v>5</v>
      </c>
      <c r="K2297" t="s">
        <v>821</v>
      </c>
      <c r="M2297">
        <v>1</v>
      </c>
    </row>
    <row r="2298" spans="1:13">
      <c r="A2298" t="s">
        <v>5198</v>
      </c>
      <c r="B2298" t="s">
        <v>256</v>
      </c>
      <c r="C2298" s="34" t="s">
        <v>903</v>
      </c>
      <c r="F2298" t="s">
        <v>903</v>
      </c>
      <c r="H2298">
        <v>3</v>
      </c>
      <c r="I2298">
        <f>VLOOKUP(B2298,BRAND!B:D,3,FALSE)</f>
        <v>3</v>
      </c>
      <c r="J2298">
        <v>4</v>
      </c>
      <c r="K2298" t="s">
        <v>821</v>
      </c>
      <c r="M2298">
        <v>0</v>
      </c>
    </row>
    <row r="2299" spans="1:13">
      <c r="A2299" t="s">
        <v>5197</v>
      </c>
      <c r="B2299" t="s">
        <v>256</v>
      </c>
      <c r="C2299" s="34" t="s">
        <v>781</v>
      </c>
      <c r="F2299" t="s">
        <v>781</v>
      </c>
      <c r="H2299">
        <v>3</v>
      </c>
      <c r="I2299">
        <f>VLOOKUP(B2299,BRAND!B:D,3,FALSE)</f>
        <v>3</v>
      </c>
      <c r="J2299">
        <v>4</v>
      </c>
      <c r="K2299" t="s">
        <v>821</v>
      </c>
      <c r="M2299">
        <v>1</v>
      </c>
    </row>
    <row r="2300" spans="1:13">
      <c r="A2300" t="s">
        <v>5200</v>
      </c>
      <c r="B2300" t="s">
        <v>256</v>
      </c>
      <c r="C2300" s="34" t="s">
        <v>5249</v>
      </c>
      <c r="F2300" t="s">
        <v>5201</v>
      </c>
      <c r="H2300">
        <v>4</v>
      </c>
      <c r="I2300">
        <f>VLOOKUP(B2300,BRAND!B:D,3,FALSE)</f>
        <v>3</v>
      </c>
      <c r="J2300">
        <f>LEN(F2300)</f>
        <v>13</v>
      </c>
      <c r="K2300" t="s">
        <v>821</v>
      </c>
      <c r="M2300">
        <v>1</v>
      </c>
    </row>
    <row r="2301" spans="1:13">
      <c r="A2301" t="s">
        <v>5203</v>
      </c>
      <c r="B2301" t="s">
        <v>256</v>
      </c>
      <c r="C2301" s="34" t="s">
        <v>775</v>
      </c>
      <c r="F2301" t="s">
        <v>5204</v>
      </c>
      <c r="H2301">
        <v>5</v>
      </c>
      <c r="I2301">
        <f>VLOOKUP(B2301,BRAND!B:D,3,FALSE)</f>
        <v>3</v>
      </c>
      <c r="J2301">
        <f>LEN(F2301)</f>
        <v>10</v>
      </c>
      <c r="K2301" t="s">
        <v>821</v>
      </c>
      <c r="M2301">
        <v>0</v>
      </c>
    </row>
    <row r="2302" spans="1:13">
      <c r="A2302" t="s">
        <v>6491</v>
      </c>
      <c r="B2302" t="s">
        <v>256</v>
      </c>
      <c r="C2302" s="34" t="s">
        <v>777</v>
      </c>
      <c r="F2302" t="s">
        <v>777</v>
      </c>
      <c r="H2302">
        <v>5</v>
      </c>
      <c r="I2302">
        <f>VLOOKUP(B2302,BRAND!B:D,3,FALSE)</f>
        <v>3</v>
      </c>
      <c r="J2302">
        <v>7</v>
      </c>
      <c r="K2302" t="s">
        <v>821</v>
      </c>
      <c r="M2302">
        <v>0</v>
      </c>
    </row>
    <row r="2303" spans="1:13">
      <c r="A2303" t="s">
        <v>3435</v>
      </c>
      <c r="B2303" t="s">
        <v>256</v>
      </c>
      <c r="C2303" s="34" t="s">
        <v>746</v>
      </c>
      <c r="F2303" t="s">
        <v>746</v>
      </c>
      <c r="H2303">
        <v>5</v>
      </c>
      <c r="I2303">
        <f>VLOOKUP(B2303,BRAND!B:D,3,FALSE)</f>
        <v>3</v>
      </c>
      <c r="J2303">
        <v>6</v>
      </c>
      <c r="K2303" t="s">
        <v>821</v>
      </c>
      <c r="M2303">
        <v>0</v>
      </c>
    </row>
    <row r="2304" spans="1:13">
      <c r="A2304" t="s">
        <v>3470</v>
      </c>
      <c r="B2304" t="s">
        <v>256</v>
      </c>
      <c r="C2304" s="34" t="s">
        <v>5232</v>
      </c>
      <c r="F2304" t="s">
        <v>536</v>
      </c>
      <c r="H2304">
        <v>5</v>
      </c>
      <c r="I2304">
        <f>VLOOKUP(B2304,BRAND!B:D,3,FALSE)</f>
        <v>3</v>
      </c>
      <c r="J2304">
        <v>5</v>
      </c>
      <c r="K2304" t="s">
        <v>821</v>
      </c>
      <c r="M2304">
        <v>1</v>
      </c>
    </row>
    <row r="2305" spans="1:13">
      <c r="A2305" t="s">
        <v>3471</v>
      </c>
      <c r="B2305" t="s">
        <v>256</v>
      </c>
      <c r="C2305" s="34" t="s">
        <v>842</v>
      </c>
      <c r="F2305" t="s">
        <v>842</v>
      </c>
      <c r="H2305">
        <v>5</v>
      </c>
      <c r="I2305">
        <f>VLOOKUP(B2305,BRAND!B:D,3,FALSE)</f>
        <v>3</v>
      </c>
      <c r="J2305">
        <v>5</v>
      </c>
      <c r="K2305" t="s">
        <v>821</v>
      </c>
      <c r="M2305">
        <v>1</v>
      </c>
    </row>
    <row r="2306" spans="1:13">
      <c r="A2306" t="s">
        <v>4221</v>
      </c>
      <c r="B2306" t="s">
        <v>256</v>
      </c>
      <c r="C2306" s="34" t="s">
        <v>776</v>
      </c>
      <c r="F2306" t="s">
        <v>776</v>
      </c>
      <c r="H2306">
        <v>5</v>
      </c>
      <c r="I2306">
        <f>VLOOKUP(B2306,BRAND!B:D,3,FALSE)</f>
        <v>3</v>
      </c>
      <c r="J2306">
        <v>5</v>
      </c>
      <c r="K2306" t="s">
        <v>821</v>
      </c>
      <c r="M2306">
        <v>1</v>
      </c>
    </row>
    <row r="2307" spans="1:13">
      <c r="A2307" t="s">
        <v>5199</v>
      </c>
      <c r="B2307" t="s">
        <v>256</v>
      </c>
      <c r="C2307" s="34" t="s">
        <v>788</v>
      </c>
      <c r="F2307" t="s">
        <v>788</v>
      </c>
      <c r="H2307">
        <v>5</v>
      </c>
      <c r="I2307">
        <f>VLOOKUP(B2307,BRAND!B:D,3,FALSE)</f>
        <v>3</v>
      </c>
      <c r="J2307">
        <v>4</v>
      </c>
      <c r="K2307" t="s">
        <v>821</v>
      </c>
      <c r="M2307">
        <v>1</v>
      </c>
    </row>
    <row r="2308" spans="1:13">
      <c r="A2308" t="s">
        <v>3436</v>
      </c>
      <c r="B2308" t="s">
        <v>256</v>
      </c>
      <c r="C2308" s="34" t="s">
        <v>786</v>
      </c>
      <c r="F2308" t="s">
        <v>786</v>
      </c>
      <c r="H2308">
        <v>5</v>
      </c>
      <c r="I2308">
        <f>VLOOKUP(B2308,BRAND!B:D,3,FALSE)</f>
        <v>3</v>
      </c>
      <c r="J2308">
        <v>3</v>
      </c>
      <c r="K2308" t="s">
        <v>821</v>
      </c>
      <c r="M2308">
        <v>1</v>
      </c>
    </row>
    <row r="2309" spans="1:13">
      <c r="A2309" t="s">
        <v>14110</v>
      </c>
      <c r="B2309" t="s">
        <v>14101</v>
      </c>
      <c r="C2309" s="34" t="s">
        <v>14111</v>
      </c>
      <c r="F2309" t="s">
        <v>14112</v>
      </c>
      <c r="G2309" t="s">
        <v>6932</v>
      </c>
      <c r="H2309">
        <v>5</v>
      </c>
      <c r="I2309">
        <f>VLOOKUP(B2309,BRAND!B:D,3,FALSE)</f>
        <v>0</v>
      </c>
      <c r="J2309">
        <f t="shared" ref="J2309:J2318" si="28">LEN(F2309)</f>
        <v>13</v>
      </c>
      <c r="K2309" t="s">
        <v>821</v>
      </c>
      <c r="L2309">
        <v>0</v>
      </c>
      <c r="M2309">
        <v>1</v>
      </c>
    </row>
    <row r="2310" spans="1:13">
      <c r="A2310" t="s">
        <v>14106</v>
      </c>
      <c r="B2310" t="s">
        <v>14101</v>
      </c>
      <c r="C2310" s="34" t="s">
        <v>14107</v>
      </c>
      <c r="F2310" t="s">
        <v>14107</v>
      </c>
      <c r="G2310" t="s">
        <v>6932</v>
      </c>
      <c r="H2310">
        <v>5</v>
      </c>
      <c r="I2310">
        <f>VLOOKUP(B2310,BRAND!B:D,3,FALSE)</f>
        <v>0</v>
      </c>
      <c r="J2310">
        <f t="shared" si="28"/>
        <v>6</v>
      </c>
      <c r="K2310" t="s">
        <v>821</v>
      </c>
      <c r="L2310">
        <v>0</v>
      </c>
      <c r="M2310">
        <v>1</v>
      </c>
    </row>
    <row r="2311" spans="1:13">
      <c r="A2311" t="s">
        <v>14109</v>
      </c>
      <c r="B2311" t="s">
        <v>14101</v>
      </c>
      <c r="C2311" s="34" t="s">
        <v>898</v>
      </c>
      <c r="F2311" t="s">
        <v>898</v>
      </c>
      <c r="G2311" t="s">
        <v>6932</v>
      </c>
      <c r="H2311">
        <v>5</v>
      </c>
      <c r="I2311">
        <f>VLOOKUP(B2311,BRAND!B:D,3,FALSE)</f>
        <v>0</v>
      </c>
      <c r="J2311">
        <f t="shared" si="28"/>
        <v>6</v>
      </c>
      <c r="K2311" t="s">
        <v>821</v>
      </c>
      <c r="L2311">
        <v>0</v>
      </c>
      <c r="M2311">
        <v>1</v>
      </c>
    </row>
    <row r="2312" spans="1:13">
      <c r="A2312" t="s">
        <v>14100</v>
      </c>
      <c r="B2312" t="s">
        <v>14101</v>
      </c>
      <c r="C2312" s="34" t="s">
        <v>536</v>
      </c>
      <c r="F2312" t="s">
        <v>536</v>
      </c>
      <c r="G2312" t="s">
        <v>6932</v>
      </c>
      <c r="H2312">
        <v>5</v>
      </c>
      <c r="I2312">
        <f>VLOOKUP(B2312,BRAND!B:D,3,FALSE)</f>
        <v>0</v>
      </c>
      <c r="J2312">
        <f t="shared" si="28"/>
        <v>5</v>
      </c>
      <c r="K2312" t="s">
        <v>821</v>
      </c>
      <c r="L2312">
        <v>0</v>
      </c>
      <c r="M2312">
        <v>1</v>
      </c>
    </row>
    <row r="2313" spans="1:13">
      <c r="A2313" t="s">
        <v>14103</v>
      </c>
      <c r="B2313" t="s">
        <v>14101</v>
      </c>
      <c r="C2313" s="34" t="s">
        <v>842</v>
      </c>
      <c r="F2313" t="s">
        <v>842</v>
      </c>
      <c r="G2313" t="s">
        <v>6932</v>
      </c>
      <c r="H2313">
        <v>5</v>
      </c>
      <c r="I2313">
        <f>VLOOKUP(B2313,BRAND!B:D,3,FALSE)</f>
        <v>0</v>
      </c>
      <c r="J2313">
        <f t="shared" si="28"/>
        <v>5</v>
      </c>
      <c r="K2313" t="s">
        <v>821</v>
      </c>
      <c r="L2313">
        <v>0</v>
      </c>
      <c r="M2313">
        <v>1</v>
      </c>
    </row>
    <row r="2314" spans="1:13">
      <c r="A2314" t="s">
        <v>14105</v>
      </c>
      <c r="B2314" t="s">
        <v>14101</v>
      </c>
      <c r="C2314" s="34" t="s">
        <v>879</v>
      </c>
      <c r="F2314" t="s">
        <v>879</v>
      </c>
      <c r="G2314" t="s">
        <v>6932</v>
      </c>
      <c r="H2314">
        <v>5</v>
      </c>
      <c r="I2314">
        <f>VLOOKUP(B2314,BRAND!B:D,3,FALSE)</f>
        <v>0</v>
      </c>
      <c r="J2314">
        <f t="shared" si="28"/>
        <v>5</v>
      </c>
      <c r="K2314" t="s">
        <v>821</v>
      </c>
      <c r="L2314">
        <v>0</v>
      </c>
      <c r="M2314">
        <v>1</v>
      </c>
    </row>
    <row r="2315" spans="1:13">
      <c r="A2315" t="s">
        <v>14108</v>
      </c>
      <c r="B2315" t="s">
        <v>14101</v>
      </c>
      <c r="C2315" s="34" t="s">
        <v>776</v>
      </c>
      <c r="F2315" t="s">
        <v>776</v>
      </c>
      <c r="G2315" t="s">
        <v>6932</v>
      </c>
      <c r="H2315">
        <v>5</v>
      </c>
      <c r="I2315">
        <f>VLOOKUP(B2315,BRAND!B:D,3,FALSE)</f>
        <v>0</v>
      </c>
      <c r="J2315">
        <f t="shared" si="28"/>
        <v>5</v>
      </c>
      <c r="K2315" t="s">
        <v>821</v>
      </c>
      <c r="L2315">
        <v>0</v>
      </c>
      <c r="M2315">
        <v>1</v>
      </c>
    </row>
    <row r="2316" spans="1:13">
      <c r="A2316" t="s">
        <v>14104</v>
      </c>
      <c r="B2316" t="s">
        <v>14101</v>
      </c>
      <c r="C2316" s="34" t="s">
        <v>781</v>
      </c>
      <c r="F2316" t="s">
        <v>781</v>
      </c>
      <c r="G2316" t="s">
        <v>6932</v>
      </c>
      <c r="H2316">
        <v>5</v>
      </c>
      <c r="I2316">
        <f>VLOOKUP(B2316,BRAND!B:D,3,FALSE)</f>
        <v>0</v>
      </c>
      <c r="J2316">
        <f t="shared" si="28"/>
        <v>4</v>
      </c>
      <c r="K2316" t="s">
        <v>821</v>
      </c>
      <c r="L2316">
        <v>0</v>
      </c>
      <c r="M2316">
        <v>1</v>
      </c>
    </row>
    <row r="2317" spans="1:13">
      <c r="A2317" t="s">
        <v>14102</v>
      </c>
      <c r="B2317" t="s">
        <v>14101</v>
      </c>
      <c r="C2317" s="34" t="s">
        <v>561</v>
      </c>
      <c r="F2317" t="s">
        <v>561</v>
      </c>
      <c r="G2317" t="s">
        <v>6932</v>
      </c>
      <c r="H2317">
        <v>5</v>
      </c>
      <c r="I2317">
        <f>VLOOKUP(B2317,BRAND!B:D,3,FALSE)</f>
        <v>0</v>
      </c>
      <c r="J2317">
        <f t="shared" si="28"/>
        <v>3</v>
      </c>
      <c r="K2317" t="s">
        <v>821</v>
      </c>
      <c r="L2317">
        <v>0</v>
      </c>
      <c r="M2317">
        <v>1</v>
      </c>
    </row>
    <row r="2318" spans="1:13">
      <c r="A2318" t="s">
        <v>14102</v>
      </c>
      <c r="B2318" t="s">
        <v>14101</v>
      </c>
      <c r="C2318" s="34" t="s">
        <v>561</v>
      </c>
      <c r="F2318" t="s">
        <v>561</v>
      </c>
      <c r="G2318" t="s">
        <v>6932</v>
      </c>
      <c r="H2318">
        <v>5</v>
      </c>
      <c r="I2318">
        <f>VLOOKUP(B2318,BRAND!B:D,3,FALSE)</f>
        <v>0</v>
      </c>
      <c r="J2318">
        <f t="shared" si="28"/>
        <v>3</v>
      </c>
      <c r="K2318" t="s">
        <v>821</v>
      </c>
      <c r="L2318">
        <v>0</v>
      </c>
      <c r="M2318">
        <v>1</v>
      </c>
    </row>
    <row r="2319" spans="1:13">
      <c r="A2319" t="s">
        <v>7116</v>
      </c>
      <c r="B2319" t="s">
        <v>6642</v>
      </c>
      <c r="C2319" s="34" t="s">
        <v>561</v>
      </c>
      <c r="F2319" t="s">
        <v>561</v>
      </c>
      <c r="H2319">
        <v>5</v>
      </c>
      <c r="I2319">
        <f>VLOOKUP(B2319,BRAND!B:D,3,FALSE)</f>
        <v>5</v>
      </c>
      <c r="J2319">
        <v>3</v>
      </c>
      <c r="M2319">
        <v>1</v>
      </c>
    </row>
    <row r="2320" spans="1:13">
      <c r="A2320" t="s">
        <v>3132</v>
      </c>
      <c r="B2320" t="s">
        <v>1245</v>
      </c>
      <c r="C2320" s="34" t="s">
        <v>1438</v>
      </c>
      <c r="F2320" t="s">
        <v>1438</v>
      </c>
      <c r="H2320">
        <v>15</v>
      </c>
      <c r="I2320">
        <f>VLOOKUP(B2320,BRAND!B:D,3,FALSE)</f>
        <v>5.5</v>
      </c>
      <c r="J2320">
        <v>4</v>
      </c>
      <c r="K2320" t="e">
        <v>#N/A</v>
      </c>
      <c r="M2320">
        <v>0</v>
      </c>
    </row>
    <row r="2321" spans="1:13">
      <c r="A2321" t="s">
        <v>7980</v>
      </c>
      <c r="B2321" t="s">
        <v>7981</v>
      </c>
      <c r="C2321" s="34" t="s">
        <v>1438</v>
      </c>
      <c r="F2321" t="s">
        <v>1438</v>
      </c>
      <c r="G2321" t="s">
        <v>6932</v>
      </c>
      <c r="H2321">
        <v>5</v>
      </c>
      <c r="I2321">
        <f>VLOOKUP(B2321,BRAND!B:D,3,FALSE)</f>
        <v>5.5</v>
      </c>
      <c r="J2321">
        <v>4</v>
      </c>
      <c r="M2321">
        <v>1</v>
      </c>
    </row>
    <row r="2322" spans="1:13">
      <c r="A2322" t="s">
        <v>12485</v>
      </c>
      <c r="B2322" t="s">
        <v>12025</v>
      </c>
      <c r="C2322" s="34" t="s">
        <v>12025</v>
      </c>
      <c r="F2322" t="s">
        <v>12025</v>
      </c>
      <c r="G2322" t="s">
        <v>6932</v>
      </c>
      <c r="H2322">
        <v>5</v>
      </c>
    </row>
    <row r="2323" spans="1:13">
      <c r="A2323" t="s">
        <v>7982</v>
      </c>
      <c r="B2323" t="s">
        <v>7983</v>
      </c>
      <c r="C2323" s="34" t="s">
        <v>1438</v>
      </c>
      <c r="F2323" t="s">
        <v>1438</v>
      </c>
      <c r="G2323" t="s">
        <v>6932</v>
      </c>
      <c r="H2323">
        <v>5</v>
      </c>
      <c r="I2323">
        <f>VLOOKUP(B2323,BRAND!B:D,3,FALSE)</f>
        <v>5.5</v>
      </c>
      <c r="J2323">
        <v>4</v>
      </c>
      <c r="M2323">
        <v>1</v>
      </c>
    </row>
    <row r="2324" spans="1:13">
      <c r="A2324" t="s">
        <v>3386</v>
      </c>
      <c r="B2324" t="s">
        <v>44</v>
      </c>
      <c r="C2324" s="34" t="s">
        <v>534</v>
      </c>
      <c r="F2324" t="s">
        <v>534</v>
      </c>
      <c r="H2324">
        <v>5</v>
      </c>
      <c r="I2324">
        <f>VLOOKUP(B2324,BRAND!B:D,3,FALSE)</f>
        <v>3</v>
      </c>
      <c r="J2324">
        <v>6</v>
      </c>
      <c r="K2324" t="s">
        <v>821</v>
      </c>
      <c r="M2324">
        <v>1</v>
      </c>
    </row>
    <row r="2325" spans="1:13">
      <c r="A2325" t="s">
        <v>3179</v>
      </c>
      <c r="B2325" t="s">
        <v>44</v>
      </c>
      <c r="C2325" s="34" t="s">
        <v>536</v>
      </c>
      <c r="F2325" t="s">
        <v>536</v>
      </c>
      <c r="H2325">
        <v>5</v>
      </c>
      <c r="I2325">
        <f>VLOOKUP(B2325,BRAND!B:D,3,FALSE)</f>
        <v>3</v>
      </c>
      <c r="J2325">
        <v>5</v>
      </c>
      <c r="K2325" t="s">
        <v>821</v>
      </c>
      <c r="M2325">
        <v>1</v>
      </c>
    </row>
    <row r="2326" spans="1:13">
      <c r="A2326" t="s">
        <v>2642</v>
      </c>
      <c r="B2326" t="s">
        <v>44</v>
      </c>
      <c r="C2326" s="34" t="s">
        <v>1438</v>
      </c>
      <c r="F2326" t="s">
        <v>1438</v>
      </c>
      <c r="H2326">
        <v>15</v>
      </c>
      <c r="I2326">
        <f>VLOOKUP(B2326,BRAND!B:D,3,FALSE)</f>
        <v>3</v>
      </c>
      <c r="J2326">
        <v>4</v>
      </c>
      <c r="K2326" t="s">
        <v>821</v>
      </c>
      <c r="M2326">
        <v>1</v>
      </c>
    </row>
    <row r="2327" spans="1:13">
      <c r="A2327" t="s">
        <v>11477</v>
      </c>
      <c r="B2327" t="s">
        <v>10905</v>
      </c>
      <c r="C2327" s="34" t="s">
        <v>561</v>
      </c>
      <c r="F2327" t="s">
        <v>561</v>
      </c>
      <c r="G2327" t="s">
        <v>6932</v>
      </c>
      <c r="H2327">
        <v>5</v>
      </c>
    </row>
    <row r="2328" spans="1:13">
      <c r="A2328" t="s">
        <v>11478</v>
      </c>
      <c r="B2328" t="s">
        <v>10905</v>
      </c>
      <c r="C2328" s="34" t="s">
        <v>913</v>
      </c>
      <c r="F2328" t="s">
        <v>913</v>
      </c>
      <c r="G2328" t="s">
        <v>6932</v>
      </c>
      <c r="H2328">
        <v>5</v>
      </c>
    </row>
    <row r="2329" spans="1:13">
      <c r="A2329" t="s">
        <v>11481</v>
      </c>
      <c r="B2329" t="s">
        <v>10905</v>
      </c>
      <c r="C2329" s="34" t="s">
        <v>11009</v>
      </c>
      <c r="F2329" t="s">
        <v>11009</v>
      </c>
      <c r="G2329" t="s">
        <v>6932</v>
      </c>
      <c r="H2329">
        <v>5</v>
      </c>
    </row>
    <row r="2330" spans="1:13">
      <c r="A2330" t="s">
        <v>14907</v>
      </c>
      <c r="B2330" t="s">
        <v>14908</v>
      </c>
      <c r="C2330" s="34" t="s">
        <v>536</v>
      </c>
      <c r="F2330" t="s">
        <v>536</v>
      </c>
      <c r="G2330" t="s">
        <v>6932</v>
      </c>
      <c r="H2330">
        <v>5</v>
      </c>
      <c r="I2330">
        <f>VLOOKUP(B2330,BRAND!B:D,3,FALSE)</f>
        <v>5</v>
      </c>
      <c r="J2330">
        <v>0</v>
      </c>
      <c r="K2330" t="s">
        <v>821</v>
      </c>
      <c r="L2330">
        <v>0</v>
      </c>
      <c r="M2330">
        <v>0</v>
      </c>
    </row>
    <row r="2331" spans="1:13">
      <c r="A2331" t="s">
        <v>14916</v>
      </c>
      <c r="B2331" t="s">
        <v>14908</v>
      </c>
      <c r="C2331" s="34" t="s">
        <v>788</v>
      </c>
      <c r="F2331" t="s">
        <v>788</v>
      </c>
      <c r="G2331" t="s">
        <v>6932</v>
      </c>
      <c r="H2331">
        <v>5</v>
      </c>
      <c r="I2331">
        <f>VLOOKUP(B2331,BRAND!B:D,3,FALSE)</f>
        <v>5</v>
      </c>
      <c r="J2331">
        <v>0</v>
      </c>
      <c r="K2331" t="s">
        <v>821</v>
      </c>
      <c r="L2331">
        <v>0</v>
      </c>
      <c r="M2331">
        <v>0</v>
      </c>
    </row>
    <row r="2332" spans="1:13">
      <c r="A2332" t="s">
        <v>14917</v>
      </c>
      <c r="B2332" t="s">
        <v>14908</v>
      </c>
      <c r="C2332" s="34" t="s">
        <v>534</v>
      </c>
      <c r="F2332" t="s">
        <v>534</v>
      </c>
      <c r="G2332" t="s">
        <v>6932</v>
      </c>
      <c r="H2332">
        <v>5</v>
      </c>
      <c r="I2332">
        <f>VLOOKUP(B2332,BRAND!B:D,3,FALSE)</f>
        <v>5</v>
      </c>
      <c r="J2332">
        <v>0</v>
      </c>
      <c r="K2332" t="s">
        <v>821</v>
      </c>
      <c r="L2332">
        <v>0</v>
      </c>
      <c r="M2332">
        <v>0</v>
      </c>
    </row>
    <row r="2333" spans="1:13">
      <c r="A2333" t="s">
        <v>14918</v>
      </c>
      <c r="B2333" t="s">
        <v>14908</v>
      </c>
      <c r="C2333" s="34" t="s">
        <v>561</v>
      </c>
      <c r="F2333" t="s">
        <v>561</v>
      </c>
      <c r="G2333" t="s">
        <v>6932</v>
      </c>
      <c r="H2333">
        <v>5</v>
      </c>
      <c r="I2333">
        <f>VLOOKUP(B2333,BRAND!B:D,3,FALSE)</f>
        <v>5</v>
      </c>
      <c r="J2333">
        <v>0</v>
      </c>
      <c r="K2333" t="s">
        <v>821</v>
      </c>
      <c r="L2333">
        <v>0</v>
      </c>
      <c r="M2333">
        <v>0</v>
      </c>
    </row>
    <row r="2334" spans="1:13">
      <c r="A2334" t="s">
        <v>14919</v>
      </c>
      <c r="B2334" t="s">
        <v>14908</v>
      </c>
      <c r="C2334" s="34" t="s">
        <v>776</v>
      </c>
      <c r="F2334" t="s">
        <v>776</v>
      </c>
      <c r="G2334" t="s">
        <v>6932</v>
      </c>
      <c r="H2334">
        <v>5</v>
      </c>
      <c r="I2334">
        <f>VLOOKUP(B2334,BRAND!B:D,3,FALSE)</f>
        <v>5</v>
      </c>
      <c r="J2334">
        <v>0</v>
      </c>
      <c r="K2334" t="s">
        <v>821</v>
      </c>
      <c r="L2334">
        <v>0</v>
      </c>
      <c r="M2334">
        <v>0</v>
      </c>
    </row>
    <row r="2335" spans="1:13">
      <c r="A2335" t="s">
        <v>14920</v>
      </c>
      <c r="B2335" t="s">
        <v>14908</v>
      </c>
      <c r="C2335" s="34" t="s">
        <v>842</v>
      </c>
      <c r="F2335" t="s">
        <v>842</v>
      </c>
      <c r="G2335" t="s">
        <v>6932</v>
      </c>
      <c r="H2335">
        <v>5</v>
      </c>
      <c r="I2335">
        <f>VLOOKUP(B2335,BRAND!B:D,3,FALSE)</f>
        <v>5</v>
      </c>
      <c r="J2335">
        <v>0</v>
      </c>
      <c r="K2335" t="s">
        <v>821</v>
      </c>
      <c r="L2335">
        <v>0</v>
      </c>
      <c r="M2335">
        <v>0</v>
      </c>
    </row>
    <row r="2336" spans="1:13">
      <c r="A2336" t="s">
        <v>14921</v>
      </c>
      <c r="B2336" t="s">
        <v>14908</v>
      </c>
      <c r="C2336" s="34" t="s">
        <v>6948</v>
      </c>
      <c r="F2336" t="s">
        <v>6948</v>
      </c>
      <c r="G2336" t="s">
        <v>6932</v>
      </c>
      <c r="H2336">
        <v>5</v>
      </c>
      <c r="I2336">
        <f>VLOOKUP(B2336,BRAND!B:D,3,FALSE)</f>
        <v>5</v>
      </c>
      <c r="J2336">
        <v>0</v>
      </c>
      <c r="K2336" t="s">
        <v>821</v>
      </c>
      <c r="L2336">
        <v>0</v>
      </c>
      <c r="M2336">
        <v>0</v>
      </c>
    </row>
    <row r="2337" spans="1:8">
      <c r="A2337" t="s">
        <v>11413</v>
      </c>
      <c r="B2337" t="s">
        <v>10900</v>
      </c>
      <c r="C2337" s="34" t="s">
        <v>10968</v>
      </c>
      <c r="F2337" t="s">
        <v>10968</v>
      </c>
      <c r="G2337" t="s">
        <v>6932</v>
      </c>
      <c r="H2337">
        <v>5</v>
      </c>
    </row>
    <row r="2338" spans="1:8">
      <c r="A2338" t="s">
        <v>11414</v>
      </c>
      <c r="B2338" t="s">
        <v>10900</v>
      </c>
      <c r="C2338" s="34" t="s">
        <v>10969</v>
      </c>
      <c r="F2338" t="s">
        <v>10969</v>
      </c>
      <c r="G2338" t="s">
        <v>6932</v>
      </c>
      <c r="H2338">
        <v>5</v>
      </c>
    </row>
    <row r="2339" spans="1:8">
      <c r="A2339" t="s">
        <v>11415</v>
      </c>
      <c r="B2339" t="s">
        <v>10900</v>
      </c>
      <c r="C2339" s="34" t="s">
        <v>10970</v>
      </c>
      <c r="F2339" t="s">
        <v>10970</v>
      </c>
      <c r="G2339" t="s">
        <v>6932</v>
      </c>
      <c r="H2339">
        <v>5</v>
      </c>
    </row>
    <row r="2340" spans="1:8">
      <c r="A2340" t="s">
        <v>11416</v>
      </c>
      <c r="B2340" t="s">
        <v>10900</v>
      </c>
      <c r="C2340" s="34" t="s">
        <v>10971</v>
      </c>
      <c r="F2340" t="s">
        <v>10971</v>
      </c>
      <c r="G2340" t="s">
        <v>6932</v>
      </c>
      <c r="H2340">
        <v>5</v>
      </c>
    </row>
    <row r="2341" spans="1:8">
      <c r="A2341" t="s">
        <v>11417</v>
      </c>
      <c r="B2341" t="s">
        <v>10900</v>
      </c>
      <c r="C2341" s="34" t="s">
        <v>10972</v>
      </c>
      <c r="F2341" t="s">
        <v>10972</v>
      </c>
      <c r="G2341" t="s">
        <v>6932</v>
      </c>
      <c r="H2341">
        <v>5</v>
      </c>
    </row>
    <row r="2342" spans="1:8">
      <c r="A2342" t="s">
        <v>11418</v>
      </c>
      <c r="B2342" t="s">
        <v>10900</v>
      </c>
      <c r="C2342" s="34" t="s">
        <v>10973</v>
      </c>
      <c r="F2342" t="s">
        <v>10973</v>
      </c>
      <c r="G2342" t="s">
        <v>6932</v>
      </c>
      <c r="H2342">
        <v>5</v>
      </c>
    </row>
    <row r="2343" spans="1:8">
      <c r="A2343" t="s">
        <v>11419</v>
      </c>
      <c r="B2343" t="s">
        <v>10900</v>
      </c>
      <c r="C2343" s="34" t="s">
        <v>10974</v>
      </c>
      <c r="F2343" t="s">
        <v>10974</v>
      </c>
      <c r="G2343" t="s">
        <v>6932</v>
      </c>
      <c r="H2343">
        <v>5</v>
      </c>
    </row>
    <row r="2344" spans="1:8">
      <c r="A2344" t="s">
        <v>11420</v>
      </c>
      <c r="B2344" t="s">
        <v>10900</v>
      </c>
      <c r="C2344" s="34" t="s">
        <v>10975</v>
      </c>
      <c r="F2344" t="s">
        <v>10975</v>
      </c>
      <c r="G2344" t="s">
        <v>6932</v>
      </c>
      <c r="H2344">
        <v>5</v>
      </c>
    </row>
    <row r="2345" spans="1:8">
      <c r="A2345" t="s">
        <v>11421</v>
      </c>
      <c r="B2345" t="s">
        <v>10900</v>
      </c>
      <c r="C2345" s="34" t="s">
        <v>10976</v>
      </c>
      <c r="F2345" t="s">
        <v>10976</v>
      </c>
      <c r="G2345" t="s">
        <v>6932</v>
      </c>
      <c r="H2345">
        <v>5</v>
      </c>
    </row>
    <row r="2346" spans="1:8">
      <c r="A2346" t="s">
        <v>11422</v>
      </c>
      <c r="B2346" t="s">
        <v>10900</v>
      </c>
      <c r="C2346" s="34" t="s">
        <v>10977</v>
      </c>
      <c r="F2346" t="s">
        <v>10977</v>
      </c>
      <c r="G2346" t="s">
        <v>6932</v>
      </c>
      <c r="H2346">
        <v>5</v>
      </c>
    </row>
    <row r="2347" spans="1:8">
      <c r="A2347" t="s">
        <v>11423</v>
      </c>
      <c r="B2347" t="s">
        <v>10900</v>
      </c>
      <c r="C2347" s="34" t="s">
        <v>10978</v>
      </c>
      <c r="F2347" t="s">
        <v>10978</v>
      </c>
      <c r="G2347" t="s">
        <v>6932</v>
      </c>
      <c r="H2347">
        <v>5</v>
      </c>
    </row>
    <row r="2348" spans="1:8">
      <c r="A2348" t="s">
        <v>11424</v>
      </c>
      <c r="B2348" t="s">
        <v>10900</v>
      </c>
      <c r="C2348" s="34" t="s">
        <v>10979</v>
      </c>
      <c r="F2348" t="s">
        <v>10979</v>
      </c>
      <c r="G2348" t="s">
        <v>6932</v>
      </c>
      <c r="H2348">
        <v>5</v>
      </c>
    </row>
    <row r="2349" spans="1:8">
      <c r="A2349" t="s">
        <v>11425</v>
      </c>
      <c r="B2349" t="s">
        <v>10900</v>
      </c>
      <c r="C2349" s="34" t="s">
        <v>10980</v>
      </c>
      <c r="F2349" t="s">
        <v>10980</v>
      </c>
      <c r="G2349" t="s">
        <v>6932</v>
      </c>
      <c r="H2349">
        <v>5</v>
      </c>
    </row>
    <row r="2350" spans="1:8">
      <c r="A2350" t="s">
        <v>11426</v>
      </c>
      <c r="B2350" t="s">
        <v>10900</v>
      </c>
      <c r="C2350" s="34" t="s">
        <v>770</v>
      </c>
      <c r="F2350" t="s">
        <v>770</v>
      </c>
      <c r="G2350" t="s">
        <v>6932</v>
      </c>
      <c r="H2350">
        <v>5</v>
      </c>
    </row>
    <row r="2351" spans="1:8">
      <c r="A2351" t="s">
        <v>11427</v>
      </c>
      <c r="B2351" t="s">
        <v>10900</v>
      </c>
      <c r="C2351" s="34">
        <v>25</v>
      </c>
      <c r="F2351">
        <v>25</v>
      </c>
      <c r="G2351" t="s">
        <v>6932</v>
      </c>
      <c r="H2351">
        <v>5</v>
      </c>
    </row>
    <row r="2352" spans="1:8">
      <c r="A2352" t="s">
        <v>11428</v>
      </c>
      <c r="B2352" t="s">
        <v>10900</v>
      </c>
      <c r="C2352" s="34" t="s">
        <v>10981</v>
      </c>
      <c r="F2352" t="s">
        <v>10981</v>
      </c>
      <c r="G2352" t="s">
        <v>6932</v>
      </c>
      <c r="H2352">
        <v>5</v>
      </c>
    </row>
    <row r="2353" spans="1:13">
      <c r="A2353" t="s">
        <v>7984</v>
      </c>
      <c r="B2353" t="s">
        <v>7985</v>
      </c>
      <c r="C2353" s="34" t="s">
        <v>1438</v>
      </c>
      <c r="F2353" t="s">
        <v>1438</v>
      </c>
      <c r="G2353" t="s">
        <v>6932</v>
      </c>
      <c r="H2353">
        <v>5</v>
      </c>
      <c r="I2353">
        <f>VLOOKUP(B2353,BRAND!B:D,3,FALSE)</f>
        <v>5.5</v>
      </c>
      <c r="J2353">
        <v>4</v>
      </c>
      <c r="M2353">
        <v>1</v>
      </c>
    </row>
    <row r="2354" spans="1:13">
      <c r="A2354" t="s">
        <v>7986</v>
      </c>
      <c r="B2354" t="s">
        <v>7987</v>
      </c>
      <c r="C2354" s="34" t="s">
        <v>1438</v>
      </c>
      <c r="F2354" t="s">
        <v>1438</v>
      </c>
      <c r="G2354" t="s">
        <v>6932</v>
      </c>
      <c r="H2354">
        <v>5</v>
      </c>
      <c r="I2354">
        <f>VLOOKUP(B2354,BRAND!B:D,3,FALSE)</f>
        <v>5.5</v>
      </c>
      <c r="J2354">
        <v>4</v>
      </c>
      <c r="M2354">
        <v>1</v>
      </c>
    </row>
    <row r="2355" spans="1:13">
      <c r="A2355" t="s">
        <v>4011</v>
      </c>
      <c r="B2355" t="s">
        <v>483</v>
      </c>
      <c r="C2355" s="34" t="s">
        <v>791</v>
      </c>
      <c r="F2355" t="s">
        <v>791</v>
      </c>
      <c r="H2355">
        <v>4</v>
      </c>
      <c r="I2355">
        <f>VLOOKUP(B2355,BRAND!B:D,3,FALSE)</f>
        <v>3</v>
      </c>
      <c r="J2355">
        <v>5</v>
      </c>
      <c r="K2355" t="s">
        <v>821</v>
      </c>
      <c r="M2355">
        <v>1</v>
      </c>
    </row>
    <row r="2356" spans="1:13">
      <c r="A2356" t="s">
        <v>3405</v>
      </c>
      <c r="B2356" t="s">
        <v>483</v>
      </c>
      <c r="C2356" s="34" t="s">
        <v>5236</v>
      </c>
      <c r="F2356" t="s">
        <v>536</v>
      </c>
      <c r="H2356">
        <v>5</v>
      </c>
      <c r="I2356">
        <f>VLOOKUP(B2356,BRAND!B:D,3,FALSE)</f>
        <v>3</v>
      </c>
      <c r="J2356">
        <v>5</v>
      </c>
      <c r="K2356" t="s">
        <v>821</v>
      </c>
      <c r="M2356">
        <v>1</v>
      </c>
    </row>
    <row r="2357" spans="1:13">
      <c r="A2357" t="s">
        <v>4995</v>
      </c>
      <c r="B2357" t="s">
        <v>483</v>
      </c>
      <c r="C2357" s="34" t="s">
        <v>5236</v>
      </c>
      <c r="F2357" t="s">
        <v>536</v>
      </c>
      <c r="G2357" t="s">
        <v>801</v>
      </c>
      <c r="H2357">
        <v>6</v>
      </c>
      <c r="I2357">
        <f>VLOOKUP(B2357,BRAND!B:D,3,FALSE)</f>
        <v>3</v>
      </c>
      <c r="J2357">
        <v>5</v>
      </c>
      <c r="K2357" t="s">
        <v>821</v>
      </c>
      <c r="M2357">
        <v>1</v>
      </c>
    </row>
    <row r="2358" spans="1:13">
      <c r="A2358" t="s">
        <v>2130</v>
      </c>
      <c r="B2358" t="s">
        <v>1061</v>
      </c>
      <c r="C2358" s="34" t="s">
        <v>791</v>
      </c>
      <c r="F2358" t="s">
        <v>791</v>
      </c>
      <c r="H2358">
        <v>5</v>
      </c>
      <c r="I2358">
        <f>VLOOKUP(B2358,BRAND!B:D,3,FALSE)</f>
        <v>3</v>
      </c>
      <c r="J2358">
        <v>5</v>
      </c>
      <c r="K2358" t="s">
        <v>821</v>
      </c>
      <c r="M2358">
        <v>0</v>
      </c>
    </row>
    <row r="2359" spans="1:13">
      <c r="A2359" t="s">
        <v>4793</v>
      </c>
      <c r="B2359" t="s">
        <v>1061</v>
      </c>
      <c r="C2359" s="34" t="s">
        <v>776</v>
      </c>
      <c r="F2359" t="s">
        <v>776</v>
      </c>
      <c r="H2359">
        <v>5</v>
      </c>
      <c r="I2359">
        <f>VLOOKUP(B2359,BRAND!B:D,3,FALSE)</f>
        <v>3</v>
      </c>
      <c r="J2359">
        <v>5</v>
      </c>
      <c r="K2359" t="s">
        <v>821</v>
      </c>
      <c r="M2359">
        <v>0</v>
      </c>
    </row>
    <row r="2360" spans="1:13">
      <c r="A2360" t="s">
        <v>4461</v>
      </c>
      <c r="B2360" t="s">
        <v>1061</v>
      </c>
      <c r="C2360" s="34" t="s">
        <v>775</v>
      </c>
      <c r="F2360" t="s">
        <v>775</v>
      </c>
      <c r="H2360">
        <v>5</v>
      </c>
      <c r="I2360">
        <f>VLOOKUP(B2360,BRAND!B:D,3,FALSE)</f>
        <v>3</v>
      </c>
      <c r="J2360">
        <v>3</v>
      </c>
      <c r="K2360" t="s">
        <v>821</v>
      </c>
      <c r="M2360">
        <v>0</v>
      </c>
    </row>
    <row r="2361" spans="1:13">
      <c r="A2361" t="s">
        <v>4969</v>
      </c>
      <c r="B2361" t="s">
        <v>1061</v>
      </c>
      <c r="C2361" s="34" t="s">
        <v>1438</v>
      </c>
      <c r="F2361" t="s">
        <v>1438</v>
      </c>
      <c r="G2361" t="s">
        <v>801</v>
      </c>
      <c r="H2361">
        <v>6</v>
      </c>
      <c r="I2361">
        <f>VLOOKUP(B2361,BRAND!B:D,3,FALSE)</f>
        <v>3</v>
      </c>
      <c r="J2361">
        <v>4</v>
      </c>
      <c r="K2361" t="s">
        <v>821</v>
      </c>
      <c r="M2361">
        <v>0</v>
      </c>
    </row>
    <row r="2362" spans="1:13">
      <c r="A2362" t="s">
        <v>2407</v>
      </c>
      <c r="B2362" t="s">
        <v>1061</v>
      </c>
      <c r="C2362" s="34" t="s">
        <v>1438</v>
      </c>
      <c r="F2362" t="s">
        <v>1438</v>
      </c>
      <c r="H2362">
        <v>15</v>
      </c>
      <c r="I2362">
        <f>VLOOKUP(B2362,BRAND!B:D,3,FALSE)</f>
        <v>3</v>
      </c>
      <c r="J2362">
        <v>4</v>
      </c>
      <c r="K2362" t="s">
        <v>821</v>
      </c>
      <c r="M2362">
        <v>0</v>
      </c>
    </row>
    <row r="2363" spans="1:13">
      <c r="A2363" t="s">
        <v>4831</v>
      </c>
      <c r="B2363" t="s">
        <v>45</v>
      </c>
      <c r="C2363" s="34" t="s">
        <v>777</v>
      </c>
      <c r="F2363" t="s">
        <v>777</v>
      </c>
      <c r="H2363">
        <v>5</v>
      </c>
      <c r="I2363">
        <f>VLOOKUP(B2363,BRAND!B:D,3,FALSE)</f>
        <v>3</v>
      </c>
      <c r="J2363">
        <v>7</v>
      </c>
      <c r="K2363" t="s">
        <v>821</v>
      </c>
      <c r="M2363">
        <v>0</v>
      </c>
    </row>
    <row r="2364" spans="1:13">
      <c r="A2364" t="s">
        <v>7356</v>
      </c>
      <c r="B2364" t="s">
        <v>45</v>
      </c>
      <c r="C2364" s="34" t="s">
        <v>1438</v>
      </c>
      <c r="F2364" t="s">
        <v>1438</v>
      </c>
      <c r="G2364" t="s">
        <v>6932</v>
      </c>
      <c r="H2364">
        <v>5</v>
      </c>
      <c r="I2364">
        <f>VLOOKUP(B2364,BRAND!B:D,3,FALSE)</f>
        <v>3</v>
      </c>
      <c r="J2364">
        <v>4</v>
      </c>
      <c r="M2364">
        <v>1</v>
      </c>
    </row>
    <row r="2365" spans="1:13">
      <c r="A2365" t="s">
        <v>2030</v>
      </c>
      <c r="B2365" t="s">
        <v>45</v>
      </c>
      <c r="C2365" s="34" t="s">
        <v>1438</v>
      </c>
      <c r="F2365" t="s">
        <v>1438</v>
      </c>
      <c r="H2365">
        <v>15</v>
      </c>
      <c r="I2365">
        <f>VLOOKUP(B2365,BRAND!B:D,3,FALSE)</f>
        <v>3</v>
      </c>
      <c r="J2365">
        <v>4</v>
      </c>
      <c r="K2365" t="s">
        <v>821</v>
      </c>
      <c r="M2365">
        <v>1</v>
      </c>
    </row>
    <row r="2366" spans="1:13">
      <c r="A2366" t="s">
        <v>7107</v>
      </c>
      <c r="B2366" t="s">
        <v>6635</v>
      </c>
      <c r="C2366" s="34" t="s">
        <v>6636</v>
      </c>
      <c r="F2366" t="s">
        <v>775</v>
      </c>
      <c r="H2366">
        <v>5</v>
      </c>
      <c r="I2366">
        <f>VLOOKUP(B2366,BRAND!B:D,3,FALSE)</f>
        <v>5</v>
      </c>
      <c r="J2366">
        <v>3</v>
      </c>
      <c r="M2366">
        <v>1</v>
      </c>
    </row>
    <row r="2367" spans="1:13">
      <c r="A2367" t="s">
        <v>7107</v>
      </c>
      <c r="B2367" t="s">
        <v>6635</v>
      </c>
      <c r="C2367" s="34" t="s">
        <v>6636</v>
      </c>
      <c r="F2367" t="s">
        <v>775</v>
      </c>
      <c r="H2367">
        <v>5</v>
      </c>
      <c r="I2367">
        <f>VLOOKUP(B2367,BRAND!B:D,3,FALSE)</f>
        <v>5</v>
      </c>
      <c r="J2367">
        <v>3</v>
      </c>
      <c r="M2367">
        <v>1</v>
      </c>
    </row>
    <row r="2368" spans="1:13">
      <c r="A2368" t="s">
        <v>7106</v>
      </c>
      <c r="B2368" t="s">
        <v>6635</v>
      </c>
      <c r="C2368" s="34" t="s">
        <v>6441</v>
      </c>
      <c r="F2368" t="s">
        <v>561</v>
      </c>
      <c r="H2368">
        <v>5</v>
      </c>
      <c r="I2368">
        <f>VLOOKUP(B2368,BRAND!B:D,3,FALSE)</f>
        <v>5</v>
      </c>
      <c r="J2368">
        <v>3</v>
      </c>
      <c r="M2368">
        <v>1</v>
      </c>
    </row>
    <row r="2369" spans="1:13">
      <c r="A2369" t="s">
        <v>7106</v>
      </c>
      <c r="B2369" t="s">
        <v>6635</v>
      </c>
      <c r="C2369" s="34" t="s">
        <v>6441</v>
      </c>
      <c r="F2369" t="s">
        <v>561</v>
      </c>
      <c r="H2369">
        <v>5</v>
      </c>
      <c r="I2369">
        <f>VLOOKUP(B2369,BRAND!B:D,3,FALSE)</f>
        <v>5</v>
      </c>
      <c r="J2369">
        <v>3</v>
      </c>
      <c r="M2369">
        <v>1</v>
      </c>
    </row>
    <row r="2370" spans="1:13">
      <c r="A2370" t="s">
        <v>9628</v>
      </c>
      <c r="B2370" t="s">
        <v>6635</v>
      </c>
      <c r="C2370" s="34" t="s">
        <v>561</v>
      </c>
      <c r="F2370" t="s">
        <v>561</v>
      </c>
      <c r="G2370" t="s">
        <v>801</v>
      </c>
      <c r="H2370">
        <v>5</v>
      </c>
      <c r="I2370">
        <f>VLOOKUP(B2370,BRAND!B:D,3,FALSE)</f>
        <v>5</v>
      </c>
      <c r="J2370">
        <v>3</v>
      </c>
      <c r="M2370">
        <v>1</v>
      </c>
    </row>
    <row r="2371" spans="1:13">
      <c r="A2371" t="s">
        <v>7988</v>
      </c>
      <c r="B2371" t="s">
        <v>7989</v>
      </c>
      <c r="C2371" s="34" t="s">
        <v>1438</v>
      </c>
      <c r="F2371" t="s">
        <v>1438</v>
      </c>
      <c r="G2371" t="s">
        <v>6932</v>
      </c>
      <c r="H2371">
        <v>5</v>
      </c>
      <c r="I2371">
        <f>VLOOKUP(B2371,BRAND!B:D,3,FALSE)</f>
        <v>5.5</v>
      </c>
      <c r="J2371">
        <v>4</v>
      </c>
      <c r="M2371">
        <v>1</v>
      </c>
    </row>
    <row r="2372" spans="1:13">
      <c r="A2372" t="s">
        <v>7990</v>
      </c>
      <c r="B2372" t="s">
        <v>7991</v>
      </c>
      <c r="C2372" s="34" t="s">
        <v>1438</v>
      </c>
      <c r="F2372" t="s">
        <v>1438</v>
      </c>
      <c r="G2372" t="s">
        <v>6932</v>
      </c>
      <c r="H2372">
        <v>5</v>
      </c>
      <c r="I2372">
        <f>VLOOKUP(B2372,BRAND!B:D,3,FALSE)</f>
        <v>5.5</v>
      </c>
      <c r="J2372">
        <v>4</v>
      </c>
      <c r="M2372">
        <v>1</v>
      </c>
    </row>
    <row r="2373" spans="1:13">
      <c r="A2373" t="s">
        <v>7992</v>
      </c>
      <c r="B2373" t="s">
        <v>7993</v>
      </c>
      <c r="C2373" s="34" t="s">
        <v>1438</v>
      </c>
      <c r="F2373" t="s">
        <v>1438</v>
      </c>
      <c r="G2373" t="s">
        <v>6932</v>
      </c>
      <c r="H2373">
        <v>5</v>
      </c>
      <c r="I2373">
        <f>VLOOKUP(B2373,BRAND!B:D,3,FALSE)</f>
        <v>5.5</v>
      </c>
      <c r="J2373">
        <v>4</v>
      </c>
      <c r="M2373">
        <v>1</v>
      </c>
    </row>
    <row r="2374" spans="1:13">
      <c r="A2374" t="s">
        <v>2297</v>
      </c>
      <c r="B2374" t="s">
        <v>966</v>
      </c>
      <c r="C2374" s="34" t="s">
        <v>1438</v>
      </c>
      <c r="F2374" t="s">
        <v>1438</v>
      </c>
      <c r="H2374">
        <v>15</v>
      </c>
      <c r="I2374">
        <f>VLOOKUP(B2374,BRAND!B:D,3,FALSE)</f>
        <v>3</v>
      </c>
      <c r="J2374">
        <v>4</v>
      </c>
      <c r="K2374" t="s">
        <v>821</v>
      </c>
      <c r="M2374">
        <v>1</v>
      </c>
    </row>
    <row r="2375" spans="1:13">
      <c r="A2375" t="s">
        <v>3821</v>
      </c>
      <c r="B2375" t="s">
        <v>810</v>
      </c>
      <c r="C2375" s="34" t="s">
        <v>534</v>
      </c>
      <c r="F2375" t="s">
        <v>534</v>
      </c>
      <c r="H2375">
        <v>5</v>
      </c>
      <c r="I2375">
        <f>VLOOKUP(B2375,BRAND!B:D,3,FALSE)</f>
        <v>3</v>
      </c>
      <c r="J2375">
        <v>6</v>
      </c>
      <c r="K2375" t="s">
        <v>821</v>
      </c>
      <c r="M2375">
        <v>0</v>
      </c>
    </row>
    <row r="2376" spans="1:13">
      <c r="A2376" t="s">
        <v>2994</v>
      </c>
      <c r="B2376" t="s">
        <v>810</v>
      </c>
      <c r="C2376" s="34" t="s">
        <v>763</v>
      </c>
      <c r="F2376" t="s">
        <v>763</v>
      </c>
      <c r="H2376">
        <v>5</v>
      </c>
      <c r="I2376">
        <f>VLOOKUP(B2376,BRAND!B:D,3,FALSE)</f>
        <v>3</v>
      </c>
      <c r="J2376">
        <v>5</v>
      </c>
      <c r="K2376" t="s">
        <v>821</v>
      </c>
      <c r="M2376">
        <v>0</v>
      </c>
    </row>
    <row r="2377" spans="1:13">
      <c r="A2377" t="s">
        <v>2031</v>
      </c>
      <c r="B2377" t="s">
        <v>810</v>
      </c>
      <c r="C2377" s="34" t="s">
        <v>1438</v>
      </c>
      <c r="F2377" t="s">
        <v>1438</v>
      </c>
      <c r="H2377">
        <v>15</v>
      </c>
      <c r="I2377">
        <f>VLOOKUP(B2377,BRAND!B:D,3,FALSE)</f>
        <v>3</v>
      </c>
      <c r="J2377">
        <v>4</v>
      </c>
      <c r="K2377" t="s">
        <v>821</v>
      </c>
      <c r="M2377">
        <v>0</v>
      </c>
    </row>
    <row r="2378" spans="1:13">
      <c r="A2378" t="s">
        <v>3774</v>
      </c>
      <c r="B2378" t="s">
        <v>46</v>
      </c>
      <c r="C2378" s="34" t="s">
        <v>534</v>
      </c>
      <c r="F2378" t="s">
        <v>534</v>
      </c>
      <c r="H2378">
        <v>5</v>
      </c>
      <c r="I2378">
        <f>VLOOKUP(B2378,BRAND!B:D,3,FALSE)</f>
        <v>3</v>
      </c>
      <c r="J2378">
        <v>6</v>
      </c>
      <c r="K2378" t="s">
        <v>821</v>
      </c>
      <c r="M2378">
        <v>1</v>
      </c>
    </row>
    <row r="2379" spans="1:13">
      <c r="A2379" t="s">
        <v>2264</v>
      </c>
      <c r="B2379" t="s">
        <v>46</v>
      </c>
      <c r="C2379" s="34" t="s">
        <v>536</v>
      </c>
      <c r="F2379" t="s">
        <v>536</v>
      </c>
      <c r="H2379">
        <v>5</v>
      </c>
      <c r="I2379">
        <f>VLOOKUP(B2379,BRAND!B:D,3,FALSE)</f>
        <v>3</v>
      </c>
      <c r="J2379">
        <v>5</v>
      </c>
      <c r="K2379" t="s">
        <v>821</v>
      </c>
      <c r="M2379">
        <v>0</v>
      </c>
    </row>
    <row r="2380" spans="1:13">
      <c r="A2380" t="s">
        <v>2525</v>
      </c>
      <c r="B2380" t="s">
        <v>46</v>
      </c>
      <c r="C2380" s="34" t="s">
        <v>763</v>
      </c>
      <c r="F2380" t="s">
        <v>763</v>
      </c>
      <c r="H2380">
        <v>5</v>
      </c>
      <c r="I2380">
        <f>VLOOKUP(B2380,BRAND!B:D,3,FALSE)</f>
        <v>3</v>
      </c>
      <c r="J2380">
        <v>5</v>
      </c>
      <c r="K2380" t="s">
        <v>821</v>
      </c>
      <c r="M2380">
        <v>1</v>
      </c>
    </row>
    <row r="2381" spans="1:13">
      <c r="A2381" t="s">
        <v>4388</v>
      </c>
      <c r="B2381" t="s">
        <v>46</v>
      </c>
      <c r="C2381" s="34" t="s">
        <v>1992</v>
      </c>
      <c r="F2381" t="s">
        <v>1992</v>
      </c>
      <c r="H2381">
        <v>5</v>
      </c>
      <c r="I2381">
        <f>VLOOKUP(B2381,BRAND!B:D,3,FALSE)</f>
        <v>3</v>
      </c>
      <c r="J2381">
        <v>3</v>
      </c>
      <c r="K2381" t="s">
        <v>821</v>
      </c>
      <c r="M2381">
        <v>0</v>
      </c>
    </row>
    <row r="2382" spans="1:13">
      <c r="A2382" t="s">
        <v>4740</v>
      </c>
      <c r="B2382" t="s">
        <v>46</v>
      </c>
      <c r="C2382" s="34" t="s">
        <v>561</v>
      </c>
      <c r="F2382" t="s">
        <v>561</v>
      </c>
      <c r="H2382">
        <v>5</v>
      </c>
      <c r="I2382">
        <f>VLOOKUP(B2382,BRAND!B:D,3,FALSE)</f>
        <v>3</v>
      </c>
      <c r="J2382">
        <v>3</v>
      </c>
      <c r="K2382" t="s">
        <v>821</v>
      </c>
      <c r="M2382">
        <v>0</v>
      </c>
    </row>
    <row r="2383" spans="1:13">
      <c r="A2383" t="s">
        <v>2290</v>
      </c>
      <c r="B2383" t="s">
        <v>46</v>
      </c>
      <c r="C2383" s="34" t="s">
        <v>1438</v>
      </c>
      <c r="F2383" t="s">
        <v>1438</v>
      </c>
      <c r="H2383">
        <v>15</v>
      </c>
      <c r="I2383">
        <f>VLOOKUP(B2383,BRAND!B:D,3,FALSE)</f>
        <v>3</v>
      </c>
      <c r="J2383">
        <v>4</v>
      </c>
      <c r="K2383" t="s">
        <v>821</v>
      </c>
      <c r="M2383">
        <v>1</v>
      </c>
    </row>
    <row r="2384" spans="1:13">
      <c r="A2384" t="s">
        <v>7994</v>
      </c>
      <c r="B2384" t="s">
        <v>7995</v>
      </c>
      <c r="C2384" s="34" t="s">
        <v>1438</v>
      </c>
      <c r="F2384" t="s">
        <v>1438</v>
      </c>
      <c r="G2384" t="s">
        <v>6932</v>
      </c>
      <c r="H2384">
        <v>5</v>
      </c>
      <c r="I2384">
        <f>VLOOKUP(B2384,BRAND!B:D,3,FALSE)</f>
        <v>5.5</v>
      </c>
      <c r="J2384">
        <v>4</v>
      </c>
      <c r="M2384">
        <v>1</v>
      </c>
    </row>
    <row r="2385" spans="1:13">
      <c r="A2385" t="s">
        <v>4033</v>
      </c>
      <c r="B2385" t="s">
        <v>814</v>
      </c>
      <c r="C2385" s="34" t="s">
        <v>872</v>
      </c>
      <c r="F2385" t="s">
        <v>872</v>
      </c>
      <c r="H2385">
        <v>5</v>
      </c>
      <c r="I2385">
        <f>VLOOKUP(B2385,BRAND!B:D,3,FALSE)</f>
        <v>3</v>
      </c>
      <c r="J2385">
        <v>5</v>
      </c>
      <c r="K2385" t="s">
        <v>821</v>
      </c>
      <c r="M2385">
        <v>0</v>
      </c>
    </row>
    <row r="2386" spans="1:13">
      <c r="A2386" t="s">
        <v>3012</v>
      </c>
      <c r="B2386" t="s">
        <v>814</v>
      </c>
      <c r="C2386" s="34" t="s">
        <v>775</v>
      </c>
      <c r="F2386" t="s">
        <v>775</v>
      </c>
      <c r="H2386">
        <v>5</v>
      </c>
      <c r="I2386">
        <f>VLOOKUP(B2386,BRAND!B:D,3,FALSE)</f>
        <v>3</v>
      </c>
      <c r="J2386">
        <v>3</v>
      </c>
      <c r="K2386" t="s">
        <v>821</v>
      </c>
      <c r="M2386">
        <v>0</v>
      </c>
    </row>
    <row r="2387" spans="1:13">
      <c r="A2387" t="s">
        <v>3400</v>
      </c>
      <c r="B2387" t="s">
        <v>932</v>
      </c>
      <c r="C2387" s="34" t="s">
        <v>1967</v>
      </c>
      <c r="F2387" t="s">
        <v>1967</v>
      </c>
      <c r="H2387">
        <v>4</v>
      </c>
      <c r="I2387">
        <f>VLOOKUP(B2387,BRAND!B:D,3,FALSE)</f>
        <v>3</v>
      </c>
      <c r="J2387">
        <f>LEN(F2387)</f>
        <v>15</v>
      </c>
      <c r="K2387" t="s">
        <v>821</v>
      </c>
      <c r="M2387">
        <v>1</v>
      </c>
    </row>
    <row r="2388" spans="1:13">
      <c r="A2388" t="s">
        <v>2436</v>
      </c>
      <c r="B2388" t="s">
        <v>932</v>
      </c>
      <c r="C2388" s="34" t="s">
        <v>746</v>
      </c>
      <c r="F2388" t="s">
        <v>746</v>
      </c>
      <c r="H2388">
        <v>5</v>
      </c>
      <c r="I2388">
        <f>VLOOKUP(B2388,BRAND!B:D,3,FALSE)</f>
        <v>3</v>
      </c>
      <c r="J2388">
        <v>6</v>
      </c>
      <c r="K2388" t="s">
        <v>821</v>
      </c>
      <c r="M2388">
        <v>0</v>
      </c>
    </row>
    <row r="2389" spans="1:13">
      <c r="A2389" t="s">
        <v>2435</v>
      </c>
      <c r="B2389" t="s">
        <v>932</v>
      </c>
      <c r="C2389" s="34" t="s">
        <v>772</v>
      </c>
      <c r="F2389" t="s">
        <v>772</v>
      </c>
      <c r="H2389">
        <v>5</v>
      </c>
      <c r="I2389">
        <f>VLOOKUP(B2389,BRAND!B:D,3,FALSE)</f>
        <v>3</v>
      </c>
      <c r="J2389">
        <v>6</v>
      </c>
      <c r="K2389" t="s">
        <v>821</v>
      </c>
      <c r="M2389">
        <v>0</v>
      </c>
    </row>
    <row r="2390" spans="1:13">
      <c r="A2390" t="s">
        <v>2437</v>
      </c>
      <c r="B2390" t="s">
        <v>932</v>
      </c>
      <c r="C2390" s="34" t="s">
        <v>534</v>
      </c>
      <c r="F2390" t="s">
        <v>534</v>
      </c>
      <c r="H2390">
        <v>5</v>
      </c>
      <c r="I2390">
        <f>VLOOKUP(B2390,BRAND!B:D,3,FALSE)</f>
        <v>3</v>
      </c>
      <c r="J2390">
        <v>6</v>
      </c>
      <c r="K2390" t="s">
        <v>821</v>
      </c>
      <c r="M2390">
        <v>0</v>
      </c>
    </row>
    <row r="2391" spans="1:13">
      <c r="A2391" t="s">
        <v>3399</v>
      </c>
      <c r="B2391" t="s">
        <v>932</v>
      </c>
      <c r="C2391" s="34" t="s">
        <v>872</v>
      </c>
      <c r="F2391" t="s">
        <v>872</v>
      </c>
      <c r="H2391">
        <v>5</v>
      </c>
      <c r="I2391">
        <f>VLOOKUP(B2391,BRAND!B:D,3,FALSE)</f>
        <v>3</v>
      </c>
      <c r="J2391">
        <v>5</v>
      </c>
      <c r="K2391" t="s">
        <v>821</v>
      </c>
      <c r="M2391">
        <v>1</v>
      </c>
    </row>
    <row r="2392" spans="1:13">
      <c r="A2392" t="s">
        <v>4124</v>
      </c>
      <c r="B2392" t="s">
        <v>932</v>
      </c>
      <c r="C2392" s="34" t="s">
        <v>988</v>
      </c>
      <c r="F2392" t="s">
        <v>988</v>
      </c>
      <c r="H2392">
        <v>5</v>
      </c>
      <c r="I2392">
        <f>VLOOKUP(B2392,BRAND!B:D,3,FALSE)</f>
        <v>3</v>
      </c>
      <c r="J2392">
        <v>4</v>
      </c>
      <c r="K2392" t="s">
        <v>821</v>
      </c>
      <c r="M2392">
        <v>0</v>
      </c>
    </row>
    <row r="2393" spans="1:13">
      <c r="A2393" t="s">
        <v>8007</v>
      </c>
      <c r="B2393" t="s">
        <v>8008</v>
      </c>
      <c r="C2393" s="34" t="s">
        <v>1438</v>
      </c>
      <c r="F2393" t="s">
        <v>1438</v>
      </c>
      <c r="G2393" t="s">
        <v>6932</v>
      </c>
      <c r="H2393">
        <v>5</v>
      </c>
      <c r="I2393">
        <f>VLOOKUP(B2393,BRAND!B:D,3,FALSE)</f>
        <v>5.5</v>
      </c>
      <c r="J2393">
        <v>4</v>
      </c>
      <c r="M2393">
        <v>1</v>
      </c>
    </row>
    <row r="2394" spans="1:13">
      <c r="A2394" t="s">
        <v>3896</v>
      </c>
      <c r="B2394" t="s">
        <v>1028</v>
      </c>
      <c r="C2394" s="34" t="s">
        <v>872</v>
      </c>
      <c r="F2394" t="s">
        <v>872</v>
      </c>
      <c r="H2394">
        <v>5</v>
      </c>
      <c r="I2394">
        <f>VLOOKUP(B2394,BRAND!B:D,3,FALSE)</f>
        <v>3</v>
      </c>
      <c r="J2394">
        <v>5</v>
      </c>
      <c r="K2394" t="s">
        <v>821</v>
      </c>
      <c r="M2394">
        <v>0</v>
      </c>
    </row>
    <row r="2395" spans="1:13">
      <c r="A2395" t="s">
        <v>2332</v>
      </c>
      <c r="B2395" t="s">
        <v>642</v>
      </c>
      <c r="C2395" s="34" t="s">
        <v>872</v>
      </c>
      <c r="F2395" t="s">
        <v>872</v>
      </c>
      <c r="H2395">
        <v>5</v>
      </c>
      <c r="I2395">
        <f>VLOOKUP(B2395,BRAND!B:D,3,FALSE)</f>
        <v>3</v>
      </c>
      <c r="J2395">
        <v>5</v>
      </c>
      <c r="K2395" t="s">
        <v>821</v>
      </c>
      <c r="M2395">
        <v>1</v>
      </c>
    </row>
    <row r="2396" spans="1:13">
      <c r="A2396" t="s">
        <v>8009</v>
      </c>
      <c r="B2396" t="s">
        <v>8010</v>
      </c>
      <c r="C2396" s="34" t="s">
        <v>1438</v>
      </c>
      <c r="F2396" t="s">
        <v>1438</v>
      </c>
      <c r="G2396" t="s">
        <v>6932</v>
      </c>
      <c r="H2396">
        <v>5</v>
      </c>
      <c r="I2396">
        <f>VLOOKUP(B2396,BRAND!B:D,3,FALSE)</f>
        <v>5.5</v>
      </c>
      <c r="J2396">
        <v>4</v>
      </c>
      <c r="M2396">
        <v>1</v>
      </c>
    </row>
    <row r="2397" spans="1:13">
      <c r="A2397" t="s">
        <v>7996</v>
      </c>
      <c r="B2397" t="s">
        <v>7997</v>
      </c>
      <c r="C2397" s="34" t="s">
        <v>1438</v>
      </c>
      <c r="F2397" t="s">
        <v>1438</v>
      </c>
      <c r="G2397" t="s">
        <v>6932</v>
      </c>
      <c r="H2397">
        <v>5</v>
      </c>
      <c r="I2397">
        <f>VLOOKUP(B2397,BRAND!B:D,3,FALSE)</f>
        <v>5.5</v>
      </c>
      <c r="J2397">
        <v>4</v>
      </c>
      <c r="M2397">
        <v>1</v>
      </c>
    </row>
    <row r="2398" spans="1:13">
      <c r="A2398" t="s">
        <v>3504</v>
      </c>
      <c r="B2398" t="s">
        <v>235</v>
      </c>
      <c r="C2398" s="34" t="s">
        <v>10249</v>
      </c>
      <c r="F2398" t="s">
        <v>872</v>
      </c>
      <c r="H2398">
        <v>5</v>
      </c>
      <c r="I2398">
        <f>VLOOKUP(B2398,BRAND!B:D,3,FALSE)</f>
        <v>3</v>
      </c>
      <c r="J2398">
        <v>5</v>
      </c>
      <c r="K2398" t="s">
        <v>821</v>
      </c>
      <c r="M2398">
        <v>0</v>
      </c>
    </row>
    <row r="2399" spans="1:13">
      <c r="A2399" t="s">
        <v>3504</v>
      </c>
      <c r="B2399" t="s">
        <v>235</v>
      </c>
      <c r="C2399" s="34" t="s">
        <v>536</v>
      </c>
      <c r="F2399" t="s">
        <v>536</v>
      </c>
      <c r="H2399">
        <v>5</v>
      </c>
      <c r="I2399">
        <f>VLOOKUP(B2399,BRAND!B:D,3,FALSE)</f>
        <v>3</v>
      </c>
      <c r="J2399">
        <v>5</v>
      </c>
      <c r="K2399" t="s">
        <v>821</v>
      </c>
      <c r="M2399">
        <v>1</v>
      </c>
    </row>
    <row r="2400" spans="1:13">
      <c r="A2400" t="s">
        <v>7998</v>
      </c>
      <c r="B2400" t="s">
        <v>235</v>
      </c>
      <c r="C2400" s="34" t="s">
        <v>1438</v>
      </c>
      <c r="F2400" t="s">
        <v>1438</v>
      </c>
      <c r="G2400" t="s">
        <v>6932</v>
      </c>
      <c r="H2400">
        <v>5</v>
      </c>
      <c r="I2400">
        <f>VLOOKUP(B2400,BRAND!B:D,3,FALSE)</f>
        <v>3</v>
      </c>
      <c r="J2400">
        <v>4</v>
      </c>
      <c r="M2400">
        <v>1</v>
      </c>
    </row>
    <row r="2401" spans="1:13">
      <c r="A2401" t="s">
        <v>7999</v>
      </c>
      <c r="B2401" t="s">
        <v>8000</v>
      </c>
      <c r="C2401" s="34" t="s">
        <v>1438</v>
      </c>
      <c r="F2401" t="s">
        <v>1438</v>
      </c>
      <c r="G2401" t="s">
        <v>6932</v>
      </c>
      <c r="H2401">
        <v>5</v>
      </c>
      <c r="I2401">
        <f>VLOOKUP(B2401,BRAND!B:D,3,FALSE)</f>
        <v>5.5</v>
      </c>
      <c r="J2401">
        <v>4</v>
      </c>
      <c r="M2401">
        <v>1</v>
      </c>
    </row>
    <row r="2402" spans="1:13">
      <c r="A2402" t="s">
        <v>8001</v>
      </c>
      <c r="B2402" t="s">
        <v>8002</v>
      </c>
      <c r="C2402" s="34" t="s">
        <v>1438</v>
      </c>
      <c r="F2402" t="s">
        <v>1438</v>
      </c>
      <c r="G2402" t="s">
        <v>6932</v>
      </c>
      <c r="H2402">
        <v>5</v>
      </c>
      <c r="I2402">
        <f>VLOOKUP(B2402,BRAND!B:D,3,FALSE)</f>
        <v>5.5</v>
      </c>
      <c r="J2402">
        <v>4</v>
      </c>
      <c r="M2402">
        <v>1</v>
      </c>
    </row>
    <row r="2403" spans="1:13">
      <c r="A2403" t="s">
        <v>8011</v>
      </c>
      <c r="B2403" t="s">
        <v>8012</v>
      </c>
      <c r="C2403" s="34" t="s">
        <v>1438</v>
      </c>
      <c r="F2403" t="s">
        <v>1438</v>
      </c>
      <c r="G2403" t="s">
        <v>6932</v>
      </c>
      <c r="H2403">
        <v>5</v>
      </c>
      <c r="I2403">
        <f>VLOOKUP(B2403,BRAND!B:D,3,FALSE)</f>
        <v>5.5</v>
      </c>
      <c r="J2403">
        <v>4</v>
      </c>
      <c r="M2403">
        <v>1</v>
      </c>
    </row>
    <row r="2404" spans="1:13">
      <c r="A2404" t="s">
        <v>3678</v>
      </c>
      <c r="B2404" t="s">
        <v>965</v>
      </c>
      <c r="C2404" s="34" t="s">
        <v>746</v>
      </c>
      <c r="F2404" t="s">
        <v>746</v>
      </c>
      <c r="H2404">
        <v>5</v>
      </c>
      <c r="I2404">
        <f>VLOOKUP(B2404,BRAND!B:D,3,FALSE)</f>
        <v>3</v>
      </c>
      <c r="J2404">
        <v>6</v>
      </c>
      <c r="K2404" t="s">
        <v>821</v>
      </c>
      <c r="M2404">
        <v>0</v>
      </c>
    </row>
    <row r="2405" spans="1:13">
      <c r="A2405" t="s">
        <v>3437</v>
      </c>
      <c r="B2405" t="s">
        <v>965</v>
      </c>
      <c r="C2405" s="34" t="s">
        <v>872</v>
      </c>
      <c r="F2405" t="s">
        <v>872</v>
      </c>
      <c r="H2405">
        <v>5</v>
      </c>
      <c r="I2405">
        <f>VLOOKUP(B2405,BRAND!B:D,3,FALSE)</f>
        <v>3</v>
      </c>
      <c r="J2405">
        <v>5</v>
      </c>
      <c r="K2405" t="s">
        <v>821</v>
      </c>
      <c r="M2405">
        <v>1</v>
      </c>
    </row>
    <row r="2406" spans="1:13">
      <c r="A2406" t="s">
        <v>3551</v>
      </c>
      <c r="B2406" t="s">
        <v>1766</v>
      </c>
      <c r="C2406" s="34" t="s">
        <v>774</v>
      </c>
      <c r="F2406" t="s">
        <v>774</v>
      </c>
      <c r="H2406">
        <v>5</v>
      </c>
      <c r="I2406">
        <f>VLOOKUP(B2406,BRAND!B:D,3,FALSE)</f>
        <v>3</v>
      </c>
      <c r="J2406">
        <v>9</v>
      </c>
      <c r="K2406" t="s">
        <v>821</v>
      </c>
      <c r="M2406">
        <v>0</v>
      </c>
    </row>
    <row r="2407" spans="1:13">
      <c r="A2407" t="s">
        <v>3549</v>
      </c>
      <c r="B2407" t="s">
        <v>1766</v>
      </c>
      <c r="C2407" s="34" t="s">
        <v>536</v>
      </c>
      <c r="F2407" t="s">
        <v>536</v>
      </c>
      <c r="H2407">
        <v>5</v>
      </c>
      <c r="I2407">
        <f>VLOOKUP(B2407,BRAND!B:D,3,FALSE)</f>
        <v>3</v>
      </c>
      <c r="J2407">
        <v>5</v>
      </c>
      <c r="K2407" t="s">
        <v>821</v>
      </c>
      <c r="M2407">
        <v>0</v>
      </c>
    </row>
    <row r="2408" spans="1:13">
      <c r="A2408" t="s">
        <v>3550</v>
      </c>
      <c r="B2408" t="s">
        <v>1766</v>
      </c>
      <c r="C2408" s="34" t="s">
        <v>842</v>
      </c>
      <c r="F2408" t="s">
        <v>842</v>
      </c>
      <c r="H2408">
        <v>5</v>
      </c>
      <c r="I2408">
        <f>VLOOKUP(B2408,BRAND!B:D,3,FALSE)</f>
        <v>3</v>
      </c>
      <c r="J2408">
        <v>5</v>
      </c>
      <c r="K2408" t="s">
        <v>821</v>
      </c>
      <c r="M2408">
        <v>0</v>
      </c>
    </row>
    <row r="2409" spans="1:13">
      <c r="A2409" t="s">
        <v>2547</v>
      </c>
      <c r="B2409" t="s">
        <v>1766</v>
      </c>
      <c r="C2409" s="34" t="s">
        <v>872</v>
      </c>
      <c r="F2409" t="s">
        <v>872</v>
      </c>
      <c r="H2409">
        <v>5</v>
      </c>
      <c r="I2409">
        <f>VLOOKUP(B2409,BRAND!B:D,3,FALSE)</f>
        <v>3</v>
      </c>
      <c r="J2409">
        <v>5</v>
      </c>
      <c r="K2409" t="s">
        <v>821</v>
      </c>
      <c r="M2409">
        <v>0</v>
      </c>
    </row>
    <row r="2410" spans="1:13">
      <c r="A2410" t="s">
        <v>4137</v>
      </c>
      <c r="B2410" t="s">
        <v>1766</v>
      </c>
      <c r="C2410" s="34" t="s">
        <v>799</v>
      </c>
      <c r="F2410" t="s">
        <v>799</v>
      </c>
      <c r="H2410">
        <v>5</v>
      </c>
      <c r="I2410">
        <f>VLOOKUP(B2410,BRAND!B:D,3,FALSE)</f>
        <v>3</v>
      </c>
      <c r="J2410">
        <v>5</v>
      </c>
      <c r="K2410" t="s">
        <v>821</v>
      </c>
      <c r="M2410">
        <v>0</v>
      </c>
    </row>
    <row r="2411" spans="1:13">
      <c r="A2411" t="s">
        <v>8003</v>
      </c>
      <c r="B2411" t="s">
        <v>8004</v>
      </c>
      <c r="C2411" s="34" t="s">
        <v>1438</v>
      </c>
      <c r="F2411" t="s">
        <v>1438</v>
      </c>
      <c r="G2411" t="s">
        <v>6932</v>
      </c>
      <c r="H2411">
        <v>5</v>
      </c>
      <c r="I2411">
        <f>VLOOKUP(B2411,BRAND!B:D,3,FALSE)</f>
        <v>5.5</v>
      </c>
      <c r="J2411">
        <v>4</v>
      </c>
      <c r="M2411">
        <v>1</v>
      </c>
    </row>
    <row r="2412" spans="1:13">
      <c r="A2412" t="s">
        <v>4766</v>
      </c>
      <c r="B2412" t="s">
        <v>1246</v>
      </c>
      <c r="C2412" s="34" t="s">
        <v>904</v>
      </c>
      <c r="F2412" t="s">
        <v>904</v>
      </c>
      <c r="H2412">
        <v>5</v>
      </c>
      <c r="I2412">
        <f>VLOOKUP(B2412,BRAND!B:D,3,FALSE)</f>
        <v>3</v>
      </c>
      <c r="J2412">
        <v>8</v>
      </c>
      <c r="K2412" t="s">
        <v>821</v>
      </c>
      <c r="M2412">
        <v>0</v>
      </c>
    </row>
    <row r="2413" spans="1:13">
      <c r="A2413" t="s">
        <v>3183</v>
      </c>
      <c r="B2413" t="s">
        <v>1246</v>
      </c>
      <c r="C2413" s="34" t="s">
        <v>872</v>
      </c>
      <c r="F2413" t="s">
        <v>872</v>
      </c>
      <c r="H2413">
        <v>5</v>
      </c>
      <c r="I2413">
        <f>VLOOKUP(B2413,BRAND!B:D,3,FALSE)</f>
        <v>3</v>
      </c>
      <c r="J2413">
        <v>5</v>
      </c>
      <c r="K2413" t="s">
        <v>821</v>
      </c>
      <c r="M2413">
        <v>0</v>
      </c>
    </row>
    <row r="2414" spans="1:13">
      <c r="A2414" t="s">
        <v>11361</v>
      </c>
      <c r="B2414" t="s">
        <v>10866</v>
      </c>
      <c r="C2414" s="34" t="s">
        <v>861</v>
      </c>
      <c r="F2414" t="s">
        <v>861</v>
      </c>
      <c r="G2414" t="s">
        <v>6932</v>
      </c>
      <c r="H2414">
        <v>5</v>
      </c>
    </row>
    <row r="2415" spans="1:13">
      <c r="A2415" t="s">
        <v>11362</v>
      </c>
      <c r="B2415" t="s">
        <v>10866</v>
      </c>
      <c r="C2415" s="34" t="s">
        <v>862</v>
      </c>
      <c r="F2415" t="s">
        <v>862</v>
      </c>
      <c r="G2415" t="s">
        <v>6932</v>
      </c>
      <c r="H2415">
        <v>5</v>
      </c>
    </row>
    <row r="2416" spans="1:13">
      <c r="A2416" t="s">
        <v>11363</v>
      </c>
      <c r="B2416" t="s">
        <v>10866</v>
      </c>
      <c r="C2416" s="34" t="s">
        <v>10957</v>
      </c>
      <c r="F2416" t="s">
        <v>10957</v>
      </c>
      <c r="G2416" t="s">
        <v>6932</v>
      </c>
      <c r="H2416">
        <v>5</v>
      </c>
    </row>
    <row r="2417" spans="1:13">
      <c r="A2417" t="s">
        <v>8005</v>
      </c>
      <c r="B2417" t="s">
        <v>8006</v>
      </c>
      <c r="C2417" s="34" t="s">
        <v>1438</v>
      </c>
      <c r="F2417" t="s">
        <v>1438</v>
      </c>
      <c r="G2417" t="s">
        <v>6932</v>
      </c>
      <c r="H2417">
        <v>5</v>
      </c>
      <c r="I2417">
        <f>VLOOKUP(B2417,BRAND!B:D,3,FALSE)</f>
        <v>5.5</v>
      </c>
      <c r="J2417">
        <v>4</v>
      </c>
      <c r="M2417">
        <v>1</v>
      </c>
    </row>
    <row r="2418" spans="1:13">
      <c r="A2418" s="29" t="s">
        <v>9630</v>
      </c>
      <c r="B2418" s="29" t="s">
        <v>1754</v>
      </c>
      <c r="C2418" s="36" t="s">
        <v>1967</v>
      </c>
      <c r="D2418" s="29"/>
      <c r="E2418" s="29"/>
      <c r="F2418" s="29" t="s">
        <v>1967</v>
      </c>
      <c r="G2418" s="29"/>
      <c r="H2418" s="29">
        <v>5</v>
      </c>
      <c r="I2418">
        <f>VLOOKUP(B2418,BRAND!B:D,3,FALSE)</f>
        <v>3</v>
      </c>
      <c r="J2418">
        <f>LEN(F2418)</f>
        <v>15</v>
      </c>
      <c r="M2418">
        <v>1</v>
      </c>
    </row>
    <row r="2419" spans="1:13">
      <c r="A2419" t="s">
        <v>9629</v>
      </c>
      <c r="B2419" t="s">
        <v>1754</v>
      </c>
      <c r="C2419" s="34" t="s">
        <v>772</v>
      </c>
      <c r="F2419" t="s">
        <v>772</v>
      </c>
      <c r="H2419">
        <v>5</v>
      </c>
      <c r="I2419">
        <f>VLOOKUP(B2419,BRAND!B:D,3,FALSE)</f>
        <v>3</v>
      </c>
      <c r="J2419">
        <v>6</v>
      </c>
      <c r="M2419">
        <v>1</v>
      </c>
    </row>
    <row r="2420" spans="1:13">
      <c r="A2420" t="s">
        <v>3773</v>
      </c>
      <c r="B2420" t="s">
        <v>1156</v>
      </c>
      <c r="C2420" s="34" t="s">
        <v>872</v>
      </c>
      <c r="F2420" t="s">
        <v>872</v>
      </c>
      <c r="H2420">
        <v>5</v>
      </c>
      <c r="I2420">
        <f>VLOOKUP(B2420,BRAND!B:D,3,FALSE)</f>
        <v>3</v>
      </c>
      <c r="J2420">
        <v>5</v>
      </c>
      <c r="K2420" t="s">
        <v>821</v>
      </c>
      <c r="M2420">
        <v>0</v>
      </c>
    </row>
    <row r="2421" spans="1:13">
      <c r="A2421" t="s">
        <v>3199</v>
      </c>
      <c r="B2421" t="s">
        <v>1247</v>
      </c>
      <c r="C2421" s="34" t="s">
        <v>1438</v>
      </c>
      <c r="F2421" t="s">
        <v>1438</v>
      </c>
      <c r="H2421">
        <v>15</v>
      </c>
      <c r="I2421">
        <f>VLOOKUP(B2421,BRAND!B:D,3,FALSE)</f>
        <v>3</v>
      </c>
      <c r="J2421">
        <v>4</v>
      </c>
      <c r="K2421" t="s">
        <v>821</v>
      </c>
      <c r="M2421">
        <v>0</v>
      </c>
    </row>
    <row r="2422" spans="1:13">
      <c r="A2422" t="s">
        <v>13912</v>
      </c>
      <c r="B2422" t="s">
        <v>13904</v>
      </c>
      <c r="C2422" s="34" t="s">
        <v>1999</v>
      </c>
      <c r="F2422" t="s">
        <v>7855</v>
      </c>
      <c r="G2422" t="s">
        <v>6932</v>
      </c>
      <c r="H2422">
        <v>5</v>
      </c>
      <c r="I2422">
        <f>VLOOKUP(B2422,BRAND!B:D,3,FALSE)</f>
        <v>0</v>
      </c>
      <c r="J2422">
        <f>LEN(F2422)</f>
        <v>11</v>
      </c>
      <c r="K2422" t="s">
        <v>821</v>
      </c>
      <c r="L2422">
        <v>0</v>
      </c>
      <c r="M2422">
        <v>1</v>
      </c>
    </row>
    <row r="2423" spans="1:13">
      <c r="A2423" t="s">
        <v>13913</v>
      </c>
      <c r="B2423" t="s">
        <v>13904</v>
      </c>
      <c r="C2423" s="34" t="s">
        <v>534</v>
      </c>
      <c r="F2423" t="s">
        <v>534</v>
      </c>
      <c r="G2423" t="s">
        <v>6932</v>
      </c>
      <c r="H2423">
        <v>5</v>
      </c>
      <c r="I2423">
        <f>VLOOKUP(B2423,BRAND!B:D,3,FALSE)</f>
        <v>0</v>
      </c>
      <c r="J2423">
        <f>LEN(F2423)</f>
        <v>6</v>
      </c>
      <c r="K2423" t="s">
        <v>821</v>
      </c>
      <c r="L2423">
        <v>0</v>
      </c>
      <c r="M2423">
        <v>1</v>
      </c>
    </row>
    <row r="2424" spans="1:13">
      <c r="A2424" t="s">
        <v>13903</v>
      </c>
      <c r="B2424" t="s">
        <v>13904</v>
      </c>
      <c r="C2424" s="34" t="s">
        <v>13890</v>
      </c>
      <c r="F2424" t="s">
        <v>13890</v>
      </c>
      <c r="G2424" t="s">
        <v>6932</v>
      </c>
      <c r="H2424">
        <v>5</v>
      </c>
      <c r="I2424">
        <f>VLOOKUP(B2424,BRAND!B:D,3,FALSE)</f>
        <v>0</v>
      </c>
      <c r="J2424">
        <f>LEN(F2424)</f>
        <v>6</v>
      </c>
      <c r="K2424" t="s">
        <v>821</v>
      </c>
      <c r="L2424">
        <v>0</v>
      </c>
      <c r="M2424">
        <v>1</v>
      </c>
    </row>
    <row r="2425" spans="1:13">
      <c r="A2425" t="s">
        <v>13911</v>
      </c>
      <c r="B2425" t="s">
        <v>13904</v>
      </c>
      <c r="C2425" s="34" t="s">
        <v>763</v>
      </c>
      <c r="F2425" t="s">
        <v>763</v>
      </c>
      <c r="G2425" t="s">
        <v>6932</v>
      </c>
      <c r="H2425">
        <v>5</v>
      </c>
      <c r="I2425">
        <f>VLOOKUP(B2425,BRAND!B:D,3,FALSE)</f>
        <v>0</v>
      </c>
      <c r="J2425">
        <f>LEN(F2425)</f>
        <v>5</v>
      </c>
      <c r="K2425" t="s">
        <v>821</v>
      </c>
      <c r="L2425">
        <v>0</v>
      </c>
      <c r="M2425">
        <v>1</v>
      </c>
    </row>
    <row r="2426" spans="1:13">
      <c r="A2426" t="s">
        <v>13918</v>
      </c>
      <c r="B2426" t="s">
        <v>13904</v>
      </c>
      <c r="C2426" s="34" t="s">
        <v>764</v>
      </c>
      <c r="F2426" t="s">
        <v>13919</v>
      </c>
      <c r="G2426" t="s">
        <v>6932</v>
      </c>
      <c r="H2426">
        <v>5</v>
      </c>
      <c r="I2426">
        <f>VLOOKUP(B2426,BRAND!B:D,3,FALSE)</f>
        <v>0</v>
      </c>
      <c r="J2426">
        <f>LEN(F2426)</f>
        <v>5</v>
      </c>
      <c r="K2426" t="s">
        <v>821</v>
      </c>
      <c r="L2426">
        <v>0</v>
      </c>
      <c r="M2426">
        <v>1</v>
      </c>
    </row>
    <row r="2427" spans="1:13">
      <c r="A2427" t="s">
        <v>8013</v>
      </c>
      <c r="B2427" t="s">
        <v>8014</v>
      </c>
      <c r="C2427" s="34" t="s">
        <v>1438</v>
      </c>
      <c r="F2427" t="s">
        <v>1438</v>
      </c>
      <c r="G2427" t="s">
        <v>6932</v>
      </c>
      <c r="H2427">
        <v>5</v>
      </c>
      <c r="I2427">
        <f>VLOOKUP(B2427,BRAND!B:D,3,FALSE)</f>
        <v>5.5</v>
      </c>
      <c r="J2427">
        <v>4</v>
      </c>
      <c r="M2427">
        <v>1</v>
      </c>
    </row>
    <row r="2428" spans="1:13">
      <c r="A2428" t="s">
        <v>8015</v>
      </c>
      <c r="B2428" t="s">
        <v>8016</v>
      </c>
      <c r="C2428" s="34" t="s">
        <v>1438</v>
      </c>
      <c r="F2428" t="s">
        <v>1438</v>
      </c>
      <c r="G2428" t="s">
        <v>6932</v>
      </c>
      <c r="H2428">
        <v>5</v>
      </c>
      <c r="I2428">
        <f>VLOOKUP(B2428,BRAND!B:D,3,FALSE)</f>
        <v>5.5</v>
      </c>
      <c r="J2428">
        <v>4</v>
      </c>
      <c r="M2428">
        <v>1</v>
      </c>
    </row>
    <row r="2429" spans="1:13">
      <c r="A2429" t="s">
        <v>2860</v>
      </c>
      <c r="B2429" t="s">
        <v>643</v>
      </c>
      <c r="C2429" s="34" t="s">
        <v>1438</v>
      </c>
      <c r="F2429" t="s">
        <v>1438</v>
      </c>
      <c r="H2429">
        <v>15</v>
      </c>
      <c r="I2429">
        <f>VLOOKUP(B2429,BRAND!B:D,3,FALSE)</f>
        <v>3</v>
      </c>
      <c r="J2429">
        <v>4</v>
      </c>
      <c r="K2429" t="s">
        <v>821</v>
      </c>
      <c r="M2429">
        <v>1</v>
      </c>
    </row>
    <row r="2430" spans="1:13">
      <c r="A2430" t="s">
        <v>8017</v>
      </c>
      <c r="B2430" t="s">
        <v>8018</v>
      </c>
      <c r="C2430" s="34" t="s">
        <v>1438</v>
      </c>
      <c r="F2430" t="s">
        <v>1438</v>
      </c>
      <c r="G2430" t="s">
        <v>6932</v>
      </c>
      <c r="H2430">
        <v>5</v>
      </c>
      <c r="I2430">
        <f>VLOOKUP(B2430,BRAND!B:D,3,FALSE)</f>
        <v>5.5</v>
      </c>
      <c r="J2430">
        <v>4</v>
      </c>
      <c r="M2430">
        <v>1</v>
      </c>
    </row>
    <row r="2431" spans="1:13">
      <c r="A2431" t="s">
        <v>2378</v>
      </c>
      <c r="B2431" t="s">
        <v>1029</v>
      </c>
      <c r="C2431" s="34" t="s">
        <v>1438</v>
      </c>
      <c r="F2431" t="s">
        <v>1438</v>
      </c>
      <c r="H2431">
        <v>15</v>
      </c>
      <c r="I2431">
        <f>VLOOKUP(B2431,BRAND!B:D,3,FALSE)</f>
        <v>3</v>
      </c>
      <c r="J2431">
        <v>4</v>
      </c>
      <c r="K2431" t="s">
        <v>821</v>
      </c>
      <c r="M2431">
        <v>0</v>
      </c>
    </row>
    <row r="2432" spans="1:13">
      <c r="A2432" t="s">
        <v>8019</v>
      </c>
      <c r="B2432" t="s">
        <v>8020</v>
      </c>
      <c r="C2432" s="34" t="s">
        <v>866</v>
      </c>
      <c r="F2432" t="s">
        <v>866</v>
      </c>
      <c r="G2432" t="s">
        <v>6932</v>
      </c>
      <c r="H2432">
        <v>5</v>
      </c>
      <c r="I2432">
        <f>VLOOKUP(B2432,BRAND!B:D,3,FALSE)</f>
        <v>5.5</v>
      </c>
      <c r="J2432">
        <v>5</v>
      </c>
      <c r="M2432">
        <v>1</v>
      </c>
    </row>
    <row r="2433" spans="1:13">
      <c r="A2433" t="s">
        <v>8021</v>
      </c>
      <c r="B2433" t="s">
        <v>8020</v>
      </c>
      <c r="C2433" s="34" t="s">
        <v>6429</v>
      </c>
      <c r="F2433" t="s">
        <v>6429</v>
      </c>
      <c r="G2433" t="s">
        <v>6932</v>
      </c>
      <c r="H2433">
        <v>5</v>
      </c>
      <c r="I2433">
        <f>VLOOKUP(B2433,BRAND!B:D,3,FALSE)</f>
        <v>5.5</v>
      </c>
      <c r="J2433">
        <v>4</v>
      </c>
      <c r="M2433">
        <v>1</v>
      </c>
    </row>
    <row r="2434" spans="1:13">
      <c r="A2434" t="s">
        <v>8022</v>
      </c>
      <c r="B2434" t="s">
        <v>8020</v>
      </c>
      <c r="C2434" s="34" t="s">
        <v>988</v>
      </c>
      <c r="F2434" t="s">
        <v>988</v>
      </c>
      <c r="G2434" t="s">
        <v>6932</v>
      </c>
      <c r="H2434">
        <v>5</v>
      </c>
      <c r="I2434">
        <f>VLOOKUP(B2434,BRAND!B:D,3,FALSE)</f>
        <v>5.5</v>
      </c>
      <c r="J2434">
        <v>4</v>
      </c>
      <c r="M2434">
        <v>1</v>
      </c>
    </row>
    <row r="2435" spans="1:13">
      <c r="A2435" t="s">
        <v>8023</v>
      </c>
      <c r="B2435" t="s">
        <v>8024</v>
      </c>
      <c r="C2435" s="34" t="s">
        <v>1438</v>
      </c>
      <c r="F2435" t="s">
        <v>1438</v>
      </c>
      <c r="G2435" t="s">
        <v>6932</v>
      </c>
      <c r="H2435">
        <v>5</v>
      </c>
      <c r="I2435">
        <f>VLOOKUP(B2435,BRAND!B:D,3,FALSE)</f>
        <v>5.5</v>
      </c>
      <c r="J2435">
        <v>4</v>
      </c>
      <c r="M2435">
        <v>1</v>
      </c>
    </row>
    <row r="2436" spans="1:13">
      <c r="A2436" t="s">
        <v>8025</v>
      </c>
      <c r="B2436" t="s">
        <v>8026</v>
      </c>
      <c r="C2436" s="34" t="s">
        <v>1438</v>
      </c>
      <c r="F2436" t="s">
        <v>1438</v>
      </c>
      <c r="G2436" t="s">
        <v>6932</v>
      </c>
      <c r="H2436">
        <v>5</v>
      </c>
      <c r="I2436">
        <f>VLOOKUP(B2436,BRAND!B:D,3,FALSE)</f>
        <v>5.5</v>
      </c>
      <c r="J2436">
        <v>4</v>
      </c>
      <c r="M2436">
        <v>1</v>
      </c>
    </row>
    <row r="2437" spans="1:13">
      <c r="A2437" t="s">
        <v>8027</v>
      </c>
      <c r="B2437" t="s">
        <v>8028</v>
      </c>
      <c r="C2437" s="34" t="s">
        <v>1438</v>
      </c>
      <c r="F2437" t="s">
        <v>1438</v>
      </c>
      <c r="G2437" t="s">
        <v>6932</v>
      </c>
      <c r="H2437">
        <v>5</v>
      </c>
      <c r="I2437">
        <f>VLOOKUP(B2437,BRAND!B:D,3,FALSE)</f>
        <v>5.5</v>
      </c>
      <c r="J2437">
        <v>4</v>
      </c>
      <c r="M2437">
        <v>1</v>
      </c>
    </row>
    <row r="2438" spans="1:13">
      <c r="A2438" t="s">
        <v>8048</v>
      </c>
      <c r="B2438" t="s">
        <v>8049</v>
      </c>
      <c r="C2438" s="34" t="s">
        <v>1438</v>
      </c>
      <c r="F2438" t="s">
        <v>1438</v>
      </c>
      <c r="G2438" t="s">
        <v>6932</v>
      </c>
      <c r="H2438">
        <v>5</v>
      </c>
      <c r="I2438">
        <f>VLOOKUP(B2438,BRAND!B:D,3,FALSE)</f>
        <v>5.5</v>
      </c>
      <c r="J2438">
        <v>4</v>
      </c>
      <c r="M2438">
        <v>1</v>
      </c>
    </row>
    <row r="2439" spans="1:13">
      <c r="A2439" t="s">
        <v>8050</v>
      </c>
      <c r="B2439" t="s">
        <v>8051</v>
      </c>
      <c r="C2439" s="34" t="s">
        <v>1438</v>
      </c>
      <c r="F2439" t="s">
        <v>1438</v>
      </c>
      <c r="G2439" t="s">
        <v>6932</v>
      </c>
      <c r="H2439">
        <v>5</v>
      </c>
      <c r="I2439">
        <f>VLOOKUP(B2439,BRAND!B:D,3,FALSE)</f>
        <v>5.5</v>
      </c>
      <c r="J2439">
        <v>4</v>
      </c>
      <c r="M2439">
        <v>1</v>
      </c>
    </row>
    <row r="2440" spans="1:13">
      <c r="A2440" t="s">
        <v>3576</v>
      </c>
      <c r="B2440" t="s">
        <v>644</v>
      </c>
      <c r="C2440" s="34" t="s">
        <v>534</v>
      </c>
      <c r="F2440" t="s">
        <v>534</v>
      </c>
      <c r="H2440">
        <v>5</v>
      </c>
      <c r="I2440">
        <f>VLOOKUP(B2440,BRAND!B:D,3,FALSE)</f>
        <v>3</v>
      </c>
      <c r="J2440">
        <v>6</v>
      </c>
      <c r="K2440" t="s">
        <v>821</v>
      </c>
      <c r="M2440">
        <v>0</v>
      </c>
    </row>
    <row r="2441" spans="1:13">
      <c r="A2441" t="s">
        <v>2059</v>
      </c>
      <c r="B2441" t="s">
        <v>644</v>
      </c>
      <c r="C2441" s="34" t="s">
        <v>1438</v>
      </c>
      <c r="F2441" t="s">
        <v>1438</v>
      </c>
      <c r="H2441">
        <v>15</v>
      </c>
      <c r="I2441">
        <f>VLOOKUP(B2441,BRAND!B:D,3,FALSE)</f>
        <v>3</v>
      </c>
      <c r="J2441">
        <v>4</v>
      </c>
      <c r="K2441" t="s">
        <v>821</v>
      </c>
      <c r="M2441">
        <v>1</v>
      </c>
    </row>
    <row r="2442" spans="1:13">
      <c r="A2442" t="s">
        <v>2348</v>
      </c>
      <c r="B2442" t="s">
        <v>1032</v>
      </c>
      <c r="C2442" s="34" t="s">
        <v>1438</v>
      </c>
      <c r="F2442" t="s">
        <v>1438</v>
      </c>
      <c r="H2442">
        <v>15</v>
      </c>
      <c r="I2442">
        <f>VLOOKUP(B2442,BRAND!B:D,3,FALSE)</f>
        <v>3</v>
      </c>
      <c r="J2442">
        <v>4</v>
      </c>
      <c r="K2442" t="s">
        <v>821</v>
      </c>
      <c r="M2442">
        <v>0</v>
      </c>
    </row>
    <row r="2443" spans="1:13">
      <c r="A2443" t="s">
        <v>3193</v>
      </c>
      <c r="B2443" t="s">
        <v>645</v>
      </c>
      <c r="C2443" s="34" t="s">
        <v>930</v>
      </c>
      <c r="F2443" t="s">
        <v>930</v>
      </c>
      <c r="H2443">
        <v>5</v>
      </c>
      <c r="I2443">
        <f>VLOOKUP(B2443,BRAND!B:D,3,FALSE)</f>
        <v>3</v>
      </c>
      <c r="J2443">
        <v>6</v>
      </c>
      <c r="K2443" t="s">
        <v>821</v>
      </c>
      <c r="M2443">
        <v>0</v>
      </c>
    </row>
    <row r="2444" spans="1:13">
      <c r="A2444" t="s">
        <v>3438</v>
      </c>
      <c r="B2444" t="s">
        <v>645</v>
      </c>
      <c r="C2444" s="34" t="s">
        <v>913</v>
      </c>
      <c r="F2444" t="s">
        <v>913</v>
      </c>
      <c r="H2444">
        <v>5</v>
      </c>
      <c r="I2444">
        <f>VLOOKUP(B2444,BRAND!B:D,3,FALSE)</f>
        <v>3</v>
      </c>
      <c r="J2444">
        <v>5</v>
      </c>
      <c r="K2444" t="s">
        <v>821</v>
      </c>
      <c r="M2444">
        <v>1</v>
      </c>
    </row>
    <row r="2445" spans="1:13">
      <c r="A2445" t="s">
        <v>4772</v>
      </c>
      <c r="B2445" t="s">
        <v>645</v>
      </c>
      <c r="C2445" s="34" t="s">
        <v>781</v>
      </c>
      <c r="F2445" t="s">
        <v>781</v>
      </c>
      <c r="H2445">
        <v>5</v>
      </c>
      <c r="I2445">
        <f>VLOOKUP(B2445,BRAND!B:D,3,FALSE)</f>
        <v>3</v>
      </c>
      <c r="J2445">
        <v>4</v>
      </c>
      <c r="K2445" t="s">
        <v>821</v>
      </c>
      <c r="M2445">
        <v>0</v>
      </c>
    </row>
    <row r="2446" spans="1:13">
      <c r="A2446" t="s">
        <v>6830</v>
      </c>
      <c r="B2446" t="s">
        <v>6825</v>
      </c>
      <c r="C2446" s="34" t="s">
        <v>1483</v>
      </c>
      <c r="F2446" t="s">
        <v>1483</v>
      </c>
      <c r="H2446">
        <v>5</v>
      </c>
      <c r="I2446">
        <f>VLOOKUP(B2446,BRAND!B:D,3,FALSE)</f>
        <v>5</v>
      </c>
      <c r="J2446">
        <v>9</v>
      </c>
      <c r="M2446">
        <v>1</v>
      </c>
    </row>
    <row r="2447" spans="1:13">
      <c r="A2447" t="s">
        <v>6828</v>
      </c>
      <c r="B2447" t="s">
        <v>6825</v>
      </c>
      <c r="C2447" s="34" t="s">
        <v>995</v>
      </c>
      <c r="F2447" t="s">
        <v>995</v>
      </c>
      <c r="H2447">
        <v>5</v>
      </c>
      <c r="I2447">
        <f>VLOOKUP(B2447,BRAND!B:D,3,FALSE)</f>
        <v>5</v>
      </c>
      <c r="J2447">
        <v>6</v>
      </c>
      <c r="M2447">
        <v>1</v>
      </c>
    </row>
    <row r="2448" spans="1:13">
      <c r="A2448" t="s">
        <v>6829</v>
      </c>
      <c r="B2448" t="s">
        <v>6825</v>
      </c>
      <c r="C2448" s="34" t="s">
        <v>1511</v>
      </c>
      <c r="F2448" t="s">
        <v>1511</v>
      </c>
      <c r="H2448">
        <v>5</v>
      </c>
      <c r="I2448">
        <f>VLOOKUP(B2448,BRAND!B:D,3,FALSE)</f>
        <v>5</v>
      </c>
      <c r="J2448">
        <v>6</v>
      </c>
      <c r="M2448">
        <v>1</v>
      </c>
    </row>
    <row r="2449" spans="1:13">
      <c r="A2449" t="s">
        <v>6824</v>
      </c>
      <c r="B2449" t="s">
        <v>6825</v>
      </c>
      <c r="C2449" s="34" t="s">
        <v>764</v>
      </c>
      <c r="F2449" t="s">
        <v>764</v>
      </c>
      <c r="H2449">
        <v>5</v>
      </c>
      <c r="I2449">
        <f>VLOOKUP(B2449,BRAND!B:D,3,FALSE)</f>
        <v>5</v>
      </c>
      <c r="J2449">
        <v>5</v>
      </c>
      <c r="M2449">
        <v>1</v>
      </c>
    </row>
    <row r="2450" spans="1:13">
      <c r="A2450" t="s">
        <v>6826</v>
      </c>
      <c r="B2450" t="s">
        <v>6825</v>
      </c>
      <c r="C2450" s="34" t="s">
        <v>6827</v>
      </c>
      <c r="F2450" t="s">
        <v>4896</v>
      </c>
      <c r="H2450">
        <v>5</v>
      </c>
      <c r="I2450">
        <f>VLOOKUP(B2450,BRAND!B:D,3,FALSE)</f>
        <v>5</v>
      </c>
      <c r="J2450">
        <v>3</v>
      </c>
      <c r="M2450">
        <v>1</v>
      </c>
    </row>
    <row r="2451" spans="1:13">
      <c r="A2451" s="29" t="s">
        <v>2296</v>
      </c>
      <c r="B2451" s="29" t="s">
        <v>585</v>
      </c>
      <c r="C2451" s="36" t="s">
        <v>872</v>
      </c>
      <c r="D2451" s="29"/>
      <c r="E2451" s="29"/>
      <c r="F2451" s="29" t="s">
        <v>872</v>
      </c>
      <c r="G2451" s="29"/>
      <c r="H2451" s="29">
        <v>5</v>
      </c>
      <c r="I2451">
        <f>VLOOKUP(B2451,BRAND!B:D,3,FALSE)</f>
        <v>3</v>
      </c>
      <c r="J2451">
        <v>5</v>
      </c>
      <c r="K2451" t="s">
        <v>821</v>
      </c>
      <c r="M2451">
        <v>1</v>
      </c>
    </row>
    <row r="2452" spans="1:13">
      <c r="A2452" t="s">
        <v>2300</v>
      </c>
      <c r="B2452" t="s">
        <v>585</v>
      </c>
      <c r="C2452" s="34" t="s">
        <v>1438</v>
      </c>
      <c r="F2452" t="s">
        <v>1438</v>
      </c>
      <c r="H2452">
        <v>15</v>
      </c>
      <c r="I2452">
        <f>VLOOKUP(B2452,BRAND!B:D,3,FALSE)</f>
        <v>3</v>
      </c>
      <c r="J2452">
        <v>4</v>
      </c>
      <c r="K2452" t="s">
        <v>821</v>
      </c>
      <c r="M2452">
        <v>1</v>
      </c>
    </row>
    <row r="2453" spans="1:13">
      <c r="A2453" t="s">
        <v>2902</v>
      </c>
      <c r="B2453" t="s">
        <v>1062</v>
      </c>
      <c r="C2453" s="34" t="s">
        <v>746</v>
      </c>
      <c r="F2453" t="s">
        <v>746</v>
      </c>
      <c r="H2453">
        <v>5</v>
      </c>
      <c r="I2453">
        <f>VLOOKUP(B2453,BRAND!B:D,3,FALSE)</f>
        <v>3</v>
      </c>
      <c r="J2453">
        <v>6</v>
      </c>
      <c r="K2453" t="s">
        <v>821</v>
      </c>
      <c r="M2453">
        <v>0</v>
      </c>
    </row>
    <row r="2454" spans="1:13">
      <c r="A2454" t="s">
        <v>4229</v>
      </c>
      <c r="B2454" t="s">
        <v>1062</v>
      </c>
      <c r="C2454" s="34" t="s">
        <v>898</v>
      </c>
      <c r="F2454" t="s">
        <v>898</v>
      </c>
      <c r="H2454">
        <v>5</v>
      </c>
      <c r="I2454">
        <f>VLOOKUP(B2454,BRAND!B:D,3,FALSE)</f>
        <v>3</v>
      </c>
      <c r="J2454">
        <v>6</v>
      </c>
      <c r="K2454" t="s">
        <v>821</v>
      </c>
      <c r="M2454">
        <v>0</v>
      </c>
    </row>
    <row r="2455" spans="1:13">
      <c r="A2455" t="s">
        <v>2333</v>
      </c>
      <c r="B2455" t="s">
        <v>1062</v>
      </c>
      <c r="C2455" s="34" t="s">
        <v>534</v>
      </c>
      <c r="F2455" t="s">
        <v>534</v>
      </c>
      <c r="H2455">
        <v>5</v>
      </c>
      <c r="I2455">
        <f>VLOOKUP(B2455,BRAND!B:D,3,FALSE)</f>
        <v>3</v>
      </c>
      <c r="J2455">
        <v>6</v>
      </c>
      <c r="K2455" t="s">
        <v>821</v>
      </c>
      <c r="M2455">
        <v>0</v>
      </c>
    </row>
    <row r="2456" spans="1:13">
      <c r="A2456" t="s">
        <v>3716</v>
      </c>
      <c r="B2456" t="s">
        <v>1062</v>
      </c>
      <c r="C2456" s="34" t="s">
        <v>536</v>
      </c>
      <c r="F2456" t="s">
        <v>536</v>
      </c>
      <c r="H2456">
        <v>5</v>
      </c>
      <c r="I2456">
        <f>VLOOKUP(B2456,BRAND!B:D,3,FALSE)</f>
        <v>3</v>
      </c>
      <c r="J2456">
        <v>5</v>
      </c>
      <c r="K2456" t="s">
        <v>821</v>
      </c>
      <c r="M2456">
        <v>0</v>
      </c>
    </row>
    <row r="2457" spans="1:13">
      <c r="A2457" t="s">
        <v>2932</v>
      </c>
      <c r="B2457" t="s">
        <v>1062</v>
      </c>
      <c r="C2457" s="34" t="s">
        <v>1438</v>
      </c>
      <c r="F2457" t="s">
        <v>1438</v>
      </c>
      <c r="H2457">
        <v>15</v>
      </c>
      <c r="I2457">
        <f>VLOOKUP(B2457,BRAND!B:D,3,FALSE)</f>
        <v>3</v>
      </c>
      <c r="J2457">
        <v>4</v>
      </c>
      <c r="K2457" t="s">
        <v>821</v>
      </c>
      <c r="M2457">
        <v>0</v>
      </c>
    </row>
    <row r="2458" spans="1:13">
      <c r="A2458" t="s">
        <v>9631</v>
      </c>
      <c r="B2458" t="s">
        <v>7234</v>
      </c>
      <c r="C2458" s="34" t="s">
        <v>5232</v>
      </c>
      <c r="F2458" t="s">
        <v>536</v>
      </c>
      <c r="G2458" t="s">
        <v>6932</v>
      </c>
      <c r="H2458">
        <v>5</v>
      </c>
      <c r="I2458">
        <f>VLOOKUP(B2458,BRAND!B:D,3,FALSE)</f>
        <v>5.5</v>
      </c>
      <c r="J2458">
        <v>5</v>
      </c>
      <c r="M2458">
        <v>1</v>
      </c>
    </row>
    <row r="2459" spans="1:13">
      <c r="A2459" t="s">
        <v>4040</v>
      </c>
      <c r="B2459" t="s">
        <v>624</v>
      </c>
      <c r="C2459" s="34" t="s">
        <v>6947</v>
      </c>
      <c r="F2459" t="s">
        <v>27</v>
      </c>
      <c r="H2459">
        <v>5</v>
      </c>
      <c r="I2459">
        <f>VLOOKUP(B2459,BRAND!B:D,3,FALSE)</f>
        <v>3</v>
      </c>
      <c r="J2459">
        <v>7</v>
      </c>
      <c r="K2459" t="s">
        <v>821</v>
      </c>
      <c r="M2459">
        <v>0</v>
      </c>
    </row>
    <row r="2460" spans="1:13">
      <c r="A2460" t="s">
        <v>3828</v>
      </c>
      <c r="B2460" t="s">
        <v>624</v>
      </c>
      <c r="C2460" s="34" t="s">
        <v>534</v>
      </c>
      <c r="F2460" t="s">
        <v>534</v>
      </c>
      <c r="H2460">
        <v>5</v>
      </c>
      <c r="I2460">
        <f>VLOOKUP(B2460,BRAND!B:D,3,FALSE)</f>
        <v>3</v>
      </c>
      <c r="J2460">
        <v>6</v>
      </c>
      <c r="K2460" t="s">
        <v>821</v>
      </c>
      <c r="M2460">
        <v>1</v>
      </c>
    </row>
    <row r="2461" spans="1:13">
      <c r="A2461" t="s">
        <v>9632</v>
      </c>
      <c r="B2461" t="s">
        <v>624</v>
      </c>
      <c r="C2461" s="34" t="s">
        <v>751</v>
      </c>
      <c r="F2461" t="s">
        <v>751</v>
      </c>
      <c r="H2461">
        <v>5</v>
      </c>
      <c r="I2461">
        <f>VLOOKUP(B2461,BRAND!B:D,3,FALSE)</f>
        <v>3</v>
      </c>
      <c r="J2461">
        <v>5</v>
      </c>
      <c r="M2461">
        <v>1</v>
      </c>
    </row>
    <row r="2462" spans="1:13">
      <c r="A2462" t="s">
        <v>2058</v>
      </c>
      <c r="B2462" t="s">
        <v>624</v>
      </c>
      <c r="C2462" s="34" t="s">
        <v>988</v>
      </c>
      <c r="F2462" t="s">
        <v>988</v>
      </c>
      <c r="H2462">
        <v>5</v>
      </c>
      <c r="I2462">
        <f>VLOOKUP(B2462,BRAND!B:D,3,FALSE)</f>
        <v>3</v>
      </c>
      <c r="J2462">
        <v>4</v>
      </c>
      <c r="K2462" t="s">
        <v>821</v>
      </c>
      <c r="M2462">
        <v>0</v>
      </c>
    </row>
    <row r="2463" spans="1:13">
      <c r="A2463" t="s">
        <v>4440</v>
      </c>
      <c r="B2463" t="s">
        <v>402</v>
      </c>
      <c r="C2463" s="34" t="s">
        <v>534</v>
      </c>
      <c r="F2463" t="s">
        <v>534</v>
      </c>
      <c r="H2463">
        <v>5</v>
      </c>
      <c r="I2463">
        <f>VLOOKUP(B2463,BRAND!B:D,3,FALSE)</f>
        <v>3</v>
      </c>
      <c r="J2463">
        <v>6</v>
      </c>
      <c r="K2463" t="s">
        <v>821</v>
      </c>
      <c r="M2463">
        <v>1</v>
      </c>
    </row>
    <row r="2464" spans="1:13">
      <c r="A2464" t="s">
        <v>4557</v>
      </c>
      <c r="B2464" t="s">
        <v>402</v>
      </c>
      <c r="C2464" s="34" t="s">
        <v>5232</v>
      </c>
      <c r="F2464" t="s">
        <v>536</v>
      </c>
      <c r="H2464">
        <v>5</v>
      </c>
      <c r="I2464">
        <f>VLOOKUP(B2464,BRAND!B:D,3,FALSE)</f>
        <v>3</v>
      </c>
      <c r="J2464">
        <v>5</v>
      </c>
      <c r="K2464" t="s">
        <v>821</v>
      </c>
      <c r="M2464">
        <v>1</v>
      </c>
    </row>
    <row r="2465" spans="1:13">
      <c r="A2465" t="s">
        <v>8054</v>
      </c>
      <c r="B2465" t="s">
        <v>402</v>
      </c>
      <c r="C2465" s="34" t="s">
        <v>791</v>
      </c>
      <c r="F2465" t="s">
        <v>791</v>
      </c>
      <c r="G2465" t="s">
        <v>6932</v>
      </c>
      <c r="H2465">
        <v>5</v>
      </c>
      <c r="I2465">
        <f>VLOOKUP(B2465,BRAND!B:D,3,FALSE)</f>
        <v>3</v>
      </c>
      <c r="J2465">
        <v>5</v>
      </c>
      <c r="M2465">
        <v>1</v>
      </c>
    </row>
    <row r="2466" spans="1:13">
      <c r="A2466" t="s">
        <v>8053</v>
      </c>
      <c r="B2466" t="s">
        <v>402</v>
      </c>
      <c r="C2466" s="34" t="s">
        <v>765</v>
      </c>
      <c r="F2466" t="s">
        <v>765</v>
      </c>
      <c r="G2466" t="s">
        <v>6932</v>
      </c>
      <c r="H2466">
        <v>5</v>
      </c>
      <c r="I2466">
        <f>VLOOKUP(B2466,BRAND!B:D,3,FALSE)</f>
        <v>3</v>
      </c>
      <c r="J2466">
        <v>4</v>
      </c>
      <c r="M2466">
        <v>1</v>
      </c>
    </row>
    <row r="2467" spans="1:13">
      <c r="A2467" t="s">
        <v>8052</v>
      </c>
      <c r="B2467" t="s">
        <v>402</v>
      </c>
      <c r="C2467" s="34" t="s">
        <v>775</v>
      </c>
      <c r="F2467" t="s">
        <v>775</v>
      </c>
      <c r="G2467" t="s">
        <v>6932</v>
      </c>
      <c r="H2467">
        <v>5</v>
      </c>
      <c r="I2467">
        <f>VLOOKUP(B2467,BRAND!B:D,3,FALSE)</f>
        <v>3</v>
      </c>
      <c r="J2467">
        <v>3</v>
      </c>
      <c r="M2467">
        <v>1</v>
      </c>
    </row>
    <row r="2468" spans="1:13">
      <c r="A2468" t="s">
        <v>7835</v>
      </c>
      <c r="B2468" t="s">
        <v>7836</v>
      </c>
      <c r="C2468" s="34" t="s">
        <v>534</v>
      </c>
      <c r="F2468" t="s">
        <v>534</v>
      </c>
      <c r="G2468" t="s">
        <v>6932</v>
      </c>
      <c r="H2468">
        <v>5</v>
      </c>
      <c r="I2468">
        <f>VLOOKUP(B2468,BRAND!B:D,3,FALSE)</f>
        <v>5.5</v>
      </c>
      <c r="J2468">
        <v>6</v>
      </c>
      <c r="M2468">
        <v>1</v>
      </c>
    </row>
    <row r="2469" spans="1:13">
      <c r="A2469" t="s">
        <v>7837</v>
      </c>
      <c r="B2469" t="s">
        <v>7836</v>
      </c>
      <c r="C2469" s="34" t="s">
        <v>535</v>
      </c>
      <c r="F2469" t="s">
        <v>535</v>
      </c>
      <c r="G2469" t="s">
        <v>6932</v>
      </c>
      <c r="H2469">
        <v>5</v>
      </c>
      <c r="I2469">
        <f>VLOOKUP(B2469,BRAND!B:D,3,FALSE)</f>
        <v>5.5</v>
      </c>
      <c r="J2469">
        <v>6</v>
      </c>
      <c r="M2469">
        <v>1</v>
      </c>
    </row>
    <row r="2470" spans="1:13">
      <c r="A2470" t="s">
        <v>7839</v>
      </c>
      <c r="B2470" t="s">
        <v>7836</v>
      </c>
      <c r="C2470" s="34" t="s">
        <v>1438</v>
      </c>
      <c r="F2470" t="s">
        <v>1438</v>
      </c>
      <c r="G2470" t="s">
        <v>6932</v>
      </c>
      <c r="H2470">
        <v>5</v>
      </c>
      <c r="I2470">
        <f>VLOOKUP(B2470,BRAND!B:D,3,FALSE)</f>
        <v>5.5</v>
      </c>
      <c r="J2470">
        <v>4</v>
      </c>
      <c r="M2470">
        <v>0</v>
      </c>
    </row>
    <row r="2471" spans="1:13">
      <c r="A2471" t="s">
        <v>9634</v>
      </c>
      <c r="B2471" t="s">
        <v>7805</v>
      </c>
      <c r="C2471" s="34" t="s">
        <v>534</v>
      </c>
      <c r="F2471" t="s">
        <v>534</v>
      </c>
      <c r="G2471" t="s">
        <v>6932</v>
      </c>
      <c r="H2471">
        <v>5</v>
      </c>
      <c r="I2471">
        <f>VLOOKUP(B2471,BRAND!B:D,3,FALSE)</f>
        <v>5.5</v>
      </c>
      <c r="J2471">
        <v>6</v>
      </c>
      <c r="M2471">
        <v>1</v>
      </c>
    </row>
    <row r="2472" spans="1:13">
      <c r="A2472" t="s">
        <v>9633</v>
      </c>
      <c r="B2472" t="s">
        <v>7805</v>
      </c>
      <c r="C2472" s="34" t="s">
        <v>772</v>
      </c>
      <c r="F2472" t="s">
        <v>772</v>
      </c>
      <c r="G2472" t="s">
        <v>6932</v>
      </c>
      <c r="H2472">
        <v>5</v>
      </c>
      <c r="I2472">
        <f>VLOOKUP(B2472,BRAND!B:D,3,FALSE)</f>
        <v>5.5</v>
      </c>
      <c r="J2472">
        <v>6</v>
      </c>
      <c r="M2472">
        <v>1</v>
      </c>
    </row>
    <row r="2473" spans="1:13">
      <c r="A2473" t="s">
        <v>7804</v>
      </c>
      <c r="B2473" t="s">
        <v>7805</v>
      </c>
      <c r="C2473" s="34" t="s">
        <v>1438</v>
      </c>
      <c r="F2473" t="s">
        <v>1438</v>
      </c>
      <c r="G2473" t="s">
        <v>6932</v>
      </c>
      <c r="H2473">
        <v>5</v>
      </c>
      <c r="I2473">
        <f>VLOOKUP(B2473,BRAND!B:D,3,FALSE)</f>
        <v>5.5</v>
      </c>
      <c r="J2473">
        <v>4</v>
      </c>
      <c r="M2473">
        <v>0</v>
      </c>
    </row>
    <row r="2474" spans="1:13">
      <c r="A2474" t="s">
        <v>14206</v>
      </c>
      <c r="B2474" t="s">
        <v>14203</v>
      </c>
      <c r="C2474" s="34" t="s">
        <v>14207</v>
      </c>
      <c r="F2474" t="s">
        <v>14208</v>
      </c>
      <c r="G2474" t="s">
        <v>6932</v>
      </c>
      <c r="H2474">
        <v>5</v>
      </c>
      <c r="I2474">
        <f>VLOOKUP(B2474,BRAND!B:D,3,FALSE)</f>
        <v>0</v>
      </c>
      <c r="J2474">
        <f>LEN(F2474)</f>
        <v>15</v>
      </c>
      <c r="K2474" t="s">
        <v>821</v>
      </c>
      <c r="L2474">
        <v>0</v>
      </c>
      <c r="M2474">
        <v>1</v>
      </c>
    </row>
    <row r="2475" spans="1:13">
      <c r="A2475" t="s">
        <v>14202</v>
      </c>
      <c r="B2475" t="s">
        <v>14203</v>
      </c>
      <c r="C2475" s="34" t="s">
        <v>14204</v>
      </c>
      <c r="F2475" t="s">
        <v>14205</v>
      </c>
      <c r="G2475" t="s">
        <v>6932</v>
      </c>
      <c r="H2475">
        <v>5</v>
      </c>
      <c r="I2475">
        <f>VLOOKUP(B2475,BRAND!B:D,3,FALSE)</f>
        <v>0</v>
      </c>
      <c r="J2475">
        <f>LEN(F2475)</f>
        <v>11</v>
      </c>
      <c r="K2475" t="s">
        <v>821</v>
      </c>
      <c r="L2475">
        <v>0</v>
      </c>
      <c r="M2475">
        <v>1</v>
      </c>
    </row>
    <row r="2476" spans="1:13">
      <c r="A2476" t="s">
        <v>7809</v>
      </c>
      <c r="B2476" t="s">
        <v>7807</v>
      </c>
      <c r="C2476" s="34" t="s">
        <v>535</v>
      </c>
      <c r="F2476" t="s">
        <v>535</v>
      </c>
      <c r="G2476" t="s">
        <v>6932</v>
      </c>
      <c r="H2476">
        <v>5</v>
      </c>
      <c r="I2476">
        <f>VLOOKUP(B2476,BRAND!B:D,3,FALSE)</f>
        <v>5.5</v>
      </c>
      <c r="J2476">
        <v>6</v>
      </c>
      <c r="M2476">
        <v>1</v>
      </c>
    </row>
    <row r="2477" spans="1:13">
      <c r="A2477" t="s">
        <v>7806</v>
      </c>
      <c r="B2477" t="s">
        <v>7807</v>
      </c>
      <c r="C2477" s="34" t="s">
        <v>7808</v>
      </c>
      <c r="F2477" t="s">
        <v>7808</v>
      </c>
      <c r="G2477" t="s">
        <v>6932</v>
      </c>
      <c r="H2477">
        <v>5</v>
      </c>
      <c r="I2477">
        <f>VLOOKUP(B2477,BRAND!B:D,3,FALSE)</f>
        <v>5.5</v>
      </c>
      <c r="J2477">
        <v>6</v>
      </c>
      <c r="M2477">
        <v>1</v>
      </c>
    </row>
    <row r="2478" spans="1:13">
      <c r="A2478" t="s">
        <v>7838</v>
      </c>
      <c r="B2478" t="s">
        <v>7807</v>
      </c>
      <c r="C2478" s="34" t="s">
        <v>1438</v>
      </c>
      <c r="F2478" t="s">
        <v>1438</v>
      </c>
      <c r="G2478" t="s">
        <v>6932</v>
      </c>
      <c r="H2478">
        <v>5</v>
      </c>
      <c r="I2478">
        <f>VLOOKUP(B2478,BRAND!B:D,3,FALSE)</f>
        <v>5.5</v>
      </c>
      <c r="J2478">
        <v>4</v>
      </c>
      <c r="M2478">
        <v>1</v>
      </c>
    </row>
    <row r="2479" spans="1:13">
      <c r="A2479" t="s">
        <v>15280</v>
      </c>
      <c r="B2479" t="s">
        <v>15281</v>
      </c>
      <c r="C2479" s="34" t="s">
        <v>786</v>
      </c>
      <c r="F2479" t="s">
        <v>786</v>
      </c>
      <c r="G2479" t="s">
        <v>6932</v>
      </c>
      <c r="H2479">
        <v>5</v>
      </c>
      <c r="I2479">
        <f>VLOOKUP(B2479,BRAND!B:D,3,FALSE)</f>
        <v>5</v>
      </c>
      <c r="J2479">
        <v>0</v>
      </c>
      <c r="K2479" t="s">
        <v>821</v>
      </c>
      <c r="L2479">
        <v>0</v>
      </c>
      <c r="M2479">
        <v>0</v>
      </c>
    </row>
    <row r="2480" spans="1:13">
      <c r="A2480" t="s">
        <v>15282</v>
      </c>
      <c r="B2480" t="s">
        <v>15281</v>
      </c>
      <c r="C2480" s="34" t="s">
        <v>561</v>
      </c>
      <c r="F2480" t="s">
        <v>561</v>
      </c>
      <c r="G2480" t="s">
        <v>6932</v>
      </c>
      <c r="H2480">
        <v>5</v>
      </c>
      <c r="I2480">
        <f>VLOOKUP(B2480,BRAND!B:D,3,FALSE)</f>
        <v>5</v>
      </c>
      <c r="J2480">
        <v>0</v>
      </c>
      <c r="K2480" t="s">
        <v>821</v>
      </c>
      <c r="L2480">
        <v>0</v>
      </c>
      <c r="M2480">
        <v>0</v>
      </c>
    </row>
    <row r="2481" spans="1:13">
      <c r="A2481" t="s">
        <v>15283</v>
      </c>
      <c r="B2481" t="s">
        <v>15281</v>
      </c>
      <c r="C2481" s="34" t="s">
        <v>536</v>
      </c>
      <c r="F2481" t="s">
        <v>536</v>
      </c>
      <c r="G2481" t="s">
        <v>6932</v>
      </c>
      <c r="H2481">
        <v>5</v>
      </c>
      <c r="I2481">
        <f>VLOOKUP(B2481,BRAND!B:D,3,FALSE)</f>
        <v>5</v>
      </c>
      <c r="J2481">
        <v>0</v>
      </c>
      <c r="K2481" t="s">
        <v>821</v>
      </c>
      <c r="L2481">
        <v>0</v>
      </c>
      <c r="M2481">
        <v>0</v>
      </c>
    </row>
    <row r="2482" spans="1:13">
      <c r="A2482" t="s">
        <v>15284</v>
      </c>
      <c r="B2482" t="s">
        <v>15281</v>
      </c>
      <c r="C2482" s="34" t="s">
        <v>10023</v>
      </c>
      <c r="F2482" t="s">
        <v>10023</v>
      </c>
      <c r="G2482" t="s">
        <v>6932</v>
      </c>
      <c r="H2482">
        <v>5</v>
      </c>
      <c r="I2482">
        <f>VLOOKUP(B2482,BRAND!B:D,3,FALSE)</f>
        <v>5</v>
      </c>
      <c r="J2482">
        <v>0</v>
      </c>
      <c r="K2482" t="s">
        <v>821</v>
      </c>
      <c r="L2482">
        <v>0</v>
      </c>
      <c r="M2482">
        <v>0</v>
      </c>
    </row>
    <row r="2483" spans="1:13">
      <c r="A2483" t="s">
        <v>15285</v>
      </c>
      <c r="B2483" t="s">
        <v>15281</v>
      </c>
      <c r="C2483" s="34" t="s">
        <v>776</v>
      </c>
      <c r="F2483" t="s">
        <v>776</v>
      </c>
      <c r="G2483" t="s">
        <v>6932</v>
      </c>
      <c r="H2483">
        <v>5</v>
      </c>
      <c r="I2483">
        <f>VLOOKUP(B2483,BRAND!B:D,3,FALSE)</f>
        <v>5</v>
      </c>
      <c r="J2483">
        <v>0</v>
      </c>
      <c r="K2483" t="s">
        <v>821</v>
      </c>
      <c r="L2483">
        <v>0</v>
      </c>
      <c r="M2483">
        <v>0</v>
      </c>
    </row>
    <row r="2484" spans="1:13">
      <c r="A2484" t="s">
        <v>15286</v>
      </c>
      <c r="B2484" t="s">
        <v>15281</v>
      </c>
      <c r="C2484" s="34" t="s">
        <v>7594</v>
      </c>
      <c r="F2484" t="s">
        <v>7594</v>
      </c>
      <c r="G2484" t="s">
        <v>6932</v>
      </c>
      <c r="H2484">
        <v>5</v>
      </c>
      <c r="I2484">
        <f>VLOOKUP(B2484,BRAND!B:D,3,FALSE)</f>
        <v>5</v>
      </c>
      <c r="J2484">
        <v>0</v>
      </c>
      <c r="K2484" t="s">
        <v>821</v>
      </c>
      <c r="L2484">
        <v>0</v>
      </c>
      <c r="M2484">
        <v>0</v>
      </c>
    </row>
    <row r="2485" spans="1:13">
      <c r="A2485" t="s">
        <v>7810</v>
      </c>
      <c r="B2485" t="s">
        <v>7811</v>
      </c>
      <c r="C2485" s="34" t="s">
        <v>1438</v>
      </c>
      <c r="F2485" t="s">
        <v>1438</v>
      </c>
      <c r="G2485" t="s">
        <v>6932</v>
      </c>
      <c r="H2485">
        <v>5</v>
      </c>
      <c r="I2485">
        <f>VLOOKUP(B2485,BRAND!B:D,3,FALSE)</f>
        <v>5.5</v>
      </c>
      <c r="J2485">
        <v>4</v>
      </c>
      <c r="M2485">
        <v>1</v>
      </c>
    </row>
    <row r="2486" spans="1:13">
      <c r="A2486" t="s">
        <v>8055</v>
      </c>
      <c r="B2486" t="s">
        <v>8056</v>
      </c>
      <c r="C2486" s="34" t="s">
        <v>1438</v>
      </c>
      <c r="F2486" t="s">
        <v>1438</v>
      </c>
      <c r="G2486" t="s">
        <v>6932</v>
      </c>
      <c r="H2486">
        <v>5</v>
      </c>
      <c r="I2486">
        <f>VLOOKUP(B2486,BRAND!B:D,3,FALSE)</f>
        <v>5.5</v>
      </c>
      <c r="J2486">
        <v>4</v>
      </c>
      <c r="M2486">
        <v>1</v>
      </c>
    </row>
    <row r="2487" spans="1:13">
      <c r="A2487" t="s">
        <v>8032</v>
      </c>
      <c r="B2487" t="s">
        <v>8030</v>
      </c>
      <c r="C2487" s="34" t="s">
        <v>872</v>
      </c>
      <c r="F2487" t="s">
        <v>872</v>
      </c>
      <c r="G2487" t="s">
        <v>6932</v>
      </c>
      <c r="H2487">
        <v>5</v>
      </c>
      <c r="I2487">
        <f>VLOOKUP(B2487,BRAND!B:D,3,FALSE)</f>
        <v>5.5</v>
      </c>
      <c r="J2487">
        <v>5</v>
      </c>
      <c r="M2487">
        <v>1</v>
      </c>
    </row>
    <row r="2488" spans="1:13">
      <c r="A2488" t="s">
        <v>8029</v>
      </c>
      <c r="B2488" t="s">
        <v>8030</v>
      </c>
      <c r="C2488" s="34" t="s">
        <v>8031</v>
      </c>
      <c r="F2488" t="s">
        <v>8031</v>
      </c>
      <c r="G2488" t="s">
        <v>6932</v>
      </c>
      <c r="H2488">
        <v>5</v>
      </c>
      <c r="I2488">
        <f>VLOOKUP(B2488,BRAND!B:D,3,FALSE)</f>
        <v>5.5</v>
      </c>
      <c r="J2488">
        <v>4</v>
      </c>
      <c r="M2488">
        <v>1</v>
      </c>
    </row>
    <row r="2489" spans="1:13">
      <c r="A2489" t="s">
        <v>7153</v>
      </c>
      <c r="B2489" t="s">
        <v>7154</v>
      </c>
      <c r="C2489" s="34" t="s">
        <v>1438</v>
      </c>
      <c r="F2489" t="s">
        <v>1438</v>
      </c>
      <c r="H2489">
        <v>5</v>
      </c>
      <c r="I2489">
        <f>VLOOKUP(B2489,BRAND!B:D,3,FALSE)</f>
        <v>5.5</v>
      </c>
      <c r="M2489">
        <v>1</v>
      </c>
    </row>
    <row r="2490" spans="1:13">
      <c r="A2490" t="s">
        <v>7635</v>
      </c>
      <c r="B2490" t="s">
        <v>7636</v>
      </c>
      <c r="C2490" s="34" t="s">
        <v>1438</v>
      </c>
      <c r="F2490" t="s">
        <v>1438</v>
      </c>
      <c r="G2490" t="s">
        <v>6932</v>
      </c>
      <c r="H2490">
        <v>5</v>
      </c>
      <c r="I2490">
        <f>VLOOKUP(B2490,BRAND!B:D,3,FALSE)</f>
        <v>5.5</v>
      </c>
      <c r="J2490">
        <v>4</v>
      </c>
      <c r="M2490">
        <v>1</v>
      </c>
    </row>
    <row r="2491" spans="1:13">
      <c r="A2491" t="s">
        <v>2588</v>
      </c>
      <c r="B2491" t="s">
        <v>631</v>
      </c>
      <c r="C2491" s="34" t="s">
        <v>1438</v>
      </c>
      <c r="F2491" t="s">
        <v>1438</v>
      </c>
      <c r="H2491">
        <v>15</v>
      </c>
      <c r="I2491">
        <f>VLOOKUP(B2491,BRAND!B:D,3,FALSE)</f>
        <v>3</v>
      </c>
      <c r="J2491">
        <v>4</v>
      </c>
      <c r="K2491" t="s">
        <v>821</v>
      </c>
      <c r="M2491">
        <v>1</v>
      </c>
    </row>
    <row r="2492" spans="1:13">
      <c r="A2492" t="s">
        <v>9635</v>
      </c>
      <c r="B2492" t="s">
        <v>47</v>
      </c>
      <c r="C2492" s="34" t="s">
        <v>766</v>
      </c>
      <c r="F2492" t="s">
        <v>766</v>
      </c>
      <c r="H2492">
        <v>5</v>
      </c>
      <c r="I2492">
        <f>VLOOKUP(B2492,BRAND!B:D,3,FALSE)</f>
        <v>3</v>
      </c>
      <c r="J2492">
        <v>6</v>
      </c>
      <c r="M2492">
        <v>1</v>
      </c>
    </row>
    <row r="2493" spans="1:13">
      <c r="A2493" t="s">
        <v>3408</v>
      </c>
      <c r="B2493" t="s">
        <v>47</v>
      </c>
      <c r="C2493" s="34" t="s">
        <v>536</v>
      </c>
      <c r="F2493" t="s">
        <v>536</v>
      </c>
      <c r="H2493">
        <v>5</v>
      </c>
      <c r="I2493">
        <f>VLOOKUP(B2493,BRAND!B:D,3,FALSE)</f>
        <v>3</v>
      </c>
      <c r="J2493">
        <v>5</v>
      </c>
      <c r="K2493" t="s">
        <v>821</v>
      </c>
      <c r="M2493">
        <v>1</v>
      </c>
    </row>
    <row r="2494" spans="1:13">
      <c r="A2494" t="s">
        <v>3690</v>
      </c>
      <c r="B2494" t="s">
        <v>47</v>
      </c>
      <c r="C2494" s="34" t="s">
        <v>842</v>
      </c>
      <c r="F2494" t="s">
        <v>842</v>
      </c>
      <c r="H2494">
        <v>5</v>
      </c>
      <c r="I2494">
        <f>VLOOKUP(B2494,BRAND!B:D,3,FALSE)</f>
        <v>3</v>
      </c>
      <c r="J2494">
        <v>5</v>
      </c>
      <c r="K2494" t="s">
        <v>821</v>
      </c>
      <c r="M2494">
        <v>1</v>
      </c>
    </row>
    <row r="2495" spans="1:13">
      <c r="A2495" t="s">
        <v>9636</v>
      </c>
      <c r="B2495" t="s">
        <v>47</v>
      </c>
      <c r="C2495" s="34" t="s">
        <v>913</v>
      </c>
      <c r="F2495" t="s">
        <v>913</v>
      </c>
      <c r="H2495">
        <v>5</v>
      </c>
      <c r="I2495">
        <f>VLOOKUP(B2495,BRAND!B:D,3,FALSE)</f>
        <v>3</v>
      </c>
      <c r="J2495">
        <v>5</v>
      </c>
      <c r="M2495">
        <v>1</v>
      </c>
    </row>
    <row r="2496" spans="1:13">
      <c r="A2496" t="s">
        <v>8033</v>
      </c>
      <c r="B2496" t="s">
        <v>47</v>
      </c>
      <c r="C2496" s="34" t="s">
        <v>1438</v>
      </c>
      <c r="F2496" t="s">
        <v>1438</v>
      </c>
      <c r="G2496" t="s">
        <v>6932</v>
      </c>
      <c r="H2496">
        <v>5</v>
      </c>
      <c r="I2496">
        <f>VLOOKUP(B2496,BRAND!B:D,3,FALSE)</f>
        <v>3</v>
      </c>
      <c r="J2496">
        <v>4</v>
      </c>
      <c r="M2496">
        <v>1</v>
      </c>
    </row>
    <row r="2497" spans="1:13">
      <c r="A2497" t="s">
        <v>3325</v>
      </c>
      <c r="B2497" t="s">
        <v>47</v>
      </c>
      <c r="C2497" s="34" t="s">
        <v>786</v>
      </c>
      <c r="F2497" t="s">
        <v>786</v>
      </c>
      <c r="H2497">
        <v>5</v>
      </c>
      <c r="I2497">
        <f>VLOOKUP(B2497,BRAND!B:D,3,FALSE)</f>
        <v>3</v>
      </c>
      <c r="J2497">
        <v>3</v>
      </c>
      <c r="K2497" t="s">
        <v>821</v>
      </c>
      <c r="M2497">
        <v>1</v>
      </c>
    </row>
    <row r="2498" spans="1:13">
      <c r="A2498" t="s">
        <v>8036</v>
      </c>
      <c r="B2498" t="s">
        <v>467</v>
      </c>
      <c r="C2498" s="34" t="s">
        <v>8037</v>
      </c>
      <c r="F2498" t="s">
        <v>8037</v>
      </c>
      <c r="G2498" t="s">
        <v>6932</v>
      </c>
      <c r="H2498">
        <v>5</v>
      </c>
      <c r="I2498">
        <f>VLOOKUP(B2498,BRAND!B:D,3,FALSE)</f>
        <v>5.5</v>
      </c>
      <c r="J2498">
        <v>7</v>
      </c>
      <c r="M2498">
        <v>1</v>
      </c>
    </row>
    <row r="2499" spans="1:13">
      <c r="A2499" t="s">
        <v>8038</v>
      </c>
      <c r="B2499" t="s">
        <v>467</v>
      </c>
      <c r="C2499" s="34" t="s">
        <v>173</v>
      </c>
      <c r="F2499" t="s">
        <v>173</v>
      </c>
      <c r="G2499" t="s">
        <v>6932</v>
      </c>
      <c r="H2499">
        <v>5</v>
      </c>
      <c r="I2499">
        <f>VLOOKUP(B2499,BRAND!B:D,3,FALSE)</f>
        <v>5.5</v>
      </c>
      <c r="J2499">
        <v>7</v>
      </c>
      <c r="M2499">
        <v>1</v>
      </c>
    </row>
    <row r="2500" spans="1:13">
      <c r="A2500" t="s">
        <v>3192</v>
      </c>
      <c r="B2500" t="s">
        <v>467</v>
      </c>
      <c r="C2500" s="34" t="s">
        <v>911</v>
      </c>
      <c r="F2500" t="s">
        <v>911</v>
      </c>
      <c r="H2500">
        <v>5</v>
      </c>
      <c r="I2500">
        <f>VLOOKUP(B2500,BRAND!B:D,3,FALSE)</f>
        <v>5.5</v>
      </c>
      <c r="J2500">
        <v>6</v>
      </c>
      <c r="K2500" t="e">
        <v>#N/A</v>
      </c>
      <c r="M2500">
        <v>0</v>
      </c>
    </row>
    <row r="2501" spans="1:13">
      <c r="A2501" t="s">
        <v>3746</v>
      </c>
      <c r="B2501" t="s">
        <v>467</v>
      </c>
      <c r="C2501" s="34" t="s">
        <v>746</v>
      </c>
      <c r="F2501" t="s">
        <v>746</v>
      </c>
      <c r="H2501">
        <v>5</v>
      </c>
      <c r="I2501">
        <f>VLOOKUP(B2501,BRAND!B:D,3,FALSE)</f>
        <v>5.5</v>
      </c>
      <c r="J2501">
        <v>6</v>
      </c>
      <c r="K2501" t="e">
        <v>#N/A</v>
      </c>
      <c r="M2501">
        <v>1</v>
      </c>
    </row>
    <row r="2502" spans="1:13">
      <c r="A2502" t="s">
        <v>8034</v>
      </c>
      <c r="B2502" t="s">
        <v>467</v>
      </c>
      <c r="C2502" s="34" t="s">
        <v>8035</v>
      </c>
      <c r="F2502" t="s">
        <v>8035</v>
      </c>
      <c r="G2502" t="s">
        <v>6932</v>
      </c>
      <c r="H2502">
        <v>5</v>
      </c>
      <c r="I2502">
        <f>VLOOKUP(B2502,BRAND!B:D,3,FALSE)</f>
        <v>5.5</v>
      </c>
      <c r="J2502">
        <v>5</v>
      </c>
      <c r="M2502">
        <v>1</v>
      </c>
    </row>
    <row r="2503" spans="1:13">
      <c r="A2503" t="s">
        <v>8039</v>
      </c>
      <c r="B2503" t="s">
        <v>467</v>
      </c>
      <c r="C2503" s="34" t="s">
        <v>872</v>
      </c>
      <c r="F2503" t="s">
        <v>872</v>
      </c>
      <c r="G2503" t="s">
        <v>6932</v>
      </c>
      <c r="H2503">
        <v>5</v>
      </c>
      <c r="I2503">
        <f>VLOOKUP(B2503,BRAND!B:D,3,FALSE)</f>
        <v>5.5</v>
      </c>
      <c r="J2503">
        <v>5</v>
      </c>
      <c r="M2503">
        <v>1</v>
      </c>
    </row>
    <row r="2504" spans="1:13">
      <c r="A2504" t="s">
        <v>8059</v>
      </c>
      <c r="B2504" t="s">
        <v>467</v>
      </c>
      <c r="C2504" s="34" t="s">
        <v>8060</v>
      </c>
      <c r="F2504" t="s">
        <v>8060</v>
      </c>
      <c r="G2504" t="s">
        <v>6932</v>
      </c>
      <c r="H2504">
        <v>5</v>
      </c>
      <c r="I2504">
        <f>VLOOKUP(B2504,BRAND!B:D,3,FALSE)</f>
        <v>5.5</v>
      </c>
      <c r="J2504">
        <v>4</v>
      </c>
      <c r="M2504">
        <v>1</v>
      </c>
    </row>
    <row r="2505" spans="1:13">
      <c r="A2505" t="s">
        <v>8040</v>
      </c>
      <c r="B2505" t="s">
        <v>467</v>
      </c>
      <c r="C2505" s="34" t="s">
        <v>7039</v>
      </c>
      <c r="F2505" t="s">
        <v>7039</v>
      </c>
      <c r="G2505" t="s">
        <v>6932</v>
      </c>
      <c r="H2505">
        <v>5</v>
      </c>
      <c r="I2505">
        <f>VLOOKUP(B2505,BRAND!B:D,3,FALSE)</f>
        <v>5.5</v>
      </c>
      <c r="J2505">
        <v>3</v>
      </c>
      <c r="M2505">
        <v>1</v>
      </c>
    </row>
    <row r="2506" spans="1:13">
      <c r="A2506" t="s">
        <v>2562</v>
      </c>
      <c r="B2506" t="s">
        <v>467</v>
      </c>
      <c r="C2506" s="34" t="s">
        <v>1438</v>
      </c>
      <c r="F2506" t="s">
        <v>1438</v>
      </c>
      <c r="H2506">
        <v>15</v>
      </c>
      <c r="I2506">
        <f>VLOOKUP(B2506,BRAND!B:D,3,FALSE)</f>
        <v>5.5</v>
      </c>
      <c r="J2506">
        <v>4</v>
      </c>
      <c r="K2506" t="e">
        <v>#N/A</v>
      </c>
      <c r="M2506">
        <v>0</v>
      </c>
    </row>
    <row r="2507" spans="1:13">
      <c r="A2507" t="s">
        <v>8041</v>
      </c>
      <c r="B2507" t="s">
        <v>8042</v>
      </c>
      <c r="C2507" s="34" t="s">
        <v>1438</v>
      </c>
      <c r="F2507" t="s">
        <v>1438</v>
      </c>
      <c r="G2507" t="s">
        <v>6932</v>
      </c>
      <c r="H2507">
        <v>5</v>
      </c>
      <c r="I2507">
        <f>VLOOKUP(B2507,BRAND!B:D,3,FALSE)</f>
        <v>5.5</v>
      </c>
      <c r="J2507">
        <v>4</v>
      </c>
      <c r="M2507">
        <v>1</v>
      </c>
    </row>
    <row r="2508" spans="1:13">
      <c r="A2508" t="s">
        <v>8061</v>
      </c>
      <c r="B2508" t="s">
        <v>8062</v>
      </c>
      <c r="C2508" s="34" t="s">
        <v>8063</v>
      </c>
      <c r="F2508" t="s">
        <v>8063</v>
      </c>
      <c r="G2508" t="s">
        <v>6932</v>
      </c>
      <c r="H2508">
        <v>5</v>
      </c>
      <c r="I2508">
        <f>VLOOKUP(B2508,BRAND!B:D,3,FALSE)</f>
        <v>5.5</v>
      </c>
      <c r="J2508">
        <v>8</v>
      </c>
      <c r="M2508">
        <v>1</v>
      </c>
    </row>
    <row r="2509" spans="1:13">
      <c r="A2509" t="s">
        <v>8064</v>
      </c>
      <c r="B2509" t="s">
        <v>8062</v>
      </c>
      <c r="C2509" s="34" t="s">
        <v>782</v>
      </c>
      <c r="F2509" t="s">
        <v>782</v>
      </c>
      <c r="G2509" t="s">
        <v>6932</v>
      </c>
      <c r="H2509">
        <v>5</v>
      </c>
      <c r="I2509">
        <f>VLOOKUP(B2509,BRAND!B:D,3,FALSE)</f>
        <v>5.5</v>
      </c>
      <c r="J2509">
        <v>4</v>
      </c>
      <c r="M2509">
        <v>1</v>
      </c>
    </row>
    <row r="2510" spans="1:13">
      <c r="A2510" t="s">
        <v>8065</v>
      </c>
      <c r="B2510" t="s">
        <v>8066</v>
      </c>
      <c r="C2510" s="34" t="s">
        <v>1987</v>
      </c>
      <c r="F2510" t="s">
        <v>1987</v>
      </c>
      <c r="G2510" t="s">
        <v>6932</v>
      </c>
      <c r="H2510">
        <v>5</v>
      </c>
      <c r="I2510">
        <f>VLOOKUP(B2510,BRAND!B:D,3,FALSE)</f>
        <v>5.5</v>
      </c>
      <c r="J2510">
        <v>3</v>
      </c>
      <c r="M2510">
        <v>1</v>
      </c>
    </row>
    <row r="2511" spans="1:13">
      <c r="A2511" t="s">
        <v>9638</v>
      </c>
      <c r="B2511" t="s">
        <v>632</v>
      </c>
      <c r="C2511" s="34" t="s">
        <v>994</v>
      </c>
      <c r="F2511" t="s">
        <v>994</v>
      </c>
      <c r="H2511">
        <v>5</v>
      </c>
      <c r="I2511">
        <f>VLOOKUP(B2511,BRAND!B:D,3,FALSE)</f>
        <v>3</v>
      </c>
      <c r="J2511">
        <f>LEN(F2511)</f>
        <v>10</v>
      </c>
      <c r="M2511">
        <v>1</v>
      </c>
    </row>
    <row r="2512" spans="1:13">
      <c r="A2512" t="s">
        <v>8044</v>
      </c>
      <c r="B2512" t="s">
        <v>632</v>
      </c>
      <c r="C2512" s="34" t="s">
        <v>8045</v>
      </c>
      <c r="F2512" t="s">
        <v>8045</v>
      </c>
      <c r="G2512" t="s">
        <v>6932</v>
      </c>
      <c r="H2512">
        <v>5</v>
      </c>
      <c r="I2512">
        <f>VLOOKUP(B2512,BRAND!B:D,3,FALSE)</f>
        <v>3</v>
      </c>
      <c r="J2512">
        <v>8</v>
      </c>
      <c r="M2512">
        <v>1</v>
      </c>
    </row>
    <row r="2513" spans="1:13">
      <c r="A2513" t="s">
        <v>9637</v>
      </c>
      <c r="B2513" t="s">
        <v>632</v>
      </c>
      <c r="C2513" s="34" t="s">
        <v>10024</v>
      </c>
      <c r="F2513" t="s">
        <v>10024</v>
      </c>
      <c r="H2513">
        <v>5</v>
      </c>
      <c r="I2513">
        <f>VLOOKUP(B2513,BRAND!B:D,3,FALSE)</f>
        <v>3</v>
      </c>
      <c r="J2513">
        <v>7</v>
      </c>
      <c r="M2513">
        <v>1</v>
      </c>
    </row>
    <row r="2514" spans="1:13">
      <c r="A2514" t="s">
        <v>3271</v>
      </c>
      <c r="B2514" t="s">
        <v>632</v>
      </c>
      <c r="C2514" s="34" t="s">
        <v>780</v>
      </c>
      <c r="F2514" t="s">
        <v>780</v>
      </c>
      <c r="H2514">
        <v>5</v>
      </c>
      <c r="I2514">
        <f>VLOOKUP(B2514,BRAND!B:D,3,FALSE)</f>
        <v>3</v>
      </c>
      <c r="J2514">
        <v>6</v>
      </c>
      <c r="K2514" t="s">
        <v>821</v>
      </c>
      <c r="M2514">
        <v>0</v>
      </c>
    </row>
    <row r="2515" spans="1:13">
      <c r="A2515" t="s">
        <v>8043</v>
      </c>
      <c r="B2515" t="s">
        <v>632</v>
      </c>
      <c r="C2515" s="34" t="s">
        <v>760</v>
      </c>
      <c r="F2515" t="s">
        <v>760</v>
      </c>
      <c r="G2515" t="s">
        <v>6932</v>
      </c>
      <c r="H2515">
        <v>5</v>
      </c>
      <c r="I2515">
        <f>VLOOKUP(B2515,BRAND!B:D,3,FALSE)</f>
        <v>3</v>
      </c>
      <c r="J2515">
        <v>6</v>
      </c>
      <c r="M2515">
        <v>1</v>
      </c>
    </row>
    <row r="2516" spans="1:13">
      <c r="A2516" t="s">
        <v>2589</v>
      </c>
      <c r="B2516" t="s">
        <v>632</v>
      </c>
      <c r="C2516" s="34" t="s">
        <v>872</v>
      </c>
      <c r="F2516" t="s">
        <v>872</v>
      </c>
      <c r="H2516">
        <v>5</v>
      </c>
      <c r="I2516">
        <f>VLOOKUP(B2516,BRAND!B:D,3,FALSE)</f>
        <v>3</v>
      </c>
      <c r="J2516">
        <v>5</v>
      </c>
      <c r="K2516" t="s">
        <v>821</v>
      </c>
      <c r="M2516">
        <v>0</v>
      </c>
    </row>
    <row r="2517" spans="1:13">
      <c r="A2517" t="s">
        <v>2349</v>
      </c>
      <c r="B2517" t="s">
        <v>632</v>
      </c>
      <c r="C2517" s="34" t="s">
        <v>1438</v>
      </c>
      <c r="F2517" t="s">
        <v>1438</v>
      </c>
      <c r="H2517">
        <v>15</v>
      </c>
      <c r="I2517">
        <f>VLOOKUP(B2517,BRAND!B:D,3,FALSE)</f>
        <v>3</v>
      </c>
      <c r="J2517">
        <v>4</v>
      </c>
      <c r="K2517" t="s">
        <v>821</v>
      </c>
      <c r="M2517">
        <v>0</v>
      </c>
    </row>
    <row r="2518" spans="1:13">
      <c r="A2518" t="s">
        <v>14456</v>
      </c>
      <c r="B2518" t="s">
        <v>14447</v>
      </c>
      <c r="C2518" s="34" t="s">
        <v>10023</v>
      </c>
      <c r="F2518" t="s">
        <v>10023</v>
      </c>
      <c r="G2518" t="s">
        <v>6932</v>
      </c>
      <c r="H2518">
        <v>5</v>
      </c>
      <c r="I2518">
        <f>VLOOKUP(B2518,BRAND!B:D,3,FALSE)</f>
        <v>0</v>
      </c>
      <c r="J2518">
        <f>LEN(F2518)</f>
        <v>6</v>
      </c>
      <c r="K2518" t="s">
        <v>821</v>
      </c>
      <c r="L2518">
        <v>0</v>
      </c>
      <c r="M2518">
        <v>1</v>
      </c>
    </row>
    <row r="2519" spans="1:13">
      <c r="A2519" t="s">
        <v>14453</v>
      </c>
      <c r="B2519" t="s">
        <v>14447</v>
      </c>
      <c r="C2519" s="34" t="s">
        <v>534</v>
      </c>
      <c r="F2519" t="s">
        <v>534</v>
      </c>
      <c r="G2519" t="s">
        <v>6932</v>
      </c>
      <c r="H2519">
        <v>5</v>
      </c>
      <c r="I2519">
        <f>VLOOKUP(B2519,BRAND!B:D,3,FALSE)</f>
        <v>0</v>
      </c>
      <c r="J2519">
        <f>LEN(F2519)</f>
        <v>6</v>
      </c>
      <c r="K2519" t="s">
        <v>821</v>
      </c>
      <c r="L2519">
        <v>0</v>
      </c>
      <c r="M2519">
        <v>1</v>
      </c>
    </row>
    <row r="2520" spans="1:13">
      <c r="A2520" t="s">
        <v>14448</v>
      </c>
      <c r="B2520" t="s">
        <v>14447</v>
      </c>
      <c r="C2520" s="34" t="s">
        <v>8904</v>
      </c>
      <c r="F2520" t="s">
        <v>8904</v>
      </c>
      <c r="G2520" t="s">
        <v>6932</v>
      </c>
      <c r="H2520">
        <v>5</v>
      </c>
      <c r="I2520">
        <f>VLOOKUP(B2520,BRAND!B:D,3,FALSE)</f>
        <v>0</v>
      </c>
      <c r="J2520">
        <f>LEN(F2520)</f>
        <v>5</v>
      </c>
      <c r="K2520" t="s">
        <v>821</v>
      </c>
      <c r="L2520">
        <v>0</v>
      </c>
      <c r="M2520">
        <v>1</v>
      </c>
    </row>
    <row r="2521" spans="1:13">
      <c r="A2521" t="s">
        <v>14457</v>
      </c>
      <c r="B2521" t="s">
        <v>14447</v>
      </c>
      <c r="C2521" s="34" t="s">
        <v>536</v>
      </c>
      <c r="F2521" t="s">
        <v>536</v>
      </c>
      <c r="G2521" t="s">
        <v>6932</v>
      </c>
      <c r="H2521">
        <v>5</v>
      </c>
      <c r="I2521">
        <f>VLOOKUP(B2521,BRAND!B:D,3,FALSE)</f>
        <v>0</v>
      </c>
      <c r="J2521">
        <f>LEN(F2521)</f>
        <v>5</v>
      </c>
      <c r="K2521" t="s">
        <v>821</v>
      </c>
      <c r="L2521">
        <v>0</v>
      </c>
      <c r="M2521">
        <v>1</v>
      </c>
    </row>
    <row r="2522" spans="1:13">
      <c r="A2522" t="s">
        <v>14446</v>
      </c>
      <c r="B2522" t="s">
        <v>14447</v>
      </c>
      <c r="C2522" s="34" t="s">
        <v>561</v>
      </c>
      <c r="F2522" t="s">
        <v>561</v>
      </c>
      <c r="G2522" t="s">
        <v>6932</v>
      </c>
      <c r="H2522">
        <v>5</v>
      </c>
      <c r="I2522">
        <f>VLOOKUP(B2522,BRAND!B:D,3,FALSE)</f>
        <v>0</v>
      </c>
      <c r="J2522">
        <f>LEN(F2522)</f>
        <v>3</v>
      </c>
      <c r="K2522" t="s">
        <v>821</v>
      </c>
      <c r="L2522">
        <v>0</v>
      </c>
      <c r="M2522">
        <v>1</v>
      </c>
    </row>
    <row r="2523" spans="1:13">
      <c r="A2523" t="s">
        <v>2915</v>
      </c>
      <c r="B2523" t="s">
        <v>48</v>
      </c>
      <c r="C2523" s="34" t="s">
        <v>534</v>
      </c>
      <c r="F2523" t="s">
        <v>534</v>
      </c>
      <c r="H2523">
        <v>5</v>
      </c>
      <c r="I2523">
        <f>VLOOKUP(B2523,BRAND!B:D,3,FALSE)</f>
        <v>3</v>
      </c>
      <c r="J2523">
        <v>6</v>
      </c>
      <c r="K2523" t="s">
        <v>821</v>
      </c>
      <c r="M2523">
        <v>1</v>
      </c>
    </row>
    <row r="2524" spans="1:13">
      <c r="A2524" t="s">
        <v>8046</v>
      </c>
      <c r="B2524" t="s">
        <v>8047</v>
      </c>
      <c r="C2524" s="34" t="s">
        <v>1438</v>
      </c>
      <c r="F2524" t="s">
        <v>1438</v>
      </c>
      <c r="G2524" t="s">
        <v>6932</v>
      </c>
      <c r="H2524">
        <v>5</v>
      </c>
      <c r="I2524">
        <f>VLOOKUP(B2524,BRAND!B:D,3,FALSE)</f>
        <v>5.5</v>
      </c>
      <c r="J2524">
        <v>4</v>
      </c>
      <c r="M2524">
        <v>1</v>
      </c>
    </row>
    <row r="2525" spans="1:13">
      <c r="A2525" t="s">
        <v>7093</v>
      </c>
      <c r="B2525" t="s">
        <v>6621</v>
      </c>
      <c r="C2525" s="34" t="s">
        <v>1438</v>
      </c>
      <c r="F2525" t="s">
        <v>1438</v>
      </c>
      <c r="H2525">
        <v>5</v>
      </c>
      <c r="I2525">
        <f>VLOOKUP(B2525,BRAND!B:D,3,FALSE)</f>
        <v>5</v>
      </c>
      <c r="J2525">
        <v>4</v>
      </c>
      <c r="M2525">
        <v>1</v>
      </c>
    </row>
    <row r="2526" spans="1:13">
      <c r="A2526" t="s">
        <v>7093</v>
      </c>
      <c r="B2526" t="s">
        <v>6621</v>
      </c>
      <c r="C2526" s="34" t="s">
        <v>1438</v>
      </c>
      <c r="F2526" t="s">
        <v>1438</v>
      </c>
      <c r="H2526">
        <v>5</v>
      </c>
      <c r="I2526">
        <f>VLOOKUP(B2526,BRAND!B:D,3,FALSE)</f>
        <v>5</v>
      </c>
      <c r="J2526">
        <v>4</v>
      </c>
      <c r="M2526">
        <v>1</v>
      </c>
    </row>
    <row r="2527" spans="1:13">
      <c r="A2527" t="s">
        <v>14716</v>
      </c>
      <c r="B2527" t="s">
        <v>14694</v>
      </c>
      <c r="C2527" s="34" t="s">
        <v>913</v>
      </c>
      <c r="F2527" t="s">
        <v>14717</v>
      </c>
      <c r="G2527" t="s">
        <v>6932</v>
      </c>
      <c r="H2527">
        <v>5</v>
      </c>
      <c r="I2527">
        <f>VLOOKUP(B2527,BRAND!B:D,3,FALSE)</f>
        <v>0</v>
      </c>
      <c r="J2527">
        <f t="shared" ref="J2527:J2551" si="29">LEN(F2527)</f>
        <v>21</v>
      </c>
      <c r="K2527" t="s">
        <v>821</v>
      </c>
      <c r="L2527">
        <v>0</v>
      </c>
      <c r="M2527">
        <v>1</v>
      </c>
    </row>
    <row r="2528" spans="1:13">
      <c r="A2528" t="s">
        <v>14697</v>
      </c>
      <c r="B2528" t="s">
        <v>14694</v>
      </c>
      <c r="C2528" s="34" t="s">
        <v>1458</v>
      </c>
      <c r="F2528" t="s">
        <v>14698</v>
      </c>
      <c r="G2528" t="s">
        <v>6932</v>
      </c>
      <c r="H2528">
        <v>5</v>
      </c>
      <c r="I2528">
        <f>VLOOKUP(B2528,BRAND!B:D,3,FALSE)</f>
        <v>0</v>
      </c>
      <c r="J2528">
        <f t="shared" si="29"/>
        <v>21</v>
      </c>
      <c r="K2528" t="s">
        <v>821</v>
      </c>
      <c r="L2528">
        <v>0</v>
      </c>
      <c r="M2528">
        <v>1</v>
      </c>
    </row>
    <row r="2529" spans="1:13">
      <c r="A2529" t="s">
        <v>14734</v>
      </c>
      <c r="B2529" t="s">
        <v>14694</v>
      </c>
      <c r="C2529" s="34" t="s">
        <v>14735</v>
      </c>
      <c r="F2529" t="s">
        <v>14736</v>
      </c>
      <c r="G2529" t="s">
        <v>6932</v>
      </c>
      <c r="H2529">
        <v>5</v>
      </c>
      <c r="I2529">
        <f>VLOOKUP(B2529,BRAND!B:D,3,FALSE)</f>
        <v>0</v>
      </c>
      <c r="J2529">
        <f t="shared" si="29"/>
        <v>19</v>
      </c>
      <c r="K2529" t="s">
        <v>821</v>
      </c>
      <c r="L2529">
        <v>0</v>
      </c>
      <c r="M2529">
        <v>1</v>
      </c>
    </row>
    <row r="2530" spans="1:13">
      <c r="A2530" t="s">
        <v>14730</v>
      </c>
      <c r="B2530" t="s">
        <v>14694</v>
      </c>
      <c r="C2530" s="34" t="s">
        <v>14731</v>
      </c>
      <c r="F2530" t="s">
        <v>14732</v>
      </c>
      <c r="G2530" t="s">
        <v>6932</v>
      </c>
      <c r="H2530">
        <v>5</v>
      </c>
      <c r="I2530">
        <f>VLOOKUP(B2530,BRAND!B:D,3,FALSE)</f>
        <v>0</v>
      </c>
      <c r="J2530">
        <f t="shared" si="29"/>
        <v>17</v>
      </c>
      <c r="K2530" t="s">
        <v>821</v>
      </c>
      <c r="L2530">
        <v>0</v>
      </c>
      <c r="M2530">
        <v>1</v>
      </c>
    </row>
    <row r="2531" spans="1:13">
      <c r="A2531" t="s">
        <v>14724</v>
      </c>
      <c r="B2531" t="s">
        <v>14694</v>
      </c>
      <c r="C2531" s="34" t="s">
        <v>14725</v>
      </c>
      <c r="F2531" t="s">
        <v>14726</v>
      </c>
      <c r="G2531" t="s">
        <v>6932</v>
      </c>
      <c r="H2531">
        <v>5</v>
      </c>
      <c r="I2531">
        <f>VLOOKUP(B2531,BRAND!B:D,3,FALSE)</f>
        <v>0</v>
      </c>
      <c r="J2531">
        <f t="shared" si="29"/>
        <v>16</v>
      </c>
      <c r="K2531" t="s">
        <v>821</v>
      </c>
      <c r="L2531">
        <v>0</v>
      </c>
      <c r="M2531">
        <v>1</v>
      </c>
    </row>
    <row r="2532" spans="1:13">
      <c r="A2532" t="s">
        <v>14747</v>
      </c>
      <c r="B2532" t="s">
        <v>14694</v>
      </c>
      <c r="C2532" s="34" t="s">
        <v>755</v>
      </c>
      <c r="F2532" t="s">
        <v>14748</v>
      </c>
      <c r="G2532" t="s">
        <v>6932</v>
      </c>
      <c r="H2532">
        <v>5</v>
      </c>
      <c r="I2532">
        <f>VLOOKUP(B2532,BRAND!B:D,3,FALSE)</f>
        <v>0</v>
      </c>
      <c r="J2532">
        <f t="shared" si="29"/>
        <v>13</v>
      </c>
      <c r="K2532" t="s">
        <v>821</v>
      </c>
      <c r="L2532">
        <v>0</v>
      </c>
      <c r="M2532">
        <v>1</v>
      </c>
    </row>
    <row r="2533" spans="1:13">
      <c r="A2533" t="s">
        <v>14727</v>
      </c>
      <c r="B2533" t="s">
        <v>14694</v>
      </c>
      <c r="C2533" s="34" t="s">
        <v>14728</v>
      </c>
      <c r="F2533" t="s">
        <v>14729</v>
      </c>
      <c r="G2533" t="s">
        <v>6932</v>
      </c>
      <c r="H2533">
        <v>5</v>
      </c>
      <c r="I2533">
        <f>VLOOKUP(B2533,BRAND!B:D,3,FALSE)</f>
        <v>0</v>
      </c>
      <c r="J2533">
        <f t="shared" si="29"/>
        <v>13</v>
      </c>
      <c r="K2533" t="s">
        <v>821</v>
      </c>
      <c r="L2533">
        <v>0</v>
      </c>
      <c r="M2533">
        <v>1</v>
      </c>
    </row>
    <row r="2534" spans="1:13">
      <c r="A2534" t="s">
        <v>14693</v>
      </c>
      <c r="B2534" t="s">
        <v>14694</v>
      </c>
      <c r="C2534" s="34" t="s">
        <v>1922</v>
      </c>
      <c r="F2534" t="s">
        <v>14695</v>
      </c>
      <c r="G2534" t="s">
        <v>6932</v>
      </c>
      <c r="H2534">
        <v>5</v>
      </c>
      <c r="I2534">
        <f>VLOOKUP(B2534,BRAND!B:D,3,FALSE)</f>
        <v>0</v>
      </c>
      <c r="J2534">
        <f t="shared" si="29"/>
        <v>13</v>
      </c>
      <c r="K2534" t="s">
        <v>821</v>
      </c>
      <c r="L2534">
        <v>0</v>
      </c>
      <c r="M2534">
        <v>1</v>
      </c>
    </row>
    <row r="2535" spans="1:13">
      <c r="A2535" t="s">
        <v>14718</v>
      </c>
      <c r="B2535" t="s">
        <v>14694</v>
      </c>
      <c r="C2535" s="34" t="s">
        <v>14719</v>
      </c>
      <c r="F2535" t="s">
        <v>14720</v>
      </c>
      <c r="G2535" t="s">
        <v>6932</v>
      </c>
      <c r="H2535">
        <v>5</v>
      </c>
      <c r="I2535">
        <f>VLOOKUP(B2535,BRAND!B:D,3,FALSE)</f>
        <v>0</v>
      </c>
      <c r="J2535">
        <f t="shared" si="29"/>
        <v>13</v>
      </c>
      <c r="K2535" t="s">
        <v>821</v>
      </c>
      <c r="L2535">
        <v>0</v>
      </c>
      <c r="M2535">
        <v>1</v>
      </c>
    </row>
    <row r="2536" spans="1:13">
      <c r="A2536" t="s">
        <v>14704</v>
      </c>
      <c r="B2536" t="s">
        <v>14694</v>
      </c>
      <c r="C2536" s="34" t="s">
        <v>14705</v>
      </c>
      <c r="F2536" t="s">
        <v>14706</v>
      </c>
      <c r="G2536" t="s">
        <v>6932</v>
      </c>
      <c r="H2536">
        <v>5</v>
      </c>
      <c r="I2536">
        <f>VLOOKUP(B2536,BRAND!B:D,3,FALSE)</f>
        <v>0</v>
      </c>
      <c r="J2536">
        <f t="shared" si="29"/>
        <v>12</v>
      </c>
      <c r="K2536" t="s">
        <v>821</v>
      </c>
      <c r="L2536">
        <v>0</v>
      </c>
      <c r="M2536">
        <v>1</v>
      </c>
    </row>
    <row r="2537" spans="1:13">
      <c r="A2537" t="s">
        <v>14699</v>
      </c>
      <c r="B2537" t="s">
        <v>14694</v>
      </c>
      <c r="C2537" s="34" t="s">
        <v>14700</v>
      </c>
      <c r="F2537" t="s">
        <v>14701</v>
      </c>
      <c r="G2537" t="s">
        <v>6932</v>
      </c>
      <c r="H2537">
        <v>5</v>
      </c>
      <c r="I2537">
        <f>VLOOKUP(B2537,BRAND!B:D,3,FALSE)</f>
        <v>0</v>
      </c>
      <c r="J2537">
        <f t="shared" si="29"/>
        <v>12</v>
      </c>
      <c r="K2537" t="s">
        <v>821</v>
      </c>
      <c r="L2537">
        <v>0</v>
      </c>
      <c r="M2537">
        <v>1</v>
      </c>
    </row>
    <row r="2538" spans="1:13">
      <c r="A2538" t="s">
        <v>14745</v>
      </c>
      <c r="B2538" t="s">
        <v>14694</v>
      </c>
      <c r="C2538" s="34" t="s">
        <v>746</v>
      </c>
      <c r="F2538" t="s">
        <v>14746</v>
      </c>
      <c r="G2538" t="s">
        <v>6932</v>
      </c>
      <c r="H2538">
        <v>5</v>
      </c>
      <c r="I2538">
        <f>VLOOKUP(B2538,BRAND!B:D,3,FALSE)</f>
        <v>0</v>
      </c>
      <c r="J2538">
        <f t="shared" si="29"/>
        <v>12</v>
      </c>
      <c r="K2538" t="s">
        <v>821</v>
      </c>
      <c r="L2538">
        <v>0</v>
      </c>
      <c r="M2538">
        <v>1</v>
      </c>
    </row>
    <row r="2539" spans="1:13">
      <c r="A2539" t="s">
        <v>14749</v>
      </c>
      <c r="B2539" t="s">
        <v>14694</v>
      </c>
      <c r="C2539" s="34" t="s">
        <v>761</v>
      </c>
      <c r="F2539" t="s">
        <v>14750</v>
      </c>
      <c r="G2539" t="s">
        <v>6932</v>
      </c>
      <c r="H2539">
        <v>5</v>
      </c>
      <c r="I2539">
        <f>VLOOKUP(B2539,BRAND!B:D,3,FALSE)</f>
        <v>0</v>
      </c>
      <c r="J2539">
        <f t="shared" si="29"/>
        <v>12</v>
      </c>
      <c r="K2539" t="s">
        <v>821</v>
      </c>
      <c r="L2539">
        <v>0</v>
      </c>
      <c r="M2539">
        <v>1</v>
      </c>
    </row>
    <row r="2540" spans="1:13">
      <c r="A2540" t="s">
        <v>14713</v>
      </c>
      <c r="B2540" t="s">
        <v>14694</v>
      </c>
      <c r="C2540" s="34" t="s">
        <v>14714</v>
      </c>
      <c r="F2540" t="s">
        <v>14714</v>
      </c>
      <c r="G2540" t="s">
        <v>6932</v>
      </c>
      <c r="H2540">
        <v>5</v>
      </c>
      <c r="I2540">
        <f>VLOOKUP(B2540,BRAND!B:D,3,FALSE)</f>
        <v>0</v>
      </c>
      <c r="J2540">
        <f t="shared" si="29"/>
        <v>11</v>
      </c>
      <c r="K2540" t="s">
        <v>821</v>
      </c>
      <c r="L2540">
        <v>0</v>
      </c>
      <c r="M2540">
        <v>1</v>
      </c>
    </row>
    <row r="2541" spans="1:13">
      <c r="A2541" t="s">
        <v>14721</v>
      </c>
      <c r="B2541" t="s">
        <v>14694</v>
      </c>
      <c r="C2541" s="34" t="s">
        <v>14722</v>
      </c>
      <c r="F2541" t="s">
        <v>14723</v>
      </c>
      <c r="G2541" t="s">
        <v>6932</v>
      </c>
      <c r="H2541">
        <v>5</v>
      </c>
      <c r="I2541">
        <f>VLOOKUP(B2541,BRAND!B:D,3,FALSE)</f>
        <v>0</v>
      </c>
      <c r="J2541">
        <f t="shared" si="29"/>
        <v>10</v>
      </c>
      <c r="K2541" t="s">
        <v>821</v>
      </c>
      <c r="L2541">
        <v>0</v>
      </c>
      <c r="M2541">
        <v>1</v>
      </c>
    </row>
    <row r="2542" spans="1:13">
      <c r="A2542" t="s">
        <v>14710</v>
      </c>
      <c r="B2542" t="s">
        <v>14694</v>
      </c>
      <c r="C2542" s="34" t="s">
        <v>13893</v>
      </c>
      <c r="F2542" t="s">
        <v>13893</v>
      </c>
      <c r="G2542" t="s">
        <v>6932</v>
      </c>
      <c r="H2542">
        <v>5</v>
      </c>
      <c r="I2542">
        <f>VLOOKUP(B2542,BRAND!B:D,3,FALSE)</f>
        <v>0</v>
      </c>
      <c r="J2542">
        <f t="shared" si="29"/>
        <v>10</v>
      </c>
      <c r="K2542" t="s">
        <v>821</v>
      </c>
      <c r="L2542">
        <v>0</v>
      </c>
      <c r="M2542">
        <v>1</v>
      </c>
    </row>
    <row r="2543" spans="1:13">
      <c r="A2543" t="s">
        <v>14742</v>
      </c>
      <c r="B2543" t="s">
        <v>14694</v>
      </c>
      <c r="C2543" s="34" t="s">
        <v>14743</v>
      </c>
      <c r="F2543" t="s">
        <v>14744</v>
      </c>
      <c r="G2543" t="s">
        <v>6932</v>
      </c>
      <c r="H2543">
        <v>5</v>
      </c>
      <c r="I2543">
        <f>VLOOKUP(B2543,BRAND!B:D,3,FALSE)</f>
        <v>0</v>
      </c>
      <c r="J2543">
        <f t="shared" si="29"/>
        <v>9</v>
      </c>
      <c r="K2543" t="s">
        <v>821</v>
      </c>
      <c r="L2543">
        <v>0</v>
      </c>
      <c r="M2543">
        <v>1</v>
      </c>
    </row>
    <row r="2544" spans="1:13">
      <c r="A2544" t="s">
        <v>14702</v>
      </c>
      <c r="B2544" t="s">
        <v>14694</v>
      </c>
      <c r="C2544" s="34" t="s">
        <v>8495</v>
      </c>
      <c r="F2544" t="s">
        <v>14703</v>
      </c>
      <c r="G2544" t="s">
        <v>6932</v>
      </c>
      <c r="H2544">
        <v>5</v>
      </c>
      <c r="I2544">
        <f>VLOOKUP(B2544,BRAND!B:D,3,FALSE)</f>
        <v>0</v>
      </c>
      <c r="J2544">
        <f t="shared" si="29"/>
        <v>9</v>
      </c>
      <c r="K2544" t="s">
        <v>821</v>
      </c>
      <c r="L2544">
        <v>0</v>
      </c>
      <c r="M2544">
        <v>1</v>
      </c>
    </row>
    <row r="2545" spans="1:13">
      <c r="A2545" t="s">
        <v>14707</v>
      </c>
      <c r="B2545" t="s">
        <v>14694</v>
      </c>
      <c r="C2545" s="34" t="s">
        <v>14708</v>
      </c>
      <c r="F2545" t="s">
        <v>14709</v>
      </c>
      <c r="G2545" t="s">
        <v>6932</v>
      </c>
      <c r="H2545">
        <v>5</v>
      </c>
      <c r="I2545">
        <f>VLOOKUP(B2545,BRAND!B:D,3,FALSE)</f>
        <v>0</v>
      </c>
      <c r="J2545">
        <f t="shared" si="29"/>
        <v>9</v>
      </c>
      <c r="K2545" t="s">
        <v>821</v>
      </c>
      <c r="L2545">
        <v>0</v>
      </c>
      <c r="M2545">
        <v>1</v>
      </c>
    </row>
    <row r="2546" spans="1:13">
      <c r="A2546" t="s">
        <v>14739</v>
      </c>
      <c r="B2546" t="s">
        <v>14694</v>
      </c>
      <c r="C2546" s="34" t="s">
        <v>14740</v>
      </c>
      <c r="F2546" t="s">
        <v>14741</v>
      </c>
      <c r="G2546" t="s">
        <v>6932</v>
      </c>
      <c r="H2546">
        <v>5</v>
      </c>
      <c r="I2546">
        <f>VLOOKUP(B2546,BRAND!B:D,3,FALSE)</f>
        <v>0</v>
      </c>
      <c r="J2546">
        <f t="shared" si="29"/>
        <v>9</v>
      </c>
      <c r="K2546" t="s">
        <v>821</v>
      </c>
      <c r="L2546">
        <v>0</v>
      </c>
      <c r="M2546">
        <v>1</v>
      </c>
    </row>
    <row r="2547" spans="1:13">
      <c r="A2547" t="s">
        <v>14711</v>
      </c>
      <c r="B2547" t="s">
        <v>14694</v>
      </c>
      <c r="C2547" s="34" t="s">
        <v>14712</v>
      </c>
      <c r="F2547" t="s">
        <v>14712</v>
      </c>
      <c r="G2547" t="s">
        <v>6932</v>
      </c>
      <c r="H2547">
        <v>5</v>
      </c>
      <c r="I2547">
        <f>VLOOKUP(B2547,BRAND!B:D,3,FALSE)</f>
        <v>0</v>
      </c>
      <c r="J2547">
        <f t="shared" si="29"/>
        <v>7</v>
      </c>
      <c r="K2547" t="s">
        <v>821</v>
      </c>
      <c r="L2547">
        <v>0</v>
      </c>
      <c r="M2547">
        <v>1</v>
      </c>
    </row>
    <row r="2548" spans="1:13">
      <c r="A2548" t="s">
        <v>14733</v>
      </c>
      <c r="B2548" t="s">
        <v>14694</v>
      </c>
      <c r="C2548" s="34" t="s">
        <v>535</v>
      </c>
      <c r="F2548" t="s">
        <v>535</v>
      </c>
      <c r="G2548" t="s">
        <v>6932</v>
      </c>
      <c r="H2548">
        <v>5</v>
      </c>
      <c r="I2548">
        <f>VLOOKUP(B2548,BRAND!B:D,3,FALSE)</f>
        <v>0</v>
      </c>
      <c r="J2548">
        <f t="shared" si="29"/>
        <v>6</v>
      </c>
      <c r="K2548" t="s">
        <v>821</v>
      </c>
      <c r="L2548">
        <v>0</v>
      </c>
      <c r="M2548">
        <v>1</v>
      </c>
    </row>
    <row r="2549" spans="1:13">
      <c r="A2549" t="s">
        <v>14737</v>
      </c>
      <c r="B2549" t="s">
        <v>14694</v>
      </c>
      <c r="C2549" s="34" t="s">
        <v>14738</v>
      </c>
      <c r="F2549" t="s">
        <v>14738</v>
      </c>
      <c r="G2549" t="s">
        <v>6932</v>
      </c>
      <c r="H2549">
        <v>5</v>
      </c>
      <c r="I2549">
        <f>VLOOKUP(B2549,BRAND!B:D,3,FALSE)</f>
        <v>0</v>
      </c>
      <c r="J2549">
        <f t="shared" si="29"/>
        <v>5</v>
      </c>
      <c r="K2549" t="s">
        <v>821</v>
      </c>
      <c r="L2549">
        <v>0</v>
      </c>
      <c r="M2549">
        <v>1</v>
      </c>
    </row>
    <row r="2550" spans="1:13">
      <c r="A2550" t="s">
        <v>14715</v>
      </c>
      <c r="B2550" t="s">
        <v>14694</v>
      </c>
      <c r="C2550" s="34" t="s">
        <v>9405</v>
      </c>
      <c r="F2550" t="s">
        <v>9405</v>
      </c>
      <c r="G2550" t="s">
        <v>6932</v>
      </c>
      <c r="H2550">
        <v>5</v>
      </c>
      <c r="I2550">
        <f>VLOOKUP(B2550,BRAND!B:D,3,FALSE)</f>
        <v>0</v>
      </c>
      <c r="J2550">
        <f t="shared" si="29"/>
        <v>4</v>
      </c>
      <c r="K2550" t="s">
        <v>821</v>
      </c>
      <c r="L2550">
        <v>0</v>
      </c>
      <c r="M2550">
        <v>1</v>
      </c>
    </row>
    <row r="2551" spans="1:13">
      <c r="A2551" t="s">
        <v>14696</v>
      </c>
      <c r="B2551" t="s">
        <v>14694</v>
      </c>
      <c r="C2551" s="34" t="s">
        <v>561</v>
      </c>
      <c r="F2551" t="s">
        <v>561</v>
      </c>
      <c r="G2551" t="s">
        <v>6932</v>
      </c>
      <c r="H2551">
        <v>5</v>
      </c>
      <c r="I2551">
        <f>VLOOKUP(B2551,BRAND!B:D,3,FALSE)</f>
        <v>0</v>
      </c>
      <c r="J2551">
        <f t="shared" si="29"/>
        <v>3</v>
      </c>
      <c r="K2551" t="s">
        <v>821</v>
      </c>
      <c r="L2551">
        <v>0</v>
      </c>
      <c r="M2551">
        <v>1</v>
      </c>
    </row>
    <row r="2552" spans="1:13">
      <c r="A2552" t="s">
        <v>9639</v>
      </c>
      <c r="B2552" t="s">
        <v>384</v>
      </c>
      <c r="C2552" s="34" t="s">
        <v>1438</v>
      </c>
      <c r="F2552" t="s">
        <v>1438</v>
      </c>
      <c r="G2552" t="s">
        <v>6932</v>
      </c>
      <c r="H2552">
        <v>5</v>
      </c>
      <c r="I2552">
        <f>VLOOKUP(B2552,BRAND!B:D,3,FALSE)</f>
        <v>3</v>
      </c>
      <c r="J2552">
        <v>4</v>
      </c>
      <c r="M2552">
        <v>1</v>
      </c>
    </row>
    <row r="2553" spans="1:13">
      <c r="A2553" t="s">
        <v>15133</v>
      </c>
      <c r="B2553" t="s">
        <v>15134</v>
      </c>
      <c r="C2553" s="34" t="s">
        <v>15135</v>
      </c>
      <c r="F2553" t="s">
        <v>15136</v>
      </c>
      <c r="G2553" t="s">
        <v>6932</v>
      </c>
      <c r="H2553">
        <v>5</v>
      </c>
      <c r="I2553">
        <f>VLOOKUP(B2553,BRAND!B:D,3,FALSE)</f>
        <v>5</v>
      </c>
      <c r="J2553">
        <v>0</v>
      </c>
      <c r="K2553" t="s">
        <v>821</v>
      </c>
      <c r="L2553">
        <v>0</v>
      </c>
      <c r="M2553">
        <v>0</v>
      </c>
    </row>
    <row r="2554" spans="1:13">
      <c r="A2554" t="s">
        <v>15137</v>
      </c>
      <c r="B2554" t="s">
        <v>15134</v>
      </c>
      <c r="C2554" s="34" t="s">
        <v>15138</v>
      </c>
      <c r="F2554" t="s">
        <v>15139</v>
      </c>
      <c r="G2554" t="s">
        <v>6932</v>
      </c>
      <c r="H2554">
        <v>5</v>
      </c>
      <c r="I2554">
        <f>VLOOKUP(B2554,BRAND!B:D,3,FALSE)</f>
        <v>5</v>
      </c>
      <c r="J2554">
        <v>0</v>
      </c>
      <c r="K2554" t="s">
        <v>821</v>
      </c>
      <c r="L2554">
        <v>0</v>
      </c>
      <c r="M2554">
        <v>0</v>
      </c>
    </row>
    <row r="2555" spans="1:13">
      <c r="A2555" t="s">
        <v>15140</v>
      </c>
      <c r="B2555" t="s">
        <v>15134</v>
      </c>
      <c r="C2555" s="34" t="s">
        <v>13311</v>
      </c>
      <c r="F2555" t="s">
        <v>15141</v>
      </c>
      <c r="G2555" t="s">
        <v>6932</v>
      </c>
      <c r="H2555">
        <v>5</v>
      </c>
      <c r="I2555">
        <f>VLOOKUP(B2555,BRAND!B:D,3,FALSE)</f>
        <v>5</v>
      </c>
      <c r="J2555">
        <v>0</v>
      </c>
      <c r="K2555" t="s">
        <v>821</v>
      </c>
      <c r="L2555">
        <v>0</v>
      </c>
      <c r="M2555">
        <v>0</v>
      </c>
    </row>
    <row r="2556" spans="1:13">
      <c r="A2556" t="s">
        <v>15142</v>
      </c>
      <c r="B2556" t="s">
        <v>15134</v>
      </c>
      <c r="C2556" s="34" t="s">
        <v>777</v>
      </c>
      <c r="F2556" t="s">
        <v>15143</v>
      </c>
      <c r="G2556" t="s">
        <v>6932</v>
      </c>
      <c r="H2556">
        <v>5</v>
      </c>
      <c r="I2556">
        <f>VLOOKUP(B2556,BRAND!B:D,3,FALSE)</f>
        <v>5</v>
      </c>
      <c r="J2556">
        <v>0</v>
      </c>
      <c r="K2556" t="s">
        <v>821</v>
      </c>
      <c r="L2556">
        <v>0</v>
      </c>
      <c r="M2556">
        <v>0</v>
      </c>
    </row>
    <row r="2557" spans="1:13">
      <c r="A2557" t="s">
        <v>15144</v>
      </c>
      <c r="B2557" t="s">
        <v>15134</v>
      </c>
      <c r="C2557" s="34" t="s">
        <v>12931</v>
      </c>
      <c r="F2557" t="s">
        <v>12931</v>
      </c>
      <c r="G2557" t="s">
        <v>6932</v>
      </c>
      <c r="H2557">
        <v>5</v>
      </c>
      <c r="I2557">
        <f>VLOOKUP(B2557,BRAND!B:D,3,FALSE)</f>
        <v>5</v>
      </c>
      <c r="J2557">
        <v>0</v>
      </c>
      <c r="K2557" t="s">
        <v>821</v>
      </c>
      <c r="L2557">
        <v>0</v>
      </c>
      <c r="M2557">
        <v>0</v>
      </c>
    </row>
    <row r="2558" spans="1:13">
      <c r="A2558" t="s">
        <v>15145</v>
      </c>
      <c r="B2558" t="s">
        <v>15134</v>
      </c>
      <c r="C2558" s="34" t="s">
        <v>15146</v>
      </c>
      <c r="F2558" t="s">
        <v>15147</v>
      </c>
      <c r="G2558" t="s">
        <v>6932</v>
      </c>
      <c r="H2558">
        <v>5</v>
      </c>
      <c r="I2558">
        <f>VLOOKUP(B2558,BRAND!B:D,3,FALSE)</f>
        <v>5</v>
      </c>
      <c r="J2558">
        <v>0</v>
      </c>
      <c r="K2558" t="s">
        <v>821</v>
      </c>
      <c r="L2558">
        <v>0</v>
      </c>
      <c r="M2558">
        <v>0</v>
      </c>
    </row>
    <row r="2559" spans="1:13">
      <c r="A2559" t="s">
        <v>15148</v>
      </c>
      <c r="B2559" t="s">
        <v>15134</v>
      </c>
      <c r="C2559" s="34" t="s">
        <v>15149</v>
      </c>
      <c r="F2559" t="s">
        <v>15149</v>
      </c>
      <c r="G2559" t="s">
        <v>6932</v>
      </c>
      <c r="H2559">
        <v>5</v>
      </c>
      <c r="I2559">
        <f>VLOOKUP(B2559,BRAND!B:D,3,FALSE)</f>
        <v>5</v>
      </c>
      <c r="J2559">
        <v>0</v>
      </c>
      <c r="K2559" t="s">
        <v>821</v>
      </c>
      <c r="L2559">
        <v>0</v>
      </c>
      <c r="M2559">
        <v>0</v>
      </c>
    </row>
    <row r="2560" spans="1:13">
      <c r="A2560" t="s">
        <v>15150</v>
      </c>
      <c r="B2560" t="s">
        <v>15134</v>
      </c>
      <c r="C2560" s="34" t="s">
        <v>15151</v>
      </c>
      <c r="F2560" t="s">
        <v>15152</v>
      </c>
      <c r="G2560" t="s">
        <v>6932</v>
      </c>
      <c r="H2560">
        <v>5</v>
      </c>
      <c r="I2560">
        <f>VLOOKUP(B2560,BRAND!B:D,3,FALSE)</f>
        <v>5</v>
      </c>
      <c r="J2560">
        <v>0</v>
      </c>
      <c r="K2560" t="s">
        <v>821</v>
      </c>
      <c r="L2560">
        <v>0</v>
      </c>
      <c r="M2560">
        <v>0</v>
      </c>
    </row>
    <row r="2561" spans="1:13">
      <c r="A2561" t="s">
        <v>15153</v>
      </c>
      <c r="B2561" t="s">
        <v>15134</v>
      </c>
      <c r="C2561" s="34" t="s">
        <v>15154</v>
      </c>
      <c r="F2561" t="s">
        <v>15155</v>
      </c>
      <c r="G2561" t="s">
        <v>6932</v>
      </c>
      <c r="H2561">
        <v>5</v>
      </c>
      <c r="I2561">
        <f>VLOOKUP(B2561,BRAND!B:D,3,FALSE)</f>
        <v>5</v>
      </c>
      <c r="J2561">
        <v>0</v>
      </c>
      <c r="K2561" t="s">
        <v>821</v>
      </c>
      <c r="L2561">
        <v>0</v>
      </c>
      <c r="M2561">
        <v>0</v>
      </c>
    </row>
    <row r="2562" spans="1:13">
      <c r="A2562" t="s">
        <v>15156</v>
      </c>
      <c r="B2562" t="s">
        <v>15134</v>
      </c>
      <c r="C2562" s="34" t="s">
        <v>15157</v>
      </c>
      <c r="F2562" t="s">
        <v>15158</v>
      </c>
      <c r="G2562" t="s">
        <v>6932</v>
      </c>
      <c r="H2562">
        <v>5</v>
      </c>
      <c r="I2562">
        <f>VLOOKUP(B2562,BRAND!B:D,3,FALSE)</f>
        <v>5</v>
      </c>
      <c r="J2562">
        <v>0</v>
      </c>
      <c r="K2562" t="s">
        <v>821</v>
      </c>
      <c r="L2562">
        <v>0</v>
      </c>
      <c r="M2562">
        <v>0</v>
      </c>
    </row>
    <row r="2563" spans="1:13">
      <c r="A2563" t="s">
        <v>15159</v>
      </c>
      <c r="B2563" t="s">
        <v>15134</v>
      </c>
      <c r="C2563" s="34" t="s">
        <v>15160</v>
      </c>
      <c r="F2563" t="s">
        <v>15161</v>
      </c>
      <c r="G2563" t="s">
        <v>6932</v>
      </c>
      <c r="H2563">
        <v>5</v>
      </c>
      <c r="I2563">
        <f>VLOOKUP(B2563,BRAND!B:D,3,FALSE)</f>
        <v>5</v>
      </c>
      <c r="J2563">
        <v>0</v>
      </c>
      <c r="K2563" t="s">
        <v>821</v>
      </c>
      <c r="L2563">
        <v>0</v>
      </c>
      <c r="M2563">
        <v>0</v>
      </c>
    </row>
    <row r="2564" spans="1:13">
      <c r="A2564" t="s">
        <v>15162</v>
      </c>
      <c r="B2564" t="s">
        <v>15134</v>
      </c>
      <c r="C2564" s="34" t="s">
        <v>371</v>
      </c>
      <c r="F2564" t="s">
        <v>15163</v>
      </c>
      <c r="G2564" t="s">
        <v>6932</v>
      </c>
      <c r="H2564">
        <v>5</v>
      </c>
      <c r="I2564">
        <f>VLOOKUP(B2564,BRAND!B:D,3,FALSE)</f>
        <v>5</v>
      </c>
      <c r="J2564">
        <v>0</v>
      </c>
      <c r="K2564" t="s">
        <v>821</v>
      </c>
      <c r="L2564">
        <v>0</v>
      </c>
      <c r="M2564">
        <v>0</v>
      </c>
    </row>
    <row r="2565" spans="1:13">
      <c r="A2565" t="s">
        <v>15164</v>
      </c>
      <c r="B2565" t="s">
        <v>15134</v>
      </c>
      <c r="C2565" s="34" t="s">
        <v>755</v>
      </c>
      <c r="F2565" t="s">
        <v>15165</v>
      </c>
      <c r="G2565" t="s">
        <v>6932</v>
      </c>
      <c r="H2565">
        <v>5</v>
      </c>
      <c r="I2565">
        <f>VLOOKUP(B2565,BRAND!B:D,3,FALSE)</f>
        <v>5</v>
      </c>
      <c r="J2565">
        <v>0</v>
      </c>
      <c r="K2565" t="s">
        <v>821</v>
      </c>
      <c r="L2565">
        <v>0</v>
      </c>
      <c r="M2565">
        <v>0</v>
      </c>
    </row>
    <row r="2566" spans="1:13">
      <c r="A2566" t="s">
        <v>15166</v>
      </c>
      <c r="B2566" t="s">
        <v>15134</v>
      </c>
      <c r="C2566" s="34" t="s">
        <v>15167</v>
      </c>
      <c r="F2566" t="s">
        <v>15168</v>
      </c>
      <c r="G2566" t="s">
        <v>6932</v>
      </c>
      <c r="H2566">
        <v>5</v>
      </c>
      <c r="I2566">
        <f>VLOOKUP(B2566,BRAND!B:D,3,FALSE)</f>
        <v>5</v>
      </c>
      <c r="J2566">
        <v>0</v>
      </c>
      <c r="K2566" t="s">
        <v>821</v>
      </c>
      <c r="L2566">
        <v>0</v>
      </c>
      <c r="M2566">
        <v>0</v>
      </c>
    </row>
    <row r="2567" spans="1:13">
      <c r="A2567" t="s">
        <v>15169</v>
      </c>
      <c r="B2567" t="s">
        <v>15134</v>
      </c>
      <c r="C2567" s="34" t="s">
        <v>15170</v>
      </c>
      <c r="F2567" t="s">
        <v>15170</v>
      </c>
      <c r="G2567" t="s">
        <v>6932</v>
      </c>
      <c r="H2567">
        <v>5</v>
      </c>
      <c r="I2567">
        <f>VLOOKUP(B2567,BRAND!B:D,3,FALSE)</f>
        <v>5</v>
      </c>
      <c r="J2567">
        <v>0</v>
      </c>
      <c r="K2567" t="s">
        <v>821</v>
      </c>
      <c r="L2567">
        <v>0</v>
      </c>
      <c r="M2567">
        <v>0</v>
      </c>
    </row>
    <row r="2568" spans="1:13">
      <c r="A2568" t="s">
        <v>15171</v>
      </c>
      <c r="B2568" t="s">
        <v>15134</v>
      </c>
      <c r="C2568" s="34" t="s">
        <v>15172</v>
      </c>
      <c r="F2568" t="s">
        <v>15172</v>
      </c>
      <c r="G2568" t="s">
        <v>6932</v>
      </c>
      <c r="H2568">
        <v>5</v>
      </c>
      <c r="I2568">
        <f>VLOOKUP(B2568,BRAND!B:D,3,FALSE)</f>
        <v>5</v>
      </c>
      <c r="J2568">
        <v>0</v>
      </c>
      <c r="K2568" t="s">
        <v>821</v>
      </c>
      <c r="L2568">
        <v>0</v>
      </c>
      <c r="M2568">
        <v>0</v>
      </c>
    </row>
    <row r="2569" spans="1:13">
      <c r="A2569" t="s">
        <v>15173</v>
      </c>
      <c r="B2569" t="s">
        <v>15134</v>
      </c>
      <c r="C2569" s="34" t="s">
        <v>15174</v>
      </c>
      <c r="F2569" t="s">
        <v>15174</v>
      </c>
      <c r="G2569" t="s">
        <v>6932</v>
      </c>
      <c r="H2569">
        <v>5</v>
      </c>
      <c r="I2569">
        <f>VLOOKUP(B2569,BRAND!B:D,3,FALSE)</f>
        <v>5</v>
      </c>
      <c r="J2569">
        <v>0</v>
      </c>
      <c r="K2569" t="s">
        <v>821</v>
      </c>
      <c r="L2569">
        <v>0</v>
      </c>
      <c r="M2569">
        <v>0</v>
      </c>
    </row>
    <row r="2570" spans="1:13">
      <c r="A2570" t="s">
        <v>15175</v>
      </c>
      <c r="B2570" t="s">
        <v>15134</v>
      </c>
      <c r="C2570" s="34" t="s">
        <v>15176</v>
      </c>
      <c r="F2570" t="s">
        <v>15176</v>
      </c>
      <c r="G2570" t="s">
        <v>6932</v>
      </c>
      <c r="H2570">
        <v>5</v>
      </c>
      <c r="I2570">
        <f>VLOOKUP(B2570,BRAND!B:D,3,FALSE)</f>
        <v>5</v>
      </c>
      <c r="J2570">
        <v>0</v>
      </c>
      <c r="K2570" t="s">
        <v>821</v>
      </c>
      <c r="L2570">
        <v>0</v>
      </c>
      <c r="M2570">
        <v>0</v>
      </c>
    </row>
    <row r="2571" spans="1:13">
      <c r="A2571" t="s">
        <v>15177</v>
      </c>
      <c r="B2571" t="s">
        <v>15134</v>
      </c>
      <c r="C2571" s="34" t="s">
        <v>15178</v>
      </c>
      <c r="F2571" t="s">
        <v>15178</v>
      </c>
      <c r="G2571" t="s">
        <v>6932</v>
      </c>
      <c r="H2571">
        <v>5</v>
      </c>
      <c r="I2571">
        <f>VLOOKUP(B2571,BRAND!B:D,3,FALSE)</f>
        <v>5</v>
      </c>
      <c r="J2571">
        <v>0</v>
      </c>
      <c r="K2571" t="s">
        <v>821</v>
      </c>
      <c r="L2571">
        <v>0</v>
      </c>
      <c r="M2571">
        <v>0</v>
      </c>
    </row>
    <row r="2572" spans="1:13">
      <c r="A2572" t="s">
        <v>15179</v>
      </c>
      <c r="B2572" t="s">
        <v>15134</v>
      </c>
      <c r="C2572" s="34" t="s">
        <v>15180</v>
      </c>
      <c r="F2572" t="s">
        <v>15180</v>
      </c>
      <c r="G2572" t="s">
        <v>6932</v>
      </c>
      <c r="H2572">
        <v>5</v>
      </c>
      <c r="I2572">
        <f>VLOOKUP(B2572,BRAND!B:D,3,FALSE)</f>
        <v>5</v>
      </c>
      <c r="J2572">
        <v>0</v>
      </c>
      <c r="K2572" t="s">
        <v>821</v>
      </c>
      <c r="L2572">
        <v>0</v>
      </c>
      <c r="M2572">
        <v>0</v>
      </c>
    </row>
    <row r="2573" spans="1:13">
      <c r="A2573" t="s">
        <v>15181</v>
      </c>
      <c r="B2573" t="s">
        <v>15134</v>
      </c>
      <c r="C2573" s="34" t="s">
        <v>15182</v>
      </c>
      <c r="F2573" t="s">
        <v>15182</v>
      </c>
      <c r="G2573" t="s">
        <v>6932</v>
      </c>
      <c r="H2573">
        <v>5</v>
      </c>
      <c r="I2573">
        <f>VLOOKUP(B2573,BRAND!B:D,3,FALSE)</f>
        <v>5</v>
      </c>
      <c r="J2573">
        <v>0</v>
      </c>
      <c r="K2573" t="s">
        <v>821</v>
      </c>
      <c r="L2573">
        <v>0</v>
      </c>
      <c r="M2573">
        <v>0</v>
      </c>
    </row>
    <row r="2574" spans="1:13">
      <c r="A2574" t="s">
        <v>15183</v>
      </c>
      <c r="B2574" t="s">
        <v>15134</v>
      </c>
      <c r="C2574" s="34" t="s">
        <v>15184</v>
      </c>
      <c r="F2574" t="s">
        <v>15184</v>
      </c>
      <c r="G2574" t="s">
        <v>6932</v>
      </c>
      <c r="H2574">
        <v>5</v>
      </c>
      <c r="I2574">
        <f>VLOOKUP(B2574,BRAND!B:D,3,FALSE)</f>
        <v>5</v>
      </c>
      <c r="J2574">
        <v>0</v>
      </c>
      <c r="K2574" t="s">
        <v>821</v>
      </c>
      <c r="L2574">
        <v>0</v>
      </c>
      <c r="M2574">
        <v>0</v>
      </c>
    </row>
    <row r="2575" spans="1:13">
      <c r="A2575" t="s">
        <v>15185</v>
      </c>
      <c r="B2575" t="s">
        <v>15134</v>
      </c>
      <c r="C2575" s="34" t="s">
        <v>15186</v>
      </c>
      <c r="F2575" t="s">
        <v>15186</v>
      </c>
      <c r="G2575" t="s">
        <v>6932</v>
      </c>
      <c r="H2575">
        <v>5</v>
      </c>
      <c r="I2575">
        <f>VLOOKUP(B2575,BRAND!B:D,3,FALSE)</f>
        <v>5</v>
      </c>
      <c r="J2575">
        <v>0</v>
      </c>
      <c r="K2575" t="s">
        <v>821</v>
      </c>
      <c r="L2575">
        <v>0</v>
      </c>
      <c r="M2575">
        <v>0</v>
      </c>
    </row>
    <row r="2576" spans="1:13">
      <c r="A2576" t="s">
        <v>8067</v>
      </c>
      <c r="B2576" t="s">
        <v>8068</v>
      </c>
      <c r="C2576" s="34" t="s">
        <v>1438</v>
      </c>
      <c r="F2576" t="s">
        <v>1438</v>
      </c>
      <c r="G2576" t="s">
        <v>6932</v>
      </c>
      <c r="H2576">
        <v>5</v>
      </c>
      <c r="I2576">
        <f>VLOOKUP(B2576,BRAND!B:D,3,FALSE)</f>
        <v>5.5</v>
      </c>
      <c r="J2576">
        <v>4</v>
      </c>
      <c r="M2576">
        <v>1</v>
      </c>
    </row>
    <row r="2577" spans="1:13">
      <c r="A2577" t="s">
        <v>14945</v>
      </c>
      <c r="B2577" t="s">
        <v>10895</v>
      </c>
      <c r="C2577" s="34" t="s">
        <v>1438</v>
      </c>
      <c r="F2577" t="s">
        <v>1438</v>
      </c>
      <c r="G2577" t="s">
        <v>6932</v>
      </c>
      <c r="H2577">
        <v>5</v>
      </c>
      <c r="I2577">
        <f>VLOOKUP(B2577,BRAND!B:D,3,FALSE)</f>
        <v>5</v>
      </c>
      <c r="J2577">
        <v>0</v>
      </c>
      <c r="K2577" t="s">
        <v>821</v>
      </c>
      <c r="L2577">
        <v>0</v>
      </c>
      <c r="M2577">
        <v>0</v>
      </c>
    </row>
    <row r="2578" spans="1:13">
      <c r="A2578" t="s">
        <v>11387</v>
      </c>
      <c r="B2578" t="s">
        <v>10895</v>
      </c>
      <c r="C2578" s="34" t="s">
        <v>900</v>
      </c>
      <c r="F2578" t="s">
        <v>900</v>
      </c>
      <c r="H2578">
        <v>5</v>
      </c>
    </row>
    <row r="2579" spans="1:13">
      <c r="A2579" t="s">
        <v>4934</v>
      </c>
      <c r="B2579" t="s">
        <v>963</v>
      </c>
      <c r="C2579" s="34" t="s">
        <v>1438</v>
      </c>
      <c r="F2579" t="s">
        <v>1438</v>
      </c>
      <c r="G2579" t="s">
        <v>801</v>
      </c>
      <c r="H2579">
        <v>6</v>
      </c>
      <c r="I2579">
        <f>VLOOKUP(B2579,BRAND!B:D,3,FALSE)</f>
        <v>3</v>
      </c>
      <c r="J2579">
        <v>4</v>
      </c>
      <c r="K2579" t="s">
        <v>821</v>
      </c>
      <c r="M2579">
        <v>0</v>
      </c>
    </row>
    <row r="2580" spans="1:13">
      <c r="A2580" t="s">
        <v>3190</v>
      </c>
      <c r="B2580" t="s">
        <v>963</v>
      </c>
      <c r="C2580" s="34" t="s">
        <v>1438</v>
      </c>
      <c r="F2580" t="s">
        <v>1438</v>
      </c>
      <c r="H2580">
        <v>15</v>
      </c>
      <c r="I2580">
        <f>VLOOKUP(B2580,BRAND!B:D,3,FALSE)</f>
        <v>3</v>
      </c>
      <c r="J2580">
        <v>4</v>
      </c>
      <c r="K2580" t="s">
        <v>821</v>
      </c>
      <c r="M2580">
        <v>1</v>
      </c>
    </row>
    <row r="2581" spans="1:13">
      <c r="A2581" t="s">
        <v>4943</v>
      </c>
      <c r="B2581" t="s">
        <v>510</v>
      </c>
      <c r="C2581" s="34" t="s">
        <v>1438</v>
      </c>
      <c r="F2581" t="s">
        <v>1438</v>
      </c>
      <c r="G2581" t="s">
        <v>801</v>
      </c>
      <c r="H2581">
        <v>6</v>
      </c>
      <c r="I2581">
        <f>VLOOKUP(B2581,BRAND!B:D,3,FALSE)</f>
        <v>3</v>
      </c>
      <c r="J2581">
        <v>4</v>
      </c>
      <c r="K2581" t="s">
        <v>821</v>
      </c>
      <c r="M2581">
        <v>1</v>
      </c>
    </row>
    <row r="2582" spans="1:13">
      <c r="A2582" t="s">
        <v>4192</v>
      </c>
      <c r="B2582" t="s">
        <v>257</v>
      </c>
      <c r="C2582" s="34" t="s">
        <v>790</v>
      </c>
      <c r="F2582" t="s">
        <v>790</v>
      </c>
      <c r="H2582">
        <v>5</v>
      </c>
      <c r="I2582">
        <f>VLOOKUP(B2582,BRAND!B:D,3,FALSE)</f>
        <v>3</v>
      </c>
      <c r="J2582">
        <v>9</v>
      </c>
      <c r="K2582" t="s">
        <v>821</v>
      </c>
      <c r="M2582">
        <v>1</v>
      </c>
    </row>
    <row r="2583" spans="1:13">
      <c r="A2583" t="s">
        <v>8072</v>
      </c>
      <c r="B2583" t="s">
        <v>257</v>
      </c>
      <c r="C2583" s="34" t="s">
        <v>840</v>
      </c>
      <c r="F2583" t="s">
        <v>840</v>
      </c>
      <c r="G2583" t="s">
        <v>6932</v>
      </c>
      <c r="H2583">
        <v>5</v>
      </c>
      <c r="I2583">
        <f>VLOOKUP(B2583,BRAND!B:D,3,FALSE)</f>
        <v>3</v>
      </c>
      <c r="J2583">
        <v>9</v>
      </c>
      <c r="M2583">
        <v>1</v>
      </c>
    </row>
    <row r="2584" spans="1:13">
      <c r="A2584" t="s">
        <v>5472</v>
      </c>
      <c r="B2584" t="s">
        <v>257</v>
      </c>
      <c r="C2584" s="34" t="s">
        <v>963</v>
      </c>
      <c r="F2584" t="s">
        <v>963</v>
      </c>
      <c r="H2584">
        <v>5</v>
      </c>
      <c r="I2584">
        <f>VLOOKUP(B2584,BRAND!B:D,3,FALSE)</f>
        <v>3</v>
      </c>
      <c r="J2584">
        <v>7</v>
      </c>
      <c r="K2584" t="s">
        <v>821</v>
      </c>
      <c r="M2584">
        <v>0</v>
      </c>
    </row>
    <row r="2585" spans="1:13">
      <c r="A2585" t="s">
        <v>5048</v>
      </c>
      <c r="B2585" t="s">
        <v>257</v>
      </c>
      <c r="C2585" s="34" t="s">
        <v>6547</v>
      </c>
      <c r="F2585" t="s">
        <v>964</v>
      </c>
      <c r="H2585">
        <v>5</v>
      </c>
      <c r="I2585">
        <f>VLOOKUP(B2585,BRAND!B:D,3,FALSE)</f>
        <v>3</v>
      </c>
      <c r="J2585">
        <v>7</v>
      </c>
      <c r="K2585" t="s">
        <v>821</v>
      </c>
      <c r="M2585">
        <v>1</v>
      </c>
    </row>
    <row r="2586" spans="1:13">
      <c r="A2586" t="s">
        <v>4672</v>
      </c>
      <c r="B2586" t="s">
        <v>257</v>
      </c>
      <c r="C2586" s="34" t="s">
        <v>746</v>
      </c>
      <c r="F2586" t="s">
        <v>746</v>
      </c>
      <c r="H2586">
        <v>5</v>
      </c>
      <c r="I2586">
        <f>VLOOKUP(B2586,BRAND!B:D,3,FALSE)</f>
        <v>3</v>
      </c>
      <c r="J2586">
        <v>6</v>
      </c>
      <c r="K2586" t="s">
        <v>821</v>
      </c>
      <c r="M2586">
        <v>0</v>
      </c>
    </row>
    <row r="2587" spans="1:13">
      <c r="A2587" t="s">
        <v>3839</v>
      </c>
      <c r="B2587" t="s">
        <v>257</v>
      </c>
      <c r="C2587" s="34" t="s">
        <v>534</v>
      </c>
      <c r="F2587" t="s">
        <v>534</v>
      </c>
      <c r="H2587">
        <v>5</v>
      </c>
      <c r="I2587">
        <f>VLOOKUP(B2587,BRAND!B:D,3,FALSE)</f>
        <v>3</v>
      </c>
      <c r="J2587">
        <v>6</v>
      </c>
      <c r="K2587" t="s">
        <v>821</v>
      </c>
      <c r="M2587">
        <v>0</v>
      </c>
    </row>
    <row r="2588" spans="1:13">
      <c r="A2588" t="s">
        <v>8069</v>
      </c>
      <c r="B2588" t="s">
        <v>257</v>
      </c>
      <c r="C2588" s="34" t="s">
        <v>8070</v>
      </c>
      <c r="F2588" t="s">
        <v>8070</v>
      </c>
      <c r="G2588" t="s">
        <v>6932</v>
      </c>
      <c r="H2588">
        <v>5</v>
      </c>
      <c r="I2588">
        <f>VLOOKUP(B2588,BRAND!B:D,3,FALSE)</f>
        <v>3</v>
      </c>
      <c r="J2588">
        <v>6</v>
      </c>
      <c r="M2588">
        <v>1</v>
      </c>
    </row>
    <row r="2589" spans="1:13">
      <c r="A2589" t="s">
        <v>4115</v>
      </c>
      <c r="B2589" t="s">
        <v>257</v>
      </c>
      <c r="C2589" s="34" t="s">
        <v>800</v>
      </c>
      <c r="F2589" t="s">
        <v>800</v>
      </c>
      <c r="H2589">
        <v>5</v>
      </c>
      <c r="I2589">
        <f>VLOOKUP(B2589,BRAND!B:D,3,FALSE)</f>
        <v>3</v>
      </c>
      <c r="J2589">
        <v>6</v>
      </c>
      <c r="K2589" t="s">
        <v>821</v>
      </c>
      <c r="M2589">
        <v>1</v>
      </c>
    </row>
    <row r="2590" spans="1:13">
      <c r="A2590" t="s">
        <v>3841</v>
      </c>
      <c r="B2590" t="s">
        <v>257</v>
      </c>
      <c r="C2590" s="34" t="s">
        <v>842</v>
      </c>
      <c r="F2590" t="s">
        <v>842</v>
      </c>
      <c r="H2590">
        <v>5</v>
      </c>
      <c r="I2590">
        <f>VLOOKUP(B2590,BRAND!B:D,3,FALSE)</f>
        <v>3</v>
      </c>
      <c r="J2590">
        <v>5</v>
      </c>
      <c r="K2590" t="s">
        <v>821</v>
      </c>
      <c r="M2590">
        <v>0</v>
      </c>
    </row>
    <row r="2591" spans="1:13">
      <c r="A2591" t="s">
        <v>3503</v>
      </c>
      <c r="B2591" t="s">
        <v>257</v>
      </c>
      <c r="C2591" s="34" t="s">
        <v>536</v>
      </c>
      <c r="F2591" t="s">
        <v>536</v>
      </c>
      <c r="H2591">
        <v>5</v>
      </c>
      <c r="I2591">
        <f>VLOOKUP(B2591,BRAND!B:D,3,FALSE)</f>
        <v>3</v>
      </c>
      <c r="J2591">
        <v>5</v>
      </c>
      <c r="K2591" t="s">
        <v>821</v>
      </c>
      <c r="M2591">
        <v>1</v>
      </c>
    </row>
    <row r="2592" spans="1:13">
      <c r="A2592" t="s">
        <v>2515</v>
      </c>
      <c r="B2592" t="s">
        <v>257</v>
      </c>
      <c r="C2592" s="34" t="s">
        <v>897</v>
      </c>
      <c r="F2592" t="s">
        <v>897</v>
      </c>
      <c r="H2592">
        <v>5</v>
      </c>
      <c r="I2592">
        <f>VLOOKUP(B2592,BRAND!B:D,3,FALSE)</f>
        <v>3</v>
      </c>
      <c r="J2592">
        <v>4</v>
      </c>
      <c r="K2592" t="s">
        <v>821</v>
      </c>
      <c r="M2592">
        <v>0</v>
      </c>
    </row>
    <row r="2593" spans="1:13">
      <c r="A2593" t="s">
        <v>8071</v>
      </c>
      <c r="B2593" t="s">
        <v>257</v>
      </c>
      <c r="C2593" s="34" t="s">
        <v>788</v>
      </c>
      <c r="F2593" t="s">
        <v>788</v>
      </c>
      <c r="G2593" t="s">
        <v>6932</v>
      </c>
      <c r="H2593">
        <v>5</v>
      </c>
      <c r="I2593">
        <f>VLOOKUP(B2593,BRAND!B:D,3,FALSE)</f>
        <v>3</v>
      </c>
      <c r="J2593">
        <v>4</v>
      </c>
      <c r="M2593">
        <v>1</v>
      </c>
    </row>
    <row r="2594" spans="1:13">
      <c r="A2594" t="s">
        <v>9640</v>
      </c>
      <c r="B2594" t="s">
        <v>257</v>
      </c>
      <c r="C2594" s="34" t="s">
        <v>773</v>
      </c>
      <c r="F2594" t="s">
        <v>773</v>
      </c>
      <c r="G2594" t="s">
        <v>6932</v>
      </c>
      <c r="H2594">
        <v>5</v>
      </c>
      <c r="I2594">
        <f>VLOOKUP(B2594,BRAND!B:D,3,FALSE)</f>
        <v>3</v>
      </c>
      <c r="J2594">
        <v>4</v>
      </c>
      <c r="M2594">
        <v>1</v>
      </c>
    </row>
    <row r="2595" spans="1:13">
      <c r="A2595" t="s">
        <v>2605</v>
      </c>
      <c r="B2595" t="s">
        <v>257</v>
      </c>
      <c r="C2595" s="34" t="s">
        <v>561</v>
      </c>
      <c r="F2595" t="s">
        <v>561</v>
      </c>
      <c r="H2595">
        <v>5</v>
      </c>
      <c r="I2595">
        <f>VLOOKUP(B2595,BRAND!B:D,3,FALSE)</f>
        <v>3</v>
      </c>
      <c r="J2595">
        <v>3</v>
      </c>
      <c r="K2595" t="s">
        <v>821</v>
      </c>
      <c r="M2595">
        <v>0</v>
      </c>
    </row>
    <row r="2596" spans="1:13" ht="16.5" customHeight="1">
      <c r="A2596" t="s">
        <v>4029</v>
      </c>
      <c r="B2596" t="s">
        <v>257</v>
      </c>
      <c r="C2596" s="34" t="s">
        <v>775</v>
      </c>
      <c r="F2596" t="s">
        <v>775</v>
      </c>
      <c r="H2596">
        <v>5</v>
      </c>
      <c r="I2596">
        <f>VLOOKUP(B2596,BRAND!B:D,3,FALSE)</f>
        <v>3</v>
      </c>
      <c r="J2596">
        <v>3</v>
      </c>
      <c r="K2596" t="s">
        <v>821</v>
      </c>
      <c r="L2596" s="29"/>
      <c r="M2596">
        <v>1</v>
      </c>
    </row>
    <row r="2597" spans="1:13">
      <c r="A2597" t="s">
        <v>10863</v>
      </c>
      <c r="B2597" t="s">
        <v>257</v>
      </c>
      <c r="C2597" s="34" t="s">
        <v>10862</v>
      </c>
      <c r="H2597">
        <v>5</v>
      </c>
      <c r="I2597">
        <f>VLOOKUP(B2597,BRAND!B:D,3,FALSE)</f>
        <v>3</v>
      </c>
      <c r="J2597">
        <f>LEN(F2597)</f>
        <v>0</v>
      </c>
      <c r="L2597">
        <v>0</v>
      </c>
      <c r="M2597">
        <v>0</v>
      </c>
    </row>
    <row r="2598" spans="1:13">
      <c r="A2598" t="s">
        <v>9975</v>
      </c>
      <c r="B2598" t="s">
        <v>257</v>
      </c>
      <c r="C2598" s="34" t="s">
        <v>763</v>
      </c>
      <c r="H2598">
        <v>5</v>
      </c>
      <c r="I2598">
        <f>VLOOKUP(B2598,BRAND!B:D,3,FALSE)</f>
        <v>3</v>
      </c>
      <c r="J2598">
        <v>0</v>
      </c>
      <c r="M2598">
        <v>1</v>
      </c>
    </row>
    <row r="2599" spans="1:13">
      <c r="A2599" t="s">
        <v>2009</v>
      </c>
      <c r="B2599" t="s">
        <v>257</v>
      </c>
      <c r="C2599" s="34" t="s">
        <v>1438</v>
      </c>
      <c r="F2599" t="s">
        <v>1438</v>
      </c>
      <c r="H2599">
        <v>15</v>
      </c>
      <c r="I2599">
        <f>VLOOKUP(B2599,BRAND!B:D,3,FALSE)</f>
        <v>3</v>
      </c>
      <c r="J2599">
        <v>4</v>
      </c>
      <c r="K2599" t="s">
        <v>821</v>
      </c>
      <c r="M2599">
        <v>0</v>
      </c>
    </row>
    <row r="2600" spans="1:13">
      <c r="A2600" t="s">
        <v>4963</v>
      </c>
      <c r="B2600" t="s">
        <v>49</v>
      </c>
      <c r="C2600" s="34" t="s">
        <v>1438</v>
      </c>
      <c r="F2600" t="s">
        <v>1438</v>
      </c>
      <c r="G2600" t="s">
        <v>801</v>
      </c>
      <c r="H2600">
        <v>5</v>
      </c>
      <c r="I2600">
        <f>VLOOKUP(B2600,BRAND!B:D,3,FALSE)</f>
        <v>5</v>
      </c>
      <c r="J2600">
        <f>LEN(F2600)</f>
        <v>4</v>
      </c>
      <c r="M2600">
        <v>1</v>
      </c>
    </row>
    <row r="2601" spans="1:13">
      <c r="A2601" t="s">
        <v>4963</v>
      </c>
      <c r="B2601" t="s">
        <v>49</v>
      </c>
      <c r="C2601" s="34" t="s">
        <v>5250</v>
      </c>
      <c r="F2601" t="s">
        <v>1438</v>
      </c>
      <c r="G2601" t="s">
        <v>801</v>
      </c>
      <c r="H2601">
        <v>6</v>
      </c>
      <c r="I2601">
        <f>VLOOKUP(B2601,BRAND!B:D,3,FALSE)</f>
        <v>5</v>
      </c>
      <c r="J2601">
        <v>4</v>
      </c>
      <c r="K2601" t="s">
        <v>821</v>
      </c>
      <c r="M2601">
        <v>1</v>
      </c>
    </row>
    <row r="2602" spans="1:13">
      <c r="A2602" t="s">
        <v>2497</v>
      </c>
      <c r="B2602" t="s">
        <v>49</v>
      </c>
      <c r="C2602" s="34" t="s">
        <v>5250</v>
      </c>
      <c r="F2602" t="s">
        <v>1438</v>
      </c>
      <c r="H2602">
        <v>15</v>
      </c>
      <c r="I2602">
        <f>VLOOKUP(B2602,BRAND!B:D,3,FALSE)</f>
        <v>5</v>
      </c>
      <c r="J2602">
        <v>4</v>
      </c>
      <c r="K2602" t="s">
        <v>821</v>
      </c>
      <c r="M2602">
        <v>1</v>
      </c>
    </row>
    <row r="2603" spans="1:13">
      <c r="A2603" t="s">
        <v>4499</v>
      </c>
      <c r="B2603" t="s">
        <v>1248</v>
      </c>
      <c r="C2603" s="34" t="s">
        <v>746</v>
      </c>
      <c r="F2603" t="s">
        <v>746</v>
      </c>
      <c r="H2603">
        <v>5</v>
      </c>
      <c r="I2603" t="e">
        <f>VLOOKUP(B2603,BRAND!B:D,3,FALSE)</f>
        <v>#N/A</v>
      </c>
      <c r="J2603">
        <v>6</v>
      </c>
      <c r="K2603" t="e">
        <v>#N/A</v>
      </c>
      <c r="M2603">
        <v>0</v>
      </c>
    </row>
    <row r="2604" spans="1:13">
      <c r="A2604" t="s">
        <v>4620</v>
      </c>
      <c r="B2604" t="s">
        <v>1248</v>
      </c>
      <c r="C2604" s="34" t="s">
        <v>842</v>
      </c>
      <c r="F2604" t="s">
        <v>842</v>
      </c>
      <c r="H2604">
        <v>5</v>
      </c>
      <c r="I2604" t="e">
        <f>VLOOKUP(B2604,BRAND!B:D,3,FALSE)</f>
        <v>#N/A</v>
      </c>
      <c r="J2604">
        <v>5</v>
      </c>
      <c r="K2604" t="e">
        <v>#N/A</v>
      </c>
      <c r="M2604">
        <v>0</v>
      </c>
    </row>
    <row r="2605" spans="1:13">
      <c r="A2605" t="s">
        <v>3098</v>
      </c>
      <c r="B2605" t="s">
        <v>1248</v>
      </c>
      <c r="C2605" s="34" t="s">
        <v>791</v>
      </c>
      <c r="F2605" t="s">
        <v>791</v>
      </c>
      <c r="H2605">
        <v>5</v>
      </c>
      <c r="I2605" t="e">
        <f>VLOOKUP(B2605,BRAND!B:D,3,FALSE)</f>
        <v>#N/A</v>
      </c>
      <c r="J2605">
        <v>5</v>
      </c>
      <c r="K2605" t="e">
        <v>#N/A</v>
      </c>
      <c r="M2605">
        <v>0</v>
      </c>
    </row>
    <row r="2606" spans="1:13">
      <c r="A2606" t="s">
        <v>4529</v>
      </c>
      <c r="B2606" t="s">
        <v>1248</v>
      </c>
      <c r="C2606" s="34" t="s">
        <v>776</v>
      </c>
      <c r="F2606" t="s">
        <v>776</v>
      </c>
      <c r="H2606">
        <v>5</v>
      </c>
      <c r="I2606" t="e">
        <f>VLOOKUP(B2606,BRAND!B:D,3,FALSE)</f>
        <v>#N/A</v>
      </c>
      <c r="J2606">
        <v>5</v>
      </c>
      <c r="K2606" t="e">
        <v>#N/A</v>
      </c>
      <c r="M2606">
        <v>0</v>
      </c>
    </row>
    <row r="2607" spans="1:13">
      <c r="A2607" t="s">
        <v>4686</v>
      </c>
      <c r="B2607" t="s">
        <v>1248</v>
      </c>
      <c r="C2607" s="34" t="s">
        <v>1993</v>
      </c>
      <c r="F2607" t="s">
        <v>1993</v>
      </c>
      <c r="H2607">
        <v>5</v>
      </c>
      <c r="I2607" t="e">
        <f>VLOOKUP(B2607,BRAND!B:D,3,FALSE)</f>
        <v>#N/A</v>
      </c>
      <c r="J2607">
        <v>3</v>
      </c>
      <c r="K2607" t="e">
        <v>#N/A</v>
      </c>
      <c r="M2607">
        <v>0</v>
      </c>
    </row>
    <row r="2608" spans="1:13">
      <c r="A2608" t="s">
        <v>4584</v>
      </c>
      <c r="B2608" t="s">
        <v>1248</v>
      </c>
      <c r="C2608" s="34" t="s">
        <v>775</v>
      </c>
      <c r="F2608" t="s">
        <v>775</v>
      </c>
      <c r="H2608">
        <v>5</v>
      </c>
      <c r="I2608" t="e">
        <f>VLOOKUP(B2608,BRAND!B:D,3,FALSE)</f>
        <v>#N/A</v>
      </c>
      <c r="J2608">
        <v>3</v>
      </c>
      <c r="K2608" t="e">
        <v>#N/A</v>
      </c>
      <c r="M2608">
        <v>0</v>
      </c>
    </row>
    <row r="2609" spans="1:13">
      <c r="A2609" t="s">
        <v>2621</v>
      </c>
      <c r="B2609" t="s">
        <v>1248</v>
      </c>
      <c r="C2609" s="34" t="s">
        <v>1438</v>
      </c>
      <c r="F2609" t="s">
        <v>1438</v>
      </c>
      <c r="H2609">
        <v>15</v>
      </c>
      <c r="I2609" t="e">
        <f>VLOOKUP(B2609,BRAND!B:D,3,FALSE)</f>
        <v>#N/A</v>
      </c>
      <c r="J2609">
        <v>4</v>
      </c>
      <c r="K2609" t="e">
        <v>#N/A</v>
      </c>
      <c r="M2609">
        <v>0</v>
      </c>
    </row>
    <row r="2610" spans="1:13">
      <c r="A2610" t="s">
        <v>3313</v>
      </c>
      <c r="B2610" t="s">
        <v>50</v>
      </c>
      <c r="C2610" s="34" t="s">
        <v>536</v>
      </c>
      <c r="F2610" t="s">
        <v>536</v>
      </c>
      <c r="H2610">
        <v>5</v>
      </c>
      <c r="I2610">
        <f>VLOOKUP(B2610,BRAND!B:D,3,FALSE)</f>
        <v>3</v>
      </c>
      <c r="J2610">
        <v>5</v>
      </c>
      <c r="K2610" t="s">
        <v>821</v>
      </c>
      <c r="M2610">
        <v>1</v>
      </c>
    </row>
    <row r="2611" spans="1:13">
      <c r="A2611" t="s">
        <v>2452</v>
      </c>
      <c r="B2611" t="s">
        <v>50</v>
      </c>
      <c r="C2611" s="34" t="s">
        <v>1438</v>
      </c>
      <c r="F2611" t="s">
        <v>1438</v>
      </c>
      <c r="H2611">
        <v>15</v>
      </c>
      <c r="I2611">
        <f>VLOOKUP(B2611,BRAND!B:D,3,FALSE)</f>
        <v>3</v>
      </c>
      <c r="J2611">
        <v>4</v>
      </c>
      <c r="K2611" t="s">
        <v>821</v>
      </c>
      <c r="M2611">
        <v>1</v>
      </c>
    </row>
    <row r="2612" spans="1:13">
      <c r="A2612" t="s">
        <v>8073</v>
      </c>
      <c r="B2612" t="s">
        <v>8074</v>
      </c>
      <c r="C2612" s="34" t="s">
        <v>6948</v>
      </c>
      <c r="F2612" t="s">
        <v>6948</v>
      </c>
      <c r="G2612" t="s">
        <v>6932</v>
      </c>
      <c r="H2612">
        <v>5</v>
      </c>
      <c r="I2612">
        <f>VLOOKUP(B2612,BRAND!B:D,3,FALSE)</f>
        <v>5.5</v>
      </c>
      <c r="J2612">
        <v>6</v>
      </c>
      <c r="M2612">
        <v>1</v>
      </c>
    </row>
    <row r="2613" spans="1:13">
      <c r="A2613" t="s">
        <v>2377</v>
      </c>
      <c r="B2613" t="s">
        <v>538</v>
      </c>
      <c r="C2613" s="34" t="s">
        <v>1438</v>
      </c>
      <c r="F2613" t="s">
        <v>1438</v>
      </c>
      <c r="H2613">
        <v>15</v>
      </c>
      <c r="I2613">
        <f>VLOOKUP(B2613,BRAND!B:D,3,FALSE)</f>
        <v>3</v>
      </c>
      <c r="J2613">
        <v>4</v>
      </c>
      <c r="K2613" t="s">
        <v>821</v>
      </c>
      <c r="M2613">
        <v>1</v>
      </c>
    </row>
    <row r="2614" spans="1:13">
      <c r="A2614" t="s">
        <v>2126</v>
      </c>
      <c r="B2614" t="s">
        <v>1030</v>
      </c>
      <c r="C2614" s="34" t="s">
        <v>1438</v>
      </c>
      <c r="F2614" t="s">
        <v>1438</v>
      </c>
      <c r="H2614">
        <v>15</v>
      </c>
      <c r="I2614">
        <f>VLOOKUP(B2614,BRAND!B:D,3,FALSE)</f>
        <v>3</v>
      </c>
      <c r="J2614">
        <v>4</v>
      </c>
      <c r="K2614" t="s">
        <v>821</v>
      </c>
      <c r="M2614">
        <v>0</v>
      </c>
    </row>
    <row r="2615" spans="1:13">
      <c r="A2615" t="s">
        <v>8075</v>
      </c>
      <c r="B2615" t="s">
        <v>8076</v>
      </c>
      <c r="C2615" s="34" t="s">
        <v>1438</v>
      </c>
      <c r="F2615" t="s">
        <v>1438</v>
      </c>
      <c r="G2615" t="s">
        <v>6932</v>
      </c>
      <c r="H2615">
        <v>5</v>
      </c>
      <c r="I2615">
        <f>VLOOKUP(B2615,BRAND!B:D,3,FALSE)</f>
        <v>5.5</v>
      </c>
      <c r="J2615">
        <v>4</v>
      </c>
      <c r="M2615">
        <v>1</v>
      </c>
    </row>
    <row r="2616" spans="1:13">
      <c r="A2616" t="s">
        <v>2125</v>
      </c>
      <c r="B2616" t="s">
        <v>1031</v>
      </c>
      <c r="C2616" s="34" t="s">
        <v>1438</v>
      </c>
      <c r="F2616" t="s">
        <v>1438</v>
      </c>
      <c r="H2616">
        <v>15</v>
      </c>
      <c r="I2616">
        <f>VLOOKUP(B2616,BRAND!B:D,3,FALSE)</f>
        <v>3</v>
      </c>
      <c r="J2616">
        <v>4</v>
      </c>
      <c r="K2616" t="s">
        <v>821</v>
      </c>
      <c r="M2616">
        <v>0</v>
      </c>
    </row>
    <row r="2617" spans="1:13">
      <c r="A2617" t="s">
        <v>7637</v>
      </c>
      <c r="B2617" t="s">
        <v>7638</v>
      </c>
      <c r="C2617" s="34" t="s">
        <v>1438</v>
      </c>
      <c r="F2617" t="s">
        <v>1438</v>
      </c>
      <c r="G2617" t="s">
        <v>6932</v>
      </c>
      <c r="H2617">
        <v>5</v>
      </c>
      <c r="I2617">
        <f>VLOOKUP(B2617,BRAND!B:D,3,FALSE)</f>
        <v>5.5</v>
      </c>
      <c r="J2617">
        <v>4</v>
      </c>
      <c r="M2617">
        <v>1</v>
      </c>
    </row>
    <row r="2618" spans="1:13">
      <c r="A2618" t="s">
        <v>7812</v>
      </c>
      <c r="B2618" t="s">
        <v>7813</v>
      </c>
      <c r="C2618" s="34" t="s">
        <v>776</v>
      </c>
      <c r="F2618" t="s">
        <v>776</v>
      </c>
      <c r="G2618" t="s">
        <v>6932</v>
      </c>
      <c r="H2618">
        <v>5</v>
      </c>
      <c r="I2618">
        <f>VLOOKUP(B2618,BRAND!B:D,3,FALSE)</f>
        <v>5.5</v>
      </c>
      <c r="J2618">
        <v>5</v>
      </c>
      <c r="M2618">
        <v>1</v>
      </c>
    </row>
    <row r="2619" spans="1:13">
      <c r="A2619" t="s">
        <v>7814</v>
      </c>
      <c r="B2619" t="s">
        <v>7813</v>
      </c>
      <c r="C2619" s="34" t="s">
        <v>7815</v>
      </c>
      <c r="F2619" t="s">
        <v>1992</v>
      </c>
      <c r="G2619" t="s">
        <v>6932</v>
      </c>
      <c r="H2619">
        <v>5</v>
      </c>
      <c r="I2619">
        <f>VLOOKUP(B2619,BRAND!B:D,3,FALSE)</f>
        <v>5.5</v>
      </c>
      <c r="J2619">
        <v>3</v>
      </c>
      <c r="M2619">
        <v>1</v>
      </c>
    </row>
    <row r="2620" spans="1:13">
      <c r="A2620" t="s">
        <v>7639</v>
      </c>
      <c r="B2620" t="s">
        <v>7640</v>
      </c>
      <c r="C2620" s="34" t="s">
        <v>1438</v>
      </c>
      <c r="F2620" t="s">
        <v>1438</v>
      </c>
      <c r="G2620" t="s">
        <v>6932</v>
      </c>
      <c r="H2620">
        <v>5</v>
      </c>
      <c r="I2620">
        <f>VLOOKUP(B2620,BRAND!B:D,3,FALSE)</f>
        <v>5.5</v>
      </c>
      <c r="J2620">
        <v>4</v>
      </c>
      <c r="M2620">
        <v>1</v>
      </c>
    </row>
    <row r="2621" spans="1:13">
      <c r="A2621" t="s">
        <v>2446</v>
      </c>
      <c r="B2621" t="s">
        <v>401</v>
      </c>
      <c r="C2621" s="34" t="s">
        <v>842</v>
      </c>
      <c r="F2621" t="s">
        <v>842</v>
      </c>
      <c r="H2621">
        <v>5</v>
      </c>
      <c r="I2621">
        <f>VLOOKUP(B2621,BRAND!B:D,3,FALSE)</f>
        <v>3</v>
      </c>
      <c r="J2621">
        <v>5</v>
      </c>
      <c r="K2621" t="s">
        <v>821</v>
      </c>
      <c r="M2621">
        <v>0</v>
      </c>
    </row>
    <row r="2622" spans="1:13">
      <c r="A2622" t="s">
        <v>2534</v>
      </c>
      <c r="B2622" t="s">
        <v>401</v>
      </c>
      <c r="C2622" s="34" t="s">
        <v>1438</v>
      </c>
      <c r="F2622" t="s">
        <v>1438</v>
      </c>
      <c r="H2622">
        <v>15</v>
      </c>
      <c r="I2622">
        <f>VLOOKUP(B2622,BRAND!B:D,3,FALSE)</f>
        <v>3</v>
      </c>
      <c r="J2622">
        <v>4</v>
      </c>
      <c r="K2622" t="s">
        <v>821</v>
      </c>
      <c r="M2622">
        <v>1</v>
      </c>
    </row>
    <row r="2623" spans="1:13">
      <c r="A2623" t="s">
        <v>8080</v>
      </c>
      <c r="B2623" t="s">
        <v>51</v>
      </c>
      <c r="C2623" s="34" t="s">
        <v>994</v>
      </c>
      <c r="F2623" t="s">
        <v>994</v>
      </c>
      <c r="H2623">
        <v>5</v>
      </c>
      <c r="I2623">
        <f>VLOOKUP(B2623,BRAND!B:D,3,FALSE)</f>
        <v>3</v>
      </c>
      <c r="J2623">
        <f>LEN(F2623)</f>
        <v>10</v>
      </c>
      <c r="M2623">
        <v>1</v>
      </c>
    </row>
    <row r="2624" spans="1:13">
      <c r="A2624" t="s">
        <v>9641</v>
      </c>
      <c r="B2624" t="s">
        <v>51</v>
      </c>
      <c r="C2624" s="34" t="s">
        <v>8079</v>
      </c>
      <c r="F2624" t="s">
        <v>8079</v>
      </c>
      <c r="G2624" t="s">
        <v>6932</v>
      </c>
      <c r="H2624">
        <v>5</v>
      </c>
      <c r="I2624">
        <f>VLOOKUP(B2624,BRAND!B:D,3,FALSE)</f>
        <v>3</v>
      </c>
      <c r="J2624">
        <f>LEN(F2624)</f>
        <v>10</v>
      </c>
      <c r="M2624">
        <v>1</v>
      </c>
    </row>
    <row r="2625" spans="1:13">
      <c r="A2625" t="s">
        <v>9644</v>
      </c>
      <c r="B2625" t="s">
        <v>51</v>
      </c>
      <c r="C2625" s="34" t="s">
        <v>1983</v>
      </c>
      <c r="F2625" t="s">
        <v>1983</v>
      </c>
      <c r="G2625" t="s">
        <v>6932</v>
      </c>
      <c r="H2625">
        <v>5</v>
      </c>
      <c r="I2625">
        <f>VLOOKUP(B2625,BRAND!B:D,3,FALSE)</f>
        <v>3</v>
      </c>
      <c r="J2625">
        <v>9</v>
      </c>
      <c r="M2625">
        <v>1</v>
      </c>
    </row>
    <row r="2626" spans="1:13">
      <c r="A2626" t="s">
        <v>3019</v>
      </c>
      <c r="B2626" t="s">
        <v>51</v>
      </c>
      <c r="C2626" s="34" t="s">
        <v>769</v>
      </c>
      <c r="F2626" t="s">
        <v>769</v>
      </c>
      <c r="H2626">
        <v>5</v>
      </c>
      <c r="I2626">
        <f>VLOOKUP(B2626,BRAND!B:D,3,FALSE)</f>
        <v>3</v>
      </c>
      <c r="J2626">
        <v>8</v>
      </c>
      <c r="K2626" t="s">
        <v>821</v>
      </c>
      <c r="M2626">
        <v>1</v>
      </c>
    </row>
    <row r="2627" spans="1:13">
      <c r="A2627" t="s">
        <v>5478</v>
      </c>
      <c r="B2627" t="s">
        <v>51</v>
      </c>
      <c r="C2627" s="34" t="s">
        <v>129</v>
      </c>
      <c r="F2627" t="s">
        <v>129</v>
      </c>
      <c r="H2627">
        <v>5</v>
      </c>
      <c r="I2627">
        <f>VLOOKUP(B2627,BRAND!B:D,3,FALSE)</f>
        <v>3</v>
      </c>
      <c r="J2627">
        <v>6</v>
      </c>
      <c r="K2627" t="s">
        <v>821</v>
      </c>
      <c r="L2627" s="29"/>
      <c r="M2627">
        <v>1</v>
      </c>
    </row>
    <row r="2628" spans="1:13">
      <c r="A2628" t="s">
        <v>4355</v>
      </c>
      <c r="B2628" t="s">
        <v>51</v>
      </c>
      <c r="C2628" s="34" t="s">
        <v>746</v>
      </c>
      <c r="F2628" t="s">
        <v>746</v>
      </c>
      <c r="H2628">
        <v>5</v>
      </c>
      <c r="I2628">
        <f>VLOOKUP(B2628,BRAND!B:D,3,FALSE)</f>
        <v>3</v>
      </c>
      <c r="J2628">
        <v>6</v>
      </c>
      <c r="K2628" t="s">
        <v>821</v>
      </c>
      <c r="M2628">
        <v>1</v>
      </c>
    </row>
    <row r="2629" spans="1:13">
      <c r="A2629" t="s">
        <v>8077</v>
      </c>
      <c r="B2629" t="s">
        <v>51</v>
      </c>
      <c r="C2629" s="34" t="s">
        <v>898</v>
      </c>
      <c r="F2629" t="s">
        <v>898</v>
      </c>
      <c r="G2629" t="s">
        <v>6932</v>
      </c>
      <c r="H2629">
        <v>5</v>
      </c>
      <c r="I2629">
        <f>VLOOKUP(B2629,BRAND!B:D,3,FALSE)</f>
        <v>3</v>
      </c>
      <c r="J2629">
        <v>6</v>
      </c>
      <c r="M2629">
        <v>1</v>
      </c>
    </row>
    <row r="2630" spans="1:13">
      <c r="A2630" t="s">
        <v>8081</v>
      </c>
      <c r="B2630" t="s">
        <v>51</v>
      </c>
      <c r="C2630" s="34" t="s">
        <v>1500</v>
      </c>
      <c r="F2630" t="s">
        <v>1500</v>
      </c>
      <c r="H2630">
        <v>5</v>
      </c>
      <c r="I2630">
        <f>VLOOKUP(B2630,BRAND!B:D,3,FALSE)</f>
        <v>3</v>
      </c>
      <c r="J2630">
        <v>6</v>
      </c>
      <c r="M2630">
        <v>1</v>
      </c>
    </row>
    <row r="2631" spans="1:13">
      <c r="A2631" t="s">
        <v>9642</v>
      </c>
      <c r="B2631" t="s">
        <v>51</v>
      </c>
      <c r="C2631" s="34" t="s">
        <v>876</v>
      </c>
      <c r="F2631" t="s">
        <v>876</v>
      </c>
      <c r="G2631" t="s">
        <v>6932</v>
      </c>
      <c r="H2631">
        <v>5</v>
      </c>
      <c r="I2631">
        <f>VLOOKUP(B2631,BRAND!B:D,3,FALSE)</f>
        <v>3</v>
      </c>
      <c r="J2631">
        <v>4</v>
      </c>
      <c r="M2631">
        <v>1</v>
      </c>
    </row>
    <row r="2632" spans="1:13" s="29" customFormat="1">
      <c r="A2632" t="s">
        <v>9643</v>
      </c>
      <c r="B2632" t="s">
        <v>51</v>
      </c>
      <c r="C2632" s="34" t="s">
        <v>1515</v>
      </c>
      <c r="D2632"/>
      <c r="E2632"/>
      <c r="F2632" t="s">
        <v>1515</v>
      </c>
      <c r="G2632" t="s">
        <v>6932</v>
      </c>
      <c r="H2632">
        <v>5</v>
      </c>
      <c r="I2632">
        <f>VLOOKUP(B2632,BRAND!B:D,3,FALSE)</f>
        <v>3</v>
      </c>
      <c r="J2632">
        <v>4</v>
      </c>
      <c r="K2632"/>
      <c r="L2632"/>
      <c r="M2632">
        <v>1</v>
      </c>
    </row>
    <row r="2633" spans="1:13">
      <c r="A2633" t="s">
        <v>8078</v>
      </c>
      <c r="B2633" t="s">
        <v>51</v>
      </c>
      <c r="C2633" s="34" t="s">
        <v>775</v>
      </c>
      <c r="F2633" t="s">
        <v>775</v>
      </c>
      <c r="G2633" t="s">
        <v>6932</v>
      </c>
      <c r="H2633">
        <v>5</v>
      </c>
      <c r="I2633">
        <f>VLOOKUP(B2633,BRAND!B:D,3,FALSE)</f>
        <v>3</v>
      </c>
      <c r="J2633">
        <v>3</v>
      </c>
      <c r="M2633">
        <v>1</v>
      </c>
    </row>
    <row r="2634" spans="1:13" s="29" customFormat="1">
      <c r="A2634" t="s">
        <v>14971</v>
      </c>
      <c r="B2634" t="s">
        <v>51</v>
      </c>
      <c r="C2634" s="34" t="s">
        <v>14972</v>
      </c>
      <c r="D2634"/>
      <c r="E2634"/>
      <c r="F2634" t="s">
        <v>14972</v>
      </c>
      <c r="G2634" t="s">
        <v>801</v>
      </c>
      <c r="H2634">
        <v>5</v>
      </c>
      <c r="I2634">
        <f>VLOOKUP(B2634,BRAND!B:D,3,FALSE)</f>
        <v>3</v>
      </c>
      <c r="J2634">
        <v>0</v>
      </c>
      <c r="K2634" t="s">
        <v>821</v>
      </c>
      <c r="L2634">
        <v>0</v>
      </c>
      <c r="M2634">
        <v>0</v>
      </c>
    </row>
    <row r="2635" spans="1:13">
      <c r="A2635" t="s">
        <v>10881</v>
      </c>
      <c r="B2635" t="s">
        <v>51</v>
      </c>
      <c r="C2635" s="34" t="s">
        <v>10882</v>
      </c>
      <c r="F2635" t="s">
        <v>10882</v>
      </c>
      <c r="H2635">
        <v>5</v>
      </c>
    </row>
    <row r="2636" spans="1:13">
      <c r="A2636" t="s">
        <v>10883</v>
      </c>
      <c r="B2636" t="s">
        <v>51</v>
      </c>
      <c r="C2636" s="34" t="s">
        <v>6689</v>
      </c>
      <c r="F2636" t="s">
        <v>6689</v>
      </c>
      <c r="H2636">
        <v>5</v>
      </c>
    </row>
    <row r="2637" spans="1:13" s="29" customFormat="1">
      <c r="A2637" t="s">
        <v>5479</v>
      </c>
      <c r="B2637" t="s">
        <v>51</v>
      </c>
      <c r="C2637" s="34" t="s">
        <v>1438</v>
      </c>
      <c r="D2637"/>
      <c r="E2637"/>
      <c r="F2637" t="s">
        <v>1438</v>
      </c>
      <c r="G2637" t="s">
        <v>801</v>
      </c>
      <c r="H2637">
        <v>6</v>
      </c>
      <c r="I2637">
        <f>VLOOKUP(B2637,BRAND!B:D,3,FALSE)</f>
        <v>3</v>
      </c>
      <c r="J2637">
        <v>4</v>
      </c>
      <c r="K2637" t="s">
        <v>821</v>
      </c>
      <c r="L2637"/>
      <c r="M2637">
        <v>1</v>
      </c>
    </row>
    <row r="2638" spans="1:13" s="29" customFormat="1">
      <c r="A2638" t="s">
        <v>5477</v>
      </c>
      <c r="B2638" t="s">
        <v>51</v>
      </c>
      <c r="C2638" s="34" t="s">
        <v>5393</v>
      </c>
      <c r="D2638"/>
      <c r="E2638"/>
      <c r="F2638" t="s">
        <v>899</v>
      </c>
      <c r="G2638"/>
      <c r="H2638">
        <v>15</v>
      </c>
      <c r="I2638">
        <f>VLOOKUP(B2638,BRAND!B:D,3,FALSE)</f>
        <v>3</v>
      </c>
      <c r="J2638">
        <v>8</v>
      </c>
      <c r="K2638" t="s">
        <v>821</v>
      </c>
      <c r="L2638"/>
      <c r="M2638">
        <v>1</v>
      </c>
    </row>
    <row r="2639" spans="1:13" s="29" customFormat="1" ht="25" customHeight="1">
      <c r="A2639" t="s">
        <v>10074</v>
      </c>
      <c r="B2639" t="s">
        <v>7001</v>
      </c>
      <c r="C2639" s="34" t="s">
        <v>1438</v>
      </c>
      <c r="D2639"/>
      <c r="E2639"/>
      <c r="F2639" t="s">
        <v>1438</v>
      </c>
      <c r="G2639"/>
      <c r="H2639">
        <v>15</v>
      </c>
      <c r="I2639">
        <f>VLOOKUP(B2639,BRAND!B:D,3,FALSE)</f>
        <v>11</v>
      </c>
      <c r="J2639">
        <v>4</v>
      </c>
      <c r="K2639"/>
      <c r="L2639"/>
      <c r="M2639">
        <v>0</v>
      </c>
    </row>
    <row r="2640" spans="1:13">
      <c r="A2640" t="s">
        <v>2683</v>
      </c>
      <c r="B2640" t="s">
        <v>1157</v>
      </c>
      <c r="C2640" s="34" t="s">
        <v>1438</v>
      </c>
      <c r="F2640" t="s">
        <v>1438</v>
      </c>
      <c r="H2640">
        <v>15</v>
      </c>
      <c r="I2640">
        <f>VLOOKUP(B2640,BRAND!B:D,3,FALSE)</f>
        <v>3</v>
      </c>
      <c r="J2640">
        <v>4</v>
      </c>
      <c r="K2640" t="s">
        <v>821</v>
      </c>
      <c r="M2640">
        <v>0</v>
      </c>
    </row>
    <row r="2641" spans="1:13">
      <c r="A2641" t="s">
        <v>3309</v>
      </c>
      <c r="B2641" t="s">
        <v>52</v>
      </c>
      <c r="C2641" s="34" t="s">
        <v>534</v>
      </c>
      <c r="F2641" t="s">
        <v>534</v>
      </c>
      <c r="H2641">
        <v>5</v>
      </c>
      <c r="I2641">
        <f>VLOOKUP(B2641,BRAND!B:D,3,FALSE)</f>
        <v>3</v>
      </c>
      <c r="J2641">
        <v>6</v>
      </c>
      <c r="K2641" t="s">
        <v>821</v>
      </c>
      <c r="M2641">
        <v>0</v>
      </c>
    </row>
    <row r="2642" spans="1:13">
      <c r="A2642" t="s">
        <v>4559</v>
      </c>
      <c r="B2642" t="s">
        <v>52</v>
      </c>
      <c r="C2642" s="34" t="s">
        <v>536</v>
      </c>
      <c r="F2642" t="s">
        <v>536</v>
      </c>
      <c r="H2642">
        <v>5</v>
      </c>
      <c r="I2642">
        <f>VLOOKUP(B2642,BRAND!B:D,3,FALSE)</f>
        <v>3</v>
      </c>
      <c r="J2642">
        <v>5</v>
      </c>
      <c r="K2642" t="s">
        <v>821</v>
      </c>
      <c r="M2642">
        <v>0</v>
      </c>
    </row>
    <row r="2643" spans="1:13">
      <c r="A2643" t="s">
        <v>2152</v>
      </c>
      <c r="B2643" t="s">
        <v>52</v>
      </c>
      <c r="C2643" s="34" t="s">
        <v>1438</v>
      </c>
      <c r="F2643" t="s">
        <v>1438</v>
      </c>
      <c r="H2643">
        <v>15</v>
      </c>
      <c r="I2643">
        <f>VLOOKUP(B2643,BRAND!B:D,3,FALSE)</f>
        <v>3</v>
      </c>
      <c r="J2643">
        <v>4</v>
      </c>
      <c r="K2643" t="s">
        <v>821</v>
      </c>
      <c r="M2643">
        <v>1</v>
      </c>
    </row>
    <row r="2644" spans="1:13" s="29" customFormat="1">
      <c r="A2644" t="s">
        <v>2533</v>
      </c>
      <c r="B2644" t="s">
        <v>1249</v>
      </c>
      <c r="C2644" s="34" t="s">
        <v>1438</v>
      </c>
      <c r="D2644"/>
      <c r="E2644"/>
      <c r="F2644" t="s">
        <v>1438</v>
      </c>
      <c r="G2644"/>
      <c r="H2644">
        <v>15</v>
      </c>
      <c r="I2644">
        <f>VLOOKUP(B2644,BRAND!B:D,3,FALSE)</f>
        <v>3</v>
      </c>
      <c r="J2644">
        <v>4</v>
      </c>
      <c r="K2644" t="s">
        <v>821</v>
      </c>
      <c r="L2644"/>
      <c r="M2644">
        <v>0</v>
      </c>
    </row>
    <row r="2645" spans="1:13" s="29" customFormat="1">
      <c r="A2645" t="s">
        <v>4523</v>
      </c>
      <c r="B2645" t="s">
        <v>1250</v>
      </c>
      <c r="C2645" s="34" t="s">
        <v>775</v>
      </c>
      <c r="D2645"/>
      <c r="E2645"/>
      <c r="F2645" t="s">
        <v>775</v>
      </c>
      <c r="G2645"/>
      <c r="H2645">
        <v>5</v>
      </c>
      <c r="I2645">
        <f>VLOOKUP(B2645,BRAND!B:D,3,FALSE)</f>
        <v>3</v>
      </c>
      <c r="J2645">
        <v>3</v>
      </c>
      <c r="K2645" t="s">
        <v>821</v>
      </c>
      <c r="L2645"/>
      <c r="M2645">
        <v>0</v>
      </c>
    </row>
    <row r="2646" spans="1:13" s="29" customFormat="1">
      <c r="A2646" t="s">
        <v>2397</v>
      </c>
      <c r="B2646" t="s">
        <v>1250</v>
      </c>
      <c r="C2646" s="34" t="s">
        <v>1438</v>
      </c>
      <c r="D2646"/>
      <c r="E2646"/>
      <c r="F2646" t="s">
        <v>1438</v>
      </c>
      <c r="G2646"/>
      <c r="H2646">
        <v>15</v>
      </c>
      <c r="I2646">
        <f>VLOOKUP(B2646,BRAND!B:D,3,FALSE)</f>
        <v>3</v>
      </c>
      <c r="J2646">
        <v>4</v>
      </c>
      <c r="K2646" t="s">
        <v>821</v>
      </c>
      <c r="L2646"/>
      <c r="M2646">
        <v>0</v>
      </c>
    </row>
    <row r="2647" spans="1:13">
      <c r="A2647" t="s">
        <v>2504</v>
      </c>
      <c r="B2647" t="s">
        <v>321</v>
      </c>
      <c r="C2647" s="34" t="s">
        <v>774</v>
      </c>
      <c r="F2647" t="s">
        <v>774</v>
      </c>
      <c r="H2647">
        <v>5</v>
      </c>
      <c r="I2647">
        <f>VLOOKUP(B2647,BRAND!B:D,3,FALSE)</f>
        <v>3</v>
      </c>
      <c r="J2647">
        <v>9</v>
      </c>
      <c r="K2647" t="s">
        <v>821</v>
      </c>
      <c r="M2647">
        <v>1</v>
      </c>
    </row>
    <row r="2648" spans="1:13">
      <c r="A2648" t="s">
        <v>3072</v>
      </c>
      <c r="B2648" t="s">
        <v>321</v>
      </c>
      <c r="C2648" s="34" t="s">
        <v>777</v>
      </c>
      <c r="F2648" t="s">
        <v>777</v>
      </c>
      <c r="H2648">
        <v>5</v>
      </c>
      <c r="I2648">
        <f>VLOOKUP(B2648,BRAND!B:D,3,FALSE)</f>
        <v>3</v>
      </c>
      <c r="J2648">
        <v>7</v>
      </c>
      <c r="K2648" t="s">
        <v>821</v>
      </c>
      <c r="M2648">
        <v>0</v>
      </c>
    </row>
    <row r="2649" spans="1:13">
      <c r="A2649" t="s">
        <v>9645</v>
      </c>
      <c r="B2649" t="s">
        <v>321</v>
      </c>
      <c r="C2649" s="34" t="s">
        <v>742</v>
      </c>
      <c r="F2649" t="s">
        <v>742</v>
      </c>
      <c r="H2649">
        <v>5</v>
      </c>
      <c r="I2649">
        <f>VLOOKUP(B2649,BRAND!B:D,3,FALSE)</f>
        <v>3</v>
      </c>
      <c r="J2649">
        <v>6</v>
      </c>
      <c r="M2649">
        <v>1</v>
      </c>
    </row>
    <row r="2650" spans="1:13" s="29" customFormat="1">
      <c r="A2650" t="s">
        <v>4125</v>
      </c>
      <c r="B2650" t="s">
        <v>321</v>
      </c>
      <c r="C2650" s="34" t="s">
        <v>799</v>
      </c>
      <c r="D2650"/>
      <c r="E2650"/>
      <c r="F2650" t="s">
        <v>799</v>
      </c>
      <c r="G2650"/>
      <c r="H2650">
        <v>5</v>
      </c>
      <c r="I2650">
        <f>VLOOKUP(B2650,BRAND!B:D,3,FALSE)</f>
        <v>3</v>
      </c>
      <c r="J2650">
        <v>5</v>
      </c>
      <c r="K2650" t="s">
        <v>821</v>
      </c>
      <c r="L2650"/>
      <c r="M2650">
        <v>0</v>
      </c>
    </row>
    <row r="2651" spans="1:13">
      <c r="A2651" t="s">
        <v>9646</v>
      </c>
      <c r="B2651" t="s">
        <v>321</v>
      </c>
      <c r="C2651" s="34" t="s">
        <v>788</v>
      </c>
      <c r="F2651" t="s">
        <v>788</v>
      </c>
      <c r="H2651">
        <v>5</v>
      </c>
      <c r="I2651">
        <f>VLOOKUP(B2651,BRAND!B:D,3,FALSE)</f>
        <v>3</v>
      </c>
      <c r="J2651">
        <v>4</v>
      </c>
      <c r="M2651">
        <v>1</v>
      </c>
    </row>
    <row r="2652" spans="1:13">
      <c r="A2652" t="s">
        <v>4973</v>
      </c>
      <c r="B2652" t="s">
        <v>321</v>
      </c>
      <c r="C2652" s="34" t="s">
        <v>1438</v>
      </c>
      <c r="F2652" t="s">
        <v>1438</v>
      </c>
      <c r="G2652" t="s">
        <v>801</v>
      </c>
      <c r="H2652">
        <v>6</v>
      </c>
      <c r="I2652">
        <f>VLOOKUP(B2652,BRAND!B:D,3,FALSE)</f>
        <v>3</v>
      </c>
      <c r="J2652">
        <v>4</v>
      </c>
      <c r="K2652" t="s">
        <v>821</v>
      </c>
      <c r="M2652">
        <v>1</v>
      </c>
    </row>
    <row r="2653" spans="1:13">
      <c r="A2653" t="s">
        <v>2599</v>
      </c>
      <c r="B2653" t="s">
        <v>321</v>
      </c>
      <c r="C2653" s="34" t="s">
        <v>1438</v>
      </c>
      <c r="F2653" t="s">
        <v>1438</v>
      </c>
      <c r="H2653">
        <v>15</v>
      </c>
      <c r="I2653">
        <f>VLOOKUP(B2653,BRAND!B:D,3,FALSE)</f>
        <v>3</v>
      </c>
      <c r="J2653">
        <v>4</v>
      </c>
      <c r="K2653" t="s">
        <v>821</v>
      </c>
      <c r="M2653">
        <v>1</v>
      </c>
    </row>
    <row r="2654" spans="1:13">
      <c r="A2654" t="s">
        <v>10075</v>
      </c>
      <c r="B2654" t="s">
        <v>7012</v>
      </c>
      <c r="C2654" s="34" t="s">
        <v>1438</v>
      </c>
      <c r="F2654" t="s">
        <v>1438</v>
      </c>
      <c r="H2654">
        <v>15</v>
      </c>
      <c r="I2654">
        <f>VLOOKUP(B2654,BRAND!B:D,3,FALSE)</f>
        <v>11</v>
      </c>
      <c r="J2654">
        <v>4</v>
      </c>
      <c r="M2654">
        <v>0</v>
      </c>
    </row>
    <row r="2655" spans="1:13">
      <c r="A2655" t="s">
        <v>9451</v>
      </c>
      <c r="B2655" t="s">
        <v>9452</v>
      </c>
      <c r="C2655" s="34" t="s">
        <v>1438</v>
      </c>
      <c r="F2655" t="s">
        <v>1438</v>
      </c>
      <c r="G2655" t="s">
        <v>6932</v>
      </c>
      <c r="H2655">
        <v>5</v>
      </c>
      <c r="I2655">
        <f>VLOOKUP(B2655,BRAND!B:D,3,FALSE)</f>
        <v>5.5</v>
      </c>
      <c r="J2655">
        <v>4</v>
      </c>
      <c r="M2655">
        <v>1</v>
      </c>
    </row>
    <row r="2656" spans="1:13">
      <c r="A2656" t="s">
        <v>2175</v>
      </c>
      <c r="B2656" t="s">
        <v>1033</v>
      </c>
      <c r="C2656" s="34" t="s">
        <v>1438</v>
      </c>
      <c r="F2656" t="s">
        <v>1438</v>
      </c>
      <c r="H2656">
        <v>15</v>
      </c>
      <c r="I2656">
        <f>VLOOKUP(B2656,BRAND!B:D,3,FALSE)</f>
        <v>3</v>
      </c>
      <c r="J2656">
        <v>4</v>
      </c>
      <c r="K2656" t="s">
        <v>821</v>
      </c>
      <c r="M2656">
        <v>0</v>
      </c>
    </row>
    <row r="2657" spans="1:13">
      <c r="A2657" t="s">
        <v>2092</v>
      </c>
      <c r="B2657" t="s">
        <v>625</v>
      </c>
      <c r="C2657" s="34" t="s">
        <v>1438</v>
      </c>
      <c r="F2657" t="s">
        <v>1438</v>
      </c>
      <c r="H2657">
        <v>15</v>
      </c>
      <c r="I2657">
        <f>VLOOKUP(B2657,BRAND!B:D,3,FALSE)</f>
        <v>3</v>
      </c>
      <c r="J2657">
        <v>4</v>
      </c>
      <c r="K2657" t="s">
        <v>821</v>
      </c>
      <c r="M2657">
        <v>1</v>
      </c>
    </row>
    <row r="2658" spans="1:13">
      <c r="A2658" t="s">
        <v>4735</v>
      </c>
      <c r="B2658" t="s">
        <v>53</v>
      </c>
      <c r="C2658" s="34" t="s">
        <v>941</v>
      </c>
      <c r="F2658" t="s">
        <v>941</v>
      </c>
      <c r="H2658">
        <v>5</v>
      </c>
      <c r="I2658">
        <f>VLOOKUP(B2658,BRAND!B:D,3,FALSE)</f>
        <v>3</v>
      </c>
      <c r="J2658">
        <v>5</v>
      </c>
      <c r="K2658" t="s">
        <v>821</v>
      </c>
      <c r="M2658">
        <v>1</v>
      </c>
    </row>
    <row r="2659" spans="1:13">
      <c r="A2659" t="s">
        <v>2587</v>
      </c>
      <c r="B2659" t="s">
        <v>53</v>
      </c>
      <c r="C2659" s="34" t="s">
        <v>561</v>
      </c>
      <c r="F2659" t="s">
        <v>561</v>
      </c>
      <c r="H2659">
        <v>5</v>
      </c>
      <c r="I2659">
        <f>VLOOKUP(B2659,BRAND!B:D,3,FALSE)</f>
        <v>3</v>
      </c>
      <c r="J2659">
        <v>3</v>
      </c>
      <c r="K2659" t="s">
        <v>821</v>
      </c>
      <c r="M2659">
        <v>0</v>
      </c>
    </row>
    <row r="2660" spans="1:13" s="29" customFormat="1">
      <c r="A2660" t="s">
        <v>3145</v>
      </c>
      <c r="B2660" t="s">
        <v>53</v>
      </c>
      <c r="C2660" s="34" t="s">
        <v>786</v>
      </c>
      <c r="D2660"/>
      <c r="E2660"/>
      <c r="F2660" t="s">
        <v>786</v>
      </c>
      <c r="G2660"/>
      <c r="H2660">
        <v>5</v>
      </c>
      <c r="I2660">
        <f>VLOOKUP(B2660,BRAND!B:D,3,FALSE)</f>
        <v>3</v>
      </c>
      <c r="J2660">
        <v>3</v>
      </c>
      <c r="K2660" t="s">
        <v>821</v>
      </c>
      <c r="L2660"/>
      <c r="M2660">
        <v>1</v>
      </c>
    </row>
    <row r="2661" spans="1:13">
      <c r="A2661" t="s">
        <v>2153</v>
      </c>
      <c r="B2661" t="s">
        <v>53</v>
      </c>
      <c r="C2661" s="34" t="s">
        <v>1438</v>
      </c>
      <c r="F2661" t="s">
        <v>1438</v>
      </c>
      <c r="H2661">
        <v>15</v>
      </c>
      <c r="I2661">
        <f>VLOOKUP(B2661,BRAND!B:D,3,FALSE)</f>
        <v>3</v>
      </c>
      <c r="J2661">
        <v>4</v>
      </c>
      <c r="K2661" t="s">
        <v>821</v>
      </c>
      <c r="M2661">
        <v>1</v>
      </c>
    </row>
    <row r="2662" spans="1:13" s="29" customFormat="1">
      <c r="A2662" t="s">
        <v>2943</v>
      </c>
      <c r="B2662" t="s">
        <v>469</v>
      </c>
      <c r="C2662" s="34" t="s">
        <v>1438</v>
      </c>
      <c r="D2662"/>
      <c r="E2662"/>
      <c r="F2662" t="s">
        <v>1438</v>
      </c>
      <c r="G2662"/>
      <c r="H2662">
        <v>15</v>
      </c>
      <c r="I2662">
        <f>VLOOKUP(B2662,BRAND!B:D,3,FALSE)</f>
        <v>3</v>
      </c>
      <c r="J2662">
        <v>4</v>
      </c>
      <c r="K2662" t="s">
        <v>821</v>
      </c>
      <c r="L2662"/>
      <c r="M2662">
        <v>1</v>
      </c>
    </row>
    <row r="2663" spans="1:13">
      <c r="A2663" t="s">
        <v>3858</v>
      </c>
      <c r="B2663" t="s">
        <v>1804</v>
      </c>
      <c r="C2663" s="34" t="s">
        <v>534</v>
      </c>
      <c r="F2663" t="s">
        <v>534</v>
      </c>
      <c r="H2663">
        <v>5</v>
      </c>
      <c r="I2663">
        <f>VLOOKUP(B2663,BRAND!B:D,3,FALSE)</f>
        <v>3</v>
      </c>
      <c r="J2663">
        <v>6</v>
      </c>
      <c r="K2663" t="s">
        <v>821</v>
      </c>
      <c r="M2663">
        <v>0</v>
      </c>
    </row>
    <row r="2664" spans="1:13" s="29" customFormat="1">
      <c r="A2664" t="s">
        <v>3878</v>
      </c>
      <c r="B2664" t="s">
        <v>322</v>
      </c>
      <c r="C2664" s="34" t="s">
        <v>534</v>
      </c>
      <c r="D2664"/>
      <c r="E2664"/>
      <c r="F2664" t="s">
        <v>534</v>
      </c>
      <c r="G2664"/>
      <c r="H2664">
        <v>5</v>
      </c>
      <c r="I2664">
        <f>VLOOKUP(B2664,BRAND!B:D,3,FALSE)</f>
        <v>3</v>
      </c>
      <c r="J2664">
        <v>6</v>
      </c>
      <c r="K2664" t="s">
        <v>821</v>
      </c>
      <c r="L2664"/>
      <c r="M2664">
        <v>1</v>
      </c>
    </row>
    <row r="2665" spans="1:13">
      <c r="A2665" t="s">
        <v>3879</v>
      </c>
      <c r="B2665" t="s">
        <v>322</v>
      </c>
      <c r="C2665" s="34" t="s">
        <v>536</v>
      </c>
      <c r="F2665" t="s">
        <v>536</v>
      </c>
      <c r="H2665">
        <v>5</v>
      </c>
      <c r="I2665">
        <f>VLOOKUP(B2665,BRAND!B:D,3,FALSE)</f>
        <v>3</v>
      </c>
      <c r="J2665">
        <v>5</v>
      </c>
      <c r="K2665" t="s">
        <v>821</v>
      </c>
      <c r="M2665">
        <v>0</v>
      </c>
    </row>
    <row r="2666" spans="1:13">
      <c r="A2666" t="s">
        <v>8082</v>
      </c>
      <c r="B2666" t="s">
        <v>322</v>
      </c>
      <c r="C2666" s="34" t="s">
        <v>751</v>
      </c>
      <c r="F2666" t="s">
        <v>751</v>
      </c>
      <c r="G2666" t="s">
        <v>6932</v>
      </c>
      <c r="H2666">
        <v>5</v>
      </c>
      <c r="I2666">
        <f>VLOOKUP(B2666,BRAND!B:D,3,FALSE)</f>
        <v>3</v>
      </c>
      <c r="J2666">
        <v>5</v>
      </c>
      <c r="M2666">
        <v>1</v>
      </c>
    </row>
    <row r="2667" spans="1:13">
      <c r="A2667" t="s">
        <v>8084</v>
      </c>
      <c r="B2667" t="s">
        <v>322</v>
      </c>
      <c r="C2667" s="34" t="s">
        <v>842</v>
      </c>
      <c r="F2667" t="s">
        <v>842</v>
      </c>
      <c r="G2667" t="s">
        <v>6932</v>
      </c>
      <c r="H2667">
        <v>5</v>
      </c>
      <c r="I2667">
        <f>VLOOKUP(B2667,BRAND!B:D,3,FALSE)</f>
        <v>3</v>
      </c>
      <c r="J2667">
        <v>5</v>
      </c>
      <c r="M2667">
        <v>1</v>
      </c>
    </row>
    <row r="2668" spans="1:13">
      <c r="A2668" t="s">
        <v>8083</v>
      </c>
      <c r="B2668" t="s">
        <v>322</v>
      </c>
      <c r="C2668" s="34" t="s">
        <v>788</v>
      </c>
      <c r="F2668" t="s">
        <v>788</v>
      </c>
      <c r="G2668" t="s">
        <v>6932</v>
      </c>
      <c r="H2668">
        <v>5</v>
      </c>
      <c r="I2668">
        <f>VLOOKUP(B2668,BRAND!B:D,3,FALSE)</f>
        <v>3</v>
      </c>
      <c r="J2668">
        <v>4</v>
      </c>
      <c r="M2668">
        <v>1</v>
      </c>
    </row>
    <row r="2669" spans="1:13" s="29" customFormat="1">
      <c r="A2669" t="s">
        <v>3880</v>
      </c>
      <c r="B2669" t="s">
        <v>322</v>
      </c>
      <c r="C2669" s="34" t="s">
        <v>897</v>
      </c>
      <c r="D2669"/>
      <c r="E2669"/>
      <c r="F2669" t="s">
        <v>897</v>
      </c>
      <c r="G2669"/>
      <c r="H2669">
        <v>5</v>
      </c>
      <c r="I2669">
        <f>VLOOKUP(B2669,BRAND!B:D,3,FALSE)</f>
        <v>3</v>
      </c>
      <c r="J2669">
        <v>4</v>
      </c>
      <c r="K2669" t="s">
        <v>821</v>
      </c>
      <c r="M2669">
        <v>1</v>
      </c>
    </row>
    <row r="2670" spans="1:13">
      <c r="A2670" t="s">
        <v>2903</v>
      </c>
      <c r="B2670" t="s">
        <v>322</v>
      </c>
      <c r="C2670" s="34" t="s">
        <v>1438</v>
      </c>
      <c r="F2670" t="s">
        <v>1438</v>
      </c>
      <c r="H2670">
        <v>15</v>
      </c>
      <c r="I2670">
        <f>VLOOKUP(B2670,BRAND!B:D,3,FALSE)</f>
        <v>3</v>
      </c>
      <c r="J2670">
        <v>4</v>
      </c>
      <c r="K2670" t="s">
        <v>821</v>
      </c>
      <c r="M2670">
        <v>0</v>
      </c>
    </row>
    <row r="2671" spans="1:13">
      <c r="A2671" t="s">
        <v>8085</v>
      </c>
      <c r="B2671" t="s">
        <v>8086</v>
      </c>
      <c r="C2671" s="34" t="s">
        <v>7515</v>
      </c>
      <c r="F2671" t="s">
        <v>7515</v>
      </c>
      <c r="G2671" t="s">
        <v>6932</v>
      </c>
      <c r="H2671">
        <v>5</v>
      </c>
      <c r="I2671">
        <f>VLOOKUP(B2671,BRAND!B:D,3,FALSE)</f>
        <v>5.5</v>
      </c>
      <c r="J2671">
        <v>3</v>
      </c>
      <c r="M2671">
        <v>1</v>
      </c>
    </row>
    <row r="2672" spans="1:13" s="29" customFormat="1">
      <c r="A2672" t="s">
        <v>8087</v>
      </c>
      <c r="B2672" t="s">
        <v>8088</v>
      </c>
      <c r="C2672" s="34" t="s">
        <v>786</v>
      </c>
      <c r="D2672"/>
      <c r="E2672"/>
      <c r="F2672" t="s">
        <v>786</v>
      </c>
      <c r="G2672" t="s">
        <v>6932</v>
      </c>
      <c r="H2672">
        <v>5</v>
      </c>
      <c r="I2672">
        <f>VLOOKUP(B2672,BRAND!B:D,3,FALSE)</f>
        <v>5.5</v>
      </c>
      <c r="J2672">
        <v>3</v>
      </c>
      <c r="K2672"/>
      <c r="L2672"/>
      <c r="M2672">
        <v>1</v>
      </c>
    </row>
    <row r="2673" spans="1:13">
      <c r="A2673" t="s">
        <v>3803</v>
      </c>
      <c r="B2673" t="s">
        <v>1034</v>
      </c>
      <c r="C2673" s="34" t="s">
        <v>561</v>
      </c>
      <c r="F2673" t="s">
        <v>561</v>
      </c>
      <c r="H2673">
        <v>5</v>
      </c>
      <c r="I2673">
        <f>VLOOKUP(B2673,BRAND!B:D,3,FALSE)</f>
        <v>3</v>
      </c>
      <c r="J2673">
        <v>3</v>
      </c>
      <c r="K2673" t="s">
        <v>821</v>
      </c>
      <c r="M2673">
        <v>1</v>
      </c>
    </row>
    <row r="2674" spans="1:13" s="29" customFormat="1">
      <c r="A2674" t="s">
        <v>2176</v>
      </c>
      <c r="B2674" t="s">
        <v>1034</v>
      </c>
      <c r="C2674" s="34" t="s">
        <v>1438</v>
      </c>
      <c r="D2674"/>
      <c r="E2674"/>
      <c r="F2674" t="s">
        <v>1438</v>
      </c>
      <c r="G2674"/>
      <c r="H2674">
        <v>15</v>
      </c>
      <c r="I2674">
        <f>VLOOKUP(B2674,BRAND!B:D,3,FALSE)</f>
        <v>3</v>
      </c>
      <c r="J2674">
        <v>4</v>
      </c>
      <c r="K2674" t="s">
        <v>821</v>
      </c>
      <c r="L2674"/>
      <c r="M2674">
        <v>0</v>
      </c>
    </row>
    <row r="2675" spans="1:13">
      <c r="A2675" t="s">
        <v>3147</v>
      </c>
      <c r="B2675" t="s">
        <v>1251</v>
      </c>
      <c r="C2675" s="34" t="s">
        <v>534</v>
      </c>
      <c r="F2675" t="s">
        <v>534</v>
      </c>
      <c r="H2675">
        <v>5</v>
      </c>
      <c r="I2675">
        <f>VLOOKUP(B2675,BRAND!B:D,3,FALSE)</f>
        <v>3</v>
      </c>
      <c r="J2675">
        <v>6</v>
      </c>
      <c r="K2675" t="s">
        <v>821</v>
      </c>
      <c r="M2675">
        <v>0</v>
      </c>
    </row>
    <row r="2676" spans="1:13">
      <c r="A2676" t="s">
        <v>4336</v>
      </c>
      <c r="B2676" t="s">
        <v>1251</v>
      </c>
      <c r="C2676" s="34" t="s">
        <v>751</v>
      </c>
      <c r="F2676" t="s">
        <v>751</v>
      </c>
      <c r="H2676">
        <v>5</v>
      </c>
      <c r="I2676">
        <f>VLOOKUP(B2676,BRAND!B:D,3,FALSE)</f>
        <v>3</v>
      </c>
      <c r="J2676">
        <v>5</v>
      </c>
      <c r="K2676" t="s">
        <v>821</v>
      </c>
      <c r="M2676">
        <v>0</v>
      </c>
    </row>
    <row r="2677" spans="1:13">
      <c r="A2677" t="s">
        <v>3565</v>
      </c>
      <c r="B2677" t="s">
        <v>1251</v>
      </c>
      <c r="C2677" s="34" t="s">
        <v>536</v>
      </c>
      <c r="F2677" t="s">
        <v>536</v>
      </c>
      <c r="H2677">
        <v>5</v>
      </c>
      <c r="I2677">
        <f>VLOOKUP(B2677,BRAND!B:D,3,FALSE)</f>
        <v>3</v>
      </c>
      <c r="J2677">
        <v>5</v>
      </c>
      <c r="K2677" t="s">
        <v>821</v>
      </c>
      <c r="M2677">
        <v>0</v>
      </c>
    </row>
    <row r="2678" spans="1:13">
      <c r="A2678" t="s">
        <v>3564</v>
      </c>
      <c r="B2678" t="s">
        <v>1251</v>
      </c>
      <c r="C2678" s="34" t="s">
        <v>897</v>
      </c>
      <c r="F2678" t="s">
        <v>897</v>
      </c>
      <c r="H2678">
        <v>5</v>
      </c>
      <c r="I2678">
        <f>VLOOKUP(B2678,BRAND!B:D,3,FALSE)</f>
        <v>3</v>
      </c>
      <c r="J2678">
        <v>4</v>
      </c>
      <c r="K2678" t="s">
        <v>821</v>
      </c>
      <c r="M2678">
        <v>0</v>
      </c>
    </row>
    <row r="2679" spans="1:13">
      <c r="A2679" t="s">
        <v>2674</v>
      </c>
      <c r="B2679" t="s">
        <v>1251</v>
      </c>
      <c r="C2679" s="34" t="s">
        <v>1438</v>
      </c>
      <c r="F2679" t="s">
        <v>1438</v>
      </c>
      <c r="H2679">
        <v>15</v>
      </c>
      <c r="I2679">
        <f>VLOOKUP(B2679,BRAND!B:D,3,FALSE)</f>
        <v>3</v>
      </c>
      <c r="J2679">
        <v>4</v>
      </c>
      <c r="K2679" t="s">
        <v>821</v>
      </c>
      <c r="M2679">
        <v>0</v>
      </c>
    </row>
    <row r="2680" spans="1:13">
      <c r="A2680" t="s">
        <v>7716</v>
      </c>
      <c r="B2680" t="s">
        <v>7717</v>
      </c>
      <c r="C2680" s="34" t="s">
        <v>1438</v>
      </c>
      <c r="F2680" t="s">
        <v>1438</v>
      </c>
      <c r="G2680" t="s">
        <v>6932</v>
      </c>
      <c r="H2680">
        <v>5</v>
      </c>
      <c r="I2680">
        <f>VLOOKUP(B2680,BRAND!B:D,3,FALSE)</f>
        <v>5.5</v>
      </c>
      <c r="J2680">
        <v>4</v>
      </c>
      <c r="M2680">
        <v>1</v>
      </c>
    </row>
    <row r="2681" spans="1:13">
      <c r="A2681" t="s">
        <v>9647</v>
      </c>
      <c r="B2681" t="s">
        <v>9988</v>
      </c>
      <c r="C2681" s="34" t="s">
        <v>561</v>
      </c>
      <c r="F2681" t="s">
        <v>561</v>
      </c>
      <c r="G2681" t="s">
        <v>6932</v>
      </c>
      <c r="H2681">
        <v>5</v>
      </c>
      <c r="I2681">
        <f>VLOOKUP(B2681,BRAND!B:D,3,FALSE)</f>
        <v>5.5</v>
      </c>
      <c r="J2681">
        <v>3</v>
      </c>
      <c r="M2681">
        <v>1</v>
      </c>
    </row>
    <row r="2682" spans="1:13">
      <c r="A2682" t="s">
        <v>8089</v>
      </c>
      <c r="B2682" t="s">
        <v>8090</v>
      </c>
      <c r="C2682" s="34" t="s">
        <v>1438</v>
      </c>
      <c r="F2682" t="s">
        <v>1438</v>
      </c>
      <c r="G2682" t="s">
        <v>6932</v>
      </c>
      <c r="H2682">
        <v>5</v>
      </c>
      <c r="I2682">
        <f>VLOOKUP(B2682,BRAND!B:D,3,FALSE)</f>
        <v>5.5</v>
      </c>
      <c r="J2682">
        <v>4</v>
      </c>
      <c r="M2682">
        <v>0</v>
      </c>
    </row>
    <row r="2683" spans="1:13">
      <c r="A2683" t="s">
        <v>6955</v>
      </c>
      <c r="B2683" t="s">
        <v>1751</v>
      </c>
      <c r="C2683" s="34" t="s">
        <v>6956</v>
      </c>
      <c r="F2683" t="s">
        <v>880</v>
      </c>
      <c r="H2683">
        <v>5</v>
      </c>
      <c r="I2683">
        <f>VLOOKUP(B2683,BRAND!B:D,3,FALSE)</f>
        <v>3</v>
      </c>
      <c r="J2683">
        <v>7</v>
      </c>
      <c r="K2683" t="s">
        <v>821</v>
      </c>
      <c r="M2683">
        <v>1</v>
      </c>
    </row>
    <row r="2684" spans="1:13">
      <c r="A2684" t="s">
        <v>8091</v>
      </c>
      <c r="B2684" t="s">
        <v>8092</v>
      </c>
      <c r="C2684" s="34" t="s">
        <v>1438</v>
      </c>
      <c r="F2684" t="s">
        <v>1438</v>
      </c>
      <c r="G2684" t="s">
        <v>6932</v>
      </c>
      <c r="H2684">
        <v>5</v>
      </c>
      <c r="I2684">
        <f>VLOOKUP(B2684,BRAND!B:D,3,FALSE)</f>
        <v>5.5</v>
      </c>
      <c r="J2684">
        <v>4</v>
      </c>
      <c r="M2684">
        <v>1</v>
      </c>
    </row>
    <row r="2685" spans="1:13">
      <c r="A2685" t="s">
        <v>8093</v>
      </c>
      <c r="B2685" t="s">
        <v>8094</v>
      </c>
      <c r="C2685" s="34" t="s">
        <v>1438</v>
      </c>
      <c r="F2685" t="s">
        <v>1438</v>
      </c>
      <c r="G2685" t="s">
        <v>6932</v>
      </c>
      <c r="H2685">
        <v>5</v>
      </c>
      <c r="I2685">
        <f>VLOOKUP(B2685,BRAND!B:D,3,FALSE)</f>
        <v>5.5</v>
      </c>
      <c r="J2685">
        <v>4</v>
      </c>
      <c r="M2685">
        <v>1</v>
      </c>
    </row>
    <row r="2686" spans="1:13">
      <c r="A2686" t="s">
        <v>8106</v>
      </c>
      <c r="B2686" t="s">
        <v>605</v>
      </c>
      <c r="C2686" s="34" t="s">
        <v>8107</v>
      </c>
      <c r="F2686" t="s">
        <v>8107</v>
      </c>
      <c r="G2686" t="s">
        <v>6932</v>
      </c>
      <c r="H2686">
        <v>5</v>
      </c>
      <c r="I2686">
        <f>VLOOKUP(B2686,BRAND!B:D,3,FALSE)</f>
        <v>9</v>
      </c>
      <c r="J2686">
        <v>9</v>
      </c>
      <c r="M2686">
        <v>1</v>
      </c>
    </row>
    <row r="2687" spans="1:13">
      <c r="A2687" t="s">
        <v>8104</v>
      </c>
      <c r="B2687" t="s">
        <v>605</v>
      </c>
      <c r="C2687" s="34" t="s">
        <v>777</v>
      </c>
      <c r="F2687" t="s">
        <v>777</v>
      </c>
      <c r="G2687" t="s">
        <v>6932</v>
      </c>
      <c r="H2687">
        <v>5</v>
      </c>
      <c r="I2687">
        <f>VLOOKUP(B2687,BRAND!B:D,3,FALSE)</f>
        <v>9</v>
      </c>
      <c r="J2687">
        <v>7</v>
      </c>
      <c r="M2687">
        <v>1</v>
      </c>
    </row>
    <row r="2688" spans="1:13" s="29" customFormat="1">
      <c r="A2688" t="s">
        <v>8105</v>
      </c>
      <c r="B2688" t="s">
        <v>605</v>
      </c>
      <c r="C2688" s="34" t="s">
        <v>535</v>
      </c>
      <c r="D2688"/>
      <c r="E2688"/>
      <c r="F2688" t="s">
        <v>535</v>
      </c>
      <c r="G2688" t="s">
        <v>6932</v>
      </c>
      <c r="H2688">
        <v>5</v>
      </c>
      <c r="I2688">
        <f>VLOOKUP(B2688,BRAND!B:D,3,FALSE)</f>
        <v>9</v>
      </c>
      <c r="J2688">
        <v>6</v>
      </c>
      <c r="K2688"/>
      <c r="L2688"/>
      <c r="M2688">
        <v>1</v>
      </c>
    </row>
    <row r="2689" spans="1:13" s="29" customFormat="1">
      <c r="A2689" t="s">
        <v>8108</v>
      </c>
      <c r="B2689" t="s">
        <v>605</v>
      </c>
      <c r="C2689" s="34" t="s">
        <v>776</v>
      </c>
      <c r="D2689"/>
      <c r="E2689"/>
      <c r="F2689" t="s">
        <v>776</v>
      </c>
      <c r="G2689" t="s">
        <v>6932</v>
      </c>
      <c r="H2689">
        <v>5</v>
      </c>
      <c r="I2689">
        <f>VLOOKUP(B2689,BRAND!B:D,3,FALSE)</f>
        <v>9</v>
      </c>
      <c r="J2689">
        <v>5</v>
      </c>
      <c r="K2689"/>
      <c r="L2689"/>
      <c r="M2689">
        <v>1</v>
      </c>
    </row>
    <row r="2690" spans="1:13" s="29" customFormat="1">
      <c r="A2690" t="s">
        <v>7087</v>
      </c>
      <c r="B2690" t="s">
        <v>6613</v>
      </c>
      <c r="C2690" s="34" t="s">
        <v>1438</v>
      </c>
      <c r="D2690"/>
      <c r="E2690"/>
      <c r="F2690" t="s">
        <v>1438</v>
      </c>
      <c r="G2690"/>
      <c r="H2690">
        <v>5</v>
      </c>
      <c r="I2690">
        <f>VLOOKUP(B2690,BRAND!B:D,3,FALSE)</f>
        <v>5</v>
      </c>
      <c r="J2690">
        <v>4</v>
      </c>
      <c r="K2690"/>
      <c r="L2690"/>
      <c r="M2690">
        <v>1</v>
      </c>
    </row>
    <row r="2691" spans="1:13">
      <c r="A2691" t="s">
        <v>7087</v>
      </c>
      <c r="B2691" t="s">
        <v>6613</v>
      </c>
      <c r="C2691" s="34" t="s">
        <v>1438</v>
      </c>
      <c r="F2691" t="s">
        <v>1438</v>
      </c>
      <c r="H2691">
        <v>5</v>
      </c>
      <c r="I2691">
        <f>VLOOKUP(B2691,BRAND!B:D,3,FALSE)</f>
        <v>5</v>
      </c>
      <c r="J2691">
        <v>4</v>
      </c>
      <c r="M2691">
        <v>1</v>
      </c>
    </row>
    <row r="2692" spans="1:13" ht="16.5" customHeight="1">
      <c r="A2692" t="s">
        <v>8097</v>
      </c>
      <c r="B2692" t="s">
        <v>6613</v>
      </c>
      <c r="C2692" s="34" t="s">
        <v>1438</v>
      </c>
      <c r="F2692" t="s">
        <v>1438</v>
      </c>
      <c r="G2692" t="s">
        <v>801</v>
      </c>
      <c r="H2692">
        <v>5</v>
      </c>
      <c r="I2692">
        <f>VLOOKUP(B2692,BRAND!B:D,3,FALSE)</f>
        <v>5</v>
      </c>
      <c r="J2692">
        <v>4</v>
      </c>
      <c r="M2692">
        <v>1</v>
      </c>
    </row>
    <row r="2693" spans="1:13">
      <c r="A2693" t="s">
        <v>8098</v>
      </c>
      <c r="B2693" t="s">
        <v>8099</v>
      </c>
      <c r="C2693" s="34" t="s">
        <v>1438</v>
      </c>
      <c r="F2693" t="s">
        <v>1438</v>
      </c>
      <c r="G2693" t="s">
        <v>6932</v>
      </c>
      <c r="H2693">
        <v>5</v>
      </c>
      <c r="I2693">
        <f>VLOOKUP(B2693,BRAND!B:D,3,FALSE)</f>
        <v>5.5</v>
      </c>
      <c r="J2693">
        <v>4</v>
      </c>
      <c r="M2693">
        <v>1</v>
      </c>
    </row>
    <row r="2694" spans="1:13">
      <c r="A2694" t="s">
        <v>8109</v>
      </c>
      <c r="B2694" t="s">
        <v>8110</v>
      </c>
      <c r="C2694" s="34" t="s">
        <v>1438</v>
      </c>
      <c r="F2694" t="s">
        <v>1438</v>
      </c>
      <c r="G2694" t="s">
        <v>6932</v>
      </c>
      <c r="H2694">
        <v>5</v>
      </c>
      <c r="I2694">
        <f>VLOOKUP(B2694,BRAND!B:D,3,FALSE)</f>
        <v>5.5</v>
      </c>
      <c r="J2694">
        <v>4</v>
      </c>
      <c r="M2694">
        <v>1</v>
      </c>
    </row>
    <row r="2695" spans="1:13">
      <c r="A2695" t="s">
        <v>2336</v>
      </c>
      <c r="B2695" t="s">
        <v>679</v>
      </c>
      <c r="C2695" s="34" t="s">
        <v>840</v>
      </c>
      <c r="F2695" t="s">
        <v>840</v>
      </c>
      <c r="H2695">
        <v>5</v>
      </c>
      <c r="I2695">
        <f>VLOOKUP(B2695,BRAND!B:D,3,FALSE)</f>
        <v>3</v>
      </c>
      <c r="J2695">
        <v>9</v>
      </c>
      <c r="K2695" t="s">
        <v>821</v>
      </c>
      <c r="M2695">
        <v>1</v>
      </c>
    </row>
    <row r="2696" spans="1:13">
      <c r="A2696" t="s">
        <v>8126</v>
      </c>
      <c r="B2696" t="s">
        <v>679</v>
      </c>
      <c r="C2696" s="34" t="s">
        <v>772</v>
      </c>
      <c r="F2696" t="s">
        <v>772</v>
      </c>
      <c r="G2696" t="s">
        <v>6932</v>
      </c>
      <c r="H2696">
        <v>5</v>
      </c>
      <c r="I2696">
        <f>VLOOKUP(B2696,BRAND!B:D,3,FALSE)</f>
        <v>3</v>
      </c>
      <c r="J2696">
        <v>6</v>
      </c>
      <c r="M2696">
        <v>1</v>
      </c>
    </row>
    <row r="2697" spans="1:13">
      <c r="A2697" t="s">
        <v>2981</v>
      </c>
      <c r="B2697" t="s">
        <v>679</v>
      </c>
      <c r="C2697" s="34" t="s">
        <v>536</v>
      </c>
      <c r="F2697" t="s">
        <v>536</v>
      </c>
      <c r="H2697">
        <v>5</v>
      </c>
      <c r="I2697">
        <f>VLOOKUP(B2697,BRAND!B:D,3,FALSE)</f>
        <v>3</v>
      </c>
      <c r="J2697">
        <v>5</v>
      </c>
      <c r="K2697" t="s">
        <v>821</v>
      </c>
      <c r="M2697">
        <v>0</v>
      </c>
    </row>
    <row r="2698" spans="1:13">
      <c r="A2698" t="s">
        <v>9648</v>
      </c>
      <c r="B2698" t="s">
        <v>679</v>
      </c>
      <c r="C2698" s="34" t="s">
        <v>534</v>
      </c>
      <c r="F2698" t="s">
        <v>6932</v>
      </c>
      <c r="H2698">
        <v>5</v>
      </c>
      <c r="I2698">
        <f>VLOOKUP(B2698,BRAND!B:D,3,FALSE)</f>
        <v>3</v>
      </c>
      <c r="J2698">
        <v>0</v>
      </c>
      <c r="M2698">
        <v>1</v>
      </c>
    </row>
    <row r="2699" spans="1:13">
      <c r="A2699" t="s">
        <v>3108</v>
      </c>
      <c r="B2699" t="s">
        <v>679</v>
      </c>
      <c r="C2699" s="34" t="s">
        <v>1438</v>
      </c>
      <c r="F2699" t="s">
        <v>1438</v>
      </c>
      <c r="H2699">
        <v>15</v>
      </c>
      <c r="I2699">
        <f>VLOOKUP(B2699,BRAND!B:D,3,FALSE)</f>
        <v>3</v>
      </c>
      <c r="J2699">
        <v>4</v>
      </c>
      <c r="K2699" t="s">
        <v>821</v>
      </c>
      <c r="M2699">
        <v>0</v>
      </c>
    </row>
    <row r="2700" spans="1:13" s="29" customFormat="1">
      <c r="A2700" t="s">
        <v>11537</v>
      </c>
      <c r="B2700" t="s">
        <v>10917</v>
      </c>
      <c r="C2700" s="34" t="s">
        <v>5374</v>
      </c>
      <c r="D2700"/>
      <c r="E2700"/>
      <c r="F2700" t="s">
        <v>777</v>
      </c>
      <c r="G2700" t="s">
        <v>6932</v>
      </c>
      <c r="H2700">
        <v>5</v>
      </c>
      <c r="I2700"/>
      <c r="J2700"/>
      <c r="K2700"/>
      <c r="L2700"/>
      <c r="M2700"/>
    </row>
    <row r="2701" spans="1:13">
      <c r="A2701" t="s">
        <v>11538</v>
      </c>
      <c r="B2701" t="s">
        <v>10917</v>
      </c>
      <c r="C2701" s="34" t="s">
        <v>11035</v>
      </c>
      <c r="F2701" t="s">
        <v>11035</v>
      </c>
      <c r="G2701" t="s">
        <v>6932</v>
      </c>
      <c r="H2701">
        <v>5</v>
      </c>
    </row>
    <row r="2702" spans="1:13">
      <c r="A2702" t="s">
        <v>7109</v>
      </c>
      <c r="B2702" t="s">
        <v>6638</v>
      </c>
      <c r="C2702" s="34" t="s">
        <v>1438</v>
      </c>
      <c r="F2702" t="s">
        <v>1438</v>
      </c>
      <c r="H2702">
        <v>5</v>
      </c>
      <c r="I2702">
        <f>VLOOKUP(B2702,BRAND!B:D,3,FALSE)</f>
        <v>5</v>
      </c>
      <c r="J2702">
        <v>4</v>
      </c>
      <c r="M2702">
        <v>1</v>
      </c>
    </row>
    <row r="2703" spans="1:13">
      <c r="A2703" t="s">
        <v>8114</v>
      </c>
      <c r="B2703" t="s">
        <v>8112</v>
      </c>
      <c r="C2703" s="34" t="s">
        <v>535</v>
      </c>
      <c r="F2703" t="s">
        <v>535</v>
      </c>
      <c r="G2703" t="s">
        <v>6932</v>
      </c>
      <c r="H2703">
        <v>5</v>
      </c>
      <c r="I2703">
        <f>VLOOKUP(B2703,BRAND!B:D,3,FALSE)</f>
        <v>5.5</v>
      </c>
      <c r="J2703">
        <v>6</v>
      </c>
      <c r="M2703">
        <v>1</v>
      </c>
    </row>
    <row r="2704" spans="1:13">
      <c r="A2704" t="s">
        <v>8113</v>
      </c>
      <c r="B2704" t="s">
        <v>8112</v>
      </c>
      <c r="C2704" s="34" t="s">
        <v>842</v>
      </c>
      <c r="F2704" t="s">
        <v>842</v>
      </c>
      <c r="G2704" t="s">
        <v>6932</v>
      </c>
      <c r="H2704">
        <v>5</v>
      </c>
      <c r="I2704">
        <f>VLOOKUP(B2704,BRAND!B:D,3,FALSE)</f>
        <v>5.5</v>
      </c>
      <c r="J2704">
        <v>5</v>
      </c>
      <c r="M2704">
        <v>1</v>
      </c>
    </row>
    <row r="2705" spans="1:13">
      <c r="A2705" t="s">
        <v>8111</v>
      </c>
      <c r="B2705" t="s">
        <v>8112</v>
      </c>
      <c r="C2705" s="34" t="s">
        <v>776</v>
      </c>
      <c r="F2705" t="s">
        <v>776</v>
      </c>
      <c r="G2705" t="s">
        <v>6932</v>
      </c>
      <c r="H2705">
        <v>5</v>
      </c>
      <c r="I2705">
        <f>VLOOKUP(B2705,BRAND!B:D,3,FALSE)</f>
        <v>5.5</v>
      </c>
      <c r="J2705">
        <v>5</v>
      </c>
      <c r="M2705">
        <v>1</v>
      </c>
    </row>
    <row r="2706" spans="1:13">
      <c r="A2706" t="s">
        <v>11647</v>
      </c>
      <c r="B2706" t="s">
        <v>10934</v>
      </c>
      <c r="C2706" s="34" t="s">
        <v>5374</v>
      </c>
      <c r="F2706" t="s">
        <v>777</v>
      </c>
      <c r="G2706" t="s">
        <v>6932</v>
      </c>
      <c r="H2706">
        <v>5</v>
      </c>
    </row>
    <row r="2707" spans="1:13">
      <c r="A2707" t="s">
        <v>11648</v>
      </c>
      <c r="B2707" t="s">
        <v>10934</v>
      </c>
      <c r="C2707" s="34" t="s">
        <v>534</v>
      </c>
      <c r="F2707" t="s">
        <v>534</v>
      </c>
      <c r="G2707" t="s">
        <v>6932</v>
      </c>
      <c r="H2707">
        <v>5</v>
      </c>
    </row>
    <row r="2708" spans="1:13">
      <c r="A2708" t="s">
        <v>11649</v>
      </c>
      <c r="B2708" t="s">
        <v>10934</v>
      </c>
      <c r="C2708" s="34" t="s">
        <v>536</v>
      </c>
      <c r="F2708" t="s">
        <v>536</v>
      </c>
      <c r="G2708" t="s">
        <v>6932</v>
      </c>
      <c r="H2708">
        <v>5</v>
      </c>
    </row>
    <row r="2709" spans="1:13">
      <c r="A2709" t="s">
        <v>11650</v>
      </c>
      <c r="B2709" t="s">
        <v>10934</v>
      </c>
      <c r="C2709" s="34" t="s">
        <v>996</v>
      </c>
      <c r="F2709" t="s">
        <v>996</v>
      </c>
      <c r="G2709" t="s">
        <v>6932</v>
      </c>
      <c r="H2709">
        <v>5</v>
      </c>
    </row>
    <row r="2710" spans="1:13">
      <c r="A2710" t="s">
        <v>11651</v>
      </c>
      <c r="B2710" t="s">
        <v>10934</v>
      </c>
      <c r="C2710" s="34" t="s">
        <v>561</v>
      </c>
      <c r="F2710" t="s">
        <v>561</v>
      </c>
      <c r="G2710" t="s">
        <v>6932</v>
      </c>
      <c r="H2710">
        <v>5</v>
      </c>
    </row>
    <row r="2711" spans="1:13">
      <c r="A2711" t="s">
        <v>11652</v>
      </c>
      <c r="B2711" t="s">
        <v>10934</v>
      </c>
      <c r="C2711" s="34" t="s">
        <v>11114</v>
      </c>
      <c r="F2711" t="s">
        <v>11114</v>
      </c>
      <c r="G2711" t="s">
        <v>6932</v>
      </c>
      <c r="H2711">
        <v>5</v>
      </c>
    </row>
    <row r="2712" spans="1:13">
      <c r="A2712" t="s">
        <v>11653</v>
      </c>
      <c r="B2712" t="s">
        <v>10934</v>
      </c>
      <c r="C2712" s="34" t="s">
        <v>6689</v>
      </c>
      <c r="F2712" t="s">
        <v>6689</v>
      </c>
      <c r="G2712" t="s">
        <v>6932</v>
      </c>
      <c r="H2712">
        <v>5</v>
      </c>
    </row>
    <row r="2713" spans="1:13">
      <c r="A2713" t="s">
        <v>11654</v>
      </c>
      <c r="B2713" t="s">
        <v>10934</v>
      </c>
      <c r="C2713" s="34" t="s">
        <v>11115</v>
      </c>
      <c r="F2713" t="s">
        <v>11115</v>
      </c>
      <c r="G2713" t="s">
        <v>6932</v>
      </c>
      <c r="H2713">
        <v>5</v>
      </c>
    </row>
    <row r="2714" spans="1:13">
      <c r="A2714" t="s">
        <v>11655</v>
      </c>
      <c r="B2714" t="s">
        <v>10934</v>
      </c>
      <c r="C2714" s="34" t="s">
        <v>11116</v>
      </c>
      <c r="F2714" t="s">
        <v>11116</v>
      </c>
      <c r="G2714" t="s">
        <v>6932</v>
      </c>
      <c r="H2714">
        <v>5</v>
      </c>
    </row>
    <row r="2715" spans="1:13">
      <c r="A2715" t="s">
        <v>11656</v>
      </c>
      <c r="B2715" t="s">
        <v>10934</v>
      </c>
      <c r="C2715" s="34" t="s">
        <v>930</v>
      </c>
      <c r="F2715" t="s">
        <v>930</v>
      </c>
      <c r="G2715" t="s">
        <v>6932</v>
      </c>
      <c r="H2715">
        <v>5</v>
      </c>
    </row>
    <row r="2716" spans="1:13">
      <c r="A2716" t="s">
        <v>11657</v>
      </c>
      <c r="B2716" t="s">
        <v>10934</v>
      </c>
      <c r="C2716" s="34" t="s">
        <v>742</v>
      </c>
      <c r="F2716" t="s">
        <v>742</v>
      </c>
      <c r="G2716" t="s">
        <v>6932</v>
      </c>
      <c r="H2716">
        <v>5</v>
      </c>
    </row>
    <row r="2717" spans="1:13">
      <c r="A2717" t="s">
        <v>11657</v>
      </c>
      <c r="B2717" t="s">
        <v>10934</v>
      </c>
      <c r="C2717" s="34" t="s">
        <v>742</v>
      </c>
      <c r="F2717" t="s">
        <v>742</v>
      </c>
      <c r="G2717" t="s">
        <v>801</v>
      </c>
      <c r="H2717">
        <v>5</v>
      </c>
    </row>
    <row r="2718" spans="1:13">
      <c r="A2718" t="s">
        <v>12067</v>
      </c>
      <c r="B2718" t="s">
        <v>10934</v>
      </c>
      <c r="C2718" s="34" t="s">
        <v>900</v>
      </c>
      <c r="F2718" t="s">
        <v>900</v>
      </c>
      <c r="G2718" t="s">
        <v>801</v>
      </c>
      <c r="H2718">
        <v>5</v>
      </c>
    </row>
    <row r="2719" spans="1:13" s="29" customFormat="1">
      <c r="A2719" t="s">
        <v>4544</v>
      </c>
      <c r="B2719" t="s">
        <v>1252</v>
      </c>
      <c r="C2719" s="34" t="s">
        <v>751</v>
      </c>
      <c r="D2719"/>
      <c r="E2719"/>
      <c r="F2719" t="s">
        <v>751</v>
      </c>
      <c r="G2719"/>
      <c r="H2719">
        <v>5</v>
      </c>
      <c r="I2719">
        <f>VLOOKUP(B2719,BRAND!B:D,3,FALSE)</f>
        <v>3</v>
      </c>
      <c r="J2719">
        <v>5</v>
      </c>
      <c r="K2719" t="s">
        <v>821</v>
      </c>
      <c r="L2719"/>
      <c r="M2719">
        <v>0</v>
      </c>
    </row>
    <row r="2720" spans="1:13" s="29" customFormat="1">
      <c r="A2720" t="s">
        <v>2966</v>
      </c>
      <c r="B2720" t="s">
        <v>1252</v>
      </c>
      <c r="C2720" s="34" t="s">
        <v>536</v>
      </c>
      <c r="D2720"/>
      <c r="E2720"/>
      <c r="F2720" t="s">
        <v>536</v>
      </c>
      <c r="G2720"/>
      <c r="H2720">
        <v>5</v>
      </c>
      <c r="I2720">
        <f>VLOOKUP(B2720,BRAND!B:D,3,FALSE)</f>
        <v>3</v>
      </c>
      <c r="J2720">
        <v>5</v>
      </c>
      <c r="K2720" t="s">
        <v>821</v>
      </c>
      <c r="L2720"/>
      <c r="M2720">
        <v>0</v>
      </c>
    </row>
    <row r="2721" spans="1:13">
      <c r="A2721" t="s">
        <v>2913</v>
      </c>
      <c r="B2721" t="s">
        <v>1252</v>
      </c>
      <c r="C2721" s="34" t="s">
        <v>1438</v>
      </c>
      <c r="F2721" t="s">
        <v>1438</v>
      </c>
      <c r="H2721">
        <v>15</v>
      </c>
      <c r="I2721">
        <f>VLOOKUP(B2721,BRAND!B:D,3,FALSE)</f>
        <v>3</v>
      </c>
      <c r="J2721">
        <v>4</v>
      </c>
      <c r="K2721" t="s">
        <v>821</v>
      </c>
      <c r="M2721">
        <v>0</v>
      </c>
    </row>
    <row r="2722" spans="1:13">
      <c r="A2722" t="s">
        <v>4745</v>
      </c>
      <c r="B2722" t="s">
        <v>1861</v>
      </c>
      <c r="C2722" s="34" t="s">
        <v>772</v>
      </c>
      <c r="F2722" t="s">
        <v>772</v>
      </c>
      <c r="H2722">
        <v>5</v>
      </c>
      <c r="I2722">
        <f>VLOOKUP(B2722,BRAND!B:D,3,FALSE)</f>
        <v>5</v>
      </c>
      <c r="J2722">
        <v>6</v>
      </c>
      <c r="K2722" t="s">
        <v>821</v>
      </c>
      <c r="M2722">
        <v>0</v>
      </c>
    </row>
    <row r="2723" spans="1:13">
      <c r="A2723" t="s">
        <v>4733</v>
      </c>
      <c r="B2723" t="s">
        <v>1861</v>
      </c>
      <c r="C2723" s="34" t="s">
        <v>535</v>
      </c>
      <c r="F2723" t="s">
        <v>535</v>
      </c>
      <c r="H2723">
        <v>5</v>
      </c>
      <c r="I2723">
        <f>VLOOKUP(B2723,BRAND!B:D,3,FALSE)</f>
        <v>5</v>
      </c>
      <c r="J2723">
        <v>6</v>
      </c>
      <c r="K2723" t="s">
        <v>821</v>
      </c>
      <c r="M2723">
        <v>0</v>
      </c>
    </row>
    <row r="2724" spans="1:13">
      <c r="A2724" t="s">
        <v>6801</v>
      </c>
      <c r="B2724" t="s">
        <v>6779</v>
      </c>
      <c r="C2724" s="34" t="s">
        <v>6709</v>
      </c>
      <c r="F2724" t="s">
        <v>6802</v>
      </c>
      <c r="H2724">
        <v>5</v>
      </c>
      <c r="I2724">
        <f>VLOOKUP(B2724,BRAND!B:D,3,FALSE)</f>
        <v>5</v>
      </c>
      <c r="J2724">
        <f t="shared" ref="J2724:J2732" si="30">LEN(F2724)</f>
        <v>19</v>
      </c>
      <c r="M2724">
        <v>1</v>
      </c>
    </row>
    <row r="2725" spans="1:13">
      <c r="A2725" t="s">
        <v>6795</v>
      </c>
      <c r="B2725" t="s">
        <v>6779</v>
      </c>
      <c r="C2725" s="34" t="s">
        <v>6796</v>
      </c>
      <c r="F2725" t="s">
        <v>6797</v>
      </c>
      <c r="H2725">
        <v>5</v>
      </c>
      <c r="I2725">
        <f>VLOOKUP(B2725,BRAND!B:D,3,FALSE)</f>
        <v>5</v>
      </c>
      <c r="J2725">
        <f t="shared" si="30"/>
        <v>19</v>
      </c>
      <c r="M2725">
        <v>1</v>
      </c>
    </row>
    <row r="2726" spans="1:13">
      <c r="A2726" t="s">
        <v>6792</v>
      </c>
      <c r="B2726" t="s">
        <v>6779</v>
      </c>
      <c r="C2726" s="34" t="s">
        <v>6793</v>
      </c>
      <c r="F2726" t="s">
        <v>6794</v>
      </c>
      <c r="H2726">
        <v>5</v>
      </c>
      <c r="I2726">
        <f>VLOOKUP(B2726,BRAND!B:D,3,FALSE)</f>
        <v>5</v>
      </c>
      <c r="J2726">
        <f t="shared" si="30"/>
        <v>17</v>
      </c>
      <c r="M2726">
        <v>1</v>
      </c>
    </row>
    <row r="2727" spans="1:13">
      <c r="A2727" t="s">
        <v>6784</v>
      </c>
      <c r="B2727" t="s">
        <v>6779</v>
      </c>
      <c r="C2727" s="34" t="s">
        <v>6785</v>
      </c>
      <c r="F2727" t="s">
        <v>6786</v>
      </c>
      <c r="H2727">
        <v>5</v>
      </c>
      <c r="I2727">
        <f>VLOOKUP(B2727,BRAND!B:D,3,FALSE)</f>
        <v>5</v>
      </c>
      <c r="J2727">
        <f t="shared" si="30"/>
        <v>16</v>
      </c>
      <c r="M2727">
        <v>1</v>
      </c>
    </row>
    <row r="2728" spans="1:13">
      <c r="A2728" t="s">
        <v>6789</v>
      </c>
      <c r="B2728" t="s">
        <v>6779</v>
      </c>
      <c r="C2728" s="34" t="s">
        <v>6790</v>
      </c>
      <c r="F2728" t="s">
        <v>6791</v>
      </c>
      <c r="H2728">
        <v>5</v>
      </c>
      <c r="I2728">
        <f>VLOOKUP(B2728,BRAND!B:D,3,FALSE)</f>
        <v>5</v>
      </c>
      <c r="J2728">
        <f t="shared" si="30"/>
        <v>15</v>
      </c>
      <c r="M2728">
        <v>1</v>
      </c>
    </row>
    <row r="2729" spans="1:13">
      <c r="A2729" t="s">
        <v>6799</v>
      </c>
      <c r="B2729" t="s">
        <v>6779</v>
      </c>
      <c r="C2729" s="34" t="s">
        <v>1513</v>
      </c>
      <c r="F2729" t="s">
        <v>6800</v>
      </c>
      <c r="H2729">
        <v>5</v>
      </c>
      <c r="I2729">
        <f>VLOOKUP(B2729,BRAND!B:D,3,FALSE)</f>
        <v>5</v>
      </c>
      <c r="J2729">
        <f t="shared" si="30"/>
        <v>12</v>
      </c>
      <c r="M2729">
        <v>1</v>
      </c>
    </row>
    <row r="2730" spans="1:13">
      <c r="A2730" t="s">
        <v>6778</v>
      </c>
      <c r="B2730" t="s">
        <v>6779</v>
      </c>
      <c r="C2730" s="34" t="s">
        <v>6780</v>
      </c>
      <c r="F2730" t="s">
        <v>6781</v>
      </c>
      <c r="H2730">
        <v>5</v>
      </c>
      <c r="I2730">
        <f>VLOOKUP(B2730,BRAND!B:D,3,FALSE)</f>
        <v>5</v>
      </c>
      <c r="J2730">
        <f t="shared" si="30"/>
        <v>12</v>
      </c>
      <c r="M2730">
        <v>1</v>
      </c>
    </row>
    <row r="2731" spans="1:13">
      <c r="A2731" t="s">
        <v>6788</v>
      </c>
      <c r="B2731" t="s">
        <v>6779</v>
      </c>
      <c r="C2731" s="34" t="s">
        <v>79</v>
      </c>
      <c r="F2731" t="s">
        <v>79</v>
      </c>
      <c r="H2731">
        <v>5</v>
      </c>
      <c r="I2731">
        <f>VLOOKUP(B2731,BRAND!B:D,3,FALSE)</f>
        <v>5</v>
      </c>
      <c r="J2731">
        <f t="shared" si="30"/>
        <v>11</v>
      </c>
      <c r="M2731">
        <v>1</v>
      </c>
    </row>
    <row r="2732" spans="1:13">
      <c r="A2732" t="s">
        <v>6787</v>
      </c>
      <c r="B2732" t="s">
        <v>6779</v>
      </c>
      <c r="C2732" s="34" t="s">
        <v>4901</v>
      </c>
      <c r="F2732" t="s">
        <v>4901</v>
      </c>
      <c r="H2732">
        <v>5</v>
      </c>
      <c r="I2732">
        <f>VLOOKUP(B2732,BRAND!B:D,3,FALSE)</f>
        <v>5</v>
      </c>
      <c r="J2732">
        <f t="shared" si="30"/>
        <v>10</v>
      </c>
      <c r="M2732">
        <v>1</v>
      </c>
    </row>
    <row r="2733" spans="1:13">
      <c r="A2733" t="s">
        <v>6782</v>
      </c>
      <c r="B2733" t="s">
        <v>6779</v>
      </c>
      <c r="C2733" s="34" t="s">
        <v>6783</v>
      </c>
      <c r="F2733" t="s">
        <v>6783</v>
      </c>
      <c r="H2733">
        <v>5</v>
      </c>
      <c r="I2733">
        <f>VLOOKUP(B2733,BRAND!B:D,3,FALSE)</f>
        <v>5</v>
      </c>
      <c r="J2733">
        <v>6</v>
      </c>
      <c r="M2733">
        <v>1</v>
      </c>
    </row>
    <row r="2734" spans="1:13">
      <c r="A2734" t="s">
        <v>6798</v>
      </c>
      <c r="B2734" t="s">
        <v>6779</v>
      </c>
      <c r="C2734" s="34" t="s">
        <v>216</v>
      </c>
      <c r="F2734" t="s">
        <v>216</v>
      </c>
      <c r="H2734">
        <v>5</v>
      </c>
      <c r="I2734">
        <f>VLOOKUP(B2734,BRAND!B:D,3,FALSE)</f>
        <v>5</v>
      </c>
      <c r="J2734">
        <v>5</v>
      </c>
      <c r="M2734">
        <v>1</v>
      </c>
    </row>
    <row r="2735" spans="1:13">
      <c r="A2735" t="s">
        <v>3390</v>
      </c>
      <c r="B2735" t="s">
        <v>619</v>
      </c>
      <c r="C2735" s="34" t="s">
        <v>772</v>
      </c>
      <c r="F2735" t="s">
        <v>772</v>
      </c>
      <c r="H2735">
        <v>5</v>
      </c>
      <c r="I2735">
        <f>VLOOKUP(B2735,BRAND!B:D,3,FALSE)</f>
        <v>3</v>
      </c>
      <c r="J2735">
        <v>6</v>
      </c>
      <c r="K2735" t="s">
        <v>821</v>
      </c>
      <c r="M2735">
        <v>1</v>
      </c>
    </row>
    <row r="2736" spans="1:13">
      <c r="A2736" t="s">
        <v>10041</v>
      </c>
      <c r="B2736" t="s">
        <v>8115</v>
      </c>
      <c r="C2736" s="34" t="s">
        <v>1438</v>
      </c>
      <c r="F2736" t="s">
        <v>1438</v>
      </c>
      <c r="G2736" t="s">
        <v>6932</v>
      </c>
      <c r="H2736">
        <v>5</v>
      </c>
      <c r="I2736">
        <f>VLOOKUP(B2736,BRAND!B:D,3,FALSE)</f>
        <v>5.5</v>
      </c>
      <c r="J2736">
        <v>4</v>
      </c>
      <c r="M2736">
        <v>1</v>
      </c>
    </row>
    <row r="2737" spans="1:13">
      <c r="A2737" t="s">
        <v>3805</v>
      </c>
      <c r="B2737" t="s">
        <v>1253</v>
      </c>
      <c r="C2737" s="34" t="s">
        <v>772</v>
      </c>
      <c r="F2737" t="s">
        <v>772</v>
      </c>
      <c r="H2737">
        <v>5</v>
      </c>
      <c r="I2737">
        <f>VLOOKUP(B2737,BRAND!B:D,3,FALSE)</f>
        <v>3</v>
      </c>
      <c r="J2737">
        <v>6</v>
      </c>
      <c r="K2737" t="s">
        <v>821</v>
      </c>
      <c r="M2737">
        <v>0</v>
      </c>
    </row>
    <row r="2738" spans="1:13">
      <c r="A2738" t="s">
        <v>10483</v>
      </c>
      <c r="B2738" t="s">
        <v>10344</v>
      </c>
      <c r="C2738" s="34" t="s">
        <v>1438</v>
      </c>
      <c r="F2738" t="s">
        <v>1438</v>
      </c>
      <c r="G2738" t="s">
        <v>801</v>
      </c>
      <c r="H2738">
        <v>5</v>
      </c>
      <c r="I2738">
        <f>VLOOKUP(B2738,BRAND!B:D,3,FALSE)</f>
        <v>5</v>
      </c>
      <c r="J2738">
        <f>LEN(F2738)</f>
        <v>4</v>
      </c>
      <c r="L2738">
        <v>0</v>
      </c>
    </row>
    <row r="2739" spans="1:13">
      <c r="A2739" t="s">
        <v>10482</v>
      </c>
      <c r="B2739" t="s">
        <v>10344</v>
      </c>
      <c r="C2739" s="34" t="s">
        <v>1438</v>
      </c>
      <c r="F2739" t="s">
        <v>1438</v>
      </c>
      <c r="G2739" t="s">
        <v>6932</v>
      </c>
      <c r="H2739">
        <v>5</v>
      </c>
      <c r="I2739">
        <f>VLOOKUP(B2739,BRAND!B:D,3,FALSE)</f>
        <v>5</v>
      </c>
      <c r="J2739">
        <f>LEN(F2739)</f>
        <v>4</v>
      </c>
      <c r="L2739">
        <v>0</v>
      </c>
    </row>
    <row r="2740" spans="1:13">
      <c r="A2740" t="s">
        <v>7334</v>
      </c>
      <c r="B2740" t="s">
        <v>7335</v>
      </c>
      <c r="C2740" s="34" t="s">
        <v>1438</v>
      </c>
      <c r="F2740" t="s">
        <v>1438</v>
      </c>
      <c r="H2740">
        <v>5</v>
      </c>
      <c r="I2740">
        <f>VLOOKUP(B2740,BRAND!B:D,3,FALSE)</f>
        <v>5.5</v>
      </c>
      <c r="J2740">
        <v>4</v>
      </c>
      <c r="M2740">
        <v>1</v>
      </c>
    </row>
    <row r="2741" spans="1:13">
      <c r="A2741" t="s">
        <v>10182</v>
      </c>
      <c r="B2741" t="s">
        <v>5350</v>
      </c>
      <c r="C2741" s="34" t="s">
        <v>1438</v>
      </c>
      <c r="F2741" t="s">
        <v>1438</v>
      </c>
      <c r="H2741">
        <v>5</v>
      </c>
      <c r="I2741">
        <f>VLOOKUP(B2741,BRAND!B:D,3,FALSE)</f>
        <v>5</v>
      </c>
      <c r="J2741">
        <v>3</v>
      </c>
      <c r="L2741">
        <v>1</v>
      </c>
      <c r="M2741">
        <v>1</v>
      </c>
    </row>
    <row r="2742" spans="1:13">
      <c r="A2742" t="s">
        <v>2516</v>
      </c>
      <c r="B2742" t="s">
        <v>1104</v>
      </c>
      <c r="C2742" s="34" t="s">
        <v>1438</v>
      </c>
      <c r="F2742" t="s">
        <v>1438</v>
      </c>
      <c r="H2742">
        <v>15</v>
      </c>
      <c r="I2742">
        <f>VLOOKUP(B2742,BRAND!B:D,3,FALSE)</f>
        <v>3</v>
      </c>
      <c r="J2742">
        <v>4</v>
      </c>
      <c r="K2742" t="s">
        <v>821</v>
      </c>
      <c r="M2742">
        <v>0</v>
      </c>
    </row>
    <row r="2743" spans="1:13" s="3" customFormat="1">
      <c r="A2743" t="s">
        <v>14460</v>
      </c>
      <c r="B2743" t="s">
        <v>14461</v>
      </c>
      <c r="C2743" s="34" t="s">
        <v>852</v>
      </c>
      <c r="D2743"/>
      <c r="E2743"/>
      <c r="F2743" t="s">
        <v>852</v>
      </c>
      <c r="G2743" t="s">
        <v>6932</v>
      </c>
      <c r="H2743">
        <v>5</v>
      </c>
      <c r="I2743">
        <f>VLOOKUP(B2743,BRAND!B:D,3,FALSE)</f>
        <v>0</v>
      </c>
      <c r="J2743">
        <f t="shared" ref="J2743:J2749" si="31">LEN(F2743)</f>
        <v>6</v>
      </c>
      <c r="K2743" t="s">
        <v>821</v>
      </c>
      <c r="L2743">
        <v>0</v>
      </c>
      <c r="M2743">
        <v>1</v>
      </c>
    </row>
    <row r="2744" spans="1:13">
      <c r="A2744" t="s">
        <v>14462</v>
      </c>
      <c r="B2744" t="s">
        <v>14461</v>
      </c>
      <c r="C2744" s="34" t="s">
        <v>536</v>
      </c>
      <c r="F2744" t="s">
        <v>536</v>
      </c>
      <c r="G2744" t="s">
        <v>6932</v>
      </c>
      <c r="H2744">
        <v>6</v>
      </c>
      <c r="I2744">
        <f>VLOOKUP(B2744,BRAND!B:D,3,FALSE)</f>
        <v>0</v>
      </c>
      <c r="J2744">
        <f t="shared" si="31"/>
        <v>5</v>
      </c>
      <c r="K2744" t="s">
        <v>821</v>
      </c>
      <c r="L2744">
        <v>0</v>
      </c>
      <c r="M2744">
        <v>1</v>
      </c>
    </row>
    <row r="2745" spans="1:13">
      <c r="A2745" t="s">
        <v>14467</v>
      </c>
      <c r="B2745" t="s">
        <v>14461</v>
      </c>
      <c r="C2745" s="34" t="s">
        <v>776</v>
      </c>
      <c r="F2745" t="s">
        <v>776</v>
      </c>
      <c r="G2745" t="s">
        <v>6932</v>
      </c>
      <c r="H2745">
        <v>5</v>
      </c>
      <c r="I2745">
        <f>VLOOKUP(B2745,BRAND!B:D,3,FALSE)</f>
        <v>0</v>
      </c>
      <c r="J2745">
        <f t="shared" si="31"/>
        <v>5</v>
      </c>
      <c r="K2745" t="s">
        <v>821</v>
      </c>
      <c r="L2745">
        <v>0</v>
      </c>
      <c r="M2745">
        <v>1</v>
      </c>
    </row>
    <row r="2746" spans="1:13">
      <c r="A2746" t="s">
        <v>14468</v>
      </c>
      <c r="B2746" t="s">
        <v>14461</v>
      </c>
      <c r="C2746" s="34" t="s">
        <v>1438</v>
      </c>
      <c r="F2746" t="s">
        <v>1438</v>
      </c>
      <c r="G2746" t="s">
        <v>801</v>
      </c>
      <c r="H2746">
        <v>5</v>
      </c>
      <c r="I2746">
        <f>VLOOKUP(B2746,BRAND!B:D,3,FALSE)</f>
        <v>0</v>
      </c>
      <c r="J2746">
        <f t="shared" si="31"/>
        <v>4</v>
      </c>
      <c r="K2746" t="s">
        <v>821</v>
      </c>
      <c r="L2746">
        <v>0</v>
      </c>
      <c r="M2746">
        <v>1</v>
      </c>
    </row>
    <row r="2747" spans="1:13">
      <c r="A2747" t="s">
        <v>14463</v>
      </c>
      <c r="B2747" t="s">
        <v>14461</v>
      </c>
      <c r="C2747" s="34" t="s">
        <v>14464</v>
      </c>
      <c r="F2747" t="s">
        <v>14464</v>
      </c>
      <c r="G2747" t="s">
        <v>6932</v>
      </c>
      <c r="H2747">
        <v>5</v>
      </c>
      <c r="I2747">
        <f>VLOOKUP(B2747,BRAND!B:D,3,FALSE)</f>
        <v>0</v>
      </c>
      <c r="J2747">
        <f t="shared" si="31"/>
        <v>4</v>
      </c>
      <c r="K2747" t="s">
        <v>821</v>
      </c>
      <c r="L2747">
        <v>0</v>
      </c>
      <c r="M2747">
        <v>1</v>
      </c>
    </row>
    <row r="2748" spans="1:13" ht="20.149999999999999" customHeight="1">
      <c r="A2748" t="s">
        <v>14465</v>
      </c>
      <c r="B2748" t="s">
        <v>14461</v>
      </c>
      <c r="C2748" s="34" t="s">
        <v>781</v>
      </c>
      <c r="F2748" t="s">
        <v>781</v>
      </c>
      <c r="G2748" t="s">
        <v>6932</v>
      </c>
      <c r="H2748">
        <v>5</v>
      </c>
      <c r="I2748">
        <f>VLOOKUP(B2748,BRAND!B:D,3,FALSE)</f>
        <v>0</v>
      </c>
      <c r="J2748">
        <f t="shared" si="31"/>
        <v>4</v>
      </c>
      <c r="K2748" t="s">
        <v>821</v>
      </c>
      <c r="L2748">
        <v>0</v>
      </c>
      <c r="M2748">
        <v>1</v>
      </c>
    </row>
    <row r="2749" spans="1:13">
      <c r="A2749" t="s">
        <v>14466</v>
      </c>
      <c r="B2749" t="s">
        <v>14461</v>
      </c>
      <c r="C2749" s="34" t="s">
        <v>561</v>
      </c>
      <c r="F2749" t="s">
        <v>561</v>
      </c>
      <c r="G2749" t="s">
        <v>6932</v>
      </c>
      <c r="H2749">
        <v>4</v>
      </c>
      <c r="I2749">
        <f>VLOOKUP(B2749,BRAND!B:D,3,FALSE)</f>
        <v>0</v>
      </c>
      <c r="J2749">
        <f t="shared" si="31"/>
        <v>3</v>
      </c>
      <c r="K2749" t="s">
        <v>821</v>
      </c>
      <c r="L2749">
        <v>0</v>
      </c>
      <c r="M2749">
        <v>1</v>
      </c>
    </row>
    <row r="2750" spans="1:13" ht="13.5" customHeight="1">
      <c r="A2750" t="s">
        <v>8116</v>
      </c>
      <c r="B2750" t="s">
        <v>8117</v>
      </c>
      <c r="C2750" s="34" t="s">
        <v>842</v>
      </c>
      <c r="F2750" t="s">
        <v>842</v>
      </c>
      <c r="G2750" t="s">
        <v>6932</v>
      </c>
      <c r="H2750">
        <v>5</v>
      </c>
      <c r="I2750">
        <f>VLOOKUP(B2750,BRAND!B:D,3,FALSE)</f>
        <v>5.5</v>
      </c>
      <c r="J2750">
        <v>5</v>
      </c>
      <c r="M2750">
        <v>1</v>
      </c>
    </row>
    <row r="2751" spans="1:13">
      <c r="A2751" t="s">
        <v>8118</v>
      </c>
      <c r="B2751" t="s">
        <v>8119</v>
      </c>
      <c r="C2751" s="34" t="s">
        <v>534</v>
      </c>
      <c r="F2751" t="s">
        <v>534</v>
      </c>
      <c r="G2751" t="s">
        <v>6932</v>
      </c>
      <c r="H2751">
        <v>5</v>
      </c>
      <c r="I2751">
        <f>VLOOKUP(B2751,BRAND!B:D,3,FALSE)</f>
        <v>5.5</v>
      </c>
      <c r="J2751">
        <v>6</v>
      </c>
      <c r="M2751">
        <v>1</v>
      </c>
    </row>
    <row r="2752" spans="1:13">
      <c r="A2752" t="s">
        <v>2727</v>
      </c>
      <c r="B2752" t="s">
        <v>1159</v>
      </c>
      <c r="C2752" s="34" t="s">
        <v>1438</v>
      </c>
      <c r="F2752" t="s">
        <v>1438</v>
      </c>
      <c r="H2752">
        <v>15</v>
      </c>
      <c r="I2752">
        <f>VLOOKUP(B2752,BRAND!B:D,3,FALSE)</f>
        <v>3</v>
      </c>
      <c r="J2752">
        <v>4</v>
      </c>
      <c r="K2752" t="s">
        <v>821</v>
      </c>
      <c r="M2752">
        <v>0</v>
      </c>
    </row>
    <row r="2753" spans="1:13">
      <c r="A2753" t="s">
        <v>8120</v>
      </c>
      <c r="B2753" t="s">
        <v>8121</v>
      </c>
      <c r="C2753" s="34" t="s">
        <v>1438</v>
      </c>
      <c r="F2753" t="s">
        <v>1438</v>
      </c>
      <c r="G2753" t="s">
        <v>6932</v>
      </c>
      <c r="H2753">
        <v>5</v>
      </c>
      <c r="I2753">
        <f>VLOOKUP(B2753,BRAND!B:D,3,FALSE)</f>
        <v>5.5</v>
      </c>
      <c r="J2753">
        <v>4</v>
      </c>
      <c r="M2753">
        <v>1</v>
      </c>
    </row>
    <row r="2754" spans="1:13">
      <c r="A2754" t="s">
        <v>8122</v>
      </c>
      <c r="B2754" t="s">
        <v>8123</v>
      </c>
      <c r="C2754" s="34" t="s">
        <v>840</v>
      </c>
      <c r="F2754" t="s">
        <v>840</v>
      </c>
      <c r="G2754" t="s">
        <v>6932</v>
      </c>
      <c r="H2754">
        <v>5</v>
      </c>
      <c r="I2754">
        <f>VLOOKUP(B2754,BRAND!B:D,3,FALSE)</f>
        <v>5.5</v>
      </c>
      <c r="J2754">
        <v>9</v>
      </c>
      <c r="M2754">
        <v>1</v>
      </c>
    </row>
    <row r="2755" spans="1:13">
      <c r="A2755" t="s">
        <v>3799</v>
      </c>
      <c r="B2755" t="s">
        <v>539</v>
      </c>
      <c r="C2755" s="34" t="s">
        <v>786</v>
      </c>
      <c r="F2755" t="s">
        <v>786</v>
      </c>
      <c r="H2755">
        <v>5</v>
      </c>
      <c r="I2755">
        <f>VLOOKUP(B2755,BRAND!B:D,3,FALSE)</f>
        <v>3</v>
      </c>
      <c r="J2755">
        <v>3</v>
      </c>
      <c r="K2755" t="s">
        <v>821</v>
      </c>
      <c r="M2755">
        <v>1</v>
      </c>
    </row>
    <row r="2756" spans="1:13">
      <c r="A2756" t="s">
        <v>8124</v>
      </c>
      <c r="B2756" t="s">
        <v>8125</v>
      </c>
      <c r="C2756" s="34" t="s">
        <v>534</v>
      </c>
      <c r="F2756" t="s">
        <v>534</v>
      </c>
      <c r="G2756" t="s">
        <v>6932</v>
      </c>
      <c r="H2756">
        <v>5</v>
      </c>
      <c r="I2756">
        <f>VLOOKUP(B2756,BRAND!B:D,3,FALSE)</f>
        <v>5.5</v>
      </c>
      <c r="J2756">
        <v>6</v>
      </c>
      <c r="M2756">
        <v>1</v>
      </c>
    </row>
    <row r="2757" spans="1:13">
      <c r="A2757" t="s">
        <v>14143</v>
      </c>
      <c r="B2757" t="s">
        <v>14140</v>
      </c>
      <c r="C2757" s="34" t="s">
        <v>10023</v>
      </c>
      <c r="F2757" t="s">
        <v>10023</v>
      </c>
      <c r="G2757" t="s">
        <v>6932</v>
      </c>
      <c r="H2757">
        <v>5</v>
      </c>
      <c r="I2757">
        <f>VLOOKUP(B2757,BRAND!B:D,3,FALSE)</f>
        <v>0</v>
      </c>
      <c r="J2757">
        <f>LEN(F2757)</f>
        <v>6</v>
      </c>
      <c r="K2757" t="s">
        <v>821</v>
      </c>
      <c r="L2757">
        <v>0</v>
      </c>
      <c r="M2757">
        <v>1</v>
      </c>
    </row>
    <row r="2758" spans="1:13">
      <c r="A2758" t="s">
        <v>14142</v>
      </c>
      <c r="B2758" t="s">
        <v>14140</v>
      </c>
      <c r="C2758" s="34" t="s">
        <v>776</v>
      </c>
      <c r="F2758" t="s">
        <v>776</v>
      </c>
      <c r="G2758" t="s">
        <v>6932</v>
      </c>
      <c r="H2758">
        <v>5</v>
      </c>
      <c r="I2758">
        <f>VLOOKUP(B2758,BRAND!B:D,3,FALSE)</f>
        <v>0</v>
      </c>
      <c r="J2758">
        <f>LEN(F2758)</f>
        <v>5</v>
      </c>
      <c r="K2758" t="s">
        <v>821</v>
      </c>
      <c r="L2758">
        <v>0</v>
      </c>
      <c r="M2758">
        <v>1</v>
      </c>
    </row>
    <row r="2759" spans="1:13">
      <c r="A2759" t="s">
        <v>14141</v>
      </c>
      <c r="B2759" t="s">
        <v>14140</v>
      </c>
      <c r="C2759" s="34" t="s">
        <v>536</v>
      </c>
      <c r="F2759" t="s">
        <v>536</v>
      </c>
      <c r="G2759" t="s">
        <v>6932</v>
      </c>
      <c r="H2759">
        <v>5</v>
      </c>
      <c r="I2759">
        <f>VLOOKUP(B2759,BRAND!B:D,3,FALSE)</f>
        <v>0</v>
      </c>
      <c r="J2759">
        <f>LEN(F2759)</f>
        <v>5</v>
      </c>
      <c r="K2759" t="s">
        <v>821</v>
      </c>
      <c r="L2759">
        <v>0</v>
      </c>
      <c r="M2759">
        <v>1</v>
      </c>
    </row>
    <row r="2760" spans="1:13">
      <c r="A2760" t="s">
        <v>14139</v>
      </c>
      <c r="B2760" t="s">
        <v>14140</v>
      </c>
      <c r="C2760" s="34" t="s">
        <v>561</v>
      </c>
      <c r="F2760" t="s">
        <v>561</v>
      </c>
      <c r="G2760" t="s">
        <v>6932</v>
      </c>
      <c r="H2760">
        <v>5</v>
      </c>
      <c r="I2760">
        <f>VLOOKUP(B2760,BRAND!B:D,3,FALSE)</f>
        <v>0</v>
      </c>
      <c r="J2760">
        <f>LEN(F2760)</f>
        <v>3</v>
      </c>
      <c r="K2760" t="s">
        <v>821</v>
      </c>
      <c r="L2760">
        <v>0</v>
      </c>
      <c r="M2760">
        <v>1</v>
      </c>
    </row>
    <row r="2761" spans="1:13">
      <c r="A2761" t="s">
        <v>9650</v>
      </c>
      <c r="B2761" t="s">
        <v>7641</v>
      </c>
      <c r="C2761" s="34" t="s">
        <v>9990</v>
      </c>
      <c r="F2761" t="s">
        <v>9990</v>
      </c>
      <c r="H2761">
        <v>5</v>
      </c>
      <c r="I2761">
        <f>VLOOKUP(B2761,BRAND!B:D,3,FALSE)</f>
        <v>5</v>
      </c>
      <c r="J2761">
        <v>7</v>
      </c>
      <c r="M2761">
        <v>1</v>
      </c>
    </row>
    <row r="2762" spans="1:13">
      <c r="A2762" t="s">
        <v>9649</v>
      </c>
      <c r="B2762" t="s">
        <v>7641</v>
      </c>
      <c r="C2762" s="34" t="s">
        <v>775</v>
      </c>
      <c r="F2762" t="s">
        <v>775</v>
      </c>
      <c r="G2762" t="s">
        <v>6932</v>
      </c>
      <c r="H2762">
        <v>5</v>
      </c>
      <c r="I2762">
        <f>VLOOKUP(B2762,BRAND!B:D,3,FALSE)</f>
        <v>5</v>
      </c>
      <c r="J2762">
        <v>3</v>
      </c>
      <c r="L2762" s="29"/>
      <c r="M2762">
        <v>1</v>
      </c>
    </row>
    <row r="2763" spans="1:13">
      <c r="A2763" t="s">
        <v>9649</v>
      </c>
      <c r="B2763" t="s">
        <v>7641</v>
      </c>
      <c r="C2763" s="34" t="s">
        <v>775</v>
      </c>
      <c r="F2763" t="s">
        <v>775</v>
      </c>
      <c r="G2763" t="s">
        <v>6932</v>
      </c>
      <c r="H2763">
        <v>5</v>
      </c>
      <c r="I2763">
        <f>VLOOKUP(B2763,BRAND!B:D,3,FALSE)</f>
        <v>5</v>
      </c>
      <c r="J2763">
        <v>0</v>
      </c>
      <c r="K2763" t="s">
        <v>821</v>
      </c>
      <c r="L2763">
        <v>0</v>
      </c>
      <c r="M2763">
        <v>0</v>
      </c>
    </row>
    <row r="2764" spans="1:13">
      <c r="A2764" t="s">
        <v>9651</v>
      </c>
      <c r="B2764" t="s">
        <v>7643</v>
      </c>
      <c r="C2764" s="34" t="s">
        <v>872</v>
      </c>
      <c r="F2764" t="s">
        <v>872</v>
      </c>
      <c r="G2764" t="s">
        <v>6932</v>
      </c>
      <c r="H2764">
        <v>5</v>
      </c>
      <c r="I2764">
        <f>VLOOKUP(B2764,BRAND!B:D,3,FALSE)</f>
        <v>5.5</v>
      </c>
      <c r="J2764">
        <v>5</v>
      </c>
      <c r="M2764">
        <v>1</v>
      </c>
    </row>
    <row r="2765" spans="1:13">
      <c r="A2765" t="s">
        <v>7642</v>
      </c>
      <c r="B2765" t="s">
        <v>7643</v>
      </c>
      <c r="C2765" s="34" t="s">
        <v>1438</v>
      </c>
      <c r="F2765" t="s">
        <v>1438</v>
      </c>
      <c r="G2765" t="s">
        <v>6932</v>
      </c>
      <c r="H2765">
        <v>5</v>
      </c>
      <c r="I2765">
        <f>VLOOKUP(B2765,BRAND!B:D,3,FALSE)</f>
        <v>5.5</v>
      </c>
      <c r="J2765">
        <v>4</v>
      </c>
      <c r="M2765">
        <v>1</v>
      </c>
    </row>
    <row r="2766" spans="1:13">
      <c r="A2766" t="s">
        <v>14231</v>
      </c>
      <c r="B2766" t="s">
        <v>14210</v>
      </c>
      <c r="C2766" s="34" t="s">
        <v>14224</v>
      </c>
      <c r="F2766" t="s">
        <v>14232</v>
      </c>
      <c r="G2766" t="s">
        <v>6932</v>
      </c>
      <c r="H2766">
        <v>4</v>
      </c>
      <c r="I2766">
        <f>VLOOKUP(B2766,BRAND!B:D,3,FALSE)</f>
        <v>0</v>
      </c>
      <c r="J2766">
        <f t="shared" ref="J2766:J2775" si="32">LEN(F2766)</f>
        <v>15</v>
      </c>
      <c r="K2766" t="s">
        <v>821</v>
      </c>
      <c r="L2766">
        <v>0</v>
      </c>
      <c r="M2766">
        <v>1</v>
      </c>
    </row>
    <row r="2767" spans="1:13">
      <c r="A2767" t="s">
        <v>14223</v>
      </c>
      <c r="B2767" t="s">
        <v>14210</v>
      </c>
      <c r="C2767" s="34" t="s">
        <v>14224</v>
      </c>
      <c r="F2767" t="s">
        <v>14225</v>
      </c>
      <c r="G2767" t="s">
        <v>6932</v>
      </c>
      <c r="H2767">
        <v>5</v>
      </c>
      <c r="I2767">
        <f>VLOOKUP(B2767,BRAND!B:D,3,FALSE)</f>
        <v>0</v>
      </c>
      <c r="J2767">
        <f t="shared" si="32"/>
        <v>15</v>
      </c>
      <c r="K2767" t="s">
        <v>821</v>
      </c>
      <c r="L2767">
        <v>0</v>
      </c>
      <c r="M2767">
        <v>1</v>
      </c>
    </row>
    <row r="2768" spans="1:13">
      <c r="A2768" t="s">
        <v>14214</v>
      </c>
      <c r="B2768" t="s">
        <v>14210</v>
      </c>
      <c r="C2768" s="34" t="s">
        <v>14215</v>
      </c>
      <c r="F2768" t="s">
        <v>14216</v>
      </c>
      <c r="G2768" t="s">
        <v>6932</v>
      </c>
      <c r="H2768">
        <v>5</v>
      </c>
      <c r="I2768">
        <f>VLOOKUP(B2768,BRAND!B:D,3,FALSE)</f>
        <v>0</v>
      </c>
      <c r="J2768">
        <f t="shared" si="32"/>
        <v>14</v>
      </c>
      <c r="K2768" t="s">
        <v>821</v>
      </c>
      <c r="L2768">
        <v>0</v>
      </c>
      <c r="M2768">
        <v>1</v>
      </c>
    </row>
    <row r="2769" spans="1:13">
      <c r="A2769" t="s">
        <v>14226</v>
      </c>
      <c r="B2769" t="s">
        <v>14210</v>
      </c>
      <c r="C2769" s="34" t="s">
        <v>14227</v>
      </c>
      <c r="F2769" t="s">
        <v>14228</v>
      </c>
      <c r="G2769" t="s">
        <v>6932</v>
      </c>
      <c r="H2769">
        <v>5</v>
      </c>
      <c r="I2769">
        <f>VLOOKUP(B2769,BRAND!B:D,3,FALSE)</f>
        <v>0</v>
      </c>
      <c r="J2769">
        <f t="shared" si="32"/>
        <v>13</v>
      </c>
      <c r="K2769" t="s">
        <v>821</v>
      </c>
      <c r="L2769">
        <v>0</v>
      </c>
      <c r="M2769">
        <v>1</v>
      </c>
    </row>
    <row r="2770" spans="1:13">
      <c r="A2770" t="s">
        <v>14229</v>
      </c>
      <c r="B2770" t="s">
        <v>14210</v>
      </c>
      <c r="C2770" s="34" t="s">
        <v>868</v>
      </c>
      <c r="F2770" t="s">
        <v>14230</v>
      </c>
      <c r="G2770" t="s">
        <v>6932</v>
      </c>
      <c r="H2770">
        <v>5</v>
      </c>
      <c r="I2770">
        <f>VLOOKUP(B2770,BRAND!B:D,3,FALSE)</f>
        <v>0</v>
      </c>
      <c r="J2770">
        <f t="shared" si="32"/>
        <v>11</v>
      </c>
      <c r="K2770" t="s">
        <v>821</v>
      </c>
      <c r="L2770">
        <v>0</v>
      </c>
      <c r="M2770">
        <v>1</v>
      </c>
    </row>
    <row r="2771" spans="1:13">
      <c r="A2771" t="s">
        <v>14209</v>
      </c>
      <c r="B2771" t="s">
        <v>14210</v>
      </c>
      <c r="C2771" s="34" t="s">
        <v>776</v>
      </c>
      <c r="F2771" t="s">
        <v>14211</v>
      </c>
      <c r="G2771" t="s">
        <v>6932</v>
      </c>
      <c r="H2771">
        <v>5</v>
      </c>
      <c r="I2771">
        <f>VLOOKUP(B2771,BRAND!B:D,3,FALSE)</f>
        <v>0</v>
      </c>
      <c r="J2771">
        <f t="shared" si="32"/>
        <v>10</v>
      </c>
      <c r="K2771" t="s">
        <v>821</v>
      </c>
      <c r="L2771">
        <v>0</v>
      </c>
      <c r="M2771">
        <v>1</v>
      </c>
    </row>
    <row r="2772" spans="1:13">
      <c r="A2772" t="s">
        <v>14217</v>
      </c>
      <c r="B2772" t="s">
        <v>14210</v>
      </c>
      <c r="C2772" s="34" t="s">
        <v>536</v>
      </c>
      <c r="F2772" t="s">
        <v>14218</v>
      </c>
      <c r="G2772" t="s">
        <v>6932</v>
      </c>
      <c r="H2772">
        <v>5</v>
      </c>
      <c r="I2772">
        <f>VLOOKUP(B2772,BRAND!B:D,3,FALSE)</f>
        <v>0</v>
      </c>
      <c r="J2772">
        <f t="shared" si="32"/>
        <v>9</v>
      </c>
      <c r="K2772" t="s">
        <v>821</v>
      </c>
      <c r="L2772">
        <v>0</v>
      </c>
      <c r="M2772">
        <v>1</v>
      </c>
    </row>
    <row r="2773" spans="1:13">
      <c r="A2773" t="s">
        <v>14212</v>
      </c>
      <c r="B2773" t="s">
        <v>14210</v>
      </c>
      <c r="C2773" s="34" t="s">
        <v>852</v>
      </c>
      <c r="F2773" t="s">
        <v>14213</v>
      </c>
      <c r="G2773" t="s">
        <v>6932</v>
      </c>
      <c r="H2773">
        <v>5</v>
      </c>
      <c r="I2773">
        <f>VLOOKUP(B2773,BRAND!B:D,3,FALSE)</f>
        <v>0</v>
      </c>
      <c r="J2773">
        <f t="shared" si="32"/>
        <v>9</v>
      </c>
      <c r="K2773" t="s">
        <v>821</v>
      </c>
      <c r="L2773">
        <v>0</v>
      </c>
      <c r="M2773">
        <v>1</v>
      </c>
    </row>
    <row r="2774" spans="1:13">
      <c r="A2774" t="s">
        <v>14221</v>
      </c>
      <c r="B2774" t="s">
        <v>14210</v>
      </c>
      <c r="C2774" s="34" t="s">
        <v>782</v>
      </c>
      <c r="F2774" t="s">
        <v>14222</v>
      </c>
      <c r="G2774" t="s">
        <v>6932</v>
      </c>
      <c r="H2774">
        <v>5</v>
      </c>
      <c r="I2774">
        <f>VLOOKUP(B2774,BRAND!B:D,3,FALSE)</f>
        <v>0</v>
      </c>
      <c r="J2774">
        <f t="shared" si="32"/>
        <v>8</v>
      </c>
      <c r="K2774" t="s">
        <v>821</v>
      </c>
      <c r="L2774">
        <v>0</v>
      </c>
      <c r="M2774">
        <v>1</v>
      </c>
    </row>
    <row r="2775" spans="1:13">
      <c r="A2775" t="s">
        <v>14219</v>
      </c>
      <c r="B2775" t="s">
        <v>14210</v>
      </c>
      <c r="C2775" s="34" t="s">
        <v>799</v>
      </c>
      <c r="F2775" t="s">
        <v>14220</v>
      </c>
      <c r="G2775" t="s">
        <v>6932</v>
      </c>
      <c r="H2775">
        <v>5</v>
      </c>
      <c r="I2775">
        <f>VLOOKUP(B2775,BRAND!B:D,3,FALSE)</f>
        <v>0</v>
      </c>
      <c r="J2775">
        <f t="shared" si="32"/>
        <v>8</v>
      </c>
      <c r="K2775" t="s">
        <v>821</v>
      </c>
      <c r="L2775">
        <v>0</v>
      </c>
      <c r="M2775">
        <v>1</v>
      </c>
    </row>
    <row r="2776" spans="1:13">
      <c r="A2776" t="s">
        <v>9653</v>
      </c>
      <c r="B2776" t="s">
        <v>7816</v>
      </c>
      <c r="C2776" s="34" t="s">
        <v>536</v>
      </c>
      <c r="F2776" t="s">
        <v>536</v>
      </c>
      <c r="G2776" t="s">
        <v>6932</v>
      </c>
      <c r="H2776">
        <v>5</v>
      </c>
      <c r="I2776">
        <f>VLOOKUP(B2776,BRAND!B:D,3,FALSE)</f>
        <v>5.5</v>
      </c>
      <c r="J2776">
        <v>5</v>
      </c>
      <c r="M2776">
        <v>1</v>
      </c>
    </row>
    <row r="2777" spans="1:13">
      <c r="A2777" t="s">
        <v>9652</v>
      </c>
      <c r="B2777" t="s">
        <v>7816</v>
      </c>
      <c r="C2777" s="34" t="s">
        <v>842</v>
      </c>
      <c r="F2777" t="s">
        <v>842</v>
      </c>
      <c r="G2777" t="s">
        <v>6932</v>
      </c>
      <c r="H2777">
        <v>5</v>
      </c>
      <c r="I2777">
        <f>VLOOKUP(B2777,BRAND!B:D,3,FALSE)</f>
        <v>5.5</v>
      </c>
      <c r="J2777">
        <v>5</v>
      </c>
      <c r="M2777">
        <v>1</v>
      </c>
    </row>
    <row r="2778" spans="1:13">
      <c r="A2778" t="s">
        <v>14236</v>
      </c>
      <c r="B2778" t="s">
        <v>14234</v>
      </c>
      <c r="C2778" s="34" t="s">
        <v>14237</v>
      </c>
      <c r="F2778" t="s">
        <v>14237</v>
      </c>
      <c r="G2778" t="s">
        <v>6932</v>
      </c>
      <c r="H2778">
        <v>5</v>
      </c>
      <c r="I2778">
        <f>VLOOKUP(B2778,BRAND!B:D,3,FALSE)</f>
        <v>0</v>
      </c>
      <c r="J2778">
        <f t="shared" ref="J2778:J2790" si="33">LEN(F2778)</f>
        <v>12</v>
      </c>
      <c r="K2778" t="s">
        <v>821</v>
      </c>
      <c r="L2778">
        <v>0</v>
      </c>
      <c r="M2778">
        <v>1</v>
      </c>
    </row>
    <row r="2779" spans="1:13">
      <c r="A2779" t="s">
        <v>14233</v>
      </c>
      <c r="B2779" t="s">
        <v>14234</v>
      </c>
      <c r="C2779" s="34" t="s">
        <v>14235</v>
      </c>
      <c r="F2779" t="s">
        <v>14235</v>
      </c>
      <c r="G2779" t="s">
        <v>6932</v>
      </c>
      <c r="H2779">
        <v>5</v>
      </c>
      <c r="I2779">
        <f>VLOOKUP(B2779,BRAND!B:D,3,FALSE)</f>
        <v>0</v>
      </c>
      <c r="J2779">
        <f t="shared" si="33"/>
        <v>8</v>
      </c>
      <c r="K2779" t="s">
        <v>821</v>
      </c>
      <c r="L2779">
        <v>0</v>
      </c>
      <c r="M2779">
        <v>1</v>
      </c>
    </row>
    <row r="2780" spans="1:13">
      <c r="A2780" t="s">
        <v>10486</v>
      </c>
      <c r="B2780" t="s">
        <v>10326</v>
      </c>
      <c r="C2780" s="34" t="s">
        <v>761</v>
      </c>
      <c r="D2780" t="s">
        <v>10670</v>
      </c>
      <c r="F2780" t="s">
        <v>10434</v>
      </c>
      <c r="G2780" t="s">
        <v>6932</v>
      </c>
      <c r="H2780">
        <v>5</v>
      </c>
      <c r="I2780">
        <f>VLOOKUP(B2780,BRAND!B:D,3,FALSE)</f>
        <v>5</v>
      </c>
      <c r="J2780">
        <f t="shared" si="33"/>
        <v>18</v>
      </c>
      <c r="L2780">
        <v>0</v>
      </c>
    </row>
    <row r="2781" spans="1:13">
      <c r="A2781" t="s">
        <v>10487</v>
      </c>
      <c r="B2781" t="s">
        <v>10326</v>
      </c>
      <c r="C2781" s="34" t="s">
        <v>10653</v>
      </c>
      <c r="D2781" t="s">
        <v>995</v>
      </c>
      <c r="F2781" t="s">
        <v>10488</v>
      </c>
      <c r="G2781" t="s">
        <v>6932</v>
      </c>
      <c r="H2781">
        <v>5</v>
      </c>
      <c r="I2781">
        <f>VLOOKUP(B2781,BRAND!B:D,3,FALSE)</f>
        <v>5</v>
      </c>
      <c r="J2781">
        <f t="shared" si="33"/>
        <v>12</v>
      </c>
      <c r="L2781">
        <v>0</v>
      </c>
    </row>
    <row r="2782" spans="1:13">
      <c r="A2782" t="s">
        <v>10484</v>
      </c>
      <c r="B2782" t="s">
        <v>10326</v>
      </c>
      <c r="C2782" s="34" t="s">
        <v>1983</v>
      </c>
      <c r="F2782" t="s">
        <v>1983</v>
      </c>
      <c r="G2782" t="s">
        <v>6932</v>
      </c>
      <c r="H2782">
        <v>5</v>
      </c>
      <c r="I2782">
        <f>VLOOKUP(B2782,BRAND!B:D,3,FALSE)</f>
        <v>5</v>
      </c>
      <c r="J2782">
        <f t="shared" si="33"/>
        <v>9</v>
      </c>
      <c r="L2782">
        <v>0</v>
      </c>
    </row>
    <row r="2783" spans="1:13">
      <c r="A2783" t="s">
        <v>10485</v>
      </c>
      <c r="B2783" t="s">
        <v>10326</v>
      </c>
      <c r="C2783" s="34" t="s">
        <v>761</v>
      </c>
      <c r="F2783" t="s">
        <v>761</v>
      </c>
      <c r="G2783" t="s">
        <v>6932</v>
      </c>
      <c r="H2783">
        <v>5</v>
      </c>
      <c r="I2783">
        <f>VLOOKUP(B2783,BRAND!B:D,3,FALSE)</f>
        <v>5</v>
      </c>
      <c r="J2783">
        <f t="shared" si="33"/>
        <v>5</v>
      </c>
      <c r="L2783">
        <v>0</v>
      </c>
    </row>
    <row r="2784" spans="1:13">
      <c r="A2784" t="s">
        <v>10496</v>
      </c>
      <c r="B2784" t="s">
        <v>10327</v>
      </c>
      <c r="C2784" s="34" t="s">
        <v>10681</v>
      </c>
      <c r="D2784" t="s">
        <v>764</v>
      </c>
      <c r="F2784" t="s">
        <v>10497</v>
      </c>
      <c r="G2784" t="s">
        <v>6932</v>
      </c>
      <c r="H2784">
        <v>5</v>
      </c>
      <c r="I2784">
        <f>VLOOKUP(B2784,BRAND!B:D,3,FALSE)</f>
        <v>5</v>
      </c>
      <c r="J2784">
        <f t="shared" si="33"/>
        <v>26</v>
      </c>
      <c r="L2784">
        <v>0</v>
      </c>
    </row>
    <row r="2785" spans="1:13">
      <c r="A2785" t="s">
        <v>10493</v>
      </c>
      <c r="B2785" t="s">
        <v>10327</v>
      </c>
      <c r="C2785" s="34" t="s">
        <v>10655</v>
      </c>
      <c r="D2785" t="s">
        <v>798</v>
      </c>
      <c r="F2785" t="s">
        <v>10427</v>
      </c>
      <c r="G2785" t="s">
        <v>2000</v>
      </c>
      <c r="H2785">
        <v>5</v>
      </c>
      <c r="I2785">
        <f>VLOOKUP(B2785,BRAND!B:D,3,FALSE)</f>
        <v>5</v>
      </c>
      <c r="J2785">
        <f t="shared" si="33"/>
        <v>19</v>
      </c>
      <c r="L2785">
        <v>0</v>
      </c>
    </row>
    <row r="2786" spans="1:13">
      <c r="A2786" t="s">
        <v>10673</v>
      </c>
      <c r="B2786" t="s">
        <v>10327</v>
      </c>
      <c r="C2786" s="34" t="s">
        <v>1510</v>
      </c>
      <c r="D2786" t="s">
        <v>10672</v>
      </c>
      <c r="F2786" t="s">
        <v>10494</v>
      </c>
      <c r="G2786" t="s">
        <v>2000</v>
      </c>
      <c r="H2786">
        <v>5</v>
      </c>
      <c r="I2786">
        <f>VLOOKUP(B2786,BRAND!B:D,3,FALSE)</f>
        <v>5</v>
      </c>
      <c r="J2786">
        <f t="shared" si="33"/>
        <v>18</v>
      </c>
      <c r="L2786">
        <v>0</v>
      </c>
    </row>
    <row r="2787" spans="1:13">
      <c r="A2787" t="s">
        <v>10490</v>
      </c>
      <c r="B2787" t="s">
        <v>10327</v>
      </c>
      <c r="C2787" s="34" t="s">
        <v>10671</v>
      </c>
      <c r="D2787" t="s">
        <v>764</v>
      </c>
      <c r="F2787" t="s">
        <v>10492</v>
      </c>
      <c r="G2787" t="s">
        <v>2000</v>
      </c>
      <c r="H2787">
        <v>5</v>
      </c>
      <c r="I2787">
        <f>VLOOKUP(B2787,BRAND!B:D,3,FALSE)</f>
        <v>5</v>
      </c>
      <c r="J2787">
        <f t="shared" si="33"/>
        <v>18</v>
      </c>
      <c r="L2787">
        <v>0</v>
      </c>
    </row>
    <row r="2788" spans="1:13">
      <c r="A2788" t="s">
        <v>10495</v>
      </c>
      <c r="B2788" t="s">
        <v>10327</v>
      </c>
      <c r="C2788" s="34" t="s">
        <v>10653</v>
      </c>
      <c r="D2788" t="s">
        <v>764</v>
      </c>
      <c r="F2788" t="s">
        <v>10425</v>
      </c>
      <c r="G2788" t="s">
        <v>6932</v>
      </c>
      <c r="H2788">
        <v>5</v>
      </c>
      <c r="I2788">
        <f>VLOOKUP(B2788,BRAND!B:D,3,FALSE)</f>
        <v>5</v>
      </c>
      <c r="J2788">
        <f t="shared" si="33"/>
        <v>11</v>
      </c>
      <c r="L2788">
        <v>0</v>
      </c>
    </row>
    <row r="2789" spans="1:13">
      <c r="A2789" t="s">
        <v>10489</v>
      </c>
      <c r="B2789" t="s">
        <v>10327</v>
      </c>
      <c r="C2789" s="34" t="s">
        <v>10653</v>
      </c>
      <c r="D2789" t="s">
        <v>764</v>
      </c>
      <c r="F2789" t="s">
        <v>10425</v>
      </c>
      <c r="G2789" t="s">
        <v>2000</v>
      </c>
      <c r="H2789">
        <v>5</v>
      </c>
      <c r="I2789">
        <f>VLOOKUP(B2789,BRAND!B:D,3,FALSE)</f>
        <v>5</v>
      </c>
      <c r="J2789">
        <f t="shared" si="33"/>
        <v>11</v>
      </c>
      <c r="L2789">
        <v>0</v>
      </c>
    </row>
    <row r="2790" spans="1:13">
      <c r="A2790" t="s">
        <v>4112</v>
      </c>
      <c r="B2790" t="s">
        <v>860</v>
      </c>
      <c r="C2790" s="34" t="s">
        <v>1470</v>
      </c>
      <c r="F2790" t="s">
        <v>1470</v>
      </c>
      <c r="H2790">
        <v>4</v>
      </c>
      <c r="I2790">
        <f>VLOOKUP(B2790,BRAND!B:D,3,FALSE)</f>
        <v>3</v>
      </c>
      <c r="J2790">
        <f t="shared" si="33"/>
        <v>12</v>
      </c>
      <c r="K2790" t="s">
        <v>821</v>
      </c>
      <c r="M2790">
        <v>0</v>
      </c>
    </row>
    <row r="2791" spans="1:13">
      <c r="A2791" t="s">
        <v>2084</v>
      </c>
      <c r="B2791" t="s">
        <v>860</v>
      </c>
      <c r="C2791" s="34" t="s">
        <v>1438</v>
      </c>
      <c r="F2791" t="s">
        <v>1438</v>
      </c>
      <c r="H2791">
        <v>15</v>
      </c>
      <c r="I2791">
        <f>VLOOKUP(B2791,BRAND!B:D,3,FALSE)</f>
        <v>3</v>
      </c>
      <c r="J2791">
        <v>4</v>
      </c>
      <c r="K2791" t="s">
        <v>821</v>
      </c>
      <c r="M2791">
        <v>0</v>
      </c>
    </row>
    <row r="2792" spans="1:13">
      <c r="A2792" t="s">
        <v>14471</v>
      </c>
      <c r="B2792" t="s">
        <v>694</v>
      </c>
      <c r="C2792" s="34" t="s">
        <v>14472</v>
      </c>
      <c r="F2792" t="s">
        <v>14472</v>
      </c>
      <c r="G2792" t="s">
        <v>6932</v>
      </c>
      <c r="H2792">
        <v>5</v>
      </c>
      <c r="I2792">
        <f>VLOOKUP(B2792,BRAND!B:D,3,FALSE)</f>
        <v>3</v>
      </c>
      <c r="J2792">
        <f t="shared" ref="J2792:J2797" si="34">LEN(F2792)</f>
        <v>16</v>
      </c>
      <c r="K2792" t="s">
        <v>821</v>
      </c>
      <c r="L2792">
        <v>0</v>
      </c>
      <c r="M2792">
        <v>1</v>
      </c>
    </row>
    <row r="2793" spans="1:13">
      <c r="A2793" t="s">
        <v>14475</v>
      </c>
      <c r="B2793" t="s">
        <v>694</v>
      </c>
      <c r="C2793" s="34" t="s">
        <v>14476</v>
      </c>
      <c r="F2793" t="s">
        <v>14476</v>
      </c>
      <c r="G2793" t="s">
        <v>6932</v>
      </c>
      <c r="H2793">
        <v>5</v>
      </c>
      <c r="I2793">
        <f>VLOOKUP(B2793,BRAND!B:D,3,FALSE)</f>
        <v>3</v>
      </c>
      <c r="J2793">
        <f t="shared" si="34"/>
        <v>14</v>
      </c>
      <c r="K2793" t="s">
        <v>821</v>
      </c>
      <c r="L2793">
        <v>0</v>
      </c>
      <c r="M2793">
        <v>1</v>
      </c>
    </row>
    <row r="2794" spans="1:13">
      <c r="A2794" t="s">
        <v>14477</v>
      </c>
      <c r="B2794" t="s">
        <v>694</v>
      </c>
      <c r="C2794" s="34" t="s">
        <v>14478</v>
      </c>
      <c r="F2794" t="s">
        <v>14478</v>
      </c>
      <c r="G2794" t="s">
        <v>6932</v>
      </c>
      <c r="H2794">
        <v>5</v>
      </c>
      <c r="I2794">
        <f>VLOOKUP(B2794,BRAND!B:D,3,FALSE)</f>
        <v>3</v>
      </c>
      <c r="J2794">
        <f t="shared" si="34"/>
        <v>14</v>
      </c>
      <c r="K2794" t="s">
        <v>821</v>
      </c>
      <c r="L2794">
        <v>0</v>
      </c>
      <c r="M2794">
        <v>1</v>
      </c>
    </row>
    <row r="2795" spans="1:13">
      <c r="A2795" t="s">
        <v>14473</v>
      </c>
      <c r="B2795" t="s">
        <v>694</v>
      </c>
      <c r="C2795" s="34" t="s">
        <v>14474</v>
      </c>
      <c r="F2795" t="s">
        <v>14474</v>
      </c>
      <c r="G2795" t="s">
        <v>6932</v>
      </c>
      <c r="H2795">
        <v>5</v>
      </c>
      <c r="I2795">
        <f>VLOOKUP(B2795,BRAND!B:D,3,FALSE)</f>
        <v>3</v>
      </c>
      <c r="J2795">
        <f t="shared" si="34"/>
        <v>12</v>
      </c>
      <c r="K2795" t="s">
        <v>821</v>
      </c>
      <c r="L2795">
        <v>0</v>
      </c>
      <c r="M2795">
        <v>1</v>
      </c>
    </row>
    <row r="2796" spans="1:13">
      <c r="A2796" t="s">
        <v>14479</v>
      </c>
      <c r="B2796" t="s">
        <v>694</v>
      </c>
      <c r="C2796" s="34" t="s">
        <v>14480</v>
      </c>
      <c r="F2796" t="s">
        <v>14480</v>
      </c>
      <c r="G2796" t="s">
        <v>6932</v>
      </c>
      <c r="H2796">
        <v>5</v>
      </c>
      <c r="I2796">
        <f>VLOOKUP(B2796,BRAND!B:D,3,FALSE)</f>
        <v>3</v>
      </c>
      <c r="J2796">
        <f t="shared" si="34"/>
        <v>11</v>
      </c>
      <c r="K2796" t="s">
        <v>821</v>
      </c>
      <c r="L2796">
        <v>0</v>
      </c>
      <c r="M2796">
        <v>1</v>
      </c>
    </row>
    <row r="2797" spans="1:13">
      <c r="A2797" t="s">
        <v>14469</v>
      </c>
      <c r="B2797" t="s">
        <v>694</v>
      </c>
      <c r="C2797" s="34" t="s">
        <v>14470</v>
      </c>
      <c r="F2797" t="s">
        <v>14470</v>
      </c>
      <c r="G2797" t="s">
        <v>6932</v>
      </c>
      <c r="H2797">
        <v>5</v>
      </c>
      <c r="I2797">
        <f>VLOOKUP(B2797,BRAND!B:D,3,FALSE)</f>
        <v>3</v>
      </c>
      <c r="J2797">
        <f t="shared" si="34"/>
        <v>11</v>
      </c>
      <c r="K2797" t="s">
        <v>821</v>
      </c>
      <c r="L2797">
        <v>0</v>
      </c>
      <c r="M2797">
        <v>1</v>
      </c>
    </row>
    <row r="2798" spans="1:13">
      <c r="A2798" t="s">
        <v>13665</v>
      </c>
      <c r="B2798" t="s">
        <v>694</v>
      </c>
      <c r="C2798" s="34" t="s">
        <v>772</v>
      </c>
      <c r="F2798" t="s">
        <v>772</v>
      </c>
      <c r="H2798">
        <v>5</v>
      </c>
      <c r="I2798">
        <f>VLOOKUP(B2798,BRAND!B:D,3,FALSE)</f>
        <v>3</v>
      </c>
      <c r="J2798">
        <v>6</v>
      </c>
      <c r="K2798" t="s">
        <v>821</v>
      </c>
      <c r="M2798">
        <v>0</v>
      </c>
    </row>
    <row r="2799" spans="1:13">
      <c r="A2799" t="s">
        <v>13666</v>
      </c>
      <c r="B2799" t="s">
        <v>694</v>
      </c>
      <c r="C2799" s="34" t="s">
        <v>746</v>
      </c>
      <c r="F2799" t="s">
        <v>746</v>
      </c>
      <c r="H2799">
        <v>5</v>
      </c>
      <c r="I2799">
        <f>VLOOKUP(B2799,BRAND!B:D,3,FALSE)</f>
        <v>3</v>
      </c>
      <c r="J2799">
        <v>6</v>
      </c>
      <c r="K2799" t="s">
        <v>821</v>
      </c>
      <c r="M2799">
        <v>1</v>
      </c>
    </row>
    <row r="2800" spans="1:13">
      <c r="A2800" t="s">
        <v>13667</v>
      </c>
      <c r="B2800" t="s">
        <v>694</v>
      </c>
      <c r="C2800" s="34" t="s">
        <v>764</v>
      </c>
      <c r="F2800" t="s">
        <v>764</v>
      </c>
      <c r="H2800">
        <v>5</v>
      </c>
      <c r="I2800">
        <f>VLOOKUP(B2800,BRAND!B:D,3,FALSE)</f>
        <v>3</v>
      </c>
      <c r="J2800">
        <v>5</v>
      </c>
      <c r="K2800" t="s">
        <v>821</v>
      </c>
      <c r="M2800">
        <v>0</v>
      </c>
    </row>
    <row r="2801" spans="1:13">
      <c r="A2801" t="s">
        <v>13668</v>
      </c>
      <c r="B2801" t="s">
        <v>694</v>
      </c>
      <c r="C2801" s="34" t="s">
        <v>775</v>
      </c>
      <c r="F2801" t="s">
        <v>775</v>
      </c>
      <c r="H2801">
        <v>5</v>
      </c>
      <c r="I2801">
        <f>VLOOKUP(B2801,BRAND!B:D,3,FALSE)</f>
        <v>3</v>
      </c>
      <c r="J2801">
        <v>3</v>
      </c>
      <c r="K2801" t="s">
        <v>821</v>
      </c>
      <c r="M2801">
        <v>0</v>
      </c>
    </row>
    <row r="2802" spans="1:13">
      <c r="A2802" t="s">
        <v>13436</v>
      </c>
      <c r="B2802" t="s">
        <v>694</v>
      </c>
      <c r="C2802" s="34" t="s">
        <v>775</v>
      </c>
      <c r="F2802" t="s">
        <v>775</v>
      </c>
      <c r="G2802" t="s">
        <v>6932</v>
      </c>
      <c r="H2802">
        <v>5</v>
      </c>
    </row>
    <row r="2803" spans="1:13">
      <c r="A2803" t="s">
        <v>13437</v>
      </c>
      <c r="B2803" t="s">
        <v>694</v>
      </c>
      <c r="C2803" s="34" t="s">
        <v>13438</v>
      </c>
      <c r="F2803" t="s">
        <v>13438</v>
      </c>
      <c r="G2803" t="s">
        <v>6932</v>
      </c>
      <c r="H2803">
        <v>5</v>
      </c>
    </row>
    <row r="2804" spans="1:13">
      <c r="A2804" t="s">
        <v>13439</v>
      </c>
      <c r="B2804" t="s">
        <v>694</v>
      </c>
      <c r="C2804" s="34" t="s">
        <v>13440</v>
      </c>
      <c r="F2804" t="s">
        <v>13441</v>
      </c>
      <c r="G2804" t="s">
        <v>6932</v>
      </c>
      <c r="H2804">
        <v>5</v>
      </c>
    </row>
    <row r="2805" spans="1:13">
      <c r="A2805" t="s">
        <v>13670</v>
      </c>
      <c r="B2805" t="s">
        <v>694</v>
      </c>
      <c r="C2805" s="34" t="s">
        <v>13669</v>
      </c>
      <c r="F2805" t="s">
        <v>1438</v>
      </c>
      <c r="H2805">
        <v>15</v>
      </c>
      <c r="I2805">
        <f>VLOOKUP(B2805,BRAND!B:D,3,FALSE)</f>
        <v>3</v>
      </c>
      <c r="J2805">
        <v>4</v>
      </c>
      <c r="K2805" t="s">
        <v>821</v>
      </c>
      <c r="M2805">
        <v>1</v>
      </c>
    </row>
    <row r="2806" spans="1:13">
      <c r="A2806" t="s">
        <v>8127</v>
      </c>
      <c r="B2806" t="s">
        <v>8128</v>
      </c>
      <c r="C2806" s="34" t="s">
        <v>1438</v>
      </c>
      <c r="F2806" t="s">
        <v>1438</v>
      </c>
      <c r="G2806" t="s">
        <v>6932</v>
      </c>
      <c r="H2806">
        <v>5</v>
      </c>
      <c r="I2806">
        <f>VLOOKUP(B2806,BRAND!B:D,3,FALSE)</f>
        <v>5.5</v>
      </c>
      <c r="J2806">
        <v>4</v>
      </c>
      <c r="L2806">
        <v>1</v>
      </c>
      <c r="M2806">
        <v>1</v>
      </c>
    </row>
    <row r="2807" spans="1:13">
      <c r="A2807" t="s">
        <v>4602</v>
      </c>
      <c r="B2807" t="s">
        <v>403</v>
      </c>
      <c r="C2807" s="34" t="s">
        <v>772</v>
      </c>
      <c r="F2807" t="s">
        <v>772</v>
      </c>
      <c r="H2807">
        <v>5</v>
      </c>
      <c r="I2807">
        <f>VLOOKUP(B2807,BRAND!B:D,3,FALSE)</f>
        <v>3</v>
      </c>
      <c r="J2807">
        <v>6</v>
      </c>
      <c r="K2807" t="s">
        <v>821</v>
      </c>
      <c r="M2807">
        <v>1</v>
      </c>
    </row>
    <row r="2808" spans="1:13">
      <c r="A2808" t="s">
        <v>2391</v>
      </c>
      <c r="B2808" t="s">
        <v>403</v>
      </c>
      <c r="C2808" s="34" t="s">
        <v>1438</v>
      </c>
      <c r="F2808" t="s">
        <v>1438</v>
      </c>
      <c r="H2808">
        <v>15</v>
      </c>
      <c r="I2808">
        <f>VLOOKUP(B2808,BRAND!B:D,3,FALSE)</f>
        <v>3</v>
      </c>
      <c r="J2808">
        <v>4</v>
      </c>
      <c r="K2808" t="s">
        <v>821</v>
      </c>
      <c r="M2808">
        <v>0</v>
      </c>
    </row>
    <row r="2809" spans="1:13">
      <c r="A2809" t="s">
        <v>11486</v>
      </c>
      <c r="B2809" t="s">
        <v>10909</v>
      </c>
      <c r="C2809" s="34" t="s">
        <v>1438</v>
      </c>
      <c r="F2809" t="s">
        <v>1438</v>
      </c>
      <c r="G2809" t="s">
        <v>6932</v>
      </c>
      <c r="H2809">
        <v>5</v>
      </c>
    </row>
    <row r="2810" spans="1:13">
      <c r="A2810" t="s">
        <v>8129</v>
      </c>
      <c r="B2810" t="s">
        <v>55</v>
      </c>
      <c r="C2810" s="34" t="s">
        <v>772</v>
      </c>
      <c r="F2810" t="s">
        <v>772</v>
      </c>
      <c r="G2810" t="s">
        <v>6932</v>
      </c>
      <c r="H2810">
        <v>5</v>
      </c>
      <c r="I2810">
        <f>VLOOKUP(B2810,BRAND!B:D,3,FALSE)</f>
        <v>3</v>
      </c>
      <c r="J2810">
        <v>6</v>
      </c>
      <c r="M2810">
        <v>1</v>
      </c>
    </row>
    <row r="2811" spans="1:13">
      <c r="A2811" t="s">
        <v>2135</v>
      </c>
      <c r="B2811" t="s">
        <v>55</v>
      </c>
      <c r="C2811" s="34" t="s">
        <v>1438</v>
      </c>
      <c r="F2811" t="s">
        <v>1438</v>
      </c>
      <c r="H2811">
        <v>15</v>
      </c>
      <c r="I2811">
        <f>VLOOKUP(B2811,BRAND!B:D,3,FALSE)</f>
        <v>3</v>
      </c>
      <c r="J2811">
        <v>4</v>
      </c>
      <c r="K2811" t="s">
        <v>821</v>
      </c>
      <c r="M2811">
        <v>1</v>
      </c>
    </row>
    <row r="2812" spans="1:13">
      <c r="A2812" t="s">
        <v>3232</v>
      </c>
      <c r="B2812" t="s">
        <v>540</v>
      </c>
      <c r="C2812" s="34" t="s">
        <v>534</v>
      </c>
      <c r="F2812" t="s">
        <v>534</v>
      </c>
      <c r="H2812">
        <v>5</v>
      </c>
      <c r="I2812">
        <f>VLOOKUP(B2812,BRAND!B:D,3,FALSE)</f>
        <v>3</v>
      </c>
      <c r="J2812">
        <v>6</v>
      </c>
      <c r="K2812" t="s">
        <v>821</v>
      </c>
      <c r="M2812">
        <v>0</v>
      </c>
    </row>
    <row r="2813" spans="1:13">
      <c r="A2813" t="s">
        <v>2154</v>
      </c>
      <c r="B2813" t="s">
        <v>540</v>
      </c>
      <c r="C2813" s="34" t="s">
        <v>1438</v>
      </c>
      <c r="F2813" t="s">
        <v>1438</v>
      </c>
      <c r="H2813">
        <v>15</v>
      </c>
      <c r="I2813">
        <f>VLOOKUP(B2813,BRAND!B:D,3,FALSE)</f>
        <v>3</v>
      </c>
      <c r="J2813">
        <v>4</v>
      </c>
      <c r="K2813" t="s">
        <v>821</v>
      </c>
      <c r="M2813">
        <v>1</v>
      </c>
    </row>
    <row r="2814" spans="1:13">
      <c r="A2814" t="s">
        <v>2139</v>
      </c>
      <c r="B2814" t="s">
        <v>680</v>
      </c>
      <c r="C2814" s="34" t="s">
        <v>536</v>
      </c>
      <c r="F2814" t="s">
        <v>536</v>
      </c>
      <c r="H2814">
        <v>5</v>
      </c>
      <c r="I2814">
        <f>VLOOKUP(B2814,BRAND!B:D,3,FALSE)</f>
        <v>3</v>
      </c>
      <c r="J2814">
        <v>5</v>
      </c>
      <c r="K2814" t="s">
        <v>821</v>
      </c>
      <c r="M2814">
        <v>0</v>
      </c>
    </row>
    <row r="2815" spans="1:13">
      <c r="A2815" t="s">
        <v>2479</v>
      </c>
      <c r="B2815" t="s">
        <v>680</v>
      </c>
      <c r="C2815" s="34" t="s">
        <v>1438</v>
      </c>
      <c r="F2815" t="s">
        <v>1438</v>
      </c>
      <c r="H2815">
        <v>15</v>
      </c>
      <c r="I2815">
        <f>VLOOKUP(B2815,BRAND!B:D,3,FALSE)</f>
        <v>3</v>
      </c>
      <c r="J2815">
        <v>4</v>
      </c>
      <c r="K2815" t="s">
        <v>821</v>
      </c>
      <c r="M2815">
        <v>0</v>
      </c>
    </row>
    <row r="2816" spans="1:13">
      <c r="A2816" t="s">
        <v>8130</v>
      </c>
      <c r="B2816" t="s">
        <v>8131</v>
      </c>
      <c r="C2816" s="34" t="s">
        <v>781</v>
      </c>
      <c r="F2816" t="s">
        <v>781</v>
      </c>
      <c r="G2816" t="s">
        <v>6932</v>
      </c>
      <c r="H2816">
        <v>5</v>
      </c>
      <c r="I2816">
        <f>VLOOKUP(B2816,BRAND!B:D,3,FALSE)</f>
        <v>5.5</v>
      </c>
      <c r="J2816">
        <v>4</v>
      </c>
      <c r="M2816">
        <v>1</v>
      </c>
    </row>
    <row r="2817" spans="1:13">
      <c r="A2817" t="s">
        <v>8132</v>
      </c>
      <c r="B2817" t="s">
        <v>8133</v>
      </c>
      <c r="C2817" s="34" t="s">
        <v>913</v>
      </c>
      <c r="F2817" t="s">
        <v>913</v>
      </c>
      <c r="G2817" t="s">
        <v>6932</v>
      </c>
      <c r="H2817">
        <v>5</v>
      </c>
      <c r="I2817">
        <f>VLOOKUP(B2817,BRAND!B:D,3,FALSE)</f>
        <v>5.5</v>
      </c>
      <c r="J2817">
        <v>5</v>
      </c>
      <c r="M2817">
        <v>1</v>
      </c>
    </row>
    <row r="2818" spans="1:13">
      <c r="A2818" t="s">
        <v>4327</v>
      </c>
      <c r="B2818" t="s">
        <v>404</v>
      </c>
      <c r="C2818" s="34" t="s">
        <v>772</v>
      </c>
      <c r="F2818" t="s">
        <v>772</v>
      </c>
      <c r="H2818">
        <v>5</v>
      </c>
      <c r="I2818">
        <f>VLOOKUP(B2818,BRAND!B:D,3,FALSE)</f>
        <v>3</v>
      </c>
      <c r="J2818">
        <v>6</v>
      </c>
      <c r="K2818" t="s">
        <v>821</v>
      </c>
      <c r="M2818">
        <v>0</v>
      </c>
    </row>
    <row r="2819" spans="1:13">
      <c r="A2819" t="s">
        <v>3497</v>
      </c>
      <c r="B2819" t="s">
        <v>404</v>
      </c>
      <c r="C2819" s="34" t="s">
        <v>534</v>
      </c>
      <c r="F2819" t="s">
        <v>534</v>
      </c>
      <c r="H2819">
        <v>5</v>
      </c>
      <c r="I2819">
        <f>VLOOKUP(B2819,BRAND!B:D,3,FALSE)</f>
        <v>3</v>
      </c>
      <c r="J2819">
        <v>6</v>
      </c>
      <c r="K2819" t="s">
        <v>821</v>
      </c>
      <c r="M2819">
        <v>1</v>
      </c>
    </row>
    <row r="2820" spans="1:13">
      <c r="A2820" t="s">
        <v>3404</v>
      </c>
      <c r="B2820" t="s">
        <v>404</v>
      </c>
      <c r="C2820" s="34" t="s">
        <v>536</v>
      </c>
      <c r="F2820" t="s">
        <v>536</v>
      </c>
      <c r="H2820">
        <v>5</v>
      </c>
      <c r="I2820">
        <f>VLOOKUP(B2820,BRAND!B:D,3,FALSE)</f>
        <v>3</v>
      </c>
      <c r="J2820">
        <v>5</v>
      </c>
      <c r="K2820" t="s">
        <v>821</v>
      </c>
      <c r="M2820">
        <v>1</v>
      </c>
    </row>
    <row r="2821" spans="1:13">
      <c r="A2821" t="s">
        <v>3813</v>
      </c>
      <c r="B2821" t="s">
        <v>404</v>
      </c>
      <c r="C2821" s="34" t="s">
        <v>842</v>
      </c>
      <c r="F2821" t="s">
        <v>842</v>
      </c>
      <c r="H2821">
        <v>5</v>
      </c>
      <c r="I2821">
        <f>VLOOKUP(B2821,BRAND!B:D,3,FALSE)</f>
        <v>3</v>
      </c>
      <c r="J2821">
        <v>5</v>
      </c>
      <c r="K2821" t="s">
        <v>821</v>
      </c>
      <c r="M2821">
        <v>1</v>
      </c>
    </row>
    <row r="2822" spans="1:13">
      <c r="A2822" t="s">
        <v>2284</v>
      </c>
      <c r="B2822" t="s">
        <v>323</v>
      </c>
      <c r="C2822" s="34" t="s">
        <v>536</v>
      </c>
      <c r="F2822" t="s">
        <v>536</v>
      </c>
      <c r="H2822">
        <v>5</v>
      </c>
      <c r="I2822">
        <f>VLOOKUP(B2822,BRAND!B:D,3,FALSE)</f>
        <v>3</v>
      </c>
      <c r="J2822">
        <v>5</v>
      </c>
      <c r="K2822" t="s">
        <v>821</v>
      </c>
      <c r="M2822">
        <v>0</v>
      </c>
    </row>
    <row r="2823" spans="1:13">
      <c r="A2823" t="s">
        <v>4249</v>
      </c>
      <c r="B2823" t="s">
        <v>323</v>
      </c>
      <c r="C2823" s="34" t="s">
        <v>751</v>
      </c>
      <c r="F2823" t="s">
        <v>751</v>
      </c>
      <c r="H2823">
        <v>5</v>
      </c>
      <c r="I2823">
        <f>VLOOKUP(B2823,BRAND!B:D,3,FALSE)</f>
        <v>3</v>
      </c>
      <c r="J2823">
        <v>5</v>
      </c>
      <c r="K2823" t="s">
        <v>821</v>
      </c>
      <c r="M2823">
        <v>1</v>
      </c>
    </row>
    <row r="2824" spans="1:13">
      <c r="A2824" t="s">
        <v>2420</v>
      </c>
      <c r="B2824" t="s">
        <v>323</v>
      </c>
      <c r="C2824" s="34" t="s">
        <v>1438</v>
      </c>
      <c r="F2824" t="s">
        <v>1438</v>
      </c>
      <c r="H2824">
        <v>15</v>
      </c>
      <c r="I2824">
        <f>VLOOKUP(B2824,BRAND!B:D,3,FALSE)</f>
        <v>3</v>
      </c>
      <c r="J2824">
        <v>4</v>
      </c>
      <c r="K2824" t="s">
        <v>821</v>
      </c>
      <c r="M2824">
        <v>0</v>
      </c>
    </row>
    <row r="2825" spans="1:13">
      <c r="A2825" t="s">
        <v>7267</v>
      </c>
      <c r="B2825" t="s">
        <v>7268</v>
      </c>
      <c r="C2825" s="34" t="s">
        <v>1438</v>
      </c>
      <c r="F2825" t="s">
        <v>1438</v>
      </c>
      <c r="H2825">
        <v>5</v>
      </c>
      <c r="I2825">
        <f>VLOOKUP(B2825,BRAND!B:D,3,FALSE)</f>
        <v>5.5</v>
      </c>
      <c r="M2825">
        <v>1</v>
      </c>
    </row>
    <row r="2826" spans="1:13">
      <c r="A2826" t="s">
        <v>11658</v>
      </c>
      <c r="B2826" t="s">
        <v>10935</v>
      </c>
      <c r="C2826" s="34" t="s">
        <v>11117</v>
      </c>
      <c r="F2826" t="s">
        <v>11117</v>
      </c>
      <c r="G2826" t="s">
        <v>6932</v>
      </c>
      <c r="H2826">
        <v>5</v>
      </c>
    </row>
    <row r="2827" spans="1:13">
      <c r="A2827" t="s">
        <v>11659</v>
      </c>
      <c r="B2827" t="s">
        <v>10935</v>
      </c>
      <c r="C2827" s="34" t="s">
        <v>11118</v>
      </c>
      <c r="F2827" t="s">
        <v>11118</v>
      </c>
      <c r="G2827" t="s">
        <v>6932</v>
      </c>
      <c r="H2827">
        <v>5</v>
      </c>
    </row>
    <row r="2828" spans="1:13">
      <c r="A2828" t="s">
        <v>11660</v>
      </c>
      <c r="B2828" t="s">
        <v>10935</v>
      </c>
      <c r="C2828" s="34" t="s">
        <v>11119</v>
      </c>
      <c r="F2828" t="s">
        <v>11119</v>
      </c>
      <c r="G2828" t="s">
        <v>6932</v>
      </c>
      <c r="H2828">
        <v>5</v>
      </c>
    </row>
    <row r="2829" spans="1:13">
      <c r="A2829" t="s">
        <v>11661</v>
      </c>
      <c r="B2829" t="s">
        <v>10935</v>
      </c>
      <c r="C2829" s="34" t="s">
        <v>11120</v>
      </c>
      <c r="F2829" t="s">
        <v>11120</v>
      </c>
      <c r="G2829" t="s">
        <v>6932</v>
      </c>
      <c r="H2829">
        <v>5</v>
      </c>
    </row>
    <row r="2830" spans="1:13">
      <c r="A2830" t="s">
        <v>11662</v>
      </c>
      <c r="B2830" t="s">
        <v>10935</v>
      </c>
      <c r="C2830" s="34" t="s">
        <v>11121</v>
      </c>
      <c r="F2830" t="s">
        <v>11121</v>
      </c>
      <c r="G2830" t="s">
        <v>6932</v>
      </c>
      <c r="H2830">
        <v>5</v>
      </c>
    </row>
    <row r="2831" spans="1:13">
      <c r="A2831" t="s">
        <v>11663</v>
      </c>
      <c r="B2831" t="s">
        <v>10935</v>
      </c>
      <c r="C2831" s="34" t="s">
        <v>11122</v>
      </c>
      <c r="F2831" t="s">
        <v>11122</v>
      </c>
      <c r="G2831" t="s">
        <v>6932</v>
      </c>
      <c r="H2831">
        <v>5</v>
      </c>
    </row>
    <row r="2832" spans="1:13">
      <c r="A2832" t="s">
        <v>11664</v>
      </c>
      <c r="B2832" t="s">
        <v>10935</v>
      </c>
      <c r="C2832" s="34" t="s">
        <v>796</v>
      </c>
      <c r="F2832" t="s">
        <v>796</v>
      </c>
      <c r="G2832" t="s">
        <v>6932</v>
      </c>
      <c r="H2832">
        <v>5</v>
      </c>
    </row>
    <row r="2833" spans="1:13">
      <c r="A2833" t="s">
        <v>11665</v>
      </c>
      <c r="B2833" t="s">
        <v>10935</v>
      </c>
      <c r="C2833" s="34" t="s">
        <v>11123</v>
      </c>
      <c r="F2833" t="s">
        <v>11123</v>
      </c>
      <c r="G2833" t="s">
        <v>801</v>
      </c>
      <c r="H2833">
        <v>5</v>
      </c>
    </row>
    <row r="2834" spans="1:13">
      <c r="A2834" t="s">
        <v>11666</v>
      </c>
      <c r="B2834" t="s">
        <v>10935</v>
      </c>
      <c r="C2834" s="34" t="s">
        <v>7183</v>
      </c>
      <c r="F2834" t="s">
        <v>7183</v>
      </c>
      <c r="G2834" t="s">
        <v>6932</v>
      </c>
      <c r="H2834">
        <v>5</v>
      </c>
    </row>
    <row r="2835" spans="1:13">
      <c r="A2835" t="s">
        <v>11667</v>
      </c>
      <c r="B2835" t="s">
        <v>10935</v>
      </c>
      <c r="C2835" s="34" t="s">
        <v>11124</v>
      </c>
      <c r="F2835" t="s">
        <v>11124</v>
      </c>
      <c r="G2835" t="s">
        <v>6932</v>
      </c>
      <c r="H2835">
        <v>5</v>
      </c>
    </row>
    <row r="2836" spans="1:13">
      <c r="A2836" t="s">
        <v>11668</v>
      </c>
      <c r="B2836" t="s">
        <v>10935</v>
      </c>
      <c r="C2836" s="34" t="s">
        <v>11125</v>
      </c>
      <c r="F2836" t="s">
        <v>11125</v>
      </c>
      <c r="G2836" t="s">
        <v>6932</v>
      </c>
      <c r="H2836">
        <v>5</v>
      </c>
    </row>
    <row r="2837" spans="1:13">
      <c r="A2837" t="s">
        <v>11669</v>
      </c>
      <c r="B2837" t="s">
        <v>10935</v>
      </c>
      <c r="C2837" s="34" t="s">
        <v>11126</v>
      </c>
      <c r="F2837" t="s">
        <v>11126</v>
      </c>
      <c r="G2837" t="s">
        <v>6932</v>
      </c>
      <c r="H2837">
        <v>5</v>
      </c>
    </row>
    <row r="2838" spans="1:13">
      <c r="A2838" t="s">
        <v>11670</v>
      </c>
      <c r="B2838" t="s">
        <v>10935</v>
      </c>
      <c r="C2838" s="34" t="s">
        <v>11127</v>
      </c>
      <c r="F2838" t="s">
        <v>11127</v>
      </c>
      <c r="G2838" t="s">
        <v>6932</v>
      </c>
      <c r="H2838">
        <v>5</v>
      </c>
    </row>
    <row r="2839" spans="1:13">
      <c r="A2839" t="s">
        <v>11671</v>
      </c>
      <c r="B2839" t="s">
        <v>10935</v>
      </c>
      <c r="C2839" s="34" t="s">
        <v>11128</v>
      </c>
      <c r="F2839" t="s">
        <v>11128</v>
      </c>
      <c r="G2839" t="s">
        <v>6932</v>
      </c>
      <c r="H2839">
        <v>5</v>
      </c>
    </row>
    <row r="2840" spans="1:13">
      <c r="A2840" t="s">
        <v>11672</v>
      </c>
      <c r="B2840" t="s">
        <v>10935</v>
      </c>
      <c r="C2840" s="34" t="s">
        <v>11129</v>
      </c>
      <c r="F2840" t="s">
        <v>11129</v>
      </c>
      <c r="G2840" t="s">
        <v>6932</v>
      </c>
      <c r="H2840">
        <v>5</v>
      </c>
    </row>
    <row r="2841" spans="1:13">
      <c r="A2841" t="s">
        <v>11673</v>
      </c>
      <c r="B2841" t="s">
        <v>10935</v>
      </c>
      <c r="C2841" s="34" t="s">
        <v>11130</v>
      </c>
      <c r="F2841" t="s">
        <v>11130</v>
      </c>
      <c r="G2841" t="s">
        <v>6932</v>
      </c>
      <c r="H2841">
        <v>5</v>
      </c>
    </row>
    <row r="2842" spans="1:13">
      <c r="A2842" t="s">
        <v>4894</v>
      </c>
      <c r="B2842" t="s">
        <v>56</v>
      </c>
      <c r="C2842" s="34" t="s">
        <v>1986</v>
      </c>
      <c r="F2842" t="s">
        <v>1986</v>
      </c>
      <c r="H2842">
        <v>3</v>
      </c>
      <c r="I2842">
        <f>VLOOKUP(B2842,BRAND!B:D,3,FALSE)</f>
        <v>3</v>
      </c>
      <c r="J2842">
        <v>8</v>
      </c>
      <c r="K2842" t="s">
        <v>821</v>
      </c>
      <c r="M2842">
        <v>1</v>
      </c>
    </row>
    <row r="2843" spans="1:13">
      <c r="A2843" t="s">
        <v>4893</v>
      </c>
      <c r="B2843" t="s">
        <v>56</v>
      </c>
      <c r="C2843" s="34" t="s">
        <v>10261</v>
      </c>
      <c r="F2843" t="s">
        <v>941</v>
      </c>
      <c r="H2843">
        <v>3</v>
      </c>
      <c r="I2843">
        <f>VLOOKUP(B2843,BRAND!B:D,3,FALSE)</f>
        <v>3</v>
      </c>
      <c r="J2843">
        <v>5</v>
      </c>
      <c r="K2843" t="s">
        <v>821</v>
      </c>
      <c r="M2843">
        <v>1</v>
      </c>
    </row>
    <row r="2844" spans="1:13">
      <c r="A2844" s="29" t="s">
        <v>3938</v>
      </c>
      <c r="B2844" s="29" t="s">
        <v>56</v>
      </c>
      <c r="C2844" s="36" t="s">
        <v>3476</v>
      </c>
      <c r="D2844" s="29"/>
      <c r="E2844" s="29"/>
      <c r="F2844" s="29" t="s">
        <v>3476</v>
      </c>
      <c r="G2844" s="29"/>
      <c r="H2844" s="29">
        <v>3</v>
      </c>
      <c r="I2844">
        <f>VLOOKUP(B2844,BRAND!B:D,3,FALSE)</f>
        <v>3</v>
      </c>
      <c r="J2844">
        <v>3</v>
      </c>
      <c r="K2844" t="s">
        <v>821</v>
      </c>
      <c r="M2844">
        <v>1</v>
      </c>
    </row>
    <row r="2845" spans="1:13">
      <c r="A2845" s="29" t="s">
        <v>3976</v>
      </c>
      <c r="B2845" s="29" t="s">
        <v>56</v>
      </c>
      <c r="C2845" s="36" t="s">
        <v>6966</v>
      </c>
      <c r="D2845" s="29"/>
      <c r="E2845" s="29"/>
      <c r="F2845" s="29" t="s">
        <v>939</v>
      </c>
      <c r="G2845" s="29"/>
      <c r="H2845" s="29">
        <v>4</v>
      </c>
      <c r="I2845">
        <f>VLOOKUP(B2845,BRAND!B:D,3,FALSE)</f>
        <v>3</v>
      </c>
      <c r="J2845">
        <f>LEN(F2845)</f>
        <v>10</v>
      </c>
      <c r="K2845" t="s">
        <v>821</v>
      </c>
      <c r="M2845">
        <v>1</v>
      </c>
    </row>
    <row r="2846" spans="1:13">
      <c r="A2846" t="s">
        <v>4007</v>
      </c>
      <c r="B2846" t="s">
        <v>56</v>
      </c>
      <c r="C2846" s="34" t="s">
        <v>872</v>
      </c>
      <c r="F2846" t="s">
        <v>872</v>
      </c>
      <c r="H2846">
        <v>4</v>
      </c>
      <c r="I2846">
        <f>VLOOKUP(B2846,BRAND!B:D,3,FALSE)</f>
        <v>3</v>
      </c>
      <c r="J2846">
        <v>5</v>
      </c>
      <c r="K2846" t="s">
        <v>821</v>
      </c>
      <c r="M2846">
        <v>0</v>
      </c>
    </row>
    <row r="2847" spans="1:13">
      <c r="A2847" t="s">
        <v>4445</v>
      </c>
      <c r="B2847" t="s">
        <v>56</v>
      </c>
      <c r="C2847" s="34" t="s">
        <v>752</v>
      </c>
      <c r="F2847" t="s">
        <v>752</v>
      </c>
      <c r="H2847">
        <v>5</v>
      </c>
      <c r="I2847">
        <f>VLOOKUP(B2847,BRAND!B:D,3,FALSE)</f>
        <v>3</v>
      </c>
      <c r="J2847">
        <f>LEN(F2847)</f>
        <v>10</v>
      </c>
      <c r="K2847" t="s">
        <v>821</v>
      </c>
      <c r="M2847">
        <v>0</v>
      </c>
    </row>
    <row r="2848" spans="1:13">
      <c r="A2848" t="s">
        <v>3016</v>
      </c>
      <c r="B2848" t="s">
        <v>56</v>
      </c>
      <c r="C2848" s="34" t="s">
        <v>1997</v>
      </c>
      <c r="F2848" t="s">
        <v>1997</v>
      </c>
      <c r="H2848">
        <v>5</v>
      </c>
      <c r="I2848">
        <f>VLOOKUP(B2848,BRAND!B:D,3,FALSE)</f>
        <v>3</v>
      </c>
      <c r="J2848">
        <v>7</v>
      </c>
      <c r="K2848" t="s">
        <v>821</v>
      </c>
      <c r="M2848">
        <v>0</v>
      </c>
    </row>
    <row r="2849" spans="1:13">
      <c r="A2849" t="s">
        <v>8135</v>
      </c>
      <c r="B2849" t="s">
        <v>56</v>
      </c>
      <c r="C2849" s="34" t="s">
        <v>8136</v>
      </c>
      <c r="F2849" t="s">
        <v>8136</v>
      </c>
      <c r="G2849" t="s">
        <v>6932</v>
      </c>
      <c r="H2849">
        <v>5</v>
      </c>
      <c r="I2849">
        <f>VLOOKUP(B2849,BRAND!B:D,3,FALSE)</f>
        <v>3</v>
      </c>
      <c r="J2849">
        <v>6</v>
      </c>
      <c r="M2849">
        <v>1</v>
      </c>
    </row>
    <row r="2850" spans="1:13">
      <c r="A2850" t="s">
        <v>8137</v>
      </c>
      <c r="B2850" t="s">
        <v>56</v>
      </c>
      <c r="C2850" s="34" t="s">
        <v>6585</v>
      </c>
      <c r="F2850" t="s">
        <v>6585</v>
      </c>
      <c r="G2850" t="s">
        <v>6932</v>
      </c>
      <c r="H2850">
        <v>5</v>
      </c>
      <c r="I2850">
        <f>VLOOKUP(B2850,BRAND!B:D,3,FALSE)</f>
        <v>3</v>
      </c>
      <c r="J2850">
        <v>5</v>
      </c>
      <c r="M2850">
        <v>1</v>
      </c>
    </row>
    <row r="2851" spans="1:13">
      <c r="A2851" t="s">
        <v>4878</v>
      </c>
      <c r="B2851" t="s">
        <v>56</v>
      </c>
      <c r="C2851" s="34" t="s">
        <v>781</v>
      </c>
      <c r="F2851" t="s">
        <v>781</v>
      </c>
      <c r="H2851">
        <v>5</v>
      </c>
      <c r="I2851">
        <f>VLOOKUP(B2851,BRAND!B:D,3,FALSE)</f>
        <v>3</v>
      </c>
      <c r="J2851">
        <v>4</v>
      </c>
      <c r="K2851" t="s">
        <v>821</v>
      </c>
      <c r="M2851">
        <v>0</v>
      </c>
    </row>
    <row r="2852" spans="1:13">
      <c r="A2852" t="s">
        <v>8138</v>
      </c>
      <c r="B2852" t="s">
        <v>56</v>
      </c>
      <c r="C2852" s="34" t="s">
        <v>8139</v>
      </c>
      <c r="F2852" t="s">
        <v>8139</v>
      </c>
      <c r="G2852" t="s">
        <v>6932</v>
      </c>
      <c r="H2852">
        <v>5</v>
      </c>
      <c r="I2852">
        <f>VLOOKUP(B2852,BRAND!B:D,3,FALSE)</f>
        <v>3</v>
      </c>
      <c r="J2852">
        <v>3</v>
      </c>
      <c r="M2852">
        <v>1</v>
      </c>
    </row>
    <row r="2853" spans="1:13">
      <c r="A2853" t="s">
        <v>9654</v>
      </c>
      <c r="B2853" t="s">
        <v>56</v>
      </c>
      <c r="C2853" s="34" t="s">
        <v>561</v>
      </c>
      <c r="F2853" t="s">
        <v>561</v>
      </c>
      <c r="H2853">
        <v>5</v>
      </c>
      <c r="I2853">
        <f>VLOOKUP(B2853,BRAND!B:D,3,FALSE)</f>
        <v>3</v>
      </c>
      <c r="J2853">
        <v>3</v>
      </c>
      <c r="M2853">
        <v>1</v>
      </c>
    </row>
    <row r="2854" spans="1:13">
      <c r="A2854" t="s">
        <v>11360</v>
      </c>
      <c r="B2854" t="s">
        <v>56</v>
      </c>
      <c r="C2854" s="34" t="s">
        <v>13676</v>
      </c>
      <c r="F2854" t="s">
        <v>6454</v>
      </c>
      <c r="G2854" t="s">
        <v>6932</v>
      </c>
      <c r="H2854">
        <v>5</v>
      </c>
    </row>
    <row r="2855" spans="1:13">
      <c r="A2855" t="s">
        <v>8134</v>
      </c>
      <c r="B2855" t="s">
        <v>56</v>
      </c>
      <c r="C2855" s="34" t="s">
        <v>8070</v>
      </c>
      <c r="F2855" t="s">
        <v>8070</v>
      </c>
      <c r="G2855" t="s">
        <v>6932</v>
      </c>
      <c r="H2855">
        <v>6</v>
      </c>
      <c r="I2855">
        <f>VLOOKUP(B2855,BRAND!B:D,3,FALSE)</f>
        <v>3</v>
      </c>
      <c r="J2855">
        <v>6</v>
      </c>
      <c r="M2855">
        <v>1</v>
      </c>
    </row>
    <row r="2856" spans="1:13">
      <c r="A2856" t="s">
        <v>2002</v>
      </c>
      <c r="B2856" t="s">
        <v>56</v>
      </c>
      <c r="C2856" s="34" t="s">
        <v>1438</v>
      </c>
      <c r="F2856" t="s">
        <v>1438</v>
      </c>
      <c r="H2856">
        <v>15</v>
      </c>
      <c r="I2856">
        <f>VLOOKUP(B2856,BRAND!B:D,3,FALSE)</f>
        <v>3</v>
      </c>
      <c r="J2856">
        <v>4</v>
      </c>
      <c r="K2856" t="s">
        <v>821</v>
      </c>
      <c r="M2856">
        <v>1</v>
      </c>
    </row>
    <row r="2857" spans="1:13">
      <c r="A2857" t="s">
        <v>4257</v>
      </c>
      <c r="B2857" t="s">
        <v>1906</v>
      </c>
      <c r="C2857" s="34" t="s">
        <v>1438</v>
      </c>
      <c r="F2857" t="s">
        <v>1438</v>
      </c>
      <c r="H2857">
        <v>15</v>
      </c>
      <c r="I2857">
        <f>VLOOKUP(B2857,BRAND!B:D,3,FALSE)</f>
        <v>5</v>
      </c>
      <c r="J2857">
        <v>4</v>
      </c>
      <c r="K2857" t="s">
        <v>821</v>
      </c>
      <c r="M2857">
        <v>0</v>
      </c>
    </row>
    <row r="2858" spans="1:13">
      <c r="A2858" t="s">
        <v>2337</v>
      </c>
      <c r="B2858" t="s">
        <v>470</v>
      </c>
      <c r="C2858" s="34" t="s">
        <v>1438</v>
      </c>
      <c r="F2858" t="s">
        <v>1438</v>
      </c>
      <c r="H2858">
        <v>15</v>
      </c>
      <c r="I2858">
        <f>VLOOKUP(B2858,BRAND!B:D,3,FALSE)</f>
        <v>3</v>
      </c>
      <c r="J2858">
        <v>4</v>
      </c>
      <c r="K2858" t="s">
        <v>821</v>
      </c>
      <c r="M2858">
        <v>1</v>
      </c>
    </row>
    <row r="2859" spans="1:13">
      <c r="A2859" t="s">
        <v>10498</v>
      </c>
      <c r="B2859" t="s">
        <v>10328</v>
      </c>
      <c r="C2859" s="34" t="s">
        <v>1438</v>
      </c>
      <c r="F2859" t="s">
        <v>1438</v>
      </c>
      <c r="G2859" t="s">
        <v>801</v>
      </c>
      <c r="H2859">
        <v>5</v>
      </c>
      <c r="I2859">
        <f>VLOOKUP(B2859,BRAND!B:D,3,FALSE)</f>
        <v>5</v>
      </c>
      <c r="J2859">
        <f>LEN(F2859)</f>
        <v>4</v>
      </c>
      <c r="L2859">
        <v>0</v>
      </c>
    </row>
    <row r="2860" spans="1:13" ht="38.5" customHeight="1">
      <c r="A2860" t="s">
        <v>10076</v>
      </c>
      <c r="B2860" t="s">
        <v>5338</v>
      </c>
      <c r="C2860" s="34" t="s">
        <v>1438</v>
      </c>
      <c r="F2860" t="s">
        <v>1438</v>
      </c>
      <c r="H2860">
        <v>5</v>
      </c>
      <c r="I2860">
        <f>VLOOKUP(B2860,BRAND!B:D,3,FALSE)</f>
        <v>5</v>
      </c>
      <c r="J2860">
        <v>4</v>
      </c>
      <c r="K2860" t="s">
        <v>821</v>
      </c>
      <c r="M2860">
        <v>0</v>
      </c>
    </row>
    <row r="2861" spans="1:13">
      <c r="A2861" t="s">
        <v>2174</v>
      </c>
      <c r="B2861" t="s">
        <v>1256</v>
      </c>
      <c r="C2861" s="34" t="s">
        <v>1438</v>
      </c>
      <c r="F2861" t="s">
        <v>1438</v>
      </c>
      <c r="H2861">
        <v>15</v>
      </c>
      <c r="I2861">
        <f>VLOOKUP(B2861,BRAND!B:D,3,FALSE)</f>
        <v>3</v>
      </c>
      <c r="J2861">
        <v>4</v>
      </c>
      <c r="K2861" t="s">
        <v>821</v>
      </c>
      <c r="M2861">
        <v>0</v>
      </c>
    </row>
    <row r="2862" spans="1:13">
      <c r="A2862" t="s">
        <v>4775</v>
      </c>
      <c r="B2862" t="s">
        <v>1255</v>
      </c>
      <c r="C2862" s="34" t="s">
        <v>799</v>
      </c>
      <c r="F2862" t="s">
        <v>799</v>
      </c>
      <c r="H2862">
        <v>5</v>
      </c>
      <c r="I2862">
        <f>VLOOKUP(B2862,BRAND!B:D,3,FALSE)</f>
        <v>3</v>
      </c>
      <c r="J2862">
        <v>5</v>
      </c>
      <c r="K2862" t="s">
        <v>821</v>
      </c>
      <c r="M2862">
        <v>0</v>
      </c>
    </row>
    <row r="2863" spans="1:13">
      <c r="A2863" t="s">
        <v>4828</v>
      </c>
      <c r="B2863" t="s">
        <v>1255</v>
      </c>
      <c r="C2863" s="34" t="s">
        <v>1513</v>
      </c>
      <c r="F2863" t="s">
        <v>1513</v>
      </c>
      <c r="H2863">
        <v>5</v>
      </c>
      <c r="I2863">
        <f>VLOOKUP(B2863,BRAND!B:D,3,FALSE)</f>
        <v>3</v>
      </c>
      <c r="J2863">
        <v>5</v>
      </c>
      <c r="K2863" t="s">
        <v>821</v>
      </c>
      <c r="M2863">
        <v>0</v>
      </c>
    </row>
    <row r="2864" spans="1:13">
      <c r="A2864" t="s">
        <v>2816</v>
      </c>
      <c r="B2864" t="s">
        <v>1255</v>
      </c>
      <c r="C2864" s="34" t="s">
        <v>1438</v>
      </c>
      <c r="F2864" t="s">
        <v>1438</v>
      </c>
      <c r="H2864">
        <v>15</v>
      </c>
      <c r="I2864">
        <f>VLOOKUP(B2864,BRAND!B:D,3,FALSE)</f>
        <v>3</v>
      </c>
      <c r="J2864">
        <v>4</v>
      </c>
      <c r="K2864" t="s">
        <v>821</v>
      </c>
      <c r="M2864">
        <v>0</v>
      </c>
    </row>
    <row r="2865" spans="1:13">
      <c r="A2865" t="s">
        <v>11616</v>
      </c>
      <c r="B2865" t="s">
        <v>10771</v>
      </c>
      <c r="C2865" s="34" t="s">
        <v>11084</v>
      </c>
      <c r="F2865" t="s">
        <v>11084</v>
      </c>
      <c r="G2865" t="s">
        <v>6932</v>
      </c>
      <c r="H2865">
        <v>5</v>
      </c>
    </row>
    <row r="2866" spans="1:13">
      <c r="A2866" t="s">
        <v>10858</v>
      </c>
      <c r="B2866" t="s">
        <v>10771</v>
      </c>
      <c r="C2866" s="34" t="s">
        <v>10857</v>
      </c>
      <c r="F2866" t="s">
        <v>10857</v>
      </c>
      <c r="G2866" t="s">
        <v>6932</v>
      </c>
      <c r="H2866">
        <v>5</v>
      </c>
    </row>
    <row r="2867" spans="1:13">
      <c r="A2867" t="s">
        <v>11617</v>
      </c>
      <c r="B2867" t="s">
        <v>10771</v>
      </c>
      <c r="C2867" s="34" t="s">
        <v>11085</v>
      </c>
      <c r="F2867" t="s">
        <v>11085</v>
      </c>
      <c r="G2867" t="s">
        <v>6932</v>
      </c>
      <c r="H2867">
        <v>5</v>
      </c>
    </row>
    <row r="2868" spans="1:13">
      <c r="A2868" t="s">
        <v>11618</v>
      </c>
      <c r="B2868" t="s">
        <v>10771</v>
      </c>
      <c r="C2868" s="34" t="s">
        <v>11086</v>
      </c>
      <c r="F2868" t="s">
        <v>11086</v>
      </c>
      <c r="G2868" t="s">
        <v>6932</v>
      </c>
      <c r="H2868">
        <v>5</v>
      </c>
    </row>
    <row r="2869" spans="1:13">
      <c r="A2869" t="s">
        <v>11619</v>
      </c>
      <c r="B2869" t="s">
        <v>10771</v>
      </c>
      <c r="C2869" s="34" t="s">
        <v>11087</v>
      </c>
      <c r="F2869" t="s">
        <v>11087</v>
      </c>
      <c r="G2869" t="s">
        <v>6932</v>
      </c>
      <c r="H2869">
        <v>5</v>
      </c>
    </row>
    <row r="2870" spans="1:13">
      <c r="A2870" t="s">
        <v>11620</v>
      </c>
      <c r="B2870" t="s">
        <v>10771</v>
      </c>
      <c r="C2870" s="34" t="s">
        <v>11088</v>
      </c>
      <c r="F2870" t="s">
        <v>11088</v>
      </c>
      <c r="G2870" t="s">
        <v>6932</v>
      </c>
      <c r="H2870">
        <v>5</v>
      </c>
    </row>
    <row r="2871" spans="1:13">
      <c r="A2871" t="s">
        <v>11621</v>
      </c>
      <c r="B2871" t="s">
        <v>10771</v>
      </c>
      <c r="C2871" s="34" t="s">
        <v>11089</v>
      </c>
      <c r="F2871" t="s">
        <v>11089</v>
      </c>
      <c r="G2871" t="s">
        <v>6932</v>
      </c>
      <c r="H2871">
        <v>5</v>
      </c>
    </row>
    <row r="2872" spans="1:13">
      <c r="A2872" t="s">
        <v>11622</v>
      </c>
      <c r="B2872" t="s">
        <v>10771</v>
      </c>
      <c r="C2872" s="34" t="s">
        <v>11090</v>
      </c>
      <c r="F2872" t="s">
        <v>11090</v>
      </c>
      <c r="G2872" t="s">
        <v>6932</v>
      </c>
      <c r="H2872">
        <v>5</v>
      </c>
    </row>
    <row r="2873" spans="1:13">
      <c r="A2873" t="s">
        <v>11623</v>
      </c>
      <c r="B2873" t="s">
        <v>10771</v>
      </c>
      <c r="C2873" s="34" t="s">
        <v>11091</v>
      </c>
      <c r="F2873" t="s">
        <v>11091</v>
      </c>
      <c r="G2873" t="s">
        <v>6932</v>
      </c>
      <c r="H2873">
        <v>5</v>
      </c>
    </row>
    <row r="2874" spans="1:13">
      <c r="A2874" t="s">
        <v>11624</v>
      </c>
      <c r="B2874" t="s">
        <v>10771</v>
      </c>
      <c r="C2874" s="34" t="s">
        <v>11996</v>
      </c>
      <c r="F2874" t="s">
        <v>11092</v>
      </c>
      <c r="G2874" t="s">
        <v>801</v>
      </c>
      <c r="H2874">
        <v>5</v>
      </c>
    </row>
    <row r="2875" spans="1:13">
      <c r="A2875" t="s">
        <v>9655</v>
      </c>
      <c r="B2875" t="s">
        <v>6592</v>
      </c>
      <c r="C2875" s="34" t="s">
        <v>777</v>
      </c>
      <c r="F2875" t="s">
        <v>777</v>
      </c>
      <c r="H2875">
        <v>5</v>
      </c>
      <c r="I2875">
        <f>VLOOKUP(B2875,BRAND!B:D,3,FALSE)</f>
        <v>5</v>
      </c>
      <c r="J2875">
        <v>7</v>
      </c>
      <c r="M2875">
        <v>1</v>
      </c>
    </row>
    <row r="2876" spans="1:13">
      <c r="A2876" t="s">
        <v>4242</v>
      </c>
      <c r="B2876" t="s">
        <v>681</v>
      </c>
      <c r="C2876" s="34" t="s">
        <v>534</v>
      </c>
      <c r="F2876" t="s">
        <v>534</v>
      </c>
      <c r="H2876">
        <v>5</v>
      </c>
      <c r="I2876">
        <f>VLOOKUP(B2876,BRAND!B:D,3,FALSE)</f>
        <v>5</v>
      </c>
      <c r="J2876">
        <v>6</v>
      </c>
      <c r="K2876" t="s">
        <v>821</v>
      </c>
      <c r="M2876">
        <v>1</v>
      </c>
    </row>
    <row r="2877" spans="1:13">
      <c r="A2877" t="s">
        <v>14488</v>
      </c>
      <c r="B2877" t="s">
        <v>14482</v>
      </c>
      <c r="C2877" s="34" t="s">
        <v>1999</v>
      </c>
      <c r="F2877" t="s">
        <v>1999</v>
      </c>
      <c r="G2877" t="s">
        <v>6932</v>
      </c>
      <c r="H2877">
        <v>5</v>
      </c>
      <c r="I2877">
        <f>VLOOKUP(B2877,BRAND!B:D,3,FALSE)</f>
        <v>0</v>
      </c>
      <c r="J2877">
        <f t="shared" ref="J2877:J2884" si="35">LEN(F2877)</f>
        <v>7</v>
      </c>
      <c r="K2877" t="s">
        <v>821</v>
      </c>
      <c r="L2877">
        <v>0</v>
      </c>
      <c r="M2877">
        <v>1</v>
      </c>
    </row>
    <row r="2878" spans="1:13">
      <c r="A2878" t="s">
        <v>14484</v>
      </c>
      <c r="B2878" t="s">
        <v>14482</v>
      </c>
      <c r="C2878" s="34" t="s">
        <v>10023</v>
      </c>
      <c r="F2878" t="s">
        <v>10023</v>
      </c>
      <c r="G2878" t="s">
        <v>6932</v>
      </c>
      <c r="H2878">
        <v>5</v>
      </c>
      <c r="I2878">
        <f>VLOOKUP(B2878,BRAND!B:D,3,FALSE)</f>
        <v>0</v>
      </c>
      <c r="J2878">
        <f t="shared" si="35"/>
        <v>6</v>
      </c>
      <c r="K2878" t="s">
        <v>821</v>
      </c>
      <c r="L2878">
        <v>0</v>
      </c>
      <c r="M2878">
        <v>1</v>
      </c>
    </row>
    <row r="2879" spans="1:13">
      <c r="A2879" t="s">
        <v>14491</v>
      </c>
      <c r="B2879" t="s">
        <v>14482</v>
      </c>
      <c r="C2879" s="34" t="s">
        <v>913</v>
      </c>
      <c r="F2879" t="s">
        <v>913</v>
      </c>
      <c r="G2879" t="s">
        <v>6932</v>
      </c>
      <c r="H2879">
        <v>5</v>
      </c>
      <c r="I2879">
        <f>VLOOKUP(B2879,BRAND!B:D,3,FALSE)</f>
        <v>0</v>
      </c>
      <c r="J2879">
        <f t="shared" si="35"/>
        <v>5</v>
      </c>
      <c r="K2879" t="s">
        <v>821</v>
      </c>
      <c r="L2879">
        <v>0</v>
      </c>
      <c r="M2879">
        <v>1</v>
      </c>
    </row>
    <row r="2880" spans="1:13">
      <c r="A2880" t="s">
        <v>14485</v>
      </c>
      <c r="B2880" t="s">
        <v>14482</v>
      </c>
      <c r="C2880" s="34" t="s">
        <v>14486</v>
      </c>
      <c r="F2880" t="s">
        <v>14486</v>
      </c>
      <c r="G2880" t="s">
        <v>6932</v>
      </c>
      <c r="H2880">
        <v>5</v>
      </c>
      <c r="I2880">
        <f>VLOOKUP(B2880,BRAND!B:D,3,FALSE)</f>
        <v>0</v>
      </c>
      <c r="J2880">
        <f t="shared" si="35"/>
        <v>5</v>
      </c>
      <c r="K2880" t="s">
        <v>821</v>
      </c>
      <c r="L2880">
        <v>0</v>
      </c>
      <c r="M2880">
        <v>1</v>
      </c>
    </row>
    <row r="2881" spans="1:13">
      <c r="A2881" t="s">
        <v>14481</v>
      </c>
      <c r="B2881" t="s">
        <v>14482</v>
      </c>
      <c r="C2881" s="34" t="s">
        <v>536</v>
      </c>
      <c r="F2881" t="s">
        <v>536</v>
      </c>
      <c r="G2881" t="s">
        <v>6932</v>
      </c>
      <c r="H2881">
        <v>5</v>
      </c>
      <c r="I2881">
        <f>VLOOKUP(B2881,BRAND!B:D,3,FALSE)</f>
        <v>0</v>
      </c>
      <c r="J2881">
        <f t="shared" si="35"/>
        <v>5</v>
      </c>
      <c r="K2881" t="s">
        <v>821</v>
      </c>
      <c r="L2881">
        <v>0</v>
      </c>
      <c r="M2881">
        <v>1</v>
      </c>
    </row>
    <row r="2882" spans="1:13">
      <c r="A2882" t="s">
        <v>14489</v>
      </c>
      <c r="B2882" t="s">
        <v>14482</v>
      </c>
      <c r="C2882" s="34" t="s">
        <v>14490</v>
      </c>
      <c r="F2882" t="s">
        <v>14490</v>
      </c>
      <c r="G2882" t="s">
        <v>6932</v>
      </c>
      <c r="H2882">
        <v>5</v>
      </c>
      <c r="I2882">
        <f>VLOOKUP(B2882,BRAND!B:D,3,FALSE)</f>
        <v>0</v>
      </c>
      <c r="J2882">
        <f t="shared" si="35"/>
        <v>5</v>
      </c>
      <c r="K2882" t="s">
        <v>821</v>
      </c>
      <c r="L2882">
        <v>0</v>
      </c>
      <c r="M2882">
        <v>1</v>
      </c>
    </row>
    <row r="2883" spans="1:13">
      <c r="A2883" t="s">
        <v>14487</v>
      </c>
      <c r="B2883" t="s">
        <v>14482</v>
      </c>
      <c r="C2883" s="34" t="s">
        <v>897</v>
      </c>
      <c r="F2883" t="s">
        <v>897</v>
      </c>
      <c r="G2883" t="s">
        <v>6932</v>
      </c>
      <c r="H2883">
        <v>5</v>
      </c>
      <c r="I2883">
        <f>VLOOKUP(B2883,BRAND!B:D,3,FALSE)</f>
        <v>0</v>
      </c>
      <c r="J2883">
        <f t="shared" si="35"/>
        <v>4</v>
      </c>
      <c r="K2883" t="s">
        <v>821</v>
      </c>
      <c r="L2883">
        <v>0</v>
      </c>
      <c r="M2883">
        <v>1</v>
      </c>
    </row>
    <row r="2884" spans="1:13">
      <c r="A2884" t="s">
        <v>14483</v>
      </c>
      <c r="B2884" t="s">
        <v>14482</v>
      </c>
      <c r="C2884" s="34" t="s">
        <v>561</v>
      </c>
      <c r="F2884" t="s">
        <v>561</v>
      </c>
      <c r="G2884" t="s">
        <v>6932</v>
      </c>
      <c r="H2884">
        <v>5</v>
      </c>
      <c r="I2884">
        <f>VLOOKUP(B2884,BRAND!B:D,3,FALSE)</f>
        <v>0</v>
      </c>
      <c r="J2884">
        <f t="shared" si="35"/>
        <v>3</v>
      </c>
      <c r="K2884" t="s">
        <v>821</v>
      </c>
      <c r="L2884">
        <v>0</v>
      </c>
      <c r="M2884">
        <v>1</v>
      </c>
    </row>
    <row r="2885" spans="1:13">
      <c r="A2885" t="s">
        <v>9656</v>
      </c>
      <c r="B2885" t="s">
        <v>57</v>
      </c>
      <c r="C2885" s="34" t="s">
        <v>1438</v>
      </c>
      <c r="F2885" t="s">
        <v>1438</v>
      </c>
      <c r="H2885">
        <v>5</v>
      </c>
      <c r="I2885">
        <f>VLOOKUP(B2885,BRAND!B:D,3,FALSE)</f>
        <v>3</v>
      </c>
      <c r="J2885">
        <v>4</v>
      </c>
      <c r="M2885">
        <v>1</v>
      </c>
    </row>
    <row r="2886" spans="1:13">
      <c r="A2886" t="s">
        <v>4847</v>
      </c>
      <c r="B2886" t="s">
        <v>57</v>
      </c>
      <c r="C2886" s="34" t="s">
        <v>6441</v>
      </c>
      <c r="F2886" t="s">
        <v>561</v>
      </c>
      <c r="H2886">
        <v>5</v>
      </c>
      <c r="I2886">
        <f>VLOOKUP(B2886,BRAND!B:D,3,FALSE)</f>
        <v>3</v>
      </c>
      <c r="J2886">
        <v>3</v>
      </c>
      <c r="K2886" t="s">
        <v>821</v>
      </c>
      <c r="M2886">
        <v>1</v>
      </c>
    </row>
    <row r="2887" spans="1:13">
      <c r="A2887" t="s">
        <v>14492</v>
      </c>
      <c r="B2887" t="s">
        <v>14493</v>
      </c>
      <c r="C2887" s="34" t="s">
        <v>1438</v>
      </c>
      <c r="F2887" t="s">
        <v>1438</v>
      </c>
      <c r="G2887" t="s">
        <v>6932</v>
      </c>
      <c r="H2887">
        <v>5</v>
      </c>
      <c r="I2887">
        <f>VLOOKUP(B2887,BRAND!B:D,3,FALSE)</f>
        <v>0</v>
      </c>
      <c r="J2887">
        <f>LEN(F2887)</f>
        <v>4</v>
      </c>
      <c r="K2887" t="s">
        <v>821</v>
      </c>
      <c r="L2887">
        <v>0</v>
      </c>
      <c r="M2887">
        <v>1</v>
      </c>
    </row>
    <row r="2888" spans="1:13">
      <c r="A2888" t="s">
        <v>8140</v>
      </c>
      <c r="B2888" t="s">
        <v>8141</v>
      </c>
      <c r="C2888" s="34" t="s">
        <v>1438</v>
      </c>
      <c r="F2888" t="s">
        <v>1438</v>
      </c>
      <c r="G2888" t="s">
        <v>6932</v>
      </c>
      <c r="H2888">
        <v>5</v>
      </c>
      <c r="I2888">
        <f>VLOOKUP(B2888,BRAND!B:D,3,FALSE)</f>
        <v>5.5</v>
      </c>
      <c r="J2888">
        <v>4</v>
      </c>
      <c r="M2888">
        <v>1</v>
      </c>
    </row>
    <row r="2889" spans="1:13">
      <c r="A2889" t="s">
        <v>4696</v>
      </c>
      <c r="B2889" t="s">
        <v>58</v>
      </c>
      <c r="C2889" s="34" t="s">
        <v>1506</v>
      </c>
      <c r="F2889" t="s">
        <v>1506</v>
      </c>
      <c r="H2889">
        <v>5</v>
      </c>
      <c r="I2889">
        <f>VLOOKUP(B2889,BRAND!B:D,3,FALSE)</f>
        <v>3</v>
      </c>
      <c r="J2889">
        <v>6</v>
      </c>
      <c r="K2889" t="s">
        <v>821</v>
      </c>
      <c r="M2889">
        <v>0</v>
      </c>
    </row>
    <row r="2890" spans="1:13">
      <c r="A2890" t="s">
        <v>4818</v>
      </c>
      <c r="B2890" t="s">
        <v>58</v>
      </c>
      <c r="C2890" s="34" t="s">
        <v>776</v>
      </c>
      <c r="F2890" t="s">
        <v>776</v>
      </c>
      <c r="H2890">
        <v>5</v>
      </c>
      <c r="I2890">
        <f>VLOOKUP(B2890,BRAND!B:D,3,FALSE)</f>
        <v>3</v>
      </c>
      <c r="J2890">
        <v>5</v>
      </c>
      <c r="K2890" t="s">
        <v>821</v>
      </c>
      <c r="M2890">
        <v>0</v>
      </c>
    </row>
    <row r="2891" spans="1:13">
      <c r="A2891" t="s">
        <v>3261</v>
      </c>
      <c r="B2891" t="s">
        <v>58</v>
      </c>
      <c r="C2891" s="34" t="s">
        <v>781</v>
      </c>
      <c r="F2891" t="s">
        <v>781</v>
      </c>
      <c r="H2891">
        <v>5</v>
      </c>
      <c r="I2891">
        <f>VLOOKUP(B2891,BRAND!B:D,3,FALSE)</f>
        <v>3</v>
      </c>
      <c r="J2891">
        <v>4</v>
      </c>
      <c r="K2891" t="s">
        <v>821</v>
      </c>
      <c r="M2891">
        <v>0</v>
      </c>
    </row>
    <row r="2892" spans="1:13">
      <c r="A2892" t="s">
        <v>3884</v>
      </c>
      <c r="B2892" t="s">
        <v>58</v>
      </c>
      <c r="C2892" s="34" t="s">
        <v>897</v>
      </c>
      <c r="F2892" t="s">
        <v>897</v>
      </c>
      <c r="H2892">
        <v>5</v>
      </c>
      <c r="I2892">
        <f>VLOOKUP(B2892,BRAND!B:D,3,FALSE)</f>
        <v>3</v>
      </c>
      <c r="J2892">
        <v>4</v>
      </c>
      <c r="K2892" t="s">
        <v>821</v>
      </c>
      <c r="M2892">
        <v>0</v>
      </c>
    </row>
    <row r="2893" spans="1:13">
      <c r="A2893" t="s">
        <v>3113</v>
      </c>
      <c r="B2893" t="s">
        <v>58</v>
      </c>
      <c r="C2893" s="34" t="s">
        <v>1438</v>
      </c>
      <c r="F2893" t="s">
        <v>1438</v>
      </c>
      <c r="H2893">
        <v>15</v>
      </c>
      <c r="I2893">
        <f>VLOOKUP(B2893,BRAND!B:D,3,FALSE)</f>
        <v>3</v>
      </c>
      <c r="J2893">
        <v>4</v>
      </c>
      <c r="K2893" t="s">
        <v>821</v>
      </c>
      <c r="M2893">
        <v>1</v>
      </c>
    </row>
    <row r="2894" spans="1:13">
      <c r="A2894" t="s">
        <v>8142</v>
      </c>
      <c r="B2894" t="s">
        <v>324</v>
      </c>
      <c r="C2894" s="34" t="s">
        <v>8143</v>
      </c>
      <c r="F2894" t="s">
        <v>8143</v>
      </c>
      <c r="G2894" t="s">
        <v>6932</v>
      </c>
      <c r="H2894">
        <v>5</v>
      </c>
      <c r="I2894">
        <f>VLOOKUP(B2894,BRAND!B:D,3,FALSE)</f>
        <v>3</v>
      </c>
      <c r="J2894">
        <v>8</v>
      </c>
      <c r="M2894">
        <v>1</v>
      </c>
    </row>
    <row r="2895" spans="1:13">
      <c r="A2895" t="s">
        <v>2338</v>
      </c>
      <c r="B2895" t="s">
        <v>324</v>
      </c>
      <c r="C2895" s="34" t="s">
        <v>5442</v>
      </c>
      <c r="F2895" t="s">
        <v>534</v>
      </c>
      <c r="H2895">
        <v>5</v>
      </c>
      <c r="I2895">
        <f>VLOOKUP(B2895,BRAND!B:D,3,FALSE)</f>
        <v>3</v>
      </c>
      <c r="J2895">
        <v>6</v>
      </c>
      <c r="K2895" t="s">
        <v>821</v>
      </c>
      <c r="M2895">
        <v>1</v>
      </c>
    </row>
    <row r="2896" spans="1:13">
      <c r="A2896" t="s">
        <v>8145</v>
      </c>
      <c r="B2896" t="s">
        <v>324</v>
      </c>
      <c r="C2896" s="34" t="s">
        <v>6364</v>
      </c>
      <c r="F2896" t="s">
        <v>6364</v>
      </c>
      <c r="G2896" t="s">
        <v>6932</v>
      </c>
      <c r="H2896">
        <v>5</v>
      </c>
      <c r="I2896">
        <f>VLOOKUP(B2896,BRAND!B:D,3,FALSE)</f>
        <v>3</v>
      </c>
      <c r="J2896">
        <v>6</v>
      </c>
      <c r="M2896">
        <v>1</v>
      </c>
    </row>
    <row r="2897" spans="1:13">
      <c r="A2897" t="s">
        <v>4279</v>
      </c>
      <c r="B2897" t="s">
        <v>324</v>
      </c>
      <c r="C2897" s="34" t="s">
        <v>751</v>
      </c>
      <c r="F2897" t="s">
        <v>751</v>
      </c>
      <c r="H2897">
        <v>5</v>
      </c>
      <c r="I2897">
        <f>VLOOKUP(B2897,BRAND!B:D,3,FALSE)</f>
        <v>3</v>
      </c>
      <c r="J2897">
        <v>5</v>
      </c>
      <c r="K2897" t="s">
        <v>821</v>
      </c>
      <c r="M2897">
        <v>1</v>
      </c>
    </row>
    <row r="2898" spans="1:13">
      <c r="A2898" t="s">
        <v>8144</v>
      </c>
      <c r="B2898" t="s">
        <v>324</v>
      </c>
      <c r="C2898" s="34" t="s">
        <v>776</v>
      </c>
      <c r="F2898" t="s">
        <v>776</v>
      </c>
      <c r="G2898" t="s">
        <v>6932</v>
      </c>
      <c r="H2898">
        <v>5</v>
      </c>
      <c r="I2898">
        <f>VLOOKUP(B2898,BRAND!B:D,3,FALSE)</f>
        <v>3</v>
      </c>
      <c r="J2898">
        <v>5</v>
      </c>
      <c r="M2898">
        <v>1</v>
      </c>
    </row>
    <row r="2899" spans="1:13">
      <c r="A2899" t="s">
        <v>3140</v>
      </c>
      <c r="B2899" t="s">
        <v>324</v>
      </c>
      <c r="C2899" s="34" t="s">
        <v>561</v>
      </c>
      <c r="F2899" t="s">
        <v>561</v>
      </c>
      <c r="H2899">
        <v>5</v>
      </c>
      <c r="I2899">
        <f>VLOOKUP(B2899,BRAND!B:D,3,FALSE)</f>
        <v>3</v>
      </c>
      <c r="J2899">
        <v>3</v>
      </c>
      <c r="K2899" t="s">
        <v>821</v>
      </c>
      <c r="M2899">
        <v>1</v>
      </c>
    </row>
    <row r="2900" spans="1:13">
      <c r="A2900" t="s">
        <v>3374</v>
      </c>
      <c r="B2900" t="s">
        <v>1822</v>
      </c>
      <c r="C2900" s="34" t="s">
        <v>534</v>
      </c>
      <c r="F2900" t="s">
        <v>534</v>
      </c>
      <c r="H2900">
        <v>5</v>
      </c>
      <c r="I2900">
        <f>VLOOKUP(B2900,BRAND!B:D,3,FALSE)</f>
        <v>3</v>
      </c>
      <c r="J2900">
        <v>6</v>
      </c>
      <c r="K2900" t="s">
        <v>821</v>
      </c>
      <c r="M2900">
        <v>0</v>
      </c>
    </row>
    <row r="2901" spans="1:13">
      <c r="A2901" t="s">
        <v>3116</v>
      </c>
      <c r="B2901" t="s">
        <v>1822</v>
      </c>
      <c r="C2901" s="34" t="s">
        <v>536</v>
      </c>
      <c r="F2901" t="s">
        <v>536</v>
      </c>
      <c r="H2901">
        <v>5</v>
      </c>
      <c r="I2901">
        <f>VLOOKUP(B2901,BRAND!B:D,3,FALSE)</f>
        <v>3</v>
      </c>
      <c r="J2901">
        <v>5</v>
      </c>
      <c r="K2901" t="s">
        <v>821</v>
      </c>
      <c r="M2901">
        <v>0</v>
      </c>
    </row>
    <row r="2902" spans="1:13">
      <c r="A2902" t="s">
        <v>2140</v>
      </c>
      <c r="B2902" t="s">
        <v>1822</v>
      </c>
      <c r="C2902" s="34" t="s">
        <v>1438</v>
      </c>
      <c r="F2902" t="s">
        <v>1438</v>
      </c>
      <c r="H2902">
        <v>15</v>
      </c>
      <c r="I2902">
        <f>VLOOKUP(B2902,BRAND!B:D,3,FALSE)</f>
        <v>3</v>
      </c>
      <c r="J2902">
        <v>4</v>
      </c>
      <c r="K2902" t="s">
        <v>821</v>
      </c>
      <c r="M2902">
        <v>0</v>
      </c>
    </row>
    <row r="2903" spans="1:13">
      <c r="A2903" t="s">
        <v>4876</v>
      </c>
      <c r="B2903" t="s">
        <v>1035</v>
      </c>
      <c r="C2903" s="34" t="s">
        <v>1513</v>
      </c>
      <c r="F2903" t="s">
        <v>1513</v>
      </c>
      <c r="H2903">
        <v>5</v>
      </c>
      <c r="I2903">
        <f>VLOOKUP(B2903,BRAND!B:D,3,FALSE)</f>
        <v>3</v>
      </c>
      <c r="J2903">
        <v>5</v>
      </c>
      <c r="K2903" t="s">
        <v>821</v>
      </c>
      <c r="M2903">
        <v>0</v>
      </c>
    </row>
    <row r="2904" spans="1:13">
      <c r="A2904" t="s">
        <v>2743</v>
      </c>
      <c r="B2904" t="s">
        <v>1035</v>
      </c>
      <c r="C2904" s="34" t="s">
        <v>1438</v>
      </c>
      <c r="F2904" t="s">
        <v>1438</v>
      </c>
      <c r="H2904">
        <v>15</v>
      </c>
      <c r="I2904">
        <f>VLOOKUP(B2904,BRAND!B:D,3,FALSE)</f>
        <v>3</v>
      </c>
      <c r="J2904">
        <v>4</v>
      </c>
      <c r="K2904" t="s">
        <v>821</v>
      </c>
      <c r="M2904">
        <v>0</v>
      </c>
    </row>
    <row r="2905" spans="1:13">
      <c r="A2905" t="s">
        <v>7094</v>
      </c>
      <c r="B2905" t="s">
        <v>6622</v>
      </c>
      <c r="C2905" s="34" t="s">
        <v>1438</v>
      </c>
      <c r="F2905" t="s">
        <v>1438</v>
      </c>
      <c r="H2905">
        <v>5</v>
      </c>
      <c r="I2905">
        <f>VLOOKUP(B2905,BRAND!B:D,3,FALSE)</f>
        <v>5</v>
      </c>
      <c r="J2905">
        <v>4</v>
      </c>
      <c r="M2905">
        <v>1</v>
      </c>
    </row>
    <row r="2906" spans="1:13">
      <c r="A2906" t="s">
        <v>7094</v>
      </c>
      <c r="B2906" t="s">
        <v>6622</v>
      </c>
      <c r="C2906" s="34" t="s">
        <v>1438</v>
      </c>
      <c r="F2906" t="s">
        <v>1438</v>
      </c>
      <c r="H2906">
        <v>5</v>
      </c>
      <c r="I2906">
        <f>VLOOKUP(B2906,BRAND!B:D,3,FALSE)</f>
        <v>5</v>
      </c>
      <c r="J2906">
        <v>4</v>
      </c>
      <c r="M2906">
        <v>1</v>
      </c>
    </row>
    <row r="2907" spans="1:13">
      <c r="A2907" t="s">
        <v>2976</v>
      </c>
      <c r="B2907" t="s">
        <v>365</v>
      </c>
      <c r="C2907" s="34" t="s">
        <v>534</v>
      </c>
      <c r="F2907" t="s">
        <v>534</v>
      </c>
      <c r="H2907">
        <v>5</v>
      </c>
      <c r="I2907">
        <f>VLOOKUP(B2907,BRAND!B:D,3,FALSE)</f>
        <v>3</v>
      </c>
      <c r="J2907">
        <v>6</v>
      </c>
      <c r="K2907" t="s">
        <v>821</v>
      </c>
      <c r="M2907">
        <v>1</v>
      </c>
    </row>
    <row r="2908" spans="1:13">
      <c r="A2908" t="s">
        <v>2977</v>
      </c>
      <c r="B2908" t="s">
        <v>365</v>
      </c>
      <c r="C2908" s="34" t="s">
        <v>536</v>
      </c>
      <c r="F2908" t="s">
        <v>536</v>
      </c>
      <c r="H2908">
        <v>5</v>
      </c>
      <c r="I2908">
        <f>VLOOKUP(B2908,BRAND!B:D,3,FALSE)</f>
        <v>3</v>
      </c>
      <c r="J2908">
        <v>5</v>
      </c>
      <c r="K2908" t="s">
        <v>821</v>
      </c>
      <c r="M2908">
        <v>1</v>
      </c>
    </row>
    <row r="2909" spans="1:13">
      <c r="A2909" t="s">
        <v>9657</v>
      </c>
      <c r="B2909" t="s">
        <v>365</v>
      </c>
      <c r="C2909" s="34" t="s">
        <v>6500</v>
      </c>
      <c r="F2909" t="s">
        <v>6500</v>
      </c>
      <c r="H2909">
        <v>5</v>
      </c>
      <c r="I2909">
        <f>VLOOKUP(B2909,BRAND!B:D,3,FALSE)</f>
        <v>3</v>
      </c>
      <c r="J2909">
        <v>5</v>
      </c>
      <c r="M2909">
        <v>1</v>
      </c>
    </row>
    <row r="2910" spans="1:13">
      <c r="A2910" t="s">
        <v>2978</v>
      </c>
      <c r="B2910" t="s">
        <v>365</v>
      </c>
      <c r="C2910" s="34" t="s">
        <v>561</v>
      </c>
      <c r="F2910" t="s">
        <v>561</v>
      </c>
      <c r="H2910">
        <v>5</v>
      </c>
      <c r="I2910">
        <f>VLOOKUP(B2910,BRAND!B:D,3,FALSE)</f>
        <v>3</v>
      </c>
      <c r="J2910">
        <v>3</v>
      </c>
      <c r="K2910" t="s">
        <v>821</v>
      </c>
      <c r="M2910">
        <v>1</v>
      </c>
    </row>
    <row r="2911" spans="1:13">
      <c r="A2911" t="s">
        <v>2805</v>
      </c>
      <c r="B2911" t="s">
        <v>365</v>
      </c>
      <c r="C2911" s="34" t="s">
        <v>1438</v>
      </c>
      <c r="F2911" t="s">
        <v>1438</v>
      </c>
      <c r="H2911">
        <v>15</v>
      </c>
      <c r="I2911">
        <f>VLOOKUP(B2911,BRAND!B:D,3,FALSE)</f>
        <v>3</v>
      </c>
      <c r="J2911">
        <v>4</v>
      </c>
      <c r="K2911" t="s">
        <v>821</v>
      </c>
      <c r="M2911">
        <v>0</v>
      </c>
    </row>
    <row r="2912" spans="1:13">
      <c r="A2912" t="s">
        <v>8150</v>
      </c>
      <c r="B2912" t="s">
        <v>8147</v>
      </c>
      <c r="C2912" s="34" t="s">
        <v>8151</v>
      </c>
      <c r="F2912" t="s">
        <v>8151</v>
      </c>
      <c r="G2912" t="s">
        <v>6932</v>
      </c>
      <c r="H2912">
        <v>5</v>
      </c>
      <c r="I2912">
        <f>VLOOKUP(B2912,BRAND!B:D,3,FALSE)</f>
        <v>5.5</v>
      </c>
      <c r="J2912">
        <v>9</v>
      </c>
      <c r="M2912">
        <v>1</v>
      </c>
    </row>
    <row r="2913" spans="1:13">
      <c r="A2913" t="s">
        <v>8153</v>
      </c>
      <c r="B2913" t="s">
        <v>8147</v>
      </c>
      <c r="C2913" s="34" t="s">
        <v>917</v>
      </c>
      <c r="F2913" t="s">
        <v>917</v>
      </c>
      <c r="G2913" t="s">
        <v>6932</v>
      </c>
      <c r="H2913">
        <v>5</v>
      </c>
      <c r="I2913">
        <f>VLOOKUP(B2913,BRAND!B:D,3,FALSE)</f>
        <v>5.5</v>
      </c>
      <c r="J2913">
        <v>8</v>
      </c>
      <c r="M2913">
        <v>1</v>
      </c>
    </row>
    <row r="2914" spans="1:13">
      <c r="A2914" t="s">
        <v>8152</v>
      </c>
      <c r="B2914" t="s">
        <v>8147</v>
      </c>
      <c r="C2914" s="34" t="s">
        <v>7253</v>
      </c>
      <c r="F2914" t="s">
        <v>7253</v>
      </c>
      <c r="G2914" t="s">
        <v>6932</v>
      </c>
      <c r="H2914">
        <v>5</v>
      </c>
      <c r="I2914">
        <f>VLOOKUP(B2914,BRAND!B:D,3,FALSE)</f>
        <v>5.5</v>
      </c>
      <c r="J2914">
        <v>7</v>
      </c>
      <c r="M2914">
        <v>1</v>
      </c>
    </row>
    <row r="2915" spans="1:13">
      <c r="A2915" t="s">
        <v>8154</v>
      </c>
      <c r="B2915" t="s">
        <v>8147</v>
      </c>
      <c r="C2915" s="34" t="s">
        <v>1000</v>
      </c>
      <c r="F2915" t="s">
        <v>1000</v>
      </c>
      <c r="G2915" t="s">
        <v>6932</v>
      </c>
      <c r="H2915">
        <v>5</v>
      </c>
      <c r="I2915">
        <f>VLOOKUP(B2915,BRAND!B:D,3,FALSE)</f>
        <v>5.5</v>
      </c>
      <c r="J2915">
        <v>6</v>
      </c>
      <c r="M2915">
        <v>1</v>
      </c>
    </row>
    <row r="2916" spans="1:13">
      <c r="A2916" t="s">
        <v>8146</v>
      </c>
      <c r="B2916" t="s">
        <v>8147</v>
      </c>
      <c r="C2916" s="34" t="s">
        <v>8148</v>
      </c>
      <c r="F2916" t="s">
        <v>8148</v>
      </c>
      <c r="G2916" t="s">
        <v>6932</v>
      </c>
      <c r="H2916">
        <v>5</v>
      </c>
      <c r="I2916">
        <f>VLOOKUP(B2916,BRAND!B:D,3,FALSE)</f>
        <v>5.5</v>
      </c>
      <c r="J2916">
        <v>4</v>
      </c>
      <c r="L2916">
        <v>1</v>
      </c>
      <c r="M2916">
        <v>1</v>
      </c>
    </row>
    <row r="2917" spans="1:13">
      <c r="A2917" t="s">
        <v>8157</v>
      </c>
      <c r="B2917" t="s">
        <v>8147</v>
      </c>
      <c r="C2917" s="34" t="s">
        <v>8158</v>
      </c>
      <c r="F2917" t="s">
        <v>8158</v>
      </c>
      <c r="G2917" t="s">
        <v>6932</v>
      </c>
      <c r="H2917">
        <v>5</v>
      </c>
      <c r="I2917">
        <f>VLOOKUP(B2917,BRAND!B:D,3,FALSE)</f>
        <v>5.5</v>
      </c>
      <c r="J2917">
        <v>4</v>
      </c>
      <c r="M2917">
        <v>1</v>
      </c>
    </row>
    <row r="2918" spans="1:13">
      <c r="A2918" t="s">
        <v>8149</v>
      </c>
      <c r="B2918" t="s">
        <v>8147</v>
      </c>
      <c r="C2918" s="34" t="s">
        <v>561</v>
      </c>
      <c r="F2918" t="s">
        <v>561</v>
      </c>
      <c r="G2918" t="s">
        <v>6932</v>
      </c>
      <c r="H2918">
        <v>5</v>
      </c>
      <c r="I2918">
        <f>VLOOKUP(B2918,BRAND!B:D,3,FALSE)</f>
        <v>5.5</v>
      </c>
      <c r="J2918">
        <v>3</v>
      </c>
      <c r="M2918">
        <v>1</v>
      </c>
    </row>
    <row r="2919" spans="1:13">
      <c r="A2919" t="s">
        <v>8156</v>
      </c>
      <c r="B2919" t="s">
        <v>8147</v>
      </c>
      <c r="C2919" s="34" t="s">
        <v>786</v>
      </c>
      <c r="F2919" t="s">
        <v>786</v>
      </c>
      <c r="G2919" t="s">
        <v>6932</v>
      </c>
      <c r="H2919">
        <v>5</v>
      </c>
      <c r="I2919">
        <f>VLOOKUP(B2919,BRAND!B:D,3,FALSE)</f>
        <v>5.5</v>
      </c>
      <c r="J2919">
        <v>3</v>
      </c>
      <c r="M2919">
        <v>1</v>
      </c>
    </row>
    <row r="2920" spans="1:13">
      <c r="A2920" t="s">
        <v>8155</v>
      </c>
      <c r="B2920" t="s">
        <v>8147</v>
      </c>
      <c r="C2920" s="34" t="s">
        <v>775</v>
      </c>
      <c r="F2920" t="s">
        <v>775</v>
      </c>
      <c r="G2920" t="s">
        <v>6932</v>
      </c>
      <c r="H2920">
        <v>5</v>
      </c>
      <c r="I2920">
        <f>VLOOKUP(B2920,BRAND!B:D,3,FALSE)</f>
        <v>5.5</v>
      </c>
      <c r="J2920">
        <v>3</v>
      </c>
      <c r="M2920">
        <v>1</v>
      </c>
    </row>
    <row r="2921" spans="1:13">
      <c r="A2921" t="s">
        <v>3587</v>
      </c>
      <c r="B2921" t="s">
        <v>258</v>
      </c>
      <c r="C2921" s="34" t="s">
        <v>772</v>
      </c>
      <c r="F2921" t="s">
        <v>772</v>
      </c>
      <c r="H2921">
        <v>5</v>
      </c>
      <c r="I2921">
        <f>VLOOKUP(B2921,BRAND!B:D,3,FALSE)</f>
        <v>3</v>
      </c>
      <c r="J2921">
        <v>6</v>
      </c>
      <c r="K2921" t="s">
        <v>821</v>
      </c>
      <c r="M2921">
        <v>1</v>
      </c>
    </row>
    <row r="2922" spans="1:13">
      <c r="A2922" t="s">
        <v>4035</v>
      </c>
      <c r="B2922" t="s">
        <v>258</v>
      </c>
      <c r="C2922" s="34" t="s">
        <v>534</v>
      </c>
      <c r="F2922" t="s">
        <v>534</v>
      </c>
      <c r="H2922">
        <v>5</v>
      </c>
      <c r="I2922">
        <f>VLOOKUP(B2922,BRAND!B:D,3,FALSE)</f>
        <v>3</v>
      </c>
      <c r="J2922">
        <v>6</v>
      </c>
      <c r="K2922" t="s">
        <v>821</v>
      </c>
      <c r="M2922">
        <v>1</v>
      </c>
    </row>
    <row r="2923" spans="1:13">
      <c r="A2923" t="s">
        <v>2836</v>
      </c>
      <c r="B2923" t="s">
        <v>258</v>
      </c>
      <c r="C2923" s="34" t="s">
        <v>842</v>
      </c>
      <c r="F2923" t="s">
        <v>842</v>
      </c>
      <c r="H2923">
        <v>5</v>
      </c>
      <c r="I2923">
        <f>VLOOKUP(B2923,BRAND!B:D,3,FALSE)</f>
        <v>3</v>
      </c>
      <c r="J2923">
        <v>5</v>
      </c>
      <c r="K2923" t="s">
        <v>821</v>
      </c>
      <c r="M2923">
        <v>0</v>
      </c>
    </row>
    <row r="2924" spans="1:13">
      <c r="A2924" t="s">
        <v>3553</v>
      </c>
      <c r="B2924" t="s">
        <v>258</v>
      </c>
      <c r="C2924" s="34" t="s">
        <v>5232</v>
      </c>
      <c r="F2924" t="s">
        <v>536</v>
      </c>
      <c r="H2924">
        <v>5</v>
      </c>
      <c r="I2924">
        <f>VLOOKUP(B2924,BRAND!B:D,3,FALSE)</f>
        <v>3</v>
      </c>
      <c r="J2924">
        <v>5</v>
      </c>
      <c r="K2924" t="s">
        <v>821</v>
      </c>
      <c r="M2924">
        <v>1</v>
      </c>
    </row>
    <row r="2925" spans="1:13">
      <c r="A2925" t="s">
        <v>5494</v>
      </c>
      <c r="B2925" t="s">
        <v>258</v>
      </c>
      <c r="C2925" s="34" t="s">
        <v>10262</v>
      </c>
      <c r="F2925" t="s">
        <v>748</v>
      </c>
      <c r="G2925" s="9"/>
      <c r="H2925">
        <v>5</v>
      </c>
      <c r="I2925">
        <f>VLOOKUP(B2925,BRAND!B:D,3,FALSE)</f>
        <v>3</v>
      </c>
      <c r="J2925">
        <v>5</v>
      </c>
      <c r="K2925" t="s">
        <v>821</v>
      </c>
      <c r="M2925">
        <v>1</v>
      </c>
    </row>
    <row r="2926" spans="1:13">
      <c r="A2926" t="s">
        <v>8160</v>
      </c>
      <c r="B2926" t="s">
        <v>258</v>
      </c>
      <c r="C2926" s="34" t="s">
        <v>872</v>
      </c>
      <c r="F2926" t="s">
        <v>872</v>
      </c>
      <c r="G2926" t="s">
        <v>6932</v>
      </c>
      <c r="H2926">
        <v>5</v>
      </c>
      <c r="I2926">
        <f>VLOOKUP(B2926,BRAND!B:D,3,FALSE)</f>
        <v>3</v>
      </c>
      <c r="J2926">
        <v>5</v>
      </c>
      <c r="M2926">
        <v>1</v>
      </c>
    </row>
    <row r="2927" spans="1:13">
      <c r="A2927" t="s">
        <v>8161</v>
      </c>
      <c r="B2927" t="s">
        <v>258</v>
      </c>
      <c r="C2927" s="34" t="s">
        <v>775</v>
      </c>
      <c r="F2927" t="s">
        <v>775</v>
      </c>
      <c r="G2927" t="s">
        <v>6932</v>
      </c>
      <c r="H2927">
        <v>5</v>
      </c>
      <c r="I2927">
        <f>VLOOKUP(B2927,BRAND!B:D,3,FALSE)</f>
        <v>3</v>
      </c>
      <c r="J2927">
        <v>3</v>
      </c>
      <c r="M2927">
        <v>1</v>
      </c>
    </row>
    <row r="2928" spans="1:13">
      <c r="A2928" t="s">
        <v>8159</v>
      </c>
      <c r="B2928" t="s">
        <v>258</v>
      </c>
      <c r="C2928" s="34" t="s">
        <v>786</v>
      </c>
      <c r="F2928" t="s">
        <v>786</v>
      </c>
      <c r="G2928" t="s">
        <v>6932</v>
      </c>
      <c r="H2928">
        <v>5</v>
      </c>
      <c r="I2928">
        <f>VLOOKUP(B2928,BRAND!B:D,3,FALSE)</f>
        <v>3</v>
      </c>
      <c r="J2928">
        <v>3</v>
      </c>
      <c r="M2928">
        <v>1</v>
      </c>
    </row>
    <row r="2929" spans="1:13">
      <c r="A2929" t="s">
        <v>2105</v>
      </c>
      <c r="B2929" t="s">
        <v>258</v>
      </c>
      <c r="C2929" s="34" t="s">
        <v>1438</v>
      </c>
      <c r="F2929" t="s">
        <v>1438</v>
      </c>
      <c r="H2929">
        <v>15</v>
      </c>
      <c r="I2929">
        <f>VLOOKUP(B2929,BRAND!B:D,3,FALSE)</f>
        <v>3</v>
      </c>
      <c r="J2929">
        <v>4</v>
      </c>
      <c r="K2929" t="s">
        <v>821</v>
      </c>
      <c r="M2929">
        <v>1</v>
      </c>
    </row>
    <row r="2930" spans="1:13">
      <c r="A2930" t="s">
        <v>10183</v>
      </c>
      <c r="B2930" t="s">
        <v>5351</v>
      </c>
      <c r="C2930" s="34" t="s">
        <v>1438</v>
      </c>
      <c r="F2930" t="s">
        <v>1438</v>
      </c>
      <c r="H2930">
        <v>5</v>
      </c>
      <c r="I2930">
        <f>VLOOKUP(B2930,BRAND!B:D,3,FALSE)</f>
        <v>5</v>
      </c>
      <c r="J2930">
        <v>3</v>
      </c>
      <c r="L2930">
        <v>1</v>
      </c>
      <c r="M2930">
        <v>1</v>
      </c>
    </row>
    <row r="2931" spans="1:13">
      <c r="A2931" t="s">
        <v>9658</v>
      </c>
      <c r="B2931" t="s">
        <v>59</v>
      </c>
      <c r="C2931" s="34" t="s">
        <v>1513</v>
      </c>
      <c r="F2931" t="s">
        <v>1513</v>
      </c>
      <c r="G2931" t="s">
        <v>801</v>
      </c>
      <c r="H2931">
        <v>5</v>
      </c>
      <c r="I2931">
        <f>VLOOKUP(B2931,BRAND!B:D,3,FALSE)</f>
        <v>3</v>
      </c>
      <c r="J2931">
        <v>5</v>
      </c>
      <c r="M2931">
        <v>1</v>
      </c>
    </row>
    <row r="2932" spans="1:13">
      <c r="A2932" t="s">
        <v>4959</v>
      </c>
      <c r="B2932" t="s">
        <v>59</v>
      </c>
      <c r="C2932" s="34" t="s">
        <v>1438</v>
      </c>
      <c r="F2932" t="s">
        <v>1438</v>
      </c>
      <c r="G2932" t="s">
        <v>801</v>
      </c>
      <c r="H2932">
        <v>6</v>
      </c>
      <c r="I2932">
        <f>VLOOKUP(B2932,BRAND!B:D,3,FALSE)</f>
        <v>3</v>
      </c>
      <c r="J2932">
        <v>4</v>
      </c>
      <c r="K2932" t="s">
        <v>821</v>
      </c>
      <c r="M2932">
        <v>1</v>
      </c>
    </row>
    <row r="2933" spans="1:13">
      <c r="A2933" t="s">
        <v>2295</v>
      </c>
      <c r="B2933" t="s">
        <v>59</v>
      </c>
      <c r="C2933" s="34" t="s">
        <v>1438</v>
      </c>
      <c r="F2933" t="s">
        <v>1438</v>
      </c>
      <c r="H2933">
        <v>15</v>
      </c>
      <c r="I2933">
        <f>VLOOKUP(B2933,BRAND!B:D,3,FALSE)</f>
        <v>3</v>
      </c>
      <c r="J2933">
        <v>4</v>
      </c>
      <c r="K2933" t="s">
        <v>821</v>
      </c>
      <c r="M2933">
        <v>0</v>
      </c>
    </row>
    <row r="2934" spans="1:13">
      <c r="A2934" t="s">
        <v>9659</v>
      </c>
      <c r="B2934" t="s">
        <v>682</v>
      </c>
      <c r="C2934" s="34" t="s">
        <v>840</v>
      </c>
      <c r="F2934" t="s">
        <v>840</v>
      </c>
      <c r="G2934" t="s">
        <v>6932</v>
      </c>
      <c r="H2934">
        <v>5</v>
      </c>
      <c r="I2934">
        <f>VLOOKUP(B2934,BRAND!B:D,3,FALSE)</f>
        <v>3</v>
      </c>
      <c r="J2934">
        <v>9</v>
      </c>
      <c r="M2934">
        <v>1</v>
      </c>
    </row>
    <row r="2935" spans="1:13">
      <c r="A2935" t="s">
        <v>9450</v>
      </c>
      <c r="B2935" t="s">
        <v>682</v>
      </c>
      <c r="C2935" s="34" t="s">
        <v>1438</v>
      </c>
      <c r="F2935" t="s">
        <v>1438</v>
      </c>
      <c r="G2935" t="s">
        <v>6932</v>
      </c>
      <c r="H2935">
        <v>5</v>
      </c>
      <c r="I2935">
        <f>VLOOKUP(B2935,BRAND!B:D,3,FALSE)</f>
        <v>3</v>
      </c>
      <c r="J2935">
        <v>4</v>
      </c>
      <c r="M2935">
        <v>0</v>
      </c>
    </row>
    <row r="2936" spans="1:13">
      <c r="A2936" t="s">
        <v>2155</v>
      </c>
      <c r="B2936" t="s">
        <v>682</v>
      </c>
      <c r="C2936" s="34" t="s">
        <v>1438</v>
      </c>
      <c r="F2936" t="s">
        <v>1438</v>
      </c>
      <c r="H2936">
        <v>15</v>
      </c>
      <c r="I2936">
        <f>VLOOKUP(B2936,BRAND!B:D,3,FALSE)</f>
        <v>3</v>
      </c>
      <c r="J2936">
        <v>4</v>
      </c>
      <c r="K2936" t="s">
        <v>821</v>
      </c>
      <c r="M2936">
        <v>1</v>
      </c>
    </row>
    <row r="2937" spans="1:13">
      <c r="A2937" t="s">
        <v>2643</v>
      </c>
      <c r="B2937" t="s">
        <v>1777</v>
      </c>
      <c r="C2937" s="34" t="s">
        <v>1438</v>
      </c>
      <c r="F2937" t="s">
        <v>1438</v>
      </c>
      <c r="H2937">
        <v>15</v>
      </c>
      <c r="I2937">
        <f>VLOOKUP(B2937,BRAND!B:D,3,FALSE)</f>
        <v>3</v>
      </c>
      <c r="J2937">
        <v>4</v>
      </c>
      <c r="K2937" t="s">
        <v>821</v>
      </c>
      <c r="M2937">
        <v>0</v>
      </c>
    </row>
    <row r="2938" spans="1:13">
      <c r="A2938" t="s">
        <v>2944</v>
      </c>
      <c r="B2938" t="s">
        <v>683</v>
      </c>
      <c r="C2938" s="34" t="s">
        <v>946</v>
      </c>
      <c r="F2938" t="s">
        <v>946</v>
      </c>
      <c r="H2938">
        <v>5</v>
      </c>
      <c r="I2938">
        <f>VLOOKUP(B2938,BRAND!B:D,3,FALSE)</f>
        <v>3</v>
      </c>
      <c r="J2938">
        <v>6</v>
      </c>
      <c r="K2938" t="s">
        <v>821</v>
      </c>
      <c r="M2938">
        <v>0</v>
      </c>
    </row>
    <row r="2939" spans="1:13">
      <c r="A2939" t="s">
        <v>3569</v>
      </c>
      <c r="B2939" t="s">
        <v>683</v>
      </c>
      <c r="C2939" s="34" t="s">
        <v>536</v>
      </c>
      <c r="F2939" t="s">
        <v>536</v>
      </c>
      <c r="H2939">
        <v>5</v>
      </c>
      <c r="I2939">
        <f>VLOOKUP(B2939,BRAND!B:D,3,FALSE)</f>
        <v>3</v>
      </c>
      <c r="J2939">
        <v>5</v>
      </c>
      <c r="K2939" t="s">
        <v>821</v>
      </c>
      <c r="M2939">
        <v>0</v>
      </c>
    </row>
    <row r="2940" spans="1:13">
      <c r="A2940" t="s">
        <v>3570</v>
      </c>
      <c r="B2940" t="s">
        <v>683</v>
      </c>
      <c r="C2940" s="34" t="s">
        <v>842</v>
      </c>
      <c r="F2940" t="s">
        <v>842</v>
      </c>
      <c r="H2940">
        <v>5</v>
      </c>
      <c r="I2940">
        <f>VLOOKUP(B2940,BRAND!B:D,3,FALSE)</f>
        <v>3</v>
      </c>
      <c r="J2940">
        <v>5</v>
      </c>
      <c r="K2940" t="s">
        <v>821</v>
      </c>
      <c r="M2940">
        <v>0</v>
      </c>
    </row>
    <row r="2941" spans="1:13">
      <c r="A2941" t="s">
        <v>2664</v>
      </c>
      <c r="B2941" t="s">
        <v>683</v>
      </c>
      <c r="C2941" s="34" t="s">
        <v>1438</v>
      </c>
      <c r="F2941" t="s">
        <v>1438</v>
      </c>
      <c r="H2941">
        <v>15</v>
      </c>
      <c r="I2941">
        <f>VLOOKUP(B2941,BRAND!B:D,3,FALSE)</f>
        <v>3</v>
      </c>
      <c r="J2941">
        <v>4</v>
      </c>
      <c r="K2941" t="s">
        <v>821</v>
      </c>
      <c r="M2941">
        <v>1</v>
      </c>
    </row>
    <row r="2942" spans="1:13">
      <c r="A2942" t="s">
        <v>4417</v>
      </c>
      <c r="B2942" t="s">
        <v>1815</v>
      </c>
      <c r="C2942" s="34" t="s">
        <v>783</v>
      </c>
      <c r="F2942" t="s">
        <v>783</v>
      </c>
      <c r="H2942">
        <v>5</v>
      </c>
      <c r="I2942">
        <f>VLOOKUP(B2942,BRAND!B:D,3,FALSE)</f>
        <v>3</v>
      </c>
      <c r="J2942">
        <f>LEN(F2942)</f>
        <v>10</v>
      </c>
      <c r="K2942" t="s">
        <v>821</v>
      </c>
      <c r="M2942">
        <v>0</v>
      </c>
    </row>
    <row r="2943" spans="1:13">
      <c r="A2943" t="s">
        <v>2772</v>
      </c>
      <c r="B2943" t="s">
        <v>1815</v>
      </c>
      <c r="C2943" s="34" t="s">
        <v>1438</v>
      </c>
      <c r="F2943" t="s">
        <v>1438</v>
      </c>
      <c r="H2943">
        <v>15</v>
      </c>
      <c r="I2943">
        <f>VLOOKUP(B2943,BRAND!B:D,3,FALSE)</f>
        <v>3</v>
      </c>
      <c r="J2943">
        <v>4</v>
      </c>
      <c r="K2943" t="s">
        <v>821</v>
      </c>
      <c r="M2943">
        <v>0</v>
      </c>
    </row>
    <row r="2944" spans="1:13">
      <c r="A2944" t="s">
        <v>8162</v>
      </c>
      <c r="B2944" t="s">
        <v>646</v>
      </c>
      <c r="C2944" s="34" t="s">
        <v>1438</v>
      </c>
      <c r="F2944" t="s">
        <v>1438</v>
      </c>
      <c r="G2944" t="s">
        <v>6932</v>
      </c>
      <c r="H2944">
        <v>5</v>
      </c>
      <c r="I2944">
        <f>VLOOKUP(B2944,BRAND!B:D,3,FALSE)</f>
        <v>3</v>
      </c>
      <c r="J2944">
        <v>4</v>
      </c>
      <c r="M2944">
        <v>0</v>
      </c>
    </row>
    <row r="2945" spans="1:13">
      <c r="A2945" t="s">
        <v>9660</v>
      </c>
      <c r="B2945" t="s">
        <v>646</v>
      </c>
      <c r="C2945" s="34">
        <v>6</v>
      </c>
      <c r="F2945">
        <v>6</v>
      </c>
      <c r="H2945">
        <v>5</v>
      </c>
      <c r="I2945">
        <f>VLOOKUP(B2945,BRAND!B:D,3,FALSE)</f>
        <v>3</v>
      </c>
      <c r="J2945">
        <v>1</v>
      </c>
      <c r="M2945">
        <v>1</v>
      </c>
    </row>
    <row r="2946" spans="1:13">
      <c r="A2946" t="s">
        <v>9661</v>
      </c>
      <c r="B2946" t="s">
        <v>646</v>
      </c>
      <c r="C2946" s="34" t="s">
        <v>771</v>
      </c>
      <c r="F2946" t="s">
        <v>771</v>
      </c>
      <c r="G2946" t="s">
        <v>6932</v>
      </c>
      <c r="H2946">
        <v>5</v>
      </c>
      <c r="I2946">
        <f>VLOOKUP(B2946,BRAND!B:D,3,FALSE)</f>
        <v>3</v>
      </c>
      <c r="J2946">
        <v>1</v>
      </c>
      <c r="M2946">
        <v>1</v>
      </c>
    </row>
    <row r="2947" spans="1:13">
      <c r="A2947" t="s">
        <v>2965</v>
      </c>
      <c r="B2947" t="s">
        <v>646</v>
      </c>
      <c r="C2947" s="34" t="s">
        <v>1438</v>
      </c>
      <c r="F2947" t="s">
        <v>1438</v>
      </c>
      <c r="H2947">
        <v>15</v>
      </c>
      <c r="I2947">
        <f>VLOOKUP(B2947,BRAND!B:D,3,FALSE)</f>
        <v>3</v>
      </c>
      <c r="J2947">
        <v>4</v>
      </c>
      <c r="K2947" t="s">
        <v>821</v>
      </c>
      <c r="M2947">
        <v>0</v>
      </c>
    </row>
    <row r="2948" spans="1:13">
      <c r="A2948" t="s">
        <v>2303</v>
      </c>
      <c r="B2948" t="s">
        <v>978</v>
      </c>
      <c r="C2948" s="34" t="s">
        <v>535</v>
      </c>
      <c r="F2948" t="s">
        <v>535</v>
      </c>
      <c r="H2948">
        <v>5</v>
      </c>
      <c r="I2948">
        <f>VLOOKUP(B2948,BRAND!B:D,3,FALSE)</f>
        <v>3</v>
      </c>
      <c r="J2948">
        <v>6</v>
      </c>
      <c r="K2948" t="s">
        <v>821</v>
      </c>
      <c r="M2948">
        <v>1</v>
      </c>
    </row>
    <row r="2949" spans="1:13">
      <c r="A2949" t="s">
        <v>3056</v>
      </c>
      <c r="B2949" t="s">
        <v>541</v>
      </c>
      <c r="C2949" s="34" t="s">
        <v>1438</v>
      </c>
      <c r="F2949" t="s">
        <v>1438</v>
      </c>
      <c r="H2949">
        <v>15</v>
      </c>
      <c r="I2949">
        <f>VLOOKUP(B2949,BRAND!B:D,3,FALSE)</f>
        <v>3</v>
      </c>
      <c r="J2949">
        <v>4</v>
      </c>
      <c r="K2949" t="s">
        <v>821</v>
      </c>
      <c r="M2949">
        <v>1</v>
      </c>
    </row>
    <row r="2950" spans="1:13">
      <c r="A2950" t="s">
        <v>4741</v>
      </c>
      <c r="B2950" t="s">
        <v>1257</v>
      </c>
      <c r="C2950" s="34" t="s">
        <v>773</v>
      </c>
      <c r="F2950" t="s">
        <v>773</v>
      </c>
      <c r="H2950">
        <v>5</v>
      </c>
      <c r="I2950">
        <f>VLOOKUP(B2950,BRAND!B:D,3,FALSE)</f>
        <v>3</v>
      </c>
      <c r="J2950">
        <v>4</v>
      </c>
      <c r="K2950" t="s">
        <v>821</v>
      </c>
      <c r="M2950">
        <v>0</v>
      </c>
    </row>
    <row r="2951" spans="1:13">
      <c r="A2951" t="s">
        <v>3050</v>
      </c>
      <c r="B2951" t="s">
        <v>1257</v>
      </c>
      <c r="C2951" s="34" t="s">
        <v>561</v>
      </c>
      <c r="F2951" t="s">
        <v>561</v>
      </c>
      <c r="H2951">
        <v>5</v>
      </c>
      <c r="I2951">
        <f>VLOOKUP(B2951,BRAND!B:D,3,FALSE)</f>
        <v>3</v>
      </c>
      <c r="J2951">
        <v>3</v>
      </c>
      <c r="K2951" t="s">
        <v>821</v>
      </c>
      <c r="M2951">
        <v>0</v>
      </c>
    </row>
    <row r="2952" spans="1:13">
      <c r="A2952" t="s">
        <v>2729</v>
      </c>
      <c r="B2952" t="s">
        <v>1257</v>
      </c>
      <c r="C2952" s="34" t="s">
        <v>1438</v>
      </c>
      <c r="F2952" t="s">
        <v>1438</v>
      </c>
      <c r="H2952">
        <v>15</v>
      </c>
      <c r="I2952">
        <f>VLOOKUP(B2952,BRAND!B:D,3,FALSE)</f>
        <v>3</v>
      </c>
      <c r="J2952">
        <v>4</v>
      </c>
      <c r="K2952" t="s">
        <v>821</v>
      </c>
      <c r="M2952">
        <v>0</v>
      </c>
    </row>
    <row r="2953" spans="1:13">
      <c r="A2953" t="s">
        <v>8163</v>
      </c>
      <c r="B2953" t="s">
        <v>8164</v>
      </c>
      <c r="C2953" s="34" t="s">
        <v>1438</v>
      </c>
      <c r="F2953" t="s">
        <v>1438</v>
      </c>
      <c r="G2953" t="s">
        <v>6932</v>
      </c>
      <c r="H2953">
        <v>5</v>
      </c>
      <c r="I2953">
        <f>VLOOKUP(B2953,BRAND!B:D,3,FALSE)</f>
        <v>5.5</v>
      </c>
      <c r="J2953">
        <v>4</v>
      </c>
      <c r="M2953">
        <v>1</v>
      </c>
    </row>
    <row r="2954" spans="1:13">
      <c r="A2954" t="s">
        <v>8165</v>
      </c>
      <c r="B2954" t="s">
        <v>8166</v>
      </c>
      <c r="C2954" s="34" t="s">
        <v>8167</v>
      </c>
      <c r="F2954" t="s">
        <v>8167</v>
      </c>
      <c r="G2954" t="s">
        <v>6932</v>
      </c>
      <c r="H2954">
        <v>5</v>
      </c>
      <c r="I2954">
        <f>VLOOKUP(B2954,BRAND!B:D,3,FALSE)</f>
        <v>5.5</v>
      </c>
      <c r="J2954">
        <v>7</v>
      </c>
      <c r="M2954">
        <v>1</v>
      </c>
    </row>
    <row r="2955" spans="1:13">
      <c r="A2955" t="s">
        <v>8168</v>
      </c>
      <c r="B2955" t="s">
        <v>8166</v>
      </c>
      <c r="C2955" s="34" t="s">
        <v>786</v>
      </c>
      <c r="F2955" t="s">
        <v>786</v>
      </c>
      <c r="G2955" t="s">
        <v>6932</v>
      </c>
      <c r="H2955">
        <v>5</v>
      </c>
      <c r="I2955">
        <f>VLOOKUP(B2955,BRAND!B:D,3,FALSE)</f>
        <v>5.5</v>
      </c>
      <c r="J2955">
        <v>3</v>
      </c>
      <c r="M2955">
        <v>1</v>
      </c>
    </row>
    <row r="2956" spans="1:13">
      <c r="A2956" t="s">
        <v>6849</v>
      </c>
      <c r="B2956" t="s">
        <v>6839</v>
      </c>
      <c r="C2956" s="34" t="s">
        <v>877</v>
      </c>
      <c r="F2956" t="s">
        <v>877</v>
      </c>
      <c r="H2956">
        <v>5</v>
      </c>
      <c r="I2956">
        <f>VLOOKUP(B2956,BRAND!B:D,3,FALSE)</f>
        <v>5</v>
      </c>
      <c r="J2956">
        <f>LEN(F2956)</f>
        <v>12</v>
      </c>
      <c r="M2956">
        <v>1</v>
      </c>
    </row>
    <row r="2957" spans="1:13">
      <c r="A2957" t="s">
        <v>6841</v>
      </c>
      <c r="B2957" t="s">
        <v>6839</v>
      </c>
      <c r="C2957" s="34" t="s">
        <v>1965</v>
      </c>
      <c r="F2957" t="s">
        <v>1965</v>
      </c>
      <c r="H2957">
        <v>5</v>
      </c>
      <c r="I2957">
        <f>VLOOKUP(B2957,BRAND!B:D,3,FALSE)</f>
        <v>5</v>
      </c>
      <c r="J2957">
        <f>LEN(F2957)</f>
        <v>10</v>
      </c>
      <c r="M2957">
        <v>1</v>
      </c>
    </row>
    <row r="2958" spans="1:13">
      <c r="A2958" t="s">
        <v>6842</v>
      </c>
      <c r="B2958" t="s">
        <v>6839</v>
      </c>
      <c r="C2958" s="34" t="s">
        <v>6843</v>
      </c>
      <c r="F2958" t="s">
        <v>6843</v>
      </c>
      <c r="H2958">
        <v>5</v>
      </c>
      <c r="I2958">
        <f>VLOOKUP(B2958,BRAND!B:D,3,FALSE)</f>
        <v>5</v>
      </c>
      <c r="J2958">
        <f>LEN(F2958)</f>
        <v>10</v>
      </c>
      <c r="M2958">
        <v>1</v>
      </c>
    </row>
    <row r="2959" spans="1:13">
      <c r="A2959" t="s">
        <v>6848</v>
      </c>
      <c r="B2959" t="s">
        <v>6839</v>
      </c>
      <c r="C2959" s="34" t="s">
        <v>746</v>
      </c>
      <c r="F2959" t="s">
        <v>746</v>
      </c>
      <c r="H2959">
        <v>5</v>
      </c>
      <c r="I2959">
        <f>VLOOKUP(B2959,BRAND!B:D,3,FALSE)</f>
        <v>5</v>
      </c>
      <c r="J2959">
        <v>6</v>
      </c>
      <c r="M2959">
        <v>1</v>
      </c>
    </row>
    <row r="2960" spans="1:13">
      <c r="A2960" t="s">
        <v>6838</v>
      </c>
      <c r="B2960" t="s">
        <v>6839</v>
      </c>
      <c r="C2960" s="34" t="s">
        <v>5381</v>
      </c>
      <c r="F2960" t="s">
        <v>995</v>
      </c>
      <c r="H2960">
        <v>5</v>
      </c>
      <c r="I2960">
        <f>VLOOKUP(B2960,BRAND!B:D,3,FALSE)</f>
        <v>5</v>
      </c>
      <c r="J2960">
        <v>6</v>
      </c>
      <c r="L2960">
        <v>1</v>
      </c>
      <c r="M2960">
        <v>1</v>
      </c>
    </row>
    <row r="2961" spans="1:13">
      <c r="A2961" t="s">
        <v>6840</v>
      </c>
      <c r="B2961" t="s">
        <v>6839</v>
      </c>
      <c r="C2961" s="34" t="s">
        <v>1513</v>
      </c>
      <c r="F2961" t="s">
        <v>1513</v>
      </c>
      <c r="H2961">
        <v>5</v>
      </c>
      <c r="I2961">
        <f>VLOOKUP(B2961,BRAND!B:D,3,FALSE)</f>
        <v>5</v>
      </c>
      <c r="J2961">
        <v>5</v>
      </c>
      <c r="M2961">
        <v>1</v>
      </c>
    </row>
    <row r="2962" spans="1:13">
      <c r="A2962" t="s">
        <v>6847</v>
      </c>
      <c r="B2962" t="s">
        <v>6839</v>
      </c>
      <c r="C2962" s="34" t="s">
        <v>195</v>
      </c>
      <c r="F2962" t="s">
        <v>195</v>
      </c>
      <c r="H2962">
        <v>5</v>
      </c>
      <c r="I2962">
        <f>VLOOKUP(B2962,BRAND!B:D,3,FALSE)</f>
        <v>5</v>
      </c>
      <c r="J2962">
        <v>5</v>
      </c>
      <c r="M2962">
        <v>1</v>
      </c>
    </row>
    <row r="2963" spans="1:13">
      <c r="A2963" t="s">
        <v>6850</v>
      </c>
      <c r="B2963" t="s">
        <v>6839</v>
      </c>
      <c r="C2963" s="34" t="s">
        <v>1466</v>
      </c>
      <c r="F2963" t="s">
        <v>1466</v>
      </c>
      <c r="H2963">
        <v>5</v>
      </c>
      <c r="I2963">
        <f>VLOOKUP(B2963,BRAND!B:D,3,FALSE)</f>
        <v>5</v>
      </c>
      <c r="J2963">
        <v>4</v>
      </c>
      <c r="M2963">
        <v>1</v>
      </c>
    </row>
    <row r="2964" spans="1:13">
      <c r="A2964" t="s">
        <v>6844</v>
      </c>
      <c r="B2964" t="s">
        <v>6839</v>
      </c>
      <c r="C2964" s="34" t="s">
        <v>6845</v>
      </c>
      <c r="F2964" t="s">
        <v>6846</v>
      </c>
      <c r="H2964">
        <v>6</v>
      </c>
      <c r="I2964">
        <f>VLOOKUP(B2964,BRAND!B:D,3,FALSE)</f>
        <v>5</v>
      </c>
      <c r="J2964">
        <f>LEN(F2964)</f>
        <v>15</v>
      </c>
      <c r="M2964">
        <v>1</v>
      </c>
    </row>
    <row r="2965" spans="1:13">
      <c r="A2965" t="s">
        <v>8176</v>
      </c>
      <c r="B2965" t="s">
        <v>259</v>
      </c>
      <c r="C2965" s="34" t="s">
        <v>8177</v>
      </c>
      <c r="F2965" t="s">
        <v>8177</v>
      </c>
      <c r="G2965" t="s">
        <v>6932</v>
      </c>
      <c r="H2965">
        <v>5</v>
      </c>
      <c r="I2965">
        <f>VLOOKUP(B2965,BRAND!B:D,3,FALSE)</f>
        <v>3</v>
      </c>
      <c r="J2965">
        <f>LEN(F2965)</f>
        <v>12</v>
      </c>
      <c r="M2965">
        <v>1</v>
      </c>
    </row>
    <row r="2966" spans="1:13">
      <c r="A2966" t="s">
        <v>8173</v>
      </c>
      <c r="B2966" t="s">
        <v>259</v>
      </c>
      <c r="C2966" s="34" t="s">
        <v>8174</v>
      </c>
      <c r="F2966" t="s">
        <v>8174</v>
      </c>
      <c r="G2966" t="s">
        <v>6932</v>
      </c>
      <c r="H2966">
        <v>5</v>
      </c>
      <c r="I2966">
        <f>VLOOKUP(B2966,BRAND!B:D,3,FALSE)</f>
        <v>3</v>
      </c>
      <c r="J2966">
        <f>LEN(F2966)</f>
        <v>11</v>
      </c>
      <c r="M2966">
        <v>1</v>
      </c>
    </row>
    <row r="2967" spans="1:13">
      <c r="A2967" t="s">
        <v>8175</v>
      </c>
      <c r="B2967" t="s">
        <v>259</v>
      </c>
      <c r="C2967" s="34" t="s">
        <v>1019</v>
      </c>
      <c r="F2967" t="s">
        <v>1019</v>
      </c>
      <c r="G2967" t="s">
        <v>6932</v>
      </c>
      <c r="H2967">
        <v>5</v>
      </c>
      <c r="I2967">
        <f>VLOOKUP(B2967,BRAND!B:D,3,FALSE)</f>
        <v>3</v>
      </c>
      <c r="J2967">
        <v>9</v>
      </c>
      <c r="M2967">
        <v>0</v>
      </c>
    </row>
    <row r="2968" spans="1:13">
      <c r="A2968" t="s">
        <v>4036</v>
      </c>
      <c r="B2968" t="s">
        <v>259</v>
      </c>
      <c r="C2968" s="34" t="s">
        <v>6943</v>
      </c>
      <c r="F2968" t="s">
        <v>1019</v>
      </c>
      <c r="H2968">
        <v>5</v>
      </c>
      <c r="I2968">
        <f>VLOOKUP(B2968,BRAND!B:D,3,FALSE)</f>
        <v>3</v>
      </c>
      <c r="J2968">
        <v>9</v>
      </c>
      <c r="K2968" t="s">
        <v>821</v>
      </c>
      <c r="M2968">
        <v>1</v>
      </c>
    </row>
    <row r="2969" spans="1:13">
      <c r="A2969" t="s">
        <v>8178</v>
      </c>
      <c r="B2969" t="s">
        <v>259</v>
      </c>
      <c r="C2969" s="34" t="s">
        <v>8179</v>
      </c>
      <c r="F2969" t="s">
        <v>8179</v>
      </c>
      <c r="G2969" t="s">
        <v>6932</v>
      </c>
      <c r="H2969">
        <v>5</v>
      </c>
      <c r="I2969">
        <f>VLOOKUP(B2969,BRAND!B:D,3,FALSE)</f>
        <v>3</v>
      </c>
      <c r="J2969">
        <v>8</v>
      </c>
      <c r="M2969">
        <v>1</v>
      </c>
    </row>
    <row r="2970" spans="1:13">
      <c r="A2970" t="s">
        <v>8169</v>
      </c>
      <c r="B2970" t="s">
        <v>259</v>
      </c>
      <c r="C2970" s="34" t="s">
        <v>8170</v>
      </c>
      <c r="F2970" t="s">
        <v>8170</v>
      </c>
      <c r="G2970" t="s">
        <v>6932</v>
      </c>
      <c r="H2970">
        <v>5</v>
      </c>
      <c r="I2970">
        <f>VLOOKUP(B2970,BRAND!B:D,3,FALSE)</f>
        <v>3</v>
      </c>
      <c r="J2970">
        <v>8</v>
      </c>
      <c r="M2970">
        <v>1</v>
      </c>
    </row>
    <row r="2971" spans="1:13">
      <c r="A2971" t="s">
        <v>8171</v>
      </c>
      <c r="B2971" t="s">
        <v>259</v>
      </c>
      <c r="C2971" s="34" t="s">
        <v>8172</v>
      </c>
      <c r="F2971" t="s">
        <v>8172</v>
      </c>
      <c r="G2971" t="s">
        <v>6932</v>
      </c>
      <c r="H2971">
        <v>5</v>
      </c>
      <c r="I2971">
        <f>VLOOKUP(B2971,BRAND!B:D,3,FALSE)</f>
        <v>3</v>
      </c>
      <c r="J2971">
        <v>8</v>
      </c>
      <c r="M2971">
        <v>1</v>
      </c>
    </row>
    <row r="2972" spans="1:13">
      <c r="A2972" t="s">
        <v>3780</v>
      </c>
      <c r="B2972" t="s">
        <v>259</v>
      </c>
      <c r="C2972" s="34" t="s">
        <v>996</v>
      </c>
      <c r="F2972" t="s">
        <v>996</v>
      </c>
      <c r="H2972">
        <v>5</v>
      </c>
      <c r="I2972">
        <f>VLOOKUP(B2972,BRAND!B:D,3,FALSE)</f>
        <v>3</v>
      </c>
      <c r="J2972">
        <v>6</v>
      </c>
      <c r="K2972" t="s">
        <v>821</v>
      </c>
      <c r="M2972">
        <v>0</v>
      </c>
    </row>
    <row r="2973" spans="1:13">
      <c r="A2973" t="s">
        <v>2593</v>
      </c>
      <c r="B2973" t="s">
        <v>259</v>
      </c>
      <c r="C2973" s="34" t="s">
        <v>742</v>
      </c>
      <c r="F2973" t="s">
        <v>742</v>
      </c>
      <c r="H2973">
        <v>5</v>
      </c>
      <c r="I2973">
        <f>VLOOKUP(B2973,BRAND!B:D,3,FALSE)</f>
        <v>3</v>
      </c>
      <c r="J2973">
        <v>6</v>
      </c>
      <c r="K2973" t="s">
        <v>821</v>
      </c>
      <c r="M2973">
        <v>1</v>
      </c>
    </row>
    <row r="2974" spans="1:13">
      <c r="A2974" t="s">
        <v>2267</v>
      </c>
      <c r="B2974" t="s">
        <v>259</v>
      </c>
      <c r="C2974" s="34" t="s">
        <v>772</v>
      </c>
      <c r="F2974" t="s">
        <v>772</v>
      </c>
      <c r="H2974">
        <v>5</v>
      </c>
      <c r="I2974">
        <f>VLOOKUP(B2974,BRAND!B:D,3,FALSE)</f>
        <v>3</v>
      </c>
      <c r="J2974">
        <v>6</v>
      </c>
      <c r="K2974" t="s">
        <v>821</v>
      </c>
      <c r="M2974">
        <v>1</v>
      </c>
    </row>
    <row r="2975" spans="1:13">
      <c r="A2975" t="s">
        <v>2472</v>
      </c>
      <c r="B2975" t="s">
        <v>259</v>
      </c>
      <c r="C2975" s="34" t="s">
        <v>536</v>
      </c>
      <c r="F2975" t="s">
        <v>536</v>
      </c>
      <c r="H2975">
        <v>5</v>
      </c>
      <c r="I2975">
        <f>VLOOKUP(B2975,BRAND!B:D,3,FALSE)</f>
        <v>3</v>
      </c>
      <c r="J2975">
        <v>5</v>
      </c>
      <c r="K2975" t="s">
        <v>821</v>
      </c>
      <c r="M2975">
        <v>0</v>
      </c>
    </row>
    <row r="2976" spans="1:13">
      <c r="A2976" t="s">
        <v>3231</v>
      </c>
      <c r="B2976" t="s">
        <v>259</v>
      </c>
      <c r="C2976" s="34" t="s">
        <v>776</v>
      </c>
      <c r="F2976" t="s">
        <v>776</v>
      </c>
      <c r="H2976">
        <v>5</v>
      </c>
      <c r="I2976">
        <f>VLOOKUP(B2976,BRAND!B:D,3,FALSE)</f>
        <v>3</v>
      </c>
      <c r="J2976">
        <v>5</v>
      </c>
      <c r="K2976" t="s">
        <v>821</v>
      </c>
      <c r="M2976">
        <v>0</v>
      </c>
    </row>
    <row r="2977" spans="1:13">
      <c r="A2977" t="s">
        <v>4921</v>
      </c>
      <c r="B2977" t="s">
        <v>259</v>
      </c>
      <c r="C2977" s="34" t="s">
        <v>1438</v>
      </c>
      <c r="F2977" t="s">
        <v>1438</v>
      </c>
      <c r="G2977" t="s">
        <v>801</v>
      </c>
      <c r="H2977">
        <v>5</v>
      </c>
      <c r="I2977">
        <f>VLOOKUP(B2977,BRAND!B:D,3,FALSE)</f>
        <v>3</v>
      </c>
      <c r="J2977">
        <v>4</v>
      </c>
      <c r="M2977">
        <v>1</v>
      </c>
    </row>
    <row r="2978" spans="1:13">
      <c r="A2978" t="s">
        <v>12586</v>
      </c>
      <c r="B2978" t="s">
        <v>259</v>
      </c>
      <c r="C2978" s="34" t="s">
        <v>6361</v>
      </c>
      <c r="F2978" t="s">
        <v>6361</v>
      </c>
      <c r="G2978" t="s">
        <v>6932</v>
      </c>
      <c r="H2978">
        <v>5</v>
      </c>
    </row>
    <row r="2979" spans="1:13">
      <c r="A2979" t="s">
        <v>12587</v>
      </c>
      <c r="B2979" t="s">
        <v>259</v>
      </c>
      <c r="C2979" s="34" t="s">
        <v>10745</v>
      </c>
      <c r="F2979" t="s">
        <v>10745</v>
      </c>
      <c r="G2979" t="s">
        <v>6932</v>
      </c>
      <c r="H2979">
        <v>5</v>
      </c>
    </row>
    <row r="2980" spans="1:13">
      <c r="A2980" t="s">
        <v>13630</v>
      </c>
      <c r="B2980" t="s">
        <v>259</v>
      </c>
      <c r="C2980" s="34" t="s">
        <v>996</v>
      </c>
      <c r="F2980" t="s">
        <v>996</v>
      </c>
      <c r="G2980" t="s">
        <v>801</v>
      </c>
      <c r="H2980">
        <v>5</v>
      </c>
    </row>
    <row r="2981" spans="1:13">
      <c r="A2981" t="s">
        <v>8178</v>
      </c>
      <c r="B2981" t="s">
        <v>259</v>
      </c>
      <c r="C2981" s="34" t="s">
        <v>8179</v>
      </c>
      <c r="F2981" t="s">
        <v>8179</v>
      </c>
      <c r="G2981" t="s">
        <v>6932</v>
      </c>
      <c r="H2981">
        <v>5</v>
      </c>
    </row>
    <row r="2982" spans="1:13">
      <c r="A2982" t="s">
        <v>12588</v>
      </c>
      <c r="B2982" t="s">
        <v>259</v>
      </c>
      <c r="C2982" s="34" t="s">
        <v>11039</v>
      </c>
      <c r="F2982" t="s">
        <v>11039</v>
      </c>
      <c r="G2982" t="s">
        <v>6932</v>
      </c>
      <c r="H2982">
        <v>5</v>
      </c>
    </row>
    <row r="2983" spans="1:13">
      <c r="A2983" t="s">
        <v>8171</v>
      </c>
      <c r="B2983" t="s">
        <v>259</v>
      </c>
      <c r="C2983" s="34" t="s">
        <v>8172</v>
      </c>
      <c r="F2983" t="s">
        <v>8172</v>
      </c>
      <c r="G2983" t="s">
        <v>6932</v>
      </c>
      <c r="H2983">
        <v>5</v>
      </c>
    </row>
    <row r="2984" spans="1:13">
      <c r="A2984" t="s">
        <v>12589</v>
      </c>
      <c r="B2984" t="s">
        <v>259</v>
      </c>
      <c r="C2984" s="34" t="s">
        <v>819</v>
      </c>
      <c r="F2984" t="s">
        <v>819</v>
      </c>
      <c r="G2984" t="s">
        <v>6932</v>
      </c>
      <c r="H2984">
        <v>5</v>
      </c>
    </row>
    <row r="2985" spans="1:13">
      <c r="A2985" t="s">
        <v>8169</v>
      </c>
      <c r="B2985" t="s">
        <v>259</v>
      </c>
      <c r="C2985" s="34" t="s">
        <v>8170</v>
      </c>
      <c r="F2985" t="s">
        <v>8170</v>
      </c>
      <c r="G2985" t="s">
        <v>6932</v>
      </c>
      <c r="H2985">
        <v>5</v>
      </c>
    </row>
    <row r="2986" spans="1:13">
      <c r="A2986" t="s">
        <v>8176</v>
      </c>
      <c r="B2986" t="s">
        <v>259</v>
      </c>
      <c r="C2986" s="34" t="s">
        <v>12590</v>
      </c>
      <c r="F2986" t="s">
        <v>8177</v>
      </c>
      <c r="G2986" t="s">
        <v>6932</v>
      </c>
      <c r="H2986">
        <v>5</v>
      </c>
    </row>
    <row r="2987" spans="1:13">
      <c r="A2987" t="s">
        <v>12591</v>
      </c>
      <c r="B2987" t="s">
        <v>259</v>
      </c>
      <c r="C2987" s="34" t="s">
        <v>742</v>
      </c>
      <c r="F2987" t="s">
        <v>742</v>
      </c>
      <c r="G2987" t="s">
        <v>6932</v>
      </c>
      <c r="H2987">
        <v>5</v>
      </c>
    </row>
    <row r="2988" spans="1:13">
      <c r="A2988" t="s">
        <v>13631</v>
      </c>
      <c r="B2988" t="s">
        <v>259</v>
      </c>
      <c r="C2988" s="34" t="s">
        <v>742</v>
      </c>
      <c r="F2988" t="s">
        <v>742</v>
      </c>
      <c r="G2988" t="s">
        <v>801</v>
      </c>
      <c r="H2988">
        <v>5</v>
      </c>
    </row>
    <row r="2989" spans="1:13">
      <c r="A2989" t="s">
        <v>13632</v>
      </c>
      <c r="B2989" t="s">
        <v>259</v>
      </c>
      <c r="C2989" s="34" t="s">
        <v>12592</v>
      </c>
      <c r="F2989" t="s">
        <v>12592</v>
      </c>
      <c r="G2989" t="s">
        <v>801</v>
      </c>
      <c r="H2989">
        <v>5</v>
      </c>
    </row>
    <row r="2990" spans="1:13">
      <c r="A2990" t="s">
        <v>12593</v>
      </c>
      <c r="B2990" t="s">
        <v>259</v>
      </c>
      <c r="C2990" s="34" t="s">
        <v>12594</v>
      </c>
      <c r="F2990" t="s">
        <v>12594</v>
      </c>
      <c r="G2990" t="s">
        <v>6932</v>
      </c>
      <c r="H2990">
        <v>5</v>
      </c>
    </row>
    <row r="2991" spans="1:13">
      <c r="A2991" t="s">
        <v>13633</v>
      </c>
      <c r="B2991" t="s">
        <v>259</v>
      </c>
      <c r="C2991" s="34" t="s">
        <v>819</v>
      </c>
      <c r="F2991" t="s">
        <v>819</v>
      </c>
      <c r="G2991" t="s">
        <v>801</v>
      </c>
      <c r="H2991">
        <v>5</v>
      </c>
    </row>
    <row r="2992" spans="1:13">
      <c r="A2992" t="s">
        <v>12595</v>
      </c>
      <c r="B2992" t="s">
        <v>259</v>
      </c>
      <c r="C2992" s="34" t="s">
        <v>11732</v>
      </c>
      <c r="F2992" t="s">
        <v>996</v>
      </c>
      <c r="G2992" t="s">
        <v>6932</v>
      </c>
      <c r="H2992">
        <v>5</v>
      </c>
    </row>
    <row r="2993" spans="1:13">
      <c r="A2993" t="s">
        <v>12596</v>
      </c>
      <c r="B2993" t="s">
        <v>259</v>
      </c>
      <c r="C2993" s="34" t="s">
        <v>12597</v>
      </c>
      <c r="F2993" t="s">
        <v>12598</v>
      </c>
      <c r="G2993" t="s">
        <v>6932</v>
      </c>
      <c r="H2993">
        <v>5</v>
      </c>
    </row>
    <row r="2994" spans="1:13">
      <c r="A2994" t="s">
        <v>5015</v>
      </c>
      <c r="B2994" t="s">
        <v>259</v>
      </c>
      <c r="C2994" s="34" t="s">
        <v>1513</v>
      </c>
      <c r="F2994" t="s">
        <v>1513</v>
      </c>
      <c r="G2994" t="s">
        <v>801</v>
      </c>
      <c r="H2994">
        <v>6</v>
      </c>
      <c r="I2994">
        <f>VLOOKUP(B2994,BRAND!B:D,3,FALSE)</f>
        <v>3</v>
      </c>
      <c r="J2994">
        <v>5</v>
      </c>
      <c r="K2994" t="s">
        <v>821</v>
      </c>
      <c r="M2994">
        <v>0</v>
      </c>
    </row>
    <row r="2995" spans="1:13">
      <c r="A2995" t="s">
        <v>4921</v>
      </c>
      <c r="B2995" t="s">
        <v>259</v>
      </c>
      <c r="C2995" s="34" t="s">
        <v>1438</v>
      </c>
      <c r="F2995" t="s">
        <v>1438</v>
      </c>
      <c r="G2995" t="s">
        <v>801</v>
      </c>
      <c r="H2995">
        <v>6</v>
      </c>
      <c r="I2995">
        <f>VLOOKUP(B2995,BRAND!B:D,3,FALSE)</f>
        <v>3</v>
      </c>
      <c r="J2995">
        <v>4</v>
      </c>
      <c r="K2995" t="s">
        <v>821</v>
      </c>
      <c r="M2995">
        <v>1</v>
      </c>
    </row>
    <row r="2996" spans="1:13">
      <c r="A2996" t="s">
        <v>15192</v>
      </c>
      <c r="B2996" t="s">
        <v>15193</v>
      </c>
      <c r="C2996" s="34" t="s">
        <v>15193</v>
      </c>
      <c r="F2996" t="s">
        <v>15193</v>
      </c>
      <c r="G2996" t="s">
        <v>6932</v>
      </c>
      <c r="H2996">
        <v>5</v>
      </c>
      <c r="I2996">
        <f>VLOOKUP(B2996,BRAND!B:D,3,FALSE)</f>
        <v>5</v>
      </c>
      <c r="J2996">
        <v>0</v>
      </c>
      <c r="K2996" t="s">
        <v>821</v>
      </c>
      <c r="L2996">
        <v>0</v>
      </c>
      <c r="M2996">
        <v>0</v>
      </c>
    </row>
    <row r="2997" spans="1:13">
      <c r="A2997" t="s">
        <v>2794</v>
      </c>
      <c r="B2997" t="s">
        <v>1160</v>
      </c>
      <c r="C2997" s="34" t="s">
        <v>1438</v>
      </c>
      <c r="F2997" t="s">
        <v>1438</v>
      </c>
      <c r="H2997">
        <v>15</v>
      </c>
      <c r="I2997">
        <f>VLOOKUP(B2997,BRAND!B:D,3,FALSE)</f>
        <v>3</v>
      </c>
      <c r="J2997">
        <v>4</v>
      </c>
      <c r="K2997" t="s">
        <v>821</v>
      </c>
      <c r="M2997">
        <v>0</v>
      </c>
    </row>
    <row r="2998" spans="1:13">
      <c r="A2998" t="s">
        <v>4088</v>
      </c>
      <c r="B2998" t="s">
        <v>1464</v>
      </c>
      <c r="C2998" s="34" t="s">
        <v>1476</v>
      </c>
      <c r="F2998" t="s">
        <v>1476</v>
      </c>
      <c r="H2998">
        <v>5</v>
      </c>
      <c r="I2998">
        <f>VLOOKUP(B2998,BRAND!B:D,3,FALSE)</f>
        <v>11</v>
      </c>
      <c r="J2998">
        <f>LEN(F2998)</f>
        <v>11</v>
      </c>
      <c r="K2998" t="s">
        <v>821</v>
      </c>
      <c r="M2998">
        <v>0</v>
      </c>
    </row>
    <row r="2999" spans="1:13">
      <c r="A2999" t="s">
        <v>4580</v>
      </c>
      <c r="B2999" t="s">
        <v>1464</v>
      </c>
      <c r="C2999" s="34" t="s">
        <v>1965</v>
      </c>
      <c r="F2999" t="s">
        <v>1965</v>
      </c>
      <c r="H2999">
        <v>5</v>
      </c>
      <c r="I2999">
        <f>VLOOKUP(B2999,BRAND!B:D,3,FALSE)</f>
        <v>11</v>
      </c>
      <c r="J2999">
        <f>LEN(F2999)</f>
        <v>10</v>
      </c>
      <c r="K2999" t="s">
        <v>821</v>
      </c>
      <c r="M2999">
        <v>0</v>
      </c>
    </row>
    <row r="3000" spans="1:13">
      <c r="A3000" t="s">
        <v>1675</v>
      </c>
      <c r="B3000" t="s">
        <v>1464</v>
      </c>
      <c r="C3000" s="34" t="s">
        <v>746</v>
      </c>
      <c r="F3000" t="s">
        <v>746</v>
      </c>
      <c r="H3000">
        <v>5</v>
      </c>
      <c r="I3000">
        <f>VLOOKUP(B3000,BRAND!B:D,3,FALSE)</f>
        <v>11</v>
      </c>
      <c r="J3000">
        <v>6</v>
      </c>
      <c r="K3000" t="s">
        <v>821</v>
      </c>
      <c r="M3000">
        <v>0</v>
      </c>
    </row>
    <row r="3001" spans="1:13">
      <c r="A3001" t="s">
        <v>1748</v>
      </c>
      <c r="B3001" t="s">
        <v>1464</v>
      </c>
      <c r="C3001" s="34" t="s">
        <v>995</v>
      </c>
      <c r="F3001" t="s">
        <v>995</v>
      </c>
      <c r="H3001">
        <v>5</v>
      </c>
      <c r="I3001">
        <f>VLOOKUP(B3001,BRAND!B:D,3,FALSE)</f>
        <v>11</v>
      </c>
      <c r="J3001">
        <v>6</v>
      </c>
      <c r="K3001" t="s">
        <v>821</v>
      </c>
      <c r="M3001">
        <v>0</v>
      </c>
    </row>
    <row r="3002" spans="1:13">
      <c r="A3002" t="s">
        <v>1591</v>
      </c>
      <c r="B3002" t="s">
        <v>1464</v>
      </c>
      <c r="C3002" s="34" t="s">
        <v>1438</v>
      </c>
      <c r="F3002" t="s">
        <v>1438</v>
      </c>
      <c r="H3002">
        <v>15</v>
      </c>
      <c r="I3002">
        <f>VLOOKUP(B3002,BRAND!B:D,3,FALSE)</f>
        <v>11</v>
      </c>
      <c r="J3002">
        <v>4</v>
      </c>
      <c r="K3002" t="s">
        <v>821</v>
      </c>
      <c r="M3002">
        <v>0</v>
      </c>
    </row>
    <row r="3003" spans="1:13">
      <c r="A3003" t="s">
        <v>8182</v>
      </c>
      <c r="B3003" t="s">
        <v>8181</v>
      </c>
      <c r="C3003" s="34" t="s">
        <v>7890</v>
      </c>
      <c r="F3003" t="s">
        <v>7890</v>
      </c>
      <c r="G3003" t="s">
        <v>6932</v>
      </c>
      <c r="H3003">
        <v>5</v>
      </c>
      <c r="I3003">
        <f>VLOOKUP(B3003,BRAND!B:D,3,FALSE)</f>
        <v>5.5</v>
      </c>
      <c r="J3003">
        <v>9</v>
      </c>
      <c r="M3003">
        <v>1</v>
      </c>
    </row>
    <row r="3004" spans="1:13">
      <c r="A3004" t="s">
        <v>8180</v>
      </c>
      <c r="B3004" t="s">
        <v>8181</v>
      </c>
      <c r="C3004" s="34" t="s">
        <v>751</v>
      </c>
      <c r="F3004" t="s">
        <v>751</v>
      </c>
      <c r="G3004" t="s">
        <v>6932</v>
      </c>
      <c r="H3004">
        <v>5</v>
      </c>
      <c r="I3004">
        <f>VLOOKUP(B3004,BRAND!B:D,3,FALSE)</f>
        <v>5.5</v>
      </c>
      <c r="J3004">
        <v>5</v>
      </c>
      <c r="M3004">
        <v>1</v>
      </c>
    </row>
    <row r="3005" spans="1:13">
      <c r="A3005" t="s">
        <v>8183</v>
      </c>
      <c r="B3005" t="s">
        <v>8181</v>
      </c>
      <c r="C3005" s="34" t="s">
        <v>8184</v>
      </c>
      <c r="F3005" t="s">
        <v>8184</v>
      </c>
      <c r="G3005" t="s">
        <v>6932</v>
      </c>
      <c r="H3005">
        <v>5</v>
      </c>
      <c r="I3005">
        <f>VLOOKUP(B3005,BRAND!B:D,3,FALSE)</f>
        <v>5.5</v>
      </c>
      <c r="J3005">
        <v>3</v>
      </c>
      <c r="M3005">
        <v>1</v>
      </c>
    </row>
    <row r="3006" spans="1:13">
      <c r="A3006" t="s">
        <v>3505</v>
      </c>
      <c r="B3006" t="s">
        <v>61</v>
      </c>
      <c r="C3006" s="34" t="s">
        <v>5374</v>
      </c>
      <c r="F3006" t="s">
        <v>777</v>
      </c>
      <c r="H3006">
        <v>5</v>
      </c>
      <c r="I3006">
        <f>VLOOKUP(B3006,BRAND!B:D,3,FALSE)</f>
        <v>3</v>
      </c>
      <c r="J3006">
        <v>7</v>
      </c>
      <c r="K3006" t="s">
        <v>821</v>
      </c>
      <c r="M3006">
        <v>1</v>
      </c>
    </row>
    <row r="3007" spans="1:13">
      <c r="A3007" t="s">
        <v>9662</v>
      </c>
      <c r="B3007" t="s">
        <v>61</v>
      </c>
      <c r="C3007" s="34" t="s">
        <v>534</v>
      </c>
      <c r="F3007" t="s">
        <v>534</v>
      </c>
      <c r="H3007">
        <v>5</v>
      </c>
      <c r="I3007">
        <f>VLOOKUP(B3007,BRAND!B:D,3,FALSE)</f>
        <v>3</v>
      </c>
      <c r="J3007">
        <v>6</v>
      </c>
      <c r="M3007">
        <v>1</v>
      </c>
    </row>
    <row r="3008" spans="1:13">
      <c r="A3008" t="s">
        <v>4865</v>
      </c>
      <c r="B3008" t="s">
        <v>61</v>
      </c>
      <c r="C3008" s="34" t="s">
        <v>536</v>
      </c>
      <c r="F3008" t="s">
        <v>536</v>
      </c>
      <c r="H3008">
        <v>5</v>
      </c>
      <c r="I3008">
        <f>VLOOKUP(B3008,BRAND!B:D,3,FALSE)</f>
        <v>3</v>
      </c>
      <c r="J3008">
        <v>5</v>
      </c>
      <c r="K3008" t="s">
        <v>821</v>
      </c>
      <c r="M3008">
        <v>0</v>
      </c>
    </row>
    <row r="3009" spans="1:13">
      <c r="A3009" t="s">
        <v>4940</v>
      </c>
      <c r="B3009" t="s">
        <v>61</v>
      </c>
      <c r="C3009" s="34" t="s">
        <v>6492</v>
      </c>
      <c r="F3009" t="s">
        <v>1438</v>
      </c>
      <c r="G3009" t="s">
        <v>801</v>
      </c>
      <c r="H3009">
        <v>6</v>
      </c>
      <c r="I3009">
        <f>VLOOKUP(B3009,BRAND!B:D,3,FALSE)</f>
        <v>3</v>
      </c>
      <c r="J3009">
        <v>4</v>
      </c>
      <c r="K3009" t="s">
        <v>821</v>
      </c>
      <c r="M3009">
        <v>1</v>
      </c>
    </row>
    <row r="3010" spans="1:13">
      <c r="A3010" t="s">
        <v>8185</v>
      </c>
      <c r="B3010" t="s">
        <v>979</v>
      </c>
      <c r="C3010" s="34" t="s">
        <v>1438</v>
      </c>
      <c r="F3010" t="s">
        <v>1438</v>
      </c>
      <c r="G3010" t="s">
        <v>6932</v>
      </c>
      <c r="H3010">
        <v>5</v>
      </c>
      <c r="I3010">
        <f>VLOOKUP(B3010,BRAND!B:D,3,FALSE)</f>
        <v>5.5</v>
      </c>
      <c r="J3010">
        <v>4</v>
      </c>
      <c r="M3010">
        <v>1</v>
      </c>
    </row>
    <row r="3011" spans="1:13">
      <c r="A3011" t="s">
        <v>3292</v>
      </c>
      <c r="B3011" t="s">
        <v>647</v>
      </c>
      <c r="C3011" s="34" t="s">
        <v>1438</v>
      </c>
      <c r="F3011" t="s">
        <v>1438</v>
      </c>
      <c r="H3011">
        <v>15</v>
      </c>
      <c r="I3011">
        <f>VLOOKUP(B3011,BRAND!B:D,3,FALSE)</f>
        <v>3</v>
      </c>
      <c r="J3011">
        <v>4</v>
      </c>
      <c r="K3011" t="s">
        <v>821</v>
      </c>
      <c r="M3011">
        <v>1</v>
      </c>
    </row>
    <row r="3012" spans="1:13">
      <c r="A3012" t="s">
        <v>4783</v>
      </c>
      <c r="B3012" t="s">
        <v>484</v>
      </c>
      <c r="C3012" s="34" t="s">
        <v>783</v>
      </c>
      <c r="F3012" t="s">
        <v>783</v>
      </c>
      <c r="H3012">
        <v>5</v>
      </c>
      <c r="I3012">
        <f>VLOOKUP(B3012,BRAND!B:D,3,FALSE)</f>
        <v>3</v>
      </c>
      <c r="J3012">
        <f>LEN(F3012)</f>
        <v>10</v>
      </c>
      <c r="K3012" t="s">
        <v>821</v>
      </c>
      <c r="M3012">
        <v>0</v>
      </c>
    </row>
    <row r="3013" spans="1:13">
      <c r="A3013" t="s">
        <v>10077</v>
      </c>
      <c r="B3013" t="s">
        <v>484</v>
      </c>
      <c r="C3013" s="34" t="s">
        <v>1438</v>
      </c>
      <c r="F3013" t="s">
        <v>1438</v>
      </c>
      <c r="H3013">
        <v>5</v>
      </c>
      <c r="I3013">
        <f>VLOOKUP(B3013,BRAND!B:D,3,FALSE)</f>
        <v>3</v>
      </c>
      <c r="J3013">
        <v>4</v>
      </c>
      <c r="M3013">
        <v>0</v>
      </c>
    </row>
    <row r="3014" spans="1:13">
      <c r="A3014" t="s">
        <v>2984</v>
      </c>
      <c r="B3014" t="s">
        <v>484</v>
      </c>
      <c r="C3014" s="34" t="s">
        <v>1438</v>
      </c>
      <c r="F3014" t="s">
        <v>1438</v>
      </c>
      <c r="H3014">
        <v>15</v>
      </c>
      <c r="I3014">
        <f>VLOOKUP(B3014,BRAND!B:D,3,FALSE)</f>
        <v>3</v>
      </c>
      <c r="J3014">
        <v>4</v>
      </c>
      <c r="K3014" t="s">
        <v>821</v>
      </c>
      <c r="M3014">
        <v>1</v>
      </c>
    </row>
    <row r="3015" spans="1:13">
      <c r="A3015" t="s">
        <v>7840</v>
      </c>
      <c r="B3015" t="s">
        <v>7841</v>
      </c>
      <c r="C3015" s="34" t="s">
        <v>1438</v>
      </c>
      <c r="F3015" t="s">
        <v>1438</v>
      </c>
      <c r="G3015" t="s">
        <v>6932</v>
      </c>
      <c r="H3015">
        <v>5</v>
      </c>
      <c r="I3015">
        <f>VLOOKUP(B3015,BRAND!B:D,3,FALSE)</f>
        <v>5.5</v>
      </c>
      <c r="J3015">
        <v>4</v>
      </c>
      <c r="M3015">
        <v>1</v>
      </c>
    </row>
    <row r="3016" spans="1:13">
      <c r="A3016" t="s">
        <v>10499</v>
      </c>
      <c r="B3016" t="s">
        <v>64</v>
      </c>
      <c r="C3016" s="34" t="s">
        <v>5190</v>
      </c>
      <c r="F3016" t="s">
        <v>5190</v>
      </c>
      <c r="G3016" t="s">
        <v>6932</v>
      </c>
      <c r="H3016">
        <v>5</v>
      </c>
      <c r="I3016">
        <f>VLOOKUP(B3016,BRAND!B:D,3,FALSE)</f>
        <v>3</v>
      </c>
      <c r="J3016">
        <f>LEN(F3016)</f>
        <v>5</v>
      </c>
      <c r="L3016">
        <v>0</v>
      </c>
    </row>
    <row r="3017" spans="1:13">
      <c r="A3017" t="s">
        <v>1665</v>
      </c>
      <c r="B3017" t="s">
        <v>64</v>
      </c>
      <c r="C3017" s="34" t="s">
        <v>1513</v>
      </c>
      <c r="F3017" t="s">
        <v>1513</v>
      </c>
      <c r="H3017">
        <v>5</v>
      </c>
      <c r="I3017">
        <f>VLOOKUP(B3017,BRAND!B:D,3,FALSE)</f>
        <v>3</v>
      </c>
      <c r="J3017">
        <v>5</v>
      </c>
      <c r="K3017" t="s">
        <v>821</v>
      </c>
      <c r="M3017">
        <v>0</v>
      </c>
    </row>
    <row r="3018" spans="1:13">
      <c r="A3018" t="s">
        <v>1614</v>
      </c>
      <c r="B3018" t="s">
        <v>64</v>
      </c>
      <c r="C3018" s="34" t="s">
        <v>1438</v>
      </c>
      <c r="F3018" t="s">
        <v>1438</v>
      </c>
      <c r="H3018">
        <v>15</v>
      </c>
      <c r="I3018">
        <f>VLOOKUP(B3018,BRAND!B:D,3,FALSE)</f>
        <v>3</v>
      </c>
      <c r="J3018">
        <v>4</v>
      </c>
      <c r="K3018" t="s">
        <v>821</v>
      </c>
      <c r="M3018">
        <v>0</v>
      </c>
    </row>
    <row r="3019" spans="1:13">
      <c r="A3019" t="s">
        <v>9664</v>
      </c>
      <c r="B3019" t="s">
        <v>471</v>
      </c>
      <c r="C3019" s="34" t="s">
        <v>534</v>
      </c>
      <c r="F3019" t="s">
        <v>534</v>
      </c>
      <c r="G3019" t="s">
        <v>6932</v>
      </c>
      <c r="H3019">
        <v>5</v>
      </c>
      <c r="I3019">
        <f>VLOOKUP(B3019,BRAND!B:D,3,FALSE)</f>
        <v>3</v>
      </c>
      <c r="J3019">
        <v>6</v>
      </c>
      <c r="M3019">
        <v>1</v>
      </c>
    </row>
    <row r="3020" spans="1:13">
      <c r="A3020" t="s">
        <v>9663</v>
      </c>
      <c r="B3020" t="s">
        <v>471</v>
      </c>
      <c r="C3020" s="34" t="s">
        <v>561</v>
      </c>
      <c r="F3020" t="s">
        <v>561</v>
      </c>
      <c r="G3020" t="s">
        <v>6932</v>
      </c>
      <c r="H3020">
        <v>5</v>
      </c>
      <c r="I3020">
        <f>VLOOKUP(B3020,BRAND!B:D,3,FALSE)</f>
        <v>3</v>
      </c>
      <c r="J3020">
        <v>3</v>
      </c>
      <c r="M3020">
        <v>1</v>
      </c>
    </row>
    <row r="3021" spans="1:13">
      <c r="A3021" t="s">
        <v>2047</v>
      </c>
      <c r="B3021" t="s">
        <v>1081</v>
      </c>
      <c r="C3021" s="34" t="s">
        <v>1438</v>
      </c>
      <c r="F3021" t="s">
        <v>1438</v>
      </c>
      <c r="H3021">
        <v>15</v>
      </c>
      <c r="I3021">
        <f>VLOOKUP(B3021,BRAND!B:D,3,FALSE)</f>
        <v>3</v>
      </c>
      <c r="J3021">
        <v>4</v>
      </c>
      <c r="K3021" t="s">
        <v>821</v>
      </c>
      <c r="M3021">
        <v>0</v>
      </c>
    </row>
    <row r="3022" spans="1:13">
      <c r="A3022" t="s">
        <v>8186</v>
      </c>
      <c r="B3022" t="s">
        <v>8187</v>
      </c>
      <c r="C3022" s="34" t="s">
        <v>777</v>
      </c>
      <c r="F3022" t="s">
        <v>777</v>
      </c>
      <c r="G3022" t="s">
        <v>6932</v>
      </c>
      <c r="H3022">
        <v>5</v>
      </c>
      <c r="I3022">
        <f>VLOOKUP(B3022,BRAND!B:D,3,FALSE)</f>
        <v>5.5</v>
      </c>
      <c r="J3022">
        <v>7</v>
      </c>
      <c r="M3022">
        <v>1</v>
      </c>
    </row>
    <row r="3023" spans="1:13">
      <c r="A3023" t="s">
        <v>9665</v>
      </c>
      <c r="B3023" t="s">
        <v>1982</v>
      </c>
      <c r="C3023" s="34" t="s">
        <v>777</v>
      </c>
      <c r="F3023" t="s">
        <v>777</v>
      </c>
      <c r="G3023" t="s">
        <v>6932</v>
      </c>
      <c r="H3023">
        <v>5</v>
      </c>
      <c r="I3023">
        <f>VLOOKUP(B3023,BRAND!B:D,3,FALSE)</f>
        <v>5</v>
      </c>
      <c r="J3023">
        <v>7</v>
      </c>
      <c r="L3023">
        <v>1</v>
      </c>
      <c r="M3023">
        <v>1</v>
      </c>
    </row>
    <row r="3024" spans="1:13">
      <c r="A3024" t="s">
        <v>10078</v>
      </c>
      <c r="B3024" t="s">
        <v>1982</v>
      </c>
      <c r="C3024" s="34" t="s">
        <v>1438</v>
      </c>
      <c r="F3024" t="s">
        <v>1438</v>
      </c>
      <c r="H3024">
        <v>5</v>
      </c>
      <c r="I3024">
        <f>VLOOKUP(B3024,BRAND!B:D,3,FALSE)</f>
        <v>5</v>
      </c>
      <c r="J3024">
        <v>4</v>
      </c>
      <c r="M3024">
        <v>0</v>
      </c>
    </row>
    <row r="3025" spans="1:13">
      <c r="A3025" t="s">
        <v>8188</v>
      </c>
      <c r="B3025" t="s">
        <v>8189</v>
      </c>
      <c r="C3025" s="34" t="s">
        <v>8190</v>
      </c>
      <c r="F3025" t="s">
        <v>8190</v>
      </c>
      <c r="G3025" t="s">
        <v>6932</v>
      </c>
      <c r="H3025">
        <v>5</v>
      </c>
      <c r="I3025">
        <f>VLOOKUP(B3025,BRAND!B:D,3,FALSE)</f>
        <v>5.5</v>
      </c>
      <c r="J3025">
        <v>3</v>
      </c>
      <c r="M3025">
        <v>1</v>
      </c>
    </row>
    <row r="3026" spans="1:13">
      <c r="A3026" t="s">
        <v>2038</v>
      </c>
      <c r="B3026" t="s">
        <v>726</v>
      </c>
      <c r="C3026" s="34" t="s">
        <v>1438</v>
      </c>
      <c r="F3026" t="s">
        <v>1438</v>
      </c>
      <c r="H3026">
        <v>15</v>
      </c>
      <c r="I3026">
        <f>VLOOKUP(B3026,BRAND!B:D,3,FALSE)</f>
        <v>3</v>
      </c>
      <c r="J3026">
        <v>4</v>
      </c>
      <c r="K3026" t="s">
        <v>821</v>
      </c>
      <c r="M3026">
        <v>0</v>
      </c>
    </row>
    <row r="3027" spans="1:13">
      <c r="A3027" t="s">
        <v>3632</v>
      </c>
      <c r="B3027" t="s">
        <v>366</v>
      </c>
      <c r="C3027" s="34" t="s">
        <v>6444</v>
      </c>
      <c r="F3027" t="s">
        <v>6444</v>
      </c>
      <c r="H3027">
        <v>5</v>
      </c>
      <c r="I3027">
        <f>VLOOKUP(B3027,BRAND!B:D,3,FALSE)</f>
        <v>3</v>
      </c>
      <c r="J3027">
        <f>LEN(F3027)</f>
        <v>12</v>
      </c>
      <c r="K3027" t="s">
        <v>821</v>
      </c>
      <c r="M3027">
        <v>1</v>
      </c>
    </row>
    <row r="3028" spans="1:13">
      <c r="A3028" t="s">
        <v>2161</v>
      </c>
      <c r="B3028" t="s">
        <v>366</v>
      </c>
      <c r="C3028" s="34" t="s">
        <v>861</v>
      </c>
      <c r="F3028" t="s">
        <v>861</v>
      </c>
      <c r="H3028">
        <v>5</v>
      </c>
      <c r="I3028">
        <f>VLOOKUP(B3028,BRAND!B:D,3,FALSE)</f>
        <v>3</v>
      </c>
      <c r="J3028">
        <f>LEN(F3028)</f>
        <v>11</v>
      </c>
      <c r="K3028" t="s">
        <v>821</v>
      </c>
      <c r="M3028">
        <v>0</v>
      </c>
    </row>
    <row r="3029" spans="1:13">
      <c r="A3029" t="s">
        <v>3632</v>
      </c>
      <c r="B3029" t="s">
        <v>366</v>
      </c>
      <c r="C3029" s="34" t="s">
        <v>862</v>
      </c>
      <c r="F3029" t="s">
        <v>862</v>
      </c>
      <c r="H3029">
        <v>5</v>
      </c>
      <c r="I3029">
        <f>VLOOKUP(B3029,BRAND!B:D,3,FALSE)</f>
        <v>3</v>
      </c>
      <c r="J3029">
        <f>LEN(F3029)</f>
        <v>10</v>
      </c>
      <c r="K3029" t="s">
        <v>821</v>
      </c>
      <c r="M3029">
        <v>1</v>
      </c>
    </row>
    <row r="3030" spans="1:13">
      <c r="A3030" t="s">
        <v>3110</v>
      </c>
      <c r="B3030" t="s">
        <v>366</v>
      </c>
      <c r="C3030" s="34" t="s">
        <v>780</v>
      </c>
      <c r="F3030" t="s">
        <v>780</v>
      </c>
      <c r="H3030">
        <v>5</v>
      </c>
      <c r="I3030">
        <f>VLOOKUP(B3030,BRAND!B:D,3,FALSE)</f>
        <v>3</v>
      </c>
      <c r="J3030">
        <v>6</v>
      </c>
      <c r="K3030" t="s">
        <v>821</v>
      </c>
      <c r="M3030">
        <v>0</v>
      </c>
    </row>
    <row r="3031" spans="1:13">
      <c r="A3031" t="s">
        <v>2997</v>
      </c>
      <c r="B3031" t="s">
        <v>366</v>
      </c>
      <c r="C3031" s="34" t="s">
        <v>535</v>
      </c>
      <c r="F3031" t="s">
        <v>535</v>
      </c>
      <c r="H3031">
        <v>5</v>
      </c>
      <c r="I3031">
        <f>VLOOKUP(B3031,BRAND!B:D,3,FALSE)</f>
        <v>3</v>
      </c>
      <c r="J3031">
        <v>6</v>
      </c>
      <c r="K3031" t="s">
        <v>821</v>
      </c>
      <c r="M3031">
        <v>0</v>
      </c>
    </row>
    <row r="3032" spans="1:13">
      <c r="A3032" t="s">
        <v>2520</v>
      </c>
      <c r="B3032" t="s">
        <v>366</v>
      </c>
      <c r="C3032" s="34" t="s">
        <v>536</v>
      </c>
      <c r="F3032" t="s">
        <v>536</v>
      </c>
      <c r="H3032">
        <v>5</v>
      </c>
      <c r="I3032">
        <f>VLOOKUP(B3032,BRAND!B:D,3,FALSE)</f>
        <v>3</v>
      </c>
      <c r="J3032">
        <v>5</v>
      </c>
      <c r="K3032" t="s">
        <v>821</v>
      </c>
      <c r="M3032">
        <v>0</v>
      </c>
    </row>
    <row r="3033" spans="1:13">
      <c r="A3033" t="s">
        <v>3631</v>
      </c>
      <c r="B3033" t="s">
        <v>366</v>
      </c>
      <c r="C3033" s="34" t="s">
        <v>988</v>
      </c>
      <c r="F3033" t="s">
        <v>988</v>
      </c>
      <c r="H3033">
        <v>5</v>
      </c>
      <c r="I3033">
        <f>VLOOKUP(B3033,BRAND!B:D,3,FALSE)</f>
        <v>3</v>
      </c>
      <c r="J3033">
        <v>4</v>
      </c>
      <c r="K3033" t="s">
        <v>821</v>
      </c>
      <c r="M3033">
        <v>0</v>
      </c>
    </row>
    <row r="3034" spans="1:13">
      <c r="A3034" t="s">
        <v>2351</v>
      </c>
      <c r="B3034" t="s">
        <v>366</v>
      </c>
      <c r="C3034" s="34" t="s">
        <v>1438</v>
      </c>
      <c r="F3034" t="s">
        <v>1438</v>
      </c>
      <c r="H3034">
        <v>15</v>
      </c>
      <c r="I3034">
        <f>VLOOKUP(B3034,BRAND!B:D,3,FALSE)</f>
        <v>3</v>
      </c>
      <c r="J3034">
        <v>4</v>
      </c>
      <c r="K3034" t="s">
        <v>821</v>
      </c>
      <c r="M3034">
        <v>0</v>
      </c>
    </row>
    <row r="3035" spans="1:13">
      <c r="A3035" t="s">
        <v>3422</v>
      </c>
      <c r="B3035" t="s">
        <v>62</v>
      </c>
      <c r="C3035" s="34" t="s">
        <v>5232</v>
      </c>
      <c r="F3035" t="s">
        <v>536</v>
      </c>
      <c r="H3035">
        <v>5</v>
      </c>
      <c r="I3035">
        <f>VLOOKUP(B3035,BRAND!B:D,3,FALSE)</f>
        <v>5</v>
      </c>
      <c r="J3035">
        <v>5</v>
      </c>
      <c r="K3035" t="s">
        <v>821</v>
      </c>
      <c r="M3035">
        <v>1</v>
      </c>
    </row>
    <row r="3036" spans="1:13">
      <c r="A3036" t="s">
        <v>7720</v>
      </c>
      <c r="B3036" t="s">
        <v>7721</v>
      </c>
      <c r="C3036" s="34" t="s">
        <v>1438</v>
      </c>
      <c r="F3036" t="s">
        <v>1438</v>
      </c>
      <c r="G3036" t="s">
        <v>6932</v>
      </c>
      <c r="H3036">
        <v>5</v>
      </c>
      <c r="I3036">
        <f>VLOOKUP(B3036,BRAND!B:D,3,FALSE)</f>
        <v>5.5</v>
      </c>
      <c r="J3036">
        <v>4</v>
      </c>
      <c r="M3036">
        <v>1</v>
      </c>
    </row>
    <row r="3037" spans="1:13">
      <c r="A3037" t="s">
        <v>14500</v>
      </c>
      <c r="B3037" t="s">
        <v>14495</v>
      </c>
      <c r="C3037" s="34" t="s">
        <v>745</v>
      </c>
      <c r="F3037" t="s">
        <v>745</v>
      </c>
      <c r="G3037" t="s">
        <v>6932</v>
      </c>
      <c r="H3037">
        <v>4</v>
      </c>
      <c r="I3037">
        <f>VLOOKUP(B3037,BRAND!B:D,3,FALSE)</f>
        <v>0</v>
      </c>
      <c r="J3037">
        <f t="shared" ref="J3037:J3055" si="36">LEN(F3037)</f>
        <v>5</v>
      </c>
      <c r="K3037" t="s">
        <v>821</v>
      </c>
      <c r="L3037">
        <v>0</v>
      </c>
      <c r="M3037">
        <v>1</v>
      </c>
    </row>
    <row r="3038" spans="1:13">
      <c r="A3038" t="s">
        <v>14501</v>
      </c>
      <c r="B3038" t="s">
        <v>14495</v>
      </c>
      <c r="C3038" s="34" t="s">
        <v>6364</v>
      </c>
      <c r="F3038" t="s">
        <v>6364</v>
      </c>
      <c r="G3038" t="s">
        <v>6932</v>
      </c>
      <c r="H3038">
        <v>5</v>
      </c>
      <c r="I3038">
        <f>VLOOKUP(B3038,BRAND!B:D,3,FALSE)</f>
        <v>0</v>
      </c>
      <c r="J3038">
        <f t="shared" si="36"/>
        <v>6</v>
      </c>
      <c r="K3038" t="s">
        <v>821</v>
      </c>
      <c r="L3038">
        <v>0</v>
      </c>
      <c r="M3038">
        <v>1</v>
      </c>
    </row>
    <row r="3039" spans="1:13">
      <c r="A3039" t="s">
        <v>14499</v>
      </c>
      <c r="B3039" t="s">
        <v>14495</v>
      </c>
      <c r="C3039" s="34" t="s">
        <v>852</v>
      </c>
      <c r="F3039" t="s">
        <v>852</v>
      </c>
      <c r="G3039" t="s">
        <v>6932</v>
      </c>
      <c r="H3039">
        <v>5</v>
      </c>
      <c r="I3039">
        <f>VLOOKUP(B3039,BRAND!B:D,3,FALSE)</f>
        <v>0</v>
      </c>
      <c r="J3039">
        <f t="shared" si="36"/>
        <v>6</v>
      </c>
      <c r="K3039" t="s">
        <v>821</v>
      </c>
      <c r="L3039">
        <v>0</v>
      </c>
      <c r="M3039">
        <v>1</v>
      </c>
    </row>
    <row r="3040" spans="1:13">
      <c r="A3040" t="s">
        <v>14497</v>
      </c>
      <c r="B3040" t="s">
        <v>14495</v>
      </c>
      <c r="C3040" s="34" t="s">
        <v>799</v>
      </c>
      <c r="F3040" t="s">
        <v>799</v>
      </c>
      <c r="G3040" t="s">
        <v>6932</v>
      </c>
      <c r="H3040">
        <v>5</v>
      </c>
      <c r="I3040">
        <f>VLOOKUP(B3040,BRAND!B:D,3,FALSE)</f>
        <v>0</v>
      </c>
      <c r="J3040">
        <f t="shared" si="36"/>
        <v>5</v>
      </c>
      <c r="K3040" t="s">
        <v>821</v>
      </c>
      <c r="L3040">
        <v>0</v>
      </c>
      <c r="M3040">
        <v>1</v>
      </c>
    </row>
    <row r="3041" spans="1:13">
      <c r="A3041" t="s">
        <v>14496</v>
      </c>
      <c r="B3041" t="s">
        <v>14495</v>
      </c>
      <c r="C3041" s="34" t="s">
        <v>536</v>
      </c>
      <c r="F3041" t="s">
        <v>536</v>
      </c>
      <c r="G3041" t="s">
        <v>6932</v>
      </c>
      <c r="H3041">
        <v>5</v>
      </c>
      <c r="I3041">
        <f>VLOOKUP(B3041,BRAND!B:D,3,FALSE)</f>
        <v>0</v>
      </c>
      <c r="J3041">
        <f t="shared" si="36"/>
        <v>5</v>
      </c>
      <c r="K3041" t="s">
        <v>821</v>
      </c>
      <c r="L3041">
        <v>0</v>
      </c>
      <c r="M3041">
        <v>1</v>
      </c>
    </row>
    <row r="3042" spans="1:13">
      <c r="A3042" t="s">
        <v>14498</v>
      </c>
      <c r="B3042" t="s">
        <v>14495</v>
      </c>
      <c r="C3042" s="34" t="s">
        <v>776</v>
      </c>
      <c r="F3042" t="s">
        <v>776</v>
      </c>
      <c r="G3042" t="s">
        <v>6932</v>
      </c>
      <c r="H3042">
        <v>5</v>
      </c>
      <c r="I3042">
        <f>VLOOKUP(B3042,BRAND!B:D,3,FALSE)</f>
        <v>0</v>
      </c>
      <c r="J3042">
        <f t="shared" si="36"/>
        <v>5</v>
      </c>
      <c r="K3042" t="s">
        <v>821</v>
      </c>
      <c r="L3042">
        <v>0</v>
      </c>
      <c r="M3042">
        <v>1</v>
      </c>
    </row>
    <row r="3043" spans="1:13">
      <c r="A3043" t="s">
        <v>14494</v>
      </c>
      <c r="B3043" t="s">
        <v>14495</v>
      </c>
      <c r="C3043" s="34" t="s">
        <v>561</v>
      </c>
      <c r="F3043" t="s">
        <v>561</v>
      </c>
      <c r="G3043" t="s">
        <v>6932</v>
      </c>
      <c r="H3043">
        <v>5</v>
      </c>
      <c r="I3043">
        <f>VLOOKUP(B3043,BRAND!B:D,3,FALSE)</f>
        <v>0</v>
      </c>
      <c r="J3043">
        <f t="shared" si="36"/>
        <v>3</v>
      </c>
      <c r="K3043" t="s">
        <v>821</v>
      </c>
      <c r="L3043">
        <v>0</v>
      </c>
      <c r="M3043">
        <v>1</v>
      </c>
    </row>
    <row r="3044" spans="1:13">
      <c r="A3044" t="s">
        <v>14507</v>
      </c>
      <c r="B3044" t="s">
        <v>14503</v>
      </c>
      <c r="C3044" s="34" t="s">
        <v>14508</v>
      </c>
      <c r="F3044" t="s">
        <v>14508</v>
      </c>
      <c r="G3044" t="s">
        <v>6932</v>
      </c>
      <c r="H3044">
        <v>5</v>
      </c>
      <c r="I3044">
        <f>VLOOKUP(B3044,BRAND!B:D,3,FALSE)</f>
        <v>0</v>
      </c>
      <c r="J3044">
        <f t="shared" si="36"/>
        <v>7</v>
      </c>
      <c r="K3044" t="s">
        <v>821</v>
      </c>
      <c r="L3044">
        <v>0</v>
      </c>
      <c r="M3044">
        <v>1</v>
      </c>
    </row>
    <row r="3045" spans="1:13">
      <c r="A3045" t="s">
        <v>14510</v>
      </c>
      <c r="B3045" t="s">
        <v>14503</v>
      </c>
      <c r="C3045" s="34" t="s">
        <v>14511</v>
      </c>
      <c r="F3045" t="s">
        <v>14511</v>
      </c>
      <c r="G3045" t="s">
        <v>6932</v>
      </c>
      <c r="H3045">
        <v>5</v>
      </c>
      <c r="I3045">
        <f>VLOOKUP(B3045,BRAND!B:D,3,FALSE)</f>
        <v>0</v>
      </c>
      <c r="J3045">
        <f t="shared" si="36"/>
        <v>7</v>
      </c>
      <c r="K3045" t="s">
        <v>821</v>
      </c>
      <c r="L3045">
        <v>0</v>
      </c>
      <c r="M3045">
        <v>1</v>
      </c>
    </row>
    <row r="3046" spans="1:13">
      <c r="A3046" t="s">
        <v>14516</v>
      </c>
      <c r="B3046" t="s">
        <v>14503</v>
      </c>
      <c r="C3046" s="34" t="s">
        <v>6364</v>
      </c>
      <c r="F3046" t="s">
        <v>6364</v>
      </c>
      <c r="G3046" t="s">
        <v>6932</v>
      </c>
      <c r="H3046">
        <v>5</v>
      </c>
      <c r="I3046">
        <f>VLOOKUP(B3046,BRAND!B:D,3,FALSE)</f>
        <v>0</v>
      </c>
      <c r="J3046">
        <f t="shared" si="36"/>
        <v>6</v>
      </c>
      <c r="K3046" t="s">
        <v>821</v>
      </c>
      <c r="L3046">
        <v>0</v>
      </c>
      <c r="M3046">
        <v>1</v>
      </c>
    </row>
    <row r="3047" spans="1:13">
      <c r="A3047" t="s">
        <v>14514</v>
      </c>
      <c r="B3047" t="s">
        <v>14503</v>
      </c>
      <c r="C3047" s="34" t="s">
        <v>755</v>
      </c>
      <c r="F3047" t="s">
        <v>755</v>
      </c>
      <c r="G3047" t="s">
        <v>6932</v>
      </c>
      <c r="H3047">
        <v>5</v>
      </c>
      <c r="I3047">
        <f>VLOOKUP(B3047,BRAND!B:D,3,FALSE)</f>
        <v>0</v>
      </c>
      <c r="J3047">
        <f t="shared" si="36"/>
        <v>6</v>
      </c>
      <c r="K3047" t="s">
        <v>821</v>
      </c>
      <c r="L3047">
        <v>0</v>
      </c>
      <c r="M3047">
        <v>1</v>
      </c>
    </row>
    <row r="3048" spans="1:13">
      <c r="A3048" t="s">
        <v>14506</v>
      </c>
      <c r="B3048" t="s">
        <v>14503</v>
      </c>
      <c r="C3048" s="34" t="s">
        <v>534</v>
      </c>
      <c r="F3048" t="s">
        <v>534</v>
      </c>
      <c r="G3048" t="s">
        <v>6932</v>
      </c>
      <c r="H3048">
        <v>5</v>
      </c>
      <c r="I3048">
        <f>VLOOKUP(B3048,BRAND!B:D,3,FALSE)</f>
        <v>0</v>
      </c>
      <c r="J3048">
        <f t="shared" si="36"/>
        <v>6</v>
      </c>
      <c r="K3048" t="s">
        <v>821</v>
      </c>
      <c r="L3048">
        <v>0</v>
      </c>
      <c r="M3048">
        <v>1</v>
      </c>
    </row>
    <row r="3049" spans="1:13">
      <c r="A3049" t="s">
        <v>14513</v>
      </c>
      <c r="B3049" t="s">
        <v>14503</v>
      </c>
      <c r="C3049" s="34" t="s">
        <v>10023</v>
      </c>
      <c r="F3049" t="s">
        <v>10023</v>
      </c>
      <c r="G3049" t="s">
        <v>6932</v>
      </c>
      <c r="H3049">
        <v>5</v>
      </c>
      <c r="I3049">
        <f>VLOOKUP(B3049,BRAND!B:D,3,FALSE)</f>
        <v>0</v>
      </c>
      <c r="J3049">
        <f t="shared" si="36"/>
        <v>6</v>
      </c>
      <c r="K3049" t="s">
        <v>821</v>
      </c>
      <c r="L3049">
        <v>0</v>
      </c>
      <c r="M3049">
        <v>1</v>
      </c>
    </row>
    <row r="3050" spans="1:13">
      <c r="A3050" t="s">
        <v>14512</v>
      </c>
      <c r="B3050" t="s">
        <v>14503</v>
      </c>
      <c r="C3050" s="34" t="s">
        <v>872</v>
      </c>
      <c r="F3050" t="s">
        <v>872</v>
      </c>
      <c r="G3050" t="s">
        <v>6932</v>
      </c>
      <c r="H3050">
        <v>5</v>
      </c>
      <c r="I3050">
        <f>VLOOKUP(B3050,BRAND!B:D,3,FALSE)</f>
        <v>0</v>
      </c>
      <c r="J3050">
        <f t="shared" si="36"/>
        <v>5</v>
      </c>
      <c r="K3050" t="s">
        <v>821</v>
      </c>
      <c r="L3050">
        <v>0</v>
      </c>
      <c r="M3050">
        <v>1</v>
      </c>
    </row>
    <row r="3051" spans="1:13">
      <c r="A3051" t="s">
        <v>14504</v>
      </c>
      <c r="B3051" t="s">
        <v>14503</v>
      </c>
      <c r="C3051" s="34" t="s">
        <v>10164</v>
      </c>
      <c r="F3051" t="s">
        <v>10164</v>
      </c>
      <c r="G3051" t="s">
        <v>6932</v>
      </c>
      <c r="H3051">
        <v>5</v>
      </c>
      <c r="I3051">
        <f>VLOOKUP(B3051,BRAND!B:D,3,FALSE)</f>
        <v>0</v>
      </c>
      <c r="J3051">
        <f t="shared" si="36"/>
        <v>5</v>
      </c>
      <c r="K3051" t="s">
        <v>821</v>
      </c>
      <c r="L3051">
        <v>0</v>
      </c>
      <c r="M3051">
        <v>1</v>
      </c>
    </row>
    <row r="3052" spans="1:13">
      <c r="A3052" t="s">
        <v>14502</v>
      </c>
      <c r="B3052" t="s">
        <v>14503</v>
      </c>
      <c r="C3052" s="34" t="s">
        <v>536</v>
      </c>
      <c r="F3052" t="s">
        <v>536</v>
      </c>
      <c r="G3052" t="s">
        <v>6932</v>
      </c>
      <c r="H3052">
        <v>5</v>
      </c>
      <c r="I3052">
        <f>VLOOKUP(B3052,BRAND!B:D,3,FALSE)</f>
        <v>0</v>
      </c>
      <c r="J3052">
        <f t="shared" si="36"/>
        <v>5</v>
      </c>
      <c r="K3052" t="s">
        <v>821</v>
      </c>
      <c r="L3052">
        <v>0</v>
      </c>
      <c r="M3052">
        <v>1</v>
      </c>
    </row>
    <row r="3053" spans="1:13">
      <c r="A3053" t="s">
        <v>14505</v>
      </c>
      <c r="B3053" t="s">
        <v>14503</v>
      </c>
      <c r="C3053" s="34" t="s">
        <v>776</v>
      </c>
      <c r="F3053" t="s">
        <v>776</v>
      </c>
      <c r="G3053" t="s">
        <v>6932</v>
      </c>
      <c r="H3053">
        <v>5</v>
      </c>
      <c r="I3053">
        <f>VLOOKUP(B3053,BRAND!B:D,3,FALSE)</f>
        <v>0</v>
      </c>
      <c r="J3053">
        <f t="shared" si="36"/>
        <v>5</v>
      </c>
      <c r="K3053" t="s">
        <v>821</v>
      </c>
      <c r="L3053">
        <v>0</v>
      </c>
      <c r="M3053">
        <v>1</v>
      </c>
    </row>
    <row r="3054" spans="1:13">
      <c r="A3054" t="s">
        <v>14515</v>
      </c>
      <c r="B3054" t="s">
        <v>14503</v>
      </c>
      <c r="C3054" s="34" t="s">
        <v>6616</v>
      </c>
      <c r="F3054" t="s">
        <v>6616</v>
      </c>
      <c r="G3054" t="s">
        <v>6932</v>
      </c>
      <c r="H3054">
        <v>5</v>
      </c>
      <c r="I3054">
        <f>VLOOKUP(B3054,BRAND!B:D,3,FALSE)</f>
        <v>0</v>
      </c>
      <c r="J3054">
        <f t="shared" si="36"/>
        <v>4</v>
      </c>
      <c r="K3054" t="s">
        <v>821</v>
      </c>
      <c r="L3054">
        <v>0</v>
      </c>
      <c r="M3054">
        <v>1</v>
      </c>
    </row>
    <row r="3055" spans="1:13">
      <c r="A3055" t="s">
        <v>14509</v>
      </c>
      <c r="B3055" t="s">
        <v>14503</v>
      </c>
      <c r="C3055" s="34" t="s">
        <v>561</v>
      </c>
      <c r="F3055" t="s">
        <v>561</v>
      </c>
      <c r="G3055" t="s">
        <v>6932</v>
      </c>
      <c r="H3055">
        <v>5</v>
      </c>
      <c r="I3055">
        <f>VLOOKUP(B3055,BRAND!B:D,3,FALSE)</f>
        <v>0</v>
      </c>
      <c r="J3055">
        <f t="shared" si="36"/>
        <v>3</v>
      </c>
      <c r="K3055" t="s">
        <v>821</v>
      </c>
      <c r="L3055">
        <v>0</v>
      </c>
      <c r="M3055">
        <v>1</v>
      </c>
    </row>
    <row r="3056" spans="1:13">
      <c r="A3056" t="s">
        <v>4497</v>
      </c>
      <c r="B3056" t="s">
        <v>1823</v>
      </c>
      <c r="C3056" s="34" t="s">
        <v>995</v>
      </c>
      <c r="F3056" t="s">
        <v>995</v>
      </c>
      <c r="H3056">
        <v>5</v>
      </c>
      <c r="I3056">
        <f>VLOOKUP(B3056,BRAND!B:D,3,FALSE)</f>
        <v>3</v>
      </c>
      <c r="J3056">
        <v>6</v>
      </c>
      <c r="K3056" t="s">
        <v>821</v>
      </c>
      <c r="M3056">
        <v>0</v>
      </c>
    </row>
    <row r="3057" spans="1:13">
      <c r="A3057" t="s">
        <v>3089</v>
      </c>
      <c r="B3057" t="s">
        <v>1823</v>
      </c>
      <c r="C3057" s="34" t="s">
        <v>536</v>
      </c>
      <c r="F3057" t="s">
        <v>536</v>
      </c>
      <c r="H3057">
        <v>5</v>
      </c>
      <c r="I3057">
        <f>VLOOKUP(B3057,BRAND!B:D,3,FALSE)</f>
        <v>3</v>
      </c>
      <c r="J3057">
        <v>5</v>
      </c>
      <c r="K3057" t="s">
        <v>821</v>
      </c>
      <c r="M3057">
        <v>0</v>
      </c>
    </row>
    <row r="3058" spans="1:13">
      <c r="A3058" t="s">
        <v>2956</v>
      </c>
      <c r="B3058" t="s">
        <v>1823</v>
      </c>
      <c r="C3058" s="34" t="s">
        <v>842</v>
      </c>
      <c r="F3058" t="s">
        <v>842</v>
      </c>
      <c r="H3058">
        <v>5</v>
      </c>
      <c r="I3058">
        <f>VLOOKUP(B3058,BRAND!B:D,3,FALSE)</f>
        <v>3</v>
      </c>
      <c r="J3058">
        <v>5</v>
      </c>
      <c r="K3058" t="s">
        <v>821</v>
      </c>
      <c r="M3058">
        <v>0</v>
      </c>
    </row>
    <row r="3059" spans="1:13">
      <c r="A3059" t="s">
        <v>2833</v>
      </c>
      <c r="B3059" t="s">
        <v>1823</v>
      </c>
      <c r="C3059" s="34" t="s">
        <v>1438</v>
      </c>
      <c r="F3059" t="s">
        <v>1438</v>
      </c>
      <c r="H3059">
        <v>15</v>
      </c>
      <c r="I3059">
        <f>VLOOKUP(B3059,BRAND!B:D,3,FALSE)</f>
        <v>3</v>
      </c>
      <c r="J3059">
        <v>4</v>
      </c>
      <c r="K3059" t="s">
        <v>821</v>
      </c>
      <c r="M3059">
        <v>0</v>
      </c>
    </row>
    <row r="3060" spans="1:13">
      <c r="A3060" t="s">
        <v>8191</v>
      </c>
      <c r="B3060" t="s">
        <v>325</v>
      </c>
      <c r="C3060" s="34" t="s">
        <v>8192</v>
      </c>
      <c r="F3060" t="s">
        <v>8192</v>
      </c>
      <c r="G3060" t="s">
        <v>6932</v>
      </c>
      <c r="H3060">
        <v>5</v>
      </c>
      <c r="I3060">
        <f>VLOOKUP(B3060,BRAND!B:D,3,FALSE)</f>
        <v>3</v>
      </c>
      <c r="J3060">
        <v>8</v>
      </c>
      <c r="M3060">
        <v>1</v>
      </c>
    </row>
    <row r="3061" spans="1:13">
      <c r="A3061" t="s">
        <v>3100</v>
      </c>
      <c r="B3061" t="s">
        <v>325</v>
      </c>
      <c r="C3061" s="34" t="s">
        <v>535</v>
      </c>
      <c r="F3061" t="s">
        <v>535</v>
      </c>
      <c r="H3061">
        <v>5</v>
      </c>
      <c r="I3061">
        <f>VLOOKUP(B3061,BRAND!B:D,3,FALSE)</f>
        <v>3</v>
      </c>
      <c r="J3061">
        <v>6</v>
      </c>
      <c r="K3061" t="s">
        <v>821</v>
      </c>
      <c r="M3061">
        <v>0</v>
      </c>
    </row>
    <row r="3062" spans="1:13">
      <c r="A3062" t="s">
        <v>3643</v>
      </c>
      <c r="B3062" t="s">
        <v>325</v>
      </c>
      <c r="C3062" s="34" t="s">
        <v>534</v>
      </c>
      <c r="F3062" t="s">
        <v>534</v>
      </c>
      <c r="H3062">
        <v>5</v>
      </c>
      <c r="I3062">
        <f>VLOOKUP(B3062,BRAND!B:D,3,FALSE)</f>
        <v>3</v>
      </c>
      <c r="J3062">
        <v>6</v>
      </c>
      <c r="K3062" t="s">
        <v>821</v>
      </c>
      <c r="M3062">
        <v>1</v>
      </c>
    </row>
    <row r="3063" spans="1:13">
      <c r="A3063" t="s">
        <v>4645</v>
      </c>
      <c r="B3063" t="s">
        <v>325</v>
      </c>
      <c r="C3063" s="34" t="s">
        <v>995</v>
      </c>
      <c r="F3063" t="s">
        <v>995</v>
      </c>
      <c r="H3063">
        <v>5</v>
      </c>
      <c r="I3063">
        <f>VLOOKUP(B3063,BRAND!B:D,3,FALSE)</f>
        <v>3</v>
      </c>
      <c r="J3063">
        <v>6</v>
      </c>
      <c r="K3063" t="s">
        <v>821</v>
      </c>
      <c r="M3063">
        <v>1</v>
      </c>
    </row>
    <row r="3064" spans="1:13">
      <c r="A3064" t="s">
        <v>4042</v>
      </c>
      <c r="B3064" t="s">
        <v>325</v>
      </c>
      <c r="C3064" s="34" t="s">
        <v>536</v>
      </c>
      <c r="F3064" t="s">
        <v>536</v>
      </c>
      <c r="H3064">
        <v>5</v>
      </c>
      <c r="I3064">
        <f>VLOOKUP(B3064,BRAND!B:D,3,FALSE)</f>
        <v>3</v>
      </c>
      <c r="J3064">
        <v>5</v>
      </c>
      <c r="K3064" t="s">
        <v>821</v>
      </c>
      <c r="M3064">
        <v>1</v>
      </c>
    </row>
    <row r="3065" spans="1:13">
      <c r="A3065" t="s">
        <v>3882</v>
      </c>
      <c r="B3065" t="s">
        <v>325</v>
      </c>
      <c r="C3065" s="34" t="s">
        <v>842</v>
      </c>
      <c r="F3065" t="s">
        <v>842</v>
      </c>
      <c r="H3065">
        <v>5</v>
      </c>
      <c r="I3065">
        <f>VLOOKUP(B3065,BRAND!B:D,3,FALSE)</f>
        <v>3</v>
      </c>
      <c r="J3065">
        <v>5</v>
      </c>
      <c r="K3065" t="s">
        <v>821</v>
      </c>
      <c r="M3065">
        <v>1</v>
      </c>
    </row>
    <row r="3066" spans="1:13">
      <c r="A3066" t="s">
        <v>3048</v>
      </c>
      <c r="B3066" t="s">
        <v>325</v>
      </c>
      <c r="C3066" s="34" t="s">
        <v>872</v>
      </c>
      <c r="F3066" t="s">
        <v>872</v>
      </c>
      <c r="H3066">
        <v>5</v>
      </c>
      <c r="I3066">
        <f>VLOOKUP(B3066,BRAND!B:D,3,FALSE)</f>
        <v>3</v>
      </c>
      <c r="J3066">
        <v>5</v>
      </c>
      <c r="K3066" t="s">
        <v>821</v>
      </c>
      <c r="M3066">
        <v>1</v>
      </c>
    </row>
    <row r="3067" spans="1:13">
      <c r="A3067" t="s">
        <v>9666</v>
      </c>
      <c r="B3067" t="s">
        <v>325</v>
      </c>
      <c r="C3067" s="34" t="s">
        <v>781</v>
      </c>
      <c r="F3067" t="s">
        <v>781</v>
      </c>
      <c r="G3067" t="s">
        <v>6932</v>
      </c>
      <c r="H3067">
        <v>5</v>
      </c>
      <c r="I3067">
        <f>VLOOKUP(B3067,BRAND!B:D,3,FALSE)</f>
        <v>3</v>
      </c>
      <c r="J3067">
        <v>4</v>
      </c>
      <c r="M3067">
        <v>1</v>
      </c>
    </row>
    <row r="3068" spans="1:13">
      <c r="A3068" t="s">
        <v>2684</v>
      </c>
      <c r="B3068" t="s">
        <v>325</v>
      </c>
      <c r="C3068" s="34" t="s">
        <v>1438</v>
      </c>
      <c r="F3068" t="s">
        <v>1438</v>
      </c>
      <c r="H3068">
        <v>15</v>
      </c>
      <c r="I3068">
        <f>VLOOKUP(B3068,BRAND!B:D,3,FALSE)</f>
        <v>3</v>
      </c>
      <c r="J3068">
        <v>4</v>
      </c>
      <c r="K3068" t="s">
        <v>821</v>
      </c>
      <c r="M3068">
        <v>0</v>
      </c>
    </row>
    <row r="3069" spans="1:13">
      <c r="A3069" t="s">
        <v>8193</v>
      </c>
      <c r="B3069" t="s">
        <v>8194</v>
      </c>
      <c r="C3069" s="34" t="s">
        <v>781</v>
      </c>
      <c r="F3069" t="s">
        <v>781</v>
      </c>
      <c r="G3069" t="s">
        <v>6932</v>
      </c>
      <c r="H3069">
        <v>5</v>
      </c>
      <c r="I3069">
        <f>VLOOKUP(B3069,BRAND!B:D,3,FALSE)</f>
        <v>5.5</v>
      </c>
      <c r="J3069">
        <v>4</v>
      </c>
      <c r="M3069">
        <v>0</v>
      </c>
    </row>
    <row r="3070" spans="1:13">
      <c r="A3070" t="s">
        <v>5310</v>
      </c>
      <c r="B3070" t="s">
        <v>697</v>
      </c>
      <c r="C3070" s="34" t="s">
        <v>1470</v>
      </c>
      <c r="F3070" t="s">
        <v>1470</v>
      </c>
      <c r="H3070">
        <v>4</v>
      </c>
      <c r="I3070">
        <f>VLOOKUP(B3070,BRAND!B:D,3,FALSE)</f>
        <v>3</v>
      </c>
      <c r="J3070">
        <f>LEN(F3070)</f>
        <v>12</v>
      </c>
      <c r="K3070" t="s">
        <v>822</v>
      </c>
      <c r="M3070">
        <v>0</v>
      </c>
    </row>
    <row r="3071" spans="1:13">
      <c r="A3071" t="s">
        <v>10079</v>
      </c>
      <c r="B3071" t="s">
        <v>697</v>
      </c>
      <c r="C3071" s="34" t="s">
        <v>5311</v>
      </c>
      <c r="F3071" t="s">
        <v>5311</v>
      </c>
      <c r="G3071" t="s">
        <v>801</v>
      </c>
      <c r="H3071">
        <v>4</v>
      </c>
      <c r="I3071">
        <f>VLOOKUP(B3071,BRAND!B:D,3,FALSE)</f>
        <v>3</v>
      </c>
      <c r="J3071">
        <f>LEN(F3071)</f>
        <v>12</v>
      </c>
      <c r="K3071" t="s">
        <v>822</v>
      </c>
      <c r="M3071">
        <v>0</v>
      </c>
    </row>
    <row r="3072" spans="1:13">
      <c r="A3072" t="s">
        <v>10500</v>
      </c>
      <c r="B3072" t="s">
        <v>697</v>
      </c>
      <c r="C3072" s="34" t="s">
        <v>10680</v>
      </c>
      <c r="D3072" t="s">
        <v>6754</v>
      </c>
      <c r="F3072" t="s">
        <v>10501</v>
      </c>
      <c r="G3072" t="s">
        <v>801</v>
      </c>
      <c r="H3072">
        <v>5</v>
      </c>
      <c r="I3072">
        <f>VLOOKUP(B3072,BRAND!B:D,3,FALSE)</f>
        <v>3</v>
      </c>
      <c r="J3072">
        <f>LEN(F3072)</f>
        <v>16</v>
      </c>
      <c r="L3072">
        <v>0</v>
      </c>
    </row>
    <row r="3073" spans="1:13">
      <c r="A3073" t="s">
        <v>10080</v>
      </c>
      <c r="B3073" t="s">
        <v>697</v>
      </c>
      <c r="C3073" s="34" t="s">
        <v>5444</v>
      </c>
      <c r="F3073" t="s">
        <v>1983</v>
      </c>
      <c r="H3073">
        <v>5</v>
      </c>
      <c r="I3073">
        <f>VLOOKUP(B3073,BRAND!B:D,3,FALSE)</f>
        <v>3</v>
      </c>
      <c r="J3073">
        <v>9</v>
      </c>
      <c r="K3073" t="s">
        <v>822</v>
      </c>
      <c r="M3073">
        <v>0</v>
      </c>
    </row>
    <row r="3074" spans="1:13">
      <c r="A3074" t="s">
        <v>10081</v>
      </c>
      <c r="B3074" t="s">
        <v>697</v>
      </c>
      <c r="C3074" s="34" t="s">
        <v>1494</v>
      </c>
      <c r="F3074" t="s">
        <v>1494</v>
      </c>
      <c r="H3074">
        <v>5</v>
      </c>
      <c r="I3074">
        <f>VLOOKUP(B3074,BRAND!B:D,3,FALSE)</f>
        <v>3</v>
      </c>
      <c r="J3074">
        <v>7</v>
      </c>
      <c r="K3074" t="s">
        <v>822</v>
      </c>
      <c r="M3074">
        <v>0</v>
      </c>
    </row>
    <row r="3075" spans="1:13">
      <c r="A3075" t="s">
        <v>10082</v>
      </c>
      <c r="B3075" t="s">
        <v>697</v>
      </c>
      <c r="C3075" s="34" t="s">
        <v>1494</v>
      </c>
      <c r="F3075" t="s">
        <v>1494</v>
      </c>
      <c r="G3075" t="s">
        <v>801</v>
      </c>
      <c r="H3075">
        <v>5</v>
      </c>
      <c r="I3075">
        <f>VLOOKUP(B3075,BRAND!B:D,3,FALSE)</f>
        <v>3</v>
      </c>
      <c r="J3075">
        <v>7</v>
      </c>
      <c r="K3075" t="s">
        <v>822</v>
      </c>
      <c r="M3075">
        <v>0</v>
      </c>
    </row>
    <row r="3076" spans="1:13">
      <c r="A3076" t="s">
        <v>4764</v>
      </c>
      <c r="B3076" t="s">
        <v>697</v>
      </c>
      <c r="C3076" s="34" t="s">
        <v>750</v>
      </c>
      <c r="F3076" t="s">
        <v>750</v>
      </c>
      <c r="H3076">
        <v>5</v>
      </c>
      <c r="I3076">
        <f>VLOOKUP(B3076,BRAND!B:D,3,FALSE)</f>
        <v>3</v>
      </c>
      <c r="J3076">
        <v>6</v>
      </c>
      <c r="K3076" t="s">
        <v>822</v>
      </c>
      <c r="M3076">
        <v>1</v>
      </c>
    </row>
    <row r="3077" spans="1:13">
      <c r="A3077" t="s">
        <v>1550</v>
      </c>
      <c r="B3077" t="s">
        <v>697</v>
      </c>
      <c r="C3077" s="34" t="s">
        <v>5381</v>
      </c>
      <c r="F3077" t="s">
        <v>995</v>
      </c>
      <c r="H3077">
        <v>5</v>
      </c>
      <c r="I3077">
        <f>VLOOKUP(B3077,BRAND!B:D,3,FALSE)</f>
        <v>3</v>
      </c>
      <c r="J3077">
        <v>6</v>
      </c>
      <c r="K3077" t="s">
        <v>822</v>
      </c>
      <c r="M3077">
        <v>1</v>
      </c>
    </row>
    <row r="3078" spans="1:13">
      <c r="A3078" t="s">
        <v>1663</v>
      </c>
      <c r="B3078" t="s">
        <v>697</v>
      </c>
      <c r="C3078" s="34" t="s">
        <v>1513</v>
      </c>
      <c r="F3078" t="s">
        <v>1513</v>
      </c>
      <c r="H3078">
        <v>5</v>
      </c>
      <c r="I3078">
        <f>VLOOKUP(B3078,BRAND!B:D,3,FALSE)</f>
        <v>3</v>
      </c>
      <c r="J3078">
        <v>5</v>
      </c>
      <c r="K3078" t="s">
        <v>822</v>
      </c>
      <c r="M3078">
        <v>1</v>
      </c>
    </row>
    <row r="3079" spans="1:13">
      <c r="A3079" t="s">
        <v>10174</v>
      </c>
      <c r="B3079" t="s">
        <v>697</v>
      </c>
      <c r="C3079" s="34" t="s">
        <v>1979</v>
      </c>
      <c r="F3079" t="s">
        <v>1979</v>
      </c>
      <c r="H3079">
        <v>5</v>
      </c>
      <c r="I3079">
        <f>VLOOKUP(B3079,BRAND!B:D,3,FALSE)</f>
        <v>3</v>
      </c>
      <c r="J3079">
        <v>3</v>
      </c>
      <c r="L3079">
        <v>1</v>
      </c>
      <c r="M3079">
        <v>1</v>
      </c>
    </row>
    <row r="3080" spans="1:13">
      <c r="A3080" t="s">
        <v>4907</v>
      </c>
      <c r="B3080" t="s">
        <v>697</v>
      </c>
      <c r="C3080" s="34" t="s">
        <v>5381</v>
      </c>
      <c r="F3080" t="s">
        <v>995</v>
      </c>
      <c r="G3080" t="s">
        <v>801</v>
      </c>
      <c r="H3080">
        <v>6</v>
      </c>
      <c r="I3080">
        <f>VLOOKUP(B3080,BRAND!B:D,3,FALSE)</f>
        <v>3</v>
      </c>
      <c r="J3080">
        <v>6</v>
      </c>
      <c r="K3080" t="s">
        <v>822</v>
      </c>
      <c r="M3080">
        <v>1</v>
      </c>
    </row>
    <row r="3081" spans="1:13">
      <c r="A3081" t="s">
        <v>1577</v>
      </c>
      <c r="B3081" t="s">
        <v>697</v>
      </c>
      <c r="C3081" s="34" t="s">
        <v>1513</v>
      </c>
      <c r="F3081" t="s">
        <v>1513</v>
      </c>
      <c r="G3081" t="s">
        <v>801</v>
      </c>
      <c r="H3081">
        <v>6</v>
      </c>
      <c r="I3081">
        <f>VLOOKUP(B3081,BRAND!B:D,3,FALSE)</f>
        <v>3</v>
      </c>
      <c r="J3081">
        <v>5</v>
      </c>
      <c r="K3081" t="s">
        <v>822</v>
      </c>
      <c r="M3081">
        <v>1</v>
      </c>
    </row>
    <row r="3082" spans="1:13">
      <c r="A3082" t="s">
        <v>2298</v>
      </c>
      <c r="B3082" t="s">
        <v>1036</v>
      </c>
      <c r="C3082" s="34" t="s">
        <v>1438</v>
      </c>
      <c r="F3082" t="s">
        <v>1438</v>
      </c>
      <c r="H3082">
        <v>15</v>
      </c>
      <c r="I3082">
        <f>VLOOKUP(B3082,BRAND!B:D,3,FALSE)</f>
        <v>3</v>
      </c>
      <c r="J3082">
        <v>4</v>
      </c>
      <c r="K3082" t="s">
        <v>821</v>
      </c>
      <c r="M3082">
        <v>0</v>
      </c>
    </row>
    <row r="3083" spans="1:13">
      <c r="A3083" t="s">
        <v>2412</v>
      </c>
      <c r="B3083" t="s">
        <v>1848</v>
      </c>
      <c r="C3083" s="34" t="s">
        <v>1438</v>
      </c>
      <c r="F3083" t="s">
        <v>1438</v>
      </c>
      <c r="H3083">
        <v>15</v>
      </c>
      <c r="I3083">
        <f>VLOOKUP(B3083,BRAND!B:D,3,FALSE)</f>
        <v>5.5</v>
      </c>
      <c r="J3083">
        <v>4</v>
      </c>
      <c r="K3083" t="e">
        <v>#N/A</v>
      </c>
      <c r="M3083">
        <v>0</v>
      </c>
    </row>
    <row r="3084" spans="1:13">
      <c r="A3084" t="s">
        <v>8220</v>
      </c>
      <c r="B3084" t="s">
        <v>8221</v>
      </c>
      <c r="C3084" s="34" t="s">
        <v>1438</v>
      </c>
      <c r="F3084" t="s">
        <v>1438</v>
      </c>
      <c r="G3084" t="s">
        <v>6932</v>
      </c>
      <c r="H3084">
        <v>5</v>
      </c>
      <c r="I3084">
        <f>VLOOKUP(B3084,BRAND!B:D,3,FALSE)</f>
        <v>5.5</v>
      </c>
      <c r="J3084">
        <v>4</v>
      </c>
      <c r="M3084">
        <v>1</v>
      </c>
    </row>
    <row r="3085" spans="1:13">
      <c r="A3085" t="s">
        <v>8224</v>
      </c>
      <c r="B3085" t="s">
        <v>8223</v>
      </c>
      <c r="C3085" s="34" t="s">
        <v>8225</v>
      </c>
      <c r="F3085" t="s">
        <v>8225</v>
      </c>
      <c r="G3085" t="s">
        <v>6932</v>
      </c>
      <c r="H3085">
        <v>5</v>
      </c>
      <c r="I3085">
        <f>VLOOKUP(B3085,BRAND!B:D,3,FALSE)</f>
        <v>5.5</v>
      </c>
      <c r="J3085">
        <v>7</v>
      </c>
      <c r="M3085">
        <v>1</v>
      </c>
    </row>
    <row r="3086" spans="1:13">
      <c r="A3086" t="s">
        <v>8222</v>
      </c>
      <c r="B3086" t="s">
        <v>8223</v>
      </c>
      <c r="C3086" s="34" t="s">
        <v>766</v>
      </c>
      <c r="F3086" t="s">
        <v>766</v>
      </c>
      <c r="G3086" t="s">
        <v>6932</v>
      </c>
      <c r="H3086">
        <v>5</v>
      </c>
      <c r="I3086">
        <f>VLOOKUP(B3086,BRAND!B:D,3,FALSE)</f>
        <v>5.5</v>
      </c>
      <c r="J3086">
        <v>6</v>
      </c>
      <c r="M3086">
        <v>1</v>
      </c>
    </row>
    <row r="3087" spans="1:13">
      <c r="A3087" t="s">
        <v>8226</v>
      </c>
      <c r="B3087" t="s">
        <v>8223</v>
      </c>
      <c r="C3087" s="34">
        <v>10</v>
      </c>
      <c r="F3087">
        <v>10</v>
      </c>
      <c r="G3087" t="s">
        <v>6932</v>
      </c>
      <c r="H3087">
        <v>5</v>
      </c>
      <c r="I3087">
        <f>VLOOKUP(B3087,BRAND!B:D,3,FALSE)</f>
        <v>5.5</v>
      </c>
      <c r="J3087">
        <v>2</v>
      </c>
      <c r="M3087">
        <v>1</v>
      </c>
    </row>
    <row r="3088" spans="1:13">
      <c r="A3088" t="s">
        <v>14517</v>
      </c>
      <c r="B3088" t="s">
        <v>14518</v>
      </c>
      <c r="C3088" s="34" t="s">
        <v>1438</v>
      </c>
      <c r="F3088" t="s">
        <v>1438</v>
      </c>
      <c r="G3088" t="s">
        <v>6932</v>
      </c>
      <c r="H3088">
        <v>5</v>
      </c>
      <c r="I3088">
        <f>VLOOKUP(B3088,BRAND!B:D,3,FALSE)</f>
        <v>0</v>
      </c>
      <c r="J3088">
        <f>LEN(F3088)</f>
        <v>4</v>
      </c>
      <c r="K3088" t="s">
        <v>821</v>
      </c>
      <c r="L3088">
        <v>0</v>
      </c>
      <c r="M3088">
        <v>1</v>
      </c>
    </row>
    <row r="3089" spans="1:13">
      <c r="A3089" t="s">
        <v>2699</v>
      </c>
      <c r="B3089" t="s">
        <v>626</v>
      </c>
      <c r="C3089" s="34" t="s">
        <v>1438</v>
      </c>
      <c r="F3089" t="s">
        <v>1438</v>
      </c>
      <c r="H3089">
        <v>15</v>
      </c>
      <c r="I3089">
        <f>VLOOKUP(B3089,BRAND!B:D,3,FALSE)</f>
        <v>3</v>
      </c>
      <c r="J3089">
        <v>4</v>
      </c>
      <c r="K3089" t="s">
        <v>821</v>
      </c>
      <c r="M3089">
        <v>1</v>
      </c>
    </row>
    <row r="3090" spans="1:13">
      <c r="A3090" t="s">
        <v>10502</v>
      </c>
      <c r="B3090" t="s">
        <v>1442</v>
      </c>
      <c r="C3090" s="34" t="s">
        <v>79</v>
      </c>
      <c r="F3090" t="s">
        <v>10503</v>
      </c>
      <c r="G3090" t="s">
        <v>6932</v>
      </c>
      <c r="H3090">
        <v>5</v>
      </c>
      <c r="I3090">
        <f>VLOOKUP(B3090,BRAND!B:D,3,FALSE)</f>
        <v>3</v>
      </c>
      <c r="J3090">
        <f>LEN(F3090)</f>
        <v>18</v>
      </c>
      <c r="L3090">
        <v>0</v>
      </c>
    </row>
    <row r="3091" spans="1:13">
      <c r="A3091" t="s">
        <v>10504</v>
      </c>
      <c r="B3091" t="s">
        <v>1442</v>
      </c>
      <c r="C3091" s="34" t="s">
        <v>10505</v>
      </c>
      <c r="F3091" t="s">
        <v>10506</v>
      </c>
      <c r="G3091" t="s">
        <v>6932</v>
      </c>
      <c r="H3091">
        <v>5</v>
      </c>
      <c r="I3091">
        <f>VLOOKUP(B3091,BRAND!B:D,3,FALSE)</f>
        <v>3</v>
      </c>
      <c r="J3091">
        <f>LEN(F3091)</f>
        <v>11</v>
      </c>
      <c r="L3091">
        <v>0</v>
      </c>
    </row>
    <row r="3092" spans="1:13">
      <c r="A3092" t="s">
        <v>4877</v>
      </c>
      <c r="B3092" t="s">
        <v>1442</v>
      </c>
      <c r="C3092" s="34" t="s">
        <v>1478</v>
      </c>
      <c r="F3092" t="s">
        <v>1478</v>
      </c>
      <c r="H3092">
        <v>5</v>
      </c>
      <c r="I3092">
        <f>VLOOKUP(B3092,BRAND!B:D,3,FALSE)</f>
        <v>3</v>
      </c>
      <c r="J3092">
        <f>LEN(F3092)</f>
        <v>11</v>
      </c>
      <c r="K3092" t="s">
        <v>821</v>
      </c>
      <c r="M3092">
        <v>1</v>
      </c>
    </row>
    <row r="3093" spans="1:13">
      <c r="A3093" t="s">
        <v>1741</v>
      </c>
      <c r="B3093" t="s">
        <v>1442</v>
      </c>
      <c r="C3093" s="34" t="s">
        <v>1476</v>
      </c>
      <c r="F3093" t="s">
        <v>1476</v>
      </c>
      <c r="H3093">
        <v>5</v>
      </c>
      <c r="I3093">
        <f>VLOOKUP(B3093,BRAND!B:D,3,FALSE)</f>
        <v>3</v>
      </c>
      <c r="J3093">
        <f>LEN(F3093)</f>
        <v>11</v>
      </c>
      <c r="K3093" t="s">
        <v>821</v>
      </c>
      <c r="M3093">
        <v>1</v>
      </c>
    </row>
    <row r="3094" spans="1:13">
      <c r="A3094" t="s">
        <v>4782</v>
      </c>
      <c r="B3094" t="s">
        <v>1442</v>
      </c>
      <c r="C3094" s="34" t="s">
        <v>798</v>
      </c>
      <c r="F3094" t="s">
        <v>798</v>
      </c>
      <c r="H3094">
        <v>5</v>
      </c>
      <c r="I3094">
        <f>VLOOKUP(B3094,BRAND!B:D,3,FALSE)</f>
        <v>3</v>
      </c>
      <c r="J3094">
        <v>9</v>
      </c>
      <c r="K3094" t="s">
        <v>821</v>
      </c>
      <c r="M3094">
        <v>1</v>
      </c>
    </row>
    <row r="3095" spans="1:13">
      <c r="A3095" t="s">
        <v>10379</v>
      </c>
      <c r="B3095" t="s">
        <v>1442</v>
      </c>
      <c r="C3095" s="34" t="s">
        <v>4901</v>
      </c>
      <c r="F3095" t="s">
        <v>898</v>
      </c>
      <c r="H3095">
        <v>5</v>
      </c>
      <c r="I3095">
        <f>VLOOKUP(B3095,BRAND!B:D,3,FALSE)</f>
        <v>3</v>
      </c>
      <c r="J3095">
        <v>6</v>
      </c>
      <c r="K3095" t="s">
        <v>821</v>
      </c>
      <c r="M3095">
        <v>1</v>
      </c>
    </row>
    <row r="3096" spans="1:13">
      <c r="A3096" t="s">
        <v>10378</v>
      </c>
      <c r="B3096" t="s">
        <v>1442</v>
      </c>
      <c r="C3096" s="34" t="s">
        <v>79</v>
      </c>
      <c r="F3096" t="s">
        <v>898</v>
      </c>
      <c r="H3096">
        <v>5</v>
      </c>
      <c r="I3096">
        <f>VLOOKUP(B3096,BRAND!B:D,3,FALSE)</f>
        <v>3</v>
      </c>
      <c r="J3096">
        <v>6</v>
      </c>
      <c r="K3096" t="s">
        <v>821</v>
      </c>
      <c r="M3096">
        <v>1</v>
      </c>
    </row>
    <row r="3097" spans="1:13">
      <c r="A3097" t="s">
        <v>4885</v>
      </c>
      <c r="B3097" t="s">
        <v>1442</v>
      </c>
      <c r="C3097" s="34" t="s">
        <v>2000</v>
      </c>
      <c r="F3097" t="s">
        <v>2000</v>
      </c>
      <c r="H3097">
        <v>5</v>
      </c>
      <c r="I3097">
        <f>VLOOKUP(B3097,BRAND!B:D,3,FALSE)</f>
        <v>3</v>
      </c>
      <c r="J3097">
        <v>5</v>
      </c>
      <c r="K3097" t="s">
        <v>821</v>
      </c>
      <c r="M3097">
        <v>0</v>
      </c>
    </row>
    <row r="3098" spans="1:13">
      <c r="A3098" t="s">
        <v>4407</v>
      </c>
      <c r="B3098" t="s">
        <v>1442</v>
      </c>
      <c r="C3098" s="34" t="s">
        <v>1513</v>
      </c>
      <c r="F3098" t="s">
        <v>1513</v>
      </c>
      <c r="H3098">
        <v>5</v>
      </c>
      <c r="I3098">
        <f>VLOOKUP(B3098,BRAND!B:D,3,FALSE)</f>
        <v>3</v>
      </c>
      <c r="J3098">
        <v>5</v>
      </c>
      <c r="K3098" t="s">
        <v>821</v>
      </c>
      <c r="L3098" s="29"/>
      <c r="M3098">
        <v>1</v>
      </c>
    </row>
    <row r="3099" spans="1:13">
      <c r="A3099" t="s">
        <v>4807</v>
      </c>
      <c r="B3099" t="s">
        <v>1442</v>
      </c>
      <c r="C3099" s="34" t="s">
        <v>897</v>
      </c>
      <c r="D3099" t="s">
        <v>1513</v>
      </c>
      <c r="F3099" t="s">
        <v>897</v>
      </c>
      <c r="H3099">
        <v>5</v>
      </c>
      <c r="I3099">
        <f>VLOOKUP(B3099,BRAND!B:D,3,FALSE)</f>
        <v>3</v>
      </c>
      <c r="J3099">
        <v>4</v>
      </c>
      <c r="K3099" t="s">
        <v>821</v>
      </c>
      <c r="M3099">
        <v>0</v>
      </c>
    </row>
    <row r="3100" spans="1:13">
      <c r="A3100" t="s">
        <v>1673</v>
      </c>
      <c r="B3100" t="s">
        <v>1442</v>
      </c>
      <c r="C3100" s="34" t="s">
        <v>1438</v>
      </c>
      <c r="F3100" t="s">
        <v>1438</v>
      </c>
      <c r="H3100">
        <v>15</v>
      </c>
      <c r="I3100">
        <f>VLOOKUP(B3100,BRAND!B:D,3,FALSE)</f>
        <v>3</v>
      </c>
      <c r="J3100">
        <v>4</v>
      </c>
      <c r="K3100" t="s">
        <v>821</v>
      </c>
      <c r="M3100">
        <v>1</v>
      </c>
    </row>
    <row r="3101" spans="1:13">
      <c r="A3101" t="s">
        <v>6752</v>
      </c>
      <c r="B3101" t="s">
        <v>6749</v>
      </c>
      <c r="C3101" s="34" t="s">
        <v>1983</v>
      </c>
      <c r="F3101" t="s">
        <v>1983</v>
      </c>
      <c r="H3101">
        <v>5</v>
      </c>
      <c r="I3101">
        <f>VLOOKUP(B3101,BRAND!B:D,3,FALSE)</f>
        <v>5</v>
      </c>
      <c r="J3101">
        <v>9</v>
      </c>
      <c r="M3101">
        <v>1</v>
      </c>
    </row>
    <row r="3102" spans="1:13">
      <c r="A3102" t="s">
        <v>6751</v>
      </c>
      <c r="B3102" t="s">
        <v>6749</v>
      </c>
      <c r="C3102" s="34" t="s">
        <v>898</v>
      </c>
      <c r="F3102" t="s">
        <v>898</v>
      </c>
      <c r="H3102">
        <v>5</v>
      </c>
      <c r="I3102">
        <f>VLOOKUP(B3102,BRAND!B:D,3,FALSE)</f>
        <v>5</v>
      </c>
      <c r="J3102">
        <v>6</v>
      </c>
      <c r="M3102">
        <v>1</v>
      </c>
    </row>
    <row r="3103" spans="1:13">
      <c r="A3103" t="s">
        <v>6748</v>
      </c>
      <c r="B3103" t="s">
        <v>6749</v>
      </c>
      <c r="C3103" s="34" t="s">
        <v>746</v>
      </c>
      <c r="F3103" t="s">
        <v>746</v>
      </c>
      <c r="H3103">
        <v>5</v>
      </c>
      <c r="I3103">
        <f>VLOOKUP(B3103,BRAND!B:D,3,FALSE)</f>
        <v>5</v>
      </c>
      <c r="J3103">
        <v>6</v>
      </c>
      <c r="M3103">
        <v>1</v>
      </c>
    </row>
    <row r="3104" spans="1:13">
      <c r="A3104" t="s">
        <v>6753</v>
      </c>
      <c r="B3104" t="s">
        <v>6749</v>
      </c>
      <c r="C3104" s="34" t="s">
        <v>6754</v>
      </c>
      <c r="F3104" t="s">
        <v>6754</v>
      </c>
      <c r="H3104">
        <v>5</v>
      </c>
      <c r="I3104">
        <f>VLOOKUP(B3104,BRAND!B:D,3,FALSE)</f>
        <v>5</v>
      </c>
      <c r="J3104">
        <v>5</v>
      </c>
      <c r="M3104">
        <v>1</v>
      </c>
    </row>
    <row r="3105" spans="1:13">
      <c r="A3105" t="s">
        <v>6750</v>
      </c>
      <c r="B3105" t="s">
        <v>6749</v>
      </c>
      <c r="C3105" s="34" t="s">
        <v>6960</v>
      </c>
      <c r="F3105" t="s">
        <v>799</v>
      </c>
      <c r="H3105">
        <v>5</v>
      </c>
      <c r="I3105">
        <f>VLOOKUP(B3105,BRAND!B:D,3,FALSE)</f>
        <v>5</v>
      </c>
      <c r="J3105">
        <v>5</v>
      </c>
      <c r="M3105">
        <v>1</v>
      </c>
    </row>
    <row r="3106" spans="1:13">
      <c r="A3106" t="s">
        <v>4619</v>
      </c>
      <c r="B3106" t="s">
        <v>1864</v>
      </c>
      <c r="C3106" s="34" t="s">
        <v>536</v>
      </c>
      <c r="F3106" t="s">
        <v>536</v>
      </c>
      <c r="H3106">
        <v>5</v>
      </c>
      <c r="I3106">
        <f>VLOOKUP(B3106,BRAND!B:D,3,FALSE)</f>
        <v>5</v>
      </c>
      <c r="J3106">
        <v>5</v>
      </c>
      <c r="K3106" t="s">
        <v>821</v>
      </c>
      <c r="M3106">
        <v>0</v>
      </c>
    </row>
    <row r="3107" spans="1:13">
      <c r="A3107" t="s">
        <v>4722</v>
      </c>
      <c r="B3107" t="s">
        <v>1864</v>
      </c>
      <c r="C3107" s="34" t="s">
        <v>1992</v>
      </c>
      <c r="F3107" t="s">
        <v>1992</v>
      </c>
      <c r="H3107">
        <v>5</v>
      </c>
      <c r="I3107">
        <f>VLOOKUP(B3107,BRAND!B:D,3,FALSE)</f>
        <v>5</v>
      </c>
      <c r="J3107">
        <v>3</v>
      </c>
      <c r="K3107" t="s">
        <v>821</v>
      </c>
      <c r="M3107">
        <v>0</v>
      </c>
    </row>
    <row r="3108" spans="1:13">
      <c r="A3108" t="s">
        <v>6963</v>
      </c>
      <c r="B3108" t="s">
        <v>65</v>
      </c>
      <c r="C3108" s="34" t="s">
        <v>4901</v>
      </c>
      <c r="F3108" t="s">
        <v>4901</v>
      </c>
      <c r="H3108">
        <v>3</v>
      </c>
      <c r="I3108">
        <f>VLOOKUP(B3108,BRAND!B:D,3,FALSE)</f>
        <v>3</v>
      </c>
      <c r="J3108">
        <f>LEN(F3108)</f>
        <v>10</v>
      </c>
      <c r="K3108" t="s">
        <v>822</v>
      </c>
      <c r="M3108">
        <v>0</v>
      </c>
    </row>
    <row r="3109" spans="1:13">
      <c r="A3109" t="s">
        <v>4158</v>
      </c>
      <c r="B3109" t="s">
        <v>65</v>
      </c>
      <c r="C3109" s="34" t="s">
        <v>1978</v>
      </c>
      <c r="F3109" t="s">
        <v>1978</v>
      </c>
      <c r="H3109">
        <v>4</v>
      </c>
      <c r="I3109">
        <f>VLOOKUP(B3109,BRAND!B:D,3,FALSE)</f>
        <v>3</v>
      </c>
      <c r="J3109">
        <f>LEN(F3109)</f>
        <v>13</v>
      </c>
      <c r="K3109" t="s">
        <v>822</v>
      </c>
      <c r="M3109">
        <v>1</v>
      </c>
    </row>
    <row r="3110" spans="1:13">
      <c r="A3110" t="s">
        <v>5230</v>
      </c>
      <c r="B3110" t="s">
        <v>65</v>
      </c>
      <c r="C3110" s="34" t="s">
        <v>5183</v>
      </c>
      <c r="F3110" t="s">
        <v>5183</v>
      </c>
      <c r="H3110">
        <v>4</v>
      </c>
      <c r="I3110">
        <f>VLOOKUP(B3110,BRAND!B:D,3,FALSE)</f>
        <v>3</v>
      </c>
      <c r="J3110">
        <v>9</v>
      </c>
      <c r="K3110" t="s">
        <v>822</v>
      </c>
      <c r="M3110">
        <v>1</v>
      </c>
    </row>
    <row r="3111" spans="1:13">
      <c r="A3111" t="s">
        <v>10507</v>
      </c>
      <c r="B3111" t="s">
        <v>65</v>
      </c>
      <c r="C3111" s="34" t="s">
        <v>1476</v>
      </c>
      <c r="F3111" t="s">
        <v>1476</v>
      </c>
      <c r="G3111" t="s">
        <v>6932</v>
      </c>
      <c r="H3111">
        <v>5</v>
      </c>
      <c r="I3111">
        <f>VLOOKUP(B3111,BRAND!B:D,3,FALSE)</f>
        <v>3</v>
      </c>
      <c r="J3111">
        <f t="shared" ref="J3111:J3117" si="37">LEN(F3111)</f>
        <v>11</v>
      </c>
      <c r="L3111">
        <v>0</v>
      </c>
    </row>
    <row r="3112" spans="1:13">
      <c r="A3112" t="s">
        <v>10380</v>
      </c>
      <c r="B3112" t="s">
        <v>65</v>
      </c>
      <c r="C3112" s="34" t="s">
        <v>79</v>
      </c>
      <c r="D3112" t="s">
        <v>877</v>
      </c>
      <c r="F3112" t="s">
        <v>79</v>
      </c>
      <c r="H3112">
        <v>5</v>
      </c>
      <c r="I3112">
        <f>VLOOKUP(B3112,BRAND!B:D,3,FALSE)</f>
        <v>3</v>
      </c>
      <c r="J3112">
        <f t="shared" si="37"/>
        <v>11</v>
      </c>
      <c r="K3112" t="s">
        <v>822</v>
      </c>
      <c r="M3112">
        <v>0</v>
      </c>
    </row>
    <row r="3113" spans="1:13">
      <c r="A3113" t="s">
        <v>6962</v>
      </c>
      <c r="B3113" t="s">
        <v>65</v>
      </c>
      <c r="C3113" s="34" t="s">
        <v>79</v>
      </c>
      <c r="F3113" t="s">
        <v>79</v>
      </c>
      <c r="H3113">
        <v>5</v>
      </c>
      <c r="I3113">
        <f>VLOOKUP(B3113,BRAND!B:D,3,FALSE)</f>
        <v>3</v>
      </c>
      <c r="J3113">
        <f t="shared" si="37"/>
        <v>11</v>
      </c>
      <c r="K3113" t="s">
        <v>822</v>
      </c>
      <c r="M3113">
        <v>0</v>
      </c>
    </row>
    <row r="3114" spans="1:13">
      <c r="A3114" t="s">
        <v>10381</v>
      </c>
      <c r="B3114" t="s">
        <v>65</v>
      </c>
      <c r="C3114" s="34" t="s">
        <v>79</v>
      </c>
      <c r="F3114" t="s">
        <v>79</v>
      </c>
      <c r="G3114" t="s">
        <v>2000</v>
      </c>
      <c r="H3114">
        <v>5</v>
      </c>
      <c r="I3114">
        <f>VLOOKUP(B3114,BRAND!B:D,3,FALSE)</f>
        <v>3</v>
      </c>
      <c r="J3114">
        <f t="shared" si="37"/>
        <v>11</v>
      </c>
      <c r="K3114" t="s">
        <v>822</v>
      </c>
      <c r="M3114">
        <v>0</v>
      </c>
    </row>
    <row r="3115" spans="1:13">
      <c r="A3115" t="s">
        <v>1626</v>
      </c>
      <c r="B3115" t="s">
        <v>65</v>
      </c>
      <c r="C3115" s="34" t="s">
        <v>1472</v>
      </c>
      <c r="F3115" t="s">
        <v>1472</v>
      </c>
      <c r="H3115">
        <v>5</v>
      </c>
      <c r="I3115">
        <f>VLOOKUP(B3115,BRAND!B:D,3,FALSE)</f>
        <v>3</v>
      </c>
      <c r="J3115">
        <f t="shared" si="37"/>
        <v>11</v>
      </c>
      <c r="K3115" t="s">
        <v>822</v>
      </c>
      <c r="M3115">
        <v>1</v>
      </c>
    </row>
    <row r="3116" spans="1:13">
      <c r="A3116" t="s">
        <v>5206</v>
      </c>
      <c r="B3116" t="s">
        <v>65</v>
      </c>
      <c r="C3116" s="34" t="s">
        <v>1965</v>
      </c>
      <c r="F3116" t="s">
        <v>1965</v>
      </c>
      <c r="H3116">
        <v>5</v>
      </c>
      <c r="I3116">
        <f>VLOOKUP(B3116,BRAND!B:D,3,FALSE)</f>
        <v>3</v>
      </c>
      <c r="J3116">
        <f t="shared" si="37"/>
        <v>10</v>
      </c>
      <c r="K3116" t="s">
        <v>822</v>
      </c>
      <c r="M3116">
        <v>1</v>
      </c>
    </row>
    <row r="3117" spans="1:13">
      <c r="A3117" t="s">
        <v>4538</v>
      </c>
      <c r="B3117" t="s">
        <v>65</v>
      </c>
      <c r="C3117" s="34" t="s">
        <v>994</v>
      </c>
      <c r="F3117" t="s">
        <v>994</v>
      </c>
      <c r="H3117">
        <v>5</v>
      </c>
      <c r="I3117">
        <f>VLOOKUP(B3117,BRAND!B:D,3,FALSE)</f>
        <v>3</v>
      </c>
      <c r="J3117">
        <f t="shared" si="37"/>
        <v>10</v>
      </c>
      <c r="K3117" t="s">
        <v>822</v>
      </c>
      <c r="M3117">
        <v>1</v>
      </c>
    </row>
    <row r="3118" spans="1:13">
      <c r="A3118" t="s">
        <v>3801</v>
      </c>
      <c r="B3118" t="s">
        <v>65</v>
      </c>
      <c r="C3118" s="34" t="s">
        <v>798</v>
      </c>
      <c r="F3118" t="s">
        <v>798</v>
      </c>
      <c r="H3118">
        <v>5</v>
      </c>
      <c r="I3118">
        <f>VLOOKUP(B3118,BRAND!B:D,3,FALSE)</f>
        <v>3</v>
      </c>
      <c r="J3118">
        <v>9</v>
      </c>
      <c r="K3118" t="s">
        <v>822</v>
      </c>
      <c r="M3118">
        <v>1</v>
      </c>
    </row>
    <row r="3119" spans="1:13">
      <c r="A3119" t="s">
        <v>4528</v>
      </c>
      <c r="B3119" t="s">
        <v>65</v>
      </c>
      <c r="C3119" s="34" t="s">
        <v>891</v>
      </c>
      <c r="F3119" t="s">
        <v>891</v>
      </c>
      <c r="H3119">
        <v>5</v>
      </c>
      <c r="I3119">
        <f>VLOOKUP(B3119,BRAND!B:D,3,FALSE)</f>
        <v>3</v>
      </c>
      <c r="J3119">
        <v>7</v>
      </c>
      <c r="K3119" t="s">
        <v>822</v>
      </c>
      <c r="M3119">
        <v>1</v>
      </c>
    </row>
    <row r="3120" spans="1:13">
      <c r="A3120" t="s">
        <v>1693</v>
      </c>
      <c r="B3120" t="s">
        <v>65</v>
      </c>
      <c r="C3120" s="34" t="s">
        <v>995</v>
      </c>
      <c r="F3120" t="s">
        <v>995</v>
      </c>
      <c r="H3120">
        <v>5</v>
      </c>
      <c r="I3120">
        <f>VLOOKUP(B3120,BRAND!B:D,3,FALSE)</f>
        <v>3</v>
      </c>
      <c r="J3120">
        <v>6</v>
      </c>
      <c r="K3120" t="s">
        <v>822</v>
      </c>
      <c r="M3120">
        <v>1</v>
      </c>
    </row>
    <row r="3121" spans="1:13">
      <c r="A3121" t="s">
        <v>4654</v>
      </c>
      <c r="B3121" t="s">
        <v>65</v>
      </c>
      <c r="C3121" s="34" t="s">
        <v>1508</v>
      </c>
      <c r="F3121" t="s">
        <v>1508</v>
      </c>
      <c r="H3121">
        <v>5</v>
      </c>
      <c r="I3121">
        <f>VLOOKUP(B3121,BRAND!B:D,3,FALSE)</f>
        <v>3</v>
      </c>
      <c r="J3121">
        <v>6</v>
      </c>
      <c r="K3121" t="s">
        <v>822</v>
      </c>
      <c r="M3121">
        <v>1</v>
      </c>
    </row>
    <row r="3122" spans="1:13">
      <c r="A3122" t="s">
        <v>3165</v>
      </c>
      <c r="B3122" t="s">
        <v>65</v>
      </c>
      <c r="C3122" s="34" t="s">
        <v>763</v>
      </c>
      <c r="F3122" t="s">
        <v>763</v>
      </c>
      <c r="H3122">
        <v>5</v>
      </c>
      <c r="I3122">
        <f>VLOOKUP(B3122,BRAND!B:D,3,FALSE)</f>
        <v>3</v>
      </c>
      <c r="J3122">
        <v>5</v>
      </c>
      <c r="K3122" t="s">
        <v>822</v>
      </c>
      <c r="M3122">
        <v>0</v>
      </c>
    </row>
    <row r="3123" spans="1:13">
      <c r="A3123" t="s">
        <v>4210</v>
      </c>
      <c r="B3123" t="s">
        <v>65</v>
      </c>
      <c r="C3123" s="34" t="s">
        <v>1513</v>
      </c>
      <c r="F3123" t="s">
        <v>1513</v>
      </c>
      <c r="H3123">
        <v>5</v>
      </c>
      <c r="I3123">
        <f>VLOOKUP(B3123,BRAND!B:D,3,FALSE)</f>
        <v>3</v>
      </c>
      <c r="J3123">
        <v>5</v>
      </c>
      <c r="K3123" t="s">
        <v>822</v>
      </c>
      <c r="M3123">
        <v>1</v>
      </c>
    </row>
    <row r="3124" spans="1:13">
      <c r="A3124" t="s">
        <v>5205</v>
      </c>
      <c r="B3124" t="s">
        <v>65</v>
      </c>
      <c r="C3124" s="34" t="s">
        <v>2000</v>
      </c>
      <c r="F3124" t="s">
        <v>2000</v>
      </c>
      <c r="H3124">
        <v>5</v>
      </c>
      <c r="I3124">
        <f>VLOOKUP(B3124,BRAND!B:D,3,FALSE)</f>
        <v>3</v>
      </c>
      <c r="J3124">
        <v>5</v>
      </c>
      <c r="K3124" t="s">
        <v>822</v>
      </c>
      <c r="M3124">
        <v>1</v>
      </c>
    </row>
    <row r="3125" spans="1:13">
      <c r="A3125" t="s">
        <v>3623</v>
      </c>
      <c r="B3125" t="s">
        <v>65</v>
      </c>
      <c r="C3125" s="34" t="s">
        <v>782</v>
      </c>
      <c r="F3125" t="s">
        <v>782</v>
      </c>
      <c r="H3125">
        <v>5</v>
      </c>
      <c r="I3125">
        <f>VLOOKUP(B3125,BRAND!B:D,3,FALSE)</f>
        <v>3</v>
      </c>
      <c r="J3125">
        <v>4</v>
      </c>
      <c r="K3125" t="s">
        <v>822</v>
      </c>
      <c r="M3125">
        <v>0</v>
      </c>
    </row>
    <row r="3126" spans="1:13">
      <c r="A3126" t="s">
        <v>3096</v>
      </c>
      <c r="B3126" t="s">
        <v>65</v>
      </c>
      <c r="C3126" s="34" t="s">
        <v>781</v>
      </c>
      <c r="F3126" t="s">
        <v>781</v>
      </c>
      <c r="H3126">
        <v>5</v>
      </c>
      <c r="I3126">
        <f>VLOOKUP(B3126,BRAND!B:D,3,FALSE)</f>
        <v>3</v>
      </c>
      <c r="J3126">
        <v>4</v>
      </c>
      <c r="K3126" t="s">
        <v>822</v>
      </c>
      <c r="M3126">
        <v>0</v>
      </c>
    </row>
    <row r="3127" spans="1:13">
      <c r="A3127" t="s">
        <v>2964</v>
      </c>
      <c r="B3127" t="s">
        <v>65</v>
      </c>
      <c r="C3127" s="34" t="s">
        <v>897</v>
      </c>
      <c r="F3127" t="s">
        <v>897</v>
      </c>
      <c r="H3127">
        <v>5</v>
      </c>
      <c r="I3127">
        <f>VLOOKUP(B3127,BRAND!B:D,3,FALSE)</f>
        <v>3</v>
      </c>
      <c r="J3127">
        <v>4</v>
      </c>
      <c r="K3127" t="s">
        <v>822</v>
      </c>
      <c r="M3127">
        <v>1</v>
      </c>
    </row>
    <row r="3128" spans="1:13">
      <c r="A3128" t="s">
        <v>5027</v>
      </c>
      <c r="B3128" t="s">
        <v>65</v>
      </c>
      <c r="C3128" s="34" t="s">
        <v>1978</v>
      </c>
      <c r="F3128" t="s">
        <v>1978</v>
      </c>
      <c r="G3128" t="s">
        <v>801</v>
      </c>
      <c r="H3128">
        <v>6</v>
      </c>
      <c r="I3128">
        <f>VLOOKUP(B3128,BRAND!B:D,3,FALSE)</f>
        <v>3</v>
      </c>
      <c r="J3128">
        <f>LEN(F3128)</f>
        <v>13</v>
      </c>
      <c r="K3128" t="s">
        <v>822</v>
      </c>
      <c r="M3128">
        <v>1</v>
      </c>
    </row>
    <row r="3129" spans="1:13">
      <c r="A3129" t="s">
        <v>1524</v>
      </c>
      <c r="B3129" t="s">
        <v>65</v>
      </c>
      <c r="C3129" s="34" t="s">
        <v>6532</v>
      </c>
      <c r="F3129" t="s">
        <v>1476</v>
      </c>
      <c r="H3129">
        <v>6</v>
      </c>
      <c r="I3129">
        <f>VLOOKUP(B3129,BRAND!B:D,3,FALSE)</f>
        <v>3</v>
      </c>
      <c r="J3129">
        <f>LEN(F3129)</f>
        <v>11</v>
      </c>
      <c r="K3129" t="s">
        <v>822</v>
      </c>
      <c r="M3129">
        <v>1</v>
      </c>
    </row>
    <row r="3130" spans="1:13">
      <c r="A3130" t="s">
        <v>4912</v>
      </c>
      <c r="B3130" t="s">
        <v>65</v>
      </c>
      <c r="C3130" s="34" t="s">
        <v>6532</v>
      </c>
      <c r="F3130" t="s">
        <v>1476</v>
      </c>
      <c r="G3130" t="s">
        <v>801</v>
      </c>
      <c r="H3130">
        <v>6</v>
      </c>
      <c r="I3130">
        <f>VLOOKUP(B3130,BRAND!B:D,3,FALSE)</f>
        <v>3</v>
      </c>
      <c r="J3130">
        <f>LEN(F3130)</f>
        <v>11</v>
      </c>
      <c r="K3130" t="s">
        <v>822</v>
      </c>
      <c r="M3130">
        <v>1</v>
      </c>
    </row>
    <row r="3131" spans="1:13">
      <c r="A3131" t="s">
        <v>5040</v>
      </c>
      <c r="B3131" t="s">
        <v>65</v>
      </c>
      <c r="C3131" s="34" t="s">
        <v>1508</v>
      </c>
      <c r="F3131" t="s">
        <v>1508</v>
      </c>
      <c r="G3131" t="s">
        <v>801</v>
      </c>
      <c r="H3131">
        <v>6</v>
      </c>
      <c r="I3131">
        <f>VLOOKUP(B3131,BRAND!B:D,3,FALSE)</f>
        <v>3</v>
      </c>
      <c r="J3131">
        <v>6</v>
      </c>
      <c r="K3131" t="s">
        <v>822</v>
      </c>
      <c r="M3131">
        <v>1</v>
      </c>
    </row>
    <row r="3132" spans="1:13">
      <c r="A3132" t="s">
        <v>5036</v>
      </c>
      <c r="B3132" t="s">
        <v>65</v>
      </c>
      <c r="C3132" s="34" t="s">
        <v>799</v>
      </c>
      <c r="F3132" t="s">
        <v>799</v>
      </c>
      <c r="G3132" t="s">
        <v>801</v>
      </c>
      <c r="H3132">
        <v>6</v>
      </c>
      <c r="I3132">
        <f>VLOOKUP(B3132,BRAND!B:D,3,FALSE)</f>
        <v>3</v>
      </c>
      <c r="J3132">
        <v>5</v>
      </c>
      <c r="K3132" t="s">
        <v>822</v>
      </c>
      <c r="M3132">
        <v>1</v>
      </c>
    </row>
    <row r="3133" spans="1:13">
      <c r="A3133" t="s">
        <v>4910</v>
      </c>
      <c r="B3133" t="s">
        <v>65</v>
      </c>
      <c r="C3133" s="34" t="s">
        <v>1438</v>
      </c>
      <c r="F3133" t="s">
        <v>1438</v>
      </c>
      <c r="G3133" t="s">
        <v>801</v>
      </c>
      <c r="H3133">
        <v>6</v>
      </c>
      <c r="I3133">
        <f>VLOOKUP(B3133,BRAND!B:D,3,FALSE)</f>
        <v>3</v>
      </c>
      <c r="J3133">
        <v>4</v>
      </c>
      <c r="K3133" t="s">
        <v>822</v>
      </c>
      <c r="M3133">
        <v>1</v>
      </c>
    </row>
    <row r="3134" spans="1:13">
      <c r="A3134" t="s">
        <v>1434</v>
      </c>
      <c r="B3134" t="s">
        <v>65</v>
      </c>
      <c r="C3134" s="34" t="s">
        <v>1438</v>
      </c>
      <c r="F3134" t="s">
        <v>1438</v>
      </c>
      <c r="H3134">
        <v>15</v>
      </c>
      <c r="I3134">
        <f>VLOOKUP(B3134,BRAND!B:D,3,FALSE)</f>
        <v>3</v>
      </c>
      <c r="J3134">
        <v>4</v>
      </c>
      <c r="K3134" t="s">
        <v>822</v>
      </c>
      <c r="M3134">
        <v>1</v>
      </c>
    </row>
    <row r="3135" spans="1:13">
      <c r="A3135" t="s">
        <v>4671</v>
      </c>
      <c r="B3135" t="s">
        <v>485</v>
      </c>
      <c r="C3135" s="34" t="s">
        <v>783</v>
      </c>
      <c r="F3135" t="s">
        <v>783</v>
      </c>
      <c r="H3135">
        <v>5</v>
      </c>
      <c r="I3135">
        <f>VLOOKUP(B3135,BRAND!B:D,3,FALSE)</f>
        <v>3</v>
      </c>
      <c r="J3135">
        <f>LEN(F3135)</f>
        <v>10</v>
      </c>
      <c r="K3135" t="s">
        <v>821</v>
      </c>
      <c r="M3135">
        <v>0</v>
      </c>
    </row>
    <row r="3136" spans="1:13">
      <c r="A3136" t="s">
        <v>4542</v>
      </c>
      <c r="B3136" t="s">
        <v>485</v>
      </c>
      <c r="C3136" s="34" t="s">
        <v>1979</v>
      </c>
      <c r="F3136" t="s">
        <v>1979</v>
      </c>
      <c r="H3136">
        <v>5</v>
      </c>
      <c r="I3136">
        <f>VLOOKUP(B3136,BRAND!B:D,3,FALSE)</f>
        <v>3</v>
      </c>
      <c r="J3136">
        <v>5</v>
      </c>
      <c r="K3136" t="s">
        <v>821</v>
      </c>
      <c r="M3136">
        <v>0</v>
      </c>
    </row>
    <row r="3137" spans="1:13">
      <c r="A3137" t="s">
        <v>3203</v>
      </c>
      <c r="B3137" t="s">
        <v>485</v>
      </c>
      <c r="C3137" s="34" t="s">
        <v>775</v>
      </c>
      <c r="F3137" t="s">
        <v>775</v>
      </c>
      <c r="H3137">
        <v>5</v>
      </c>
      <c r="I3137">
        <f>VLOOKUP(B3137,BRAND!B:D,3,FALSE)</f>
        <v>3</v>
      </c>
      <c r="J3137">
        <v>3</v>
      </c>
      <c r="K3137" t="s">
        <v>821</v>
      </c>
      <c r="M3137">
        <v>0</v>
      </c>
    </row>
    <row r="3138" spans="1:13">
      <c r="A3138" t="s">
        <v>3204</v>
      </c>
      <c r="B3138" t="s">
        <v>485</v>
      </c>
      <c r="C3138" s="34" t="s">
        <v>1438</v>
      </c>
      <c r="F3138" t="s">
        <v>1438</v>
      </c>
      <c r="H3138">
        <v>15</v>
      </c>
      <c r="I3138">
        <f>VLOOKUP(B3138,BRAND!B:D,3,FALSE)</f>
        <v>3</v>
      </c>
      <c r="J3138">
        <v>4</v>
      </c>
      <c r="K3138" t="s">
        <v>821</v>
      </c>
      <c r="M3138">
        <v>0</v>
      </c>
    </row>
    <row r="3139" spans="1:13">
      <c r="A3139" t="s">
        <v>7722</v>
      </c>
      <c r="B3139" t="s">
        <v>7723</v>
      </c>
      <c r="C3139" s="34" t="s">
        <v>1438</v>
      </c>
      <c r="F3139" t="s">
        <v>1438</v>
      </c>
      <c r="G3139" t="s">
        <v>6932</v>
      </c>
      <c r="H3139">
        <v>5</v>
      </c>
      <c r="I3139">
        <f>VLOOKUP(B3139,BRAND!B:D,3,FALSE)</f>
        <v>5.5</v>
      </c>
      <c r="J3139">
        <v>4</v>
      </c>
      <c r="M3139">
        <v>1</v>
      </c>
    </row>
    <row r="3140" spans="1:13">
      <c r="A3140" t="s">
        <v>2177</v>
      </c>
      <c r="B3140" t="s">
        <v>1037</v>
      </c>
      <c r="C3140" s="34" t="s">
        <v>913</v>
      </c>
      <c r="F3140" t="s">
        <v>913</v>
      </c>
      <c r="H3140">
        <v>5</v>
      </c>
      <c r="I3140">
        <f>VLOOKUP(B3140,BRAND!B:D,3,FALSE)</f>
        <v>3</v>
      </c>
      <c r="J3140">
        <v>5</v>
      </c>
      <c r="K3140" t="s">
        <v>821</v>
      </c>
      <c r="M3140">
        <v>0</v>
      </c>
    </row>
    <row r="3141" spans="1:13">
      <c r="A3141" t="s">
        <v>4636</v>
      </c>
      <c r="B3141" t="s">
        <v>1258</v>
      </c>
      <c r="C3141" s="34" t="s">
        <v>1438</v>
      </c>
      <c r="F3141" t="s">
        <v>1438</v>
      </c>
      <c r="H3141">
        <v>15</v>
      </c>
      <c r="I3141">
        <f>VLOOKUP(B3141,BRAND!B:D,3,FALSE)</f>
        <v>5.5</v>
      </c>
      <c r="J3141">
        <v>4</v>
      </c>
      <c r="K3141" t="e">
        <v>#N/A</v>
      </c>
      <c r="M3141">
        <v>0</v>
      </c>
    </row>
    <row r="3142" spans="1:13">
      <c r="A3142" t="s">
        <v>2170</v>
      </c>
      <c r="B3142" t="s">
        <v>66</v>
      </c>
      <c r="C3142" s="34" t="s">
        <v>534</v>
      </c>
      <c r="F3142" t="s">
        <v>534</v>
      </c>
      <c r="H3142">
        <v>5</v>
      </c>
      <c r="I3142">
        <f>VLOOKUP(B3142,BRAND!B:D,3,FALSE)</f>
        <v>3</v>
      </c>
      <c r="J3142">
        <v>6</v>
      </c>
      <c r="K3142" t="s">
        <v>821</v>
      </c>
      <c r="M3142">
        <v>0</v>
      </c>
    </row>
    <row r="3143" spans="1:13">
      <c r="A3143" t="s">
        <v>3366</v>
      </c>
      <c r="B3143" t="s">
        <v>66</v>
      </c>
      <c r="C3143" s="34" t="s">
        <v>536</v>
      </c>
      <c r="F3143" t="s">
        <v>536</v>
      </c>
      <c r="H3143">
        <v>5</v>
      </c>
      <c r="I3143">
        <f>VLOOKUP(B3143,BRAND!B:D,3,FALSE)</f>
        <v>3</v>
      </c>
      <c r="J3143">
        <v>5</v>
      </c>
      <c r="K3143" t="s">
        <v>821</v>
      </c>
      <c r="M3143">
        <v>0</v>
      </c>
    </row>
    <row r="3144" spans="1:13">
      <c r="A3144" t="s">
        <v>2063</v>
      </c>
      <c r="B3144" t="s">
        <v>66</v>
      </c>
      <c r="C3144" s="34" t="s">
        <v>1438</v>
      </c>
      <c r="F3144" t="s">
        <v>1438</v>
      </c>
      <c r="H3144">
        <v>15</v>
      </c>
      <c r="I3144">
        <f>VLOOKUP(B3144,BRAND!B:D,3,FALSE)</f>
        <v>3</v>
      </c>
      <c r="J3144">
        <v>4</v>
      </c>
      <c r="K3144" t="s">
        <v>821</v>
      </c>
      <c r="M3144">
        <v>1</v>
      </c>
    </row>
    <row r="3145" spans="1:13">
      <c r="A3145" t="s">
        <v>3263</v>
      </c>
      <c r="B3145" t="s">
        <v>1259</v>
      </c>
      <c r="C3145" s="34" t="s">
        <v>1438</v>
      </c>
      <c r="F3145" t="s">
        <v>1438</v>
      </c>
      <c r="H3145">
        <v>15</v>
      </c>
      <c r="I3145">
        <f>VLOOKUP(B3145,BRAND!B:D,3,FALSE)</f>
        <v>3</v>
      </c>
      <c r="J3145">
        <v>4</v>
      </c>
      <c r="K3145" t="s">
        <v>821</v>
      </c>
      <c r="M3145">
        <v>0</v>
      </c>
    </row>
    <row r="3146" spans="1:13">
      <c r="A3146" t="s">
        <v>14521</v>
      </c>
      <c r="B3146" t="s">
        <v>14519</v>
      </c>
      <c r="C3146" s="34" t="s">
        <v>10023</v>
      </c>
      <c r="F3146" t="s">
        <v>14522</v>
      </c>
      <c r="G3146" t="s">
        <v>6932</v>
      </c>
      <c r="H3146">
        <v>5</v>
      </c>
      <c r="I3146">
        <f>VLOOKUP(B3146,BRAND!B:D,3,FALSE)</f>
        <v>0</v>
      </c>
      <c r="J3146">
        <f>LEN(F3146)</f>
        <v>37</v>
      </c>
      <c r="K3146" t="s">
        <v>821</v>
      </c>
      <c r="L3146">
        <v>0</v>
      </c>
      <c r="M3146">
        <v>1</v>
      </c>
    </row>
    <row r="3147" spans="1:13">
      <c r="A3147" t="s">
        <v>14523</v>
      </c>
      <c r="B3147" t="s">
        <v>14519</v>
      </c>
      <c r="C3147" s="34" t="s">
        <v>786</v>
      </c>
      <c r="F3147" t="s">
        <v>14524</v>
      </c>
      <c r="G3147" t="s">
        <v>6932</v>
      </c>
      <c r="H3147">
        <v>5</v>
      </c>
      <c r="I3147">
        <f>VLOOKUP(B3147,BRAND!B:D,3,FALSE)</f>
        <v>0</v>
      </c>
      <c r="J3147">
        <f>LEN(F3147)</f>
        <v>32</v>
      </c>
      <c r="K3147" t="s">
        <v>821</v>
      </c>
      <c r="L3147">
        <v>0</v>
      </c>
      <c r="M3147">
        <v>1</v>
      </c>
    </row>
    <row r="3148" spans="1:13">
      <c r="A3148" t="s">
        <v>14525</v>
      </c>
      <c r="B3148" t="s">
        <v>14519</v>
      </c>
      <c r="C3148" s="34" t="s">
        <v>8921</v>
      </c>
      <c r="F3148" t="s">
        <v>14526</v>
      </c>
      <c r="G3148" t="s">
        <v>6932</v>
      </c>
      <c r="H3148">
        <v>5</v>
      </c>
      <c r="I3148">
        <f>VLOOKUP(B3148,BRAND!B:D,3,FALSE)</f>
        <v>0</v>
      </c>
      <c r="J3148">
        <f>LEN(F3148)</f>
        <v>21</v>
      </c>
      <c r="K3148" t="s">
        <v>821</v>
      </c>
      <c r="L3148">
        <v>0</v>
      </c>
      <c r="M3148">
        <v>1</v>
      </c>
    </row>
    <row r="3149" spans="1:13">
      <c r="A3149" t="s">
        <v>14520</v>
      </c>
      <c r="B3149" t="s">
        <v>14519</v>
      </c>
      <c r="C3149" s="34" t="s">
        <v>777</v>
      </c>
      <c r="F3149" t="s">
        <v>777</v>
      </c>
      <c r="G3149" t="s">
        <v>6932</v>
      </c>
      <c r="H3149">
        <v>5</v>
      </c>
      <c r="I3149">
        <f>VLOOKUP(B3149,BRAND!B:D,3,FALSE)</f>
        <v>0</v>
      </c>
      <c r="J3149">
        <f>LEN(F3149)</f>
        <v>7</v>
      </c>
      <c r="K3149" t="s">
        <v>821</v>
      </c>
      <c r="L3149">
        <v>0</v>
      </c>
      <c r="M3149">
        <v>1</v>
      </c>
    </row>
    <row r="3150" spans="1:13">
      <c r="A3150" t="s">
        <v>15294</v>
      </c>
      <c r="B3150" t="s">
        <v>14519</v>
      </c>
      <c r="C3150" s="34" t="s">
        <v>15295</v>
      </c>
      <c r="F3150" t="s">
        <v>15295</v>
      </c>
      <c r="G3150" t="s">
        <v>6932</v>
      </c>
      <c r="H3150">
        <v>5</v>
      </c>
      <c r="I3150">
        <f>VLOOKUP(B3150,BRAND!B:D,3,FALSE)</f>
        <v>0</v>
      </c>
      <c r="J3150">
        <v>0</v>
      </c>
      <c r="K3150" t="s">
        <v>821</v>
      </c>
      <c r="L3150">
        <v>0</v>
      </c>
      <c r="M3150">
        <v>0</v>
      </c>
    </row>
    <row r="3151" spans="1:13">
      <c r="A3151" t="s">
        <v>14883</v>
      </c>
      <c r="B3151" t="s">
        <v>14519</v>
      </c>
      <c r="C3151" s="34" t="s">
        <v>5232</v>
      </c>
      <c r="F3151" t="s">
        <v>5232</v>
      </c>
      <c r="G3151" t="s">
        <v>6932</v>
      </c>
      <c r="H3151">
        <v>6</v>
      </c>
      <c r="I3151">
        <f>VLOOKUP(B3151,BRAND!B:D,3,FALSE)</f>
        <v>0</v>
      </c>
      <c r="J3151">
        <f>LEN(F3151)</f>
        <v>10</v>
      </c>
      <c r="K3151" t="s">
        <v>821</v>
      </c>
      <c r="L3151">
        <v>0</v>
      </c>
      <c r="M3151">
        <v>1</v>
      </c>
    </row>
    <row r="3152" spans="1:13">
      <c r="A3152" t="s">
        <v>3345</v>
      </c>
      <c r="B3152" t="s">
        <v>839</v>
      </c>
      <c r="C3152" s="34" t="s">
        <v>776</v>
      </c>
      <c r="F3152" t="s">
        <v>776</v>
      </c>
      <c r="H3152">
        <v>5</v>
      </c>
      <c r="I3152">
        <f>VLOOKUP(B3152,BRAND!B:D,3,FALSE)</f>
        <v>9</v>
      </c>
      <c r="J3152">
        <v>5</v>
      </c>
      <c r="K3152" t="s">
        <v>821</v>
      </c>
      <c r="M3152">
        <v>0</v>
      </c>
    </row>
    <row r="3153" spans="1:13">
      <c r="A3153" t="s">
        <v>9668</v>
      </c>
      <c r="B3153" t="s">
        <v>6593</v>
      </c>
      <c r="C3153" s="34" t="s">
        <v>6964</v>
      </c>
      <c r="F3153" t="s">
        <v>6594</v>
      </c>
      <c r="H3153">
        <v>5</v>
      </c>
      <c r="I3153">
        <f>VLOOKUP(B3153,BRAND!B:D,3,FALSE)</f>
        <v>5</v>
      </c>
      <c r="J3153">
        <v>6</v>
      </c>
      <c r="L3153">
        <v>1</v>
      </c>
      <c r="M3153">
        <v>1</v>
      </c>
    </row>
    <row r="3154" spans="1:13">
      <c r="A3154" t="s">
        <v>8231</v>
      </c>
      <c r="B3154" t="s">
        <v>8228</v>
      </c>
      <c r="C3154" s="34" t="s">
        <v>8232</v>
      </c>
      <c r="F3154" t="s">
        <v>8232</v>
      </c>
      <c r="G3154" t="s">
        <v>6932</v>
      </c>
      <c r="H3154">
        <v>5</v>
      </c>
      <c r="I3154">
        <f>VLOOKUP(B3154,BRAND!B:D,3,FALSE)</f>
        <v>5.5</v>
      </c>
      <c r="J3154">
        <v>7</v>
      </c>
      <c r="M3154">
        <v>1</v>
      </c>
    </row>
    <row r="3155" spans="1:13">
      <c r="A3155" t="s">
        <v>8229</v>
      </c>
      <c r="B3155" t="s">
        <v>8228</v>
      </c>
      <c r="C3155" s="34" t="s">
        <v>534</v>
      </c>
      <c r="F3155" t="s">
        <v>534</v>
      </c>
      <c r="G3155" t="s">
        <v>6932</v>
      </c>
      <c r="H3155">
        <v>5</v>
      </c>
      <c r="I3155">
        <f>VLOOKUP(B3155,BRAND!B:D,3,FALSE)</f>
        <v>5.5</v>
      </c>
      <c r="J3155">
        <v>6</v>
      </c>
      <c r="M3155">
        <v>1</v>
      </c>
    </row>
    <row r="3156" spans="1:13">
      <c r="A3156" t="s">
        <v>8230</v>
      </c>
      <c r="B3156" t="s">
        <v>8228</v>
      </c>
      <c r="C3156" s="34" t="s">
        <v>536</v>
      </c>
      <c r="F3156" t="s">
        <v>536</v>
      </c>
      <c r="G3156" t="s">
        <v>6932</v>
      </c>
      <c r="H3156">
        <v>5</v>
      </c>
      <c r="I3156">
        <f>VLOOKUP(B3156,BRAND!B:D,3,FALSE)</f>
        <v>5.5</v>
      </c>
      <c r="J3156">
        <v>5</v>
      </c>
      <c r="M3156">
        <v>1</v>
      </c>
    </row>
    <row r="3157" spans="1:13">
      <c r="A3157" t="s">
        <v>8227</v>
      </c>
      <c r="B3157" t="s">
        <v>8228</v>
      </c>
      <c r="C3157" s="34" t="s">
        <v>561</v>
      </c>
      <c r="F3157" t="s">
        <v>561</v>
      </c>
      <c r="G3157" t="s">
        <v>6932</v>
      </c>
      <c r="H3157">
        <v>5</v>
      </c>
      <c r="I3157">
        <f>VLOOKUP(B3157,BRAND!B:D,3,FALSE)</f>
        <v>5.5</v>
      </c>
      <c r="J3157">
        <v>3</v>
      </c>
      <c r="M3157">
        <v>1</v>
      </c>
    </row>
    <row r="3158" spans="1:13">
      <c r="A3158" t="s">
        <v>8233</v>
      </c>
      <c r="B3158" t="s">
        <v>8234</v>
      </c>
      <c r="C3158" s="34" t="s">
        <v>1438</v>
      </c>
      <c r="F3158" t="s">
        <v>1438</v>
      </c>
      <c r="G3158" t="s">
        <v>6932</v>
      </c>
      <c r="H3158">
        <v>5</v>
      </c>
      <c r="I3158">
        <f>VLOOKUP(B3158,BRAND!B:D,3,FALSE)</f>
        <v>5.5</v>
      </c>
      <c r="J3158">
        <v>4</v>
      </c>
      <c r="M3158">
        <v>1</v>
      </c>
    </row>
    <row r="3159" spans="1:13">
      <c r="A3159" t="s">
        <v>3840</v>
      </c>
      <c r="B3159" t="s">
        <v>715</v>
      </c>
      <c r="C3159" s="34" t="s">
        <v>536</v>
      </c>
      <c r="F3159" t="s">
        <v>536</v>
      </c>
      <c r="H3159">
        <v>5</v>
      </c>
      <c r="I3159">
        <f>VLOOKUP(B3159,BRAND!B:D,3,FALSE)</f>
        <v>9</v>
      </c>
      <c r="J3159">
        <v>5</v>
      </c>
      <c r="K3159" t="s">
        <v>821</v>
      </c>
      <c r="M3159">
        <v>0</v>
      </c>
    </row>
    <row r="3160" spans="1:13">
      <c r="A3160" t="s">
        <v>4593</v>
      </c>
      <c r="B3160" t="s">
        <v>715</v>
      </c>
      <c r="C3160" s="34" t="s">
        <v>1992</v>
      </c>
      <c r="F3160" t="s">
        <v>1992</v>
      </c>
      <c r="H3160">
        <v>5</v>
      </c>
      <c r="I3160">
        <f>VLOOKUP(B3160,BRAND!B:D,3,FALSE)</f>
        <v>9</v>
      </c>
      <c r="J3160">
        <v>3</v>
      </c>
      <c r="K3160" t="s">
        <v>821</v>
      </c>
      <c r="M3160">
        <v>0</v>
      </c>
    </row>
    <row r="3161" spans="1:13">
      <c r="A3161" t="s">
        <v>2526</v>
      </c>
      <c r="B3161" t="s">
        <v>715</v>
      </c>
      <c r="C3161" s="34" t="s">
        <v>561</v>
      </c>
      <c r="F3161" t="s">
        <v>561</v>
      </c>
      <c r="H3161">
        <v>5</v>
      </c>
      <c r="I3161">
        <f>VLOOKUP(B3161,BRAND!B:D,3,FALSE)</f>
        <v>9</v>
      </c>
      <c r="J3161">
        <v>3</v>
      </c>
      <c r="K3161" t="s">
        <v>821</v>
      </c>
      <c r="M3161">
        <v>0</v>
      </c>
    </row>
    <row r="3162" spans="1:13">
      <c r="A3162" t="s">
        <v>2477</v>
      </c>
      <c r="B3162" t="s">
        <v>715</v>
      </c>
      <c r="C3162" s="34" t="s">
        <v>775</v>
      </c>
      <c r="F3162" t="s">
        <v>775</v>
      </c>
      <c r="H3162">
        <v>5</v>
      </c>
      <c r="I3162">
        <f>VLOOKUP(B3162,BRAND!B:D,3,FALSE)</f>
        <v>9</v>
      </c>
      <c r="J3162">
        <v>3</v>
      </c>
      <c r="K3162" t="s">
        <v>821</v>
      </c>
      <c r="M3162">
        <v>0</v>
      </c>
    </row>
    <row r="3163" spans="1:13">
      <c r="A3163" t="s">
        <v>4941</v>
      </c>
      <c r="B3163" t="s">
        <v>715</v>
      </c>
      <c r="C3163" s="34" t="s">
        <v>1438</v>
      </c>
      <c r="F3163" t="s">
        <v>1438</v>
      </c>
      <c r="G3163" t="s">
        <v>801</v>
      </c>
      <c r="H3163">
        <v>6</v>
      </c>
      <c r="I3163">
        <f>VLOOKUP(B3163,BRAND!B:D,3,FALSE)</f>
        <v>9</v>
      </c>
      <c r="J3163">
        <v>4</v>
      </c>
      <c r="K3163" t="s">
        <v>821</v>
      </c>
      <c r="M3163">
        <v>0</v>
      </c>
    </row>
    <row r="3164" spans="1:13">
      <c r="A3164" t="s">
        <v>2033</v>
      </c>
      <c r="B3164" t="s">
        <v>715</v>
      </c>
      <c r="C3164" s="34" t="s">
        <v>1438</v>
      </c>
      <c r="F3164" t="s">
        <v>1438</v>
      </c>
      <c r="H3164">
        <v>15</v>
      </c>
      <c r="I3164">
        <f>VLOOKUP(B3164,BRAND!B:D,3,FALSE)</f>
        <v>9</v>
      </c>
      <c r="J3164">
        <v>4</v>
      </c>
      <c r="K3164" t="s">
        <v>821</v>
      </c>
      <c r="M3164">
        <v>0</v>
      </c>
    </row>
    <row r="3165" spans="1:13">
      <c r="A3165" t="s">
        <v>4395</v>
      </c>
      <c r="B3165" t="s">
        <v>1859</v>
      </c>
      <c r="C3165" s="34" t="s">
        <v>1438</v>
      </c>
      <c r="F3165" t="s">
        <v>1438</v>
      </c>
      <c r="H3165">
        <v>15</v>
      </c>
      <c r="I3165">
        <f>VLOOKUP(B3165,BRAND!B:D,3,FALSE)</f>
        <v>9</v>
      </c>
      <c r="J3165">
        <v>4</v>
      </c>
      <c r="K3165" t="s">
        <v>821</v>
      </c>
      <c r="M3165">
        <v>0</v>
      </c>
    </row>
    <row r="3166" spans="1:13">
      <c r="A3166" t="s">
        <v>9670</v>
      </c>
      <c r="B3166" t="s">
        <v>1818</v>
      </c>
      <c r="C3166" s="34" t="s">
        <v>798</v>
      </c>
      <c r="F3166" t="s">
        <v>798</v>
      </c>
      <c r="G3166" t="s">
        <v>6932</v>
      </c>
      <c r="H3166">
        <v>5</v>
      </c>
      <c r="I3166">
        <f>VLOOKUP(B3166,BRAND!B:D,3,FALSE)</f>
        <v>3</v>
      </c>
      <c r="J3166">
        <v>9</v>
      </c>
      <c r="M3166">
        <v>1</v>
      </c>
    </row>
    <row r="3167" spans="1:13">
      <c r="A3167" t="s">
        <v>9669</v>
      </c>
      <c r="B3167" t="s">
        <v>1818</v>
      </c>
      <c r="C3167" s="34" t="s">
        <v>561</v>
      </c>
      <c r="F3167" t="s">
        <v>561</v>
      </c>
      <c r="G3167" t="s">
        <v>6932</v>
      </c>
      <c r="H3167">
        <v>5</v>
      </c>
      <c r="I3167">
        <f>VLOOKUP(B3167,BRAND!B:D,3,FALSE)</f>
        <v>3</v>
      </c>
      <c r="J3167">
        <v>3</v>
      </c>
      <c r="M3167">
        <v>1</v>
      </c>
    </row>
    <row r="3168" spans="1:13">
      <c r="A3168" t="s">
        <v>9672</v>
      </c>
      <c r="B3168" t="s">
        <v>9992</v>
      </c>
      <c r="C3168" s="34" t="s">
        <v>1987</v>
      </c>
      <c r="F3168" t="s">
        <v>1987</v>
      </c>
      <c r="H3168">
        <v>5</v>
      </c>
      <c r="I3168">
        <f>VLOOKUP(B3168,BRAND!B:D,3,FALSE)</f>
        <v>5.5</v>
      </c>
      <c r="J3168">
        <v>3</v>
      </c>
      <c r="M3168">
        <v>1</v>
      </c>
    </row>
    <row r="3169" spans="1:13">
      <c r="A3169" t="s">
        <v>2719</v>
      </c>
      <c r="B3169" t="s">
        <v>1768</v>
      </c>
      <c r="C3169" s="34" t="s">
        <v>1438</v>
      </c>
      <c r="F3169" t="s">
        <v>1438</v>
      </c>
      <c r="H3169">
        <v>15</v>
      </c>
      <c r="I3169">
        <f>VLOOKUP(B3169,BRAND!B:D,3,FALSE)</f>
        <v>3</v>
      </c>
      <c r="J3169">
        <v>4</v>
      </c>
      <c r="K3169" t="s">
        <v>821</v>
      </c>
      <c r="M3169">
        <v>0</v>
      </c>
    </row>
    <row r="3170" spans="1:13">
      <c r="A3170" t="s">
        <v>9676</v>
      </c>
      <c r="B3170" t="s">
        <v>405</v>
      </c>
      <c r="C3170" s="34" t="s">
        <v>939</v>
      </c>
      <c r="F3170" t="s">
        <v>939</v>
      </c>
      <c r="G3170" t="s">
        <v>6932</v>
      </c>
      <c r="H3170">
        <v>5</v>
      </c>
      <c r="I3170">
        <f>VLOOKUP(B3170,BRAND!B:D,3,FALSE)</f>
        <v>3</v>
      </c>
      <c r="J3170">
        <f>LEN(F3170)</f>
        <v>10</v>
      </c>
      <c r="M3170">
        <v>1</v>
      </c>
    </row>
    <row r="3171" spans="1:13">
      <c r="A3171" t="s">
        <v>9673</v>
      </c>
      <c r="B3171" t="s">
        <v>405</v>
      </c>
      <c r="C3171" s="34" t="s">
        <v>536</v>
      </c>
      <c r="F3171" t="s">
        <v>536</v>
      </c>
      <c r="G3171" t="s">
        <v>6932</v>
      </c>
      <c r="H3171">
        <v>5</v>
      </c>
      <c r="I3171">
        <f>VLOOKUP(B3171,BRAND!B:D,3,FALSE)</f>
        <v>3</v>
      </c>
      <c r="J3171">
        <v>5</v>
      </c>
      <c r="M3171">
        <v>1</v>
      </c>
    </row>
    <row r="3172" spans="1:13">
      <c r="A3172" t="s">
        <v>9674</v>
      </c>
      <c r="B3172" t="s">
        <v>405</v>
      </c>
      <c r="C3172" s="34" t="s">
        <v>1438</v>
      </c>
      <c r="F3172" t="s">
        <v>1438</v>
      </c>
      <c r="G3172" t="s">
        <v>6932</v>
      </c>
      <c r="H3172">
        <v>5</v>
      </c>
      <c r="I3172">
        <f>VLOOKUP(B3172,BRAND!B:D,3,FALSE)</f>
        <v>3</v>
      </c>
      <c r="J3172">
        <v>4</v>
      </c>
      <c r="M3172">
        <v>1</v>
      </c>
    </row>
    <row r="3173" spans="1:13">
      <c r="A3173" t="s">
        <v>9675</v>
      </c>
      <c r="B3173" t="s">
        <v>405</v>
      </c>
      <c r="C3173" s="34" t="s">
        <v>775</v>
      </c>
      <c r="F3173" t="s">
        <v>775</v>
      </c>
      <c r="G3173" t="s">
        <v>6932</v>
      </c>
      <c r="H3173">
        <v>5</v>
      </c>
      <c r="I3173">
        <f>VLOOKUP(B3173,BRAND!B:D,3,FALSE)</f>
        <v>3</v>
      </c>
      <c r="J3173">
        <v>3</v>
      </c>
      <c r="M3173">
        <v>1</v>
      </c>
    </row>
    <row r="3174" spans="1:13">
      <c r="A3174" t="s">
        <v>8235</v>
      </c>
      <c r="B3174" t="s">
        <v>8236</v>
      </c>
      <c r="C3174" s="34" t="s">
        <v>1438</v>
      </c>
      <c r="F3174" t="s">
        <v>1438</v>
      </c>
      <c r="G3174" t="s">
        <v>6932</v>
      </c>
      <c r="H3174">
        <v>5</v>
      </c>
      <c r="I3174">
        <f>VLOOKUP(B3174,BRAND!B:D,3,FALSE)</f>
        <v>5.5</v>
      </c>
      <c r="J3174">
        <v>4</v>
      </c>
      <c r="M3174">
        <v>1</v>
      </c>
    </row>
    <row r="3175" spans="1:13">
      <c r="A3175" t="s">
        <v>8237</v>
      </c>
      <c r="B3175" t="s">
        <v>8238</v>
      </c>
      <c r="C3175" s="34" t="s">
        <v>1438</v>
      </c>
      <c r="F3175" t="s">
        <v>1438</v>
      </c>
      <c r="G3175" t="s">
        <v>6932</v>
      </c>
      <c r="H3175">
        <v>5</v>
      </c>
      <c r="I3175">
        <f>VLOOKUP(B3175,BRAND!B:D,3,FALSE)</f>
        <v>5.5</v>
      </c>
      <c r="J3175">
        <v>4</v>
      </c>
      <c r="M3175">
        <v>1</v>
      </c>
    </row>
    <row r="3176" spans="1:13">
      <c r="A3176" t="s">
        <v>7395</v>
      </c>
      <c r="B3176" t="s">
        <v>7394</v>
      </c>
      <c r="C3176" s="34" t="s">
        <v>534</v>
      </c>
      <c r="F3176" t="s">
        <v>534</v>
      </c>
      <c r="G3176" t="s">
        <v>6932</v>
      </c>
      <c r="H3176">
        <v>5</v>
      </c>
      <c r="I3176">
        <f>VLOOKUP(B3176,BRAND!B:D,3,FALSE)</f>
        <v>5.5</v>
      </c>
      <c r="J3176">
        <v>6</v>
      </c>
      <c r="M3176">
        <v>1</v>
      </c>
    </row>
    <row r="3177" spans="1:13">
      <c r="A3177" t="s">
        <v>7397</v>
      </c>
      <c r="B3177" t="s">
        <v>7394</v>
      </c>
      <c r="C3177" s="34" t="s">
        <v>746</v>
      </c>
      <c r="F3177" t="s">
        <v>746</v>
      </c>
      <c r="G3177" t="s">
        <v>6932</v>
      </c>
      <c r="H3177">
        <v>5</v>
      </c>
      <c r="I3177">
        <f>VLOOKUP(B3177,BRAND!B:D,3,FALSE)</f>
        <v>5.5</v>
      </c>
      <c r="J3177">
        <v>6</v>
      </c>
      <c r="M3177">
        <v>1</v>
      </c>
    </row>
    <row r="3178" spans="1:13">
      <c r="A3178" t="s">
        <v>7393</v>
      </c>
      <c r="B3178" t="s">
        <v>7394</v>
      </c>
      <c r="C3178" s="34" t="s">
        <v>5232</v>
      </c>
      <c r="F3178" t="s">
        <v>536</v>
      </c>
      <c r="G3178" t="s">
        <v>6932</v>
      </c>
      <c r="H3178">
        <v>5</v>
      </c>
      <c r="I3178">
        <f>VLOOKUP(B3178,BRAND!B:D,3,FALSE)</f>
        <v>5.5</v>
      </c>
      <c r="J3178">
        <v>5</v>
      </c>
      <c r="M3178">
        <v>1</v>
      </c>
    </row>
    <row r="3179" spans="1:13">
      <c r="A3179" t="s">
        <v>7396</v>
      </c>
      <c r="B3179" t="s">
        <v>7394</v>
      </c>
      <c r="C3179" s="34" t="s">
        <v>872</v>
      </c>
      <c r="F3179" t="s">
        <v>872</v>
      </c>
      <c r="G3179" t="s">
        <v>6932</v>
      </c>
      <c r="H3179">
        <v>5</v>
      </c>
      <c r="I3179">
        <f>VLOOKUP(B3179,BRAND!B:D,3,FALSE)</f>
        <v>5.5</v>
      </c>
      <c r="J3179">
        <v>5</v>
      </c>
      <c r="M3179">
        <v>1</v>
      </c>
    </row>
    <row r="3180" spans="1:13">
      <c r="A3180" t="s">
        <v>4303</v>
      </c>
      <c r="B3180" t="s">
        <v>306</v>
      </c>
      <c r="C3180" s="34" t="s">
        <v>772</v>
      </c>
      <c r="F3180" t="s">
        <v>772</v>
      </c>
      <c r="H3180">
        <v>5</v>
      </c>
      <c r="I3180">
        <f>VLOOKUP(B3180,BRAND!B:D,3,FALSE)</f>
        <v>5</v>
      </c>
      <c r="J3180">
        <v>6</v>
      </c>
      <c r="K3180" t="s">
        <v>821</v>
      </c>
      <c r="M3180">
        <v>1</v>
      </c>
    </row>
    <row r="3181" spans="1:13">
      <c r="A3181" t="s">
        <v>9677</v>
      </c>
      <c r="B3181" t="s">
        <v>306</v>
      </c>
      <c r="C3181" s="34" t="s">
        <v>9993</v>
      </c>
      <c r="F3181" t="s">
        <v>9993</v>
      </c>
      <c r="G3181" t="s">
        <v>6932</v>
      </c>
      <c r="H3181">
        <v>5</v>
      </c>
      <c r="I3181">
        <f>VLOOKUP(B3181,BRAND!B:D,3,FALSE)</f>
        <v>5</v>
      </c>
      <c r="J3181">
        <v>6</v>
      </c>
      <c r="M3181">
        <v>1</v>
      </c>
    </row>
    <row r="3182" spans="1:13">
      <c r="A3182" t="s">
        <v>4304</v>
      </c>
      <c r="B3182" t="s">
        <v>306</v>
      </c>
      <c r="C3182" s="34" t="s">
        <v>534</v>
      </c>
      <c r="F3182" t="s">
        <v>534</v>
      </c>
      <c r="H3182">
        <v>5</v>
      </c>
      <c r="I3182">
        <f>VLOOKUP(B3182,BRAND!B:D,3,FALSE)</f>
        <v>5</v>
      </c>
      <c r="J3182">
        <v>6</v>
      </c>
      <c r="K3182" t="s">
        <v>821</v>
      </c>
      <c r="M3182">
        <v>1</v>
      </c>
    </row>
    <row r="3183" spans="1:13">
      <c r="A3183" t="s">
        <v>4350</v>
      </c>
      <c r="B3183" t="s">
        <v>306</v>
      </c>
      <c r="C3183" s="34" t="s">
        <v>536</v>
      </c>
      <c r="F3183" t="s">
        <v>536</v>
      </c>
      <c r="H3183">
        <v>5</v>
      </c>
      <c r="I3183">
        <f>VLOOKUP(B3183,BRAND!B:D,3,FALSE)</f>
        <v>5</v>
      </c>
      <c r="J3183">
        <v>5</v>
      </c>
      <c r="K3183" t="s">
        <v>821</v>
      </c>
      <c r="M3183">
        <v>1</v>
      </c>
    </row>
    <row r="3184" spans="1:13">
      <c r="A3184" t="s">
        <v>8239</v>
      </c>
      <c r="B3184" t="s">
        <v>306</v>
      </c>
      <c r="C3184" s="34" t="s">
        <v>1438</v>
      </c>
      <c r="F3184" t="s">
        <v>1438</v>
      </c>
      <c r="G3184" t="s">
        <v>6932</v>
      </c>
      <c r="H3184">
        <v>5</v>
      </c>
      <c r="I3184">
        <f>VLOOKUP(B3184,BRAND!B:D,3,FALSE)</f>
        <v>5</v>
      </c>
      <c r="J3184">
        <v>4</v>
      </c>
      <c r="M3184">
        <v>0</v>
      </c>
    </row>
    <row r="3185" spans="1:13">
      <c r="A3185" t="s">
        <v>8240</v>
      </c>
      <c r="B3185" t="s">
        <v>8241</v>
      </c>
      <c r="C3185" s="34" t="s">
        <v>1438</v>
      </c>
      <c r="F3185" t="s">
        <v>1438</v>
      </c>
      <c r="G3185" t="s">
        <v>6932</v>
      </c>
      <c r="H3185">
        <v>5</v>
      </c>
      <c r="I3185">
        <f>VLOOKUP(B3185,BRAND!B:D,3,FALSE)</f>
        <v>5.5</v>
      </c>
      <c r="J3185">
        <v>4</v>
      </c>
      <c r="M3185">
        <v>1</v>
      </c>
    </row>
    <row r="3186" spans="1:13">
      <c r="A3186" t="s">
        <v>5061</v>
      </c>
      <c r="B3186" t="s">
        <v>260</v>
      </c>
      <c r="C3186" s="34" t="s">
        <v>5055</v>
      </c>
      <c r="F3186" t="s">
        <v>5055</v>
      </c>
      <c r="H3186">
        <v>5</v>
      </c>
      <c r="I3186">
        <f>VLOOKUP(B3186,BRAND!B:D,3,FALSE)</f>
        <v>3</v>
      </c>
      <c r="J3186">
        <f>LEN(F3186)</f>
        <v>11</v>
      </c>
      <c r="K3186" t="s">
        <v>821</v>
      </c>
      <c r="M3186">
        <v>1</v>
      </c>
    </row>
    <row r="3187" spans="1:13">
      <c r="A3187" t="s">
        <v>5061</v>
      </c>
      <c r="B3187" t="s">
        <v>260</v>
      </c>
      <c r="C3187" s="34" t="s">
        <v>5055</v>
      </c>
      <c r="F3187" t="s">
        <v>5055</v>
      </c>
      <c r="H3187">
        <v>5</v>
      </c>
      <c r="I3187">
        <f>VLOOKUP(B3187,BRAND!B:D,3,FALSE)</f>
        <v>3</v>
      </c>
      <c r="J3187">
        <f>LEN(F3187)</f>
        <v>11</v>
      </c>
      <c r="K3187" t="s">
        <v>821</v>
      </c>
      <c r="M3187">
        <v>1</v>
      </c>
    </row>
    <row r="3188" spans="1:13">
      <c r="A3188" t="s">
        <v>5058</v>
      </c>
      <c r="B3188" t="s">
        <v>260</v>
      </c>
      <c r="C3188" s="34" t="s">
        <v>994</v>
      </c>
      <c r="F3188" t="s">
        <v>994</v>
      </c>
      <c r="H3188">
        <v>5</v>
      </c>
      <c r="I3188">
        <f>VLOOKUP(B3188,BRAND!B:D,3,FALSE)</f>
        <v>3</v>
      </c>
      <c r="J3188">
        <f>LEN(F3188)</f>
        <v>10</v>
      </c>
      <c r="K3188" t="s">
        <v>821</v>
      </c>
      <c r="M3188">
        <v>1</v>
      </c>
    </row>
    <row r="3189" spans="1:13">
      <c r="A3189" t="s">
        <v>5059</v>
      </c>
      <c r="B3189" t="s">
        <v>260</v>
      </c>
      <c r="C3189" s="34" t="s">
        <v>798</v>
      </c>
      <c r="F3189" t="s">
        <v>798</v>
      </c>
      <c r="H3189">
        <v>5</v>
      </c>
      <c r="I3189">
        <f>VLOOKUP(B3189,BRAND!B:D,3,FALSE)</f>
        <v>3</v>
      </c>
      <c r="J3189">
        <v>9</v>
      </c>
      <c r="K3189" t="s">
        <v>821</v>
      </c>
      <c r="M3189">
        <v>1</v>
      </c>
    </row>
    <row r="3190" spans="1:13">
      <c r="A3190" t="s">
        <v>5062</v>
      </c>
      <c r="B3190" t="s">
        <v>260</v>
      </c>
      <c r="C3190" s="34" t="s">
        <v>880</v>
      </c>
      <c r="F3190" t="s">
        <v>880</v>
      </c>
      <c r="H3190">
        <v>5</v>
      </c>
      <c r="I3190">
        <f>VLOOKUP(B3190,BRAND!B:D,3,FALSE)</f>
        <v>3</v>
      </c>
      <c r="J3190">
        <v>7</v>
      </c>
      <c r="K3190" t="s">
        <v>821</v>
      </c>
      <c r="M3190">
        <v>1</v>
      </c>
    </row>
    <row r="3191" spans="1:13">
      <c r="A3191" t="s">
        <v>5062</v>
      </c>
      <c r="B3191" t="s">
        <v>260</v>
      </c>
      <c r="C3191" s="34" t="s">
        <v>880</v>
      </c>
      <c r="F3191" t="s">
        <v>880</v>
      </c>
      <c r="H3191">
        <v>5</v>
      </c>
      <c r="I3191">
        <f>VLOOKUP(B3191,BRAND!B:D,3,FALSE)</f>
        <v>3</v>
      </c>
      <c r="J3191">
        <v>7</v>
      </c>
      <c r="K3191" t="s">
        <v>821</v>
      </c>
      <c r="M3191">
        <v>1</v>
      </c>
    </row>
    <row r="3192" spans="1:13">
      <c r="A3192" t="s">
        <v>5057</v>
      </c>
      <c r="B3192" t="s">
        <v>260</v>
      </c>
      <c r="C3192" s="34" t="s">
        <v>1500</v>
      </c>
      <c r="F3192" t="s">
        <v>1500</v>
      </c>
      <c r="H3192">
        <v>5</v>
      </c>
      <c r="I3192">
        <f>VLOOKUP(B3192,BRAND!B:D,3,FALSE)</f>
        <v>3</v>
      </c>
      <c r="J3192">
        <v>6</v>
      </c>
      <c r="K3192" t="s">
        <v>821</v>
      </c>
      <c r="M3192">
        <v>0</v>
      </c>
    </row>
    <row r="3193" spans="1:13">
      <c r="A3193" t="s">
        <v>5060</v>
      </c>
      <c r="B3193" t="s">
        <v>260</v>
      </c>
      <c r="C3193" s="34" t="s">
        <v>746</v>
      </c>
      <c r="F3193" t="s">
        <v>746</v>
      </c>
      <c r="H3193">
        <v>5</v>
      </c>
      <c r="I3193">
        <f>VLOOKUP(B3193,BRAND!B:D,3,FALSE)</f>
        <v>3</v>
      </c>
      <c r="J3193">
        <v>6</v>
      </c>
      <c r="K3193" t="s">
        <v>821</v>
      </c>
      <c r="M3193">
        <v>1</v>
      </c>
    </row>
    <row r="3194" spans="1:13">
      <c r="A3194" t="s">
        <v>5063</v>
      </c>
      <c r="B3194" t="s">
        <v>260</v>
      </c>
      <c r="C3194" s="34" t="s">
        <v>881</v>
      </c>
      <c r="F3194" t="s">
        <v>881</v>
      </c>
      <c r="H3194">
        <v>5</v>
      </c>
      <c r="I3194">
        <f>VLOOKUP(B3194,BRAND!B:D,3,FALSE)</f>
        <v>3</v>
      </c>
      <c r="J3194">
        <v>5</v>
      </c>
      <c r="K3194" t="s">
        <v>821</v>
      </c>
      <c r="M3194">
        <v>0</v>
      </c>
    </row>
    <row r="3195" spans="1:13">
      <c r="A3195" t="s">
        <v>5056</v>
      </c>
      <c r="B3195" t="s">
        <v>260</v>
      </c>
      <c r="C3195" s="34" t="s">
        <v>764</v>
      </c>
      <c r="F3195" t="s">
        <v>764</v>
      </c>
      <c r="H3195">
        <v>5</v>
      </c>
      <c r="I3195">
        <f>VLOOKUP(B3195,BRAND!B:D,3,FALSE)</f>
        <v>3</v>
      </c>
      <c r="J3195">
        <v>5</v>
      </c>
      <c r="K3195" t="s">
        <v>821</v>
      </c>
      <c r="M3195">
        <v>1</v>
      </c>
    </row>
    <row r="3196" spans="1:13">
      <c r="A3196" t="s">
        <v>9678</v>
      </c>
      <c r="B3196" t="s">
        <v>260</v>
      </c>
      <c r="C3196" s="34" t="s">
        <v>879</v>
      </c>
      <c r="F3196" t="s">
        <v>879</v>
      </c>
      <c r="G3196" t="s">
        <v>6932</v>
      </c>
      <c r="H3196">
        <v>5</v>
      </c>
      <c r="I3196">
        <f>VLOOKUP(B3196,BRAND!B:D,3,FALSE)</f>
        <v>3</v>
      </c>
      <c r="J3196">
        <v>5</v>
      </c>
      <c r="M3196">
        <v>1</v>
      </c>
    </row>
    <row r="3197" spans="1:13">
      <c r="A3197" t="s">
        <v>9679</v>
      </c>
      <c r="B3197" t="s">
        <v>260</v>
      </c>
      <c r="C3197" s="34" t="s">
        <v>776</v>
      </c>
      <c r="F3197" t="s">
        <v>776</v>
      </c>
      <c r="G3197" t="s">
        <v>6932</v>
      </c>
      <c r="H3197">
        <v>5</v>
      </c>
      <c r="I3197">
        <f>VLOOKUP(B3197,BRAND!B:D,3,FALSE)</f>
        <v>3</v>
      </c>
      <c r="J3197">
        <v>5</v>
      </c>
      <c r="M3197">
        <v>1</v>
      </c>
    </row>
    <row r="3198" spans="1:13">
      <c r="A3198" t="s">
        <v>8242</v>
      </c>
      <c r="B3198" t="s">
        <v>260</v>
      </c>
      <c r="C3198" s="34" t="s">
        <v>1438</v>
      </c>
      <c r="F3198" t="s">
        <v>1438</v>
      </c>
      <c r="G3198" t="s">
        <v>6932</v>
      </c>
      <c r="H3198">
        <v>5</v>
      </c>
      <c r="I3198">
        <f>VLOOKUP(B3198,BRAND!B:D,3,FALSE)</f>
        <v>3</v>
      </c>
      <c r="J3198">
        <v>4</v>
      </c>
      <c r="M3198">
        <v>0</v>
      </c>
    </row>
    <row r="3199" spans="1:13">
      <c r="A3199" t="s">
        <v>7205</v>
      </c>
      <c r="B3199" t="s">
        <v>260</v>
      </c>
      <c r="C3199" s="34" t="s">
        <v>878</v>
      </c>
      <c r="F3199" t="s">
        <v>878</v>
      </c>
      <c r="H3199">
        <v>5</v>
      </c>
      <c r="I3199">
        <f>VLOOKUP(B3199,BRAND!B:D,3,FALSE)</f>
        <v>3</v>
      </c>
      <c r="M3199">
        <v>1</v>
      </c>
    </row>
    <row r="3200" spans="1:13">
      <c r="A3200" t="s">
        <v>7317</v>
      </c>
      <c r="B3200" t="s">
        <v>7311</v>
      </c>
      <c r="C3200" s="34" t="s">
        <v>6629</v>
      </c>
      <c r="F3200" t="s">
        <v>6629</v>
      </c>
      <c r="H3200">
        <v>5</v>
      </c>
      <c r="I3200">
        <f>VLOOKUP(B3200,BRAND!B:D,3,FALSE)</f>
        <v>5.5</v>
      </c>
      <c r="M3200">
        <v>1</v>
      </c>
    </row>
    <row r="3201" spans="1:13">
      <c r="A3201" t="s">
        <v>12487</v>
      </c>
      <c r="B3201" t="s">
        <v>12026</v>
      </c>
      <c r="C3201" s="34" t="s">
        <v>1438</v>
      </c>
      <c r="F3201" t="s">
        <v>1438</v>
      </c>
      <c r="G3201" t="s">
        <v>6932</v>
      </c>
      <c r="H3201">
        <v>5</v>
      </c>
    </row>
    <row r="3202" spans="1:13">
      <c r="A3202" t="s">
        <v>2813</v>
      </c>
      <c r="B3202" t="s">
        <v>1388</v>
      </c>
      <c r="C3202" s="34" t="s">
        <v>1438</v>
      </c>
      <c r="F3202" t="s">
        <v>1438</v>
      </c>
      <c r="H3202">
        <v>15</v>
      </c>
      <c r="I3202">
        <f>VLOOKUP(B3202,BRAND!B:D,3,FALSE)</f>
        <v>3</v>
      </c>
      <c r="J3202">
        <v>4</v>
      </c>
      <c r="K3202" t="s">
        <v>821</v>
      </c>
      <c r="M3202">
        <v>0</v>
      </c>
    </row>
    <row r="3203" spans="1:13">
      <c r="A3203" t="s">
        <v>2056</v>
      </c>
      <c r="B3203" t="s">
        <v>1064</v>
      </c>
      <c r="C3203" s="34" t="s">
        <v>1438</v>
      </c>
      <c r="F3203" t="s">
        <v>1438</v>
      </c>
      <c r="H3203">
        <v>15</v>
      </c>
      <c r="I3203">
        <f>VLOOKUP(B3203,BRAND!B:D,3,FALSE)</f>
        <v>5.5</v>
      </c>
      <c r="J3203">
        <v>4</v>
      </c>
      <c r="K3203" t="e">
        <v>#N/A</v>
      </c>
      <c r="M3203">
        <v>0</v>
      </c>
    </row>
    <row r="3204" spans="1:13">
      <c r="A3204" t="s">
        <v>3727</v>
      </c>
      <c r="B3204" t="s">
        <v>406</v>
      </c>
      <c r="C3204" s="34" t="s">
        <v>772</v>
      </c>
      <c r="F3204" t="s">
        <v>772</v>
      </c>
      <c r="H3204">
        <v>5</v>
      </c>
      <c r="I3204">
        <f>VLOOKUP(B3204,BRAND!B:D,3,FALSE)</f>
        <v>3</v>
      </c>
      <c r="J3204">
        <v>6</v>
      </c>
      <c r="K3204" t="s">
        <v>821</v>
      </c>
      <c r="M3204">
        <v>0</v>
      </c>
    </row>
    <row r="3205" spans="1:13">
      <c r="A3205" t="s">
        <v>8244</v>
      </c>
      <c r="B3205" t="s">
        <v>406</v>
      </c>
      <c r="C3205" s="34" t="s">
        <v>8245</v>
      </c>
      <c r="F3205" t="s">
        <v>8245</v>
      </c>
      <c r="G3205" t="s">
        <v>6932</v>
      </c>
      <c r="H3205">
        <v>5</v>
      </c>
      <c r="I3205">
        <f>VLOOKUP(B3205,BRAND!B:D,3,FALSE)</f>
        <v>3</v>
      </c>
      <c r="J3205">
        <v>6</v>
      </c>
      <c r="M3205">
        <v>1</v>
      </c>
    </row>
    <row r="3206" spans="1:13">
      <c r="A3206" t="s">
        <v>4360</v>
      </c>
      <c r="B3206" t="s">
        <v>406</v>
      </c>
      <c r="C3206" s="34" t="s">
        <v>536</v>
      </c>
      <c r="F3206" t="s">
        <v>536</v>
      </c>
      <c r="H3206">
        <v>5</v>
      </c>
      <c r="I3206">
        <f>VLOOKUP(B3206,BRAND!B:D,3,FALSE)</f>
        <v>3</v>
      </c>
      <c r="J3206">
        <v>5</v>
      </c>
      <c r="K3206" t="s">
        <v>821</v>
      </c>
      <c r="M3206">
        <v>1</v>
      </c>
    </row>
    <row r="3207" spans="1:13">
      <c r="A3207" t="s">
        <v>4361</v>
      </c>
      <c r="B3207" t="s">
        <v>406</v>
      </c>
      <c r="C3207" s="34" t="s">
        <v>561</v>
      </c>
      <c r="F3207" t="s">
        <v>561</v>
      </c>
      <c r="H3207">
        <v>5</v>
      </c>
      <c r="I3207">
        <f>VLOOKUP(B3207,BRAND!B:D,3,FALSE)</f>
        <v>3</v>
      </c>
      <c r="J3207">
        <v>3</v>
      </c>
      <c r="K3207" t="s">
        <v>821</v>
      </c>
      <c r="M3207">
        <v>0</v>
      </c>
    </row>
    <row r="3208" spans="1:13">
      <c r="A3208" t="s">
        <v>8243</v>
      </c>
      <c r="B3208" t="s">
        <v>406</v>
      </c>
      <c r="C3208" s="34">
        <v>9</v>
      </c>
      <c r="F3208">
        <v>9</v>
      </c>
      <c r="G3208" t="s">
        <v>6932</v>
      </c>
      <c r="H3208">
        <v>5</v>
      </c>
      <c r="I3208">
        <f>VLOOKUP(B3208,BRAND!B:D,3,FALSE)</f>
        <v>3</v>
      </c>
      <c r="J3208">
        <v>1</v>
      </c>
      <c r="M3208">
        <v>1</v>
      </c>
    </row>
    <row r="3209" spans="1:13">
      <c r="A3209" t="s">
        <v>2721</v>
      </c>
      <c r="B3209" t="s">
        <v>406</v>
      </c>
      <c r="C3209" s="34" t="s">
        <v>1438</v>
      </c>
      <c r="F3209" t="s">
        <v>1438</v>
      </c>
      <c r="H3209">
        <v>15</v>
      </c>
      <c r="I3209">
        <f>VLOOKUP(B3209,BRAND!B:D,3,FALSE)</f>
        <v>3</v>
      </c>
      <c r="J3209">
        <v>4</v>
      </c>
      <c r="K3209" t="s">
        <v>821</v>
      </c>
      <c r="M3209">
        <v>0</v>
      </c>
    </row>
    <row r="3210" spans="1:13">
      <c r="A3210" t="s">
        <v>4826</v>
      </c>
      <c r="B3210" t="s">
        <v>1260</v>
      </c>
      <c r="C3210" s="34" t="s">
        <v>1510</v>
      </c>
      <c r="F3210" t="s">
        <v>1510</v>
      </c>
      <c r="H3210">
        <v>5</v>
      </c>
      <c r="I3210">
        <f>VLOOKUP(B3210,BRAND!B:D,3,FALSE)</f>
        <v>3</v>
      </c>
      <c r="J3210">
        <v>6</v>
      </c>
      <c r="K3210" t="s">
        <v>821</v>
      </c>
      <c r="M3210">
        <v>0</v>
      </c>
    </row>
    <row r="3211" spans="1:13">
      <c r="A3211" t="s">
        <v>3115</v>
      </c>
      <c r="B3211" t="s">
        <v>1260</v>
      </c>
      <c r="C3211" s="34" t="s">
        <v>1438</v>
      </c>
      <c r="F3211" t="s">
        <v>1438</v>
      </c>
      <c r="H3211">
        <v>15</v>
      </c>
      <c r="I3211">
        <f>VLOOKUP(B3211,BRAND!B:D,3,FALSE)</f>
        <v>3</v>
      </c>
      <c r="J3211">
        <v>4</v>
      </c>
      <c r="K3211" t="s">
        <v>821</v>
      </c>
      <c r="M3211">
        <v>0</v>
      </c>
    </row>
    <row r="3212" spans="1:13">
      <c r="A3212" t="s">
        <v>15024</v>
      </c>
      <c r="B3212" t="s">
        <v>15025</v>
      </c>
      <c r="C3212" s="34" t="s">
        <v>1513</v>
      </c>
      <c r="F3212" t="s">
        <v>1513</v>
      </c>
      <c r="G3212" t="s">
        <v>6932</v>
      </c>
      <c r="H3212">
        <v>5</v>
      </c>
      <c r="I3212">
        <f>VLOOKUP(B3212,BRAND!B:D,3,FALSE)</f>
        <v>5</v>
      </c>
      <c r="J3212">
        <v>0</v>
      </c>
      <c r="K3212" t="s">
        <v>821</v>
      </c>
      <c r="L3212">
        <v>0</v>
      </c>
      <c r="M3212">
        <v>0</v>
      </c>
    </row>
    <row r="3213" spans="1:13">
      <c r="A3213" t="s">
        <v>2339</v>
      </c>
      <c r="B3213" t="s">
        <v>1038</v>
      </c>
      <c r="C3213" s="34" t="s">
        <v>781</v>
      </c>
      <c r="F3213" t="s">
        <v>781</v>
      </c>
      <c r="H3213">
        <v>5</v>
      </c>
      <c r="I3213">
        <f>VLOOKUP(B3213,BRAND!B:D,3,FALSE)</f>
        <v>3</v>
      </c>
      <c r="J3213">
        <v>4</v>
      </c>
      <c r="K3213" t="s">
        <v>821</v>
      </c>
      <c r="M3213">
        <v>0</v>
      </c>
    </row>
    <row r="3214" spans="1:13">
      <c r="A3214" t="s">
        <v>2044</v>
      </c>
      <c r="B3214" t="s">
        <v>820</v>
      </c>
      <c r="C3214" s="34" t="s">
        <v>1438</v>
      </c>
      <c r="F3214" t="s">
        <v>1438</v>
      </c>
      <c r="H3214">
        <v>15</v>
      </c>
      <c r="I3214">
        <f>VLOOKUP(B3214,BRAND!B:D,3,FALSE)</f>
        <v>3</v>
      </c>
      <c r="J3214">
        <v>4</v>
      </c>
      <c r="K3214" t="s">
        <v>821</v>
      </c>
      <c r="M3214">
        <v>0</v>
      </c>
    </row>
    <row r="3215" spans="1:13">
      <c r="A3215" t="s">
        <v>8246</v>
      </c>
      <c r="B3215" t="s">
        <v>407</v>
      </c>
      <c r="C3215" s="34" t="s">
        <v>536</v>
      </c>
      <c r="F3215" t="s">
        <v>536</v>
      </c>
      <c r="G3215" t="s">
        <v>6932</v>
      </c>
      <c r="H3215">
        <v>5</v>
      </c>
      <c r="I3215">
        <f>VLOOKUP(B3215,BRAND!B:D,3,FALSE)</f>
        <v>3</v>
      </c>
      <c r="J3215">
        <v>5</v>
      </c>
      <c r="L3215" s="29"/>
      <c r="M3215">
        <v>1</v>
      </c>
    </row>
    <row r="3216" spans="1:13">
      <c r="A3216" t="s">
        <v>8247</v>
      </c>
      <c r="B3216" t="s">
        <v>407</v>
      </c>
      <c r="C3216" s="34" t="s">
        <v>1438</v>
      </c>
      <c r="F3216" t="s">
        <v>1438</v>
      </c>
      <c r="G3216" t="s">
        <v>6932</v>
      </c>
      <c r="H3216">
        <v>5</v>
      </c>
      <c r="I3216">
        <f>VLOOKUP(B3216,BRAND!B:D,3,FALSE)</f>
        <v>3</v>
      </c>
      <c r="J3216">
        <v>4</v>
      </c>
      <c r="M3216">
        <v>0</v>
      </c>
    </row>
    <row r="3217" spans="1:13">
      <c r="A3217" t="s">
        <v>4591</v>
      </c>
      <c r="B3217" t="s">
        <v>407</v>
      </c>
      <c r="C3217" s="34" t="s">
        <v>775</v>
      </c>
      <c r="F3217" t="s">
        <v>775</v>
      </c>
      <c r="H3217">
        <v>5</v>
      </c>
      <c r="I3217">
        <f>VLOOKUP(B3217,BRAND!B:D,3,FALSE)</f>
        <v>3</v>
      </c>
      <c r="J3217">
        <v>3</v>
      </c>
      <c r="K3217" t="s">
        <v>821</v>
      </c>
      <c r="M3217">
        <v>0</v>
      </c>
    </row>
    <row r="3218" spans="1:13">
      <c r="A3218" t="s">
        <v>9681</v>
      </c>
      <c r="B3218" t="s">
        <v>407</v>
      </c>
      <c r="C3218" s="34" t="s">
        <v>561</v>
      </c>
      <c r="G3218" t="s">
        <v>6932</v>
      </c>
      <c r="H3218">
        <v>5</v>
      </c>
      <c r="I3218">
        <f>VLOOKUP(B3218,BRAND!B:D,3,FALSE)</f>
        <v>3</v>
      </c>
      <c r="J3218">
        <v>0</v>
      </c>
      <c r="M3218">
        <v>1</v>
      </c>
    </row>
    <row r="3219" spans="1:13">
      <c r="A3219" t="s">
        <v>4536</v>
      </c>
      <c r="B3219" t="s">
        <v>407</v>
      </c>
      <c r="C3219" s="34" t="s">
        <v>1438</v>
      </c>
      <c r="F3219" t="s">
        <v>1438</v>
      </c>
      <c r="H3219">
        <v>15</v>
      </c>
      <c r="I3219">
        <f>VLOOKUP(B3219,BRAND!B:D,3,FALSE)</f>
        <v>3</v>
      </c>
      <c r="J3219">
        <v>4</v>
      </c>
      <c r="K3219" t="s">
        <v>821</v>
      </c>
      <c r="M3219">
        <v>0</v>
      </c>
    </row>
    <row r="3220" spans="1:13">
      <c r="A3220" t="s">
        <v>9680</v>
      </c>
      <c r="B3220" t="s">
        <v>9680</v>
      </c>
      <c r="H3220">
        <v>5</v>
      </c>
      <c r="I3220" t="e">
        <f>VLOOKUP(B3220,BRAND!B:D,3,FALSE)</f>
        <v>#N/A</v>
      </c>
      <c r="J3220">
        <v>0</v>
      </c>
      <c r="M3220">
        <v>1</v>
      </c>
    </row>
    <row r="3221" spans="1:13">
      <c r="A3221" t="s">
        <v>2942</v>
      </c>
      <c r="B3221" t="s">
        <v>261</v>
      </c>
      <c r="C3221" s="34" t="s">
        <v>561</v>
      </c>
      <c r="F3221" t="s">
        <v>561</v>
      </c>
      <c r="H3221">
        <v>5</v>
      </c>
      <c r="I3221">
        <f>VLOOKUP(B3221,BRAND!B:D,3,FALSE)</f>
        <v>3</v>
      </c>
      <c r="J3221">
        <v>3</v>
      </c>
      <c r="K3221" t="s">
        <v>821</v>
      </c>
      <c r="M3221">
        <v>0</v>
      </c>
    </row>
    <row r="3222" spans="1:13">
      <c r="A3222" t="s">
        <v>4987</v>
      </c>
      <c r="B3222" t="s">
        <v>261</v>
      </c>
      <c r="C3222" s="34" t="s">
        <v>1438</v>
      </c>
      <c r="F3222" t="s">
        <v>1438</v>
      </c>
      <c r="G3222" t="s">
        <v>801</v>
      </c>
      <c r="H3222">
        <v>6</v>
      </c>
      <c r="I3222">
        <f>VLOOKUP(B3222,BRAND!B:D,3,FALSE)</f>
        <v>3</v>
      </c>
      <c r="J3222">
        <v>4</v>
      </c>
      <c r="K3222" t="s">
        <v>821</v>
      </c>
      <c r="M3222">
        <v>1</v>
      </c>
    </row>
    <row r="3223" spans="1:13">
      <c r="A3223" t="s">
        <v>4975</v>
      </c>
      <c r="B3223" t="s">
        <v>261</v>
      </c>
      <c r="C3223" s="34" t="s">
        <v>561</v>
      </c>
      <c r="F3223" t="s">
        <v>561</v>
      </c>
      <c r="G3223" t="s">
        <v>801</v>
      </c>
      <c r="H3223">
        <v>6</v>
      </c>
      <c r="I3223">
        <f>VLOOKUP(B3223,BRAND!B:D,3,FALSE)</f>
        <v>3</v>
      </c>
      <c r="J3223">
        <v>3</v>
      </c>
      <c r="K3223" t="s">
        <v>821</v>
      </c>
      <c r="M3223">
        <v>0</v>
      </c>
    </row>
    <row r="3224" spans="1:13">
      <c r="A3224" t="s">
        <v>2809</v>
      </c>
      <c r="B3224" t="s">
        <v>261</v>
      </c>
      <c r="C3224" s="34" t="s">
        <v>1438</v>
      </c>
      <c r="F3224" t="s">
        <v>1438</v>
      </c>
      <c r="H3224">
        <v>15</v>
      </c>
      <c r="I3224">
        <f>VLOOKUP(B3224,BRAND!B:D,3,FALSE)</f>
        <v>3</v>
      </c>
      <c r="J3224">
        <v>4</v>
      </c>
      <c r="K3224" t="s">
        <v>821</v>
      </c>
      <c r="M3224">
        <v>1</v>
      </c>
    </row>
    <row r="3225" spans="1:13">
      <c r="A3225" t="s">
        <v>5207</v>
      </c>
      <c r="B3225" t="s">
        <v>68</v>
      </c>
      <c r="C3225" s="34" t="s">
        <v>786</v>
      </c>
      <c r="F3225" t="s">
        <v>786</v>
      </c>
      <c r="H3225">
        <v>3</v>
      </c>
      <c r="I3225">
        <f>VLOOKUP(B3225,BRAND!B:D,3,FALSE)</f>
        <v>3</v>
      </c>
      <c r="J3225">
        <v>3</v>
      </c>
      <c r="K3225" t="s">
        <v>821</v>
      </c>
      <c r="M3225">
        <v>1</v>
      </c>
    </row>
    <row r="3226" spans="1:13">
      <c r="A3226" t="s">
        <v>5210</v>
      </c>
      <c r="B3226" t="s">
        <v>68</v>
      </c>
      <c r="C3226" s="34" t="s">
        <v>5251</v>
      </c>
      <c r="F3226" t="s">
        <v>772</v>
      </c>
      <c r="H3226">
        <v>6</v>
      </c>
      <c r="I3226">
        <f>VLOOKUP(B3226,BRAND!B:D,3,FALSE)</f>
        <v>3</v>
      </c>
      <c r="J3226">
        <v>6</v>
      </c>
      <c r="K3226" t="s">
        <v>821</v>
      </c>
      <c r="M3226">
        <v>1</v>
      </c>
    </row>
    <row r="3227" spans="1:13">
      <c r="A3227" t="s">
        <v>5211</v>
      </c>
      <c r="B3227" t="s">
        <v>68</v>
      </c>
      <c r="C3227" s="34" t="s">
        <v>534</v>
      </c>
      <c r="F3227" t="s">
        <v>534</v>
      </c>
      <c r="H3227">
        <v>6</v>
      </c>
      <c r="I3227">
        <f>VLOOKUP(B3227,BRAND!B:D,3,FALSE)</f>
        <v>3</v>
      </c>
      <c r="J3227">
        <v>6</v>
      </c>
      <c r="K3227" t="s">
        <v>821</v>
      </c>
      <c r="M3227">
        <v>1</v>
      </c>
    </row>
    <row r="3228" spans="1:13">
      <c r="A3228" t="s">
        <v>5209</v>
      </c>
      <c r="B3228" t="s">
        <v>68</v>
      </c>
      <c r="C3228" s="34" t="s">
        <v>746</v>
      </c>
      <c r="F3228" t="s">
        <v>746</v>
      </c>
      <c r="H3228">
        <v>6</v>
      </c>
      <c r="I3228">
        <f>VLOOKUP(B3228,BRAND!B:D,3,FALSE)</f>
        <v>3</v>
      </c>
      <c r="J3228">
        <v>6</v>
      </c>
      <c r="K3228" t="s">
        <v>821</v>
      </c>
      <c r="M3228">
        <v>1</v>
      </c>
    </row>
    <row r="3229" spans="1:13">
      <c r="A3229" t="s">
        <v>5208</v>
      </c>
      <c r="B3229" t="s">
        <v>68</v>
      </c>
      <c r="C3229" s="34" t="s">
        <v>536</v>
      </c>
      <c r="F3229" t="s">
        <v>536</v>
      </c>
      <c r="H3229">
        <v>6</v>
      </c>
      <c r="I3229">
        <f>VLOOKUP(B3229,BRAND!B:D,3,FALSE)</f>
        <v>3</v>
      </c>
      <c r="J3229">
        <v>5</v>
      </c>
      <c r="K3229" t="s">
        <v>821</v>
      </c>
      <c r="M3229">
        <v>1</v>
      </c>
    </row>
    <row r="3230" spans="1:13">
      <c r="A3230" t="s">
        <v>4887</v>
      </c>
      <c r="B3230" t="s">
        <v>326</v>
      </c>
      <c r="C3230" s="34" t="s">
        <v>1992</v>
      </c>
      <c r="F3230" t="s">
        <v>1992</v>
      </c>
      <c r="H3230">
        <v>5</v>
      </c>
      <c r="I3230">
        <f>VLOOKUP(B3230,BRAND!B:D,3,FALSE)</f>
        <v>3</v>
      </c>
      <c r="J3230">
        <v>3</v>
      </c>
      <c r="K3230" t="s">
        <v>821</v>
      </c>
      <c r="M3230">
        <v>0</v>
      </c>
    </row>
    <row r="3231" spans="1:13">
      <c r="A3231" t="s">
        <v>3346</v>
      </c>
      <c r="B3231" t="s">
        <v>326</v>
      </c>
      <c r="C3231" s="34" t="s">
        <v>1438</v>
      </c>
      <c r="F3231" t="s">
        <v>1438</v>
      </c>
      <c r="H3231">
        <v>15</v>
      </c>
      <c r="I3231">
        <f>VLOOKUP(B3231,BRAND!B:D,3,FALSE)</f>
        <v>3</v>
      </c>
      <c r="J3231">
        <v>4</v>
      </c>
      <c r="K3231" t="s">
        <v>821</v>
      </c>
      <c r="M3231">
        <v>1</v>
      </c>
    </row>
    <row r="3232" spans="1:13">
      <c r="A3232" t="s">
        <v>8248</v>
      </c>
      <c r="B3232" t="s">
        <v>8249</v>
      </c>
      <c r="C3232" s="34" t="s">
        <v>1438</v>
      </c>
      <c r="F3232" t="s">
        <v>1438</v>
      </c>
      <c r="G3232" t="s">
        <v>6932</v>
      </c>
      <c r="H3232">
        <v>5</v>
      </c>
      <c r="I3232">
        <f>VLOOKUP(B3232,BRAND!B:D,3,FALSE)</f>
        <v>5.5</v>
      </c>
      <c r="J3232">
        <v>4</v>
      </c>
      <c r="M3232">
        <v>0</v>
      </c>
    </row>
    <row r="3233" spans="1:13">
      <c r="A3233" t="s">
        <v>7269</v>
      </c>
      <c r="B3233" t="s">
        <v>7270</v>
      </c>
      <c r="C3233" s="34" t="s">
        <v>1438</v>
      </c>
      <c r="F3233" t="s">
        <v>1438</v>
      </c>
      <c r="G3233" t="s">
        <v>6932</v>
      </c>
      <c r="H3233">
        <v>5</v>
      </c>
      <c r="I3233">
        <f>VLOOKUP(B3233,BRAND!B:D,3,FALSE)</f>
        <v>5.5</v>
      </c>
      <c r="J3233">
        <v>4</v>
      </c>
      <c r="M3233">
        <v>1</v>
      </c>
    </row>
    <row r="3234" spans="1:13">
      <c r="A3234" t="s">
        <v>7269</v>
      </c>
      <c r="B3234" t="s">
        <v>7270</v>
      </c>
      <c r="C3234" s="34" t="s">
        <v>1438</v>
      </c>
      <c r="F3234" t="s">
        <v>1438</v>
      </c>
      <c r="H3234">
        <v>5</v>
      </c>
      <c r="I3234">
        <f>VLOOKUP(B3234,BRAND!B:D,3,FALSE)</f>
        <v>5.5</v>
      </c>
      <c r="M3234">
        <v>1</v>
      </c>
    </row>
    <row r="3235" spans="1:13">
      <c r="A3235" t="s">
        <v>4081</v>
      </c>
      <c r="B3235" t="s">
        <v>606</v>
      </c>
      <c r="C3235" s="34" t="s">
        <v>840</v>
      </c>
      <c r="F3235" t="s">
        <v>840</v>
      </c>
      <c r="H3235">
        <v>5</v>
      </c>
      <c r="I3235">
        <f>VLOOKUP(B3235,BRAND!B:D,3,FALSE)</f>
        <v>3</v>
      </c>
      <c r="J3235">
        <v>9</v>
      </c>
      <c r="K3235" t="s">
        <v>821</v>
      </c>
      <c r="M3235">
        <v>1</v>
      </c>
    </row>
    <row r="3236" spans="1:13">
      <c r="A3236" t="s">
        <v>2609</v>
      </c>
      <c r="B3236" t="s">
        <v>606</v>
      </c>
      <c r="C3236" s="34" t="s">
        <v>772</v>
      </c>
      <c r="F3236" t="s">
        <v>772</v>
      </c>
      <c r="H3236">
        <v>5</v>
      </c>
      <c r="I3236">
        <f>VLOOKUP(B3236,BRAND!B:D,3,FALSE)</f>
        <v>3</v>
      </c>
      <c r="J3236">
        <v>6</v>
      </c>
      <c r="K3236" t="s">
        <v>821</v>
      </c>
      <c r="M3236">
        <v>1</v>
      </c>
    </row>
    <row r="3237" spans="1:13">
      <c r="A3237" t="s">
        <v>2608</v>
      </c>
      <c r="B3237" t="s">
        <v>606</v>
      </c>
      <c r="C3237" s="34" t="s">
        <v>534</v>
      </c>
      <c r="F3237" t="s">
        <v>534</v>
      </c>
      <c r="H3237">
        <v>5</v>
      </c>
      <c r="I3237">
        <f>VLOOKUP(B3237,BRAND!B:D,3,FALSE)</f>
        <v>3</v>
      </c>
      <c r="J3237">
        <v>6</v>
      </c>
      <c r="K3237" t="s">
        <v>821</v>
      </c>
      <c r="M3237">
        <v>1</v>
      </c>
    </row>
    <row r="3238" spans="1:13">
      <c r="A3238" t="s">
        <v>8250</v>
      </c>
      <c r="B3238" t="s">
        <v>606</v>
      </c>
      <c r="C3238" s="34" t="s">
        <v>775</v>
      </c>
      <c r="F3238" t="s">
        <v>775</v>
      </c>
      <c r="G3238" t="s">
        <v>6932</v>
      </c>
      <c r="H3238">
        <v>5</v>
      </c>
      <c r="I3238">
        <f>VLOOKUP(B3238,BRAND!B:D,3,FALSE)</f>
        <v>3</v>
      </c>
      <c r="J3238">
        <v>3</v>
      </c>
      <c r="M3238">
        <v>1</v>
      </c>
    </row>
    <row r="3239" spans="1:13">
      <c r="A3239" t="s">
        <v>8251</v>
      </c>
      <c r="B3239" t="s">
        <v>606</v>
      </c>
      <c r="C3239" s="34" t="s">
        <v>786</v>
      </c>
      <c r="F3239" t="s">
        <v>786</v>
      </c>
      <c r="G3239" t="s">
        <v>6932</v>
      </c>
      <c r="H3239">
        <v>5</v>
      </c>
      <c r="I3239">
        <f>VLOOKUP(B3239,BRAND!B:D,3,FALSE)</f>
        <v>3</v>
      </c>
      <c r="J3239">
        <v>3</v>
      </c>
      <c r="M3239">
        <v>1</v>
      </c>
    </row>
    <row r="3240" spans="1:13">
      <c r="A3240" t="s">
        <v>2565</v>
      </c>
      <c r="B3240" t="s">
        <v>606</v>
      </c>
      <c r="C3240" s="34" t="s">
        <v>757</v>
      </c>
      <c r="F3240" t="s">
        <v>757</v>
      </c>
      <c r="H3240">
        <v>5</v>
      </c>
      <c r="I3240">
        <f>VLOOKUP(B3240,BRAND!B:D,3,FALSE)</f>
        <v>3</v>
      </c>
      <c r="J3240">
        <v>2</v>
      </c>
      <c r="K3240" t="s">
        <v>821</v>
      </c>
      <c r="M3240">
        <v>0</v>
      </c>
    </row>
    <row r="3241" spans="1:13">
      <c r="A3241" t="s">
        <v>2564</v>
      </c>
      <c r="B3241" t="s">
        <v>606</v>
      </c>
      <c r="C3241" s="34" t="s">
        <v>762</v>
      </c>
      <c r="F3241" t="s">
        <v>762</v>
      </c>
      <c r="H3241">
        <v>5</v>
      </c>
      <c r="I3241">
        <f>VLOOKUP(B3241,BRAND!B:D,3,FALSE)</f>
        <v>3</v>
      </c>
      <c r="J3241">
        <v>1</v>
      </c>
      <c r="K3241" t="s">
        <v>821</v>
      </c>
      <c r="M3241">
        <v>0</v>
      </c>
    </row>
    <row r="3242" spans="1:13">
      <c r="A3242" t="s">
        <v>9682</v>
      </c>
      <c r="B3242" t="s">
        <v>606</v>
      </c>
      <c r="C3242" s="34" t="s">
        <v>776</v>
      </c>
      <c r="H3242">
        <v>5</v>
      </c>
      <c r="I3242">
        <f>VLOOKUP(B3242,BRAND!B:D,3,FALSE)</f>
        <v>3</v>
      </c>
      <c r="J3242">
        <v>0</v>
      </c>
      <c r="M3242">
        <v>1</v>
      </c>
    </row>
    <row r="3243" spans="1:13">
      <c r="A3243" t="s">
        <v>2610</v>
      </c>
      <c r="B3243" t="s">
        <v>606</v>
      </c>
      <c r="C3243" s="34" t="s">
        <v>1438</v>
      </c>
      <c r="F3243" t="s">
        <v>1438</v>
      </c>
      <c r="H3243">
        <v>15</v>
      </c>
      <c r="I3243">
        <f>VLOOKUP(B3243,BRAND!B:D,3,FALSE)</f>
        <v>3</v>
      </c>
      <c r="J3243">
        <v>4</v>
      </c>
      <c r="K3243" t="s">
        <v>821</v>
      </c>
      <c r="M3243">
        <v>0</v>
      </c>
    </row>
    <row r="3244" spans="1:13">
      <c r="A3244" t="s">
        <v>3548</v>
      </c>
      <c r="B3244" t="s">
        <v>1132</v>
      </c>
      <c r="C3244" s="34" t="s">
        <v>534</v>
      </c>
      <c r="F3244" t="s">
        <v>534</v>
      </c>
      <c r="H3244">
        <v>5</v>
      </c>
      <c r="I3244">
        <f>VLOOKUP(B3244,BRAND!B:D,3,FALSE)</f>
        <v>3</v>
      </c>
      <c r="J3244">
        <v>6</v>
      </c>
      <c r="K3244" t="s">
        <v>821</v>
      </c>
      <c r="M3244">
        <v>0</v>
      </c>
    </row>
    <row r="3245" spans="1:13">
      <c r="A3245" t="s">
        <v>2546</v>
      </c>
      <c r="B3245" t="s">
        <v>1132</v>
      </c>
      <c r="C3245" s="34" t="s">
        <v>1438</v>
      </c>
      <c r="F3245" t="s">
        <v>1438</v>
      </c>
      <c r="H3245">
        <v>15</v>
      </c>
      <c r="I3245">
        <f>VLOOKUP(B3245,BRAND!B:D,3,FALSE)</f>
        <v>3</v>
      </c>
      <c r="J3245">
        <v>4</v>
      </c>
      <c r="K3245" t="s">
        <v>821</v>
      </c>
      <c r="M3245">
        <v>0</v>
      </c>
    </row>
    <row r="3246" spans="1:13">
      <c r="A3246" t="s">
        <v>14682</v>
      </c>
      <c r="B3246" t="s">
        <v>14681</v>
      </c>
      <c r="C3246" s="34" t="s">
        <v>14683</v>
      </c>
      <c r="F3246" t="s">
        <v>14683</v>
      </c>
      <c r="G3246" t="s">
        <v>6932</v>
      </c>
      <c r="H3246">
        <v>5</v>
      </c>
      <c r="I3246">
        <f>VLOOKUP(B3246,BRAND!B:D,3,FALSE)</f>
        <v>0</v>
      </c>
      <c r="J3246">
        <f>LEN(F3246)</f>
        <v>6</v>
      </c>
      <c r="K3246" t="s">
        <v>821</v>
      </c>
      <c r="L3246">
        <v>0</v>
      </c>
      <c r="M3246">
        <v>1</v>
      </c>
    </row>
    <row r="3247" spans="1:13">
      <c r="A3247" t="s">
        <v>15532</v>
      </c>
      <c r="B3247" t="s">
        <v>14681</v>
      </c>
      <c r="C3247" s="34" t="s">
        <v>5250</v>
      </c>
      <c r="F3247" t="s">
        <v>1438</v>
      </c>
      <c r="G3247" t="s">
        <v>6932</v>
      </c>
      <c r="H3247">
        <v>5</v>
      </c>
      <c r="I3247">
        <f>VLOOKUP(B3247,BRAND!B:D,3,FALSE)</f>
        <v>0</v>
      </c>
      <c r="J3247">
        <f>LEN(F3247)</f>
        <v>4</v>
      </c>
      <c r="K3247" t="s">
        <v>821</v>
      </c>
      <c r="L3247">
        <v>0</v>
      </c>
      <c r="M3247">
        <v>1</v>
      </c>
    </row>
    <row r="3248" spans="1:13">
      <c r="A3248" t="s">
        <v>2999</v>
      </c>
      <c r="B3248" t="s">
        <v>69</v>
      </c>
      <c r="C3248" s="34" t="s">
        <v>774</v>
      </c>
      <c r="F3248" t="s">
        <v>774</v>
      </c>
      <c r="H3248">
        <v>5</v>
      </c>
      <c r="I3248">
        <f>VLOOKUP(B3248,BRAND!B:D,3,FALSE)</f>
        <v>3</v>
      </c>
      <c r="J3248">
        <v>9</v>
      </c>
      <c r="K3248" t="s">
        <v>821</v>
      </c>
      <c r="M3248">
        <v>1</v>
      </c>
    </row>
    <row r="3249" spans="1:13">
      <c r="A3249" t="s">
        <v>3124</v>
      </c>
      <c r="B3249" t="s">
        <v>69</v>
      </c>
      <c r="C3249" s="34" t="s">
        <v>1997</v>
      </c>
      <c r="F3249" t="s">
        <v>1997</v>
      </c>
      <c r="H3249">
        <v>5</v>
      </c>
      <c r="I3249">
        <f>VLOOKUP(B3249,BRAND!B:D,3,FALSE)</f>
        <v>3</v>
      </c>
      <c r="J3249">
        <v>7</v>
      </c>
      <c r="K3249" t="s">
        <v>821</v>
      </c>
      <c r="M3249">
        <v>0</v>
      </c>
    </row>
    <row r="3250" spans="1:13">
      <c r="A3250" t="s">
        <v>3530</v>
      </c>
      <c r="B3250" t="s">
        <v>69</v>
      </c>
      <c r="C3250" s="34" t="s">
        <v>780</v>
      </c>
      <c r="F3250" t="s">
        <v>780</v>
      </c>
      <c r="H3250">
        <v>5</v>
      </c>
      <c r="I3250">
        <f>VLOOKUP(B3250,BRAND!B:D,3,FALSE)</f>
        <v>3</v>
      </c>
      <c r="J3250">
        <v>6</v>
      </c>
      <c r="K3250" t="s">
        <v>821</v>
      </c>
      <c r="M3250">
        <v>0</v>
      </c>
    </row>
    <row r="3251" spans="1:13">
      <c r="A3251" t="s">
        <v>2568</v>
      </c>
      <c r="B3251" t="s">
        <v>69</v>
      </c>
      <c r="C3251" s="34" t="s">
        <v>534</v>
      </c>
      <c r="F3251" t="s">
        <v>534</v>
      </c>
      <c r="H3251">
        <v>5</v>
      </c>
      <c r="I3251">
        <f>VLOOKUP(B3251,BRAND!B:D,3,FALSE)</f>
        <v>3</v>
      </c>
      <c r="J3251">
        <v>6</v>
      </c>
      <c r="K3251" t="s">
        <v>821</v>
      </c>
      <c r="M3251">
        <v>0</v>
      </c>
    </row>
    <row r="3252" spans="1:13">
      <c r="A3252" t="s">
        <v>4133</v>
      </c>
      <c r="B3252" t="s">
        <v>69</v>
      </c>
      <c r="C3252" s="34" t="s">
        <v>751</v>
      </c>
      <c r="F3252" t="s">
        <v>751</v>
      </c>
      <c r="H3252">
        <v>5</v>
      </c>
      <c r="I3252">
        <f>VLOOKUP(B3252,BRAND!B:D,3,FALSE)</f>
        <v>3</v>
      </c>
      <c r="J3252">
        <v>5</v>
      </c>
      <c r="K3252" t="s">
        <v>821</v>
      </c>
      <c r="M3252">
        <v>0</v>
      </c>
    </row>
    <row r="3253" spans="1:13">
      <c r="A3253" t="s">
        <v>2580</v>
      </c>
      <c r="B3253" t="s">
        <v>69</v>
      </c>
      <c r="C3253" s="34" t="s">
        <v>536</v>
      </c>
      <c r="F3253" t="s">
        <v>536</v>
      </c>
      <c r="H3253">
        <v>5</v>
      </c>
      <c r="I3253">
        <f>VLOOKUP(B3253,BRAND!B:D,3,FALSE)</f>
        <v>3</v>
      </c>
      <c r="J3253">
        <v>5</v>
      </c>
      <c r="K3253" t="s">
        <v>821</v>
      </c>
      <c r="M3253">
        <v>0</v>
      </c>
    </row>
    <row r="3254" spans="1:13">
      <c r="A3254" t="s">
        <v>3911</v>
      </c>
      <c r="B3254" t="s">
        <v>69</v>
      </c>
      <c r="C3254" s="34" t="s">
        <v>776</v>
      </c>
      <c r="F3254" t="s">
        <v>776</v>
      </c>
      <c r="H3254">
        <v>5</v>
      </c>
      <c r="I3254">
        <f>VLOOKUP(B3254,BRAND!B:D,3,FALSE)</f>
        <v>3</v>
      </c>
      <c r="J3254">
        <v>5</v>
      </c>
      <c r="K3254" t="s">
        <v>821</v>
      </c>
      <c r="M3254">
        <v>0</v>
      </c>
    </row>
    <row r="3255" spans="1:13">
      <c r="A3255" t="s">
        <v>4625</v>
      </c>
      <c r="B3255" t="s">
        <v>69</v>
      </c>
      <c r="C3255" s="34" t="s">
        <v>1992</v>
      </c>
      <c r="F3255" t="s">
        <v>1992</v>
      </c>
      <c r="H3255">
        <v>5</v>
      </c>
      <c r="I3255">
        <f>VLOOKUP(B3255,BRAND!B:D,3,FALSE)</f>
        <v>3</v>
      </c>
      <c r="J3255">
        <v>3</v>
      </c>
      <c r="K3255" t="s">
        <v>821</v>
      </c>
      <c r="M3255">
        <v>0</v>
      </c>
    </row>
    <row r="3256" spans="1:13">
      <c r="A3256" t="s">
        <v>2025</v>
      </c>
      <c r="B3256" t="s">
        <v>69</v>
      </c>
      <c r="C3256" s="34" t="s">
        <v>1438</v>
      </c>
      <c r="F3256" t="s">
        <v>1438</v>
      </c>
      <c r="H3256">
        <v>15</v>
      </c>
      <c r="I3256">
        <f>VLOOKUP(B3256,BRAND!B:D,3,FALSE)</f>
        <v>3</v>
      </c>
      <c r="J3256">
        <v>4</v>
      </c>
      <c r="K3256" t="s">
        <v>821</v>
      </c>
      <c r="M3256">
        <v>1</v>
      </c>
    </row>
    <row r="3257" spans="1:13">
      <c r="A3257" t="s">
        <v>2227</v>
      </c>
      <c r="B3257" t="s">
        <v>1065</v>
      </c>
      <c r="C3257" s="34" t="s">
        <v>774</v>
      </c>
      <c r="F3257" t="s">
        <v>774</v>
      </c>
      <c r="H3257">
        <v>5</v>
      </c>
      <c r="I3257">
        <f>VLOOKUP(B3257,BRAND!B:D,3,FALSE)</f>
        <v>3</v>
      </c>
      <c r="J3257">
        <v>9</v>
      </c>
      <c r="K3257" t="s">
        <v>821</v>
      </c>
      <c r="M3257">
        <v>0</v>
      </c>
    </row>
    <row r="3258" spans="1:13">
      <c r="A3258" t="s">
        <v>2226</v>
      </c>
      <c r="B3258" t="s">
        <v>1065</v>
      </c>
      <c r="C3258" s="34" t="s">
        <v>751</v>
      </c>
      <c r="F3258" t="s">
        <v>751</v>
      </c>
      <c r="H3258">
        <v>5</v>
      </c>
      <c r="I3258">
        <f>VLOOKUP(B3258,BRAND!B:D,3,FALSE)</f>
        <v>3</v>
      </c>
      <c r="J3258">
        <v>5</v>
      </c>
      <c r="K3258" t="s">
        <v>821</v>
      </c>
      <c r="M3258">
        <v>0</v>
      </c>
    </row>
    <row r="3259" spans="1:13">
      <c r="A3259" t="s">
        <v>4201</v>
      </c>
      <c r="B3259" t="s">
        <v>1065</v>
      </c>
      <c r="C3259" s="34" t="s">
        <v>1992</v>
      </c>
      <c r="F3259" t="s">
        <v>1992</v>
      </c>
      <c r="H3259">
        <v>5</v>
      </c>
      <c r="I3259">
        <f>VLOOKUP(B3259,BRAND!B:D,3,FALSE)</f>
        <v>3</v>
      </c>
      <c r="J3259">
        <v>3</v>
      </c>
      <c r="K3259" t="s">
        <v>821</v>
      </c>
      <c r="M3259">
        <v>0</v>
      </c>
    </row>
    <row r="3260" spans="1:13">
      <c r="A3260" t="s">
        <v>3851</v>
      </c>
      <c r="B3260" t="s">
        <v>1261</v>
      </c>
      <c r="C3260" s="34" t="s">
        <v>881</v>
      </c>
      <c r="F3260" t="s">
        <v>881</v>
      </c>
      <c r="H3260">
        <v>5</v>
      </c>
      <c r="I3260">
        <f>VLOOKUP(B3260,BRAND!B:D,3,FALSE)</f>
        <v>3</v>
      </c>
      <c r="J3260">
        <v>5</v>
      </c>
      <c r="K3260" t="s">
        <v>821</v>
      </c>
      <c r="M3260">
        <v>0</v>
      </c>
    </row>
    <row r="3261" spans="1:13">
      <c r="A3261" t="s">
        <v>3652</v>
      </c>
      <c r="B3261" t="s">
        <v>1261</v>
      </c>
      <c r="C3261" s="34" t="s">
        <v>775</v>
      </c>
      <c r="F3261" t="s">
        <v>775</v>
      </c>
      <c r="H3261">
        <v>5</v>
      </c>
      <c r="I3261">
        <f>VLOOKUP(B3261,BRAND!B:D,3,FALSE)</f>
        <v>3</v>
      </c>
      <c r="J3261">
        <v>3</v>
      </c>
      <c r="K3261" t="s">
        <v>821</v>
      </c>
      <c r="M3261">
        <v>0</v>
      </c>
    </row>
    <row r="3262" spans="1:13">
      <c r="A3262" t="s">
        <v>2657</v>
      </c>
      <c r="B3262" t="s">
        <v>1261</v>
      </c>
      <c r="C3262" s="34" t="s">
        <v>1438</v>
      </c>
      <c r="F3262" t="s">
        <v>1438</v>
      </c>
      <c r="H3262">
        <v>15</v>
      </c>
      <c r="I3262">
        <f>VLOOKUP(B3262,BRAND!B:D,3,FALSE)</f>
        <v>3</v>
      </c>
      <c r="J3262">
        <v>4</v>
      </c>
      <c r="K3262" t="s">
        <v>821</v>
      </c>
      <c r="M3262">
        <v>1</v>
      </c>
    </row>
    <row r="3263" spans="1:13">
      <c r="A3263" t="s">
        <v>7244</v>
      </c>
      <c r="B3263" t="s">
        <v>7245</v>
      </c>
      <c r="C3263" s="34" t="s">
        <v>1438</v>
      </c>
      <c r="F3263" t="s">
        <v>1438</v>
      </c>
      <c r="H3263">
        <v>5</v>
      </c>
      <c r="I3263">
        <f>VLOOKUP(B3263,BRAND!B:D,3,FALSE)</f>
        <v>5.5</v>
      </c>
      <c r="M3263">
        <v>1</v>
      </c>
    </row>
    <row r="3264" spans="1:13">
      <c r="A3264" t="s">
        <v>4086</v>
      </c>
      <c r="B3264" t="s">
        <v>1105</v>
      </c>
      <c r="C3264" s="34" t="s">
        <v>798</v>
      </c>
      <c r="F3264" t="s">
        <v>798</v>
      </c>
      <c r="H3264">
        <v>5</v>
      </c>
      <c r="I3264">
        <f>VLOOKUP(B3264,BRAND!B:D,3,FALSE)</f>
        <v>5.5</v>
      </c>
      <c r="J3264">
        <v>9</v>
      </c>
      <c r="K3264" t="e">
        <v>#N/A</v>
      </c>
      <c r="M3264">
        <v>0</v>
      </c>
    </row>
    <row r="3265" spans="1:13">
      <c r="A3265" t="s">
        <v>8254</v>
      </c>
      <c r="B3265" t="s">
        <v>8253</v>
      </c>
      <c r="C3265" s="34" t="s">
        <v>534</v>
      </c>
      <c r="F3265" t="s">
        <v>534</v>
      </c>
      <c r="G3265" t="s">
        <v>6932</v>
      </c>
      <c r="H3265">
        <v>5</v>
      </c>
      <c r="I3265">
        <f>VLOOKUP(B3265,BRAND!B:D,3,FALSE)</f>
        <v>5.5</v>
      </c>
      <c r="J3265">
        <v>6</v>
      </c>
      <c r="M3265">
        <v>1</v>
      </c>
    </row>
    <row r="3266" spans="1:13">
      <c r="A3266" t="s">
        <v>8255</v>
      </c>
      <c r="B3266" t="s">
        <v>8253</v>
      </c>
      <c r="C3266" s="34" t="s">
        <v>8256</v>
      </c>
      <c r="F3266" t="s">
        <v>536</v>
      </c>
      <c r="G3266" t="s">
        <v>2000</v>
      </c>
      <c r="H3266">
        <v>5</v>
      </c>
      <c r="I3266">
        <f>VLOOKUP(B3266,BRAND!B:D,3,FALSE)</f>
        <v>5.5</v>
      </c>
      <c r="J3266">
        <v>5</v>
      </c>
      <c r="M3266">
        <v>1</v>
      </c>
    </row>
    <row r="3267" spans="1:13">
      <c r="A3267" t="s">
        <v>8252</v>
      </c>
      <c r="B3267" t="s">
        <v>8253</v>
      </c>
      <c r="C3267" s="34" t="s">
        <v>561</v>
      </c>
      <c r="F3267" t="s">
        <v>561</v>
      </c>
      <c r="G3267" t="s">
        <v>6932</v>
      </c>
      <c r="H3267">
        <v>5</v>
      </c>
      <c r="I3267">
        <f>VLOOKUP(B3267,BRAND!B:D,3,FALSE)</f>
        <v>5.5</v>
      </c>
      <c r="J3267">
        <v>3</v>
      </c>
      <c r="M3267">
        <v>1</v>
      </c>
    </row>
    <row r="3268" spans="1:13">
      <c r="A3268" t="s">
        <v>10772</v>
      </c>
      <c r="B3268" t="s">
        <v>10773</v>
      </c>
      <c r="C3268" s="34" t="s">
        <v>1438</v>
      </c>
      <c r="F3268" t="s">
        <v>1438</v>
      </c>
      <c r="H3268">
        <v>5</v>
      </c>
    </row>
    <row r="3269" spans="1:13">
      <c r="A3269" t="s">
        <v>10186</v>
      </c>
      <c r="B3269" t="s">
        <v>10187</v>
      </c>
      <c r="C3269" s="34" t="s">
        <v>6926</v>
      </c>
      <c r="F3269" t="s">
        <v>6926</v>
      </c>
      <c r="H3269">
        <v>5</v>
      </c>
      <c r="I3269">
        <f>VLOOKUP(B3269,BRAND!B:D,3,FALSE)</f>
        <v>5.5</v>
      </c>
      <c r="J3269">
        <v>3</v>
      </c>
      <c r="L3269">
        <v>1</v>
      </c>
      <c r="M3269">
        <v>1</v>
      </c>
    </row>
    <row r="3270" spans="1:13">
      <c r="A3270" t="s">
        <v>10188</v>
      </c>
      <c r="B3270" t="s">
        <v>10187</v>
      </c>
      <c r="C3270" s="34" t="s">
        <v>2000</v>
      </c>
      <c r="F3270" t="s">
        <v>2000</v>
      </c>
      <c r="H3270">
        <v>5</v>
      </c>
      <c r="I3270">
        <f>VLOOKUP(B3270,BRAND!B:D,3,FALSE)</f>
        <v>5.5</v>
      </c>
      <c r="J3270">
        <v>3</v>
      </c>
      <c r="L3270">
        <v>1</v>
      </c>
      <c r="M3270">
        <v>1</v>
      </c>
    </row>
    <row r="3271" spans="1:13">
      <c r="A3271" t="s">
        <v>10189</v>
      </c>
      <c r="B3271" t="s">
        <v>10187</v>
      </c>
      <c r="C3271" s="34" t="s">
        <v>10190</v>
      </c>
      <c r="F3271" t="s">
        <v>10190</v>
      </c>
      <c r="H3271">
        <v>5</v>
      </c>
      <c r="I3271">
        <f>VLOOKUP(B3271,BRAND!B:D,3,FALSE)</f>
        <v>5.5</v>
      </c>
      <c r="J3271">
        <v>3</v>
      </c>
      <c r="L3271">
        <v>1</v>
      </c>
      <c r="M3271">
        <v>1</v>
      </c>
    </row>
    <row r="3272" spans="1:13">
      <c r="A3272" t="s">
        <v>10194</v>
      </c>
      <c r="B3272" t="s">
        <v>10187</v>
      </c>
      <c r="C3272" s="34" t="s">
        <v>1965</v>
      </c>
      <c r="F3272" t="s">
        <v>1965</v>
      </c>
      <c r="H3272">
        <v>5</v>
      </c>
      <c r="I3272">
        <f>VLOOKUP(B3272,BRAND!B:D,3,FALSE)</f>
        <v>5.5</v>
      </c>
      <c r="J3272">
        <v>3</v>
      </c>
      <c r="L3272">
        <v>1</v>
      </c>
      <c r="M3272">
        <v>1</v>
      </c>
    </row>
    <row r="3273" spans="1:13">
      <c r="A3273" t="s">
        <v>10195</v>
      </c>
      <c r="B3273" t="s">
        <v>10187</v>
      </c>
      <c r="C3273" s="34" t="s">
        <v>10196</v>
      </c>
      <c r="F3273" t="s">
        <v>10197</v>
      </c>
      <c r="H3273">
        <v>5</v>
      </c>
      <c r="I3273">
        <f>VLOOKUP(B3273,BRAND!B:D,3,FALSE)</f>
        <v>5.5</v>
      </c>
      <c r="J3273">
        <v>3</v>
      </c>
      <c r="L3273">
        <v>1</v>
      </c>
      <c r="M3273">
        <v>1</v>
      </c>
    </row>
    <row r="3274" spans="1:13">
      <c r="A3274" t="s">
        <v>10198</v>
      </c>
      <c r="B3274" t="s">
        <v>10187</v>
      </c>
      <c r="C3274" s="34" t="s">
        <v>10199</v>
      </c>
      <c r="F3274" t="s">
        <v>10200</v>
      </c>
      <c r="H3274">
        <v>5</v>
      </c>
      <c r="I3274">
        <f>VLOOKUP(B3274,BRAND!B:D,3,FALSE)</f>
        <v>5.5</v>
      </c>
      <c r="J3274">
        <v>3</v>
      </c>
      <c r="L3274">
        <v>1</v>
      </c>
      <c r="M3274">
        <v>1</v>
      </c>
    </row>
    <row r="3275" spans="1:13">
      <c r="A3275" t="s">
        <v>10201</v>
      </c>
      <c r="B3275" t="s">
        <v>10187</v>
      </c>
      <c r="C3275" s="34" t="s">
        <v>942</v>
      </c>
      <c r="F3275" t="s">
        <v>942</v>
      </c>
      <c r="H3275">
        <v>5</v>
      </c>
      <c r="I3275">
        <f>VLOOKUP(B3275,BRAND!B:D,3,FALSE)</f>
        <v>5.5</v>
      </c>
      <c r="J3275">
        <v>3</v>
      </c>
      <c r="L3275">
        <v>1</v>
      </c>
      <c r="M3275">
        <v>1</v>
      </c>
    </row>
    <row r="3276" spans="1:13">
      <c r="A3276" t="s">
        <v>10202</v>
      </c>
      <c r="B3276" t="s">
        <v>10187</v>
      </c>
      <c r="C3276" s="34" t="s">
        <v>79</v>
      </c>
      <c r="F3276" t="s">
        <v>79</v>
      </c>
      <c r="H3276">
        <v>5</v>
      </c>
      <c r="I3276">
        <f>VLOOKUP(B3276,BRAND!B:D,3,FALSE)</f>
        <v>5.5</v>
      </c>
      <c r="J3276">
        <v>3</v>
      </c>
      <c r="L3276">
        <v>1</v>
      </c>
      <c r="M3276">
        <v>1</v>
      </c>
    </row>
    <row r="3277" spans="1:13">
      <c r="A3277" t="s">
        <v>10203</v>
      </c>
      <c r="B3277" t="s">
        <v>10187</v>
      </c>
      <c r="C3277" s="34" t="s">
        <v>10204</v>
      </c>
      <c r="F3277" t="s">
        <v>10205</v>
      </c>
      <c r="H3277">
        <v>5</v>
      </c>
      <c r="I3277">
        <f>VLOOKUP(B3277,BRAND!B:D,3,FALSE)</f>
        <v>5.5</v>
      </c>
      <c r="J3277">
        <v>3</v>
      </c>
      <c r="L3277">
        <v>1</v>
      </c>
      <c r="M3277">
        <v>1</v>
      </c>
    </row>
    <row r="3278" spans="1:13">
      <c r="A3278" t="s">
        <v>10207</v>
      </c>
      <c r="B3278" t="s">
        <v>10187</v>
      </c>
      <c r="C3278" s="34" t="s">
        <v>10208</v>
      </c>
      <c r="F3278" t="s">
        <v>10208</v>
      </c>
      <c r="H3278">
        <v>5</v>
      </c>
      <c r="I3278">
        <f>VLOOKUP(B3278,BRAND!B:D,3,FALSE)</f>
        <v>5.5</v>
      </c>
      <c r="J3278">
        <v>3</v>
      </c>
      <c r="L3278">
        <v>1</v>
      </c>
      <c r="M3278">
        <v>1</v>
      </c>
    </row>
    <row r="3279" spans="1:13">
      <c r="A3279" t="s">
        <v>10209</v>
      </c>
      <c r="B3279" t="s">
        <v>10187</v>
      </c>
      <c r="C3279" s="34" t="s">
        <v>897</v>
      </c>
      <c r="F3279" t="s">
        <v>897</v>
      </c>
      <c r="H3279">
        <v>5</v>
      </c>
      <c r="I3279">
        <f>VLOOKUP(B3279,BRAND!B:D,3,FALSE)</f>
        <v>5.5</v>
      </c>
      <c r="J3279">
        <v>3</v>
      </c>
      <c r="L3279">
        <v>1</v>
      </c>
      <c r="M3279">
        <v>1</v>
      </c>
    </row>
    <row r="3280" spans="1:13">
      <c r="A3280" t="s">
        <v>10210</v>
      </c>
      <c r="B3280" t="s">
        <v>10187</v>
      </c>
      <c r="C3280" s="34" t="s">
        <v>798</v>
      </c>
      <c r="F3280" t="s">
        <v>798</v>
      </c>
      <c r="H3280">
        <v>5</v>
      </c>
      <c r="I3280">
        <f>VLOOKUP(B3280,BRAND!B:D,3,FALSE)</f>
        <v>5.5</v>
      </c>
      <c r="J3280">
        <v>3</v>
      </c>
      <c r="L3280">
        <v>1</v>
      </c>
      <c r="M3280">
        <v>1</v>
      </c>
    </row>
    <row r="3281" spans="1:13">
      <c r="A3281" t="s">
        <v>10211</v>
      </c>
      <c r="B3281" t="s">
        <v>10187</v>
      </c>
      <c r="C3281" s="34" t="s">
        <v>10212</v>
      </c>
      <c r="F3281" t="s">
        <v>10212</v>
      </c>
      <c r="H3281">
        <v>5</v>
      </c>
      <c r="I3281">
        <f>VLOOKUP(B3281,BRAND!B:D,3,FALSE)</f>
        <v>5.5</v>
      </c>
      <c r="J3281">
        <v>3</v>
      </c>
      <c r="L3281">
        <v>1</v>
      </c>
      <c r="M3281">
        <v>1</v>
      </c>
    </row>
    <row r="3282" spans="1:13" ht="18.649999999999999" customHeight="1">
      <c r="A3282" t="s">
        <v>10213</v>
      </c>
      <c r="B3282" t="s">
        <v>10187</v>
      </c>
      <c r="C3282" s="34" t="s">
        <v>891</v>
      </c>
      <c r="F3282" t="s">
        <v>891</v>
      </c>
      <c r="H3282">
        <v>5</v>
      </c>
      <c r="I3282">
        <f>VLOOKUP(B3282,BRAND!B:D,3,FALSE)</f>
        <v>5.5</v>
      </c>
      <c r="J3282">
        <v>3</v>
      </c>
      <c r="L3282">
        <v>1</v>
      </c>
    </row>
    <row r="3283" spans="1:13" ht="19" customHeight="1">
      <c r="A3283" t="s">
        <v>10214</v>
      </c>
      <c r="B3283" t="s">
        <v>10187</v>
      </c>
      <c r="C3283" s="34" t="s">
        <v>1466</v>
      </c>
      <c r="F3283" t="s">
        <v>1466</v>
      </c>
      <c r="H3283">
        <v>5</v>
      </c>
      <c r="I3283">
        <f>VLOOKUP(B3283,BRAND!B:D,3,FALSE)</f>
        <v>5.5</v>
      </c>
      <c r="J3283">
        <v>3</v>
      </c>
      <c r="L3283">
        <v>1</v>
      </c>
    </row>
    <row r="3284" spans="1:13">
      <c r="A3284" t="s">
        <v>10215</v>
      </c>
      <c r="B3284" t="s">
        <v>10187</v>
      </c>
      <c r="C3284" s="34" t="s">
        <v>5325</v>
      </c>
      <c r="F3284" t="s">
        <v>5325</v>
      </c>
      <c r="H3284">
        <v>5</v>
      </c>
      <c r="I3284">
        <f>VLOOKUP(B3284,BRAND!B:D,3,FALSE)</f>
        <v>5.5</v>
      </c>
      <c r="J3284">
        <v>3</v>
      </c>
      <c r="L3284">
        <v>1</v>
      </c>
    </row>
    <row r="3285" spans="1:13">
      <c r="A3285" t="s">
        <v>10216</v>
      </c>
      <c r="B3285" t="s">
        <v>10187</v>
      </c>
      <c r="C3285" s="34" t="s">
        <v>6733</v>
      </c>
      <c r="F3285" t="s">
        <v>6733</v>
      </c>
      <c r="H3285">
        <v>5</v>
      </c>
      <c r="I3285">
        <f>VLOOKUP(B3285,BRAND!B:D,3,FALSE)</f>
        <v>5.5</v>
      </c>
      <c r="J3285">
        <v>3</v>
      </c>
      <c r="L3285">
        <v>1</v>
      </c>
    </row>
    <row r="3286" spans="1:13">
      <c r="A3286" t="s">
        <v>10217</v>
      </c>
      <c r="B3286" t="s">
        <v>10187</v>
      </c>
      <c r="C3286" s="34" t="s">
        <v>10218</v>
      </c>
      <c r="F3286" t="s">
        <v>10218</v>
      </c>
      <c r="H3286">
        <v>5</v>
      </c>
      <c r="I3286">
        <f>VLOOKUP(B3286,BRAND!B:D,3,FALSE)</f>
        <v>5.5</v>
      </c>
      <c r="J3286">
        <v>3</v>
      </c>
      <c r="L3286">
        <v>1</v>
      </c>
    </row>
    <row r="3287" spans="1:13">
      <c r="A3287" t="s">
        <v>10219</v>
      </c>
      <c r="B3287" t="s">
        <v>10187</v>
      </c>
      <c r="C3287" s="34" t="s">
        <v>1983</v>
      </c>
      <c r="F3287" t="s">
        <v>1983</v>
      </c>
      <c r="H3287">
        <v>5</v>
      </c>
      <c r="I3287">
        <f>VLOOKUP(B3287,BRAND!B:D,3,FALSE)</f>
        <v>5.5</v>
      </c>
      <c r="J3287">
        <v>3</v>
      </c>
      <c r="L3287">
        <v>1</v>
      </c>
    </row>
    <row r="3288" spans="1:13">
      <c r="A3288" t="s">
        <v>10220</v>
      </c>
      <c r="B3288" t="s">
        <v>10187</v>
      </c>
      <c r="C3288" s="34" t="s">
        <v>10221</v>
      </c>
      <c r="F3288" t="s">
        <v>10221</v>
      </c>
      <c r="H3288">
        <v>5</v>
      </c>
      <c r="I3288">
        <f>VLOOKUP(B3288,BRAND!B:D,3,FALSE)</f>
        <v>5.5</v>
      </c>
      <c r="J3288">
        <v>3</v>
      </c>
      <c r="L3288">
        <v>1</v>
      </c>
    </row>
    <row r="3289" spans="1:13">
      <c r="A3289" t="s">
        <v>10191</v>
      </c>
      <c r="B3289" t="s">
        <v>10187</v>
      </c>
      <c r="C3289" s="34" t="s">
        <v>10192</v>
      </c>
      <c r="F3289" t="s">
        <v>10193</v>
      </c>
      <c r="H3289">
        <v>6</v>
      </c>
      <c r="I3289">
        <f>VLOOKUP(B3289,BRAND!B:D,3,FALSE)</f>
        <v>5.5</v>
      </c>
      <c r="J3289">
        <v>3</v>
      </c>
      <c r="L3289">
        <v>1</v>
      </c>
      <c r="M3289">
        <v>1</v>
      </c>
    </row>
    <row r="3290" spans="1:13">
      <c r="A3290" t="s">
        <v>10206</v>
      </c>
      <c r="B3290" t="s">
        <v>10187</v>
      </c>
      <c r="C3290" s="34" t="s">
        <v>6871</v>
      </c>
      <c r="F3290" t="s">
        <v>6872</v>
      </c>
      <c r="H3290">
        <v>6</v>
      </c>
      <c r="I3290">
        <f>VLOOKUP(B3290,BRAND!B:D,3,FALSE)</f>
        <v>5.5</v>
      </c>
      <c r="J3290">
        <v>3</v>
      </c>
      <c r="L3290">
        <v>1</v>
      </c>
      <c r="M3290">
        <v>1</v>
      </c>
    </row>
    <row r="3291" spans="1:13">
      <c r="A3291" t="s">
        <v>3013</v>
      </c>
      <c r="B3291" t="s">
        <v>505</v>
      </c>
      <c r="C3291" s="34" t="s">
        <v>1019</v>
      </c>
      <c r="F3291" t="s">
        <v>1019</v>
      </c>
      <c r="H3291">
        <v>5</v>
      </c>
      <c r="I3291">
        <f>VLOOKUP(B3291,BRAND!B:D,3,FALSE)</f>
        <v>3</v>
      </c>
      <c r="J3291">
        <v>9</v>
      </c>
      <c r="K3291" t="s">
        <v>821</v>
      </c>
      <c r="M3291">
        <v>1</v>
      </c>
    </row>
    <row r="3292" spans="1:13">
      <c r="A3292" t="s">
        <v>8257</v>
      </c>
      <c r="B3292" t="s">
        <v>505</v>
      </c>
      <c r="C3292" s="34" t="s">
        <v>1438</v>
      </c>
      <c r="F3292" t="s">
        <v>1438</v>
      </c>
      <c r="G3292" t="s">
        <v>6932</v>
      </c>
      <c r="H3292">
        <v>5</v>
      </c>
      <c r="I3292">
        <f>VLOOKUP(B3292,BRAND!B:D,3,FALSE)</f>
        <v>3</v>
      </c>
      <c r="J3292">
        <v>4</v>
      </c>
      <c r="M3292">
        <v>0</v>
      </c>
    </row>
    <row r="3293" spans="1:13">
      <c r="A3293" t="s">
        <v>9683</v>
      </c>
      <c r="B3293" t="s">
        <v>505</v>
      </c>
      <c r="C3293" s="34" t="s">
        <v>1438</v>
      </c>
      <c r="G3293" t="s">
        <v>801</v>
      </c>
      <c r="H3293">
        <v>5</v>
      </c>
      <c r="I3293">
        <f>VLOOKUP(B3293,BRAND!B:D,3,FALSE)</f>
        <v>3</v>
      </c>
      <c r="J3293">
        <v>0</v>
      </c>
      <c r="M3293">
        <v>1</v>
      </c>
    </row>
    <row r="3294" spans="1:13">
      <c r="A3294" t="s">
        <v>11433</v>
      </c>
      <c r="B3294" t="s">
        <v>505</v>
      </c>
      <c r="C3294" s="34" t="s">
        <v>1019</v>
      </c>
      <c r="F3294" t="s">
        <v>1019</v>
      </c>
      <c r="G3294" t="s">
        <v>801</v>
      </c>
      <c r="H3294">
        <v>5</v>
      </c>
    </row>
    <row r="3295" spans="1:13">
      <c r="A3295" t="s">
        <v>11434</v>
      </c>
      <c r="B3295" t="s">
        <v>505</v>
      </c>
      <c r="C3295" s="34" t="s">
        <v>10982</v>
      </c>
      <c r="F3295" t="s">
        <v>10982</v>
      </c>
      <c r="G3295" t="s">
        <v>6932</v>
      </c>
      <c r="H3295">
        <v>5</v>
      </c>
    </row>
    <row r="3296" spans="1:13">
      <c r="A3296" t="s">
        <v>11435</v>
      </c>
      <c r="B3296" t="s">
        <v>505</v>
      </c>
      <c r="C3296" s="34" t="s">
        <v>6363</v>
      </c>
      <c r="F3296" t="s">
        <v>6363</v>
      </c>
      <c r="G3296" t="s">
        <v>6932</v>
      </c>
      <c r="H3296">
        <v>5</v>
      </c>
    </row>
    <row r="3297" spans="1:13">
      <c r="A3297" t="s">
        <v>11436</v>
      </c>
      <c r="B3297" t="s">
        <v>505</v>
      </c>
      <c r="C3297" s="34" t="s">
        <v>8902</v>
      </c>
      <c r="F3297" t="s">
        <v>8902</v>
      </c>
      <c r="G3297" t="s">
        <v>6932</v>
      </c>
      <c r="H3297">
        <v>5</v>
      </c>
    </row>
    <row r="3298" spans="1:13" ht="18.649999999999999" customHeight="1">
      <c r="A3298" t="s">
        <v>11437</v>
      </c>
      <c r="B3298" t="s">
        <v>505</v>
      </c>
      <c r="C3298" s="34" t="s">
        <v>819</v>
      </c>
      <c r="F3298" t="s">
        <v>819</v>
      </c>
      <c r="G3298" t="s">
        <v>6932</v>
      </c>
      <c r="H3298">
        <v>5</v>
      </c>
    </row>
    <row r="3299" spans="1:13">
      <c r="A3299" t="s">
        <v>11438</v>
      </c>
      <c r="B3299" t="s">
        <v>505</v>
      </c>
      <c r="C3299" s="34" t="s">
        <v>742</v>
      </c>
      <c r="F3299" t="s">
        <v>742</v>
      </c>
      <c r="G3299" t="s">
        <v>6932</v>
      </c>
      <c r="H3299">
        <v>5</v>
      </c>
    </row>
    <row r="3300" spans="1:13">
      <c r="A3300" t="s">
        <v>11439</v>
      </c>
      <c r="B3300" t="s">
        <v>505</v>
      </c>
      <c r="C3300" s="34" t="s">
        <v>742</v>
      </c>
      <c r="F3300" t="s">
        <v>742</v>
      </c>
      <c r="G3300" t="s">
        <v>801</v>
      </c>
      <c r="H3300">
        <v>5</v>
      </c>
    </row>
    <row r="3301" spans="1:13">
      <c r="A3301" t="s">
        <v>11440</v>
      </c>
      <c r="B3301" t="s">
        <v>505</v>
      </c>
      <c r="C3301" s="34" t="s">
        <v>1019</v>
      </c>
      <c r="F3301" t="s">
        <v>1019</v>
      </c>
      <c r="G3301" t="s">
        <v>6932</v>
      </c>
      <c r="H3301">
        <v>5</v>
      </c>
    </row>
    <row r="3302" spans="1:13">
      <c r="A3302" t="s">
        <v>11441</v>
      </c>
      <c r="B3302" t="s">
        <v>505</v>
      </c>
      <c r="C3302" s="34" t="s">
        <v>10745</v>
      </c>
      <c r="F3302" t="s">
        <v>10745</v>
      </c>
      <c r="G3302" t="s">
        <v>6932</v>
      </c>
      <c r="H3302">
        <v>5</v>
      </c>
    </row>
    <row r="3303" spans="1:13">
      <c r="A3303" t="s">
        <v>3133</v>
      </c>
      <c r="B3303" t="s">
        <v>505</v>
      </c>
      <c r="C3303" s="34" t="s">
        <v>1438</v>
      </c>
      <c r="F3303" t="s">
        <v>1438</v>
      </c>
      <c r="H3303">
        <v>15</v>
      </c>
      <c r="I3303">
        <f>VLOOKUP(B3303,BRAND!B:D,3,FALSE)</f>
        <v>3</v>
      </c>
      <c r="J3303">
        <v>4</v>
      </c>
      <c r="K3303" t="s">
        <v>821</v>
      </c>
      <c r="M3303">
        <v>0</v>
      </c>
    </row>
    <row r="3304" spans="1:13">
      <c r="A3304" t="s">
        <v>8258</v>
      </c>
      <c r="B3304" t="s">
        <v>8259</v>
      </c>
      <c r="C3304" s="34" t="s">
        <v>1438</v>
      </c>
      <c r="F3304" t="s">
        <v>1438</v>
      </c>
      <c r="G3304" t="s">
        <v>801</v>
      </c>
      <c r="H3304">
        <v>5</v>
      </c>
      <c r="I3304">
        <f>VLOOKUP(B3304,BRAND!B:D,3,FALSE)</f>
        <v>5.5</v>
      </c>
      <c r="J3304">
        <v>4</v>
      </c>
      <c r="M3304">
        <v>1</v>
      </c>
    </row>
    <row r="3305" spans="1:13">
      <c r="A3305" t="s">
        <v>3942</v>
      </c>
      <c r="B3305" t="s">
        <v>951</v>
      </c>
      <c r="C3305" s="34" t="s">
        <v>561</v>
      </c>
      <c r="F3305" t="s">
        <v>561</v>
      </c>
      <c r="H3305">
        <v>5</v>
      </c>
      <c r="I3305">
        <f>VLOOKUP(B3305,BRAND!B:D,3,FALSE)</f>
        <v>3</v>
      </c>
      <c r="J3305">
        <v>3</v>
      </c>
      <c r="K3305" t="s">
        <v>821</v>
      </c>
      <c r="M3305">
        <v>0</v>
      </c>
    </row>
    <row r="3306" spans="1:13">
      <c r="A3306" t="s">
        <v>4983</v>
      </c>
      <c r="B3306" t="s">
        <v>1262</v>
      </c>
      <c r="C3306" s="34" t="s">
        <v>1438</v>
      </c>
      <c r="F3306" t="s">
        <v>1438</v>
      </c>
      <c r="G3306" t="s">
        <v>801</v>
      </c>
      <c r="H3306">
        <v>6</v>
      </c>
      <c r="I3306">
        <f>VLOOKUP(B3306,BRAND!B:D,3,FALSE)</f>
        <v>3</v>
      </c>
      <c r="J3306">
        <v>4</v>
      </c>
      <c r="K3306" t="s">
        <v>821</v>
      </c>
      <c r="M3306">
        <v>0</v>
      </c>
    </row>
    <row r="3307" spans="1:13">
      <c r="A3307" t="s">
        <v>8260</v>
      </c>
      <c r="B3307" t="s">
        <v>8261</v>
      </c>
      <c r="C3307" s="34" t="s">
        <v>1438</v>
      </c>
      <c r="F3307" t="s">
        <v>1438</v>
      </c>
      <c r="G3307" t="s">
        <v>6932</v>
      </c>
      <c r="H3307">
        <v>5</v>
      </c>
      <c r="I3307">
        <f>VLOOKUP(B3307,BRAND!B:D,3,FALSE)</f>
        <v>5.5</v>
      </c>
      <c r="J3307">
        <v>4</v>
      </c>
      <c r="M3307">
        <v>1</v>
      </c>
    </row>
    <row r="3308" spans="1:13">
      <c r="A3308" t="s">
        <v>6880</v>
      </c>
      <c r="B3308" t="s">
        <v>6860</v>
      </c>
      <c r="C3308" s="34" t="s">
        <v>6881</v>
      </c>
      <c r="F3308" t="s">
        <v>6882</v>
      </c>
      <c r="H3308">
        <v>5</v>
      </c>
      <c r="I3308">
        <f>VLOOKUP(B3308,BRAND!B:D,3,FALSE)</f>
        <v>5</v>
      </c>
      <c r="J3308">
        <f t="shared" ref="J3308:J3316" si="38">LEN(F3308)</f>
        <v>17</v>
      </c>
      <c r="M3308">
        <v>1</v>
      </c>
    </row>
    <row r="3309" spans="1:13">
      <c r="A3309" t="s">
        <v>6877</v>
      </c>
      <c r="B3309" t="s">
        <v>6860</v>
      </c>
      <c r="C3309" s="34" t="s">
        <v>6769</v>
      </c>
      <c r="F3309" t="s">
        <v>6770</v>
      </c>
      <c r="H3309">
        <v>5</v>
      </c>
      <c r="I3309">
        <f>VLOOKUP(B3309,BRAND!B:D,3,FALSE)</f>
        <v>5</v>
      </c>
      <c r="J3309">
        <f t="shared" si="38"/>
        <v>17</v>
      </c>
      <c r="M3309">
        <v>1</v>
      </c>
    </row>
    <row r="3310" spans="1:13">
      <c r="A3310" t="s">
        <v>6878</v>
      </c>
      <c r="B3310" t="s">
        <v>6860</v>
      </c>
      <c r="C3310" s="34" t="s">
        <v>5394</v>
      </c>
      <c r="F3310" t="s">
        <v>6879</v>
      </c>
      <c r="H3310">
        <v>5</v>
      </c>
      <c r="I3310">
        <f>VLOOKUP(B3310,BRAND!B:D,3,FALSE)</f>
        <v>5</v>
      </c>
      <c r="J3310">
        <f t="shared" si="38"/>
        <v>12</v>
      </c>
      <c r="M3310">
        <v>1</v>
      </c>
    </row>
    <row r="3311" spans="1:13">
      <c r="A3311" t="s">
        <v>6869</v>
      </c>
      <c r="B3311" t="s">
        <v>6860</v>
      </c>
      <c r="C3311" s="34" t="s">
        <v>1478</v>
      </c>
      <c r="F3311" t="s">
        <v>1478</v>
      </c>
      <c r="H3311">
        <v>5</v>
      </c>
      <c r="I3311">
        <f>VLOOKUP(B3311,BRAND!B:D,3,FALSE)</f>
        <v>5</v>
      </c>
      <c r="J3311">
        <f t="shared" si="38"/>
        <v>11</v>
      </c>
      <c r="M3311">
        <v>1</v>
      </c>
    </row>
    <row r="3312" spans="1:13">
      <c r="A3312" t="s">
        <v>6884</v>
      </c>
      <c r="B3312" t="s">
        <v>6860</v>
      </c>
      <c r="C3312" s="34" t="s">
        <v>6885</v>
      </c>
      <c r="F3312" t="s">
        <v>6886</v>
      </c>
      <c r="H3312">
        <v>5</v>
      </c>
      <c r="I3312">
        <f>VLOOKUP(B3312,BRAND!B:D,3,FALSE)</f>
        <v>5</v>
      </c>
      <c r="J3312">
        <f t="shared" si="38"/>
        <v>11</v>
      </c>
      <c r="M3312">
        <v>1</v>
      </c>
    </row>
    <row r="3313" spans="1:13">
      <c r="A3313" t="s">
        <v>6870</v>
      </c>
      <c r="B3313" t="s">
        <v>6860</v>
      </c>
      <c r="C3313" s="34" t="s">
        <v>6871</v>
      </c>
      <c r="F3313" t="s">
        <v>6872</v>
      </c>
      <c r="H3313">
        <v>5</v>
      </c>
      <c r="I3313">
        <f>VLOOKUP(B3313,BRAND!B:D,3,FALSE)</f>
        <v>5</v>
      </c>
      <c r="J3313">
        <f t="shared" si="38"/>
        <v>11</v>
      </c>
      <c r="M3313">
        <v>1</v>
      </c>
    </row>
    <row r="3314" spans="1:13">
      <c r="A3314" t="s">
        <v>6863</v>
      </c>
      <c r="B3314" t="s">
        <v>6860</v>
      </c>
      <c r="C3314" s="34" t="s">
        <v>6864</v>
      </c>
      <c r="F3314" t="s">
        <v>6865</v>
      </c>
      <c r="H3314">
        <v>5</v>
      </c>
      <c r="I3314">
        <f>VLOOKUP(B3314,BRAND!B:D,3,FALSE)</f>
        <v>5</v>
      </c>
      <c r="J3314">
        <f t="shared" si="38"/>
        <v>11</v>
      </c>
      <c r="M3314">
        <v>1</v>
      </c>
    </row>
    <row r="3315" spans="1:13">
      <c r="A3315" t="s">
        <v>6859</v>
      </c>
      <c r="B3315" t="s">
        <v>6860</v>
      </c>
      <c r="C3315" s="34" t="s">
        <v>6861</v>
      </c>
      <c r="F3315" t="s">
        <v>6862</v>
      </c>
      <c r="H3315">
        <v>5</v>
      </c>
      <c r="I3315">
        <f>VLOOKUP(B3315,BRAND!B:D,3,FALSE)</f>
        <v>5</v>
      </c>
      <c r="J3315">
        <f t="shared" si="38"/>
        <v>10</v>
      </c>
      <c r="M3315">
        <v>1</v>
      </c>
    </row>
    <row r="3316" spans="1:13">
      <c r="A3316" t="s">
        <v>6873</v>
      </c>
      <c r="B3316" t="s">
        <v>6860</v>
      </c>
      <c r="C3316" s="34" t="s">
        <v>994</v>
      </c>
      <c r="F3316" t="s">
        <v>994</v>
      </c>
      <c r="H3316">
        <v>5</v>
      </c>
      <c r="I3316">
        <f>VLOOKUP(B3316,BRAND!B:D,3,FALSE)</f>
        <v>5</v>
      </c>
      <c r="J3316">
        <f t="shared" si="38"/>
        <v>10</v>
      </c>
      <c r="M3316">
        <v>1</v>
      </c>
    </row>
    <row r="3317" spans="1:13">
      <c r="A3317" t="s">
        <v>6874</v>
      </c>
      <c r="B3317" t="s">
        <v>6860</v>
      </c>
      <c r="C3317" s="34" t="s">
        <v>6875</v>
      </c>
      <c r="F3317" t="s">
        <v>6876</v>
      </c>
      <c r="H3317">
        <v>5</v>
      </c>
      <c r="I3317">
        <f>VLOOKUP(B3317,BRAND!B:D,3,FALSE)</f>
        <v>5</v>
      </c>
      <c r="J3317">
        <v>9</v>
      </c>
      <c r="M3317">
        <v>1</v>
      </c>
    </row>
    <row r="3318" spans="1:13">
      <c r="A3318" t="s">
        <v>6883</v>
      </c>
      <c r="B3318" t="s">
        <v>6860</v>
      </c>
      <c r="C3318" s="34" t="s">
        <v>6746</v>
      </c>
      <c r="F3318" t="s">
        <v>6746</v>
      </c>
      <c r="H3318">
        <v>5</v>
      </c>
      <c r="I3318">
        <f>VLOOKUP(B3318,BRAND!B:D,3,FALSE)</f>
        <v>5</v>
      </c>
      <c r="J3318">
        <v>8</v>
      </c>
      <c r="M3318">
        <v>1</v>
      </c>
    </row>
    <row r="3319" spans="1:13">
      <c r="A3319" t="s">
        <v>6866</v>
      </c>
      <c r="B3319" t="s">
        <v>6860</v>
      </c>
      <c r="C3319" s="34" t="s">
        <v>1498</v>
      </c>
      <c r="F3319" t="s">
        <v>1498</v>
      </c>
      <c r="H3319">
        <v>5</v>
      </c>
      <c r="I3319">
        <f>VLOOKUP(B3319,BRAND!B:D,3,FALSE)</f>
        <v>5</v>
      </c>
      <c r="J3319">
        <v>6</v>
      </c>
      <c r="L3319">
        <v>1</v>
      </c>
      <c r="M3319">
        <v>1</v>
      </c>
    </row>
    <row r="3320" spans="1:13">
      <c r="A3320" t="s">
        <v>6867</v>
      </c>
      <c r="B3320" t="s">
        <v>6860</v>
      </c>
      <c r="C3320" s="34" t="s">
        <v>6868</v>
      </c>
      <c r="F3320" t="s">
        <v>1979</v>
      </c>
      <c r="H3320">
        <v>5</v>
      </c>
      <c r="I3320">
        <f>VLOOKUP(B3320,BRAND!B:D,3,FALSE)</f>
        <v>5</v>
      </c>
      <c r="J3320">
        <v>5</v>
      </c>
      <c r="M3320">
        <v>1</v>
      </c>
    </row>
    <row r="3321" spans="1:13">
      <c r="A3321" t="s">
        <v>8262</v>
      </c>
      <c r="B3321" t="s">
        <v>8263</v>
      </c>
      <c r="C3321" s="34" t="s">
        <v>1438</v>
      </c>
      <c r="F3321" t="s">
        <v>1438</v>
      </c>
      <c r="G3321" t="s">
        <v>6932</v>
      </c>
      <c r="H3321">
        <v>5</v>
      </c>
      <c r="I3321">
        <f>VLOOKUP(B3321,BRAND!B:D,3,FALSE)</f>
        <v>5.5</v>
      </c>
      <c r="J3321">
        <v>4</v>
      </c>
      <c r="M3321">
        <v>1</v>
      </c>
    </row>
    <row r="3322" spans="1:13">
      <c r="A3322" t="s">
        <v>4665</v>
      </c>
      <c r="B3322" t="s">
        <v>70</v>
      </c>
      <c r="C3322" s="34" t="s">
        <v>764</v>
      </c>
      <c r="F3322" t="s">
        <v>764</v>
      </c>
      <c r="H3322">
        <v>5</v>
      </c>
      <c r="I3322">
        <f>VLOOKUP(B3322,BRAND!B:D,3,FALSE)</f>
        <v>3</v>
      </c>
      <c r="J3322">
        <v>5</v>
      </c>
      <c r="K3322" t="s">
        <v>821</v>
      </c>
      <c r="M3322">
        <v>1</v>
      </c>
    </row>
    <row r="3323" spans="1:13">
      <c r="A3323" t="s">
        <v>4601</v>
      </c>
      <c r="B3323" t="s">
        <v>70</v>
      </c>
      <c r="C3323" s="34" t="s">
        <v>867</v>
      </c>
      <c r="F3323" t="s">
        <v>867</v>
      </c>
      <c r="H3323">
        <v>5</v>
      </c>
      <c r="I3323">
        <f>VLOOKUP(B3323,BRAND!B:D,3,FALSE)</f>
        <v>3</v>
      </c>
      <c r="J3323">
        <v>4</v>
      </c>
      <c r="K3323" t="s">
        <v>821</v>
      </c>
      <c r="M3323">
        <v>1</v>
      </c>
    </row>
    <row r="3324" spans="1:13">
      <c r="A3324" t="s">
        <v>4786</v>
      </c>
      <c r="B3324" t="s">
        <v>70</v>
      </c>
      <c r="C3324" s="34" t="s">
        <v>775</v>
      </c>
      <c r="F3324" t="s">
        <v>775</v>
      </c>
      <c r="H3324">
        <v>5</v>
      </c>
      <c r="I3324">
        <f>VLOOKUP(B3324,BRAND!B:D,3,FALSE)</f>
        <v>3</v>
      </c>
      <c r="J3324">
        <v>3</v>
      </c>
      <c r="K3324" t="s">
        <v>821</v>
      </c>
      <c r="M3324">
        <v>1</v>
      </c>
    </row>
    <row r="3325" spans="1:13">
      <c r="A3325" t="s">
        <v>1541</v>
      </c>
      <c r="B3325" t="s">
        <v>70</v>
      </c>
      <c r="C3325" s="34" t="s">
        <v>1438</v>
      </c>
      <c r="F3325" t="s">
        <v>1438</v>
      </c>
      <c r="H3325">
        <v>15</v>
      </c>
      <c r="I3325">
        <f>VLOOKUP(B3325,BRAND!B:D,3,FALSE)</f>
        <v>3</v>
      </c>
      <c r="J3325">
        <v>4</v>
      </c>
      <c r="K3325" t="s">
        <v>821</v>
      </c>
      <c r="M3325">
        <v>1</v>
      </c>
    </row>
    <row r="3326" spans="1:13">
      <c r="A3326" t="s">
        <v>1651</v>
      </c>
      <c r="B3326" t="s">
        <v>1447</v>
      </c>
      <c r="C3326" s="34" t="s">
        <v>1472</v>
      </c>
      <c r="F3326" t="s">
        <v>1472</v>
      </c>
      <c r="H3326">
        <v>5</v>
      </c>
      <c r="I3326">
        <f>VLOOKUP(B3326,BRAND!B:D,3,FALSE)</f>
        <v>3</v>
      </c>
      <c r="J3326">
        <f>LEN(F3326)</f>
        <v>11</v>
      </c>
      <c r="K3326" t="s">
        <v>821</v>
      </c>
      <c r="M3326">
        <v>1</v>
      </c>
    </row>
    <row r="3327" spans="1:13">
      <c r="A3327" t="s">
        <v>4840</v>
      </c>
      <c r="B3327" t="s">
        <v>1447</v>
      </c>
      <c r="C3327" s="34" t="s">
        <v>891</v>
      </c>
      <c r="F3327" t="s">
        <v>891</v>
      </c>
      <c r="H3327">
        <v>5</v>
      </c>
      <c r="I3327">
        <f>VLOOKUP(B3327,BRAND!B:D,3,FALSE)</f>
        <v>3</v>
      </c>
      <c r="J3327">
        <v>7</v>
      </c>
      <c r="K3327" t="s">
        <v>821</v>
      </c>
      <c r="M3327">
        <v>1</v>
      </c>
    </row>
    <row r="3328" spans="1:13">
      <c r="A3328" t="s">
        <v>1746</v>
      </c>
      <c r="B3328" t="s">
        <v>1447</v>
      </c>
      <c r="C3328" s="34" t="s">
        <v>746</v>
      </c>
      <c r="F3328" t="s">
        <v>746</v>
      </c>
      <c r="H3328">
        <v>5</v>
      </c>
      <c r="I3328">
        <f>VLOOKUP(B3328,BRAND!B:D,3,FALSE)</f>
        <v>3</v>
      </c>
      <c r="J3328">
        <v>6</v>
      </c>
      <c r="K3328" t="s">
        <v>821</v>
      </c>
      <c r="M3328">
        <v>1</v>
      </c>
    </row>
    <row r="3329" spans="1:13">
      <c r="A3329" t="s">
        <v>4802</v>
      </c>
      <c r="B3329" t="s">
        <v>1447</v>
      </c>
      <c r="C3329" s="34" t="s">
        <v>1510</v>
      </c>
      <c r="F3329" t="s">
        <v>1510</v>
      </c>
      <c r="H3329">
        <v>5</v>
      </c>
      <c r="I3329">
        <f>VLOOKUP(B3329,BRAND!B:D,3,FALSE)</f>
        <v>3</v>
      </c>
      <c r="J3329">
        <v>6</v>
      </c>
      <c r="K3329" t="s">
        <v>821</v>
      </c>
      <c r="M3329">
        <v>1</v>
      </c>
    </row>
    <row r="3330" spans="1:13">
      <c r="A3330" t="s">
        <v>1612</v>
      </c>
      <c r="B3330" t="s">
        <v>1447</v>
      </c>
      <c r="C3330" s="34" t="s">
        <v>995</v>
      </c>
      <c r="F3330" t="s">
        <v>995</v>
      </c>
      <c r="H3330">
        <v>5</v>
      </c>
      <c r="I3330">
        <f>VLOOKUP(B3330,BRAND!B:D,3,FALSE)</f>
        <v>3</v>
      </c>
      <c r="J3330">
        <v>6</v>
      </c>
      <c r="K3330" t="s">
        <v>821</v>
      </c>
      <c r="M3330">
        <v>1</v>
      </c>
    </row>
    <row r="3331" spans="1:13">
      <c r="A3331" t="s">
        <v>1697</v>
      </c>
      <c r="B3331" t="s">
        <v>1447</v>
      </c>
      <c r="C3331" s="34" t="s">
        <v>1508</v>
      </c>
      <c r="F3331" t="s">
        <v>1508</v>
      </c>
      <c r="H3331">
        <v>5</v>
      </c>
      <c r="I3331">
        <f>VLOOKUP(B3331,BRAND!B:D,3,FALSE)</f>
        <v>3</v>
      </c>
      <c r="J3331">
        <v>6</v>
      </c>
      <c r="K3331" t="s">
        <v>821</v>
      </c>
      <c r="M3331">
        <v>1</v>
      </c>
    </row>
    <row r="3332" spans="1:13">
      <c r="A3332" t="s">
        <v>1611</v>
      </c>
      <c r="B3332" t="s">
        <v>1447</v>
      </c>
      <c r="C3332" s="34" t="s">
        <v>1513</v>
      </c>
      <c r="F3332" t="s">
        <v>1513</v>
      </c>
      <c r="H3332">
        <v>5</v>
      </c>
      <c r="I3332">
        <f>VLOOKUP(B3332,BRAND!B:D,3,FALSE)</f>
        <v>3</v>
      </c>
      <c r="J3332">
        <v>5</v>
      </c>
      <c r="K3332" t="s">
        <v>821</v>
      </c>
      <c r="M3332">
        <v>1</v>
      </c>
    </row>
    <row r="3333" spans="1:13">
      <c r="A3333" t="s">
        <v>1650</v>
      </c>
      <c r="B3333" t="s">
        <v>1447</v>
      </c>
      <c r="C3333" s="34" t="s">
        <v>764</v>
      </c>
      <c r="F3333" t="s">
        <v>764</v>
      </c>
      <c r="H3333">
        <v>5</v>
      </c>
      <c r="I3333">
        <f>VLOOKUP(B3333,BRAND!B:D,3,FALSE)</f>
        <v>3</v>
      </c>
      <c r="J3333">
        <v>5</v>
      </c>
      <c r="K3333" t="s">
        <v>821</v>
      </c>
      <c r="M3333">
        <v>1</v>
      </c>
    </row>
    <row r="3334" spans="1:13">
      <c r="A3334" t="s">
        <v>4063</v>
      </c>
      <c r="B3334" t="s">
        <v>1447</v>
      </c>
      <c r="C3334" s="34" t="s">
        <v>879</v>
      </c>
      <c r="F3334" t="s">
        <v>879</v>
      </c>
      <c r="H3334">
        <v>5</v>
      </c>
      <c r="I3334">
        <f>VLOOKUP(B3334,BRAND!B:D,3,FALSE)</f>
        <v>3</v>
      </c>
      <c r="J3334">
        <v>5</v>
      </c>
      <c r="K3334" t="s">
        <v>821</v>
      </c>
      <c r="M3334">
        <v>1</v>
      </c>
    </row>
    <row r="3335" spans="1:13">
      <c r="A3335" t="s">
        <v>4256</v>
      </c>
      <c r="B3335" t="s">
        <v>1447</v>
      </c>
      <c r="C3335" s="34" t="s">
        <v>1988</v>
      </c>
      <c r="F3335" t="s">
        <v>1988</v>
      </c>
      <c r="H3335">
        <v>5</v>
      </c>
      <c r="I3335">
        <f>VLOOKUP(B3335,BRAND!B:D,3,FALSE)</f>
        <v>3</v>
      </c>
      <c r="J3335">
        <v>5</v>
      </c>
      <c r="K3335" t="s">
        <v>821</v>
      </c>
      <c r="M3335">
        <v>1</v>
      </c>
    </row>
    <row r="3336" spans="1:13">
      <c r="A3336" t="s">
        <v>4606</v>
      </c>
      <c r="B3336" t="s">
        <v>1447</v>
      </c>
      <c r="C3336" s="34" t="s">
        <v>876</v>
      </c>
      <c r="F3336" t="s">
        <v>876</v>
      </c>
      <c r="H3336">
        <v>5</v>
      </c>
      <c r="I3336">
        <f>VLOOKUP(B3336,BRAND!B:D,3,FALSE)</f>
        <v>3</v>
      </c>
      <c r="J3336">
        <v>4</v>
      </c>
      <c r="K3336" t="s">
        <v>821</v>
      </c>
      <c r="M3336">
        <v>1</v>
      </c>
    </row>
    <row r="3337" spans="1:13">
      <c r="A3337" t="s">
        <v>6533</v>
      </c>
      <c r="B3337" t="s">
        <v>1447</v>
      </c>
      <c r="C3337" s="34" t="s">
        <v>4891</v>
      </c>
      <c r="F3337" t="s">
        <v>4891</v>
      </c>
      <c r="H3337">
        <v>5</v>
      </c>
      <c r="I3337">
        <f>VLOOKUP(B3337,BRAND!B:D,3,FALSE)</f>
        <v>3</v>
      </c>
      <c r="J3337">
        <v>3</v>
      </c>
      <c r="L3337">
        <v>1</v>
      </c>
    </row>
    <row r="3338" spans="1:13">
      <c r="A3338" t="s">
        <v>6533</v>
      </c>
      <c r="B3338" t="s">
        <v>1447</v>
      </c>
      <c r="C3338" s="34" t="s">
        <v>6534</v>
      </c>
      <c r="F3338" t="s">
        <v>1438</v>
      </c>
      <c r="G3338" t="s">
        <v>801</v>
      </c>
      <c r="H3338">
        <v>6</v>
      </c>
      <c r="I3338">
        <f>VLOOKUP(B3338,BRAND!B:D,3,FALSE)</f>
        <v>3</v>
      </c>
      <c r="J3338">
        <v>4</v>
      </c>
      <c r="K3338" t="s">
        <v>821</v>
      </c>
      <c r="M3338">
        <v>0</v>
      </c>
    </row>
    <row r="3339" spans="1:13">
      <c r="A3339" t="s">
        <v>4892</v>
      </c>
      <c r="B3339" t="s">
        <v>1447</v>
      </c>
      <c r="C3339" s="34" t="s">
        <v>6534</v>
      </c>
      <c r="F3339" t="s">
        <v>1438</v>
      </c>
      <c r="H3339">
        <v>15</v>
      </c>
      <c r="I3339">
        <f>VLOOKUP(B3339,BRAND!B:D,3,FALSE)</f>
        <v>3</v>
      </c>
      <c r="J3339">
        <v>4</v>
      </c>
      <c r="K3339" t="s">
        <v>821</v>
      </c>
      <c r="M3339">
        <v>1</v>
      </c>
    </row>
    <row r="3340" spans="1:13">
      <c r="A3340" t="s">
        <v>9684</v>
      </c>
      <c r="B3340" t="s">
        <v>408</v>
      </c>
      <c r="C3340" s="34" t="s">
        <v>9994</v>
      </c>
      <c r="F3340" t="s">
        <v>9994</v>
      </c>
      <c r="G3340" t="s">
        <v>6932</v>
      </c>
      <c r="H3340">
        <v>5</v>
      </c>
    </row>
    <row r="3341" spans="1:13">
      <c r="A3341" t="s">
        <v>11674</v>
      </c>
      <c r="B3341" t="s">
        <v>408</v>
      </c>
      <c r="C3341" s="34" t="s">
        <v>11131</v>
      </c>
      <c r="F3341" t="s">
        <v>11131</v>
      </c>
      <c r="G3341" t="s">
        <v>6932</v>
      </c>
      <c r="H3341">
        <v>5</v>
      </c>
    </row>
    <row r="3342" spans="1:13">
      <c r="A3342" t="s">
        <v>8265</v>
      </c>
      <c r="B3342" t="s">
        <v>408</v>
      </c>
      <c r="C3342" s="34" t="s">
        <v>8266</v>
      </c>
      <c r="F3342" t="s">
        <v>8266</v>
      </c>
      <c r="G3342" t="s">
        <v>6932</v>
      </c>
      <c r="H3342">
        <v>5</v>
      </c>
    </row>
    <row r="3343" spans="1:13">
      <c r="A3343" t="s">
        <v>11675</v>
      </c>
      <c r="B3343" t="s">
        <v>408</v>
      </c>
      <c r="C3343" s="34" t="s">
        <v>6931</v>
      </c>
      <c r="F3343" t="s">
        <v>11132</v>
      </c>
      <c r="G3343" t="s">
        <v>6932</v>
      </c>
      <c r="H3343">
        <v>5</v>
      </c>
    </row>
    <row r="3344" spans="1:13">
      <c r="A3344" t="s">
        <v>11676</v>
      </c>
      <c r="B3344" t="s">
        <v>408</v>
      </c>
      <c r="C3344" s="34" t="s">
        <v>11133</v>
      </c>
      <c r="F3344" t="s">
        <v>11133</v>
      </c>
      <c r="G3344" t="s">
        <v>6932</v>
      </c>
      <c r="H3344">
        <v>5</v>
      </c>
    </row>
    <row r="3345" spans="1:8">
      <c r="A3345" t="s">
        <v>11677</v>
      </c>
      <c r="B3345" t="s">
        <v>408</v>
      </c>
      <c r="C3345" s="34" t="s">
        <v>11134</v>
      </c>
      <c r="F3345" t="s">
        <v>11134</v>
      </c>
      <c r="G3345" t="s">
        <v>6932</v>
      </c>
      <c r="H3345">
        <v>5</v>
      </c>
    </row>
    <row r="3346" spans="1:8">
      <c r="A3346" t="s">
        <v>11678</v>
      </c>
      <c r="B3346" t="s">
        <v>408</v>
      </c>
      <c r="C3346" s="34" t="s">
        <v>11135</v>
      </c>
      <c r="F3346" t="s">
        <v>11135</v>
      </c>
      <c r="G3346" t="s">
        <v>6932</v>
      </c>
      <c r="H3346">
        <v>5</v>
      </c>
    </row>
    <row r="3347" spans="1:8">
      <c r="A3347" t="s">
        <v>11679</v>
      </c>
      <c r="B3347" t="s">
        <v>408</v>
      </c>
      <c r="C3347" s="34" t="s">
        <v>11136</v>
      </c>
      <c r="F3347" t="s">
        <v>11136</v>
      </c>
      <c r="G3347" t="s">
        <v>6932</v>
      </c>
      <c r="H3347">
        <v>5</v>
      </c>
    </row>
    <row r="3348" spans="1:8">
      <c r="A3348" t="s">
        <v>11680</v>
      </c>
      <c r="B3348" t="s">
        <v>408</v>
      </c>
      <c r="C3348" s="34" t="s">
        <v>11137</v>
      </c>
      <c r="F3348" t="s">
        <v>11137</v>
      </c>
      <c r="G3348" t="s">
        <v>6932</v>
      </c>
      <c r="H3348">
        <v>5</v>
      </c>
    </row>
    <row r="3349" spans="1:8">
      <c r="A3349" t="s">
        <v>11681</v>
      </c>
      <c r="B3349" t="s">
        <v>408</v>
      </c>
      <c r="C3349" s="34" t="s">
        <v>11138</v>
      </c>
      <c r="F3349" t="s">
        <v>11138</v>
      </c>
      <c r="G3349" t="s">
        <v>6932</v>
      </c>
      <c r="H3349">
        <v>5</v>
      </c>
    </row>
    <row r="3350" spans="1:8">
      <c r="A3350" t="s">
        <v>11682</v>
      </c>
      <c r="B3350" t="s">
        <v>408</v>
      </c>
      <c r="C3350" s="34" t="s">
        <v>11139</v>
      </c>
      <c r="F3350" t="s">
        <v>11139</v>
      </c>
      <c r="G3350" t="s">
        <v>6932</v>
      </c>
      <c r="H3350">
        <v>5</v>
      </c>
    </row>
    <row r="3351" spans="1:8">
      <c r="A3351" t="s">
        <v>11683</v>
      </c>
      <c r="B3351" t="s">
        <v>408</v>
      </c>
      <c r="C3351" s="34" t="s">
        <v>11140</v>
      </c>
      <c r="F3351" t="s">
        <v>11140</v>
      </c>
      <c r="G3351" t="s">
        <v>6932</v>
      </c>
      <c r="H3351">
        <v>5</v>
      </c>
    </row>
    <row r="3352" spans="1:8">
      <c r="A3352" t="s">
        <v>11684</v>
      </c>
      <c r="B3352" t="s">
        <v>408</v>
      </c>
      <c r="C3352" s="34" t="s">
        <v>11141</v>
      </c>
      <c r="F3352" t="s">
        <v>11141</v>
      </c>
      <c r="G3352" t="s">
        <v>6932</v>
      </c>
      <c r="H3352">
        <v>5</v>
      </c>
    </row>
    <row r="3353" spans="1:8">
      <c r="A3353" t="s">
        <v>11685</v>
      </c>
      <c r="B3353" t="s">
        <v>408</v>
      </c>
      <c r="C3353" s="34" t="s">
        <v>11142</v>
      </c>
      <c r="F3353" t="s">
        <v>11142</v>
      </c>
      <c r="G3353" t="s">
        <v>6932</v>
      </c>
      <c r="H3353">
        <v>5</v>
      </c>
    </row>
    <row r="3354" spans="1:8">
      <c r="A3354" t="s">
        <v>11686</v>
      </c>
      <c r="B3354" t="s">
        <v>408</v>
      </c>
      <c r="C3354" s="34" t="s">
        <v>11143</v>
      </c>
      <c r="F3354" t="s">
        <v>11143</v>
      </c>
      <c r="G3354" t="s">
        <v>6932</v>
      </c>
      <c r="H3354">
        <v>5</v>
      </c>
    </row>
    <row r="3355" spans="1:8">
      <c r="A3355" t="s">
        <v>11687</v>
      </c>
      <c r="B3355" t="s">
        <v>408</v>
      </c>
      <c r="C3355" s="34" t="s">
        <v>11144</v>
      </c>
      <c r="F3355" t="s">
        <v>11144</v>
      </c>
      <c r="G3355" t="s">
        <v>6932</v>
      </c>
      <c r="H3355">
        <v>5</v>
      </c>
    </row>
    <row r="3356" spans="1:8">
      <c r="A3356" t="s">
        <v>11688</v>
      </c>
      <c r="B3356" t="s">
        <v>408</v>
      </c>
      <c r="C3356" s="34" t="s">
        <v>11145</v>
      </c>
      <c r="F3356" t="s">
        <v>11145</v>
      </c>
      <c r="G3356" t="s">
        <v>6932</v>
      </c>
      <c r="H3356">
        <v>5</v>
      </c>
    </row>
    <row r="3357" spans="1:8">
      <c r="A3357" t="s">
        <v>11689</v>
      </c>
      <c r="B3357" t="s">
        <v>408</v>
      </c>
      <c r="C3357" s="34" t="s">
        <v>11146</v>
      </c>
      <c r="F3357" t="s">
        <v>11146</v>
      </c>
      <c r="G3357" t="s">
        <v>6932</v>
      </c>
      <c r="H3357">
        <v>5</v>
      </c>
    </row>
    <row r="3358" spans="1:8">
      <c r="A3358" t="s">
        <v>11690</v>
      </c>
      <c r="B3358" t="s">
        <v>408</v>
      </c>
      <c r="C3358" s="34" t="s">
        <v>11147</v>
      </c>
      <c r="F3358" t="s">
        <v>11147</v>
      </c>
      <c r="G3358" t="s">
        <v>6932</v>
      </c>
      <c r="H3358">
        <v>5</v>
      </c>
    </row>
    <row r="3359" spans="1:8">
      <c r="A3359" t="s">
        <v>11691</v>
      </c>
      <c r="B3359" t="s">
        <v>408</v>
      </c>
      <c r="C3359" s="34" t="s">
        <v>11148</v>
      </c>
      <c r="F3359" t="s">
        <v>11148</v>
      </c>
      <c r="G3359" t="s">
        <v>6932</v>
      </c>
      <c r="H3359">
        <v>5</v>
      </c>
    </row>
    <row r="3360" spans="1:8">
      <c r="A3360" t="s">
        <v>11692</v>
      </c>
      <c r="B3360" t="s">
        <v>408</v>
      </c>
      <c r="C3360" s="34" t="s">
        <v>1975</v>
      </c>
      <c r="F3360" t="s">
        <v>11149</v>
      </c>
      <c r="G3360" t="s">
        <v>6932</v>
      </c>
      <c r="H3360">
        <v>5</v>
      </c>
    </row>
    <row r="3361" spans="1:13">
      <c r="A3361" t="s">
        <v>11693</v>
      </c>
      <c r="B3361" t="s">
        <v>408</v>
      </c>
      <c r="C3361" s="34" t="s">
        <v>11150</v>
      </c>
      <c r="F3361" t="s">
        <v>11150</v>
      </c>
      <c r="G3361" t="s">
        <v>6932</v>
      </c>
      <c r="H3361">
        <v>5</v>
      </c>
    </row>
    <row r="3362" spans="1:13">
      <c r="A3362" t="s">
        <v>11694</v>
      </c>
      <c r="B3362" t="s">
        <v>408</v>
      </c>
      <c r="C3362" s="34" t="s">
        <v>11151</v>
      </c>
      <c r="F3362" t="s">
        <v>11151</v>
      </c>
      <c r="G3362" t="s">
        <v>6932</v>
      </c>
      <c r="H3362">
        <v>5</v>
      </c>
    </row>
    <row r="3363" spans="1:13">
      <c r="A3363" t="s">
        <v>11695</v>
      </c>
      <c r="B3363" t="s">
        <v>408</v>
      </c>
      <c r="C3363" s="34" t="s">
        <v>11999</v>
      </c>
      <c r="F3363" t="s">
        <v>11152</v>
      </c>
      <c r="G3363" t="s">
        <v>6932</v>
      </c>
      <c r="H3363">
        <v>5</v>
      </c>
    </row>
    <row r="3364" spans="1:13">
      <c r="A3364" t="s">
        <v>11696</v>
      </c>
      <c r="B3364" t="s">
        <v>408</v>
      </c>
      <c r="C3364" s="34" t="s">
        <v>11153</v>
      </c>
      <c r="F3364" t="s">
        <v>11153</v>
      </c>
      <c r="G3364" t="s">
        <v>6932</v>
      </c>
      <c r="H3364">
        <v>5</v>
      </c>
    </row>
    <row r="3365" spans="1:13">
      <c r="A3365" t="s">
        <v>12599</v>
      </c>
      <c r="B3365" t="s">
        <v>408</v>
      </c>
      <c r="C3365" s="34" t="s">
        <v>12600</v>
      </c>
      <c r="F3365" t="s">
        <v>12600</v>
      </c>
      <c r="G3365" t="s">
        <v>6932</v>
      </c>
      <c r="H3365">
        <v>5</v>
      </c>
    </row>
    <row r="3366" spans="1:13">
      <c r="A3366" t="s">
        <v>12601</v>
      </c>
      <c r="B3366" t="s">
        <v>408</v>
      </c>
      <c r="C3366" s="34" t="s">
        <v>12602</v>
      </c>
      <c r="F3366" t="s">
        <v>12602</v>
      </c>
      <c r="G3366" t="s">
        <v>6932</v>
      </c>
      <c r="H3366">
        <v>5</v>
      </c>
    </row>
    <row r="3367" spans="1:13">
      <c r="A3367" t="s">
        <v>8267</v>
      </c>
      <c r="B3367" t="s">
        <v>8268</v>
      </c>
      <c r="C3367" s="34" t="s">
        <v>1438</v>
      </c>
      <c r="F3367" t="s">
        <v>1438</v>
      </c>
      <c r="G3367" t="s">
        <v>6932</v>
      </c>
      <c r="H3367">
        <v>5</v>
      </c>
      <c r="I3367">
        <f>VLOOKUP(B3367,BRAND!B:D,3,FALSE)</f>
        <v>5.5</v>
      </c>
      <c r="J3367">
        <v>4</v>
      </c>
      <c r="M3367">
        <v>1</v>
      </c>
    </row>
    <row r="3368" spans="1:13">
      <c r="A3368" t="s">
        <v>9685</v>
      </c>
      <c r="B3368" t="s">
        <v>7209</v>
      </c>
      <c r="C3368" s="34" t="s">
        <v>1438</v>
      </c>
      <c r="G3368" t="s">
        <v>6932</v>
      </c>
      <c r="H3368">
        <v>5</v>
      </c>
      <c r="I3368">
        <f>VLOOKUP(B3368,BRAND!B:D,3,FALSE)</f>
        <v>5.5</v>
      </c>
      <c r="J3368">
        <v>0</v>
      </c>
      <c r="M3368">
        <v>1</v>
      </c>
    </row>
    <row r="3369" spans="1:13">
      <c r="A3369" t="s">
        <v>7208</v>
      </c>
      <c r="B3369" t="s">
        <v>7209</v>
      </c>
      <c r="C3369" s="34" t="s">
        <v>994</v>
      </c>
      <c r="F3369" t="s">
        <v>994</v>
      </c>
      <c r="H3369">
        <v>5</v>
      </c>
      <c r="I3369">
        <f>VLOOKUP(B3369,BRAND!B:D,3,FALSE)</f>
        <v>5.5</v>
      </c>
      <c r="M3369">
        <v>1</v>
      </c>
    </row>
    <row r="3370" spans="1:13">
      <c r="A3370" t="s">
        <v>8269</v>
      </c>
      <c r="B3370" t="s">
        <v>8270</v>
      </c>
      <c r="C3370" s="34" t="s">
        <v>1438</v>
      </c>
      <c r="F3370" t="s">
        <v>1438</v>
      </c>
      <c r="G3370" t="s">
        <v>6932</v>
      </c>
      <c r="H3370">
        <v>5</v>
      </c>
      <c r="I3370">
        <f>VLOOKUP(B3370,BRAND!B:D,3,FALSE)</f>
        <v>5.5</v>
      </c>
      <c r="J3370">
        <v>4</v>
      </c>
      <c r="L3370">
        <v>1</v>
      </c>
      <c r="M3370">
        <v>0</v>
      </c>
    </row>
    <row r="3371" spans="1:13">
      <c r="A3371" t="s">
        <v>2243</v>
      </c>
      <c r="B3371" t="s">
        <v>1263</v>
      </c>
      <c r="C3371" s="34" t="s">
        <v>1438</v>
      </c>
      <c r="F3371" t="s">
        <v>1438</v>
      </c>
      <c r="H3371">
        <v>15</v>
      </c>
      <c r="I3371">
        <f>VLOOKUP(B3371,BRAND!B:D,3,FALSE)</f>
        <v>5.5</v>
      </c>
      <c r="J3371">
        <v>4</v>
      </c>
      <c r="K3371" t="e">
        <v>#N/A</v>
      </c>
      <c r="L3371">
        <v>1</v>
      </c>
      <c r="M3371">
        <v>0</v>
      </c>
    </row>
    <row r="3372" spans="1:13">
      <c r="A3372" t="s">
        <v>8271</v>
      </c>
      <c r="B3372" t="s">
        <v>8272</v>
      </c>
      <c r="C3372" s="34" t="s">
        <v>1438</v>
      </c>
      <c r="F3372" t="s">
        <v>1438</v>
      </c>
      <c r="G3372" t="s">
        <v>6932</v>
      </c>
      <c r="H3372">
        <v>5</v>
      </c>
      <c r="I3372">
        <f>VLOOKUP(B3372,BRAND!B:D,3,FALSE)</f>
        <v>5.5</v>
      </c>
      <c r="J3372">
        <v>4</v>
      </c>
      <c r="M3372">
        <v>1</v>
      </c>
    </row>
    <row r="3373" spans="1:13">
      <c r="A3373" t="s">
        <v>4073</v>
      </c>
      <c r="B3373" t="s">
        <v>472</v>
      </c>
      <c r="C3373" s="34" t="s">
        <v>1493</v>
      </c>
      <c r="F3373" t="s">
        <v>1493</v>
      </c>
      <c r="H3373">
        <v>15</v>
      </c>
      <c r="I3373">
        <f>VLOOKUP(B3373,BRAND!B:D,3,FALSE)</f>
        <v>3</v>
      </c>
      <c r="J3373">
        <v>7</v>
      </c>
      <c r="K3373" t="s">
        <v>821</v>
      </c>
      <c r="L3373">
        <v>1</v>
      </c>
      <c r="M3373">
        <v>0</v>
      </c>
    </row>
    <row r="3374" spans="1:13">
      <c r="A3374" t="s">
        <v>2514</v>
      </c>
      <c r="B3374" t="s">
        <v>472</v>
      </c>
      <c r="C3374" s="34" t="s">
        <v>1438</v>
      </c>
      <c r="F3374" t="s">
        <v>1438</v>
      </c>
      <c r="H3374">
        <v>15</v>
      </c>
      <c r="I3374">
        <f>VLOOKUP(B3374,BRAND!B:D,3,FALSE)</f>
        <v>3</v>
      </c>
      <c r="J3374">
        <v>4</v>
      </c>
      <c r="K3374" t="s">
        <v>821</v>
      </c>
      <c r="M3374">
        <v>1</v>
      </c>
    </row>
    <row r="3375" spans="1:13">
      <c r="A3375" t="s">
        <v>2891</v>
      </c>
      <c r="B3375" t="s">
        <v>1264</v>
      </c>
      <c r="C3375" s="34" t="s">
        <v>1438</v>
      </c>
      <c r="F3375" t="s">
        <v>1438</v>
      </c>
      <c r="H3375">
        <v>15</v>
      </c>
      <c r="I3375">
        <f>VLOOKUP(B3375,BRAND!B:D,3,FALSE)</f>
        <v>3</v>
      </c>
      <c r="J3375">
        <v>4</v>
      </c>
      <c r="K3375" t="s">
        <v>821</v>
      </c>
      <c r="L3375">
        <v>1</v>
      </c>
      <c r="M3375">
        <v>0</v>
      </c>
    </row>
    <row r="3376" spans="1:13">
      <c r="A3376" t="s">
        <v>3253</v>
      </c>
      <c r="B3376" t="s">
        <v>658</v>
      </c>
      <c r="C3376" s="34" t="s">
        <v>933</v>
      </c>
      <c r="F3376" t="s">
        <v>933</v>
      </c>
      <c r="H3376">
        <v>5</v>
      </c>
      <c r="I3376" t="e">
        <f>VLOOKUP(B3376,BRAND!B:D,3,FALSE)</f>
        <v>#N/A</v>
      </c>
      <c r="J3376">
        <v>8</v>
      </c>
      <c r="K3376" t="s">
        <v>821</v>
      </c>
      <c r="M3376">
        <v>1</v>
      </c>
    </row>
    <row r="3377" spans="1:13">
      <c r="A3377" t="s">
        <v>2217</v>
      </c>
      <c r="B3377" t="s">
        <v>658</v>
      </c>
      <c r="C3377" s="34" t="s">
        <v>1438</v>
      </c>
      <c r="F3377" t="s">
        <v>1438</v>
      </c>
      <c r="H3377">
        <v>15</v>
      </c>
      <c r="I3377" t="e">
        <f>VLOOKUP(B3377,BRAND!B:D,3,FALSE)</f>
        <v>#N/A</v>
      </c>
      <c r="J3377">
        <v>4</v>
      </c>
      <c r="K3377" t="s">
        <v>821</v>
      </c>
      <c r="L3377">
        <v>1</v>
      </c>
      <c r="M3377">
        <v>0</v>
      </c>
    </row>
    <row r="3378" spans="1:13">
      <c r="A3378" t="s">
        <v>3752</v>
      </c>
      <c r="B3378" t="s">
        <v>1265</v>
      </c>
      <c r="C3378" s="34" t="s">
        <v>536</v>
      </c>
      <c r="F3378" t="s">
        <v>536</v>
      </c>
      <c r="H3378">
        <v>5</v>
      </c>
      <c r="I3378">
        <f>VLOOKUP(B3378,BRAND!B:D,3,FALSE)</f>
        <v>3</v>
      </c>
      <c r="J3378">
        <v>5</v>
      </c>
      <c r="K3378" t="s">
        <v>821</v>
      </c>
      <c r="L3378">
        <v>1</v>
      </c>
      <c r="M3378">
        <v>0</v>
      </c>
    </row>
    <row r="3379" spans="1:13">
      <c r="A3379" t="s">
        <v>2679</v>
      </c>
      <c r="B3379" t="s">
        <v>1265</v>
      </c>
      <c r="C3379" s="34" t="s">
        <v>1438</v>
      </c>
      <c r="F3379" t="s">
        <v>1438</v>
      </c>
      <c r="H3379">
        <v>15</v>
      </c>
      <c r="I3379">
        <f>VLOOKUP(B3379,BRAND!B:D,3,FALSE)</f>
        <v>3</v>
      </c>
      <c r="J3379">
        <v>4</v>
      </c>
      <c r="K3379" t="s">
        <v>821</v>
      </c>
      <c r="L3379">
        <v>1</v>
      </c>
      <c r="M3379">
        <v>0</v>
      </c>
    </row>
    <row r="3380" spans="1:13">
      <c r="A3380" t="s">
        <v>2179</v>
      </c>
      <c r="B3380" t="s">
        <v>659</v>
      </c>
      <c r="C3380" s="34" t="s">
        <v>1438</v>
      </c>
      <c r="F3380" t="s">
        <v>1438</v>
      </c>
      <c r="H3380">
        <v>15</v>
      </c>
      <c r="I3380">
        <f>VLOOKUP(B3380,BRAND!B:D,3,FALSE)</f>
        <v>3</v>
      </c>
      <c r="J3380">
        <v>4</v>
      </c>
      <c r="K3380" t="s">
        <v>821</v>
      </c>
      <c r="M3380">
        <v>1</v>
      </c>
    </row>
    <row r="3381" spans="1:13">
      <c r="A3381" t="s">
        <v>10508</v>
      </c>
      <c r="B3381" t="s">
        <v>699</v>
      </c>
      <c r="C3381" s="34" t="s">
        <v>10509</v>
      </c>
      <c r="F3381" t="s">
        <v>10510</v>
      </c>
      <c r="G3381" t="s">
        <v>6932</v>
      </c>
      <c r="H3381">
        <v>5</v>
      </c>
      <c r="I3381">
        <f>VLOOKUP(B3381,BRAND!B:D,3,FALSE)</f>
        <v>3</v>
      </c>
      <c r="J3381">
        <f>LEN(F3381)</f>
        <v>11</v>
      </c>
      <c r="L3381">
        <v>0</v>
      </c>
    </row>
    <row r="3382" spans="1:13">
      <c r="A3382" t="s">
        <v>5320</v>
      </c>
      <c r="B3382" t="s">
        <v>699</v>
      </c>
      <c r="C3382" s="34" t="s">
        <v>5382</v>
      </c>
      <c r="F3382" t="s">
        <v>942</v>
      </c>
      <c r="H3382">
        <v>5</v>
      </c>
      <c r="I3382">
        <f>VLOOKUP(B3382,BRAND!B:D,3,FALSE)</f>
        <v>3</v>
      </c>
      <c r="J3382">
        <v>8</v>
      </c>
      <c r="K3382" t="s">
        <v>821</v>
      </c>
      <c r="M3382">
        <v>1</v>
      </c>
    </row>
    <row r="3383" spans="1:13">
      <c r="A3383" t="s">
        <v>5313</v>
      </c>
      <c r="B3383" t="s">
        <v>699</v>
      </c>
      <c r="C3383" s="34" t="s">
        <v>5384</v>
      </c>
      <c r="F3383" t="s">
        <v>880</v>
      </c>
      <c r="H3383">
        <v>5</v>
      </c>
      <c r="I3383">
        <f>VLOOKUP(B3383,BRAND!B:D,3,FALSE)</f>
        <v>3</v>
      </c>
      <c r="J3383">
        <v>7</v>
      </c>
      <c r="K3383" t="s">
        <v>821</v>
      </c>
      <c r="M3383">
        <v>1</v>
      </c>
    </row>
    <row r="3384" spans="1:13">
      <c r="A3384" t="s">
        <v>1561</v>
      </c>
      <c r="B3384" t="s">
        <v>699</v>
      </c>
      <c r="C3384" s="34" t="s">
        <v>799</v>
      </c>
      <c r="F3384" t="s">
        <v>799</v>
      </c>
      <c r="H3384">
        <v>5</v>
      </c>
      <c r="I3384">
        <f>VLOOKUP(B3384,BRAND!B:D,3,FALSE)</f>
        <v>3</v>
      </c>
      <c r="J3384">
        <v>5</v>
      </c>
      <c r="K3384" t="s">
        <v>821</v>
      </c>
      <c r="M3384">
        <v>1</v>
      </c>
    </row>
    <row r="3385" spans="1:13">
      <c r="A3385" t="s">
        <v>5314</v>
      </c>
      <c r="B3385" t="s">
        <v>699</v>
      </c>
      <c r="C3385" s="34" t="s">
        <v>761</v>
      </c>
      <c r="F3385" t="s">
        <v>761</v>
      </c>
      <c r="H3385">
        <v>5</v>
      </c>
      <c r="I3385">
        <f>VLOOKUP(B3385,BRAND!B:D,3,FALSE)</f>
        <v>3</v>
      </c>
      <c r="J3385">
        <v>5</v>
      </c>
      <c r="K3385" t="s">
        <v>821</v>
      </c>
      <c r="M3385">
        <v>1</v>
      </c>
    </row>
    <row r="3386" spans="1:13">
      <c r="A3386" t="s">
        <v>5317</v>
      </c>
      <c r="B3386" t="s">
        <v>699</v>
      </c>
      <c r="C3386" s="34" t="s">
        <v>5383</v>
      </c>
      <c r="F3386" t="s">
        <v>1515</v>
      </c>
      <c r="H3386">
        <v>5</v>
      </c>
      <c r="I3386">
        <f>VLOOKUP(B3386,BRAND!B:D,3,FALSE)</f>
        <v>3</v>
      </c>
      <c r="J3386">
        <v>4</v>
      </c>
      <c r="K3386" t="s">
        <v>821</v>
      </c>
      <c r="M3386">
        <v>1</v>
      </c>
    </row>
    <row r="3387" spans="1:13">
      <c r="A3387" t="s">
        <v>6539</v>
      </c>
      <c r="B3387" t="s">
        <v>699</v>
      </c>
      <c r="C3387" s="34" t="s">
        <v>6536</v>
      </c>
      <c r="F3387" t="s">
        <v>6536</v>
      </c>
      <c r="H3387">
        <v>6</v>
      </c>
      <c r="I3387">
        <f>VLOOKUP(B3387,BRAND!B:D,3,FALSE)</f>
        <v>3</v>
      </c>
      <c r="J3387">
        <f>LEN(F3387)</f>
        <v>11</v>
      </c>
      <c r="K3387" t="s">
        <v>821</v>
      </c>
      <c r="L3387">
        <v>1</v>
      </c>
      <c r="M3387">
        <v>0</v>
      </c>
    </row>
    <row r="3388" spans="1:13">
      <c r="A3388" t="s">
        <v>6538</v>
      </c>
      <c r="B3388" t="s">
        <v>699</v>
      </c>
      <c r="C3388" s="34" t="s">
        <v>6535</v>
      </c>
      <c r="F3388" t="s">
        <v>6535</v>
      </c>
      <c r="H3388">
        <v>6</v>
      </c>
      <c r="I3388">
        <f>VLOOKUP(B3388,BRAND!B:D,3,FALSE)</f>
        <v>3</v>
      </c>
      <c r="J3388">
        <f>LEN(F3388)</f>
        <v>11</v>
      </c>
      <c r="K3388" t="s">
        <v>821</v>
      </c>
      <c r="M3388">
        <v>1</v>
      </c>
    </row>
    <row r="3389" spans="1:13">
      <c r="A3389" t="s">
        <v>5318</v>
      </c>
      <c r="B3389" t="s">
        <v>699</v>
      </c>
      <c r="C3389" s="34" t="s">
        <v>5385</v>
      </c>
      <c r="F3389" t="s">
        <v>1472</v>
      </c>
      <c r="G3389" t="s">
        <v>801</v>
      </c>
      <c r="H3389">
        <v>6</v>
      </c>
      <c r="I3389">
        <f>VLOOKUP(B3389,BRAND!B:D,3,FALSE)</f>
        <v>3</v>
      </c>
      <c r="J3389">
        <f>LEN(F3389)</f>
        <v>11</v>
      </c>
      <c r="K3389" t="s">
        <v>821</v>
      </c>
      <c r="M3389">
        <v>1</v>
      </c>
    </row>
    <row r="3390" spans="1:13">
      <c r="A3390" t="s">
        <v>5319</v>
      </c>
      <c r="B3390" t="s">
        <v>699</v>
      </c>
      <c r="C3390" s="34" t="s">
        <v>5386</v>
      </c>
      <c r="F3390" t="s">
        <v>798</v>
      </c>
      <c r="G3390" t="s">
        <v>801</v>
      </c>
      <c r="H3390">
        <v>6</v>
      </c>
      <c r="I3390">
        <f>VLOOKUP(B3390,BRAND!B:D,3,FALSE)</f>
        <v>3</v>
      </c>
      <c r="J3390">
        <v>9</v>
      </c>
      <c r="K3390" t="s">
        <v>821</v>
      </c>
      <c r="M3390">
        <v>1</v>
      </c>
    </row>
    <row r="3391" spans="1:13">
      <c r="A3391" t="s">
        <v>1557</v>
      </c>
      <c r="B3391" t="s">
        <v>699</v>
      </c>
      <c r="C3391" s="34" t="s">
        <v>1513</v>
      </c>
      <c r="F3391" t="s">
        <v>1513</v>
      </c>
      <c r="H3391">
        <v>6</v>
      </c>
      <c r="I3391">
        <f>VLOOKUP(B3391,BRAND!B:D,3,FALSE)</f>
        <v>3</v>
      </c>
      <c r="J3391">
        <v>5</v>
      </c>
      <c r="K3391" t="s">
        <v>821</v>
      </c>
      <c r="M3391">
        <v>1</v>
      </c>
    </row>
    <row r="3392" spans="1:13" ht="18.649999999999999" customHeight="1">
      <c r="A3392" t="s">
        <v>4957</v>
      </c>
      <c r="B3392" t="s">
        <v>1039</v>
      </c>
      <c r="C3392" s="34" t="s">
        <v>1438</v>
      </c>
      <c r="F3392" t="s">
        <v>1438</v>
      </c>
      <c r="G3392" t="s">
        <v>801</v>
      </c>
      <c r="H3392">
        <v>5</v>
      </c>
      <c r="I3392">
        <f>VLOOKUP(B3392,BRAND!B:D,3,FALSE)</f>
        <v>3</v>
      </c>
      <c r="J3392">
        <v>4</v>
      </c>
      <c r="L3392">
        <v>1</v>
      </c>
      <c r="M3392">
        <v>0</v>
      </c>
    </row>
    <row r="3393" spans="1:13">
      <c r="A3393" t="s">
        <v>4957</v>
      </c>
      <c r="B3393" t="s">
        <v>1039</v>
      </c>
      <c r="C3393" s="34" t="s">
        <v>5250</v>
      </c>
      <c r="F3393" t="s">
        <v>1438</v>
      </c>
      <c r="G3393" t="s">
        <v>801</v>
      </c>
      <c r="H3393">
        <v>6</v>
      </c>
      <c r="I3393">
        <f>VLOOKUP(B3393,BRAND!B:D,3,FALSE)</f>
        <v>3</v>
      </c>
      <c r="J3393">
        <v>4</v>
      </c>
      <c r="K3393" t="s">
        <v>821</v>
      </c>
      <c r="L3393">
        <v>1</v>
      </c>
      <c r="M3393">
        <v>0</v>
      </c>
    </row>
    <row r="3394" spans="1:13">
      <c r="A3394" t="s">
        <v>8274</v>
      </c>
      <c r="B3394" t="s">
        <v>8275</v>
      </c>
      <c r="C3394" s="34" t="s">
        <v>5233</v>
      </c>
      <c r="F3394" t="s">
        <v>534</v>
      </c>
      <c r="G3394" t="s">
        <v>6932</v>
      </c>
      <c r="H3394">
        <v>5</v>
      </c>
      <c r="I3394">
        <f>VLOOKUP(B3394,BRAND!B:D,3,FALSE)</f>
        <v>5.5</v>
      </c>
      <c r="J3394">
        <v>6</v>
      </c>
      <c r="M3394">
        <v>1</v>
      </c>
    </row>
    <row r="3395" spans="1:13">
      <c r="A3395" t="s">
        <v>3672</v>
      </c>
      <c r="B3395" t="s">
        <v>71</v>
      </c>
      <c r="C3395" s="34" t="s">
        <v>772</v>
      </c>
      <c r="F3395" t="s">
        <v>772</v>
      </c>
      <c r="H3395">
        <v>5</v>
      </c>
      <c r="I3395">
        <f>VLOOKUP(B3395,BRAND!B:D,3,FALSE)</f>
        <v>3</v>
      </c>
      <c r="J3395">
        <v>6</v>
      </c>
      <c r="K3395" t="s">
        <v>821</v>
      </c>
      <c r="M3395">
        <v>1</v>
      </c>
    </row>
    <row r="3396" spans="1:13">
      <c r="A3396" t="s">
        <v>2287</v>
      </c>
      <c r="B3396" t="s">
        <v>71</v>
      </c>
      <c r="C3396" s="34" t="s">
        <v>536</v>
      </c>
      <c r="F3396" t="s">
        <v>536</v>
      </c>
      <c r="H3396">
        <v>5</v>
      </c>
      <c r="I3396">
        <f>VLOOKUP(B3396,BRAND!B:D,3,FALSE)</f>
        <v>3</v>
      </c>
      <c r="J3396">
        <v>5</v>
      </c>
      <c r="K3396" t="s">
        <v>821</v>
      </c>
      <c r="M3396">
        <v>1</v>
      </c>
    </row>
    <row r="3397" spans="1:13">
      <c r="A3397" t="s">
        <v>9686</v>
      </c>
      <c r="B3397" t="s">
        <v>71</v>
      </c>
      <c r="C3397" s="34" t="s">
        <v>773</v>
      </c>
      <c r="H3397">
        <v>5</v>
      </c>
      <c r="I3397">
        <f>VLOOKUP(B3397,BRAND!B:D,3,FALSE)</f>
        <v>3</v>
      </c>
      <c r="J3397">
        <v>0</v>
      </c>
      <c r="M3397">
        <v>1</v>
      </c>
    </row>
    <row r="3398" spans="1:13">
      <c r="A3398" t="s">
        <v>4929</v>
      </c>
      <c r="B3398" t="s">
        <v>71</v>
      </c>
      <c r="C3398" s="34" t="s">
        <v>1438</v>
      </c>
      <c r="F3398" t="s">
        <v>1438</v>
      </c>
      <c r="G3398" t="s">
        <v>801</v>
      </c>
      <c r="H3398">
        <v>6</v>
      </c>
      <c r="I3398">
        <f>VLOOKUP(B3398,BRAND!B:D,3,FALSE)</f>
        <v>3</v>
      </c>
      <c r="J3398">
        <v>4</v>
      </c>
      <c r="K3398" t="s">
        <v>821</v>
      </c>
      <c r="M3398">
        <v>1</v>
      </c>
    </row>
    <row r="3399" spans="1:13">
      <c r="A3399" t="s">
        <v>2026</v>
      </c>
      <c r="B3399" t="s">
        <v>71</v>
      </c>
      <c r="C3399" s="34" t="s">
        <v>1438</v>
      </c>
      <c r="F3399" t="s">
        <v>1438</v>
      </c>
      <c r="H3399">
        <v>15</v>
      </c>
      <c r="I3399">
        <f>VLOOKUP(B3399,BRAND!B:D,3,FALSE)</f>
        <v>3</v>
      </c>
      <c r="J3399">
        <v>4</v>
      </c>
      <c r="K3399" t="s">
        <v>821</v>
      </c>
      <c r="L3399">
        <v>1</v>
      </c>
      <c r="M3399">
        <v>0</v>
      </c>
    </row>
    <row r="3400" spans="1:13">
      <c r="A3400" t="s">
        <v>8432</v>
      </c>
      <c r="B3400" t="s">
        <v>8433</v>
      </c>
      <c r="C3400" s="34" t="s">
        <v>786</v>
      </c>
      <c r="F3400" t="s">
        <v>786</v>
      </c>
      <c r="G3400" t="s">
        <v>6932</v>
      </c>
      <c r="H3400">
        <v>5</v>
      </c>
      <c r="I3400">
        <f>VLOOKUP(B3400,BRAND!B:D,3,FALSE)</f>
        <v>5.5</v>
      </c>
      <c r="J3400">
        <v>3</v>
      </c>
      <c r="L3400">
        <v>1</v>
      </c>
      <c r="M3400">
        <v>1</v>
      </c>
    </row>
    <row r="3401" spans="1:13">
      <c r="A3401" t="s">
        <v>8276</v>
      </c>
      <c r="B3401" t="s">
        <v>8277</v>
      </c>
      <c r="C3401" s="34" t="s">
        <v>1438</v>
      </c>
      <c r="F3401" t="s">
        <v>1438</v>
      </c>
      <c r="G3401" t="s">
        <v>6932</v>
      </c>
      <c r="H3401">
        <v>5</v>
      </c>
      <c r="I3401">
        <f>VLOOKUP(B3401,BRAND!B:D,3,FALSE)</f>
        <v>5.5</v>
      </c>
      <c r="J3401">
        <v>4</v>
      </c>
      <c r="M3401">
        <v>1</v>
      </c>
    </row>
    <row r="3402" spans="1:13">
      <c r="A3402" t="s">
        <v>11615</v>
      </c>
      <c r="B3402" t="s">
        <v>10929</v>
      </c>
      <c r="C3402" s="34" t="s">
        <v>7411</v>
      </c>
      <c r="F3402" t="s">
        <v>534</v>
      </c>
      <c r="G3402" t="s">
        <v>6932</v>
      </c>
      <c r="H3402">
        <v>5</v>
      </c>
    </row>
    <row r="3403" spans="1:13">
      <c r="A3403" t="s">
        <v>7076</v>
      </c>
      <c r="B3403" t="s">
        <v>7077</v>
      </c>
      <c r="C3403" s="34" t="s">
        <v>7078</v>
      </c>
      <c r="F3403" t="s">
        <v>5570</v>
      </c>
      <c r="H3403">
        <v>5</v>
      </c>
      <c r="I3403">
        <f>VLOOKUP(B3403,BRAND!B:D,3,FALSE)</f>
        <v>5</v>
      </c>
      <c r="J3403">
        <v>5</v>
      </c>
      <c r="M3403">
        <v>1</v>
      </c>
    </row>
    <row r="3404" spans="1:13">
      <c r="A3404" t="s">
        <v>7724</v>
      </c>
      <c r="B3404" t="s">
        <v>7077</v>
      </c>
      <c r="C3404" s="34" t="s">
        <v>1438</v>
      </c>
      <c r="F3404" t="s">
        <v>1438</v>
      </c>
      <c r="G3404" t="s">
        <v>6932</v>
      </c>
      <c r="H3404">
        <v>5</v>
      </c>
      <c r="I3404">
        <f>VLOOKUP(B3404,BRAND!B:D,3,FALSE)</f>
        <v>5</v>
      </c>
      <c r="J3404">
        <v>4</v>
      </c>
      <c r="L3404">
        <v>1</v>
      </c>
      <c r="M3404">
        <v>1</v>
      </c>
    </row>
    <row r="3405" spans="1:13">
      <c r="A3405" t="s">
        <v>7079</v>
      </c>
      <c r="B3405" t="s">
        <v>7077</v>
      </c>
      <c r="C3405" s="34" t="s">
        <v>897</v>
      </c>
      <c r="F3405" t="s">
        <v>897</v>
      </c>
      <c r="H3405">
        <v>5</v>
      </c>
      <c r="I3405">
        <f>VLOOKUP(B3405,BRAND!B:D,3,FALSE)</f>
        <v>5</v>
      </c>
      <c r="J3405">
        <v>4</v>
      </c>
      <c r="M3405">
        <v>1</v>
      </c>
    </row>
    <row r="3406" spans="1:13">
      <c r="A3406" t="s">
        <v>14530</v>
      </c>
      <c r="B3406" t="s">
        <v>14528</v>
      </c>
      <c r="C3406" s="34" t="s">
        <v>14531</v>
      </c>
      <c r="F3406" t="s">
        <v>14531</v>
      </c>
      <c r="G3406" t="s">
        <v>6932</v>
      </c>
      <c r="H3406">
        <v>5</v>
      </c>
      <c r="I3406">
        <f>VLOOKUP(B3406,BRAND!B:D,3,FALSE)</f>
        <v>0</v>
      </c>
      <c r="J3406">
        <f t="shared" ref="J3406:J3411" si="39">LEN(F3406)</f>
        <v>34</v>
      </c>
      <c r="K3406" t="s">
        <v>821</v>
      </c>
      <c r="L3406">
        <v>0</v>
      </c>
      <c r="M3406">
        <v>1</v>
      </c>
    </row>
    <row r="3407" spans="1:13">
      <c r="A3407" t="s">
        <v>14527</v>
      </c>
      <c r="B3407" t="s">
        <v>14528</v>
      </c>
      <c r="C3407" s="34" t="s">
        <v>14529</v>
      </c>
      <c r="F3407" t="s">
        <v>14529</v>
      </c>
      <c r="G3407" t="s">
        <v>6932</v>
      </c>
      <c r="H3407">
        <v>5</v>
      </c>
      <c r="I3407">
        <f>VLOOKUP(B3407,BRAND!B:D,3,FALSE)</f>
        <v>0</v>
      </c>
      <c r="J3407">
        <f t="shared" si="39"/>
        <v>26</v>
      </c>
      <c r="K3407" t="s">
        <v>821</v>
      </c>
      <c r="L3407">
        <v>0</v>
      </c>
      <c r="M3407">
        <v>1</v>
      </c>
    </row>
    <row r="3408" spans="1:13">
      <c r="A3408" t="s">
        <v>14536</v>
      </c>
      <c r="B3408" t="s">
        <v>14528</v>
      </c>
      <c r="C3408" s="34" t="s">
        <v>14537</v>
      </c>
      <c r="F3408" t="s">
        <v>14537</v>
      </c>
      <c r="G3408" t="s">
        <v>6932</v>
      </c>
      <c r="H3408">
        <v>5</v>
      </c>
      <c r="I3408">
        <f>VLOOKUP(B3408,BRAND!B:D,3,FALSE)</f>
        <v>0</v>
      </c>
      <c r="J3408">
        <f t="shared" si="39"/>
        <v>15</v>
      </c>
      <c r="K3408" t="s">
        <v>821</v>
      </c>
      <c r="L3408">
        <v>0</v>
      </c>
      <c r="M3408">
        <v>1</v>
      </c>
    </row>
    <row r="3409" spans="1:13">
      <c r="A3409" t="s">
        <v>14534</v>
      </c>
      <c r="B3409" t="s">
        <v>14528</v>
      </c>
      <c r="C3409" s="34" t="s">
        <v>14535</v>
      </c>
      <c r="F3409" t="s">
        <v>14535</v>
      </c>
      <c r="G3409" t="s">
        <v>6932</v>
      </c>
      <c r="H3409">
        <v>5</v>
      </c>
      <c r="I3409">
        <f>VLOOKUP(B3409,BRAND!B:D,3,FALSE)</f>
        <v>0</v>
      </c>
      <c r="J3409">
        <f t="shared" si="39"/>
        <v>11</v>
      </c>
      <c r="K3409" t="s">
        <v>821</v>
      </c>
      <c r="L3409">
        <v>0</v>
      </c>
      <c r="M3409">
        <v>1</v>
      </c>
    </row>
    <row r="3410" spans="1:13">
      <c r="A3410" t="s">
        <v>14532</v>
      </c>
      <c r="B3410" t="s">
        <v>14528</v>
      </c>
      <c r="C3410" s="34" t="s">
        <v>14533</v>
      </c>
      <c r="F3410" t="s">
        <v>14533</v>
      </c>
      <c r="G3410" t="s">
        <v>6932</v>
      </c>
      <c r="H3410">
        <v>5</v>
      </c>
      <c r="I3410">
        <f>VLOOKUP(B3410,BRAND!B:D,3,FALSE)</f>
        <v>0</v>
      </c>
      <c r="J3410">
        <f t="shared" si="39"/>
        <v>11</v>
      </c>
      <c r="K3410" t="s">
        <v>821</v>
      </c>
      <c r="L3410">
        <v>0</v>
      </c>
      <c r="M3410">
        <v>1</v>
      </c>
    </row>
    <row r="3411" spans="1:13">
      <c r="A3411" t="s">
        <v>14538</v>
      </c>
      <c r="B3411" t="s">
        <v>14528</v>
      </c>
      <c r="C3411" s="34" t="s">
        <v>561</v>
      </c>
      <c r="F3411" t="s">
        <v>561</v>
      </c>
      <c r="G3411" t="s">
        <v>801</v>
      </c>
      <c r="H3411">
        <v>5</v>
      </c>
      <c r="I3411">
        <f>VLOOKUP(B3411,BRAND!B:D,3,FALSE)</f>
        <v>0</v>
      </c>
      <c r="J3411">
        <f t="shared" si="39"/>
        <v>3</v>
      </c>
      <c r="K3411" t="s">
        <v>821</v>
      </c>
      <c r="L3411">
        <v>0</v>
      </c>
      <c r="M3411">
        <v>1</v>
      </c>
    </row>
    <row r="3412" spans="1:13">
      <c r="A3412" t="s">
        <v>4791</v>
      </c>
      <c r="B3412" t="s">
        <v>1266</v>
      </c>
      <c r="C3412" s="34" t="s">
        <v>751</v>
      </c>
      <c r="F3412" t="s">
        <v>751</v>
      </c>
      <c r="H3412">
        <v>5</v>
      </c>
      <c r="I3412">
        <f>VLOOKUP(B3412,BRAND!B:D,3,FALSE)</f>
        <v>3</v>
      </c>
      <c r="J3412">
        <v>5</v>
      </c>
      <c r="K3412" t="s">
        <v>821</v>
      </c>
      <c r="L3412">
        <v>1</v>
      </c>
      <c r="M3412">
        <v>0</v>
      </c>
    </row>
    <row r="3413" spans="1:13">
      <c r="A3413" t="s">
        <v>3211</v>
      </c>
      <c r="B3413" t="s">
        <v>1266</v>
      </c>
      <c r="C3413" s="34" t="s">
        <v>1438</v>
      </c>
      <c r="F3413" t="s">
        <v>1438</v>
      </c>
      <c r="H3413">
        <v>15</v>
      </c>
      <c r="I3413">
        <f>VLOOKUP(B3413,BRAND!B:D,3,FALSE)</f>
        <v>3</v>
      </c>
      <c r="J3413">
        <v>4</v>
      </c>
      <c r="K3413" t="s">
        <v>821</v>
      </c>
      <c r="L3413">
        <v>1</v>
      </c>
      <c r="M3413">
        <v>0</v>
      </c>
    </row>
    <row r="3414" spans="1:13">
      <c r="A3414" t="s">
        <v>4450</v>
      </c>
      <c r="B3414" t="s">
        <v>909</v>
      </c>
      <c r="C3414" s="34" t="s">
        <v>776</v>
      </c>
      <c r="F3414" t="s">
        <v>776</v>
      </c>
      <c r="H3414">
        <v>5</v>
      </c>
      <c r="I3414">
        <f>VLOOKUP(B3414,BRAND!B:D,3,FALSE)</f>
        <v>5</v>
      </c>
      <c r="J3414">
        <v>5</v>
      </c>
      <c r="K3414" t="s">
        <v>821</v>
      </c>
      <c r="L3414">
        <v>1</v>
      </c>
      <c r="M3414">
        <v>0</v>
      </c>
    </row>
    <row r="3415" spans="1:13">
      <c r="A3415" t="s">
        <v>4450</v>
      </c>
      <c r="B3415" t="s">
        <v>909</v>
      </c>
      <c r="C3415" s="34" t="s">
        <v>776</v>
      </c>
      <c r="F3415" t="s">
        <v>776</v>
      </c>
      <c r="H3415">
        <v>5</v>
      </c>
      <c r="I3415">
        <f>VLOOKUP(B3415,BRAND!B:D,3,FALSE)</f>
        <v>5</v>
      </c>
      <c r="J3415">
        <v>5</v>
      </c>
      <c r="K3415" t="s">
        <v>821</v>
      </c>
      <c r="L3415">
        <v>1</v>
      </c>
      <c r="M3415">
        <v>0</v>
      </c>
    </row>
    <row r="3416" spans="1:13">
      <c r="A3416" t="s">
        <v>4274</v>
      </c>
      <c r="B3416" t="s">
        <v>909</v>
      </c>
      <c r="C3416" s="34" t="s">
        <v>897</v>
      </c>
      <c r="F3416" t="s">
        <v>897</v>
      </c>
      <c r="H3416">
        <v>5</v>
      </c>
      <c r="I3416">
        <f>VLOOKUP(B3416,BRAND!B:D,3,FALSE)</f>
        <v>5</v>
      </c>
      <c r="J3416">
        <v>4</v>
      </c>
      <c r="K3416" t="s">
        <v>821</v>
      </c>
      <c r="L3416">
        <v>1</v>
      </c>
      <c r="M3416">
        <v>0</v>
      </c>
    </row>
    <row r="3417" spans="1:13">
      <c r="A3417" t="s">
        <v>4451</v>
      </c>
      <c r="B3417" s="26" t="s">
        <v>909</v>
      </c>
      <c r="C3417" s="34" t="s">
        <v>1438</v>
      </c>
      <c r="F3417" t="s">
        <v>1438</v>
      </c>
      <c r="H3417">
        <v>15</v>
      </c>
      <c r="I3417">
        <f>VLOOKUP(B3417,BRAND!B:D,3,FALSE)</f>
        <v>5</v>
      </c>
      <c r="J3417">
        <v>4</v>
      </c>
      <c r="K3417" t="s">
        <v>821</v>
      </c>
      <c r="M3417">
        <v>1</v>
      </c>
    </row>
    <row r="3418" spans="1:13">
      <c r="A3418" t="s">
        <v>2810</v>
      </c>
      <c r="B3418" t="s">
        <v>1267</v>
      </c>
      <c r="C3418" s="34" t="s">
        <v>1438</v>
      </c>
      <c r="F3418" t="s">
        <v>1438</v>
      </c>
      <c r="H3418">
        <v>15</v>
      </c>
      <c r="I3418">
        <f>VLOOKUP(B3418,BRAND!B:D,3,FALSE)</f>
        <v>3</v>
      </c>
      <c r="J3418">
        <v>4</v>
      </c>
      <c r="K3418" t="s">
        <v>821</v>
      </c>
      <c r="L3418">
        <v>1</v>
      </c>
      <c r="M3418">
        <v>0</v>
      </c>
    </row>
    <row r="3419" spans="1:13">
      <c r="A3419" t="s">
        <v>8282</v>
      </c>
      <c r="B3419" s="26" t="s">
        <v>8279</v>
      </c>
      <c r="C3419" s="34" t="s">
        <v>8283</v>
      </c>
      <c r="F3419" t="s">
        <v>8283</v>
      </c>
      <c r="G3419" t="s">
        <v>6932</v>
      </c>
      <c r="H3419">
        <v>5</v>
      </c>
      <c r="I3419">
        <f>VLOOKUP(B3419,BRAND!B:D,3,FALSE)</f>
        <v>5.5</v>
      </c>
      <c r="J3419">
        <v>7</v>
      </c>
      <c r="M3419">
        <v>1</v>
      </c>
    </row>
    <row r="3420" spans="1:13">
      <c r="A3420" t="s">
        <v>8281</v>
      </c>
      <c r="B3420" t="s">
        <v>8279</v>
      </c>
      <c r="C3420" s="34" t="s">
        <v>534</v>
      </c>
      <c r="F3420" t="s">
        <v>534</v>
      </c>
      <c r="G3420" t="s">
        <v>6932</v>
      </c>
      <c r="H3420">
        <v>5</v>
      </c>
      <c r="I3420">
        <f>VLOOKUP(B3420,BRAND!B:D,3,FALSE)</f>
        <v>5.5</v>
      </c>
      <c r="J3420">
        <v>6</v>
      </c>
      <c r="M3420">
        <v>1</v>
      </c>
    </row>
    <row r="3421" spans="1:13">
      <c r="A3421" t="s">
        <v>8280</v>
      </c>
      <c r="B3421" s="26" t="s">
        <v>8279</v>
      </c>
      <c r="C3421" s="34" t="s">
        <v>536</v>
      </c>
      <c r="F3421" t="s">
        <v>536</v>
      </c>
      <c r="G3421" t="s">
        <v>6932</v>
      </c>
      <c r="H3421">
        <v>5</v>
      </c>
      <c r="I3421">
        <f>VLOOKUP(B3421,BRAND!B:D,3,FALSE)</f>
        <v>5.5</v>
      </c>
      <c r="J3421">
        <v>5</v>
      </c>
      <c r="M3421">
        <v>1</v>
      </c>
    </row>
    <row r="3422" spans="1:13">
      <c r="A3422" t="s">
        <v>8278</v>
      </c>
      <c r="B3422" t="s">
        <v>8279</v>
      </c>
      <c r="C3422" s="34" t="s">
        <v>998</v>
      </c>
      <c r="F3422" t="s">
        <v>998</v>
      </c>
      <c r="G3422" t="s">
        <v>6932</v>
      </c>
      <c r="H3422">
        <v>5</v>
      </c>
      <c r="I3422">
        <f>VLOOKUP(B3422,BRAND!B:D,3,FALSE)</f>
        <v>5.5</v>
      </c>
      <c r="J3422">
        <v>4</v>
      </c>
      <c r="M3422">
        <v>1</v>
      </c>
    </row>
    <row r="3423" spans="1:13">
      <c r="A3423" t="s">
        <v>3961</v>
      </c>
      <c r="B3423" t="s">
        <v>835</v>
      </c>
      <c r="C3423" s="34" t="s">
        <v>536</v>
      </c>
      <c r="F3423" t="s">
        <v>536</v>
      </c>
      <c r="H3423">
        <v>5</v>
      </c>
      <c r="I3423">
        <f>VLOOKUP(B3423,BRAND!B:D,3,FALSE)</f>
        <v>3</v>
      </c>
      <c r="J3423">
        <v>5</v>
      </c>
      <c r="K3423" t="s">
        <v>821</v>
      </c>
      <c r="L3423">
        <v>1</v>
      </c>
      <c r="M3423">
        <v>0</v>
      </c>
    </row>
    <row r="3424" spans="1:13">
      <c r="A3424" t="s">
        <v>2431</v>
      </c>
      <c r="B3424" t="s">
        <v>835</v>
      </c>
      <c r="C3424" s="34" t="s">
        <v>1438</v>
      </c>
      <c r="F3424" t="s">
        <v>1438</v>
      </c>
      <c r="H3424">
        <v>15</v>
      </c>
      <c r="I3424">
        <f>VLOOKUP(B3424,BRAND!B:D,3,FALSE)</f>
        <v>3</v>
      </c>
      <c r="J3424">
        <v>4</v>
      </c>
      <c r="K3424" t="s">
        <v>821</v>
      </c>
      <c r="L3424">
        <v>1</v>
      </c>
      <c r="M3424">
        <v>0</v>
      </c>
    </row>
    <row r="3425" spans="1:13">
      <c r="A3425" t="s">
        <v>4880</v>
      </c>
      <c r="B3425" t="s">
        <v>1268</v>
      </c>
      <c r="C3425" s="34" t="s">
        <v>773</v>
      </c>
      <c r="F3425" t="s">
        <v>773</v>
      </c>
      <c r="H3425">
        <v>5</v>
      </c>
      <c r="I3425">
        <f>VLOOKUP(B3425,BRAND!B:D,3,FALSE)</f>
        <v>3</v>
      </c>
      <c r="J3425">
        <v>4</v>
      </c>
      <c r="K3425" t="s">
        <v>821</v>
      </c>
      <c r="L3425">
        <v>1</v>
      </c>
      <c r="M3425">
        <v>0</v>
      </c>
    </row>
    <row r="3426" spans="1:13">
      <c r="A3426" t="s">
        <v>4414</v>
      </c>
      <c r="B3426" t="s">
        <v>1268</v>
      </c>
      <c r="C3426" s="34" t="s">
        <v>775</v>
      </c>
      <c r="F3426" t="s">
        <v>775</v>
      </c>
      <c r="H3426">
        <v>5</v>
      </c>
      <c r="I3426">
        <f>VLOOKUP(B3426,BRAND!B:D,3,FALSE)</f>
        <v>3</v>
      </c>
      <c r="J3426">
        <v>3</v>
      </c>
      <c r="K3426" t="s">
        <v>821</v>
      </c>
      <c r="L3426">
        <v>1</v>
      </c>
      <c r="M3426">
        <v>0</v>
      </c>
    </row>
    <row r="3427" spans="1:13">
      <c r="A3427" t="s">
        <v>2769</v>
      </c>
      <c r="B3427" t="s">
        <v>1268</v>
      </c>
      <c r="C3427" s="34" t="s">
        <v>1438</v>
      </c>
      <c r="F3427" t="s">
        <v>1438</v>
      </c>
      <c r="H3427">
        <v>15</v>
      </c>
      <c r="I3427">
        <f>VLOOKUP(B3427,BRAND!B:D,3,FALSE)</f>
        <v>3</v>
      </c>
      <c r="J3427">
        <v>4</v>
      </c>
      <c r="K3427" t="s">
        <v>821</v>
      </c>
      <c r="L3427">
        <v>1</v>
      </c>
      <c r="M3427">
        <v>0</v>
      </c>
    </row>
    <row r="3428" spans="1:13">
      <c r="A3428" t="s">
        <v>4774</v>
      </c>
      <c r="B3428" t="s">
        <v>1269</v>
      </c>
      <c r="C3428" s="34" t="s">
        <v>775</v>
      </c>
      <c r="F3428" t="s">
        <v>775</v>
      </c>
      <c r="H3428">
        <v>5</v>
      </c>
      <c r="I3428">
        <f>VLOOKUP(B3428,BRAND!B:D,3,FALSE)</f>
        <v>5.5</v>
      </c>
      <c r="J3428">
        <v>3</v>
      </c>
      <c r="K3428" t="e">
        <v>#N/A</v>
      </c>
      <c r="L3428">
        <v>1</v>
      </c>
      <c r="M3428">
        <v>0</v>
      </c>
    </row>
    <row r="3429" spans="1:13">
      <c r="A3429" t="s">
        <v>7359</v>
      </c>
      <c r="B3429" t="s">
        <v>7360</v>
      </c>
      <c r="C3429" s="34" t="s">
        <v>1438</v>
      </c>
      <c r="F3429" t="s">
        <v>1438</v>
      </c>
      <c r="G3429" t="s">
        <v>6932</v>
      </c>
      <c r="H3429">
        <v>5</v>
      </c>
      <c r="I3429">
        <f>VLOOKUP(B3429,BRAND!B:D,3,FALSE)</f>
        <v>5.5</v>
      </c>
      <c r="J3429">
        <v>4</v>
      </c>
      <c r="M3429">
        <v>1</v>
      </c>
    </row>
    <row r="3430" spans="1:13">
      <c r="A3430" t="s">
        <v>3207</v>
      </c>
      <c r="B3430" t="s">
        <v>72</v>
      </c>
      <c r="C3430" s="34" t="s">
        <v>534</v>
      </c>
      <c r="F3430" t="s">
        <v>534</v>
      </c>
      <c r="H3430">
        <v>5</v>
      </c>
      <c r="I3430">
        <f>VLOOKUP(B3430,BRAND!B:D,3,FALSE)</f>
        <v>3</v>
      </c>
      <c r="J3430">
        <v>6</v>
      </c>
      <c r="K3430" t="s">
        <v>821</v>
      </c>
      <c r="M3430">
        <v>1</v>
      </c>
    </row>
    <row r="3431" spans="1:13">
      <c r="A3431" t="s">
        <v>3609</v>
      </c>
      <c r="B3431" t="s">
        <v>72</v>
      </c>
      <c r="C3431" s="34" t="s">
        <v>536</v>
      </c>
      <c r="F3431" t="s">
        <v>536</v>
      </c>
      <c r="H3431">
        <v>5</v>
      </c>
      <c r="I3431">
        <f>VLOOKUP(B3431,BRAND!B:D,3,FALSE)</f>
        <v>3</v>
      </c>
      <c r="J3431">
        <v>5</v>
      </c>
      <c r="K3431" t="s">
        <v>821</v>
      </c>
      <c r="M3431">
        <v>1</v>
      </c>
    </row>
    <row r="3432" spans="1:13">
      <c r="A3432" t="s">
        <v>3918</v>
      </c>
      <c r="B3432" t="s">
        <v>72</v>
      </c>
      <c r="C3432" s="34" t="s">
        <v>842</v>
      </c>
      <c r="F3432" t="s">
        <v>842</v>
      </c>
      <c r="H3432">
        <v>5</v>
      </c>
      <c r="I3432">
        <f>VLOOKUP(B3432,BRAND!B:D,3,FALSE)</f>
        <v>3</v>
      </c>
      <c r="J3432">
        <v>5</v>
      </c>
      <c r="K3432" t="s">
        <v>821</v>
      </c>
      <c r="M3432">
        <v>1</v>
      </c>
    </row>
    <row r="3433" spans="1:13">
      <c r="A3433" t="s">
        <v>4489</v>
      </c>
      <c r="B3433" t="s">
        <v>72</v>
      </c>
      <c r="C3433" s="34" t="s">
        <v>751</v>
      </c>
      <c r="F3433" t="s">
        <v>751</v>
      </c>
      <c r="H3433">
        <v>5</v>
      </c>
      <c r="I3433">
        <f>VLOOKUP(B3433,BRAND!B:D,3,FALSE)</f>
        <v>3</v>
      </c>
      <c r="J3433">
        <v>5</v>
      </c>
      <c r="K3433" t="s">
        <v>821</v>
      </c>
      <c r="M3433">
        <v>1</v>
      </c>
    </row>
    <row r="3434" spans="1:13">
      <c r="A3434" t="s">
        <v>4351</v>
      </c>
      <c r="B3434" t="s">
        <v>72</v>
      </c>
      <c r="C3434" s="34" t="s">
        <v>775</v>
      </c>
      <c r="F3434" t="s">
        <v>775</v>
      </c>
      <c r="H3434">
        <v>5</v>
      </c>
      <c r="I3434">
        <f>VLOOKUP(B3434,BRAND!B:D,3,FALSE)</f>
        <v>3</v>
      </c>
      <c r="J3434">
        <v>3</v>
      </c>
      <c r="K3434" t="s">
        <v>821</v>
      </c>
      <c r="L3434">
        <v>1</v>
      </c>
      <c r="M3434">
        <v>0</v>
      </c>
    </row>
    <row r="3435" spans="1:13">
      <c r="A3435" t="s">
        <v>9687</v>
      </c>
      <c r="B3435" t="s">
        <v>72</v>
      </c>
      <c r="C3435" s="34" t="s">
        <v>6500</v>
      </c>
      <c r="H3435">
        <v>5</v>
      </c>
      <c r="I3435">
        <f>VLOOKUP(B3435,BRAND!B:D,3,FALSE)</f>
        <v>3</v>
      </c>
      <c r="J3435">
        <v>0</v>
      </c>
      <c r="M3435">
        <v>1</v>
      </c>
    </row>
    <row r="3436" spans="1:13">
      <c r="A3436" t="s">
        <v>9688</v>
      </c>
      <c r="B3436" t="s">
        <v>72</v>
      </c>
      <c r="C3436" s="34" t="s">
        <v>788</v>
      </c>
      <c r="H3436">
        <v>5</v>
      </c>
      <c r="I3436">
        <f>VLOOKUP(B3436,BRAND!B:D,3,FALSE)</f>
        <v>3</v>
      </c>
      <c r="J3436">
        <v>0</v>
      </c>
      <c r="M3436">
        <v>1</v>
      </c>
    </row>
    <row r="3437" spans="1:13">
      <c r="A3437" t="s">
        <v>2710</v>
      </c>
      <c r="B3437" t="s">
        <v>72</v>
      </c>
      <c r="C3437" s="34" t="s">
        <v>1438</v>
      </c>
      <c r="F3437" t="s">
        <v>1438</v>
      </c>
      <c r="H3437">
        <v>15</v>
      </c>
      <c r="I3437">
        <f>VLOOKUP(B3437,BRAND!B:D,3,FALSE)</f>
        <v>3</v>
      </c>
      <c r="J3437">
        <v>4</v>
      </c>
      <c r="K3437" t="s">
        <v>821</v>
      </c>
      <c r="L3437">
        <v>1</v>
      </c>
      <c r="M3437">
        <v>0</v>
      </c>
    </row>
    <row r="3438" spans="1:13">
      <c r="A3438" t="s">
        <v>7725</v>
      </c>
      <c r="B3438" t="s">
        <v>7726</v>
      </c>
      <c r="C3438" s="34" t="s">
        <v>1438</v>
      </c>
      <c r="F3438" t="s">
        <v>1438</v>
      </c>
      <c r="G3438" t="s">
        <v>6932</v>
      </c>
      <c r="H3438">
        <v>5</v>
      </c>
      <c r="I3438">
        <f>VLOOKUP(B3438,BRAND!B:D,3,FALSE)</f>
        <v>5.5</v>
      </c>
      <c r="J3438">
        <v>4</v>
      </c>
      <c r="M3438">
        <v>1</v>
      </c>
    </row>
    <row r="3439" spans="1:13">
      <c r="A3439" t="s">
        <v>2732</v>
      </c>
      <c r="B3439" t="s">
        <v>1271</v>
      </c>
      <c r="C3439" s="34" t="s">
        <v>1438</v>
      </c>
      <c r="F3439" t="s">
        <v>1438</v>
      </c>
      <c r="H3439">
        <v>15</v>
      </c>
      <c r="I3439">
        <f>VLOOKUP(B3439,BRAND!B:D,3,FALSE)</f>
        <v>3</v>
      </c>
      <c r="J3439">
        <v>4</v>
      </c>
      <c r="K3439" t="s">
        <v>821</v>
      </c>
      <c r="L3439">
        <v>1</v>
      </c>
      <c r="M3439">
        <v>0</v>
      </c>
    </row>
    <row r="3440" spans="1:13">
      <c r="A3440" t="s">
        <v>10774</v>
      </c>
      <c r="B3440" t="s">
        <v>10775</v>
      </c>
      <c r="C3440" s="34" t="s">
        <v>781</v>
      </c>
      <c r="F3440" t="s">
        <v>781</v>
      </c>
      <c r="H3440">
        <v>5</v>
      </c>
    </row>
    <row r="3441" spans="1:13">
      <c r="A3441" t="s">
        <v>10776</v>
      </c>
      <c r="B3441" t="s">
        <v>10775</v>
      </c>
      <c r="C3441" s="34" t="s">
        <v>10777</v>
      </c>
      <c r="F3441" t="s">
        <v>10777</v>
      </c>
      <c r="H3441">
        <v>5</v>
      </c>
    </row>
    <row r="3442" spans="1:13">
      <c r="A3442" t="s">
        <v>10778</v>
      </c>
      <c r="B3442" t="s">
        <v>10775</v>
      </c>
      <c r="C3442" s="34" t="s">
        <v>534</v>
      </c>
      <c r="F3442" t="s">
        <v>534</v>
      </c>
      <c r="H3442">
        <v>5</v>
      </c>
    </row>
    <row r="3443" spans="1:13">
      <c r="A3443" t="s">
        <v>10779</v>
      </c>
      <c r="B3443" t="s">
        <v>10775</v>
      </c>
      <c r="C3443" s="34" t="s">
        <v>996</v>
      </c>
      <c r="F3443" t="s">
        <v>996</v>
      </c>
      <c r="H3443">
        <v>5</v>
      </c>
    </row>
    <row r="3444" spans="1:13">
      <c r="A3444" t="s">
        <v>10780</v>
      </c>
      <c r="B3444" t="s">
        <v>10775</v>
      </c>
      <c r="C3444" s="34" t="s">
        <v>761</v>
      </c>
      <c r="F3444" t="s">
        <v>761</v>
      </c>
      <c r="H3444">
        <v>5</v>
      </c>
    </row>
    <row r="3445" spans="1:13">
      <c r="A3445" t="s">
        <v>10781</v>
      </c>
      <c r="B3445" t="s">
        <v>10775</v>
      </c>
      <c r="C3445" s="34" t="s">
        <v>10164</v>
      </c>
      <c r="F3445" t="s">
        <v>10164</v>
      </c>
      <c r="H3445">
        <v>5</v>
      </c>
    </row>
    <row r="3446" spans="1:13">
      <c r="A3446" t="s">
        <v>3677</v>
      </c>
      <c r="B3446" t="s">
        <v>1794</v>
      </c>
      <c r="C3446" s="34" t="s">
        <v>536</v>
      </c>
      <c r="F3446" t="s">
        <v>536</v>
      </c>
      <c r="H3446">
        <v>5</v>
      </c>
      <c r="I3446">
        <f>VLOOKUP(B3446,BRAND!B:D,3,FALSE)</f>
        <v>3</v>
      </c>
      <c r="J3446">
        <v>5</v>
      </c>
      <c r="K3446" t="s">
        <v>821</v>
      </c>
      <c r="L3446">
        <v>1</v>
      </c>
      <c r="M3446">
        <v>0</v>
      </c>
    </row>
    <row r="3447" spans="1:13">
      <c r="A3447" t="s">
        <v>8285</v>
      </c>
      <c r="B3447" t="s">
        <v>367</v>
      </c>
      <c r="C3447" s="34" t="s">
        <v>8286</v>
      </c>
      <c r="F3447" t="s">
        <v>8286</v>
      </c>
      <c r="G3447" t="s">
        <v>6932</v>
      </c>
      <c r="H3447">
        <v>5</v>
      </c>
      <c r="I3447">
        <f>VLOOKUP(B3447,BRAND!B:D,3,FALSE)</f>
        <v>3</v>
      </c>
      <c r="J3447">
        <f>LEN(F3447)</f>
        <v>12</v>
      </c>
      <c r="L3447">
        <v>1</v>
      </c>
      <c r="M3447">
        <v>0</v>
      </c>
    </row>
    <row r="3448" spans="1:13">
      <c r="A3448" t="s">
        <v>3059</v>
      </c>
      <c r="B3448" t="s">
        <v>367</v>
      </c>
      <c r="C3448" s="34" t="s">
        <v>946</v>
      </c>
      <c r="F3448" t="s">
        <v>946</v>
      </c>
      <c r="H3448">
        <v>5</v>
      </c>
      <c r="I3448">
        <f>VLOOKUP(B3448,BRAND!B:D,3,FALSE)</f>
        <v>3</v>
      </c>
      <c r="J3448">
        <v>6</v>
      </c>
      <c r="K3448" t="s">
        <v>821</v>
      </c>
      <c r="L3448">
        <v>1</v>
      </c>
      <c r="M3448">
        <v>0</v>
      </c>
    </row>
    <row r="3449" spans="1:13">
      <c r="A3449" t="s">
        <v>8284</v>
      </c>
      <c r="B3449" t="s">
        <v>367</v>
      </c>
      <c r="C3449" s="34" t="s">
        <v>7473</v>
      </c>
      <c r="F3449" t="s">
        <v>7473</v>
      </c>
      <c r="G3449" t="s">
        <v>6932</v>
      </c>
      <c r="H3449">
        <v>5</v>
      </c>
      <c r="I3449">
        <f>VLOOKUP(B3449,BRAND!B:D,3,FALSE)</f>
        <v>3</v>
      </c>
      <c r="J3449">
        <v>6</v>
      </c>
      <c r="M3449">
        <v>1</v>
      </c>
    </row>
    <row r="3450" spans="1:13">
      <c r="A3450" t="s">
        <v>7410</v>
      </c>
      <c r="B3450" t="s">
        <v>367</v>
      </c>
      <c r="C3450" s="34" t="s">
        <v>7411</v>
      </c>
      <c r="F3450" t="s">
        <v>534</v>
      </c>
      <c r="G3450" t="s">
        <v>6932</v>
      </c>
      <c r="H3450">
        <v>5</v>
      </c>
      <c r="I3450">
        <f>VLOOKUP(B3450,BRAND!B:D,3,FALSE)</f>
        <v>3</v>
      </c>
      <c r="J3450">
        <v>6</v>
      </c>
      <c r="M3450">
        <v>1</v>
      </c>
    </row>
    <row r="3451" spans="1:13">
      <c r="A3451" t="s">
        <v>8287</v>
      </c>
      <c r="B3451" t="s">
        <v>367</v>
      </c>
      <c r="C3451" s="34" t="s">
        <v>8288</v>
      </c>
      <c r="F3451" t="s">
        <v>8289</v>
      </c>
      <c r="G3451" t="s">
        <v>6932</v>
      </c>
      <c r="H3451">
        <v>5</v>
      </c>
      <c r="I3451">
        <f>VLOOKUP(B3451,BRAND!B:D,3,FALSE)</f>
        <v>3</v>
      </c>
      <c r="J3451">
        <v>6</v>
      </c>
      <c r="M3451">
        <v>1</v>
      </c>
    </row>
    <row r="3452" spans="1:13">
      <c r="A3452" t="s">
        <v>9689</v>
      </c>
      <c r="B3452" t="s">
        <v>367</v>
      </c>
      <c r="C3452" s="34" t="s">
        <v>6500</v>
      </c>
      <c r="G3452" t="s">
        <v>6932</v>
      </c>
      <c r="H3452">
        <v>5</v>
      </c>
      <c r="I3452">
        <f>VLOOKUP(B3452,BRAND!B:D,3,FALSE)</f>
        <v>3</v>
      </c>
      <c r="J3452">
        <v>0</v>
      </c>
      <c r="M3452">
        <v>1</v>
      </c>
    </row>
    <row r="3453" spans="1:13">
      <c r="A3453" t="s">
        <v>3047</v>
      </c>
      <c r="B3453" t="s">
        <v>367</v>
      </c>
      <c r="C3453" s="34" t="s">
        <v>1438</v>
      </c>
      <c r="F3453" t="s">
        <v>1438</v>
      </c>
      <c r="H3453">
        <v>15</v>
      </c>
      <c r="I3453">
        <f>VLOOKUP(B3453,BRAND!B:D,3,FALSE)</f>
        <v>3</v>
      </c>
      <c r="J3453">
        <v>4</v>
      </c>
      <c r="K3453" t="s">
        <v>821</v>
      </c>
      <c r="M3453">
        <v>1</v>
      </c>
    </row>
    <row r="3454" spans="1:13">
      <c r="A3454" t="s">
        <v>9691</v>
      </c>
      <c r="B3454" t="s">
        <v>409</v>
      </c>
      <c r="C3454" s="34" t="s">
        <v>933</v>
      </c>
      <c r="G3454" t="s">
        <v>6932</v>
      </c>
      <c r="H3454">
        <v>5</v>
      </c>
      <c r="I3454">
        <f>VLOOKUP(B3454,BRAND!B:D,3,FALSE)</f>
        <v>3</v>
      </c>
      <c r="J3454">
        <v>0</v>
      </c>
      <c r="M3454">
        <v>1</v>
      </c>
    </row>
    <row r="3455" spans="1:13">
      <c r="A3455" t="s">
        <v>8293</v>
      </c>
      <c r="B3455" t="s">
        <v>8291</v>
      </c>
      <c r="C3455" s="34" t="s">
        <v>8294</v>
      </c>
      <c r="F3455" t="s">
        <v>8294</v>
      </c>
      <c r="G3455" t="s">
        <v>6932</v>
      </c>
      <c r="H3455">
        <v>5</v>
      </c>
      <c r="I3455">
        <f>VLOOKUP(B3455,BRAND!B:D,3,FALSE)</f>
        <v>5.5</v>
      </c>
      <c r="J3455">
        <f>LEN(F3455)</f>
        <v>10</v>
      </c>
      <c r="M3455">
        <v>1</v>
      </c>
    </row>
    <row r="3456" spans="1:13">
      <c r="A3456" t="s">
        <v>8290</v>
      </c>
      <c r="B3456" t="s">
        <v>8291</v>
      </c>
      <c r="C3456" s="34" t="s">
        <v>8292</v>
      </c>
      <c r="F3456" t="s">
        <v>8292</v>
      </c>
      <c r="G3456" t="s">
        <v>6932</v>
      </c>
      <c r="H3456">
        <v>5</v>
      </c>
      <c r="I3456">
        <f>VLOOKUP(B3456,BRAND!B:D,3,FALSE)</f>
        <v>5.5</v>
      </c>
      <c r="J3456">
        <v>5</v>
      </c>
      <c r="M3456">
        <v>1</v>
      </c>
    </row>
    <row r="3457" spans="1:13">
      <c r="A3457" t="s">
        <v>8295</v>
      </c>
      <c r="B3457" t="s">
        <v>8291</v>
      </c>
      <c r="C3457" s="34" t="s">
        <v>8296</v>
      </c>
      <c r="F3457" t="s">
        <v>8296</v>
      </c>
      <c r="G3457" t="s">
        <v>6932</v>
      </c>
      <c r="H3457">
        <v>5</v>
      </c>
      <c r="I3457">
        <f>VLOOKUP(B3457,BRAND!B:D,3,FALSE)</f>
        <v>5.5</v>
      </c>
      <c r="J3457">
        <v>4</v>
      </c>
      <c r="M3457">
        <v>1</v>
      </c>
    </row>
    <row r="3458" spans="1:13">
      <c r="A3458" t="s">
        <v>3260</v>
      </c>
      <c r="B3458" t="s">
        <v>607</v>
      </c>
      <c r="C3458" s="34" t="s">
        <v>772</v>
      </c>
      <c r="F3458" t="s">
        <v>772</v>
      </c>
      <c r="H3458">
        <v>5</v>
      </c>
      <c r="I3458">
        <f>VLOOKUP(B3458,BRAND!B:D,3,FALSE)</f>
        <v>3</v>
      </c>
      <c r="J3458">
        <v>6</v>
      </c>
      <c r="K3458" t="s">
        <v>821</v>
      </c>
      <c r="M3458">
        <v>1</v>
      </c>
    </row>
    <row r="3459" spans="1:13">
      <c r="A3459" t="s">
        <v>3450</v>
      </c>
      <c r="B3459" t="s">
        <v>607</v>
      </c>
      <c r="C3459" s="34" t="s">
        <v>751</v>
      </c>
      <c r="F3459" t="s">
        <v>751</v>
      </c>
      <c r="H3459">
        <v>5</v>
      </c>
      <c r="I3459">
        <f>VLOOKUP(B3459,BRAND!B:D,3,FALSE)</f>
        <v>3</v>
      </c>
      <c r="J3459">
        <v>5</v>
      </c>
      <c r="K3459" t="s">
        <v>821</v>
      </c>
      <c r="M3459">
        <v>1</v>
      </c>
    </row>
    <row r="3460" spans="1:13">
      <c r="A3460" t="s">
        <v>3451</v>
      </c>
      <c r="B3460" t="s">
        <v>607</v>
      </c>
      <c r="C3460" s="34" t="s">
        <v>536</v>
      </c>
      <c r="F3460" t="s">
        <v>536</v>
      </c>
      <c r="H3460">
        <v>5</v>
      </c>
      <c r="I3460">
        <f>VLOOKUP(B3460,BRAND!B:D,3,FALSE)</f>
        <v>3</v>
      </c>
      <c r="J3460">
        <v>5</v>
      </c>
      <c r="K3460" t="s">
        <v>821</v>
      </c>
      <c r="M3460">
        <v>1</v>
      </c>
    </row>
    <row r="3461" spans="1:13">
      <c r="A3461" t="s">
        <v>3452</v>
      </c>
      <c r="B3461" t="s">
        <v>607</v>
      </c>
      <c r="C3461" s="34" t="s">
        <v>7146</v>
      </c>
      <c r="F3461" t="s">
        <v>842</v>
      </c>
      <c r="H3461">
        <v>5</v>
      </c>
      <c r="I3461">
        <f>VLOOKUP(B3461,BRAND!B:D,3,FALSE)</f>
        <v>3</v>
      </c>
      <c r="J3461">
        <v>5</v>
      </c>
      <c r="K3461" t="s">
        <v>821</v>
      </c>
      <c r="M3461">
        <v>1</v>
      </c>
    </row>
    <row r="3462" spans="1:13">
      <c r="A3462" t="s">
        <v>3213</v>
      </c>
      <c r="B3462" t="s">
        <v>607</v>
      </c>
      <c r="C3462" s="34" t="s">
        <v>776</v>
      </c>
      <c r="F3462" t="s">
        <v>776</v>
      </c>
      <c r="H3462">
        <v>5</v>
      </c>
      <c r="I3462">
        <f>VLOOKUP(B3462,BRAND!B:D,3,FALSE)</f>
        <v>3</v>
      </c>
      <c r="J3462">
        <v>5</v>
      </c>
      <c r="K3462" t="s">
        <v>821</v>
      </c>
      <c r="M3462">
        <v>1</v>
      </c>
    </row>
    <row r="3463" spans="1:13">
      <c r="A3463" t="s">
        <v>4993</v>
      </c>
      <c r="B3463" t="s">
        <v>607</v>
      </c>
      <c r="C3463" s="34" t="s">
        <v>1438</v>
      </c>
      <c r="F3463" t="s">
        <v>1438</v>
      </c>
      <c r="G3463" t="s">
        <v>801</v>
      </c>
      <c r="H3463">
        <v>6</v>
      </c>
      <c r="I3463">
        <f>VLOOKUP(B3463,BRAND!B:D,3,FALSE)</f>
        <v>3</v>
      </c>
      <c r="J3463">
        <v>4</v>
      </c>
      <c r="K3463" t="s">
        <v>821</v>
      </c>
      <c r="L3463">
        <v>1</v>
      </c>
      <c r="M3463">
        <v>0</v>
      </c>
    </row>
    <row r="3464" spans="1:13">
      <c r="A3464" t="s">
        <v>2173</v>
      </c>
      <c r="B3464" t="s">
        <v>607</v>
      </c>
      <c r="C3464" s="34" t="s">
        <v>1438</v>
      </c>
      <c r="F3464" t="s">
        <v>1438</v>
      </c>
      <c r="H3464">
        <v>15</v>
      </c>
      <c r="I3464">
        <f>VLOOKUP(B3464,BRAND!B:D,3,FALSE)</f>
        <v>3</v>
      </c>
      <c r="J3464">
        <v>4</v>
      </c>
      <c r="K3464" t="s">
        <v>821</v>
      </c>
      <c r="L3464">
        <v>0</v>
      </c>
      <c r="M3464">
        <v>0</v>
      </c>
    </row>
    <row r="3465" spans="1:13">
      <c r="A3465" t="s">
        <v>3977</v>
      </c>
      <c r="B3465" t="s">
        <v>73</v>
      </c>
      <c r="C3465" s="34" t="s">
        <v>536</v>
      </c>
      <c r="F3465" t="s">
        <v>536</v>
      </c>
      <c r="H3465">
        <v>5</v>
      </c>
      <c r="I3465">
        <f>VLOOKUP(B3465,BRAND!B:D,3,FALSE)</f>
        <v>3</v>
      </c>
      <c r="J3465">
        <v>5</v>
      </c>
      <c r="K3465" t="s">
        <v>821</v>
      </c>
      <c r="M3465">
        <v>1</v>
      </c>
    </row>
    <row r="3466" spans="1:13">
      <c r="A3466" t="s">
        <v>10287</v>
      </c>
      <c r="B3466" t="s">
        <v>73</v>
      </c>
      <c r="C3466" s="34" t="s">
        <v>1438</v>
      </c>
      <c r="F3466" t="s">
        <v>1438</v>
      </c>
      <c r="H3466">
        <v>5</v>
      </c>
      <c r="I3466">
        <f>VLOOKUP(B3466,BRAND!B:D,3,FALSE)</f>
        <v>3</v>
      </c>
      <c r="J3466">
        <f>LEN(F3466)</f>
        <v>4</v>
      </c>
      <c r="M3466">
        <v>1</v>
      </c>
    </row>
    <row r="3467" spans="1:13">
      <c r="A3467" t="s">
        <v>2042</v>
      </c>
      <c r="B3467" t="s">
        <v>73</v>
      </c>
      <c r="C3467" s="34" t="s">
        <v>1438</v>
      </c>
      <c r="F3467" t="s">
        <v>1438</v>
      </c>
      <c r="H3467">
        <v>5</v>
      </c>
      <c r="I3467">
        <f>VLOOKUP(B3467,BRAND!B:D,3,FALSE)</f>
        <v>3</v>
      </c>
      <c r="J3467">
        <v>4</v>
      </c>
      <c r="K3467" t="s">
        <v>821</v>
      </c>
      <c r="M3467">
        <v>1</v>
      </c>
    </row>
    <row r="3468" spans="1:13">
      <c r="A3468" t="s">
        <v>10292</v>
      </c>
      <c r="B3468" t="s">
        <v>73</v>
      </c>
      <c r="C3468" s="34" t="s">
        <v>5235</v>
      </c>
      <c r="F3468" t="s">
        <v>1438</v>
      </c>
      <c r="G3468" t="s">
        <v>801</v>
      </c>
      <c r="H3468">
        <v>6</v>
      </c>
      <c r="I3468">
        <f>VLOOKUP(B3468,BRAND!B:D,3,FALSE)</f>
        <v>3</v>
      </c>
      <c r="J3468">
        <v>4</v>
      </c>
      <c r="K3468" t="s">
        <v>821</v>
      </c>
      <c r="M3468">
        <v>1</v>
      </c>
    </row>
    <row r="3469" spans="1:13">
      <c r="A3469" t="s">
        <v>2042</v>
      </c>
      <c r="B3469" t="s">
        <v>73</v>
      </c>
      <c r="C3469" s="34" t="s">
        <v>1438</v>
      </c>
      <c r="F3469" t="s">
        <v>1438</v>
      </c>
      <c r="H3469">
        <v>15</v>
      </c>
      <c r="I3469">
        <f>VLOOKUP(B3469,BRAND!B:D,3,FALSE)</f>
        <v>3</v>
      </c>
      <c r="J3469">
        <v>4</v>
      </c>
      <c r="K3469" t="s">
        <v>821</v>
      </c>
      <c r="M3469">
        <v>1</v>
      </c>
    </row>
    <row r="3470" spans="1:13">
      <c r="A3470" t="s">
        <v>3387</v>
      </c>
      <c r="B3470" t="s">
        <v>74</v>
      </c>
      <c r="C3470" s="34" t="s">
        <v>534</v>
      </c>
      <c r="F3470" t="s">
        <v>534</v>
      </c>
      <c r="H3470">
        <v>5</v>
      </c>
      <c r="I3470">
        <f>VLOOKUP(B3470,BRAND!B:D,3,FALSE)</f>
        <v>3</v>
      </c>
      <c r="J3470">
        <v>6</v>
      </c>
      <c r="K3470" t="s">
        <v>821</v>
      </c>
      <c r="M3470">
        <v>1</v>
      </c>
    </row>
    <row r="3471" spans="1:13">
      <c r="A3471" t="s">
        <v>4330</v>
      </c>
      <c r="B3471" t="s">
        <v>542</v>
      </c>
      <c r="C3471" s="34" t="s">
        <v>900</v>
      </c>
      <c r="F3471" t="s">
        <v>900</v>
      </c>
      <c r="H3471">
        <v>5</v>
      </c>
      <c r="I3471">
        <f>VLOOKUP(B3471,BRAND!B:D,3,FALSE)</f>
        <v>3</v>
      </c>
      <c r="J3471">
        <v>5</v>
      </c>
      <c r="K3471" t="s">
        <v>821</v>
      </c>
      <c r="L3471">
        <v>0</v>
      </c>
      <c r="M3471">
        <v>0</v>
      </c>
    </row>
    <row r="3472" spans="1:13">
      <c r="A3472" t="s">
        <v>2542</v>
      </c>
      <c r="B3472" t="s">
        <v>542</v>
      </c>
      <c r="C3472" s="34" t="s">
        <v>1438</v>
      </c>
      <c r="F3472" t="s">
        <v>1438</v>
      </c>
      <c r="H3472">
        <v>15</v>
      </c>
      <c r="I3472">
        <f>VLOOKUP(B3472,BRAND!B:D,3,FALSE)</f>
        <v>3</v>
      </c>
      <c r="J3472">
        <v>4</v>
      </c>
      <c r="K3472" t="s">
        <v>821</v>
      </c>
      <c r="M3472">
        <v>1</v>
      </c>
    </row>
    <row r="3473" spans="1:13">
      <c r="A3473" t="s">
        <v>4379</v>
      </c>
      <c r="B3473" t="s">
        <v>1161</v>
      </c>
      <c r="C3473" s="34" t="s">
        <v>1472</v>
      </c>
      <c r="F3473" t="s">
        <v>1472</v>
      </c>
      <c r="H3473">
        <v>5</v>
      </c>
      <c r="I3473">
        <f>VLOOKUP(B3473,BRAND!B:D,3,FALSE)</f>
        <v>3</v>
      </c>
      <c r="J3473">
        <f>LEN(F3473)</f>
        <v>11</v>
      </c>
      <c r="K3473" t="s">
        <v>821</v>
      </c>
      <c r="L3473">
        <v>0</v>
      </c>
      <c r="M3473">
        <v>0</v>
      </c>
    </row>
    <row r="3474" spans="1:13">
      <c r="A3474" t="s">
        <v>4508</v>
      </c>
      <c r="B3474" t="s">
        <v>1161</v>
      </c>
      <c r="C3474" s="34" t="s">
        <v>880</v>
      </c>
      <c r="F3474" t="s">
        <v>880</v>
      </c>
      <c r="H3474">
        <v>5</v>
      </c>
      <c r="I3474">
        <f>VLOOKUP(B3474,BRAND!B:D,3,FALSE)</f>
        <v>3</v>
      </c>
      <c r="J3474">
        <v>7</v>
      </c>
      <c r="K3474" t="s">
        <v>821</v>
      </c>
      <c r="L3474">
        <v>0</v>
      </c>
      <c r="M3474">
        <v>0</v>
      </c>
    </row>
    <row r="3475" spans="1:13">
      <c r="A3475" t="s">
        <v>4061</v>
      </c>
      <c r="B3475" t="s">
        <v>1161</v>
      </c>
      <c r="C3475" s="34" t="s">
        <v>1508</v>
      </c>
      <c r="F3475" t="s">
        <v>1508</v>
      </c>
      <c r="H3475">
        <v>5</v>
      </c>
      <c r="I3475">
        <f>VLOOKUP(B3475,BRAND!B:D,3,FALSE)</f>
        <v>3</v>
      </c>
      <c r="J3475">
        <v>6</v>
      </c>
      <c r="K3475" t="s">
        <v>821</v>
      </c>
      <c r="L3475">
        <v>0</v>
      </c>
      <c r="M3475">
        <v>0</v>
      </c>
    </row>
    <row r="3476" spans="1:13">
      <c r="A3476" t="s">
        <v>4403</v>
      </c>
      <c r="B3476" t="s">
        <v>1161</v>
      </c>
      <c r="C3476" s="34" t="s">
        <v>1511</v>
      </c>
      <c r="F3476" t="s">
        <v>1511</v>
      </c>
      <c r="H3476">
        <v>5</v>
      </c>
      <c r="I3476">
        <f>VLOOKUP(B3476,BRAND!B:D,3,FALSE)</f>
        <v>3</v>
      </c>
      <c r="J3476">
        <v>6</v>
      </c>
      <c r="K3476" t="s">
        <v>821</v>
      </c>
      <c r="L3476">
        <v>0</v>
      </c>
      <c r="M3476">
        <v>0</v>
      </c>
    </row>
    <row r="3477" spans="1:13">
      <c r="A3477" t="s">
        <v>4527</v>
      </c>
      <c r="B3477" t="s">
        <v>1161</v>
      </c>
      <c r="C3477" s="34" t="s">
        <v>1513</v>
      </c>
      <c r="F3477" t="s">
        <v>1513</v>
      </c>
      <c r="H3477">
        <v>5</v>
      </c>
      <c r="I3477">
        <f>VLOOKUP(B3477,BRAND!B:D,3,FALSE)</f>
        <v>3</v>
      </c>
      <c r="J3477">
        <v>5</v>
      </c>
      <c r="K3477" t="s">
        <v>821</v>
      </c>
      <c r="L3477">
        <v>0</v>
      </c>
      <c r="M3477">
        <v>0</v>
      </c>
    </row>
    <row r="3478" spans="1:13">
      <c r="A3478" t="s">
        <v>4632</v>
      </c>
      <c r="B3478" t="s">
        <v>1161</v>
      </c>
      <c r="C3478" s="34" t="s">
        <v>1515</v>
      </c>
      <c r="F3478" t="s">
        <v>1515</v>
      </c>
      <c r="H3478">
        <v>5</v>
      </c>
      <c r="I3478">
        <f>VLOOKUP(B3478,BRAND!B:D,3,FALSE)</f>
        <v>3</v>
      </c>
      <c r="J3478">
        <v>4</v>
      </c>
      <c r="K3478" t="s">
        <v>821</v>
      </c>
      <c r="L3478">
        <v>0</v>
      </c>
      <c r="M3478">
        <v>0</v>
      </c>
    </row>
    <row r="3479" spans="1:13">
      <c r="A3479" t="s">
        <v>4385</v>
      </c>
      <c r="B3479" t="s">
        <v>1161</v>
      </c>
      <c r="C3479" s="34" t="s">
        <v>1992</v>
      </c>
      <c r="F3479" t="s">
        <v>1992</v>
      </c>
      <c r="H3479">
        <v>5</v>
      </c>
      <c r="I3479">
        <f>VLOOKUP(B3479,BRAND!B:D,3,FALSE)</f>
        <v>3</v>
      </c>
      <c r="J3479">
        <v>3</v>
      </c>
      <c r="K3479" t="s">
        <v>821</v>
      </c>
      <c r="L3479">
        <v>0</v>
      </c>
      <c r="M3479">
        <v>0</v>
      </c>
    </row>
    <row r="3480" spans="1:13">
      <c r="A3480" t="s">
        <v>2433</v>
      </c>
      <c r="B3480" t="s">
        <v>1161</v>
      </c>
      <c r="C3480" s="34" t="s">
        <v>1438</v>
      </c>
      <c r="F3480" t="s">
        <v>1438</v>
      </c>
      <c r="H3480">
        <v>15</v>
      </c>
      <c r="I3480">
        <f>VLOOKUP(B3480,BRAND!B:D,3,FALSE)</f>
        <v>3</v>
      </c>
      <c r="J3480">
        <v>4</v>
      </c>
      <c r="K3480" t="s">
        <v>821</v>
      </c>
      <c r="L3480">
        <v>0</v>
      </c>
      <c r="M3480">
        <v>0</v>
      </c>
    </row>
    <row r="3481" spans="1:13">
      <c r="A3481" t="s">
        <v>6494</v>
      </c>
      <c r="B3481" t="s">
        <v>75</v>
      </c>
      <c r="C3481" s="34" t="s">
        <v>995</v>
      </c>
      <c r="F3481" t="s">
        <v>995</v>
      </c>
      <c r="H3481">
        <v>5</v>
      </c>
      <c r="I3481">
        <f>VLOOKUP(B3481,BRAND!B:D,3,FALSE)</f>
        <v>5.5</v>
      </c>
      <c r="J3481">
        <v>6</v>
      </c>
      <c r="K3481" t="e">
        <v>#N/A</v>
      </c>
      <c r="L3481">
        <v>0</v>
      </c>
      <c r="M3481">
        <v>0</v>
      </c>
    </row>
    <row r="3482" spans="1:13">
      <c r="A3482" t="s">
        <v>6495</v>
      </c>
      <c r="B3482" t="s">
        <v>75</v>
      </c>
      <c r="C3482" s="34" t="s">
        <v>1508</v>
      </c>
      <c r="F3482" t="s">
        <v>1508</v>
      </c>
      <c r="H3482">
        <v>5</v>
      </c>
      <c r="I3482">
        <f>VLOOKUP(B3482,BRAND!B:D,3,FALSE)</f>
        <v>5.5</v>
      </c>
      <c r="J3482">
        <v>6</v>
      </c>
      <c r="K3482" t="e">
        <v>#N/A</v>
      </c>
      <c r="L3482">
        <v>0</v>
      </c>
      <c r="M3482">
        <v>0</v>
      </c>
    </row>
    <row r="3483" spans="1:13">
      <c r="A3483" t="s">
        <v>6496</v>
      </c>
      <c r="B3483" t="s">
        <v>75</v>
      </c>
      <c r="C3483" s="34" t="s">
        <v>764</v>
      </c>
      <c r="F3483" t="s">
        <v>764</v>
      </c>
      <c r="H3483">
        <v>5</v>
      </c>
      <c r="I3483">
        <f>VLOOKUP(B3483,BRAND!B:D,3,FALSE)</f>
        <v>5.5</v>
      </c>
      <c r="J3483">
        <v>5</v>
      </c>
      <c r="K3483" t="e">
        <v>#N/A</v>
      </c>
      <c r="L3483">
        <v>0</v>
      </c>
      <c r="M3483">
        <v>0</v>
      </c>
    </row>
    <row r="3484" spans="1:13">
      <c r="A3484" t="s">
        <v>6497</v>
      </c>
      <c r="B3484" t="s">
        <v>75</v>
      </c>
      <c r="C3484" s="34" t="s">
        <v>1513</v>
      </c>
      <c r="F3484" t="s">
        <v>1513</v>
      </c>
      <c r="H3484">
        <v>5</v>
      </c>
      <c r="I3484">
        <f>VLOOKUP(B3484,BRAND!B:D,3,FALSE)</f>
        <v>5.5</v>
      </c>
      <c r="J3484">
        <v>5</v>
      </c>
      <c r="K3484" t="e">
        <v>#N/A</v>
      </c>
      <c r="L3484">
        <v>0</v>
      </c>
      <c r="M3484">
        <v>0</v>
      </c>
    </row>
    <row r="3485" spans="1:13">
      <c r="A3485" t="s">
        <v>6498</v>
      </c>
      <c r="B3485" t="s">
        <v>75</v>
      </c>
      <c r="C3485" s="34" t="s">
        <v>876</v>
      </c>
      <c r="F3485" t="s">
        <v>876</v>
      </c>
      <c r="H3485">
        <v>5</v>
      </c>
      <c r="I3485">
        <f>VLOOKUP(B3485,BRAND!B:D,3,FALSE)</f>
        <v>5.5</v>
      </c>
      <c r="J3485">
        <v>4</v>
      </c>
      <c r="K3485" t="e">
        <v>#N/A</v>
      </c>
      <c r="L3485">
        <v>0</v>
      </c>
      <c r="M3485">
        <v>0</v>
      </c>
    </row>
    <row r="3486" spans="1:13">
      <c r="A3486" t="s">
        <v>6499</v>
      </c>
      <c r="B3486" t="s">
        <v>75</v>
      </c>
      <c r="C3486" s="34" t="s">
        <v>1438</v>
      </c>
      <c r="F3486" t="s">
        <v>1438</v>
      </c>
      <c r="H3486">
        <v>15</v>
      </c>
      <c r="I3486">
        <f>VLOOKUP(B3486,BRAND!B:D,3,FALSE)</f>
        <v>5.5</v>
      </c>
      <c r="J3486">
        <v>4</v>
      </c>
      <c r="K3486" t="e">
        <v>#N/A</v>
      </c>
      <c r="M3486">
        <v>1</v>
      </c>
    </row>
    <row r="3487" spans="1:13">
      <c r="A3487" t="s">
        <v>10175</v>
      </c>
      <c r="B3487" t="s">
        <v>6493</v>
      </c>
      <c r="C3487" s="34" t="s">
        <v>10176</v>
      </c>
      <c r="F3487" t="s">
        <v>5190</v>
      </c>
      <c r="H3487">
        <v>5</v>
      </c>
      <c r="I3487">
        <f>VLOOKUP(B3487,BRAND!B:D,3,FALSE)</f>
        <v>3</v>
      </c>
      <c r="J3487">
        <v>3</v>
      </c>
      <c r="L3487">
        <v>1</v>
      </c>
      <c r="M3487">
        <v>1</v>
      </c>
    </row>
    <row r="3488" spans="1:13">
      <c r="A3488" t="s">
        <v>10177</v>
      </c>
      <c r="B3488" t="s">
        <v>6493</v>
      </c>
      <c r="C3488" s="34" t="s">
        <v>1513</v>
      </c>
      <c r="F3488" t="s">
        <v>1513</v>
      </c>
      <c r="H3488">
        <v>5</v>
      </c>
      <c r="I3488">
        <f>VLOOKUP(B3488,BRAND!B:D,3,FALSE)</f>
        <v>3</v>
      </c>
      <c r="J3488">
        <v>3</v>
      </c>
      <c r="L3488">
        <v>1</v>
      </c>
      <c r="M3488">
        <v>1</v>
      </c>
    </row>
    <row r="3489" spans="1:13">
      <c r="A3489" t="s">
        <v>10178</v>
      </c>
      <c r="B3489" t="s">
        <v>6493</v>
      </c>
      <c r="C3489" s="34" t="s">
        <v>1459</v>
      </c>
      <c r="F3489" t="s">
        <v>1459</v>
      </c>
      <c r="H3489">
        <v>5</v>
      </c>
      <c r="I3489">
        <f>VLOOKUP(B3489,BRAND!B:D,3,FALSE)</f>
        <v>3</v>
      </c>
      <c r="J3489">
        <v>3</v>
      </c>
      <c r="L3489">
        <v>1</v>
      </c>
      <c r="M3489">
        <v>1</v>
      </c>
    </row>
    <row r="3490" spans="1:13">
      <c r="A3490" t="s">
        <v>3560</v>
      </c>
      <c r="B3490" t="s">
        <v>1841</v>
      </c>
      <c r="C3490" s="34" t="s">
        <v>798</v>
      </c>
      <c r="F3490" t="s">
        <v>798</v>
      </c>
      <c r="H3490">
        <v>5</v>
      </c>
      <c r="I3490">
        <f>VLOOKUP(B3490,BRAND!B:D,3,FALSE)</f>
        <v>5.5</v>
      </c>
      <c r="J3490">
        <v>9</v>
      </c>
      <c r="K3490" t="e">
        <v>#N/A</v>
      </c>
      <c r="L3490">
        <v>0</v>
      </c>
      <c r="M3490">
        <v>0</v>
      </c>
    </row>
    <row r="3491" spans="1:13">
      <c r="A3491" t="s">
        <v>3367</v>
      </c>
      <c r="B3491" t="s">
        <v>1841</v>
      </c>
      <c r="C3491" s="34" t="s">
        <v>780</v>
      </c>
      <c r="F3491" t="s">
        <v>780</v>
      </c>
      <c r="H3491">
        <v>5</v>
      </c>
      <c r="I3491">
        <f>VLOOKUP(B3491,BRAND!B:D,3,FALSE)</f>
        <v>5.5</v>
      </c>
      <c r="J3491">
        <v>6</v>
      </c>
      <c r="K3491" t="e">
        <v>#N/A</v>
      </c>
      <c r="L3491">
        <v>0</v>
      </c>
      <c r="M3491">
        <v>0</v>
      </c>
    </row>
    <row r="3492" spans="1:13">
      <c r="A3492" t="s">
        <v>2103</v>
      </c>
      <c r="B3492" t="s">
        <v>76</v>
      </c>
      <c r="C3492" s="34" t="s">
        <v>780</v>
      </c>
      <c r="F3492" t="s">
        <v>780</v>
      </c>
      <c r="H3492">
        <v>5</v>
      </c>
      <c r="I3492">
        <f>VLOOKUP(B3492,BRAND!B:D,3,FALSE)</f>
        <v>3</v>
      </c>
      <c r="J3492">
        <v>6</v>
      </c>
      <c r="K3492" t="s">
        <v>821</v>
      </c>
      <c r="L3492">
        <v>0</v>
      </c>
      <c r="M3492">
        <v>0</v>
      </c>
    </row>
    <row r="3493" spans="1:13">
      <c r="A3493" t="s">
        <v>2184</v>
      </c>
      <c r="B3493" t="s">
        <v>1040</v>
      </c>
      <c r="C3493" s="34" t="s">
        <v>534</v>
      </c>
      <c r="F3493" t="s">
        <v>534</v>
      </c>
      <c r="H3493">
        <v>5</v>
      </c>
      <c r="I3493">
        <f>VLOOKUP(B3493,BRAND!B:D,3,FALSE)</f>
        <v>3</v>
      </c>
      <c r="J3493">
        <v>6</v>
      </c>
      <c r="K3493" t="s">
        <v>821</v>
      </c>
      <c r="L3493">
        <v>0</v>
      </c>
      <c r="M3493">
        <v>0</v>
      </c>
    </row>
    <row r="3494" spans="1:13">
      <c r="A3494" t="s">
        <v>2178</v>
      </c>
      <c r="B3494" t="s">
        <v>1040</v>
      </c>
      <c r="C3494" s="34" t="s">
        <v>1438</v>
      </c>
      <c r="F3494" t="s">
        <v>1438</v>
      </c>
      <c r="H3494">
        <v>15</v>
      </c>
      <c r="I3494">
        <f>VLOOKUP(B3494,BRAND!B:D,3,FALSE)</f>
        <v>3</v>
      </c>
      <c r="J3494">
        <v>4</v>
      </c>
      <c r="K3494" t="s">
        <v>821</v>
      </c>
      <c r="L3494">
        <v>0</v>
      </c>
      <c r="M3494">
        <v>0</v>
      </c>
    </row>
    <row r="3495" spans="1:13">
      <c r="A3495" t="s">
        <v>8299</v>
      </c>
      <c r="B3495" t="s">
        <v>8300</v>
      </c>
      <c r="C3495" s="34" t="s">
        <v>8301</v>
      </c>
      <c r="F3495" t="s">
        <v>8301</v>
      </c>
      <c r="G3495" t="s">
        <v>6932</v>
      </c>
      <c r="H3495">
        <v>5</v>
      </c>
      <c r="I3495">
        <f>VLOOKUP(B3495,BRAND!B:D,3,FALSE)</f>
        <v>5.5</v>
      </c>
      <c r="J3495">
        <f>LEN(F3495)</f>
        <v>12</v>
      </c>
      <c r="M3495">
        <v>1</v>
      </c>
    </row>
    <row r="3496" spans="1:13">
      <c r="A3496" t="s">
        <v>7408</v>
      </c>
      <c r="B3496" t="s">
        <v>7407</v>
      </c>
      <c r="C3496" s="34" t="s">
        <v>6948</v>
      </c>
      <c r="F3496" t="s">
        <v>6948</v>
      </c>
      <c r="G3496" t="s">
        <v>6932</v>
      </c>
      <c r="H3496">
        <v>5</v>
      </c>
      <c r="I3496">
        <f>VLOOKUP(B3496,BRAND!B:D,3,FALSE)</f>
        <v>5.5</v>
      </c>
      <c r="J3496">
        <v>6</v>
      </c>
      <c r="M3496">
        <v>1</v>
      </c>
    </row>
    <row r="3497" spans="1:13">
      <c r="A3497" t="s">
        <v>7406</v>
      </c>
      <c r="B3497" t="s">
        <v>7407</v>
      </c>
      <c r="C3497" s="34" t="s">
        <v>5232</v>
      </c>
      <c r="F3497" t="s">
        <v>536</v>
      </c>
      <c r="G3497" t="s">
        <v>6932</v>
      </c>
      <c r="H3497">
        <v>5</v>
      </c>
      <c r="I3497">
        <f>VLOOKUP(B3497,BRAND!B:D,3,FALSE)</f>
        <v>5.5</v>
      </c>
      <c r="J3497">
        <v>5</v>
      </c>
      <c r="M3497">
        <v>1</v>
      </c>
    </row>
    <row r="3498" spans="1:13">
      <c r="A3498" t="s">
        <v>7409</v>
      </c>
      <c r="B3498" t="s">
        <v>7407</v>
      </c>
      <c r="C3498" s="34" t="s">
        <v>786</v>
      </c>
      <c r="F3498" t="s">
        <v>786</v>
      </c>
      <c r="G3498" t="s">
        <v>6932</v>
      </c>
      <c r="H3498">
        <v>5</v>
      </c>
      <c r="I3498">
        <f>VLOOKUP(B3498,BRAND!B:D,3,FALSE)</f>
        <v>5.5</v>
      </c>
      <c r="J3498">
        <v>3</v>
      </c>
      <c r="M3498">
        <v>1</v>
      </c>
    </row>
    <row r="3499" spans="1:13">
      <c r="A3499" t="s">
        <v>3136</v>
      </c>
      <c r="B3499" t="s">
        <v>1272</v>
      </c>
      <c r="C3499" s="34" t="s">
        <v>1438</v>
      </c>
      <c r="F3499" t="s">
        <v>1438</v>
      </c>
      <c r="H3499">
        <v>15</v>
      </c>
      <c r="I3499">
        <f>VLOOKUP(B3499,BRAND!B:D,3,FALSE)</f>
        <v>3</v>
      </c>
      <c r="J3499">
        <v>4</v>
      </c>
      <c r="K3499" t="s">
        <v>821</v>
      </c>
      <c r="L3499">
        <v>0</v>
      </c>
      <c r="M3499">
        <v>0</v>
      </c>
    </row>
    <row r="3500" spans="1:13">
      <c r="A3500" t="s">
        <v>3159</v>
      </c>
      <c r="B3500" t="s">
        <v>1066</v>
      </c>
      <c r="C3500" s="34" t="s">
        <v>772</v>
      </c>
      <c r="F3500" t="s">
        <v>772</v>
      </c>
      <c r="H3500">
        <v>5</v>
      </c>
      <c r="I3500">
        <f>VLOOKUP(B3500,BRAND!B:D,3,FALSE)</f>
        <v>3</v>
      </c>
      <c r="J3500">
        <v>6</v>
      </c>
      <c r="K3500" t="s">
        <v>821</v>
      </c>
      <c r="L3500">
        <v>0</v>
      </c>
      <c r="M3500">
        <v>0</v>
      </c>
    </row>
    <row r="3501" spans="1:13">
      <c r="A3501" t="s">
        <v>3160</v>
      </c>
      <c r="B3501" t="s">
        <v>1066</v>
      </c>
      <c r="C3501" s="34" t="s">
        <v>534</v>
      </c>
      <c r="F3501" t="s">
        <v>534</v>
      </c>
      <c r="H3501">
        <v>5</v>
      </c>
      <c r="I3501">
        <f>VLOOKUP(B3501,BRAND!B:D,3,FALSE)</f>
        <v>3</v>
      </c>
      <c r="J3501">
        <v>6</v>
      </c>
      <c r="K3501" t="s">
        <v>821</v>
      </c>
      <c r="L3501">
        <v>0</v>
      </c>
      <c r="M3501">
        <v>0</v>
      </c>
    </row>
    <row r="3502" spans="1:13">
      <c r="A3502" t="s">
        <v>2156</v>
      </c>
      <c r="B3502" t="s">
        <v>1066</v>
      </c>
      <c r="C3502" s="34" t="s">
        <v>536</v>
      </c>
      <c r="F3502" t="s">
        <v>536</v>
      </c>
      <c r="H3502">
        <v>5</v>
      </c>
      <c r="I3502">
        <f>VLOOKUP(B3502,BRAND!B:D,3,FALSE)</f>
        <v>3</v>
      </c>
      <c r="J3502">
        <v>5</v>
      </c>
      <c r="K3502" t="s">
        <v>821</v>
      </c>
      <c r="L3502">
        <v>0</v>
      </c>
      <c r="M3502">
        <v>0</v>
      </c>
    </row>
    <row r="3503" spans="1:13">
      <c r="A3503" t="s">
        <v>3040</v>
      </c>
      <c r="B3503" t="s">
        <v>77</v>
      </c>
      <c r="C3503" s="34" t="s">
        <v>772</v>
      </c>
      <c r="F3503" t="s">
        <v>772</v>
      </c>
      <c r="H3503">
        <v>5</v>
      </c>
      <c r="I3503">
        <f>VLOOKUP(B3503,BRAND!B:D,3,FALSE)</f>
        <v>3</v>
      </c>
      <c r="J3503">
        <v>6</v>
      </c>
      <c r="K3503" t="s">
        <v>821</v>
      </c>
      <c r="L3503">
        <v>0</v>
      </c>
      <c r="M3503">
        <v>0</v>
      </c>
    </row>
    <row r="3504" spans="1:13">
      <c r="A3504" t="s">
        <v>3339</v>
      </c>
      <c r="B3504" t="s">
        <v>77</v>
      </c>
      <c r="C3504" s="34" t="s">
        <v>842</v>
      </c>
      <c r="F3504" t="s">
        <v>842</v>
      </c>
      <c r="H3504">
        <v>5</v>
      </c>
      <c r="I3504">
        <f>VLOOKUP(B3504,BRAND!B:D,3,FALSE)</f>
        <v>3</v>
      </c>
      <c r="J3504">
        <v>5</v>
      </c>
      <c r="K3504" t="s">
        <v>821</v>
      </c>
      <c r="L3504">
        <v>0</v>
      </c>
      <c r="M3504">
        <v>0</v>
      </c>
    </row>
    <row r="3505" spans="1:13">
      <c r="A3505" t="s">
        <v>2099</v>
      </c>
      <c r="B3505" t="s">
        <v>77</v>
      </c>
      <c r="C3505" s="34" t="s">
        <v>1438</v>
      </c>
      <c r="F3505" t="s">
        <v>1438</v>
      </c>
      <c r="H3505">
        <v>15</v>
      </c>
      <c r="I3505">
        <f>VLOOKUP(B3505,BRAND!B:D,3,FALSE)</f>
        <v>3</v>
      </c>
      <c r="J3505">
        <v>4</v>
      </c>
      <c r="K3505" t="s">
        <v>821</v>
      </c>
      <c r="M3505">
        <v>1</v>
      </c>
    </row>
    <row r="3506" spans="1:13">
      <c r="A3506" t="s">
        <v>10511</v>
      </c>
      <c r="B3506" t="s">
        <v>10329</v>
      </c>
      <c r="C3506" s="34" t="s">
        <v>898</v>
      </c>
      <c r="F3506" t="s">
        <v>898</v>
      </c>
      <c r="G3506" t="s">
        <v>6932</v>
      </c>
      <c r="H3506">
        <v>5</v>
      </c>
      <c r="I3506">
        <f>VLOOKUP(B3506,BRAND!B:D,3,FALSE)</f>
        <v>5</v>
      </c>
      <c r="J3506">
        <f>LEN(F3506)</f>
        <v>6</v>
      </c>
      <c r="L3506">
        <v>0</v>
      </c>
    </row>
    <row r="3507" spans="1:13">
      <c r="A3507" t="s">
        <v>10083</v>
      </c>
      <c r="B3507" t="s">
        <v>6996</v>
      </c>
      <c r="C3507" s="34" t="s">
        <v>1438</v>
      </c>
      <c r="F3507" t="s">
        <v>1438</v>
      </c>
      <c r="H3507">
        <v>15</v>
      </c>
      <c r="I3507">
        <f>VLOOKUP(B3507,BRAND!B:D,3,FALSE)</f>
        <v>11</v>
      </c>
      <c r="J3507">
        <v>4</v>
      </c>
      <c r="L3507">
        <v>0</v>
      </c>
      <c r="M3507">
        <v>0</v>
      </c>
    </row>
    <row r="3508" spans="1:13">
      <c r="A3508" t="s">
        <v>4444</v>
      </c>
      <c r="B3508" t="s">
        <v>1041</v>
      </c>
      <c r="C3508" s="34" t="s">
        <v>1978</v>
      </c>
      <c r="F3508" t="s">
        <v>1978</v>
      </c>
      <c r="H3508">
        <v>4</v>
      </c>
      <c r="I3508">
        <f>VLOOKUP(B3508,BRAND!B:D,3,FALSE)</f>
        <v>3</v>
      </c>
      <c r="J3508">
        <f>LEN(F3508)</f>
        <v>13</v>
      </c>
      <c r="K3508" t="s">
        <v>1420</v>
      </c>
      <c r="L3508">
        <v>0</v>
      </c>
      <c r="M3508">
        <v>0</v>
      </c>
    </row>
    <row r="3509" spans="1:13">
      <c r="A3509" t="s">
        <v>4357</v>
      </c>
      <c r="B3509" t="s">
        <v>1041</v>
      </c>
      <c r="C3509" s="34" t="s">
        <v>1476</v>
      </c>
      <c r="F3509" t="s">
        <v>1476</v>
      </c>
      <c r="H3509">
        <v>5</v>
      </c>
      <c r="I3509">
        <f>VLOOKUP(B3509,BRAND!B:D,3,FALSE)</f>
        <v>3</v>
      </c>
      <c r="J3509">
        <f>LEN(F3509)</f>
        <v>11</v>
      </c>
      <c r="K3509" t="s">
        <v>1420</v>
      </c>
      <c r="L3509">
        <v>0</v>
      </c>
      <c r="M3509">
        <v>0</v>
      </c>
    </row>
    <row r="3510" spans="1:13">
      <c r="A3510" t="s">
        <v>4382</v>
      </c>
      <c r="B3510" t="s">
        <v>1041</v>
      </c>
      <c r="C3510" s="34" t="s">
        <v>1513</v>
      </c>
      <c r="F3510" t="s">
        <v>1513</v>
      </c>
      <c r="H3510">
        <v>5</v>
      </c>
      <c r="I3510">
        <f>VLOOKUP(B3510,BRAND!B:D,3,FALSE)</f>
        <v>3</v>
      </c>
      <c r="J3510">
        <v>5</v>
      </c>
      <c r="K3510" t="s">
        <v>1420</v>
      </c>
      <c r="L3510">
        <v>0</v>
      </c>
      <c r="M3510">
        <v>0</v>
      </c>
    </row>
    <row r="3511" spans="1:13">
      <c r="A3511" t="s">
        <v>4469</v>
      </c>
      <c r="B3511" t="s">
        <v>1041</v>
      </c>
      <c r="C3511" s="34" t="s">
        <v>867</v>
      </c>
      <c r="F3511" t="s">
        <v>867</v>
      </c>
      <c r="H3511">
        <v>5</v>
      </c>
      <c r="I3511">
        <f>VLOOKUP(B3511,BRAND!B:D,3,FALSE)</f>
        <v>3</v>
      </c>
      <c r="J3511">
        <v>4</v>
      </c>
      <c r="K3511" t="s">
        <v>1420</v>
      </c>
      <c r="L3511">
        <v>0</v>
      </c>
      <c r="M3511">
        <v>0</v>
      </c>
    </row>
    <row r="3512" spans="1:13">
      <c r="A3512" t="s">
        <v>4447</v>
      </c>
      <c r="B3512" t="s">
        <v>1041</v>
      </c>
      <c r="C3512" s="34" t="s">
        <v>897</v>
      </c>
      <c r="F3512" t="s">
        <v>897</v>
      </c>
      <c r="H3512">
        <v>5</v>
      </c>
      <c r="I3512">
        <f>VLOOKUP(B3512,BRAND!B:D,3,FALSE)</f>
        <v>3</v>
      </c>
      <c r="J3512">
        <v>4</v>
      </c>
      <c r="K3512" t="s">
        <v>1420</v>
      </c>
      <c r="L3512">
        <v>0</v>
      </c>
      <c r="M3512">
        <v>0</v>
      </c>
    </row>
    <row r="3513" spans="1:13">
      <c r="A3513" t="s">
        <v>2753</v>
      </c>
      <c r="B3513" t="s">
        <v>1041</v>
      </c>
      <c r="C3513" s="34" t="s">
        <v>1438</v>
      </c>
      <c r="F3513" t="s">
        <v>1438</v>
      </c>
      <c r="H3513">
        <v>15</v>
      </c>
      <c r="I3513">
        <f>VLOOKUP(B3513,BRAND!B:D,3,FALSE)</f>
        <v>3</v>
      </c>
      <c r="J3513">
        <v>4</v>
      </c>
      <c r="K3513" t="s">
        <v>1420</v>
      </c>
      <c r="L3513">
        <v>0</v>
      </c>
      <c r="M3513">
        <v>0</v>
      </c>
    </row>
    <row r="3514" spans="1:13">
      <c r="A3514" t="s">
        <v>2411</v>
      </c>
      <c r="B3514" t="s">
        <v>78</v>
      </c>
      <c r="C3514" s="34" t="s">
        <v>5232</v>
      </c>
      <c r="F3514" t="s">
        <v>536</v>
      </c>
      <c r="H3514">
        <v>5</v>
      </c>
      <c r="I3514">
        <f>VLOOKUP(B3514,BRAND!B:D,3,FALSE)</f>
        <v>3</v>
      </c>
      <c r="J3514">
        <v>5</v>
      </c>
      <c r="K3514" t="s">
        <v>821</v>
      </c>
      <c r="M3514">
        <v>1</v>
      </c>
    </row>
    <row r="3515" spans="1:13">
      <c r="A3515" t="s">
        <v>3282</v>
      </c>
      <c r="B3515" t="s">
        <v>78</v>
      </c>
      <c r="C3515" s="34" t="s">
        <v>900</v>
      </c>
      <c r="F3515" t="s">
        <v>900</v>
      </c>
      <c r="H3515">
        <v>5</v>
      </c>
      <c r="I3515">
        <f>VLOOKUP(B3515,BRAND!B:D,3,FALSE)</f>
        <v>3</v>
      </c>
      <c r="J3515">
        <v>5</v>
      </c>
      <c r="K3515" t="s">
        <v>821</v>
      </c>
      <c r="M3515">
        <v>1</v>
      </c>
    </row>
    <row r="3516" spans="1:13">
      <c r="A3516" t="s">
        <v>8302</v>
      </c>
      <c r="B3516" t="s">
        <v>78</v>
      </c>
      <c r="C3516" s="34" t="s">
        <v>751</v>
      </c>
      <c r="F3516" t="s">
        <v>751</v>
      </c>
      <c r="G3516" t="s">
        <v>6932</v>
      </c>
      <c r="H3516">
        <v>5</v>
      </c>
      <c r="I3516">
        <f>VLOOKUP(B3516,BRAND!B:D,3,FALSE)</f>
        <v>3</v>
      </c>
      <c r="J3516">
        <v>5</v>
      </c>
      <c r="M3516">
        <v>1</v>
      </c>
    </row>
    <row r="3517" spans="1:13">
      <c r="A3517" t="s">
        <v>3283</v>
      </c>
      <c r="B3517" t="s">
        <v>78</v>
      </c>
      <c r="C3517" s="34" t="s">
        <v>776</v>
      </c>
      <c r="F3517" t="s">
        <v>776</v>
      </c>
      <c r="H3517">
        <v>5</v>
      </c>
      <c r="I3517">
        <f>VLOOKUP(B3517,BRAND!B:D,3,FALSE)</f>
        <v>3</v>
      </c>
      <c r="J3517">
        <v>5</v>
      </c>
      <c r="K3517" t="s">
        <v>821</v>
      </c>
      <c r="M3517">
        <v>1</v>
      </c>
    </row>
    <row r="3518" spans="1:13">
      <c r="A3518" t="s">
        <v>8303</v>
      </c>
      <c r="B3518" t="s">
        <v>78</v>
      </c>
      <c r="C3518" s="34" t="s">
        <v>561</v>
      </c>
      <c r="F3518" t="s">
        <v>561</v>
      </c>
      <c r="G3518" t="s">
        <v>6932</v>
      </c>
      <c r="H3518">
        <v>5</v>
      </c>
      <c r="I3518">
        <f>VLOOKUP(B3518,BRAND!B:D,3,FALSE)</f>
        <v>3</v>
      </c>
      <c r="J3518">
        <v>3</v>
      </c>
      <c r="M3518">
        <v>1</v>
      </c>
    </row>
    <row r="3519" spans="1:13">
      <c r="A3519" t="s">
        <v>2464</v>
      </c>
      <c r="B3519" t="s">
        <v>78</v>
      </c>
      <c r="C3519" s="34" t="s">
        <v>1438</v>
      </c>
      <c r="F3519" t="s">
        <v>1438</v>
      </c>
      <c r="H3519">
        <v>15</v>
      </c>
      <c r="I3519">
        <f>VLOOKUP(B3519,BRAND!B:D,3,FALSE)</f>
        <v>3</v>
      </c>
      <c r="J3519">
        <v>4</v>
      </c>
      <c r="K3519" t="s">
        <v>821</v>
      </c>
      <c r="L3519">
        <v>0</v>
      </c>
      <c r="M3519">
        <v>0</v>
      </c>
    </row>
    <row r="3520" spans="1:13">
      <c r="A3520" t="s">
        <v>5561</v>
      </c>
      <c r="B3520" t="s">
        <v>5564</v>
      </c>
      <c r="C3520" s="34" t="s">
        <v>1467</v>
      </c>
      <c r="F3520" t="s">
        <v>1467</v>
      </c>
      <c r="H3520">
        <v>4</v>
      </c>
      <c r="I3520">
        <f>VLOOKUP(B3520,BRAND!B:D,3,FALSE)</f>
        <v>5.5</v>
      </c>
      <c r="J3520">
        <f>LEN(F3520)</f>
        <v>12</v>
      </c>
      <c r="K3520" t="e">
        <v>#N/A</v>
      </c>
      <c r="L3520">
        <v>0</v>
      </c>
      <c r="M3520">
        <v>0</v>
      </c>
    </row>
    <row r="3521" spans="1:13">
      <c r="A3521" t="s">
        <v>5562</v>
      </c>
      <c r="B3521" t="s">
        <v>5564</v>
      </c>
      <c r="C3521" s="34" t="s">
        <v>1478</v>
      </c>
      <c r="F3521" t="s">
        <v>1478</v>
      </c>
      <c r="H3521">
        <v>4</v>
      </c>
      <c r="I3521">
        <f>VLOOKUP(B3521,BRAND!B:D,3,FALSE)</f>
        <v>5.5</v>
      </c>
      <c r="J3521">
        <f>LEN(F3521)</f>
        <v>11</v>
      </c>
      <c r="K3521" t="e">
        <v>#N/A</v>
      </c>
      <c r="L3521">
        <v>0</v>
      </c>
      <c r="M3521">
        <v>0</v>
      </c>
    </row>
    <row r="3522" spans="1:13">
      <c r="A3522" t="s">
        <v>5568</v>
      </c>
      <c r="B3522" t="s">
        <v>5564</v>
      </c>
      <c r="C3522" s="34" t="s">
        <v>79</v>
      </c>
      <c r="F3522" t="s">
        <v>798</v>
      </c>
      <c r="H3522">
        <v>5</v>
      </c>
      <c r="I3522">
        <f>VLOOKUP(B3522,BRAND!B:D,3,FALSE)</f>
        <v>5.5</v>
      </c>
      <c r="J3522">
        <v>9</v>
      </c>
      <c r="K3522" t="e">
        <v>#N/A</v>
      </c>
      <c r="L3522">
        <v>0</v>
      </c>
      <c r="M3522">
        <v>0</v>
      </c>
    </row>
    <row r="3523" spans="1:13">
      <c r="A3523" t="s">
        <v>5563</v>
      </c>
      <c r="B3523" t="s">
        <v>5564</v>
      </c>
      <c r="C3523" s="34" t="s">
        <v>942</v>
      </c>
      <c r="F3523" t="s">
        <v>942</v>
      </c>
      <c r="H3523">
        <v>5</v>
      </c>
      <c r="I3523">
        <f>VLOOKUP(B3523,BRAND!B:D,3,FALSE)</f>
        <v>5.5</v>
      </c>
      <c r="J3523">
        <v>8</v>
      </c>
      <c r="K3523" t="e">
        <v>#N/A</v>
      </c>
      <c r="L3523">
        <v>0</v>
      </c>
      <c r="M3523">
        <v>0</v>
      </c>
    </row>
    <row r="3524" spans="1:13">
      <c r="A3524" t="s">
        <v>5567</v>
      </c>
      <c r="B3524" t="s">
        <v>5564</v>
      </c>
      <c r="C3524" s="34" t="s">
        <v>898</v>
      </c>
      <c r="F3524" t="s">
        <v>898</v>
      </c>
      <c r="H3524">
        <v>5</v>
      </c>
      <c r="I3524">
        <f>VLOOKUP(B3524,BRAND!B:D,3,FALSE)</f>
        <v>5.5</v>
      </c>
      <c r="J3524">
        <v>6</v>
      </c>
      <c r="K3524" t="e">
        <v>#N/A</v>
      </c>
      <c r="L3524">
        <v>0</v>
      </c>
      <c r="M3524">
        <v>0</v>
      </c>
    </row>
    <row r="3525" spans="1:13">
      <c r="A3525" t="s">
        <v>5566</v>
      </c>
      <c r="B3525" t="s">
        <v>5564</v>
      </c>
      <c r="C3525" s="34" t="s">
        <v>898</v>
      </c>
      <c r="F3525" t="s">
        <v>898</v>
      </c>
      <c r="G3525" t="s">
        <v>801</v>
      </c>
      <c r="H3525">
        <v>6</v>
      </c>
      <c r="I3525">
        <f>VLOOKUP(B3525,BRAND!B:D,3,FALSE)</f>
        <v>5.5</v>
      </c>
      <c r="J3525">
        <v>6</v>
      </c>
      <c r="K3525" t="e">
        <v>#N/A</v>
      </c>
      <c r="L3525">
        <v>0</v>
      </c>
      <c r="M3525">
        <v>0</v>
      </c>
    </row>
    <row r="3526" spans="1:13">
      <c r="A3526" t="s">
        <v>5565</v>
      </c>
      <c r="B3526" t="s">
        <v>1926</v>
      </c>
      <c r="C3526" s="34" t="s">
        <v>898</v>
      </c>
      <c r="F3526" t="s">
        <v>898</v>
      </c>
      <c r="G3526" t="s">
        <v>801</v>
      </c>
      <c r="H3526">
        <v>6</v>
      </c>
      <c r="I3526">
        <f>VLOOKUP(B3526,BRAND!B:D,3,FALSE)</f>
        <v>5.5</v>
      </c>
      <c r="J3526">
        <v>6</v>
      </c>
      <c r="K3526" t="e">
        <v>#N/A</v>
      </c>
      <c r="L3526">
        <v>0</v>
      </c>
      <c r="M3526">
        <v>0</v>
      </c>
    </row>
    <row r="3527" spans="1:13">
      <c r="A3527" t="s">
        <v>10512</v>
      </c>
      <c r="B3527" t="s">
        <v>80</v>
      </c>
      <c r="C3527" s="34" t="s">
        <v>1513</v>
      </c>
      <c r="F3527" t="s">
        <v>1513</v>
      </c>
      <c r="G3527" t="s">
        <v>6932</v>
      </c>
      <c r="H3527">
        <v>5</v>
      </c>
      <c r="I3527">
        <f>VLOOKUP(B3527,BRAND!B:D,3,FALSE)</f>
        <v>3</v>
      </c>
      <c r="J3527">
        <f>LEN(F3527)</f>
        <v>5</v>
      </c>
      <c r="L3527">
        <v>0</v>
      </c>
    </row>
    <row r="3528" spans="1:13">
      <c r="A3528" t="s">
        <v>5349</v>
      </c>
      <c r="B3528" t="s">
        <v>80</v>
      </c>
      <c r="C3528" s="34" t="s">
        <v>5387</v>
      </c>
      <c r="F3528" t="s">
        <v>1438</v>
      </c>
      <c r="G3528" t="s">
        <v>801</v>
      </c>
      <c r="H3528">
        <v>6</v>
      </c>
      <c r="I3528">
        <f>VLOOKUP(B3528,BRAND!B:D,3,FALSE)</f>
        <v>3</v>
      </c>
      <c r="J3528">
        <v>4</v>
      </c>
      <c r="K3528" t="s">
        <v>822</v>
      </c>
      <c r="L3528">
        <v>0</v>
      </c>
      <c r="M3528">
        <v>0</v>
      </c>
    </row>
    <row r="3529" spans="1:13">
      <c r="A3529" t="s">
        <v>1542</v>
      </c>
      <c r="B3529" t="s">
        <v>80</v>
      </c>
      <c r="C3529" s="34" t="s">
        <v>5387</v>
      </c>
      <c r="F3529" t="s">
        <v>1438</v>
      </c>
      <c r="H3529">
        <v>15</v>
      </c>
      <c r="I3529">
        <f>VLOOKUP(B3529,BRAND!B:D,3,FALSE)</f>
        <v>3</v>
      </c>
      <c r="J3529">
        <v>4</v>
      </c>
      <c r="K3529" t="s">
        <v>822</v>
      </c>
      <c r="M3529">
        <v>1</v>
      </c>
    </row>
    <row r="3530" spans="1:13">
      <c r="A3530" t="s">
        <v>2538</v>
      </c>
      <c r="B3530" t="s">
        <v>1042</v>
      </c>
      <c r="C3530" s="34" t="s">
        <v>862</v>
      </c>
      <c r="F3530" t="s">
        <v>862</v>
      </c>
      <c r="H3530">
        <v>5</v>
      </c>
      <c r="I3530">
        <f>VLOOKUP(B3530,BRAND!B:D,3,FALSE)</f>
        <v>3</v>
      </c>
      <c r="J3530">
        <f>LEN(F3530)</f>
        <v>10</v>
      </c>
      <c r="K3530" t="s">
        <v>821</v>
      </c>
      <c r="L3530">
        <v>0</v>
      </c>
      <c r="M3530">
        <v>0</v>
      </c>
    </row>
    <row r="3531" spans="1:13">
      <c r="A3531" t="s">
        <v>2539</v>
      </c>
      <c r="B3531" t="s">
        <v>1042</v>
      </c>
      <c r="C3531" s="34" t="s">
        <v>798</v>
      </c>
      <c r="F3531" t="s">
        <v>798</v>
      </c>
      <c r="H3531">
        <v>5</v>
      </c>
      <c r="I3531">
        <f>VLOOKUP(B3531,BRAND!B:D,3,FALSE)</f>
        <v>3</v>
      </c>
      <c r="J3531">
        <v>9</v>
      </c>
      <c r="K3531" t="s">
        <v>821</v>
      </c>
      <c r="L3531">
        <v>0</v>
      </c>
      <c r="M3531">
        <v>0</v>
      </c>
    </row>
    <row r="3532" spans="1:13">
      <c r="A3532" t="s">
        <v>3705</v>
      </c>
      <c r="B3532" t="s">
        <v>1042</v>
      </c>
      <c r="C3532" s="34" t="s">
        <v>746</v>
      </c>
      <c r="F3532" t="s">
        <v>746</v>
      </c>
      <c r="H3532">
        <v>5</v>
      </c>
      <c r="I3532">
        <f>VLOOKUP(B3532,BRAND!B:D,3,FALSE)</f>
        <v>3</v>
      </c>
      <c r="J3532">
        <v>6</v>
      </c>
      <c r="K3532" t="s">
        <v>821</v>
      </c>
      <c r="L3532">
        <v>0</v>
      </c>
      <c r="M3532">
        <v>0</v>
      </c>
    </row>
    <row r="3533" spans="1:13">
      <c r="A3533" t="s">
        <v>3577</v>
      </c>
      <c r="B3533" t="s">
        <v>1042</v>
      </c>
      <c r="C3533" s="34" t="s">
        <v>780</v>
      </c>
      <c r="F3533" t="s">
        <v>780</v>
      </c>
      <c r="H3533">
        <v>5</v>
      </c>
      <c r="I3533">
        <f>VLOOKUP(B3533,BRAND!B:D,3,FALSE)</f>
        <v>3</v>
      </c>
      <c r="J3533">
        <v>6</v>
      </c>
      <c r="K3533" t="s">
        <v>821</v>
      </c>
      <c r="L3533">
        <v>0</v>
      </c>
      <c r="M3533">
        <v>0</v>
      </c>
    </row>
    <row r="3534" spans="1:13">
      <c r="A3534" t="s">
        <v>3247</v>
      </c>
      <c r="B3534" t="s">
        <v>1042</v>
      </c>
      <c r="C3534" s="34" t="s">
        <v>763</v>
      </c>
      <c r="F3534" t="s">
        <v>763</v>
      </c>
      <c r="H3534">
        <v>5</v>
      </c>
      <c r="I3534">
        <f>VLOOKUP(B3534,BRAND!B:D,3,FALSE)</f>
        <v>3</v>
      </c>
      <c r="J3534">
        <v>5</v>
      </c>
      <c r="K3534" t="s">
        <v>821</v>
      </c>
      <c r="L3534">
        <v>0</v>
      </c>
      <c r="M3534">
        <v>0</v>
      </c>
    </row>
    <row r="3535" spans="1:13">
      <c r="A3535" t="s">
        <v>3732</v>
      </c>
      <c r="B3535" t="s">
        <v>1042</v>
      </c>
      <c r="C3535" s="34" t="s">
        <v>776</v>
      </c>
      <c r="F3535" t="s">
        <v>776</v>
      </c>
      <c r="H3535">
        <v>5</v>
      </c>
      <c r="I3535">
        <f>VLOOKUP(B3535,BRAND!B:D,3,FALSE)</f>
        <v>3</v>
      </c>
      <c r="J3535">
        <v>5</v>
      </c>
      <c r="K3535" t="s">
        <v>821</v>
      </c>
      <c r="L3535">
        <v>0</v>
      </c>
      <c r="M3535">
        <v>0</v>
      </c>
    </row>
    <row r="3536" spans="1:13">
      <c r="A3536" t="s">
        <v>2353</v>
      </c>
      <c r="B3536" t="s">
        <v>1042</v>
      </c>
      <c r="C3536" s="34" t="s">
        <v>1438</v>
      </c>
      <c r="F3536" t="s">
        <v>1438</v>
      </c>
      <c r="H3536">
        <v>15</v>
      </c>
      <c r="I3536">
        <f>VLOOKUP(B3536,BRAND!B:D,3,FALSE)</f>
        <v>3</v>
      </c>
      <c r="J3536">
        <v>4</v>
      </c>
      <c r="K3536" t="s">
        <v>821</v>
      </c>
      <c r="L3536">
        <v>0</v>
      </c>
      <c r="M3536">
        <v>0</v>
      </c>
    </row>
    <row r="3537" spans="1:13">
      <c r="A3537" t="s">
        <v>9693</v>
      </c>
      <c r="B3537" t="s">
        <v>410</v>
      </c>
      <c r="C3537" s="34" t="s">
        <v>898</v>
      </c>
      <c r="F3537" t="s">
        <v>898</v>
      </c>
      <c r="G3537" t="s">
        <v>6932</v>
      </c>
      <c r="H3537">
        <v>5</v>
      </c>
      <c r="I3537">
        <f>VLOOKUP(B3537,BRAND!B:D,3,FALSE)</f>
        <v>3</v>
      </c>
      <c r="J3537">
        <v>0</v>
      </c>
      <c r="M3537">
        <v>1</v>
      </c>
    </row>
    <row r="3538" spans="1:13">
      <c r="A3538" t="s">
        <v>9692</v>
      </c>
      <c r="B3538" t="s">
        <v>410</v>
      </c>
      <c r="C3538" s="34" t="s">
        <v>1438</v>
      </c>
      <c r="G3538" t="s">
        <v>6932</v>
      </c>
      <c r="H3538">
        <v>5</v>
      </c>
      <c r="I3538">
        <f>VLOOKUP(B3538,BRAND!B:D,3,FALSE)</f>
        <v>3</v>
      </c>
      <c r="J3538">
        <v>0</v>
      </c>
      <c r="M3538">
        <v>1</v>
      </c>
    </row>
    <row r="3539" spans="1:13">
      <c r="A3539" t="s">
        <v>3596</v>
      </c>
      <c r="B3539" t="s">
        <v>1162</v>
      </c>
      <c r="C3539" s="34" t="s">
        <v>840</v>
      </c>
      <c r="F3539" t="s">
        <v>840</v>
      </c>
      <c r="H3539">
        <v>5</v>
      </c>
      <c r="I3539">
        <f>VLOOKUP(B3539,BRAND!B:D,3,FALSE)</f>
        <v>3</v>
      </c>
      <c r="J3539">
        <v>9</v>
      </c>
      <c r="K3539" t="s">
        <v>821</v>
      </c>
      <c r="L3539">
        <v>0</v>
      </c>
      <c r="M3539">
        <v>0</v>
      </c>
    </row>
    <row r="3540" spans="1:13">
      <c r="A3540" t="s">
        <v>3873</v>
      </c>
      <c r="B3540" t="s">
        <v>1162</v>
      </c>
      <c r="C3540" s="34" t="s">
        <v>534</v>
      </c>
      <c r="F3540" t="s">
        <v>534</v>
      </c>
      <c r="H3540">
        <v>5</v>
      </c>
      <c r="I3540">
        <f>VLOOKUP(B3540,BRAND!B:D,3,FALSE)</f>
        <v>3</v>
      </c>
      <c r="J3540">
        <v>6</v>
      </c>
      <c r="K3540" t="s">
        <v>821</v>
      </c>
      <c r="L3540">
        <v>0</v>
      </c>
      <c r="M3540">
        <v>0</v>
      </c>
    </row>
    <row r="3541" spans="1:13">
      <c r="A3541" t="s">
        <v>2676</v>
      </c>
      <c r="B3541" t="s">
        <v>1162</v>
      </c>
      <c r="C3541" s="34" t="s">
        <v>1438</v>
      </c>
      <c r="F3541" t="s">
        <v>1438</v>
      </c>
      <c r="H3541">
        <v>15</v>
      </c>
      <c r="I3541">
        <f>VLOOKUP(B3541,BRAND!B:D,3,FALSE)</f>
        <v>3</v>
      </c>
      <c r="J3541">
        <v>4</v>
      </c>
      <c r="K3541" t="s">
        <v>821</v>
      </c>
      <c r="L3541">
        <v>0</v>
      </c>
      <c r="M3541">
        <v>0</v>
      </c>
    </row>
    <row r="3542" spans="1:13">
      <c r="A3542" t="s">
        <v>8304</v>
      </c>
      <c r="B3542" t="s">
        <v>8305</v>
      </c>
      <c r="C3542" s="34" t="s">
        <v>777</v>
      </c>
      <c r="F3542" t="s">
        <v>777</v>
      </c>
      <c r="G3542" t="s">
        <v>6932</v>
      </c>
      <c r="H3542">
        <v>5</v>
      </c>
      <c r="I3542">
        <f>VLOOKUP(B3542,BRAND!B:D,3,FALSE)</f>
        <v>5.5</v>
      </c>
      <c r="J3542">
        <v>7</v>
      </c>
      <c r="M3542">
        <v>1</v>
      </c>
    </row>
    <row r="3543" spans="1:13">
      <c r="A3543" t="s">
        <v>2939</v>
      </c>
      <c r="B3543" t="s">
        <v>962</v>
      </c>
      <c r="C3543" s="34" t="s">
        <v>536</v>
      </c>
      <c r="F3543" t="s">
        <v>536</v>
      </c>
      <c r="H3543">
        <v>5</v>
      </c>
      <c r="I3543">
        <f>VLOOKUP(B3543,BRAND!B:D,3,FALSE)</f>
        <v>3</v>
      </c>
      <c r="J3543">
        <v>5</v>
      </c>
      <c r="K3543" t="s">
        <v>821</v>
      </c>
      <c r="L3543">
        <v>0</v>
      </c>
      <c r="M3543">
        <v>0</v>
      </c>
    </row>
    <row r="3544" spans="1:13">
      <c r="A3544" t="s">
        <v>2752</v>
      </c>
      <c r="B3544" t="s">
        <v>962</v>
      </c>
      <c r="C3544" s="34" t="s">
        <v>1438</v>
      </c>
      <c r="F3544" t="s">
        <v>1438</v>
      </c>
      <c r="H3544">
        <v>15</v>
      </c>
      <c r="I3544">
        <f>VLOOKUP(B3544,BRAND!B:D,3,FALSE)</f>
        <v>3</v>
      </c>
      <c r="J3544">
        <v>4</v>
      </c>
      <c r="K3544" t="s">
        <v>821</v>
      </c>
      <c r="L3544">
        <v>0</v>
      </c>
      <c r="M3544">
        <v>0</v>
      </c>
    </row>
    <row r="3545" spans="1:13">
      <c r="A3545" t="s">
        <v>8306</v>
      </c>
      <c r="B3545" t="s">
        <v>8307</v>
      </c>
      <c r="C3545" s="34" t="s">
        <v>8308</v>
      </c>
      <c r="F3545" t="s">
        <v>8308</v>
      </c>
      <c r="G3545" t="s">
        <v>801</v>
      </c>
      <c r="H3545">
        <v>5</v>
      </c>
      <c r="I3545">
        <f>VLOOKUP(B3545,BRAND!B:D,3,FALSE)</f>
        <v>5.5</v>
      </c>
      <c r="J3545">
        <v>5</v>
      </c>
      <c r="M3545">
        <v>1</v>
      </c>
    </row>
    <row r="3546" spans="1:13">
      <c r="A3546" t="s">
        <v>9694</v>
      </c>
      <c r="B3546" t="s">
        <v>6959</v>
      </c>
      <c r="C3546" s="34" t="s">
        <v>1438</v>
      </c>
      <c r="G3546" t="s">
        <v>801</v>
      </c>
      <c r="H3546">
        <v>5</v>
      </c>
      <c r="I3546">
        <f>VLOOKUP(B3546,BRAND!B:D,3,FALSE)</f>
        <v>5.5</v>
      </c>
      <c r="J3546">
        <v>0</v>
      </c>
      <c r="M3546">
        <v>1</v>
      </c>
    </row>
    <row r="3547" spans="1:13">
      <c r="A3547" t="s">
        <v>4957</v>
      </c>
      <c r="B3547" t="s">
        <v>6959</v>
      </c>
      <c r="C3547" s="34" t="s">
        <v>1438</v>
      </c>
      <c r="F3547" t="s">
        <v>1438</v>
      </c>
      <c r="G3547" t="s">
        <v>801</v>
      </c>
      <c r="H3547">
        <v>6</v>
      </c>
      <c r="I3547">
        <f>VLOOKUP(B3547,BRAND!B:D,3,FALSE)</f>
        <v>5.5</v>
      </c>
      <c r="J3547">
        <v>4</v>
      </c>
      <c r="K3547" t="s">
        <v>821</v>
      </c>
      <c r="L3547">
        <v>0</v>
      </c>
      <c r="M3547">
        <v>0</v>
      </c>
    </row>
    <row r="3548" spans="1:13">
      <c r="A3548" t="s">
        <v>8309</v>
      </c>
      <c r="B3548" t="s">
        <v>8310</v>
      </c>
      <c r="C3548" s="34" t="s">
        <v>852</v>
      </c>
      <c r="F3548" t="s">
        <v>852</v>
      </c>
      <c r="G3548" t="s">
        <v>6932</v>
      </c>
      <c r="H3548">
        <v>5</v>
      </c>
      <c r="I3548">
        <f>VLOOKUP(B3548,BRAND!B:D,3,FALSE)</f>
        <v>5.5</v>
      </c>
      <c r="J3548">
        <v>6</v>
      </c>
      <c r="M3548">
        <v>1</v>
      </c>
    </row>
    <row r="3549" spans="1:13">
      <c r="A3549" t="s">
        <v>8311</v>
      </c>
      <c r="B3549" t="s">
        <v>81</v>
      </c>
      <c r="C3549" s="34" t="s">
        <v>534</v>
      </c>
      <c r="F3549" t="s">
        <v>534</v>
      </c>
      <c r="G3549" t="s">
        <v>6932</v>
      </c>
      <c r="H3549">
        <v>5</v>
      </c>
      <c r="I3549">
        <f>VLOOKUP(B3549,BRAND!B:D,3,FALSE)</f>
        <v>3</v>
      </c>
      <c r="J3549">
        <v>6</v>
      </c>
      <c r="M3549">
        <v>1</v>
      </c>
    </row>
    <row r="3550" spans="1:13">
      <c r="A3550" t="s">
        <v>3229</v>
      </c>
      <c r="B3550" t="s">
        <v>81</v>
      </c>
      <c r="C3550" s="34" t="s">
        <v>536</v>
      </c>
      <c r="F3550" t="s">
        <v>536</v>
      </c>
      <c r="H3550">
        <v>5</v>
      </c>
      <c r="I3550">
        <f>VLOOKUP(B3550,BRAND!B:D,3,FALSE)</f>
        <v>3</v>
      </c>
      <c r="J3550">
        <v>5</v>
      </c>
      <c r="K3550" t="s">
        <v>821</v>
      </c>
      <c r="L3550">
        <v>0</v>
      </c>
      <c r="M3550">
        <v>0</v>
      </c>
    </row>
    <row r="3551" spans="1:13">
      <c r="A3551" t="s">
        <v>2544</v>
      </c>
      <c r="B3551" t="s">
        <v>81</v>
      </c>
      <c r="C3551" s="34" t="s">
        <v>1438</v>
      </c>
      <c r="F3551" t="s">
        <v>1438</v>
      </c>
      <c r="H3551">
        <v>15</v>
      </c>
      <c r="I3551">
        <f>VLOOKUP(B3551,BRAND!B:D,3,FALSE)</f>
        <v>3</v>
      </c>
      <c r="J3551">
        <v>4</v>
      </c>
      <c r="K3551" t="s">
        <v>821</v>
      </c>
      <c r="M3551">
        <v>1</v>
      </c>
    </row>
    <row r="3552" spans="1:13">
      <c r="A3552" t="s">
        <v>4505</v>
      </c>
      <c r="B3552" t="s">
        <v>1043</v>
      </c>
      <c r="C3552" s="34" t="s">
        <v>1476</v>
      </c>
      <c r="F3552" t="s">
        <v>1476</v>
      </c>
      <c r="H3552">
        <v>5</v>
      </c>
      <c r="I3552">
        <f>VLOOKUP(B3552,BRAND!B:D,3,FALSE)</f>
        <v>5</v>
      </c>
      <c r="J3552">
        <f>LEN(F3552)</f>
        <v>11</v>
      </c>
      <c r="K3552" t="s">
        <v>821</v>
      </c>
      <c r="L3552">
        <v>0</v>
      </c>
      <c r="M3552">
        <v>0</v>
      </c>
    </row>
    <row r="3553" spans="1:13">
      <c r="A3553" t="s">
        <v>4314</v>
      </c>
      <c r="B3553" t="s">
        <v>1043</v>
      </c>
      <c r="C3553" s="34" t="s">
        <v>898</v>
      </c>
      <c r="F3553" t="s">
        <v>898</v>
      </c>
      <c r="H3553">
        <v>5</v>
      </c>
      <c r="I3553">
        <f>VLOOKUP(B3553,BRAND!B:D,3,FALSE)</f>
        <v>5</v>
      </c>
      <c r="J3553">
        <v>6</v>
      </c>
      <c r="K3553" t="s">
        <v>821</v>
      </c>
      <c r="L3553">
        <v>0</v>
      </c>
      <c r="M3553">
        <v>0</v>
      </c>
    </row>
    <row r="3554" spans="1:13" ht="17.149999999999999" customHeight="1">
      <c r="A3554" t="s">
        <v>4235</v>
      </c>
      <c r="B3554" t="s">
        <v>1043</v>
      </c>
      <c r="C3554" s="34" t="s">
        <v>781</v>
      </c>
      <c r="F3554" t="s">
        <v>781</v>
      </c>
      <c r="H3554">
        <v>5</v>
      </c>
      <c r="I3554">
        <f>VLOOKUP(B3554,BRAND!B:D,3,FALSE)</f>
        <v>5</v>
      </c>
      <c r="J3554">
        <v>4</v>
      </c>
      <c r="K3554" t="s">
        <v>821</v>
      </c>
      <c r="L3554">
        <v>0</v>
      </c>
      <c r="M3554">
        <v>0</v>
      </c>
    </row>
    <row r="3555" spans="1:13">
      <c r="A3555" t="s">
        <v>6853</v>
      </c>
      <c r="B3555" t="s">
        <v>6854</v>
      </c>
      <c r="C3555" s="34" t="s">
        <v>1438</v>
      </c>
      <c r="F3555" t="s">
        <v>1438</v>
      </c>
      <c r="H3555">
        <v>5</v>
      </c>
      <c r="I3555">
        <f>VLOOKUP(B3555,BRAND!B:D,3,FALSE)</f>
        <v>5</v>
      </c>
      <c r="J3555">
        <v>4</v>
      </c>
      <c r="M3555">
        <v>1</v>
      </c>
    </row>
    <row r="3556" spans="1:13">
      <c r="A3556" t="s">
        <v>4333</v>
      </c>
      <c r="B3556" t="s">
        <v>82</v>
      </c>
      <c r="C3556" s="34" t="s">
        <v>781</v>
      </c>
      <c r="F3556" t="s">
        <v>781</v>
      </c>
      <c r="H3556">
        <v>5</v>
      </c>
      <c r="I3556">
        <f>VLOOKUP(B3556,BRAND!B:D,3,FALSE)</f>
        <v>3</v>
      </c>
      <c r="J3556">
        <v>4</v>
      </c>
      <c r="K3556" t="s">
        <v>821</v>
      </c>
      <c r="M3556">
        <v>1</v>
      </c>
    </row>
    <row r="3557" spans="1:13" ht="16" customHeight="1">
      <c r="A3557" t="s">
        <v>3444</v>
      </c>
      <c r="B3557" t="s">
        <v>82</v>
      </c>
      <c r="C3557" s="34" t="s">
        <v>561</v>
      </c>
      <c r="F3557" t="s">
        <v>561</v>
      </c>
      <c r="H3557">
        <v>5</v>
      </c>
      <c r="I3557">
        <f>VLOOKUP(B3557,BRAND!B:D,3,FALSE)</f>
        <v>3</v>
      </c>
      <c r="J3557">
        <v>3</v>
      </c>
      <c r="K3557" t="s">
        <v>821</v>
      </c>
      <c r="L3557">
        <v>0</v>
      </c>
      <c r="M3557">
        <v>0</v>
      </c>
    </row>
    <row r="3558" spans="1:13">
      <c r="A3558" t="s">
        <v>2668</v>
      </c>
      <c r="B3558" t="s">
        <v>82</v>
      </c>
      <c r="C3558" s="34" t="s">
        <v>1438</v>
      </c>
      <c r="F3558" t="s">
        <v>1438</v>
      </c>
      <c r="H3558">
        <v>15</v>
      </c>
      <c r="I3558">
        <f>VLOOKUP(B3558,BRAND!B:D,3,FALSE)</f>
        <v>3</v>
      </c>
      <c r="J3558">
        <v>4</v>
      </c>
      <c r="K3558" t="s">
        <v>821</v>
      </c>
      <c r="L3558">
        <v>0</v>
      </c>
      <c r="M3558">
        <v>0</v>
      </c>
    </row>
    <row r="3559" spans="1:13">
      <c r="A3559" t="s">
        <v>14539</v>
      </c>
      <c r="B3559" t="s">
        <v>14540</v>
      </c>
      <c r="C3559" s="34" t="s">
        <v>5374</v>
      </c>
      <c r="F3559" t="s">
        <v>777</v>
      </c>
      <c r="G3559" t="s">
        <v>6932</v>
      </c>
      <c r="H3559">
        <v>5</v>
      </c>
      <c r="I3559">
        <f>VLOOKUP(B3559,BRAND!B:D,3,FALSE)</f>
        <v>0</v>
      </c>
      <c r="J3559">
        <f>LEN(F3559)</f>
        <v>7</v>
      </c>
      <c r="K3559" t="s">
        <v>821</v>
      </c>
      <c r="L3559">
        <v>0</v>
      </c>
      <c r="M3559">
        <v>1</v>
      </c>
    </row>
    <row r="3560" spans="1:13">
      <c r="A3560" t="s">
        <v>14541</v>
      </c>
      <c r="B3560" t="s">
        <v>14540</v>
      </c>
      <c r="C3560" s="34" t="s">
        <v>14542</v>
      </c>
      <c r="F3560" t="s">
        <v>14542</v>
      </c>
      <c r="G3560" t="s">
        <v>6932</v>
      </c>
      <c r="H3560">
        <v>5</v>
      </c>
      <c r="I3560">
        <f>VLOOKUP(B3560,BRAND!B:D,3,FALSE)</f>
        <v>0</v>
      </c>
      <c r="J3560">
        <f>LEN(F3560)</f>
        <v>5</v>
      </c>
      <c r="K3560" t="s">
        <v>821</v>
      </c>
      <c r="L3560">
        <v>0</v>
      </c>
      <c r="M3560">
        <v>1</v>
      </c>
    </row>
    <row r="3561" spans="1:13">
      <c r="A3561" t="s">
        <v>4318</v>
      </c>
      <c r="B3561" t="s">
        <v>83</v>
      </c>
      <c r="C3561" s="34" t="s">
        <v>781</v>
      </c>
      <c r="F3561" t="s">
        <v>781</v>
      </c>
      <c r="H3561">
        <v>5</v>
      </c>
      <c r="I3561">
        <f>VLOOKUP(B3561,BRAND!B:D,3,FALSE)</f>
        <v>3</v>
      </c>
      <c r="J3561">
        <v>4</v>
      </c>
      <c r="K3561" t="s">
        <v>821</v>
      </c>
      <c r="M3561">
        <v>1</v>
      </c>
    </row>
    <row r="3562" spans="1:13">
      <c r="A3562" t="s">
        <v>2652</v>
      </c>
      <c r="B3562" t="s">
        <v>83</v>
      </c>
      <c r="C3562" s="34" t="s">
        <v>1438</v>
      </c>
      <c r="F3562" t="s">
        <v>1438</v>
      </c>
      <c r="H3562">
        <v>15</v>
      </c>
      <c r="I3562">
        <f>VLOOKUP(B3562,BRAND!B:D,3,FALSE)</f>
        <v>3</v>
      </c>
      <c r="J3562">
        <v>4</v>
      </c>
      <c r="K3562" t="s">
        <v>821</v>
      </c>
      <c r="L3562">
        <v>0</v>
      </c>
      <c r="M3562">
        <v>0</v>
      </c>
    </row>
    <row r="3563" spans="1:13">
      <c r="A3563" t="s">
        <v>8312</v>
      </c>
      <c r="B3563" t="s">
        <v>8313</v>
      </c>
      <c r="C3563" s="34" t="s">
        <v>8314</v>
      </c>
      <c r="F3563" t="s">
        <v>8314</v>
      </c>
      <c r="G3563" t="s">
        <v>6932</v>
      </c>
      <c r="H3563">
        <v>5</v>
      </c>
      <c r="I3563">
        <f>VLOOKUP(B3563,BRAND!B:D,3,FALSE)</f>
        <v>5.5</v>
      </c>
      <c r="J3563">
        <v>6</v>
      </c>
      <c r="M3563">
        <v>1</v>
      </c>
    </row>
    <row r="3564" spans="1:13">
      <c r="A3564" t="s">
        <v>8315</v>
      </c>
      <c r="B3564" t="s">
        <v>327</v>
      </c>
      <c r="C3564" s="34" t="s">
        <v>804</v>
      </c>
      <c r="F3564" t="s">
        <v>804</v>
      </c>
      <c r="G3564" t="s">
        <v>6932</v>
      </c>
      <c r="H3564">
        <v>5</v>
      </c>
      <c r="I3564">
        <f>VLOOKUP(B3564,BRAND!B:D,3,FALSE)</f>
        <v>3</v>
      </c>
      <c r="J3564">
        <v>7</v>
      </c>
      <c r="M3564">
        <v>1</v>
      </c>
    </row>
    <row r="3565" spans="1:13">
      <c r="A3565" t="s">
        <v>3423</v>
      </c>
      <c r="B3565" t="s">
        <v>327</v>
      </c>
      <c r="C3565" s="34" t="s">
        <v>534</v>
      </c>
      <c r="F3565" t="s">
        <v>534</v>
      </c>
      <c r="H3565">
        <v>5</v>
      </c>
      <c r="I3565">
        <f>VLOOKUP(B3565,BRAND!B:D,3,FALSE)</f>
        <v>3</v>
      </c>
      <c r="J3565">
        <v>6</v>
      </c>
      <c r="K3565" t="s">
        <v>821</v>
      </c>
      <c r="M3565">
        <v>1</v>
      </c>
    </row>
    <row r="3566" spans="1:13">
      <c r="A3566" t="s">
        <v>4261</v>
      </c>
      <c r="B3566" t="s">
        <v>327</v>
      </c>
      <c r="C3566" s="34" t="s">
        <v>751</v>
      </c>
      <c r="F3566" t="s">
        <v>751</v>
      </c>
      <c r="H3566">
        <v>5</v>
      </c>
      <c r="I3566">
        <f>VLOOKUP(B3566,BRAND!B:D,3,FALSE)</f>
        <v>3</v>
      </c>
      <c r="J3566">
        <v>5</v>
      </c>
      <c r="K3566" t="s">
        <v>821</v>
      </c>
      <c r="L3566">
        <v>0</v>
      </c>
      <c r="M3566">
        <v>0</v>
      </c>
    </row>
    <row r="3567" spans="1:13">
      <c r="A3567" t="s">
        <v>3391</v>
      </c>
      <c r="B3567" t="s">
        <v>327</v>
      </c>
      <c r="C3567" s="34" t="s">
        <v>536</v>
      </c>
      <c r="F3567" t="s">
        <v>536</v>
      </c>
      <c r="H3567">
        <v>5</v>
      </c>
      <c r="I3567">
        <f>VLOOKUP(B3567,BRAND!B:D,3,FALSE)</f>
        <v>3</v>
      </c>
      <c r="J3567">
        <v>5</v>
      </c>
      <c r="K3567" t="s">
        <v>821</v>
      </c>
      <c r="M3567">
        <v>1</v>
      </c>
    </row>
    <row r="3568" spans="1:13">
      <c r="A3568" t="s">
        <v>9695</v>
      </c>
      <c r="B3568" t="s">
        <v>327</v>
      </c>
      <c r="C3568" s="34" t="s">
        <v>788</v>
      </c>
      <c r="H3568">
        <v>5</v>
      </c>
      <c r="I3568">
        <f>VLOOKUP(B3568,BRAND!B:D,3,FALSE)</f>
        <v>3</v>
      </c>
      <c r="J3568">
        <v>0</v>
      </c>
      <c r="M3568">
        <v>1</v>
      </c>
    </row>
    <row r="3569" spans="1:13">
      <c r="A3569" t="s">
        <v>9696</v>
      </c>
      <c r="B3569" t="s">
        <v>327</v>
      </c>
      <c r="C3569" s="34" t="s">
        <v>6364</v>
      </c>
      <c r="H3569">
        <v>5</v>
      </c>
      <c r="I3569">
        <f>VLOOKUP(B3569,BRAND!B:D,3,FALSE)</f>
        <v>3</v>
      </c>
      <c r="J3569">
        <v>0</v>
      </c>
      <c r="M3569">
        <v>1</v>
      </c>
    </row>
    <row r="3570" spans="1:13">
      <c r="A3570" t="s">
        <v>2458</v>
      </c>
      <c r="B3570" t="s">
        <v>327</v>
      </c>
      <c r="C3570" s="34" t="s">
        <v>1438</v>
      </c>
      <c r="F3570" t="s">
        <v>1438</v>
      </c>
      <c r="H3570">
        <v>15</v>
      </c>
      <c r="I3570">
        <f>VLOOKUP(B3570,BRAND!B:D,3,FALSE)</f>
        <v>3</v>
      </c>
      <c r="J3570">
        <v>4</v>
      </c>
      <c r="K3570" t="s">
        <v>821</v>
      </c>
      <c r="L3570">
        <v>0</v>
      </c>
      <c r="M3570">
        <v>0</v>
      </c>
    </row>
    <row r="3571" spans="1:13">
      <c r="A3571" t="s">
        <v>7096</v>
      </c>
      <c r="B3571" t="s">
        <v>6624</v>
      </c>
      <c r="C3571" s="34" t="s">
        <v>1438</v>
      </c>
      <c r="F3571" t="s">
        <v>1438</v>
      </c>
      <c r="H3571">
        <v>5</v>
      </c>
      <c r="I3571">
        <f>VLOOKUP(B3571,BRAND!B:D,3,FALSE)</f>
        <v>5</v>
      </c>
      <c r="J3571">
        <v>4</v>
      </c>
      <c r="M3571">
        <v>1</v>
      </c>
    </row>
    <row r="3572" spans="1:13">
      <c r="A3572" t="s">
        <v>7096</v>
      </c>
      <c r="B3572" t="s">
        <v>6624</v>
      </c>
      <c r="C3572" s="34" t="s">
        <v>1438</v>
      </c>
      <c r="F3572" t="s">
        <v>1438</v>
      </c>
      <c r="H3572">
        <v>5</v>
      </c>
      <c r="I3572">
        <f>VLOOKUP(B3572,BRAND!B:D,3,FALSE)</f>
        <v>5</v>
      </c>
      <c r="J3572">
        <v>4</v>
      </c>
      <c r="M3572">
        <v>1</v>
      </c>
    </row>
    <row r="3573" spans="1:13">
      <c r="A3573" t="s">
        <v>7254</v>
      </c>
      <c r="B3573" t="s">
        <v>7255</v>
      </c>
      <c r="C3573" s="34" t="s">
        <v>764</v>
      </c>
      <c r="F3573" t="s">
        <v>764</v>
      </c>
      <c r="H3573">
        <v>5</v>
      </c>
      <c r="I3573">
        <f>VLOOKUP(B3573,BRAND!B:D,3,FALSE)</f>
        <v>5.5</v>
      </c>
      <c r="M3573">
        <v>1</v>
      </c>
    </row>
    <row r="3574" spans="1:13" ht="13.5" customHeight="1">
      <c r="A3574" t="s">
        <v>11697</v>
      </c>
      <c r="B3574" t="s">
        <v>10937</v>
      </c>
      <c r="C3574" s="34" t="s">
        <v>11154</v>
      </c>
      <c r="F3574" t="s">
        <v>11154</v>
      </c>
      <c r="G3574" t="s">
        <v>6932</v>
      </c>
      <c r="H3574">
        <v>5</v>
      </c>
    </row>
    <row r="3575" spans="1:13">
      <c r="A3575" t="s">
        <v>11698</v>
      </c>
      <c r="B3575" t="s">
        <v>10937</v>
      </c>
      <c r="C3575" s="34" t="s">
        <v>536</v>
      </c>
      <c r="F3575" t="s">
        <v>536</v>
      </c>
      <c r="G3575" t="s">
        <v>6932</v>
      </c>
      <c r="H3575">
        <v>5</v>
      </c>
    </row>
    <row r="3576" spans="1:13">
      <c r="A3576" t="s">
        <v>11699</v>
      </c>
      <c r="B3576" t="s">
        <v>10937</v>
      </c>
      <c r="C3576" s="34" t="s">
        <v>11155</v>
      </c>
      <c r="F3576" t="s">
        <v>11155</v>
      </c>
      <c r="G3576" t="s">
        <v>6932</v>
      </c>
      <c r="H3576">
        <v>5</v>
      </c>
    </row>
    <row r="3577" spans="1:13">
      <c r="A3577" t="s">
        <v>11700</v>
      </c>
      <c r="B3577" t="s">
        <v>10937</v>
      </c>
      <c r="C3577" s="34" t="s">
        <v>7424</v>
      </c>
      <c r="F3577" t="s">
        <v>7424</v>
      </c>
      <c r="G3577" t="s">
        <v>6932</v>
      </c>
      <c r="H3577">
        <v>5</v>
      </c>
    </row>
    <row r="3578" spans="1:13">
      <c r="A3578" t="s">
        <v>11701</v>
      </c>
      <c r="B3578" t="s">
        <v>10937</v>
      </c>
      <c r="C3578" s="34" t="s">
        <v>534</v>
      </c>
      <c r="F3578" t="s">
        <v>534</v>
      </c>
      <c r="G3578" t="s">
        <v>6932</v>
      </c>
      <c r="H3578">
        <v>5</v>
      </c>
    </row>
    <row r="3579" spans="1:13">
      <c r="A3579" t="s">
        <v>11702</v>
      </c>
      <c r="B3579" t="s">
        <v>10937</v>
      </c>
      <c r="C3579" s="34" t="s">
        <v>561</v>
      </c>
      <c r="F3579" t="s">
        <v>561</v>
      </c>
      <c r="G3579" t="s">
        <v>6932</v>
      </c>
      <c r="H3579">
        <v>5</v>
      </c>
    </row>
    <row r="3580" spans="1:13">
      <c r="A3580" t="s">
        <v>11703</v>
      </c>
      <c r="B3580" t="s">
        <v>10937</v>
      </c>
      <c r="C3580" s="34" t="s">
        <v>11156</v>
      </c>
      <c r="F3580" t="s">
        <v>11156</v>
      </c>
      <c r="G3580" t="s">
        <v>6932</v>
      </c>
      <c r="H3580">
        <v>5</v>
      </c>
    </row>
    <row r="3581" spans="1:13">
      <c r="A3581" t="s">
        <v>11704</v>
      </c>
      <c r="B3581" t="s">
        <v>10937</v>
      </c>
      <c r="C3581" s="34" t="s">
        <v>535</v>
      </c>
      <c r="F3581" t="s">
        <v>535</v>
      </c>
      <c r="G3581" t="s">
        <v>6932</v>
      </c>
      <c r="H3581">
        <v>5</v>
      </c>
    </row>
    <row r="3582" spans="1:13">
      <c r="A3582" t="s">
        <v>11705</v>
      </c>
      <c r="B3582" t="s">
        <v>10937</v>
      </c>
      <c r="C3582" s="34" t="s">
        <v>11157</v>
      </c>
      <c r="F3582" t="s">
        <v>11157</v>
      </c>
      <c r="G3582" t="s">
        <v>6932</v>
      </c>
      <c r="H3582">
        <v>5</v>
      </c>
    </row>
    <row r="3583" spans="1:13">
      <c r="A3583" t="s">
        <v>11706</v>
      </c>
      <c r="B3583" t="s">
        <v>10937</v>
      </c>
      <c r="C3583" s="34" t="s">
        <v>913</v>
      </c>
      <c r="F3583" t="s">
        <v>913</v>
      </c>
      <c r="G3583" t="s">
        <v>6932</v>
      </c>
      <c r="H3583">
        <v>5</v>
      </c>
    </row>
    <row r="3584" spans="1:13">
      <c r="A3584" t="s">
        <v>11707</v>
      </c>
      <c r="B3584" t="s">
        <v>10937</v>
      </c>
      <c r="C3584" s="34" t="s">
        <v>6364</v>
      </c>
      <c r="F3584" t="s">
        <v>6364</v>
      </c>
      <c r="G3584" t="s">
        <v>6932</v>
      </c>
      <c r="H3584">
        <v>5</v>
      </c>
    </row>
    <row r="3585" spans="1:13">
      <c r="A3585" t="s">
        <v>11708</v>
      </c>
      <c r="B3585" t="s">
        <v>10937</v>
      </c>
      <c r="C3585" s="34" t="s">
        <v>263</v>
      </c>
      <c r="F3585" t="s">
        <v>263</v>
      </c>
      <c r="G3585" t="s">
        <v>6932</v>
      </c>
      <c r="H3585">
        <v>5</v>
      </c>
    </row>
    <row r="3586" spans="1:13">
      <c r="A3586" t="s">
        <v>11709</v>
      </c>
      <c r="B3586" t="s">
        <v>10937</v>
      </c>
      <c r="C3586" s="34" t="s">
        <v>778</v>
      </c>
      <c r="F3586" t="s">
        <v>778</v>
      </c>
      <c r="G3586" t="s">
        <v>6932</v>
      </c>
      <c r="H3586">
        <v>5</v>
      </c>
    </row>
    <row r="3587" spans="1:13">
      <c r="A3587" t="s">
        <v>11710</v>
      </c>
      <c r="B3587" t="s">
        <v>10937</v>
      </c>
      <c r="C3587" s="34" t="s">
        <v>7967</v>
      </c>
      <c r="F3587" t="s">
        <v>7967</v>
      </c>
      <c r="G3587" t="s">
        <v>6932</v>
      </c>
      <c r="H3587">
        <v>5</v>
      </c>
    </row>
    <row r="3588" spans="1:13">
      <c r="A3588" t="s">
        <v>11711</v>
      </c>
      <c r="B3588" t="s">
        <v>10937</v>
      </c>
      <c r="C3588" s="34" t="s">
        <v>11158</v>
      </c>
      <c r="F3588" t="s">
        <v>11158</v>
      </c>
      <c r="G3588" t="s">
        <v>6932</v>
      </c>
      <c r="H3588">
        <v>5</v>
      </c>
    </row>
    <row r="3589" spans="1:13">
      <c r="A3589" t="s">
        <v>8318</v>
      </c>
      <c r="B3589" t="s">
        <v>8317</v>
      </c>
      <c r="C3589" s="34" t="s">
        <v>8319</v>
      </c>
      <c r="F3589" t="s">
        <v>8319</v>
      </c>
      <c r="G3589" t="s">
        <v>6932</v>
      </c>
      <c r="H3589">
        <v>5</v>
      </c>
      <c r="I3589">
        <f>VLOOKUP(B3589,BRAND!B:D,3,FALSE)</f>
        <v>5.5</v>
      </c>
      <c r="J3589">
        <v>6</v>
      </c>
      <c r="M3589">
        <v>1</v>
      </c>
    </row>
    <row r="3590" spans="1:13">
      <c r="A3590" t="s">
        <v>8316</v>
      </c>
      <c r="B3590" t="s">
        <v>8317</v>
      </c>
      <c r="C3590" s="34" t="s">
        <v>534</v>
      </c>
      <c r="F3590" t="s">
        <v>534</v>
      </c>
      <c r="G3590" t="s">
        <v>6932</v>
      </c>
      <c r="H3590">
        <v>5</v>
      </c>
      <c r="I3590">
        <f>VLOOKUP(B3590,BRAND!B:D,3,FALSE)</f>
        <v>5.5</v>
      </c>
      <c r="J3590">
        <v>6</v>
      </c>
      <c r="M3590">
        <v>1</v>
      </c>
    </row>
    <row r="3591" spans="1:13">
      <c r="A3591" t="s">
        <v>3413</v>
      </c>
      <c r="B3591" t="s">
        <v>84</v>
      </c>
      <c r="C3591" s="34" t="s">
        <v>561</v>
      </c>
      <c r="F3591" t="s">
        <v>561</v>
      </c>
      <c r="H3591">
        <v>5</v>
      </c>
      <c r="I3591">
        <f>VLOOKUP(B3591,BRAND!B:D,3,FALSE)</f>
        <v>3</v>
      </c>
      <c r="J3591">
        <v>3</v>
      </c>
      <c r="K3591" t="s">
        <v>821</v>
      </c>
      <c r="M3591">
        <v>1</v>
      </c>
    </row>
    <row r="3592" spans="1:13">
      <c r="A3592" t="s">
        <v>2292</v>
      </c>
      <c r="B3592" t="s">
        <v>84</v>
      </c>
      <c r="C3592" s="34" t="s">
        <v>1438</v>
      </c>
      <c r="F3592" t="s">
        <v>1438</v>
      </c>
      <c r="H3592">
        <v>15</v>
      </c>
      <c r="I3592">
        <f>VLOOKUP(B3592,BRAND!B:D,3,FALSE)</f>
        <v>3</v>
      </c>
      <c r="J3592">
        <v>4</v>
      </c>
      <c r="K3592" t="s">
        <v>821</v>
      </c>
      <c r="L3592">
        <v>0</v>
      </c>
      <c r="M3592">
        <v>0</v>
      </c>
    </row>
    <row r="3593" spans="1:13">
      <c r="A3593" t="s">
        <v>3723</v>
      </c>
      <c r="B3593" t="s">
        <v>328</v>
      </c>
      <c r="C3593" s="34" t="s">
        <v>788</v>
      </c>
      <c r="F3593" t="s">
        <v>788</v>
      </c>
      <c r="H3593">
        <v>4</v>
      </c>
      <c r="I3593">
        <f>VLOOKUP(B3593,BRAND!B:D,3,FALSE)</f>
        <v>3</v>
      </c>
      <c r="J3593">
        <v>4</v>
      </c>
      <c r="K3593" t="s">
        <v>821</v>
      </c>
      <c r="M3593">
        <v>1</v>
      </c>
    </row>
    <row r="3594" spans="1:13">
      <c r="A3594" t="s">
        <v>4166</v>
      </c>
      <c r="B3594" t="s">
        <v>328</v>
      </c>
      <c r="C3594" s="34" t="s">
        <v>1476</v>
      </c>
      <c r="F3594" t="s">
        <v>1476</v>
      </c>
      <c r="H3594">
        <v>5</v>
      </c>
      <c r="I3594">
        <f>VLOOKUP(B3594,BRAND!B:D,3,FALSE)</f>
        <v>3</v>
      </c>
      <c r="J3594">
        <f t="shared" ref="J3594:J3599" si="40">LEN(F3594)</f>
        <v>11</v>
      </c>
      <c r="K3594" t="s">
        <v>821</v>
      </c>
      <c r="L3594">
        <v>0</v>
      </c>
      <c r="M3594">
        <v>0</v>
      </c>
    </row>
    <row r="3595" spans="1:13">
      <c r="A3595" t="s">
        <v>8325</v>
      </c>
      <c r="B3595" t="s">
        <v>328</v>
      </c>
      <c r="C3595" s="34" t="s">
        <v>8326</v>
      </c>
      <c r="F3595" t="s">
        <v>8326</v>
      </c>
      <c r="G3595" t="s">
        <v>6932</v>
      </c>
      <c r="H3595">
        <v>5</v>
      </c>
      <c r="I3595">
        <f>VLOOKUP(B3595,BRAND!B:D,3,FALSE)</f>
        <v>3</v>
      </c>
      <c r="J3595">
        <f t="shared" si="40"/>
        <v>11</v>
      </c>
      <c r="M3595">
        <v>1</v>
      </c>
    </row>
    <row r="3596" spans="1:13">
      <c r="A3596" t="s">
        <v>4707</v>
      </c>
      <c r="B3596" t="s">
        <v>328</v>
      </c>
      <c r="C3596" s="34" t="s">
        <v>994</v>
      </c>
      <c r="F3596" t="s">
        <v>994</v>
      </c>
      <c r="H3596">
        <v>5</v>
      </c>
      <c r="I3596">
        <f>VLOOKUP(B3596,BRAND!B:D,3,FALSE)</f>
        <v>3</v>
      </c>
      <c r="J3596">
        <f t="shared" si="40"/>
        <v>10</v>
      </c>
      <c r="K3596" t="s">
        <v>821</v>
      </c>
      <c r="L3596">
        <v>0</v>
      </c>
      <c r="M3596">
        <v>0</v>
      </c>
    </row>
    <row r="3597" spans="1:13">
      <c r="A3597" t="s">
        <v>4642</v>
      </c>
      <c r="B3597" t="s">
        <v>328</v>
      </c>
      <c r="C3597" s="34" t="s">
        <v>794</v>
      </c>
      <c r="F3597" t="s">
        <v>794</v>
      </c>
      <c r="H3597">
        <v>5</v>
      </c>
      <c r="I3597">
        <f>VLOOKUP(B3597,BRAND!B:D,3,FALSE)</f>
        <v>3</v>
      </c>
      <c r="J3597">
        <f t="shared" si="40"/>
        <v>10</v>
      </c>
      <c r="K3597" t="s">
        <v>821</v>
      </c>
      <c r="L3597">
        <v>0</v>
      </c>
      <c r="M3597">
        <v>0</v>
      </c>
    </row>
    <row r="3598" spans="1:13">
      <c r="A3598" t="s">
        <v>8320</v>
      </c>
      <c r="B3598" t="s">
        <v>328</v>
      </c>
      <c r="C3598" s="34" t="s">
        <v>8321</v>
      </c>
      <c r="F3598" t="s">
        <v>8321</v>
      </c>
      <c r="G3598" t="s">
        <v>6932</v>
      </c>
      <c r="H3598">
        <v>5</v>
      </c>
      <c r="I3598">
        <f>VLOOKUP(B3598,BRAND!B:D,3,FALSE)</f>
        <v>3</v>
      </c>
      <c r="J3598">
        <f t="shared" si="40"/>
        <v>10</v>
      </c>
      <c r="M3598">
        <v>1</v>
      </c>
    </row>
    <row r="3599" spans="1:13">
      <c r="A3599" t="s">
        <v>8327</v>
      </c>
      <c r="B3599" t="s">
        <v>328</v>
      </c>
      <c r="C3599" s="34" t="s">
        <v>882</v>
      </c>
      <c r="F3599" t="s">
        <v>882</v>
      </c>
      <c r="G3599" t="s">
        <v>6932</v>
      </c>
      <c r="H3599">
        <v>5</v>
      </c>
      <c r="I3599">
        <f>VLOOKUP(B3599,BRAND!B:D,3,FALSE)</f>
        <v>3</v>
      </c>
      <c r="J3599">
        <f t="shared" si="40"/>
        <v>10</v>
      </c>
      <c r="M3599">
        <v>1</v>
      </c>
    </row>
    <row r="3600" spans="1:13">
      <c r="A3600" t="s">
        <v>5489</v>
      </c>
      <c r="B3600" t="s">
        <v>328</v>
      </c>
      <c r="C3600" s="34" t="s">
        <v>5490</v>
      </c>
      <c r="F3600" t="s">
        <v>5490</v>
      </c>
      <c r="H3600">
        <v>5</v>
      </c>
      <c r="I3600">
        <f>VLOOKUP(B3600,BRAND!B:D,3,FALSE)</f>
        <v>3</v>
      </c>
      <c r="J3600">
        <v>9</v>
      </c>
      <c r="K3600" t="s">
        <v>821</v>
      </c>
      <c r="L3600">
        <v>0</v>
      </c>
      <c r="M3600">
        <v>0</v>
      </c>
    </row>
    <row r="3601" spans="1:13">
      <c r="A3601" t="s">
        <v>10288</v>
      </c>
      <c r="B3601" t="s">
        <v>328</v>
      </c>
      <c r="C3601" s="34" t="s">
        <v>10267</v>
      </c>
      <c r="F3601" t="s">
        <v>10267</v>
      </c>
      <c r="H3601">
        <v>5</v>
      </c>
      <c r="I3601">
        <f>VLOOKUP(B3601,BRAND!B:D,3,FALSE)</f>
        <v>3</v>
      </c>
      <c r="J3601">
        <f>LEN(F3601)</f>
        <v>8</v>
      </c>
      <c r="M3601">
        <v>1</v>
      </c>
    </row>
    <row r="3602" spans="1:13">
      <c r="A3602" t="s">
        <v>8322</v>
      </c>
      <c r="B3602" t="s">
        <v>328</v>
      </c>
      <c r="C3602" s="34" t="s">
        <v>878</v>
      </c>
      <c r="F3602" t="s">
        <v>878</v>
      </c>
      <c r="G3602" t="s">
        <v>6932</v>
      </c>
      <c r="H3602">
        <v>5</v>
      </c>
      <c r="I3602">
        <f>VLOOKUP(B3602,BRAND!B:D,3,FALSE)</f>
        <v>3</v>
      </c>
      <c r="J3602">
        <v>8</v>
      </c>
      <c r="M3602">
        <v>1</v>
      </c>
    </row>
    <row r="3603" spans="1:13">
      <c r="A3603" t="s">
        <v>4504</v>
      </c>
      <c r="B3603" t="s">
        <v>328</v>
      </c>
      <c r="C3603" s="34" t="s">
        <v>883</v>
      </c>
      <c r="F3603" t="s">
        <v>883</v>
      </c>
      <c r="H3603">
        <v>5</v>
      </c>
      <c r="I3603">
        <f>VLOOKUP(B3603,BRAND!B:D,3,FALSE)</f>
        <v>3</v>
      </c>
      <c r="J3603">
        <v>6</v>
      </c>
      <c r="K3603" t="s">
        <v>821</v>
      </c>
      <c r="L3603">
        <v>0</v>
      </c>
      <c r="M3603">
        <v>0</v>
      </c>
    </row>
    <row r="3604" spans="1:13">
      <c r="A3604" t="s">
        <v>4338</v>
      </c>
      <c r="B3604" t="s">
        <v>328</v>
      </c>
      <c r="C3604" s="34" t="s">
        <v>772</v>
      </c>
      <c r="F3604" t="s">
        <v>772</v>
      </c>
      <c r="H3604">
        <v>5</v>
      </c>
      <c r="I3604">
        <f>VLOOKUP(B3604,BRAND!B:D,3,FALSE)</f>
        <v>3</v>
      </c>
      <c r="J3604">
        <v>6</v>
      </c>
      <c r="K3604" t="s">
        <v>821</v>
      </c>
      <c r="L3604">
        <v>0</v>
      </c>
      <c r="M3604">
        <v>0</v>
      </c>
    </row>
    <row r="3605" spans="1:13">
      <c r="A3605" t="s">
        <v>3653</v>
      </c>
      <c r="B3605" t="s">
        <v>328</v>
      </c>
      <c r="C3605" s="34" t="s">
        <v>534</v>
      </c>
      <c r="F3605" t="s">
        <v>534</v>
      </c>
      <c r="H3605">
        <v>5</v>
      </c>
      <c r="I3605">
        <f>VLOOKUP(B3605,BRAND!B:D,3,FALSE)</f>
        <v>3</v>
      </c>
      <c r="J3605">
        <v>6</v>
      </c>
      <c r="K3605" t="s">
        <v>821</v>
      </c>
      <c r="L3605">
        <v>0</v>
      </c>
      <c r="M3605">
        <v>0</v>
      </c>
    </row>
    <row r="3606" spans="1:13">
      <c r="A3606" t="s">
        <v>10256</v>
      </c>
      <c r="B3606" t="s">
        <v>328</v>
      </c>
      <c r="C3606" s="34" t="s">
        <v>6950</v>
      </c>
      <c r="F3606" t="s">
        <v>8328</v>
      </c>
      <c r="G3606" t="s">
        <v>6932</v>
      </c>
      <c r="H3606">
        <v>5</v>
      </c>
      <c r="I3606">
        <f>VLOOKUP(B3606,BRAND!B:D,3,FALSE)</f>
        <v>3</v>
      </c>
      <c r="J3606">
        <v>6</v>
      </c>
      <c r="M3606">
        <v>1</v>
      </c>
    </row>
    <row r="3607" spans="1:13">
      <c r="A3607" t="s">
        <v>3987</v>
      </c>
      <c r="B3607" t="s">
        <v>328</v>
      </c>
      <c r="C3607" s="34" t="s">
        <v>946</v>
      </c>
      <c r="F3607" t="s">
        <v>946</v>
      </c>
      <c r="H3607">
        <v>5</v>
      </c>
      <c r="I3607">
        <f>VLOOKUP(B3607,BRAND!B:D,3,FALSE)</f>
        <v>3</v>
      </c>
      <c r="J3607">
        <v>6</v>
      </c>
      <c r="K3607" t="s">
        <v>821</v>
      </c>
      <c r="M3607">
        <v>1</v>
      </c>
    </row>
    <row r="3608" spans="1:13">
      <c r="A3608" t="s">
        <v>4488</v>
      </c>
      <c r="B3608" t="s">
        <v>328</v>
      </c>
      <c r="C3608" s="34" t="s">
        <v>995</v>
      </c>
      <c r="F3608" t="s">
        <v>995</v>
      </c>
      <c r="H3608">
        <v>5</v>
      </c>
      <c r="I3608">
        <f>VLOOKUP(B3608,BRAND!B:D,3,FALSE)</f>
        <v>3</v>
      </c>
      <c r="J3608">
        <v>6</v>
      </c>
      <c r="K3608" t="s">
        <v>821</v>
      </c>
      <c r="M3608">
        <v>1</v>
      </c>
    </row>
    <row r="3609" spans="1:13">
      <c r="A3609" t="s">
        <v>3612</v>
      </c>
      <c r="B3609" t="s">
        <v>328</v>
      </c>
      <c r="C3609" s="34" t="s">
        <v>842</v>
      </c>
      <c r="F3609" t="s">
        <v>842</v>
      </c>
      <c r="H3609">
        <v>5</v>
      </c>
      <c r="I3609">
        <f>VLOOKUP(B3609,BRAND!B:D,3,FALSE)</f>
        <v>3</v>
      </c>
      <c r="J3609">
        <v>5</v>
      </c>
      <c r="K3609" t="s">
        <v>821</v>
      </c>
      <c r="L3609">
        <v>0</v>
      </c>
      <c r="M3609">
        <v>0</v>
      </c>
    </row>
    <row r="3610" spans="1:13">
      <c r="A3610" t="s">
        <v>2982</v>
      </c>
      <c r="B3610" t="s">
        <v>328</v>
      </c>
      <c r="C3610" s="34" t="s">
        <v>536</v>
      </c>
      <c r="F3610" t="s">
        <v>536</v>
      </c>
      <c r="H3610">
        <v>5</v>
      </c>
      <c r="I3610">
        <f>VLOOKUP(B3610,BRAND!B:D,3,FALSE)</f>
        <v>3</v>
      </c>
      <c r="J3610">
        <v>5</v>
      </c>
      <c r="K3610" t="s">
        <v>821</v>
      </c>
      <c r="M3610">
        <v>1</v>
      </c>
    </row>
    <row r="3611" spans="1:13">
      <c r="A3611" t="s">
        <v>8324</v>
      </c>
      <c r="B3611" t="s">
        <v>328</v>
      </c>
      <c r="C3611" s="34" t="s">
        <v>881</v>
      </c>
      <c r="F3611" t="s">
        <v>881</v>
      </c>
      <c r="G3611" t="s">
        <v>6932</v>
      </c>
      <c r="H3611">
        <v>5</v>
      </c>
      <c r="I3611">
        <f>VLOOKUP(B3611,BRAND!B:D,3,FALSE)</f>
        <v>3</v>
      </c>
      <c r="J3611">
        <v>5</v>
      </c>
      <c r="M3611">
        <v>1</v>
      </c>
    </row>
    <row r="3612" spans="1:13">
      <c r="A3612" t="s">
        <v>4491</v>
      </c>
      <c r="B3612" t="s">
        <v>328</v>
      </c>
      <c r="C3612" s="34" t="s">
        <v>897</v>
      </c>
      <c r="F3612" t="s">
        <v>897</v>
      </c>
      <c r="H3612">
        <v>5</v>
      </c>
      <c r="I3612">
        <f>VLOOKUP(B3612,BRAND!B:D,3,FALSE)</f>
        <v>3</v>
      </c>
      <c r="J3612">
        <v>4</v>
      </c>
      <c r="K3612" t="s">
        <v>821</v>
      </c>
      <c r="L3612">
        <v>0</v>
      </c>
      <c r="M3612">
        <v>0</v>
      </c>
    </row>
    <row r="3613" spans="1:13">
      <c r="A3613" t="s">
        <v>3297</v>
      </c>
      <c r="B3613" t="s">
        <v>328</v>
      </c>
      <c r="C3613" s="34" t="s">
        <v>781</v>
      </c>
      <c r="F3613" t="s">
        <v>781</v>
      </c>
      <c r="H3613">
        <v>5</v>
      </c>
      <c r="I3613">
        <f>VLOOKUP(B3613,BRAND!B:D,3,FALSE)</f>
        <v>3</v>
      </c>
      <c r="J3613">
        <v>4</v>
      </c>
      <c r="K3613" t="s">
        <v>821</v>
      </c>
      <c r="M3613">
        <v>1</v>
      </c>
    </row>
    <row r="3614" spans="1:13">
      <c r="A3614" t="s">
        <v>3281</v>
      </c>
      <c r="B3614" t="s">
        <v>328</v>
      </c>
      <c r="C3614" s="34" t="s">
        <v>782</v>
      </c>
      <c r="F3614" t="s">
        <v>782</v>
      </c>
      <c r="H3614">
        <v>5</v>
      </c>
      <c r="I3614">
        <f>VLOOKUP(B3614,BRAND!B:D,3,FALSE)</f>
        <v>3</v>
      </c>
      <c r="J3614">
        <v>4</v>
      </c>
      <c r="K3614" t="s">
        <v>821</v>
      </c>
      <c r="M3614">
        <v>1</v>
      </c>
    </row>
    <row r="3615" spans="1:13">
      <c r="A3615" t="s">
        <v>8323</v>
      </c>
      <c r="B3615" t="s">
        <v>328</v>
      </c>
      <c r="C3615" s="34" t="s">
        <v>876</v>
      </c>
      <c r="F3615" t="s">
        <v>876</v>
      </c>
      <c r="G3615" t="s">
        <v>6932</v>
      </c>
      <c r="H3615">
        <v>5</v>
      </c>
      <c r="I3615">
        <f>VLOOKUP(B3615,BRAND!B:D,3,FALSE)</f>
        <v>3</v>
      </c>
      <c r="J3615">
        <v>4</v>
      </c>
      <c r="M3615">
        <v>1</v>
      </c>
    </row>
    <row r="3616" spans="1:13">
      <c r="A3616" t="s">
        <v>2886</v>
      </c>
      <c r="B3616" t="s">
        <v>328</v>
      </c>
      <c r="C3616" s="34" t="s">
        <v>775</v>
      </c>
      <c r="F3616" t="s">
        <v>775</v>
      </c>
      <c r="H3616">
        <v>5</v>
      </c>
      <c r="I3616">
        <f>VLOOKUP(B3616,BRAND!B:D,3,FALSE)</f>
        <v>3</v>
      </c>
      <c r="J3616">
        <v>3</v>
      </c>
      <c r="K3616" t="s">
        <v>821</v>
      </c>
      <c r="M3616">
        <v>1</v>
      </c>
    </row>
    <row r="3617" spans="1:13">
      <c r="A3617" t="s">
        <v>5028</v>
      </c>
      <c r="B3617" t="s">
        <v>328</v>
      </c>
      <c r="C3617" s="34" t="s">
        <v>1476</v>
      </c>
      <c r="F3617" t="s">
        <v>1476</v>
      </c>
      <c r="G3617" t="s">
        <v>801</v>
      </c>
      <c r="H3617">
        <v>6</v>
      </c>
      <c r="I3617">
        <f>VLOOKUP(B3617,BRAND!B:D,3,FALSE)</f>
        <v>3</v>
      </c>
      <c r="J3617">
        <f>LEN(F3617)</f>
        <v>11</v>
      </c>
      <c r="K3617" t="s">
        <v>821</v>
      </c>
      <c r="L3617">
        <v>0</v>
      </c>
      <c r="M3617">
        <v>0</v>
      </c>
    </row>
    <row r="3618" spans="1:13">
      <c r="A3618" t="s">
        <v>4953</v>
      </c>
      <c r="B3618" t="s">
        <v>328</v>
      </c>
      <c r="C3618" s="34" t="s">
        <v>1438</v>
      </c>
      <c r="F3618" t="s">
        <v>1438</v>
      </c>
      <c r="G3618" t="s">
        <v>801</v>
      </c>
      <c r="H3618">
        <v>6</v>
      </c>
      <c r="I3618">
        <f>VLOOKUP(B3618,BRAND!B:D,3,FALSE)</f>
        <v>3</v>
      </c>
      <c r="J3618">
        <v>4</v>
      </c>
      <c r="K3618" t="s">
        <v>821</v>
      </c>
      <c r="M3618">
        <v>1</v>
      </c>
    </row>
    <row r="3619" spans="1:13">
      <c r="A3619" t="s">
        <v>12658</v>
      </c>
      <c r="B3619" t="s">
        <v>12040</v>
      </c>
      <c r="C3619" s="34" t="s">
        <v>536</v>
      </c>
      <c r="F3619" t="s">
        <v>536</v>
      </c>
      <c r="G3619" t="s">
        <v>6932</v>
      </c>
      <c r="H3619">
        <v>4</v>
      </c>
    </row>
    <row r="3620" spans="1:13">
      <c r="A3620" t="s">
        <v>12659</v>
      </c>
      <c r="B3620" t="s">
        <v>12040</v>
      </c>
      <c r="C3620" s="34" t="s">
        <v>561</v>
      </c>
      <c r="F3620" t="s">
        <v>561</v>
      </c>
      <c r="G3620" t="s">
        <v>6932</v>
      </c>
      <c r="H3620">
        <v>5</v>
      </c>
    </row>
    <row r="3621" spans="1:13">
      <c r="A3621" t="s">
        <v>12660</v>
      </c>
      <c r="B3621" t="s">
        <v>12040</v>
      </c>
      <c r="C3621" s="34" t="s">
        <v>10023</v>
      </c>
      <c r="F3621" t="s">
        <v>10023</v>
      </c>
      <c r="G3621" t="s">
        <v>6932</v>
      </c>
      <c r="H3621">
        <v>5</v>
      </c>
    </row>
    <row r="3622" spans="1:13">
      <c r="A3622" t="s">
        <v>12661</v>
      </c>
      <c r="B3622" t="s">
        <v>12040</v>
      </c>
      <c r="C3622" s="34" t="s">
        <v>788</v>
      </c>
      <c r="F3622" t="s">
        <v>788</v>
      </c>
      <c r="G3622" t="s">
        <v>6932</v>
      </c>
      <c r="H3622">
        <v>5</v>
      </c>
    </row>
    <row r="3623" spans="1:13">
      <c r="A3623" t="s">
        <v>12662</v>
      </c>
      <c r="B3623" t="s">
        <v>12040</v>
      </c>
      <c r="C3623" s="34" t="s">
        <v>8337</v>
      </c>
      <c r="F3623" t="s">
        <v>8337</v>
      </c>
      <c r="G3623" t="s">
        <v>6932</v>
      </c>
      <c r="H3623">
        <v>5</v>
      </c>
    </row>
    <row r="3624" spans="1:13">
      <c r="A3624" t="s">
        <v>12663</v>
      </c>
      <c r="B3624" t="s">
        <v>12040</v>
      </c>
      <c r="C3624" s="34" t="s">
        <v>6948</v>
      </c>
      <c r="F3624" t="s">
        <v>6948</v>
      </c>
      <c r="G3624" t="s">
        <v>6932</v>
      </c>
      <c r="H3624">
        <v>5</v>
      </c>
    </row>
    <row r="3625" spans="1:13">
      <c r="A3625" t="s">
        <v>12664</v>
      </c>
      <c r="B3625" t="s">
        <v>12040</v>
      </c>
      <c r="C3625" s="34" t="s">
        <v>776</v>
      </c>
      <c r="F3625" t="s">
        <v>776</v>
      </c>
      <c r="G3625" t="s">
        <v>6932</v>
      </c>
      <c r="H3625">
        <v>5</v>
      </c>
    </row>
    <row r="3626" spans="1:13">
      <c r="A3626" t="s">
        <v>13637</v>
      </c>
      <c r="B3626" t="s">
        <v>12040</v>
      </c>
      <c r="C3626" s="34" t="s">
        <v>5235</v>
      </c>
      <c r="F3626" t="s">
        <v>1438</v>
      </c>
      <c r="G3626" t="s">
        <v>6932</v>
      </c>
      <c r="H3626">
        <v>5</v>
      </c>
    </row>
    <row r="3627" spans="1:13">
      <c r="A3627" t="s">
        <v>13638</v>
      </c>
      <c r="B3627" t="s">
        <v>12040</v>
      </c>
      <c r="C3627" s="34" t="s">
        <v>5235</v>
      </c>
      <c r="F3627" t="s">
        <v>1438</v>
      </c>
      <c r="G3627" t="s">
        <v>801</v>
      </c>
      <c r="H3627">
        <v>5</v>
      </c>
    </row>
    <row r="3628" spans="1:13">
      <c r="A3628" t="s">
        <v>12665</v>
      </c>
      <c r="B3628" t="s">
        <v>12040</v>
      </c>
      <c r="C3628" s="34" t="s">
        <v>534</v>
      </c>
      <c r="F3628" t="s">
        <v>534</v>
      </c>
      <c r="G3628" t="s">
        <v>6932</v>
      </c>
      <c r="H3628">
        <v>5</v>
      </c>
    </row>
    <row r="3629" spans="1:13">
      <c r="A3629" t="s">
        <v>12666</v>
      </c>
      <c r="B3629" t="s">
        <v>12040</v>
      </c>
      <c r="C3629" s="34" t="s">
        <v>12667</v>
      </c>
      <c r="F3629" t="s">
        <v>12667</v>
      </c>
      <c r="G3629" t="s">
        <v>6932</v>
      </c>
      <c r="H3629">
        <v>5</v>
      </c>
    </row>
    <row r="3630" spans="1:13">
      <c r="A3630" t="s">
        <v>4031</v>
      </c>
      <c r="B3630" t="s">
        <v>609</v>
      </c>
      <c r="C3630" s="34" t="s">
        <v>1967</v>
      </c>
      <c r="F3630" t="s">
        <v>1967</v>
      </c>
      <c r="H3630">
        <v>4</v>
      </c>
      <c r="I3630">
        <f>VLOOKUP(B3630,BRAND!B:D,3,FALSE)</f>
        <v>5</v>
      </c>
      <c r="J3630">
        <f>LEN(F3630)</f>
        <v>15</v>
      </c>
      <c r="K3630" t="s">
        <v>821</v>
      </c>
      <c r="M3630">
        <v>1</v>
      </c>
    </row>
    <row r="3631" spans="1:13">
      <c r="A3631" t="s">
        <v>6456</v>
      </c>
      <c r="B3631" t="s">
        <v>609</v>
      </c>
      <c r="C3631" s="34" t="s">
        <v>6454</v>
      </c>
      <c r="F3631" t="s">
        <v>6454</v>
      </c>
      <c r="H3631">
        <v>4</v>
      </c>
      <c r="I3631">
        <f>VLOOKUP(B3631,BRAND!B:D,3,FALSE)</f>
        <v>5</v>
      </c>
      <c r="J3631">
        <f>LEN(F3631)</f>
        <v>14</v>
      </c>
      <c r="K3631" t="s">
        <v>821</v>
      </c>
      <c r="L3631">
        <v>0</v>
      </c>
      <c r="M3631">
        <v>0</v>
      </c>
    </row>
    <row r="3632" spans="1:13">
      <c r="A3632" t="s">
        <v>6457</v>
      </c>
      <c r="B3632" t="s">
        <v>609</v>
      </c>
      <c r="C3632" s="34" t="s">
        <v>763</v>
      </c>
      <c r="F3632" t="s">
        <v>6455</v>
      </c>
      <c r="H3632">
        <v>4</v>
      </c>
      <c r="I3632">
        <f>VLOOKUP(B3632,BRAND!B:D,3,FALSE)</f>
        <v>5</v>
      </c>
      <c r="J3632">
        <f>LEN(F3632)</f>
        <v>13</v>
      </c>
      <c r="K3632" t="s">
        <v>821</v>
      </c>
      <c r="L3632">
        <v>0</v>
      </c>
      <c r="M3632">
        <v>0</v>
      </c>
    </row>
    <row r="3633" spans="1:13">
      <c r="A3633" t="s">
        <v>2488</v>
      </c>
      <c r="B3633" t="s">
        <v>609</v>
      </c>
      <c r="C3633" s="34" t="s">
        <v>1996</v>
      </c>
      <c r="F3633" t="s">
        <v>1996</v>
      </c>
      <c r="H3633">
        <v>5</v>
      </c>
      <c r="I3633">
        <f>VLOOKUP(B3633,BRAND!B:D,3,FALSE)</f>
        <v>5</v>
      </c>
      <c r="J3633">
        <f>LEN(F3633)</f>
        <v>10</v>
      </c>
      <c r="K3633" t="s">
        <v>821</v>
      </c>
      <c r="L3633">
        <v>0</v>
      </c>
      <c r="M3633">
        <v>0</v>
      </c>
    </row>
    <row r="3634" spans="1:13">
      <c r="A3634" t="s">
        <v>3344</v>
      </c>
      <c r="B3634" t="s">
        <v>609</v>
      </c>
      <c r="C3634" s="34" t="s">
        <v>774</v>
      </c>
      <c r="F3634" t="s">
        <v>774</v>
      </c>
      <c r="H3634">
        <v>5</v>
      </c>
      <c r="I3634">
        <f>VLOOKUP(B3634,BRAND!B:D,3,FALSE)</f>
        <v>5</v>
      </c>
      <c r="J3634">
        <v>9</v>
      </c>
      <c r="K3634" t="s">
        <v>821</v>
      </c>
      <c r="L3634">
        <v>0</v>
      </c>
      <c r="M3634">
        <v>0</v>
      </c>
    </row>
    <row r="3635" spans="1:13">
      <c r="A3635" t="s">
        <v>3234</v>
      </c>
      <c r="B3635" t="s">
        <v>609</v>
      </c>
      <c r="C3635" s="34" t="s">
        <v>933</v>
      </c>
      <c r="F3635" t="s">
        <v>933</v>
      </c>
      <c r="H3635">
        <v>5</v>
      </c>
      <c r="I3635">
        <f>VLOOKUP(B3635,BRAND!B:D,3,FALSE)</f>
        <v>5</v>
      </c>
      <c r="J3635">
        <v>8</v>
      </c>
      <c r="K3635" t="s">
        <v>821</v>
      </c>
      <c r="L3635">
        <v>0</v>
      </c>
      <c r="M3635">
        <v>0</v>
      </c>
    </row>
    <row r="3636" spans="1:13">
      <c r="A3636" t="s">
        <v>5049</v>
      </c>
      <c r="B3636" t="s">
        <v>609</v>
      </c>
      <c r="C3636" s="34" t="s">
        <v>6548</v>
      </c>
      <c r="F3636" t="s">
        <v>753</v>
      </c>
      <c r="H3636">
        <v>5</v>
      </c>
      <c r="I3636">
        <f>VLOOKUP(B3636,BRAND!B:D,3,FALSE)</f>
        <v>5</v>
      </c>
      <c r="J3636">
        <v>7</v>
      </c>
      <c r="K3636" t="s">
        <v>821</v>
      </c>
      <c r="M3636">
        <v>1</v>
      </c>
    </row>
    <row r="3637" spans="1:13">
      <c r="A3637" t="s">
        <v>4641</v>
      </c>
      <c r="B3637" t="s">
        <v>609</v>
      </c>
      <c r="C3637" s="34" t="s">
        <v>746</v>
      </c>
      <c r="F3637" t="s">
        <v>746</v>
      </c>
      <c r="H3637">
        <v>5</v>
      </c>
      <c r="I3637">
        <f>VLOOKUP(B3637,BRAND!B:D,3,FALSE)</f>
        <v>5</v>
      </c>
      <c r="J3637">
        <v>6</v>
      </c>
      <c r="K3637" t="s">
        <v>821</v>
      </c>
      <c r="L3637">
        <v>0</v>
      </c>
      <c r="M3637">
        <v>0</v>
      </c>
    </row>
    <row r="3638" spans="1:13">
      <c r="A3638" t="s">
        <v>3991</v>
      </c>
      <c r="B3638" t="s">
        <v>609</v>
      </c>
      <c r="C3638" s="34" t="s">
        <v>534</v>
      </c>
      <c r="F3638" t="s">
        <v>534</v>
      </c>
      <c r="H3638">
        <v>5</v>
      </c>
      <c r="I3638">
        <f>VLOOKUP(B3638,BRAND!B:D,3,FALSE)</f>
        <v>5</v>
      </c>
      <c r="J3638">
        <v>6</v>
      </c>
      <c r="K3638" t="s">
        <v>821</v>
      </c>
      <c r="L3638">
        <v>0</v>
      </c>
      <c r="M3638">
        <v>0</v>
      </c>
    </row>
    <row r="3639" spans="1:13">
      <c r="A3639" t="s">
        <v>4200</v>
      </c>
      <c r="B3639" t="s">
        <v>609</v>
      </c>
      <c r="C3639" s="34" t="s">
        <v>854</v>
      </c>
      <c r="F3639" t="s">
        <v>854</v>
      </c>
      <c r="H3639">
        <v>5</v>
      </c>
      <c r="I3639">
        <f>VLOOKUP(B3639,BRAND!B:D,3,FALSE)</f>
        <v>5</v>
      </c>
      <c r="J3639">
        <v>6</v>
      </c>
      <c r="K3639" t="s">
        <v>821</v>
      </c>
      <c r="M3639">
        <v>1</v>
      </c>
    </row>
    <row r="3640" spans="1:13">
      <c r="A3640" t="s">
        <v>3586</v>
      </c>
      <c r="B3640" t="s">
        <v>609</v>
      </c>
      <c r="C3640" s="34" t="s">
        <v>772</v>
      </c>
      <c r="F3640" t="s">
        <v>772</v>
      </c>
      <c r="H3640">
        <v>5</v>
      </c>
      <c r="I3640">
        <f>VLOOKUP(B3640,BRAND!B:D,3,FALSE)</f>
        <v>5</v>
      </c>
      <c r="J3640">
        <v>6</v>
      </c>
      <c r="K3640" t="s">
        <v>821</v>
      </c>
      <c r="M3640">
        <v>1</v>
      </c>
    </row>
    <row r="3641" spans="1:13">
      <c r="A3641" t="s">
        <v>3944</v>
      </c>
      <c r="B3641" t="s">
        <v>609</v>
      </c>
      <c r="C3641" s="34" t="s">
        <v>536</v>
      </c>
      <c r="F3641" t="s">
        <v>536</v>
      </c>
      <c r="H3641">
        <v>5</v>
      </c>
      <c r="I3641">
        <f>VLOOKUP(B3641,BRAND!B:D,3,FALSE)</f>
        <v>5</v>
      </c>
      <c r="J3641">
        <v>5</v>
      </c>
      <c r="K3641" t="s">
        <v>821</v>
      </c>
      <c r="L3641">
        <v>0</v>
      </c>
      <c r="M3641">
        <v>0</v>
      </c>
    </row>
    <row r="3642" spans="1:13">
      <c r="A3642" t="s">
        <v>3365</v>
      </c>
      <c r="B3642" t="s">
        <v>609</v>
      </c>
      <c r="C3642" s="34" t="s">
        <v>842</v>
      </c>
      <c r="F3642" t="s">
        <v>842</v>
      </c>
      <c r="H3642">
        <v>5</v>
      </c>
      <c r="I3642">
        <f>VLOOKUP(B3642,BRAND!B:D,3,FALSE)</f>
        <v>5</v>
      </c>
      <c r="J3642">
        <v>5</v>
      </c>
      <c r="K3642" t="s">
        <v>821</v>
      </c>
      <c r="L3642">
        <v>0</v>
      </c>
      <c r="M3642">
        <v>0</v>
      </c>
    </row>
    <row r="3643" spans="1:13">
      <c r="A3643" t="s">
        <v>4604</v>
      </c>
      <c r="B3643" t="s">
        <v>609</v>
      </c>
      <c r="C3643" s="34" t="s">
        <v>881</v>
      </c>
      <c r="F3643" t="s">
        <v>881</v>
      </c>
      <c r="H3643">
        <v>5</v>
      </c>
      <c r="I3643">
        <f>VLOOKUP(B3643,BRAND!B:D,3,FALSE)</f>
        <v>5</v>
      </c>
      <c r="J3643">
        <v>5</v>
      </c>
      <c r="K3643" t="s">
        <v>821</v>
      </c>
      <c r="L3643">
        <v>0</v>
      </c>
      <c r="M3643">
        <v>0</v>
      </c>
    </row>
    <row r="3644" spans="1:13">
      <c r="A3644" t="s">
        <v>7264</v>
      </c>
      <c r="B3644" t="s">
        <v>609</v>
      </c>
      <c r="C3644" s="34" t="s">
        <v>7265</v>
      </c>
      <c r="F3644" t="s">
        <v>7265</v>
      </c>
      <c r="G3644" t="s">
        <v>6932</v>
      </c>
      <c r="H3644">
        <v>5</v>
      </c>
      <c r="I3644">
        <f>VLOOKUP(B3644,BRAND!B:D,3,FALSE)</f>
        <v>5</v>
      </c>
      <c r="J3644">
        <v>5</v>
      </c>
      <c r="M3644">
        <v>1</v>
      </c>
    </row>
    <row r="3645" spans="1:13">
      <c r="A3645" t="s">
        <v>3701</v>
      </c>
      <c r="B3645" t="s">
        <v>609</v>
      </c>
      <c r="C3645" s="34" t="s">
        <v>788</v>
      </c>
      <c r="F3645" t="s">
        <v>788</v>
      </c>
      <c r="H3645">
        <v>5</v>
      </c>
      <c r="I3645">
        <f>VLOOKUP(B3645,BRAND!B:D,3,FALSE)</f>
        <v>5</v>
      </c>
      <c r="J3645">
        <v>4</v>
      </c>
      <c r="K3645" t="s">
        <v>821</v>
      </c>
      <c r="M3645">
        <v>1</v>
      </c>
    </row>
    <row r="3646" spans="1:13">
      <c r="A3646" t="s">
        <v>4122</v>
      </c>
      <c r="B3646" t="s">
        <v>609</v>
      </c>
      <c r="C3646" s="34" t="s">
        <v>775</v>
      </c>
      <c r="F3646" t="s">
        <v>775</v>
      </c>
      <c r="H3646">
        <v>5</v>
      </c>
      <c r="I3646">
        <f>VLOOKUP(B3646,BRAND!B:D,3,FALSE)</f>
        <v>5</v>
      </c>
      <c r="J3646">
        <v>3</v>
      </c>
      <c r="K3646" t="s">
        <v>821</v>
      </c>
      <c r="L3646">
        <v>0</v>
      </c>
      <c r="M3646">
        <v>0</v>
      </c>
    </row>
    <row r="3647" spans="1:13">
      <c r="A3647" t="s">
        <v>3626</v>
      </c>
      <c r="B3647" t="s">
        <v>609</v>
      </c>
      <c r="C3647" s="34" t="s">
        <v>786</v>
      </c>
      <c r="F3647" t="s">
        <v>786</v>
      </c>
      <c r="H3647">
        <v>5</v>
      </c>
      <c r="I3647">
        <f>VLOOKUP(B3647,BRAND!B:D,3,FALSE)</f>
        <v>5</v>
      </c>
      <c r="J3647">
        <v>3</v>
      </c>
      <c r="K3647" t="s">
        <v>821</v>
      </c>
      <c r="M3647">
        <v>1</v>
      </c>
    </row>
    <row r="3648" spans="1:13">
      <c r="A3648" t="s">
        <v>7264</v>
      </c>
      <c r="B3648" t="s">
        <v>609</v>
      </c>
      <c r="C3648" s="34" t="s">
        <v>7265</v>
      </c>
      <c r="F3648" t="s">
        <v>7265</v>
      </c>
      <c r="H3648">
        <v>5</v>
      </c>
      <c r="I3648">
        <f>VLOOKUP(B3648,BRAND!B:D,3,FALSE)</f>
        <v>5</v>
      </c>
      <c r="M3648">
        <v>1</v>
      </c>
    </row>
    <row r="3649" spans="1:13">
      <c r="A3649" t="str">
        <f>B3649&amp;" | "&amp;F3649&amp;" | "&amp;G3649</f>
        <v xml:space="preserve">GOUDEN_CAROLUS | TRIPEL | </v>
      </c>
      <c r="B3649" t="s">
        <v>609</v>
      </c>
      <c r="C3649" t="s">
        <v>534</v>
      </c>
      <c r="F3649" t="s">
        <v>534</v>
      </c>
      <c r="H3649">
        <v>5</v>
      </c>
    </row>
    <row r="3650" spans="1:13">
      <c r="A3650" t="s">
        <v>2426</v>
      </c>
      <c r="B3650" t="s">
        <v>1273</v>
      </c>
      <c r="C3650" s="34" t="s">
        <v>536</v>
      </c>
      <c r="F3650" t="s">
        <v>536</v>
      </c>
      <c r="H3650">
        <v>5</v>
      </c>
      <c r="I3650">
        <f>VLOOKUP(B3650,BRAND!B:D,3,FALSE)</f>
        <v>3</v>
      </c>
      <c r="J3650">
        <v>5</v>
      </c>
      <c r="K3650" t="s">
        <v>821</v>
      </c>
      <c r="L3650">
        <v>0</v>
      </c>
      <c r="M3650">
        <v>0</v>
      </c>
    </row>
    <row r="3651" spans="1:13">
      <c r="A3651" t="s">
        <v>4663</v>
      </c>
      <c r="B3651" t="s">
        <v>1273</v>
      </c>
      <c r="C3651" s="34" t="s">
        <v>781</v>
      </c>
      <c r="F3651" t="s">
        <v>781</v>
      </c>
      <c r="H3651">
        <v>5</v>
      </c>
      <c r="I3651">
        <f>VLOOKUP(B3651,BRAND!B:D,3,FALSE)</f>
        <v>3</v>
      </c>
      <c r="J3651">
        <v>4</v>
      </c>
      <c r="K3651" t="s">
        <v>821</v>
      </c>
      <c r="L3651">
        <v>0</v>
      </c>
      <c r="M3651">
        <v>0</v>
      </c>
    </row>
    <row r="3652" spans="1:13">
      <c r="A3652" t="s">
        <v>3074</v>
      </c>
      <c r="B3652" t="s">
        <v>1273</v>
      </c>
      <c r="C3652" s="34" t="s">
        <v>1438</v>
      </c>
      <c r="F3652" t="s">
        <v>1438</v>
      </c>
      <c r="H3652">
        <v>15</v>
      </c>
      <c r="I3652">
        <f>VLOOKUP(B3652,BRAND!B:D,3,FALSE)</f>
        <v>3</v>
      </c>
      <c r="J3652">
        <v>4</v>
      </c>
      <c r="K3652" t="s">
        <v>821</v>
      </c>
      <c r="L3652">
        <v>0</v>
      </c>
      <c r="M3652">
        <v>0</v>
      </c>
    </row>
    <row r="3653" spans="1:13">
      <c r="A3653" t="s">
        <v>7727</v>
      </c>
      <c r="B3653" t="s">
        <v>7728</v>
      </c>
      <c r="C3653" s="34" t="s">
        <v>1438</v>
      </c>
      <c r="F3653" t="s">
        <v>1438</v>
      </c>
      <c r="G3653" t="s">
        <v>6932</v>
      </c>
      <c r="H3653">
        <v>5</v>
      </c>
      <c r="I3653">
        <f>VLOOKUP(B3653,BRAND!B:D,3,FALSE)</f>
        <v>5.5</v>
      </c>
      <c r="J3653">
        <v>4</v>
      </c>
      <c r="M3653">
        <v>1</v>
      </c>
    </row>
    <row r="3654" spans="1:13">
      <c r="A3654" t="s">
        <v>3026</v>
      </c>
      <c r="B3654" t="s">
        <v>1782</v>
      </c>
      <c r="C3654" s="34" t="s">
        <v>933</v>
      </c>
      <c r="F3654" t="s">
        <v>933</v>
      </c>
      <c r="H3654">
        <v>5</v>
      </c>
      <c r="I3654">
        <f>VLOOKUP(B3654,BRAND!B:D,3,FALSE)</f>
        <v>3</v>
      </c>
      <c r="J3654">
        <v>8</v>
      </c>
      <c r="K3654" t="s">
        <v>821</v>
      </c>
      <c r="L3654">
        <v>0</v>
      </c>
      <c r="M3654">
        <v>0</v>
      </c>
    </row>
    <row r="3655" spans="1:13">
      <c r="A3655" t="s">
        <v>3028</v>
      </c>
      <c r="B3655" t="s">
        <v>1782</v>
      </c>
      <c r="C3655" s="34" t="s">
        <v>772</v>
      </c>
      <c r="F3655" t="s">
        <v>772</v>
      </c>
      <c r="H3655">
        <v>5</v>
      </c>
      <c r="I3655">
        <f>VLOOKUP(B3655,BRAND!B:D,3,FALSE)</f>
        <v>3</v>
      </c>
      <c r="J3655">
        <v>6</v>
      </c>
      <c r="K3655" t="s">
        <v>821</v>
      </c>
      <c r="L3655">
        <v>0</v>
      </c>
      <c r="M3655">
        <v>0</v>
      </c>
    </row>
    <row r="3656" spans="1:13">
      <c r="A3656" t="s">
        <v>3031</v>
      </c>
      <c r="B3656" t="s">
        <v>1782</v>
      </c>
      <c r="C3656" s="34" t="s">
        <v>534</v>
      </c>
      <c r="F3656" t="s">
        <v>534</v>
      </c>
      <c r="H3656">
        <v>5</v>
      </c>
      <c r="I3656">
        <f>VLOOKUP(B3656,BRAND!B:D,3,FALSE)</f>
        <v>3</v>
      </c>
      <c r="J3656">
        <v>6</v>
      </c>
      <c r="K3656" t="s">
        <v>821</v>
      </c>
      <c r="L3656">
        <v>0</v>
      </c>
      <c r="M3656">
        <v>0</v>
      </c>
    </row>
    <row r="3657" spans="1:13">
      <c r="A3657" t="s">
        <v>3027</v>
      </c>
      <c r="B3657" t="s">
        <v>1782</v>
      </c>
      <c r="C3657" s="34" t="s">
        <v>536</v>
      </c>
      <c r="F3657" t="s">
        <v>536</v>
      </c>
      <c r="H3657">
        <v>5</v>
      </c>
      <c r="I3657">
        <f>VLOOKUP(B3657,BRAND!B:D,3,FALSE)</f>
        <v>3</v>
      </c>
      <c r="J3657">
        <v>5</v>
      </c>
      <c r="K3657" t="s">
        <v>821</v>
      </c>
      <c r="L3657">
        <v>0</v>
      </c>
      <c r="M3657">
        <v>0</v>
      </c>
    </row>
    <row r="3658" spans="1:13">
      <c r="A3658" t="s">
        <v>3827</v>
      </c>
      <c r="B3658" t="s">
        <v>1782</v>
      </c>
      <c r="C3658" s="34" t="s">
        <v>913</v>
      </c>
      <c r="F3658" t="s">
        <v>913</v>
      </c>
      <c r="H3658">
        <v>5</v>
      </c>
      <c r="I3658">
        <f>VLOOKUP(B3658,BRAND!B:D,3,FALSE)</f>
        <v>3</v>
      </c>
      <c r="J3658">
        <v>5</v>
      </c>
      <c r="K3658" t="s">
        <v>821</v>
      </c>
      <c r="L3658">
        <v>0</v>
      </c>
      <c r="M3658">
        <v>0</v>
      </c>
    </row>
    <row r="3659" spans="1:13">
      <c r="A3659" t="s">
        <v>4639</v>
      </c>
      <c r="B3659" t="s">
        <v>1782</v>
      </c>
      <c r="C3659" s="34" t="s">
        <v>561</v>
      </c>
      <c r="F3659" t="s">
        <v>561</v>
      </c>
      <c r="H3659">
        <v>5</v>
      </c>
      <c r="I3659">
        <f>VLOOKUP(B3659,BRAND!B:D,3,FALSE)</f>
        <v>3</v>
      </c>
      <c r="J3659">
        <v>3</v>
      </c>
      <c r="K3659" t="s">
        <v>821</v>
      </c>
      <c r="L3659">
        <v>0</v>
      </c>
      <c r="M3659">
        <v>0</v>
      </c>
    </row>
    <row r="3660" spans="1:13">
      <c r="A3660" t="s">
        <v>12756</v>
      </c>
      <c r="B3660" t="s">
        <v>1782</v>
      </c>
      <c r="C3660" s="34" t="s">
        <v>536</v>
      </c>
      <c r="F3660" t="s">
        <v>536</v>
      </c>
      <c r="G3660" t="s">
        <v>6932</v>
      </c>
      <c r="H3660">
        <v>5</v>
      </c>
    </row>
    <row r="3661" spans="1:13">
      <c r="A3661" t="s">
        <v>12758</v>
      </c>
      <c r="B3661" t="s">
        <v>1782</v>
      </c>
      <c r="C3661" s="34" t="s">
        <v>933</v>
      </c>
      <c r="F3661" t="s">
        <v>933</v>
      </c>
      <c r="G3661" t="s">
        <v>6932</v>
      </c>
      <c r="H3661">
        <v>5</v>
      </c>
    </row>
    <row r="3662" spans="1:13">
      <c r="A3662" t="s">
        <v>12759</v>
      </c>
      <c r="B3662" t="s">
        <v>1782</v>
      </c>
      <c r="C3662" s="34" t="s">
        <v>12760</v>
      </c>
      <c r="F3662" t="s">
        <v>12760</v>
      </c>
      <c r="G3662" t="s">
        <v>6932</v>
      </c>
      <c r="H3662">
        <v>5</v>
      </c>
    </row>
    <row r="3663" spans="1:13">
      <c r="A3663" t="s">
        <v>12761</v>
      </c>
      <c r="B3663" t="s">
        <v>1782</v>
      </c>
      <c r="C3663" s="34" t="s">
        <v>772</v>
      </c>
      <c r="F3663" t="s">
        <v>772</v>
      </c>
      <c r="G3663" t="s">
        <v>6932</v>
      </c>
      <c r="H3663">
        <v>5</v>
      </c>
    </row>
    <row r="3664" spans="1:13">
      <c r="A3664" t="s">
        <v>12763</v>
      </c>
      <c r="B3664" t="s">
        <v>1782</v>
      </c>
      <c r="C3664" s="34" t="s">
        <v>534</v>
      </c>
      <c r="F3664" t="s">
        <v>534</v>
      </c>
      <c r="G3664" t="s">
        <v>6932</v>
      </c>
      <c r="H3664">
        <v>5</v>
      </c>
    </row>
    <row r="3665" spans="1:13">
      <c r="A3665" t="s">
        <v>12767</v>
      </c>
      <c r="B3665" t="s">
        <v>1782</v>
      </c>
      <c r="C3665" s="34" t="s">
        <v>561</v>
      </c>
      <c r="F3665" t="s">
        <v>561</v>
      </c>
      <c r="G3665" t="s">
        <v>6932</v>
      </c>
      <c r="H3665">
        <v>5</v>
      </c>
    </row>
    <row r="3666" spans="1:13">
      <c r="A3666" t="s">
        <v>12770</v>
      </c>
      <c r="B3666" t="s">
        <v>1782</v>
      </c>
      <c r="C3666" s="34" t="s">
        <v>996</v>
      </c>
      <c r="F3666" t="s">
        <v>996</v>
      </c>
      <c r="G3666" t="s">
        <v>6932</v>
      </c>
      <c r="H3666">
        <v>5</v>
      </c>
    </row>
    <row r="3667" spans="1:13">
      <c r="A3667" t="s">
        <v>12775</v>
      </c>
      <c r="B3667" t="s">
        <v>1782</v>
      </c>
      <c r="C3667" s="34" t="s">
        <v>910</v>
      </c>
      <c r="F3667" t="s">
        <v>910</v>
      </c>
      <c r="G3667" t="s">
        <v>6932</v>
      </c>
      <c r="H3667">
        <v>5</v>
      </c>
    </row>
    <row r="3668" spans="1:13">
      <c r="A3668" t="s">
        <v>12756</v>
      </c>
      <c r="B3668" t="s">
        <v>1782</v>
      </c>
      <c r="C3668" s="34" t="s">
        <v>536</v>
      </c>
      <c r="F3668" t="s">
        <v>536</v>
      </c>
      <c r="G3668" t="s">
        <v>801</v>
      </c>
      <c r="H3668">
        <v>5</v>
      </c>
    </row>
    <row r="3669" spans="1:13">
      <c r="A3669" t="s">
        <v>12789</v>
      </c>
      <c r="B3669" t="s">
        <v>1782</v>
      </c>
      <c r="C3669" s="34" t="s">
        <v>840</v>
      </c>
      <c r="F3669" t="s">
        <v>840</v>
      </c>
      <c r="G3669" t="s">
        <v>6932</v>
      </c>
      <c r="H3669">
        <v>5</v>
      </c>
    </row>
    <row r="3670" spans="1:13" ht="16.5" customHeight="1">
      <c r="A3670" t="s">
        <v>4982</v>
      </c>
      <c r="B3670" t="s">
        <v>1782</v>
      </c>
      <c r="C3670" s="34" t="s">
        <v>536</v>
      </c>
      <c r="F3670" t="s">
        <v>536</v>
      </c>
      <c r="G3670" t="s">
        <v>801</v>
      </c>
      <c r="H3670">
        <v>6</v>
      </c>
      <c r="I3670">
        <f>VLOOKUP(B3670,BRAND!B:D,3,FALSE)</f>
        <v>3</v>
      </c>
      <c r="J3670">
        <v>5</v>
      </c>
      <c r="K3670" t="s">
        <v>821</v>
      </c>
      <c r="L3670">
        <v>0</v>
      </c>
      <c r="M3670">
        <v>0</v>
      </c>
    </row>
    <row r="3671" spans="1:13">
      <c r="A3671" t="s">
        <v>3034</v>
      </c>
      <c r="B3671" t="s">
        <v>1782</v>
      </c>
      <c r="C3671" s="34" t="s">
        <v>1438</v>
      </c>
      <c r="F3671" t="s">
        <v>1438</v>
      </c>
      <c r="H3671">
        <v>15</v>
      </c>
      <c r="I3671">
        <f>VLOOKUP(B3671,BRAND!B:D,3,FALSE)</f>
        <v>3</v>
      </c>
      <c r="J3671">
        <v>4</v>
      </c>
      <c r="K3671" t="s">
        <v>821</v>
      </c>
      <c r="L3671">
        <v>0</v>
      </c>
      <c r="M3671">
        <v>0</v>
      </c>
    </row>
    <row r="3672" spans="1:13">
      <c r="A3672" t="s">
        <v>2907</v>
      </c>
      <c r="B3672" t="s">
        <v>543</v>
      </c>
      <c r="C3672" s="34" t="s">
        <v>1438</v>
      </c>
      <c r="F3672" t="s">
        <v>1438</v>
      </c>
      <c r="H3672">
        <v>15</v>
      </c>
      <c r="I3672">
        <f>VLOOKUP(B3672,BRAND!B:D,3,FALSE)</f>
        <v>3</v>
      </c>
      <c r="J3672">
        <v>4</v>
      </c>
      <c r="K3672" t="s">
        <v>821</v>
      </c>
      <c r="M3672">
        <v>1</v>
      </c>
    </row>
    <row r="3673" spans="1:13">
      <c r="A3673" t="s">
        <v>11712</v>
      </c>
      <c r="B3673" t="s">
        <v>10938</v>
      </c>
      <c r="C3673" s="34" t="s">
        <v>534</v>
      </c>
      <c r="F3673" t="s">
        <v>534</v>
      </c>
      <c r="G3673" t="s">
        <v>6932</v>
      </c>
      <c r="H3673">
        <v>5</v>
      </c>
    </row>
    <row r="3674" spans="1:13">
      <c r="A3674" t="s">
        <v>11713</v>
      </c>
      <c r="B3674" t="s">
        <v>10938</v>
      </c>
      <c r="C3674" s="34" t="s">
        <v>536</v>
      </c>
      <c r="F3674" t="s">
        <v>536</v>
      </c>
      <c r="G3674" t="s">
        <v>6932</v>
      </c>
      <c r="H3674">
        <v>5</v>
      </c>
    </row>
    <row r="3675" spans="1:13">
      <c r="A3675" t="s">
        <v>11715</v>
      </c>
      <c r="B3675" t="s">
        <v>10938</v>
      </c>
      <c r="C3675" s="34" t="s">
        <v>745</v>
      </c>
      <c r="F3675" t="s">
        <v>745</v>
      </c>
      <c r="G3675" t="s">
        <v>6932</v>
      </c>
      <c r="H3675">
        <v>5</v>
      </c>
    </row>
    <row r="3676" spans="1:13">
      <c r="A3676" t="s">
        <v>11716</v>
      </c>
      <c r="B3676" t="s">
        <v>10938</v>
      </c>
      <c r="C3676" s="34" t="s">
        <v>7424</v>
      </c>
      <c r="F3676" t="s">
        <v>7424</v>
      </c>
      <c r="G3676" t="s">
        <v>6932</v>
      </c>
      <c r="H3676">
        <v>5</v>
      </c>
    </row>
    <row r="3677" spans="1:13">
      <c r="A3677" t="s">
        <v>11717</v>
      </c>
      <c r="B3677" t="s">
        <v>10938</v>
      </c>
      <c r="C3677" s="34" t="s">
        <v>10990</v>
      </c>
      <c r="F3677" t="s">
        <v>10990</v>
      </c>
      <c r="G3677" t="s">
        <v>6932</v>
      </c>
      <c r="H3677">
        <v>5</v>
      </c>
    </row>
    <row r="3678" spans="1:13">
      <c r="A3678" t="s">
        <v>11718</v>
      </c>
      <c r="B3678" t="s">
        <v>10938</v>
      </c>
      <c r="C3678" s="34" t="s">
        <v>11159</v>
      </c>
      <c r="F3678" t="s">
        <v>11159</v>
      </c>
      <c r="G3678" t="s">
        <v>6932</v>
      </c>
      <c r="H3678">
        <v>5</v>
      </c>
    </row>
    <row r="3679" spans="1:13">
      <c r="A3679" t="s">
        <v>11719</v>
      </c>
      <c r="B3679" t="s">
        <v>10938</v>
      </c>
      <c r="C3679" s="34" t="s">
        <v>11160</v>
      </c>
      <c r="F3679" t="s">
        <v>11160</v>
      </c>
      <c r="G3679" t="s">
        <v>6932</v>
      </c>
      <c r="H3679">
        <v>5</v>
      </c>
    </row>
    <row r="3680" spans="1:13">
      <c r="A3680" t="s">
        <v>11720</v>
      </c>
      <c r="B3680" t="s">
        <v>10938</v>
      </c>
      <c r="C3680" s="34" t="s">
        <v>11161</v>
      </c>
      <c r="F3680" t="s">
        <v>11161</v>
      </c>
      <c r="G3680" t="s">
        <v>6932</v>
      </c>
      <c r="H3680">
        <v>5</v>
      </c>
    </row>
    <row r="3681" spans="1:13">
      <c r="A3681" t="s">
        <v>11721</v>
      </c>
      <c r="B3681" t="s">
        <v>10938</v>
      </c>
      <c r="C3681" s="34" t="s">
        <v>996</v>
      </c>
      <c r="F3681" t="s">
        <v>996</v>
      </c>
      <c r="G3681" t="s">
        <v>6932</v>
      </c>
      <c r="H3681">
        <v>5</v>
      </c>
    </row>
    <row r="3682" spans="1:13">
      <c r="A3682" t="s">
        <v>11722</v>
      </c>
      <c r="B3682" t="s">
        <v>10938</v>
      </c>
      <c r="C3682" s="34" t="s">
        <v>11162</v>
      </c>
      <c r="F3682" t="s">
        <v>11162</v>
      </c>
      <c r="G3682" t="s">
        <v>801</v>
      </c>
      <c r="H3682">
        <v>5</v>
      </c>
    </row>
    <row r="3683" spans="1:13">
      <c r="A3683" t="s">
        <v>11723</v>
      </c>
      <c r="B3683" t="s">
        <v>10938</v>
      </c>
      <c r="C3683" s="34" t="s">
        <v>11163</v>
      </c>
      <c r="F3683" t="s">
        <v>11163</v>
      </c>
      <c r="G3683" t="s">
        <v>6932</v>
      </c>
      <c r="H3683">
        <v>5</v>
      </c>
    </row>
    <row r="3684" spans="1:13">
      <c r="A3684" t="s">
        <v>11724</v>
      </c>
      <c r="B3684" t="s">
        <v>10938</v>
      </c>
      <c r="C3684" s="34" t="s">
        <v>11164</v>
      </c>
      <c r="F3684" t="s">
        <v>11164</v>
      </c>
      <c r="G3684" t="s">
        <v>6932</v>
      </c>
      <c r="H3684">
        <v>5</v>
      </c>
    </row>
    <row r="3685" spans="1:13">
      <c r="A3685" t="s">
        <v>11725</v>
      </c>
      <c r="B3685" t="s">
        <v>10938</v>
      </c>
      <c r="C3685" s="34" t="s">
        <v>11165</v>
      </c>
      <c r="F3685" t="s">
        <v>11165</v>
      </c>
      <c r="G3685" t="s">
        <v>6932</v>
      </c>
      <c r="H3685">
        <v>5</v>
      </c>
    </row>
    <row r="3686" spans="1:13">
      <c r="A3686" t="s">
        <v>11726</v>
      </c>
      <c r="B3686" t="s">
        <v>10938</v>
      </c>
      <c r="C3686" s="34" t="s">
        <v>11166</v>
      </c>
      <c r="F3686" t="s">
        <v>11166</v>
      </c>
      <c r="G3686" t="s">
        <v>6932</v>
      </c>
      <c r="H3686">
        <v>5</v>
      </c>
    </row>
    <row r="3687" spans="1:13" ht="27.65" customHeight="1">
      <c r="A3687" t="s">
        <v>11727</v>
      </c>
      <c r="B3687" t="s">
        <v>10938</v>
      </c>
      <c r="C3687" s="34" t="s">
        <v>745</v>
      </c>
      <c r="F3687" t="s">
        <v>745</v>
      </c>
      <c r="G3687" t="s">
        <v>801</v>
      </c>
      <c r="H3687">
        <v>5</v>
      </c>
    </row>
    <row r="3688" spans="1:13">
      <c r="A3688" t="s">
        <v>11728</v>
      </c>
      <c r="B3688" t="s">
        <v>10938</v>
      </c>
      <c r="C3688" s="34" t="s">
        <v>11167</v>
      </c>
      <c r="F3688" t="s">
        <v>11167</v>
      </c>
      <c r="G3688" t="s">
        <v>6932</v>
      </c>
      <c r="H3688">
        <v>5</v>
      </c>
    </row>
    <row r="3689" spans="1:13">
      <c r="A3689" t="s">
        <v>11729</v>
      </c>
      <c r="B3689" t="s">
        <v>10938</v>
      </c>
      <c r="C3689" s="34" t="s">
        <v>11168</v>
      </c>
      <c r="F3689" t="s">
        <v>11168</v>
      </c>
      <c r="G3689" t="s">
        <v>6932</v>
      </c>
      <c r="H3689">
        <v>5</v>
      </c>
    </row>
    <row r="3690" spans="1:13">
      <c r="A3690" t="s">
        <v>11730</v>
      </c>
      <c r="B3690" t="s">
        <v>10938</v>
      </c>
      <c r="C3690" s="34" t="s">
        <v>11169</v>
      </c>
      <c r="F3690" t="s">
        <v>11169</v>
      </c>
      <c r="G3690" t="s">
        <v>6932</v>
      </c>
      <c r="H3690">
        <v>5</v>
      </c>
    </row>
    <row r="3691" spans="1:13">
      <c r="A3691" t="s">
        <v>11714</v>
      </c>
      <c r="B3691" t="s">
        <v>10938</v>
      </c>
      <c r="C3691" s="34" t="s">
        <v>561</v>
      </c>
      <c r="F3691" t="s">
        <v>561</v>
      </c>
      <c r="G3691" t="s">
        <v>6932</v>
      </c>
      <c r="H3691">
        <v>6</v>
      </c>
    </row>
    <row r="3692" spans="1:13">
      <c r="A3692" t="s">
        <v>10513</v>
      </c>
      <c r="B3692" t="s">
        <v>10390</v>
      </c>
      <c r="C3692" s="34" t="s">
        <v>6925</v>
      </c>
      <c r="F3692" t="s">
        <v>6925</v>
      </c>
      <c r="G3692" t="s">
        <v>6932</v>
      </c>
      <c r="H3692">
        <v>5</v>
      </c>
      <c r="I3692">
        <f>VLOOKUP(B3692,BRAND!B:D,3,FALSE)</f>
        <v>5.5</v>
      </c>
      <c r="J3692">
        <f>LEN(F3692)</f>
        <v>7</v>
      </c>
      <c r="L3692">
        <v>0</v>
      </c>
    </row>
    <row r="3693" spans="1:13">
      <c r="A3693" t="s">
        <v>8329</v>
      </c>
      <c r="B3693" t="s">
        <v>8330</v>
      </c>
      <c r="C3693" s="34" t="s">
        <v>1438</v>
      </c>
      <c r="F3693" t="s">
        <v>1438</v>
      </c>
      <c r="G3693" t="s">
        <v>6932</v>
      </c>
      <c r="H3693">
        <v>5</v>
      </c>
      <c r="I3693">
        <f>VLOOKUP(B3693,BRAND!B:D,3,FALSE)</f>
        <v>5.5</v>
      </c>
      <c r="J3693">
        <v>4</v>
      </c>
      <c r="M3693">
        <v>1</v>
      </c>
    </row>
    <row r="3694" spans="1:13">
      <c r="A3694" t="s">
        <v>2746</v>
      </c>
      <c r="B3694" t="s">
        <v>1163</v>
      </c>
      <c r="C3694" s="34" t="s">
        <v>1438</v>
      </c>
      <c r="F3694" t="s">
        <v>1438</v>
      </c>
      <c r="H3694">
        <v>15</v>
      </c>
      <c r="I3694">
        <f>VLOOKUP(B3694,BRAND!B:D,3,FALSE)</f>
        <v>3</v>
      </c>
      <c r="J3694">
        <v>4</v>
      </c>
      <c r="K3694" t="s">
        <v>821</v>
      </c>
      <c r="L3694">
        <v>0</v>
      </c>
      <c r="M3694">
        <v>0</v>
      </c>
    </row>
    <row r="3695" spans="1:13">
      <c r="A3695" t="s">
        <v>3633</v>
      </c>
      <c r="B3695" t="s">
        <v>1836</v>
      </c>
      <c r="C3695" s="34" t="s">
        <v>774</v>
      </c>
      <c r="F3695" t="s">
        <v>774</v>
      </c>
      <c r="H3695">
        <v>5</v>
      </c>
      <c r="I3695">
        <f>VLOOKUP(B3695,BRAND!B:D,3,FALSE)</f>
        <v>5.5</v>
      </c>
      <c r="J3695">
        <v>9</v>
      </c>
      <c r="K3695" t="e">
        <v>#N/A</v>
      </c>
      <c r="L3695">
        <v>0</v>
      </c>
      <c r="M3695">
        <v>0</v>
      </c>
    </row>
    <row r="3696" spans="1:13">
      <c r="A3696" t="s">
        <v>4684</v>
      </c>
      <c r="B3696" t="s">
        <v>1836</v>
      </c>
      <c r="C3696" s="34" t="s">
        <v>772</v>
      </c>
      <c r="F3696" t="s">
        <v>772</v>
      </c>
      <c r="H3696">
        <v>5</v>
      </c>
      <c r="I3696">
        <f>VLOOKUP(B3696,BRAND!B:D,3,FALSE)</f>
        <v>5.5</v>
      </c>
      <c r="J3696">
        <v>6</v>
      </c>
      <c r="K3696" t="e">
        <v>#N/A</v>
      </c>
      <c r="L3696">
        <v>0</v>
      </c>
      <c r="M3696">
        <v>0</v>
      </c>
    </row>
    <row r="3697" spans="1:13">
      <c r="A3697" t="s">
        <v>4751</v>
      </c>
      <c r="B3697" t="s">
        <v>1836</v>
      </c>
      <c r="C3697" s="34" t="s">
        <v>1498</v>
      </c>
      <c r="F3697" t="s">
        <v>1498</v>
      </c>
      <c r="H3697">
        <v>5</v>
      </c>
      <c r="I3697">
        <f>VLOOKUP(B3697,BRAND!B:D,3,FALSE)</f>
        <v>5.5</v>
      </c>
      <c r="J3697">
        <v>6</v>
      </c>
      <c r="K3697" t="e">
        <v>#N/A</v>
      </c>
      <c r="L3697">
        <v>0</v>
      </c>
      <c r="M3697">
        <v>0</v>
      </c>
    </row>
    <row r="3698" spans="1:13">
      <c r="A3698" t="s">
        <v>2390</v>
      </c>
      <c r="B3698" t="s">
        <v>1836</v>
      </c>
      <c r="C3698" s="34" t="s">
        <v>534</v>
      </c>
      <c r="F3698" t="s">
        <v>534</v>
      </c>
      <c r="H3698">
        <v>5</v>
      </c>
      <c r="I3698">
        <f>VLOOKUP(B3698,BRAND!B:D,3,FALSE)</f>
        <v>5.5</v>
      </c>
      <c r="J3698">
        <v>6</v>
      </c>
      <c r="K3698" t="e">
        <v>#N/A</v>
      </c>
      <c r="L3698">
        <v>0</v>
      </c>
      <c r="M3698">
        <v>0</v>
      </c>
    </row>
    <row r="3699" spans="1:13">
      <c r="A3699" t="s">
        <v>4637</v>
      </c>
      <c r="B3699" t="s">
        <v>1836</v>
      </c>
      <c r="C3699" s="34" t="s">
        <v>764</v>
      </c>
      <c r="F3699" t="s">
        <v>764</v>
      </c>
      <c r="H3699">
        <v>5</v>
      </c>
      <c r="I3699">
        <f>VLOOKUP(B3699,BRAND!B:D,3,FALSE)</f>
        <v>5.5</v>
      </c>
      <c r="J3699">
        <v>5</v>
      </c>
      <c r="K3699" t="e">
        <v>#N/A</v>
      </c>
      <c r="L3699">
        <v>0</v>
      </c>
      <c r="M3699">
        <v>0</v>
      </c>
    </row>
    <row r="3700" spans="1:13">
      <c r="A3700" t="s">
        <v>4397</v>
      </c>
      <c r="B3700" t="s">
        <v>1836</v>
      </c>
      <c r="C3700" s="34" t="s">
        <v>872</v>
      </c>
      <c r="F3700" t="s">
        <v>872</v>
      </c>
      <c r="H3700">
        <v>5</v>
      </c>
      <c r="I3700">
        <f>VLOOKUP(B3700,BRAND!B:D,3,FALSE)</f>
        <v>5.5</v>
      </c>
      <c r="J3700">
        <v>5</v>
      </c>
      <c r="K3700" t="e">
        <v>#N/A</v>
      </c>
      <c r="L3700">
        <v>0</v>
      </c>
      <c r="M3700">
        <v>0</v>
      </c>
    </row>
    <row r="3701" spans="1:13">
      <c r="A3701" t="s">
        <v>4091</v>
      </c>
      <c r="B3701" t="s">
        <v>1836</v>
      </c>
      <c r="C3701" s="34" t="s">
        <v>799</v>
      </c>
      <c r="F3701" t="s">
        <v>799</v>
      </c>
      <c r="H3701">
        <v>5</v>
      </c>
      <c r="I3701">
        <f>VLOOKUP(B3701,BRAND!B:D,3,FALSE)</f>
        <v>5.5</v>
      </c>
      <c r="J3701">
        <v>5</v>
      </c>
      <c r="K3701" t="e">
        <v>#N/A</v>
      </c>
      <c r="L3701">
        <v>0</v>
      </c>
      <c r="M3701">
        <v>0</v>
      </c>
    </row>
    <row r="3702" spans="1:13">
      <c r="A3702" t="s">
        <v>4750</v>
      </c>
      <c r="B3702" t="s">
        <v>1836</v>
      </c>
      <c r="C3702" s="34" t="s">
        <v>761</v>
      </c>
      <c r="F3702" t="s">
        <v>761</v>
      </c>
      <c r="H3702">
        <v>5</v>
      </c>
      <c r="I3702">
        <f>VLOOKUP(B3702,BRAND!B:D,3,FALSE)</f>
        <v>5.5</v>
      </c>
      <c r="J3702">
        <v>5</v>
      </c>
      <c r="K3702" t="e">
        <v>#N/A</v>
      </c>
      <c r="L3702">
        <v>0</v>
      </c>
      <c r="M3702">
        <v>0</v>
      </c>
    </row>
    <row r="3703" spans="1:13">
      <c r="A3703" t="s">
        <v>2867</v>
      </c>
      <c r="B3703" t="s">
        <v>1836</v>
      </c>
      <c r="C3703" s="34" t="s">
        <v>776</v>
      </c>
      <c r="F3703" t="s">
        <v>776</v>
      </c>
      <c r="H3703">
        <v>5</v>
      </c>
      <c r="I3703">
        <f>VLOOKUP(B3703,BRAND!B:D,3,FALSE)</f>
        <v>5.5</v>
      </c>
      <c r="J3703">
        <v>5</v>
      </c>
      <c r="K3703" t="e">
        <v>#N/A</v>
      </c>
      <c r="L3703">
        <v>0</v>
      </c>
      <c r="M3703">
        <v>0</v>
      </c>
    </row>
    <row r="3704" spans="1:13">
      <c r="A3704" t="s">
        <v>4516</v>
      </c>
      <c r="B3704" t="s">
        <v>1836</v>
      </c>
      <c r="C3704" s="34" t="s">
        <v>867</v>
      </c>
      <c r="F3704" t="s">
        <v>867</v>
      </c>
      <c r="H3704">
        <v>5</v>
      </c>
      <c r="I3704">
        <f>VLOOKUP(B3704,BRAND!B:D,3,FALSE)</f>
        <v>5.5</v>
      </c>
      <c r="J3704">
        <v>4</v>
      </c>
      <c r="K3704" t="e">
        <v>#N/A</v>
      </c>
      <c r="L3704">
        <v>0</v>
      </c>
      <c r="M3704">
        <v>0</v>
      </c>
    </row>
    <row r="3705" spans="1:13">
      <c r="A3705" t="s">
        <v>4225</v>
      </c>
      <c r="B3705" t="s">
        <v>1836</v>
      </c>
      <c r="C3705" s="34" t="s">
        <v>1992</v>
      </c>
      <c r="F3705" t="s">
        <v>1992</v>
      </c>
      <c r="H3705">
        <v>5</v>
      </c>
      <c r="I3705">
        <f>VLOOKUP(B3705,BRAND!B:D,3,FALSE)</f>
        <v>5.5</v>
      </c>
      <c r="J3705">
        <v>3</v>
      </c>
      <c r="K3705" t="e">
        <v>#N/A</v>
      </c>
      <c r="L3705">
        <v>0</v>
      </c>
      <c r="M3705">
        <v>0</v>
      </c>
    </row>
    <row r="3706" spans="1:13">
      <c r="A3706" t="s">
        <v>4650</v>
      </c>
      <c r="B3706" t="s">
        <v>1836</v>
      </c>
      <c r="C3706" s="34" t="s">
        <v>775</v>
      </c>
      <c r="F3706" t="s">
        <v>775</v>
      </c>
      <c r="H3706">
        <v>5</v>
      </c>
      <c r="I3706">
        <f>VLOOKUP(B3706,BRAND!B:D,3,FALSE)</f>
        <v>5.5</v>
      </c>
      <c r="J3706">
        <v>3</v>
      </c>
      <c r="K3706" t="e">
        <v>#N/A</v>
      </c>
      <c r="L3706">
        <v>0</v>
      </c>
      <c r="M3706">
        <v>0</v>
      </c>
    </row>
    <row r="3707" spans="1:13">
      <c r="A3707" t="s">
        <v>3744</v>
      </c>
      <c r="B3707" t="s">
        <v>1164</v>
      </c>
      <c r="C3707" s="34" t="s">
        <v>774</v>
      </c>
      <c r="F3707" t="s">
        <v>774</v>
      </c>
      <c r="H3707">
        <v>5</v>
      </c>
      <c r="I3707">
        <f>VLOOKUP(B3707,BRAND!B:D,3,FALSE)</f>
        <v>3</v>
      </c>
      <c r="J3707">
        <v>9</v>
      </c>
      <c r="K3707" t="s">
        <v>821</v>
      </c>
      <c r="L3707">
        <v>0</v>
      </c>
      <c r="M3707">
        <v>0</v>
      </c>
    </row>
    <row r="3708" spans="1:13">
      <c r="A3708" t="s">
        <v>4365</v>
      </c>
      <c r="B3708" t="s">
        <v>1164</v>
      </c>
      <c r="C3708" s="34" t="s">
        <v>1992</v>
      </c>
      <c r="F3708" t="s">
        <v>1992</v>
      </c>
      <c r="H3708">
        <v>5</v>
      </c>
      <c r="I3708">
        <f>VLOOKUP(B3708,BRAND!B:D,3,FALSE)</f>
        <v>3</v>
      </c>
      <c r="J3708">
        <v>3</v>
      </c>
      <c r="K3708" t="s">
        <v>821</v>
      </c>
      <c r="L3708">
        <v>0</v>
      </c>
      <c r="M3708">
        <v>0</v>
      </c>
    </row>
    <row r="3709" spans="1:13">
      <c r="A3709" t="s">
        <v>3291</v>
      </c>
      <c r="B3709" t="s">
        <v>844</v>
      </c>
      <c r="C3709" s="34" t="s">
        <v>786</v>
      </c>
      <c r="F3709" t="s">
        <v>786</v>
      </c>
      <c r="H3709">
        <v>5</v>
      </c>
      <c r="I3709">
        <f>VLOOKUP(B3709,BRAND!B:D,3,FALSE)</f>
        <v>3</v>
      </c>
      <c r="J3709">
        <v>3</v>
      </c>
      <c r="K3709" t="s">
        <v>821</v>
      </c>
      <c r="L3709">
        <v>0</v>
      </c>
      <c r="M3709">
        <v>0</v>
      </c>
    </row>
    <row r="3710" spans="1:13">
      <c r="A3710" t="s">
        <v>8334</v>
      </c>
      <c r="B3710" t="s">
        <v>8332</v>
      </c>
      <c r="C3710" s="34" t="s">
        <v>8335</v>
      </c>
      <c r="F3710" t="s">
        <v>8335</v>
      </c>
      <c r="G3710" t="s">
        <v>6932</v>
      </c>
      <c r="H3710">
        <v>5</v>
      </c>
      <c r="I3710">
        <f>VLOOKUP(B3710,BRAND!B:D,3,FALSE)</f>
        <v>5.5</v>
      </c>
      <c r="J3710">
        <v>7</v>
      </c>
      <c r="M3710">
        <v>1</v>
      </c>
    </row>
    <row r="3711" spans="1:13">
      <c r="A3711" t="s">
        <v>8339</v>
      </c>
      <c r="B3711" t="s">
        <v>8332</v>
      </c>
      <c r="C3711" s="34" t="s">
        <v>908</v>
      </c>
      <c r="F3711" t="s">
        <v>908</v>
      </c>
      <c r="G3711" t="s">
        <v>6932</v>
      </c>
      <c r="H3711">
        <v>5</v>
      </c>
      <c r="I3711">
        <f>VLOOKUP(B3711,BRAND!B:D,3,FALSE)</f>
        <v>5.5</v>
      </c>
      <c r="J3711">
        <v>7</v>
      </c>
      <c r="M3711">
        <v>1</v>
      </c>
    </row>
    <row r="3712" spans="1:13">
      <c r="A3712" t="s">
        <v>8333</v>
      </c>
      <c r="B3712" t="s">
        <v>8332</v>
      </c>
      <c r="C3712" s="34" t="s">
        <v>535</v>
      </c>
      <c r="F3712" t="s">
        <v>535</v>
      </c>
      <c r="G3712" t="s">
        <v>6932</v>
      </c>
      <c r="H3712">
        <v>5</v>
      </c>
      <c r="I3712">
        <f>VLOOKUP(B3712,BRAND!B:D,3,FALSE)</f>
        <v>5.5</v>
      </c>
      <c r="J3712">
        <v>6</v>
      </c>
      <c r="M3712">
        <v>1</v>
      </c>
    </row>
    <row r="3713" spans="1:13">
      <c r="A3713" t="s">
        <v>8340</v>
      </c>
      <c r="B3713" t="s">
        <v>8332</v>
      </c>
      <c r="C3713" s="34" t="s">
        <v>751</v>
      </c>
      <c r="F3713" t="s">
        <v>751</v>
      </c>
      <c r="G3713" t="s">
        <v>6932</v>
      </c>
      <c r="H3713">
        <v>5</v>
      </c>
      <c r="I3713">
        <f>VLOOKUP(B3713,BRAND!B:D,3,FALSE)</f>
        <v>5.5</v>
      </c>
      <c r="J3713">
        <v>5</v>
      </c>
      <c r="M3713">
        <v>1</v>
      </c>
    </row>
    <row r="3714" spans="1:13">
      <c r="A3714" t="s">
        <v>8341</v>
      </c>
      <c r="B3714" t="s">
        <v>8332</v>
      </c>
      <c r="C3714" s="34" t="s">
        <v>536</v>
      </c>
      <c r="F3714" t="s">
        <v>536</v>
      </c>
      <c r="G3714" t="s">
        <v>6932</v>
      </c>
      <c r="H3714">
        <v>5</v>
      </c>
      <c r="I3714">
        <f>VLOOKUP(B3714,BRAND!B:D,3,FALSE)</f>
        <v>5.5</v>
      </c>
      <c r="J3714">
        <v>5</v>
      </c>
      <c r="M3714">
        <v>1</v>
      </c>
    </row>
    <row r="3715" spans="1:13">
      <c r="A3715" t="s">
        <v>8331</v>
      </c>
      <c r="B3715" t="s">
        <v>8332</v>
      </c>
      <c r="C3715" s="34" t="s">
        <v>842</v>
      </c>
      <c r="F3715" t="s">
        <v>842</v>
      </c>
      <c r="G3715" t="s">
        <v>6932</v>
      </c>
      <c r="H3715">
        <v>5</v>
      </c>
      <c r="I3715">
        <f>VLOOKUP(B3715,BRAND!B:D,3,FALSE)</f>
        <v>5.5</v>
      </c>
      <c r="J3715">
        <v>5</v>
      </c>
      <c r="M3715">
        <v>1</v>
      </c>
    </row>
    <row r="3716" spans="1:13">
      <c r="A3716" t="s">
        <v>8336</v>
      </c>
      <c r="B3716" t="s">
        <v>8332</v>
      </c>
      <c r="C3716" s="34" t="s">
        <v>8337</v>
      </c>
      <c r="F3716" t="s">
        <v>8337</v>
      </c>
      <c r="G3716" t="s">
        <v>6932</v>
      </c>
      <c r="H3716">
        <v>5</v>
      </c>
      <c r="I3716">
        <f>VLOOKUP(B3716,BRAND!B:D,3,FALSE)</f>
        <v>5.5</v>
      </c>
      <c r="J3716">
        <v>5</v>
      </c>
      <c r="M3716">
        <v>1</v>
      </c>
    </row>
    <row r="3717" spans="1:13">
      <c r="A3717" t="s">
        <v>8338</v>
      </c>
      <c r="B3717" t="s">
        <v>8332</v>
      </c>
      <c r="C3717" s="34" t="s">
        <v>763</v>
      </c>
      <c r="F3717" t="s">
        <v>763</v>
      </c>
      <c r="G3717" t="s">
        <v>6932</v>
      </c>
      <c r="H3717">
        <v>5</v>
      </c>
      <c r="I3717">
        <f>VLOOKUP(B3717,BRAND!B:D,3,FALSE)</f>
        <v>5.5</v>
      </c>
      <c r="J3717">
        <v>5</v>
      </c>
      <c r="M3717">
        <v>1</v>
      </c>
    </row>
    <row r="3718" spans="1:13">
      <c r="A3718" t="s">
        <v>8342</v>
      </c>
      <c r="B3718" t="s">
        <v>8343</v>
      </c>
      <c r="C3718" s="34" t="s">
        <v>1438</v>
      </c>
      <c r="F3718" t="s">
        <v>1438</v>
      </c>
      <c r="G3718" t="s">
        <v>6932</v>
      </c>
      <c r="H3718">
        <v>5</v>
      </c>
      <c r="I3718">
        <f>VLOOKUP(B3718,BRAND!B:D,3,FALSE)</f>
        <v>5.5</v>
      </c>
      <c r="J3718">
        <v>4</v>
      </c>
      <c r="M3718">
        <v>1</v>
      </c>
    </row>
    <row r="3719" spans="1:13">
      <c r="A3719" t="s">
        <v>4374</v>
      </c>
      <c r="B3719" t="s">
        <v>1165</v>
      </c>
      <c r="C3719" s="34" t="s">
        <v>786</v>
      </c>
      <c r="F3719" t="s">
        <v>786</v>
      </c>
      <c r="H3719">
        <v>5</v>
      </c>
      <c r="I3719">
        <f>VLOOKUP(B3719,BRAND!B:D,3,FALSE)</f>
        <v>3</v>
      </c>
      <c r="J3719">
        <v>3</v>
      </c>
      <c r="K3719" t="s">
        <v>821</v>
      </c>
      <c r="L3719">
        <v>0</v>
      </c>
      <c r="M3719">
        <v>0</v>
      </c>
    </row>
    <row r="3720" spans="1:13">
      <c r="A3720" t="s">
        <v>2738</v>
      </c>
      <c r="B3720" t="s">
        <v>1165</v>
      </c>
      <c r="C3720" s="34" t="s">
        <v>1438</v>
      </c>
      <c r="F3720" t="s">
        <v>1438</v>
      </c>
      <c r="H3720">
        <v>15</v>
      </c>
      <c r="I3720">
        <f>VLOOKUP(B3720,BRAND!B:D,3,FALSE)</f>
        <v>3</v>
      </c>
      <c r="J3720">
        <v>4</v>
      </c>
      <c r="K3720" t="s">
        <v>821</v>
      </c>
      <c r="L3720">
        <v>0</v>
      </c>
      <c r="M3720">
        <v>0</v>
      </c>
    </row>
    <row r="3721" spans="1:13">
      <c r="A3721" t="s">
        <v>2218</v>
      </c>
      <c r="B3721" t="s">
        <v>660</v>
      </c>
      <c r="C3721" s="34" t="s">
        <v>799</v>
      </c>
      <c r="F3721" t="s">
        <v>799</v>
      </c>
      <c r="H3721">
        <v>5</v>
      </c>
      <c r="I3721" t="e">
        <f>VLOOKUP(B3721,BRAND!B:D,3,FALSE)</f>
        <v>#N/A</v>
      </c>
      <c r="J3721">
        <v>5</v>
      </c>
      <c r="K3721" t="s">
        <v>821</v>
      </c>
      <c r="M3721">
        <v>1</v>
      </c>
    </row>
    <row r="3722" spans="1:13">
      <c r="A3722" t="s">
        <v>3543</v>
      </c>
      <c r="B3722" t="s">
        <v>1044</v>
      </c>
      <c r="C3722" s="34" t="s">
        <v>799</v>
      </c>
      <c r="F3722" t="s">
        <v>799</v>
      </c>
      <c r="H3722">
        <v>5</v>
      </c>
      <c r="I3722">
        <f>VLOOKUP(B3722,BRAND!B:D,3,FALSE)</f>
        <v>3</v>
      </c>
      <c r="J3722">
        <v>5</v>
      </c>
      <c r="K3722" t="s">
        <v>821</v>
      </c>
      <c r="L3722">
        <v>0</v>
      </c>
      <c r="M3722">
        <v>0</v>
      </c>
    </row>
    <row r="3723" spans="1:13">
      <c r="A3723" t="s">
        <v>12603</v>
      </c>
      <c r="B3723" t="s">
        <v>12035</v>
      </c>
      <c r="C3723" s="34" t="s">
        <v>561</v>
      </c>
      <c r="F3723" t="s">
        <v>561</v>
      </c>
      <c r="G3723" t="s">
        <v>6932</v>
      </c>
      <c r="H3723">
        <v>5</v>
      </c>
    </row>
    <row r="3724" spans="1:13">
      <c r="A3724" t="s">
        <v>12604</v>
      </c>
      <c r="B3724" t="s">
        <v>12036</v>
      </c>
      <c r="C3724" s="34" t="s">
        <v>12605</v>
      </c>
      <c r="F3724" t="s">
        <v>12605</v>
      </c>
      <c r="G3724" t="s">
        <v>6932</v>
      </c>
      <c r="H3724">
        <v>5</v>
      </c>
    </row>
    <row r="3725" spans="1:13">
      <c r="A3725" t="s">
        <v>2078</v>
      </c>
      <c r="B3725" t="s">
        <v>85</v>
      </c>
      <c r="C3725" s="34" t="s">
        <v>772</v>
      </c>
      <c r="F3725" t="s">
        <v>772</v>
      </c>
      <c r="H3725">
        <v>5</v>
      </c>
      <c r="I3725">
        <f>VLOOKUP(B3725,BRAND!B:D,3,FALSE)</f>
        <v>3</v>
      </c>
      <c r="J3725">
        <v>6</v>
      </c>
      <c r="K3725" t="s">
        <v>821</v>
      </c>
      <c r="L3725">
        <v>0</v>
      </c>
      <c r="M3725">
        <v>0</v>
      </c>
    </row>
    <row r="3726" spans="1:13">
      <c r="A3726" t="s">
        <v>2594</v>
      </c>
      <c r="B3726" t="s">
        <v>85</v>
      </c>
      <c r="C3726" s="34" t="s">
        <v>1438</v>
      </c>
      <c r="F3726" t="s">
        <v>1438</v>
      </c>
      <c r="H3726">
        <v>15</v>
      </c>
      <c r="I3726">
        <f>VLOOKUP(B3726,BRAND!B:D,3,FALSE)</f>
        <v>3</v>
      </c>
      <c r="J3726">
        <v>4</v>
      </c>
      <c r="K3726" t="s">
        <v>821</v>
      </c>
      <c r="M3726">
        <v>1</v>
      </c>
    </row>
    <row r="3727" spans="1:13">
      <c r="A3727" t="s">
        <v>3850</v>
      </c>
      <c r="B3727" t="s">
        <v>1274</v>
      </c>
      <c r="C3727" s="34" t="s">
        <v>776</v>
      </c>
      <c r="F3727" t="s">
        <v>776</v>
      </c>
      <c r="H3727">
        <v>5</v>
      </c>
      <c r="I3727" t="e">
        <f>VLOOKUP(B3727,BRAND!B:D,3,FALSE)</f>
        <v>#N/A</v>
      </c>
      <c r="J3727">
        <v>5</v>
      </c>
      <c r="K3727" t="e">
        <v>#N/A</v>
      </c>
      <c r="L3727">
        <v>0</v>
      </c>
      <c r="M3727">
        <v>0</v>
      </c>
    </row>
    <row r="3728" spans="1:13">
      <c r="A3728" t="s">
        <v>4383</v>
      </c>
      <c r="B3728" t="s">
        <v>1928</v>
      </c>
      <c r="C3728" s="34" t="s">
        <v>1470</v>
      </c>
      <c r="F3728" t="s">
        <v>1470</v>
      </c>
      <c r="H3728">
        <v>4</v>
      </c>
      <c r="I3728">
        <f>VLOOKUP(B3728,BRAND!B:D,3,FALSE)</f>
        <v>11</v>
      </c>
      <c r="J3728">
        <f>LEN(F3728)</f>
        <v>12</v>
      </c>
      <c r="K3728" t="s">
        <v>822</v>
      </c>
      <c r="M3728">
        <v>1</v>
      </c>
    </row>
    <row r="3729" spans="1:13">
      <c r="A3729" t="s">
        <v>4441</v>
      </c>
      <c r="B3729" t="s">
        <v>1928</v>
      </c>
      <c r="C3729" s="34" t="s">
        <v>1467</v>
      </c>
      <c r="F3729" t="s">
        <v>1467</v>
      </c>
      <c r="H3729">
        <v>4</v>
      </c>
      <c r="I3729">
        <f>VLOOKUP(B3729,BRAND!B:D,3,FALSE)</f>
        <v>11</v>
      </c>
      <c r="J3729">
        <f>LEN(F3729)</f>
        <v>12</v>
      </c>
      <c r="K3729" t="s">
        <v>822</v>
      </c>
      <c r="M3729">
        <v>1</v>
      </c>
    </row>
    <row r="3730" spans="1:13">
      <c r="A3730" t="s">
        <v>10581</v>
      </c>
      <c r="B3730" t="s">
        <v>1928</v>
      </c>
      <c r="C3730" s="34" t="s">
        <v>1472</v>
      </c>
      <c r="F3730" t="s">
        <v>1472</v>
      </c>
      <c r="G3730" t="s">
        <v>802</v>
      </c>
      <c r="H3730">
        <v>5</v>
      </c>
      <c r="I3730">
        <f>VLOOKUP(B3730,BRAND!B:D,3,FALSE)</f>
        <v>11</v>
      </c>
      <c r="J3730">
        <f>LEN(F3730)</f>
        <v>11</v>
      </c>
      <c r="L3730">
        <v>0</v>
      </c>
    </row>
    <row r="3731" spans="1:13">
      <c r="A3731" t="s">
        <v>4691</v>
      </c>
      <c r="B3731" t="s">
        <v>1928</v>
      </c>
      <c r="C3731" s="34" t="s">
        <v>1476</v>
      </c>
      <c r="F3731" t="s">
        <v>1476</v>
      </c>
      <c r="H3731">
        <v>5</v>
      </c>
      <c r="I3731">
        <f>VLOOKUP(B3731,BRAND!B:D,3,FALSE)</f>
        <v>11</v>
      </c>
      <c r="J3731">
        <f>LEN(F3731)</f>
        <v>11</v>
      </c>
      <c r="K3731" t="s">
        <v>822</v>
      </c>
      <c r="M3731">
        <v>1</v>
      </c>
    </row>
    <row r="3732" spans="1:13">
      <c r="A3732" t="s">
        <v>10623</v>
      </c>
      <c r="B3732" t="s">
        <v>1928</v>
      </c>
      <c r="C3732" s="34" t="s">
        <v>994</v>
      </c>
      <c r="F3732" t="s">
        <v>994</v>
      </c>
      <c r="G3732" t="s">
        <v>6932</v>
      </c>
      <c r="H3732">
        <v>5</v>
      </c>
      <c r="I3732">
        <f>VLOOKUP(B3732,BRAND!B:D,3,FALSE)</f>
        <v>11</v>
      </c>
      <c r="J3732">
        <f>LEN(F3732)</f>
        <v>10</v>
      </c>
      <c r="L3732">
        <v>0</v>
      </c>
    </row>
    <row r="3733" spans="1:13">
      <c r="A3733" t="s">
        <v>4629</v>
      </c>
      <c r="B3733" t="s">
        <v>1928</v>
      </c>
      <c r="C3733" s="34" t="s">
        <v>769</v>
      </c>
      <c r="F3733" t="s">
        <v>769</v>
      </c>
      <c r="H3733">
        <v>5</v>
      </c>
      <c r="I3733">
        <f>VLOOKUP(B3733,BRAND!B:D,3,FALSE)</f>
        <v>11</v>
      </c>
      <c r="J3733">
        <v>8</v>
      </c>
      <c r="K3733" t="s">
        <v>822</v>
      </c>
      <c r="M3733">
        <v>1</v>
      </c>
    </row>
    <row r="3734" spans="1:13">
      <c r="A3734" t="s">
        <v>4312</v>
      </c>
      <c r="B3734" t="s">
        <v>1928</v>
      </c>
      <c r="C3734" s="34" t="s">
        <v>995</v>
      </c>
      <c r="F3734" t="s">
        <v>995</v>
      </c>
      <c r="H3734">
        <v>5</v>
      </c>
      <c r="I3734">
        <f>VLOOKUP(B3734,BRAND!B:D,3,FALSE)</f>
        <v>11</v>
      </c>
      <c r="J3734">
        <v>6</v>
      </c>
      <c r="K3734" t="s">
        <v>822</v>
      </c>
      <c r="M3734">
        <v>1</v>
      </c>
    </row>
    <row r="3735" spans="1:13">
      <c r="A3735" t="s">
        <v>4171</v>
      </c>
      <c r="B3735" t="s">
        <v>1928</v>
      </c>
      <c r="C3735" s="34" t="s">
        <v>1513</v>
      </c>
      <c r="F3735" t="s">
        <v>1513</v>
      </c>
      <c r="H3735">
        <v>5</v>
      </c>
      <c r="I3735">
        <f>VLOOKUP(B3735,BRAND!B:D,3,FALSE)</f>
        <v>11</v>
      </c>
      <c r="J3735">
        <v>5</v>
      </c>
      <c r="K3735" t="s">
        <v>822</v>
      </c>
      <c r="M3735">
        <v>1</v>
      </c>
    </row>
    <row r="3736" spans="1:13">
      <c r="A3736" t="s">
        <v>4673</v>
      </c>
      <c r="B3736" t="s">
        <v>1928</v>
      </c>
      <c r="C3736" s="34" t="s">
        <v>776</v>
      </c>
      <c r="F3736" t="s">
        <v>776</v>
      </c>
      <c r="H3736">
        <v>5</v>
      </c>
      <c r="I3736">
        <f>VLOOKUP(B3736,BRAND!B:D,3,FALSE)</f>
        <v>11</v>
      </c>
      <c r="J3736">
        <v>5</v>
      </c>
      <c r="K3736" t="s">
        <v>822</v>
      </c>
      <c r="M3736">
        <v>1</v>
      </c>
    </row>
    <row r="3737" spans="1:13">
      <c r="A3737" t="s">
        <v>4673</v>
      </c>
      <c r="B3737" t="s">
        <v>1928</v>
      </c>
      <c r="C3737" s="34" t="s">
        <v>776</v>
      </c>
      <c r="F3737" t="s">
        <v>776</v>
      </c>
      <c r="H3737">
        <v>5</v>
      </c>
      <c r="I3737">
        <f>VLOOKUP(B3737,BRAND!B:D,3,FALSE)</f>
        <v>11</v>
      </c>
      <c r="J3737">
        <v>5</v>
      </c>
      <c r="K3737" t="s">
        <v>822</v>
      </c>
      <c r="M3737">
        <v>1</v>
      </c>
    </row>
    <row r="3738" spans="1:13">
      <c r="A3738" t="s">
        <v>10624</v>
      </c>
      <c r="B3738" t="s">
        <v>1928</v>
      </c>
      <c r="C3738" s="34" t="s">
        <v>1438</v>
      </c>
      <c r="F3738" t="s">
        <v>1438</v>
      </c>
      <c r="G3738" t="s">
        <v>6932</v>
      </c>
      <c r="H3738">
        <v>5</v>
      </c>
      <c r="I3738">
        <f>VLOOKUP(B3738,BRAND!B:D,3,FALSE)</f>
        <v>11</v>
      </c>
      <c r="J3738">
        <f>LEN(F3738)</f>
        <v>4</v>
      </c>
      <c r="L3738">
        <v>0</v>
      </c>
    </row>
    <row r="3739" spans="1:13">
      <c r="A3739" t="s">
        <v>4846</v>
      </c>
      <c r="B3739" t="s">
        <v>1928</v>
      </c>
      <c r="C3739" s="34" t="s">
        <v>876</v>
      </c>
      <c r="F3739" t="s">
        <v>876</v>
      </c>
      <c r="H3739">
        <v>5</v>
      </c>
      <c r="I3739">
        <f>VLOOKUP(B3739,BRAND!B:D,3,FALSE)</f>
        <v>11</v>
      </c>
      <c r="J3739">
        <v>4</v>
      </c>
      <c r="K3739" t="s">
        <v>822</v>
      </c>
      <c r="M3739">
        <v>1</v>
      </c>
    </row>
    <row r="3740" spans="1:13">
      <c r="A3740" t="s">
        <v>4206</v>
      </c>
      <c r="B3740" t="s">
        <v>1928</v>
      </c>
      <c r="C3740" s="34" t="s">
        <v>1515</v>
      </c>
      <c r="F3740" t="s">
        <v>1515</v>
      </c>
      <c r="H3740">
        <v>5</v>
      </c>
      <c r="I3740">
        <f>VLOOKUP(B3740,BRAND!B:D,3,FALSE)</f>
        <v>11</v>
      </c>
      <c r="J3740">
        <v>4</v>
      </c>
      <c r="K3740" t="s">
        <v>822</v>
      </c>
      <c r="M3740">
        <v>1</v>
      </c>
    </row>
    <row r="3741" spans="1:13">
      <c r="A3741" t="s">
        <v>4443</v>
      </c>
      <c r="B3741" t="s">
        <v>1928</v>
      </c>
      <c r="C3741" s="34" t="s">
        <v>897</v>
      </c>
      <c r="F3741" t="s">
        <v>897</v>
      </c>
      <c r="H3741">
        <v>5</v>
      </c>
      <c r="I3741">
        <f>VLOOKUP(B3741,BRAND!B:D,3,FALSE)</f>
        <v>11</v>
      </c>
      <c r="J3741">
        <v>4</v>
      </c>
      <c r="K3741" t="s">
        <v>822</v>
      </c>
      <c r="M3741">
        <v>1</v>
      </c>
    </row>
    <row r="3742" spans="1:13">
      <c r="A3742" t="s">
        <v>4472</v>
      </c>
      <c r="B3742" t="s">
        <v>1928</v>
      </c>
      <c r="C3742" s="34" t="s">
        <v>775</v>
      </c>
      <c r="F3742" t="s">
        <v>775</v>
      </c>
      <c r="H3742">
        <v>5</v>
      </c>
      <c r="I3742">
        <f>VLOOKUP(B3742,BRAND!B:D,3,FALSE)</f>
        <v>11</v>
      </c>
      <c r="J3742">
        <v>3</v>
      </c>
      <c r="K3742" t="s">
        <v>822</v>
      </c>
      <c r="M3742">
        <v>1</v>
      </c>
    </row>
    <row r="3743" spans="1:13">
      <c r="A3743" t="s">
        <v>5037</v>
      </c>
      <c r="B3743" t="s">
        <v>1928</v>
      </c>
      <c r="C3743" s="34" t="s">
        <v>1438</v>
      </c>
      <c r="F3743" t="s">
        <v>1438</v>
      </c>
      <c r="G3743" t="s">
        <v>801</v>
      </c>
      <c r="H3743">
        <v>6</v>
      </c>
      <c r="I3743">
        <f>VLOOKUP(B3743,BRAND!B:D,3,FALSE)</f>
        <v>11</v>
      </c>
      <c r="J3743">
        <v>4</v>
      </c>
      <c r="K3743" t="s">
        <v>822</v>
      </c>
      <c r="M3743">
        <v>1</v>
      </c>
    </row>
    <row r="3744" spans="1:13">
      <c r="A3744" t="s">
        <v>4520</v>
      </c>
      <c r="B3744" t="s">
        <v>1928</v>
      </c>
      <c r="C3744" s="34" t="s">
        <v>1438</v>
      </c>
      <c r="F3744" t="s">
        <v>1438</v>
      </c>
      <c r="H3744">
        <v>15</v>
      </c>
      <c r="I3744">
        <f>VLOOKUP(B3744,BRAND!B:D,3,FALSE)</f>
        <v>11</v>
      </c>
      <c r="J3744">
        <v>4</v>
      </c>
      <c r="K3744" t="s">
        <v>822</v>
      </c>
      <c r="M3744">
        <v>1</v>
      </c>
    </row>
    <row r="3745" spans="1:13">
      <c r="A3745" t="s">
        <v>13404</v>
      </c>
      <c r="B3745" t="s">
        <v>12062</v>
      </c>
      <c r="C3745" s="34" t="s">
        <v>1438</v>
      </c>
      <c r="F3745" t="s">
        <v>1438</v>
      </c>
      <c r="G3745" t="s">
        <v>6932</v>
      </c>
      <c r="H3745">
        <v>5</v>
      </c>
    </row>
    <row r="3746" spans="1:13">
      <c r="A3746" t="s">
        <v>13410</v>
      </c>
      <c r="B3746" t="s">
        <v>12062</v>
      </c>
      <c r="C3746" s="34" t="s">
        <v>819</v>
      </c>
      <c r="F3746" t="s">
        <v>13411</v>
      </c>
      <c r="G3746" t="s">
        <v>6932</v>
      </c>
      <c r="H3746">
        <v>5</v>
      </c>
    </row>
    <row r="3747" spans="1:13">
      <c r="A3747" t="s">
        <v>13414</v>
      </c>
      <c r="B3747" t="s">
        <v>12062</v>
      </c>
      <c r="C3747" s="34" t="s">
        <v>10745</v>
      </c>
      <c r="F3747" t="s">
        <v>10745</v>
      </c>
      <c r="G3747" t="s">
        <v>6932</v>
      </c>
      <c r="H3747">
        <v>5</v>
      </c>
    </row>
    <row r="3748" spans="1:13">
      <c r="A3748" t="s">
        <v>13415</v>
      </c>
      <c r="B3748" t="s">
        <v>12062</v>
      </c>
      <c r="C3748" s="34" t="s">
        <v>742</v>
      </c>
      <c r="F3748" t="s">
        <v>742</v>
      </c>
      <c r="G3748" t="s">
        <v>6932</v>
      </c>
      <c r="H3748">
        <v>5</v>
      </c>
    </row>
    <row r="3749" spans="1:13">
      <c r="A3749" t="s">
        <v>4418</v>
      </c>
      <c r="B3749" t="s">
        <v>1022</v>
      </c>
      <c r="C3749" s="34" t="s">
        <v>850</v>
      </c>
      <c r="F3749" t="s">
        <v>850</v>
      </c>
      <c r="H3749">
        <v>5</v>
      </c>
      <c r="I3749">
        <f>VLOOKUP(B3749,BRAND!B:D,3,FALSE)</f>
        <v>3</v>
      </c>
      <c r="J3749">
        <v>5</v>
      </c>
      <c r="K3749" t="s">
        <v>822</v>
      </c>
      <c r="L3749">
        <v>0</v>
      </c>
      <c r="M3749">
        <v>0</v>
      </c>
    </row>
    <row r="3750" spans="1:13">
      <c r="A3750" t="s">
        <v>4687</v>
      </c>
      <c r="B3750" t="s">
        <v>1022</v>
      </c>
      <c r="C3750" s="34" t="s">
        <v>1979</v>
      </c>
      <c r="F3750" t="s">
        <v>1979</v>
      </c>
      <c r="H3750">
        <v>5</v>
      </c>
      <c r="I3750">
        <f>VLOOKUP(B3750,BRAND!B:D,3,FALSE)</f>
        <v>3</v>
      </c>
      <c r="J3750">
        <v>5</v>
      </c>
      <c r="K3750" t="s">
        <v>822</v>
      </c>
      <c r="L3750">
        <v>0</v>
      </c>
      <c r="M3750">
        <v>0</v>
      </c>
    </row>
    <row r="3751" spans="1:13">
      <c r="A3751" t="s">
        <v>4436</v>
      </c>
      <c r="B3751" t="s">
        <v>1022</v>
      </c>
      <c r="C3751" s="34" t="s">
        <v>1513</v>
      </c>
      <c r="F3751" t="s">
        <v>1513</v>
      </c>
      <c r="H3751">
        <v>5</v>
      </c>
      <c r="I3751">
        <f>VLOOKUP(B3751,BRAND!B:D,3,FALSE)</f>
        <v>3</v>
      </c>
      <c r="J3751">
        <v>5</v>
      </c>
      <c r="K3751" t="s">
        <v>822</v>
      </c>
      <c r="L3751">
        <v>0</v>
      </c>
      <c r="M3751">
        <v>0</v>
      </c>
    </row>
    <row r="3752" spans="1:13">
      <c r="A3752" t="s">
        <v>4211</v>
      </c>
      <c r="B3752" t="s">
        <v>1022</v>
      </c>
      <c r="C3752" s="34" t="s">
        <v>775</v>
      </c>
      <c r="F3752" t="s">
        <v>775</v>
      </c>
      <c r="H3752">
        <v>5</v>
      </c>
      <c r="I3752">
        <f>VLOOKUP(B3752,BRAND!B:D,3,FALSE)</f>
        <v>3</v>
      </c>
      <c r="J3752">
        <v>3</v>
      </c>
      <c r="K3752" t="s">
        <v>822</v>
      </c>
      <c r="L3752">
        <v>0</v>
      </c>
      <c r="M3752">
        <v>0</v>
      </c>
    </row>
    <row r="3753" spans="1:13">
      <c r="A3753" t="s">
        <v>2259</v>
      </c>
      <c r="B3753" t="s">
        <v>1022</v>
      </c>
      <c r="C3753" s="34" t="s">
        <v>1438</v>
      </c>
      <c r="F3753" t="s">
        <v>1438</v>
      </c>
      <c r="H3753">
        <v>15</v>
      </c>
      <c r="I3753">
        <f>VLOOKUP(B3753,BRAND!B:D,3,FALSE)</f>
        <v>3</v>
      </c>
      <c r="J3753">
        <v>4</v>
      </c>
      <c r="K3753" t="s">
        <v>822</v>
      </c>
      <c r="L3753">
        <v>0</v>
      </c>
      <c r="M3753">
        <v>0</v>
      </c>
    </row>
    <row r="3754" spans="1:13">
      <c r="A3754" t="s">
        <v>3134</v>
      </c>
      <c r="B3754" t="s">
        <v>329</v>
      </c>
      <c r="C3754" s="34" t="s">
        <v>842</v>
      </c>
      <c r="F3754" t="s">
        <v>842</v>
      </c>
      <c r="H3754">
        <v>5</v>
      </c>
      <c r="I3754">
        <f>VLOOKUP(B3754,BRAND!B:D,3,FALSE)</f>
        <v>3</v>
      </c>
      <c r="J3754">
        <v>5</v>
      </c>
      <c r="K3754" t="s">
        <v>821</v>
      </c>
      <c r="M3754">
        <v>1</v>
      </c>
    </row>
    <row r="3755" spans="1:13">
      <c r="A3755" t="s">
        <v>9697</v>
      </c>
      <c r="B3755" t="s">
        <v>329</v>
      </c>
      <c r="C3755" s="34" t="s">
        <v>751</v>
      </c>
      <c r="H3755">
        <v>5</v>
      </c>
      <c r="I3755">
        <f>VLOOKUP(B3755,BRAND!B:D,3,FALSE)</f>
        <v>3</v>
      </c>
      <c r="J3755">
        <v>0</v>
      </c>
      <c r="M3755">
        <v>1</v>
      </c>
    </row>
    <row r="3756" spans="1:13">
      <c r="A3756" t="s">
        <v>3011</v>
      </c>
      <c r="B3756" t="s">
        <v>329</v>
      </c>
      <c r="C3756" s="34" t="s">
        <v>1438</v>
      </c>
      <c r="F3756" t="s">
        <v>1438</v>
      </c>
      <c r="H3756">
        <v>15</v>
      </c>
      <c r="I3756">
        <f>VLOOKUP(B3756,BRAND!B:D,3,FALSE)</f>
        <v>3</v>
      </c>
      <c r="J3756">
        <v>4</v>
      </c>
      <c r="K3756" t="s">
        <v>821</v>
      </c>
      <c r="L3756">
        <v>0</v>
      </c>
      <c r="M3756">
        <v>0</v>
      </c>
    </row>
    <row r="3757" spans="1:13">
      <c r="A3757" t="s">
        <v>3533</v>
      </c>
      <c r="B3757" t="s">
        <v>262</v>
      </c>
      <c r="C3757" s="34" t="s">
        <v>7130</v>
      </c>
      <c r="F3757" t="s">
        <v>794</v>
      </c>
      <c r="H3757">
        <v>5</v>
      </c>
      <c r="I3757">
        <f>VLOOKUP(B3757,BRAND!B:D,3,FALSE)</f>
        <v>3</v>
      </c>
      <c r="J3757">
        <f>LEN(F3757)</f>
        <v>10</v>
      </c>
      <c r="K3757" t="s">
        <v>821</v>
      </c>
      <c r="M3757">
        <v>1</v>
      </c>
    </row>
    <row r="3758" spans="1:13">
      <c r="A3758" t="s">
        <v>4572</v>
      </c>
      <c r="B3758" t="s">
        <v>262</v>
      </c>
      <c r="C3758" s="34" t="s">
        <v>793</v>
      </c>
      <c r="F3758" t="s">
        <v>793</v>
      </c>
      <c r="H3758">
        <v>5</v>
      </c>
      <c r="I3758">
        <f>VLOOKUP(B3758,BRAND!B:D,3,FALSE)</f>
        <v>3</v>
      </c>
      <c r="J3758">
        <v>9</v>
      </c>
      <c r="K3758" t="s">
        <v>821</v>
      </c>
      <c r="M3758">
        <v>1</v>
      </c>
    </row>
    <row r="3759" spans="1:13">
      <c r="A3759" t="s">
        <v>4191</v>
      </c>
      <c r="B3759" t="s">
        <v>262</v>
      </c>
      <c r="C3759" s="34" t="s">
        <v>904</v>
      </c>
      <c r="F3759" t="s">
        <v>904</v>
      </c>
      <c r="H3759">
        <v>5</v>
      </c>
      <c r="I3759">
        <f>VLOOKUP(B3759,BRAND!B:D,3,FALSE)</f>
        <v>3</v>
      </c>
      <c r="J3759">
        <v>8</v>
      </c>
      <c r="K3759" t="s">
        <v>821</v>
      </c>
      <c r="M3759">
        <v>1</v>
      </c>
    </row>
    <row r="3760" spans="1:13">
      <c r="A3760" t="s">
        <v>4034</v>
      </c>
      <c r="B3760" t="s">
        <v>262</v>
      </c>
      <c r="C3760" s="34" t="s">
        <v>7129</v>
      </c>
      <c r="F3760" t="s">
        <v>772</v>
      </c>
      <c r="H3760">
        <v>5</v>
      </c>
      <c r="I3760">
        <f>VLOOKUP(B3760,BRAND!B:D,3,FALSE)</f>
        <v>3</v>
      </c>
      <c r="J3760">
        <v>6</v>
      </c>
      <c r="K3760" t="s">
        <v>821</v>
      </c>
      <c r="M3760">
        <v>1</v>
      </c>
    </row>
    <row r="3761" spans="1:13">
      <c r="A3761" t="s">
        <v>3351</v>
      </c>
      <c r="B3761" t="s">
        <v>262</v>
      </c>
      <c r="C3761" s="34" t="s">
        <v>534</v>
      </c>
      <c r="F3761" t="s">
        <v>534</v>
      </c>
      <c r="H3761">
        <v>5</v>
      </c>
      <c r="I3761">
        <f>VLOOKUP(B3761,BRAND!B:D,3,FALSE)</f>
        <v>3</v>
      </c>
      <c r="J3761">
        <v>6</v>
      </c>
      <c r="K3761" t="s">
        <v>821</v>
      </c>
      <c r="M3761">
        <v>1</v>
      </c>
    </row>
    <row r="3762" spans="1:13">
      <c r="A3762" t="s">
        <v>4032</v>
      </c>
      <c r="B3762" t="s">
        <v>262</v>
      </c>
      <c r="C3762" s="34" t="s">
        <v>536</v>
      </c>
      <c r="F3762" t="s">
        <v>536</v>
      </c>
      <c r="H3762">
        <v>6</v>
      </c>
      <c r="I3762">
        <f>VLOOKUP(B3762,BRAND!B:D,3,FALSE)</f>
        <v>3</v>
      </c>
      <c r="J3762">
        <v>5</v>
      </c>
      <c r="K3762" t="s">
        <v>821</v>
      </c>
      <c r="M3762">
        <v>1</v>
      </c>
    </row>
    <row r="3763" spans="1:13">
      <c r="A3763" t="s">
        <v>3107</v>
      </c>
      <c r="B3763" t="s">
        <v>262</v>
      </c>
      <c r="C3763" s="34" t="s">
        <v>872</v>
      </c>
      <c r="F3763" t="s">
        <v>872</v>
      </c>
      <c r="H3763">
        <v>4</v>
      </c>
      <c r="I3763">
        <f>VLOOKUP(B3763,BRAND!B:D,3,FALSE)</f>
        <v>3</v>
      </c>
      <c r="J3763">
        <v>5</v>
      </c>
      <c r="K3763" t="s">
        <v>821</v>
      </c>
      <c r="M3763">
        <v>1</v>
      </c>
    </row>
    <row r="3764" spans="1:13">
      <c r="A3764" t="s">
        <v>3848</v>
      </c>
      <c r="B3764" t="s">
        <v>262</v>
      </c>
      <c r="C3764" s="34" t="s">
        <v>776</v>
      </c>
      <c r="F3764" t="s">
        <v>776</v>
      </c>
      <c r="H3764">
        <v>5</v>
      </c>
      <c r="I3764">
        <f>VLOOKUP(B3764,BRAND!B:D,3,FALSE)</f>
        <v>3</v>
      </c>
      <c r="J3764">
        <v>5</v>
      </c>
      <c r="K3764" t="s">
        <v>821</v>
      </c>
      <c r="M3764">
        <v>1</v>
      </c>
    </row>
    <row r="3765" spans="1:13">
      <c r="A3765" t="s">
        <v>4270</v>
      </c>
      <c r="B3765" t="s">
        <v>262</v>
      </c>
      <c r="C3765" s="34" t="s">
        <v>1992</v>
      </c>
      <c r="F3765" t="s">
        <v>1992</v>
      </c>
      <c r="H3765">
        <v>5</v>
      </c>
      <c r="I3765">
        <f>VLOOKUP(B3765,BRAND!B:D,3,FALSE)</f>
        <v>3</v>
      </c>
      <c r="J3765">
        <v>3</v>
      </c>
      <c r="K3765" t="s">
        <v>821</v>
      </c>
      <c r="L3765">
        <v>0</v>
      </c>
      <c r="M3765">
        <v>0</v>
      </c>
    </row>
    <row r="3766" spans="1:13">
      <c r="A3766" t="s">
        <v>2487</v>
      </c>
      <c r="B3766" t="s">
        <v>262</v>
      </c>
      <c r="C3766" s="34" t="s">
        <v>786</v>
      </c>
      <c r="F3766" t="s">
        <v>786</v>
      </c>
      <c r="H3766">
        <v>4</v>
      </c>
      <c r="I3766">
        <f>VLOOKUP(B3766,BRAND!B:D,3,FALSE)</f>
        <v>3</v>
      </c>
      <c r="J3766">
        <v>3</v>
      </c>
      <c r="K3766" t="s">
        <v>821</v>
      </c>
      <c r="L3766">
        <v>0</v>
      </c>
      <c r="M3766">
        <v>0</v>
      </c>
    </row>
    <row r="3767" spans="1:13">
      <c r="A3767" t="s">
        <v>4409</v>
      </c>
      <c r="B3767" t="s">
        <v>262</v>
      </c>
      <c r="C3767" s="34" t="s">
        <v>775</v>
      </c>
      <c r="F3767" t="s">
        <v>775</v>
      </c>
      <c r="H3767">
        <v>5</v>
      </c>
      <c r="I3767">
        <f>VLOOKUP(B3767,BRAND!B:D,3,FALSE)</f>
        <v>3</v>
      </c>
      <c r="J3767">
        <v>3</v>
      </c>
      <c r="K3767" t="s">
        <v>821</v>
      </c>
      <c r="L3767">
        <v>0</v>
      </c>
      <c r="M3767">
        <v>0</v>
      </c>
    </row>
    <row r="3768" spans="1:13">
      <c r="A3768" t="s">
        <v>9698</v>
      </c>
      <c r="B3768" t="s">
        <v>262</v>
      </c>
      <c r="C3768" s="34" t="s">
        <v>842</v>
      </c>
      <c r="H3768">
        <v>5</v>
      </c>
      <c r="I3768">
        <f>VLOOKUP(B3768,BRAND!B:D,3,FALSE)</f>
        <v>3</v>
      </c>
      <c r="J3768">
        <v>0</v>
      </c>
      <c r="M3768">
        <v>1</v>
      </c>
    </row>
    <row r="3769" spans="1:13">
      <c r="A3769" t="s">
        <v>9701</v>
      </c>
      <c r="B3769" t="s">
        <v>262</v>
      </c>
      <c r="C3769" s="34" t="s">
        <v>7324</v>
      </c>
      <c r="G3769" t="s">
        <v>6932</v>
      </c>
      <c r="H3769">
        <v>5</v>
      </c>
      <c r="I3769">
        <f>VLOOKUP(B3769,BRAND!B:D,3,FALSE)</f>
        <v>3</v>
      </c>
      <c r="J3769">
        <v>0</v>
      </c>
      <c r="M3769">
        <v>1</v>
      </c>
    </row>
    <row r="3770" spans="1:13">
      <c r="A3770" t="s">
        <v>9699</v>
      </c>
      <c r="B3770" t="s">
        <v>262</v>
      </c>
      <c r="C3770" s="34" t="s">
        <v>10025</v>
      </c>
      <c r="H3770">
        <v>5</v>
      </c>
      <c r="I3770">
        <f>VLOOKUP(B3770,BRAND!B:D,3,FALSE)</f>
        <v>3</v>
      </c>
      <c r="J3770">
        <v>0</v>
      </c>
      <c r="M3770">
        <v>1</v>
      </c>
    </row>
    <row r="3771" spans="1:13">
      <c r="A3771" t="s">
        <v>9700</v>
      </c>
      <c r="B3771" t="s">
        <v>262</v>
      </c>
      <c r="C3771" s="34" t="s">
        <v>536</v>
      </c>
      <c r="G3771" t="s">
        <v>801</v>
      </c>
      <c r="H3771">
        <v>5</v>
      </c>
      <c r="I3771">
        <f>VLOOKUP(B3771,BRAND!B:D,3,FALSE)</f>
        <v>3</v>
      </c>
      <c r="J3771">
        <v>0</v>
      </c>
      <c r="M3771">
        <v>1</v>
      </c>
    </row>
    <row r="3772" spans="1:13">
      <c r="A3772" t="s">
        <v>14896</v>
      </c>
      <c r="B3772" t="s">
        <v>262</v>
      </c>
      <c r="C3772" s="34" t="s">
        <v>10023</v>
      </c>
      <c r="F3772" t="s">
        <v>10023</v>
      </c>
      <c r="G3772" t="s">
        <v>6932</v>
      </c>
      <c r="H3772">
        <v>5</v>
      </c>
      <c r="I3772">
        <f>VLOOKUP(B3772,BRAND!B:D,3,FALSE)</f>
        <v>3</v>
      </c>
      <c r="J3772">
        <v>0</v>
      </c>
      <c r="K3772" t="s">
        <v>821</v>
      </c>
      <c r="L3772">
        <v>0</v>
      </c>
      <c r="M3772">
        <v>0</v>
      </c>
    </row>
    <row r="3773" spans="1:13">
      <c r="A3773" t="s">
        <v>14973</v>
      </c>
      <c r="B3773" t="s">
        <v>262</v>
      </c>
      <c r="C3773" s="34" t="s">
        <v>933</v>
      </c>
      <c r="F3773" t="s">
        <v>933</v>
      </c>
      <c r="G3773" t="s">
        <v>6932</v>
      </c>
      <c r="H3773">
        <v>5</v>
      </c>
      <c r="I3773">
        <f>VLOOKUP(B3773,BRAND!B:D,3,FALSE)</f>
        <v>3</v>
      </c>
      <c r="J3773">
        <v>0</v>
      </c>
      <c r="K3773" t="s">
        <v>821</v>
      </c>
      <c r="L3773">
        <v>0</v>
      </c>
      <c r="M3773">
        <v>0</v>
      </c>
    </row>
    <row r="3774" spans="1:13">
      <c r="A3774" t="s">
        <v>14974</v>
      </c>
      <c r="B3774" t="s">
        <v>262</v>
      </c>
      <c r="C3774" s="34" t="s">
        <v>15529</v>
      </c>
      <c r="F3774" t="s">
        <v>6629</v>
      </c>
      <c r="G3774" t="s">
        <v>6932</v>
      </c>
      <c r="H3774">
        <v>5</v>
      </c>
      <c r="I3774">
        <f>VLOOKUP(B3774,BRAND!B:D,3,FALSE)</f>
        <v>3</v>
      </c>
      <c r="J3774">
        <v>0</v>
      </c>
      <c r="K3774" t="s">
        <v>821</v>
      </c>
      <c r="L3774">
        <v>0</v>
      </c>
      <c r="M3774">
        <v>0</v>
      </c>
    </row>
    <row r="3775" spans="1:13">
      <c r="A3775" t="s">
        <v>7247</v>
      </c>
      <c r="B3775" t="s">
        <v>262</v>
      </c>
      <c r="C3775" s="34" t="s">
        <v>7248</v>
      </c>
      <c r="F3775" t="s">
        <v>7248</v>
      </c>
      <c r="H3775">
        <v>5</v>
      </c>
      <c r="I3775">
        <f>VLOOKUP(B3775,BRAND!B:D,3,FALSE)</f>
        <v>3</v>
      </c>
      <c r="L3775">
        <v>0</v>
      </c>
      <c r="M3775">
        <v>0</v>
      </c>
    </row>
    <row r="3776" spans="1:13">
      <c r="A3776" t="s">
        <v>4937</v>
      </c>
      <c r="B3776" t="s">
        <v>262</v>
      </c>
      <c r="C3776" s="34" t="s">
        <v>5235</v>
      </c>
      <c r="F3776" t="s">
        <v>1438</v>
      </c>
      <c r="G3776" t="s">
        <v>801</v>
      </c>
      <c r="H3776">
        <v>6</v>
      </c>
      <c r="I3776">
        <f>VLOOKUP(B3776,BRAND!B:D,3,FALSE)</f>
        <v>3</v>
      </c>
      <c r="J3776">
        <v>4</v>
      </c>
      <c r="K3776" t="s">
        <v>821</v>
      </c>
      <c r="L3776">
        <v>0</v>
      </c>
      <c r="M3776">
        <v>0</v>
      </c>
    </row>
    <row r="3777" spans="1:13">
      <c r="A3777" t="s">
        <v>2016</v>
      </c>
      <c r="B3777" t="s">
        <v>262</v>
      </c>
      <c r="C3777" s="34" t="s">
        <v>1438</v>
      </c>
      <c r="F3777" t="s">
        <v>1438</v>
      </c>
      <c r="H3777">
        <v>15</v>
      </c>
      <c r="I3777">
        <f>VLOOKUP(B3777,BRAND!B:D,3,FALSE)</f>
        <v>3</v>
      </c>
      <c r="J3777">
        <v>4</v>
      </c>
      <c r="K3777" t="s">
        <v>821</v>
      </c>
      <c r="L3777">
        <v>0</v>
      </c>
      <c r="M3777">
        <v>0</v>
      </c>
    </row>
    <row r="3778" spans="1:13">
      <c r="A3778" t="s">
        <v>3683</v>
      </c>
      <c r="B3778" t="s">
        <v>263</v>
      </c>
      <c r="C3778" s="34" t="s">
        <v>776</v>
      </c>
      <c r="F3778" t="s">
        <v>776</v>
      </c>
      <c r="H3778">
        <v>4</v>
      </c>
      <c r="I3778">
        <f>VLOOKUP(B3778,BRAND!B:D,3,FALSE)</f>
        <v>3</v>
      </c>
      <c r="J3778">
        <v>5</v>
      </c>
      <c r="K3778" t="s">
        <v>821</v>
      </c>
      <c r="M3778">
        <v>1</v>
      </c>
    </row>
    <row r="3779" spans="1:13">
      <c r="A3779" t="s">
        <v>3682</v>
      </c>
      <c r="B3779" t="s">
        <v>263</v>
      </c>
      <c r="C3779" s="34" t="s">
        <v>534</v>
      </c>
      <c r="F3779" t="s">
        <v>534</v>
      </c>
      <c r="H3779">
        <v>5</v>
      </c>
      <c r="I3779">
        <f>VLOOKUP(B3779,BRAND!B:D,3,FALSE)</f>
        <v>3</v>
      </c>
      <c r="J3779">
        <v>6</v>
      </c>
      <c r="K3779" t="s">
        <v>821</v>
      </c>
      <c r="M3779">
        <v>1</v>
      </c>
    </row>
    <row r="3780" spans="1:13">
      <c r="A3780" t="s">
        <v>4738</v>
      </c>
      <c r="B3780" t="s">
        <v>263</v>
      </c>
      <c r="C3780" s="34" t="s">
        <v>941</v>
      </c>
      <c r="F3780" t="s">
        <v>941</v>
      </c>
      <c r="H3780">
        <v>5</v>
      </c>
      <c r="I3780">
        <f>VLOOKUP(B3780,BRAND!B:D,3,FALSE)</f>
        <v>3</v>
      </c>
      <c r="J3780">
        <v>5</v>
      </c>
      <c r="K3780" t="s">
        <v>821</v>
      </c>
      <c r="L3780">
        <v>0</v>
      </c>
      <c r="M3780">
        <v>0</v>
      </c>
    </row>
    <row r="3781" spans="1:13">
      <c r="A3781" t="s">
        <v>3512</v>
      </c>
      <c r="B3781" t="s">
        <v>263</v>
      </c>
      <c r="C3781" s="34" t="s">
        <v>5232</v>
      </c>
      <c r="F3781" t="s">
        <v>536</v>
      </c>
      <c r="H3781">
        <v>5</v>
      </c>
      <c r="I3781">
        <f>VLOOKUP(B3781,BRAND!B:D,3,FALSE)</f>
        <v>3</v>
      </c>
      <c r="J3781">
        <v>5</v>
      </c>
      <c r="K3781" t="s">
        <v>821</v>
      </c>
      <c r="M3781">
        <v>1</v>
      </c>
    </row>
    <row r="3782" spans="1:13">
      <c r="A3782" t="s">
        <v>3151</v>
      </c>
      <c r="B3782" t="s">
        <v>263</v>
      </c>
      <c r="C3782" s="34" t="s">
        <v>786</v>
      </c>
      <c r="F3782" t="s">
        <v>786</v>
      </c>
      <c r="H3782">
        <v>5</v>
      </c>
      <c r="I3782">
        <f>VLOOKUP(B3782,BRAND!B:D,3,FALSE)</f>
        <v>3</v>
      </c>
      <c r="J3782">
        <v>3</v>
      </c>
      <c r="K3782" t="s">
        <v>821</v>
      </c>
      <c r="L3782">
        <v>0</v>
      </c>
      <c r="M3782">
        <v>0</v>
      </c>
    </row>
    <row r="3783" spans="1:13">
      <c r="A3783" t="s">
        <v>2007</v>
      </c>
      <c r="B3783" t="s">
        <v>263</v>
      </c>
      <c r="C3783" s="34" t="s">
        <v>1438</v>
      </c>
      <c r="H3783">
        <v>5</v>
      </c>
      <c r="I3783">
        <f>VLOOKUP(B3783,BRAND!B:D,3,FALSE)</f>
        <v>3</v>
      </c>
      <c r="J3783">
        <v>0</v>
      </c>
      <c r="M3783">
        <v>1</v>
      </c>
    </row>
    <row r="3784" spans="1:13">
      <c r="A3784" t="s">
        <v>9702</v>
      </c>
      <c r="B3784" t="s">
        <v>263</v>
      </c>
      <c r="C3784" s="34" t="s">
        <v>1979</v>
      </c>
      <c r="G3784" t="s">
        <v>6932</v>
      </c>
      <c r="H3784">
        <v>5</v>
      </c>
      <c r="I3784">
        <f>VLOOKUP(B3784,BRAND!B:D,3,FALSE)</f>
        <v>3</v>
      </c>
      <c r="J3784">
        <v>0</v>
      </c>
      <c r="M3784">
        <v>1</v>
      </c>
    </row>
    <row r="3785" spans="1:13">
      <c r="A3785" t="s">
        <v>9703</v>
      </c>
      <c r="B3785" t="s">
        <v>263</v>
      </c>
      <c r="C3785" s="34" t="s">
        <v>1985</v>
      </c>
      <c r="H3785">
        <v>5</v>
      </c>
      <c r="I3785">
        <f>VLOOKUP(B3785,BRAND!B:D,3,FALSE)</f>
        <v>3</v>
      </c>
      <c r="J3785">
        <v>0</v>
      </c>
      <c r="M3785">
        <v>1</v>
      </c>
    </row>
    <row r="3786" spans="1:13">
      <c r="A3786" t="s">
        <v>11734</v>
      </c>
      <c r="B3786" t="s">
        <v>368</v>
      </c>
      <c r="C3786" s="34" t="s">
        <v>11171</v>
      </c>
      <c r="F3786" t="s">
        <v>11171</v>
      </c>
      <c r="G3786" t="s">
        <v>6932</v>
      </c>
      <c r="H3786">
        <v>4</v>
      </c>
      <c r="I3786">
        <f>VLOOKUP(B3786,BRAND!B:D,3,FALSE)</f>
        <v>3</v>
      </c>
      <c r="J3786">
        <f t="shared" ref="J3786:J3796" si="41">LEN(F3786)</f>
        <v>10</v>
      </c>
      <c r="K3786" t="s">
        <v>821</v>
      </c>
      <c r="L3786">
        <v>0</v>
      </c>
      <c r="M3786">
        <v>1</v>
      </c>
    </row>
    <row r="3787" spans="1:13">
      <c r="A3787" t="s">
        <v>13758</v>
      </c>
      <c r="B3787" t="s">
        <v>368</v>
      </c>
      <c r="C3787" s="34" t="s">
        <v>6349</v>
      </c>
      <c r="F3787" t="s">
        <v>6349</v>
      </c>
      <c r="G3787" t="s">
        <v>6932</v>
      </c>
      <c r="H3787">
        <v>4</v>
      </c>
      <c r="I3787">
        <f>VLOOKUP(B3787,BRAND!B:D,3,FALSE)</f>
        <v>3</v>
      </c>
      <c r="J3787">
        <f t="shared" si="41"/>
        <v>10</v>
      </c>
      <c r="K3787" t="s">
        <v>821</v>
      </c>
      <c r="L3787">
        <v>0</v>
      </c>
      <c r="M3787">
        <v>1</v>
      </c>
    </row>
    <row r="3788" spans="1:13">
      <c r="A3788" t="s">
        <v>13759</v>
      </c>
      <c r="B3788" t="s">
        <v>368</v>
      </c>
      <c r="C3788" s="34" t="s">
        <v>742</v>
      </c>
      <c r="F3788" t="s">
        <v>13760</v>
      </c>
      <c r="G3788" t="s">
        <v>801</v>
      </c>
      <c r="H3788">
        <v>5</v>
      </c>
      <c r="I3788">
        <f>VLOOKUP(B3788,BRAND!B:D,3,FALSE)</f>
        <v>3</v>
      </c>
      <c r="J3788">
        <f t="shared" si="41"/>
        <v>19</v>
      </c>
      <c r="K3788" t="s">
        <v>821</v>
      </c>
      <c r="L3788">
        <v>0</v>
      </c>
      <c r="M3788">
        <v>1</v>
      </c>
    </row>
    <row r="3789" spans="1:13">
      <c r="A3789" t="s">
        <v>13765</v>
      </c>
      <c r="B3789" t="s">
        <v>368</v>
      </c>
      <c r="C3789" s="34" t="s">
        <v>13766</v>
      </c>
      <c r="F3789" t="s">
        <v>13766</v>
      </c>
      <c r="G3789" t="s">
        <v>801</v>
      </c>
      <c r="H3789">
        <v>5</v>
      </c>
      <c r="I3789">
        <f>VLOOKUP(B3789,BRAND!B:D,3,FALSE)</f>
        <v>3</v>
      </c>
      <c r="J3789">
        <f t="shared" si="41"/>
        <v>12</v>
      </c>
      <c r="K3789" t="s">
        <v>821</v>
      </c>
      <c r="L3789">
        <v>0</v>
      </c>
      <c r="M3789">
        <v>1</v>
      </c>
    </row>
    <row r="3790" spans="1:13">
      <c r="A3790" t="s">
        <v>11740</v>
      </c>
      <c r="B3790" t="s">
        <v>368</v>
      </c>
      <c r="C3790" s="34" t="s">
        <v>996</v>
      </c>
      <c r="F3790" t="s">
        <v>11175</v>
      </c>
      <c r="G3790" t="s">
        <v>6932</v>
      </c>
      <c r="H3790">
        <v>5</v>
      </c>
      <c r="I3790">
        <f>VLOOKUP(B3790,BRAND!B:D,3,FALSE)</f>
        <v>3</v>
      </c>
      <c r="J3790">
        <f t="shared" si="41"/>
        <v>10</v>
      </c>
      <c r="K3790" t="s">
        <v>821</v>
      </c>
      <c r="L3790">
        <v>0</v>
      </c>
      <c r="M3790">
        <v>1</v>
      </c>
    </row>
    <row r="3791" spans="1:13" ht="23.15" customHeight="1">
      <c r="A3791" t="s">
        <v>11734</v>
      </c>
      <c r="B3791" t="s">
        <v>368</v>
      </c>
      <c r="C3791" s="34" t="s">
        <v>11979</v>
      </c>
      <c r="F3791" t="s">
        <v>8348</v>
      </c>
      <c r="G3791" t="s">
        <v>6932</v>
      </c>
      <c r="H3791">
        <v>5</v>
      </c>
      <c r="I3791">
        <f>VLOOKUP(B3791,BRAND!B:D,3,FALSE)</f>
        <v>3</v>
      </c>
      <c r="J3791">
        <f t="shared" si="41"/>
        <v>10</v>
      </c>
      <c r="M3791">
        <v>1</v>
      </c>
    </row>
    <row r="3792" spans="1:13">
      <c r="A3792" t="s">
        <v>11539</v>
      </c>
      <c r="B3792" t="s">
        <v>368</v>
      </c>
      <c r="C3792" s="34" t="s">
        <v>794</v>
      </c>
      <c r="F3792" t="s">
        <v>794</v>
      </c>
      <c r="G3792" t="s">
        <v>6932</v>
      </c>
      <c r="H3792">
        <v>5</v>
      </c>
      <c r="I3792">
        <f>VLOOKUP(B3792,BRAND!B:D,3,FALSE)</f>
        <v>3</v>
      </c>
      <c r="J3792">
        <f t="shared" si="41"/>
        <v>10</v>
      </c>
      <c r="K3792" t="s">
        <v>821</v>
      </c>
      <c r="L3792">
        <v>0</v>
      </c>
      <c r="M3792">
        <v>1</v>
      </c>
    </row>
    <row r="3793" spans="1:13">
      <c r="A3793" t="s">
        <v>11738</v>
      </c>
      <c r="B3793" t="s">
        <v>368</v>
      </c>
      <c r="C3793" s="34" t="s">
        <v>11173</v>
      </c>
      <c r="F3793" t="s">
        <v>11173</v>
      </c>
      <c r="G3793" t="s">
        <v>6932</v>
      </c>
      <c r="H3793">
        <v>5</v>
      </c>
      <c r="I3793">
        <f>VLOOKUP(B3793,BRAND!B:D,3,FALSE)</f>
        <v>3</v>
      </c>
      <c r="J3793">
        <f t="shared" si="41"/>
        <v>9</v>
      </c>
      <c r="K3793" t="s">
        <v>821</v>
      </c>
      <c r="L3793">
        <v>0</v>
      </c>
      <c r="M3793">
        <v>1</v>
      </c>
    </row>
    <row r="3794" spans="1:13">
      <c r="A3794" t="s">
        <v>11735</v>
      </c>
      <c r="B3794" t="s">
        <v>368</v>
      </c>
      <c r="C3794" s="34" t="s">
        <v>795</v>
      </c>
      <c r="F3794" t="s">
        <v>795</v>
      </c>
      <c r="G3794" t="s">
        <v>6932</v>
      </c>
      <c r="H3794">
        <v>5</v>
      </c>
      <c r="I3794">
        <f>VLOOKUP(B3794,BRAND!B:D,3,FALSE)</f>
        <v>3</v>
      </c>
      <c r="J3794">
        <f t="shared" si="41"/>
        <v>9</v>
      </c>
      <c r="K3794" t="s">
        <v>821</v>
      </c>
      <c r="L3794">
        <v>0</v>
      </c>
      <c r="M3794">
        <v>1</v>
      </c>
    </row>
    <row r="3795" spans="1:13">
      <c r="A3795" t="s">
        <v>13767</v>
      </c>
      <c r="B3795" t="s">
        <v>368</v>
      </c>
      <c r="C3795" s="34" t="s">
        <v>13768</v>
      </c>
      <c r="F3795" t="s">
        <v>13768</v>
      </c>
      <c r="G3795" t="s">
        <v>801</v>
      </c>
      <c r="H3795">
        <v>5</v>
      </c>
      <c r="I3795">
        <f>VLOOKUP(B3795,BRAND!B:D,3,FALSE)</f>
        <v>3</v>
      </c>
      <c r="J3795">
        <f t="shared" si="41"/>
        <v>9</v>
      </c>
      <c r="K3795" t="s">
        <v>821</v>
      </c>
      <c r="L3795">
        <v>0</v>
      </c>
      <c r="M3795">
        <v>1</v>
      </c>
    </row>
    <row r="3796" spans="1:13">
      <c r="A3796" t="s">
        <v>13763</v>
      </c>
      <c r="B3796" t="s">
        <v>368</v>
      </c>
      <c r="C3796" s="34" t="s">
        <v>13764</v>
      </c>
      <c r="F3796" t="s">
        <v>13764</v>
      </c>
      <c r="G3796" t="s">
        <v>6932</v>
      </c>
      <c r="H3796">
        <v>5</v>
      </c>
      <c r="I3796">
        <f>VLOOKUP(B3796,BRAND!B:D,3,FALSE)</f>
        <v>3</v>
      </c>
      <c r="J3796">
        <f t="shared" si="41"/>
        <v>8</v>
      </c>
      <c r="K3796" t="s">
        <v>821</v>
      </c>
      <c r="L3796">
        <v>0</v>
      </c>
      <c r="M3796">
        <v>1</v>
      </c>
    </row>
    <row r="3797" spans="1:13">
      <c r="A3797" t="s">
        <v>8344</v>
      </c>
      <c r="B3797" t="s">
        <v>368</v>
      </c>
      <c r="C3797" s="34" t="s">
        <v>6924</v>
      </c>
      <c r="F3797" t="s">
        <v>6924</v>
      </c>
      <c r="G3797" t="s">
        <v>6932</v>
      </c>
      <c r="H3797">
        <v>5</v>
      </c>
      <c r="I3797">
        <f>VLOOKUP(B3797,BRAND!B:D,3,FALSE)</f>
        <v>3</v>
      </c>
      <c r="J3797">
        <v>7</v>
      </c>
      <c r="M3797">
        <v>1</v>
      </c>
    </row>
    <row r="3798" spans="1:13">
      <c r="A3798" t="s">
        <v>11747</v>
      </c>
      <c r="B3798" t="s">
        <v>368</v>
      </c>
      <c r="C3798" s="34" t="s">
        <v>996</v>
      </c>
      <c r="F3798" t="s">
        <v>996</v>
      </c>
      <c r="G3798" t="s">
        <v>801</v>
      </c>
      <c r="H3798">
        <v>5</v>
      </c>
      <c r="I3798">
        <f>VLOOKUP(B3798,BRAND!B:D,3,FALSE)</f>
        <v>3</v>
      </c>
      <c r="J3798">
        <f>LEN(F3798)</f>
        <v>6</v>
      </c>
      <c r="K3798" t="s">
        <v>821</v>
      </c>
      <c r="L3798">
        <v>0</v>
      </c>
      <c r="M3798">
        <v>1</v>
      </c>
    </row>
    <row r="3799" spans="1:13">
      <c r="A3799" t="s">
        <v>8346</v>
      </c>
      <c r="B3799" t="s">
        <v>368</v>
      </c>
      <c r="C3799" s="34" t="s">
        <v>534</v>
      </c>
      <c r="F3799" t="s">
        <v>534</v>
      </c>
      <c r="G3799" t="s">
        <v>6932</v>
      </c>
      <c r="H3799">
        <v>5</v>
      </c>
      <c r="I3799">
        <f>VLOOKUP(B3799,BRAND!B:D,3,FALSE)</f>
        <v>3</v>
      </c>
      <c r="J3799">
        <f>LEN(F3799)</f>
        <v>6</v>
      </c>
      <c r="K3799" t="s">
        <v>821</v>
      </c>
      <c r="L3799">
        <v>0</v>
      </c>
      <c r="M3799">
        <v>1</v>
      </c>
    </row>
    <row r="3800" spans="1:13">
      <c r="A3800" t="s">
        <v>8346</v>
      </c>
      <c r="B3800" t="s">
        <v>368</v>
      </c>
      <c r="C3800" s="34" t="s">
        <v>534</v>
      </c>
      <c r="F3800" t="s">
        <v>534</v>
      </c>
      <c r="G3800" t="s">
        <v>6932</v>
      </c>
      <c r="H3800">
        <v>5</v>
      </c>
      <c r="I3800">
        <f>VLOOKUP(B3800,BRAND!B:D,3,FALSE)</f>
        <v>3</v>
      </c>
      <c r="J3800">
        <v>6</v>
      </c>
      <c r="M3800">
        <v>1</v>
      </c>
    </row>
    <row r="3801" spans="1:13">
      <c r="A3801" t="s">
        <v>11980</v>
      </c>
      <c r="B3801" t="s">
        <v>368</v>
      </c>
      <c r="C3801" s="34" t="s">
        <v>11981</v>
      </c>
      <c r="F3801" t="s">
        <v>8349</v>
      </c>
      <c r="G3801" t="s">
        <v>801</v>
      </c>
      <c r="H3801">
        <v>5</v>
      </c>
      <c r="I3801">
        <f>VLOOKUP(B3801,BRAND!B:D,3,FALSE)</f>
        <v>3</v>
      </c>
      <c r="J3801">
        <v>6</v>
      </c>
      <c r="M3801">
        <v>1</v>
      </c>
    </row>
    <row r="3802" spans="1:13">
      <c r="A3802" t="s">
        <v>11540</v>
      </c>
      <c r="B3802" t="s">
        <v>368</v>
      </c>
      <c r="C3802" s="34" t="s">
        <v>742</v>
      </c>
      <c r="F3802" t="s">
        <v>742</v>
      </c>
      <c r="G3802" t="s">
        <v>6932</v>
      </c>
      <c r="H3802">
        <v>5</v>
      </c>
      <c r="I3802">
        <f>VLOOKUP(B3802,BRAND!B:D,3,FALSE)</f>
        <v>3</v>
      </c>
      <c r="J3802">
        <f>LEN(F3802)</f>
        <v>6</v>
      </c>
      <c r="K3802" t="s">
        <v>821</v>
      </c>
      <c r="L3802">
        <v>0</v>
      </c>
      <c r="M3802">
        <v>1</v>
      </c>
    </row>
    <row r="3803" spans="1:13">
      <c r="A3803" t="s">
        <v>11744</v>
      </c>
      <c r="B3803" t="s">
        <v>368</v>
      </c>
      <c r="C3803" s="34" t="s">
        <v>535</v>
      </c>
      <c r="F3803" t="s">
        <v>535</v>
      </c>
      <c r="G3803" t="s">
        <v>6932</v>
      </c>
      <c r="H3803">
        <v>5</v>
      </c>
      <c r="I3803">
        <f>VLOOKUP(B3803,BRAND!B:D,3,FALSE)</f>
        <v>3</v>
      </c>
      <c r="J3803">
        <f>LEN(F3803)</f>
        <v>6</v>
      </c>
      <c r="K3803" t="s">
        <v>821</v>
      </c>
      <c r="L3803">
        <v>0</v>
      </c>
      <c r="M3803">
        <v>1</v>
      </c>
    </row>
    <row r="3804" spans="1:13">
      <c r="A3804" t="s">
        <v>11982</v>
      </c>
      <c r="B3804" t="s">
        <v>368</v>
      </c>
      <c r="C3804" s="34" t="s">
        <v>755</v>
      </c>
      <c r="F3804" t="s">
        <v>8345</v>
      </c>
      <c r="G3804" t="s">
        <v>6932</v>
      </c>
      <c r="H3804">
        <v>5</v>
      </c>
      <c r="I3804">
        <f>VLOOKUP(B3804,BRAND!B:D,3,FALSE)</f>
        <v>3</v>
      </c>
      <c r="J3804">
        <v>5</v>
      </c>
      <c r="M3804">
        <v>1</v>
      </c>
    </row>
    <row r="3805" spans="1:13">
      <c r="A3805" t="s">
        <v>13757</v>
      </c>
      <c r="B3805" t="s">
        <v>368</v>
      </c>
      <c r="C3805" s="34" t="s">
        <v>900</v>
      </c>
      <c r="F3805" t="s">
        <v>900</v>
      </c>
      <c r="G3805" t="s">
        <v>6932</v>
      </c>
      <c r="H3805">
        <v>5</v>
      </c>
      <c r="I3805">
        <f>VLOOKUP(B3805,BRAND!B:D,3,FALSE)</f>
        <v>3</v>
      </c>
      <c r="J3805">
        <f>LEN(F3805)</f>
        <v>5</v>
      </c>
      <c r="K3805" t="s">
        <v>821</v>
      </c>
      <c r="L3805">
        <v>0</v>
      </c>
      <c r="M3805">
        <v>1</v>
      </c>
    </row>
    <row r="3806" spans="1:13">
      <c r="A3806" t="s">
        <v>11737</v>
      </c>
      <c r="B3806" t="s">
        <v>368</v>
      </c>
      <c r="C3806" s="34" t="s">
        <v>561</v>
      </c>
      <c r="F3806" t="s">
        <v>561</v>
      </c>
      <c r="G3806" t="s">
        <v>6932</v>
      </c>
      <c r="H3806">
        <v>5</v>
      </c>
      <c r="I3806">
        <f>VLOOKUP(B3806,BRAND!B:D,3,FALSE)</f>
        <v>3</v>
      </c>
      <c r="J3806">
        <f>LEN(F3806)</f>
        <v>3</v>
      </c>
      <c r="K3806" t="s">
        <v>821</v>
      </c>
      <c r="L3806">
        <v>0</v>
      </c>
      <c r="M3806">
        <v>1</v>
      </c>
    </row>
    <row r="3807" spans="1:13">
      <c r="A3807" t="s">
        <v>10884</v>
      </c>
      <c r="B3807" t="s">
        <v>368</v>
      </c>
      <c r="C3807" s="34" t="s">
        <v>10686</v>
      </c>
      <c r="F3807" t="s">
        <v>10686</v>
      </c>
      <c r="H3807">
        <v>5</v>
      </c>
    </row>
    <row r="3808" spans="1:13">
      <c r="A3808" t="s">
        <v>11539</v>
      </c>
      <c r="B3808" t="s">
        <v>368</v>
      </c>
      <c r="C3808" s="34" t="s">
        <v>794</v>
      </c>
      <c r="F3808" t="s">
        <v>794</v>
      </c>
      <c r="G3808" t="s">
        <v>6932</v>
      </c>
      <c r="H3808">
        <v>5</v>
      </c>
    </row>
    <row r="3809" spans="1:8">
      <c r="A3809" t="s">
        <v>11540</v>
      </c>
      <c r="B3809" t="s">
        <v>368</v>
      </c>
      <c r="C3809" s="34" t="s">
        <v>742</v>
      </c>
      <c r="F3809" t="s">
        <v>742</v>
      </c>
      <c r="G3809" t="s">
        <v>6932</v>
      </c>
      <c r="H3809">
        <v>5</v>
      </c>
    </row>
    <row r="3810" spans="1:8">
      <c r="A3810" t="s">
        <v>11983</v>
      </c>
      <c r="B3810" t="s">
        <v>368</v>
      </c>
      <c r="C3810" s="34" t="s">
        <v>11733</v>
      </c>
      <c r="F3810" t="s">
        <v>900</v>
      </c>
      <c r="G3810" t="s">
        <v>6932</v>
      </c>
      <c r="H3810">
        <v>5</v>
      </c>
    </row>
    <row r="3811" spans="1:8">
      <c r="A3811" t="s">
        <v>11734</v>
      </c>
      <c r="B3811" t="s">
        <v>368</v>
      </c>
      <c r="C3811" s="34" t="s">
        <v>11171</v>
      </c>
      <c r="F3811" t="s">
        <v>11171</v>
      </c>
      <c r="G3811" t="s">
        <v>6932</v>
      </c>
      <c r="H3811">
        <v>5</v>
      </c>
    </row>
    <row r="3812" spans="1:8">
      <c r="A3812" t="s">
        <v>11735</v>
      </c>
      <c r="B3812" t="s">
        <v>368</v>
      </c>
      <c r="C3812" s="34" t="s">
        <v>795</v>
      </c>
      <c r="F3812" t="s">
        <v>795</v>
      </c>
      <c r="G3812" t="s">
        <v>6932</v>
      </c>
      <c r="H3812">
        <v>5</v>
      </c>
    </row>
    <row r="3813" spans="1:8">
      <c r="A3813" t="s">
        <v>8346</v>
      </c>
      <c r="B3813" t="s">
        <v>368</v>
      </c>
      <c r="C3813" s="34" t="s">
        <v>534</v>
      </c>
      <c r="F3813" t="s">
        <v>534</v>
      </c>
      <c r="G3813" t="s">
        <v>6932</v>
      </c>
      <c r="H3813">
        <v>5</v>
      </c>
    </row>
    <row r="3814" spans="1:8">
      <c r="A3814" t="s">
        <v>11539</v>
      </c>
      <c r="B3814" t="s">
        <v>368</v>
      </c>
      <c r="C3814" s="34" t="s">
        <v>794</v>
      </c>
      <c r="F3814" t="s">
        <v>794</v>
      </c>
      <c r="G3814" t="s">
        <v>6932</v>
      </c>
      <c r="H3814">
        <v>5</v>
      </c>
    </row>
    <row r="3815" spans="1:8">
      <c r="A3815" t="s">
        <v>11736</v>
      </c>
      <c r="B3815" t="s">
        <v>368</v>
      </c>
      <c r="C3815" s="34" t="s">
        <v>11172</v>
      </c>
      <c r="F3815" t="s">
        <v>11172</v>
      </c>
      <c r="G3815" t="s">
        <v>6932</v>
      </c>
      <c r="H3815">
        <v>5</v>
      </c>
    </row>
    <row r="3816" spans="1:8">
      <c r="A3816" t="s">
        <v>11737</v>
      </c>
      <c r="B3816" t="s">
        <v>368</v>
      </c>
      <c r="C3816" s="34" t="s">
        <v>561</v>
      </c>
      <c r="F3816" t="s">
        <v>561</v>
      </c>
      <c r="G3816" t="s">
        <v>6932</v>
      </c>
      <c r="H3816">
        <v>5</v>
      </c>
    </row>
    <row r="3817" spans="1:8">
      <c r="A3817" t="s">
        <v>11540</v>
      </c>
      <c r="B3817" t="s">
        <v>368</v>
      </c>
      <c r="C3817" s="34" t="s">
        <v>742</v>
      </c>
      <c r="F3817" t="s">
        <v>742</v>
      </c>
      <c r="G3817" t="s">
        <v>6932</v>
      </c>
      <c r="H3817">
        <v>5</v>
      </c>
    </row>
    <row r="3818" spans="1:8">
      <c r="A3818" t="s">
        <v>11738</v>
      </c>
      <c r="B3818" t="s">
        <v>368</v>
      </c>
      <c r="C3818" s="34" t="s">
        <v>11173</v>
      </c>
      <c r="F3818" t="s">
        <v>11173</v>
      </c>
      <c r="G3818" t="s">
        <v>6932</v>
      </c>
      <c r="H3818">
        <v>5</v>
      </c>
    </row>
    <row r="3819" spans="1:8">
      <c r="A3819" t="s">
        <v>11739</v>
      </c>
      <c r="B3819" t="s">
        <v>368</v>
      </c>
      <c r="C3819" s="34" t="s">
        <v>11174</v>
      </c>
      <c r="F3819" t="s">
        <v>11174</v>
      </c>
      <c r="G3819" t="s">
        <v>6932</v>
      </c>
      <c r="H3819">
        <v>5</v>
      </c>
    </row>
    <row r="3820" spans="1:8">
      <c r="A3820" t="s">
        <v>11740</v>
      </c>
      <c r="B3820" t="s">
        <v>368</v>
      </c>
      <c r="C3820" s="34" t="s">
        <v>11175</v>
      </c>
      <c r="F3820" t="s">
        <v>11175</v>
      </c>
      <c r="G3820" t="s">
        <v>6932</v>
      </c>
      <c r="H3820">
        <v>5</v>
      </c>
    </row>
    <row r="3821" spans="1:8">
      <c r="A3821" t="s">
        <v>4968</v>
      </c>
      <c r="B3821" t="s">
        <v>368</v>
      </c>
      <c r="C3821" s="34" t="s">
        <v>742</v>
      </c>
      <c r="F3821" t="s">
        <v>742</v>
      </c>
      <c r="G3821" t="s">
        <v>801</v>
      </c>
      <c r="H3821">
        <v>5</v>
      </c>
    </row>
    <row r="3822" spans="1:8">
      <c r="A3822" t="s">
        <v>11741</v>
      </c>
      <c r="B3822" t="s">
        <v>368</v>
      </c>
      <c r="C3822" s="34" t="s">
        <v>772</v>
      </c>
      <c r="F3822" t="s">
        <v>772</v>
      </c>
      <c r="G3822" t="s">
        <v>6932</v>
      </c>
      <c r="H3822">
        <v>5</v>
      </c>
    </row>
    <row r="3823" spans="1:8">
      <c r="A3823" t="s">
        <v>11742</v>
      </c>
      <c r="B3823" t="s">
        <v>368</v>
      </c>
      <c r="C3823" s="34" t="s">
        <v>1987</v>
      </c>
      <c r="F3823" t="s">
        <v>1987</v>
      </c>
      <c r="G3823" t="s">
        <v>6932</v>
      </c>
      <c r="H3823">
        <v>5</v>
      </c>
    </row>
    <row r="3824" spans="1:8">
      <c r="A3824" t="s">
        <v>11743</v>
      </c>
      <c r="B3824" t="s">
        <v>368</v>
      </c>
      <c r="C3824" s="34" t="s">
        <v>900</v>
      </c>
      <c r="F3824" t="s">
        <v>900</v>
      </c>
      <c r="G3824" t="s">
        <v>801</v>
      </c>
      <c r="H3824">
        <v>5</v>
      </c>
    </row>
    <row r="3825" spans="1:13">
      <c r="A3825" t="s">
        <v>11744</v>
      </c>
      <c r="B3825" t="s">
        <v>368</v>
      </c>
      <c r="C3825" s="34" t="s">
        <v>535</v>
      </c>
      <c r="F3825" t="s">
        <v>535</v>
      </c>
      <c r="G3825" t="s">
        <v>6932</v>
      </c>
      <c r="H3825">
        <v>5</v>
      </c>
    </row>
    <row r="3826" spans="1:13">
      <c r="A3826" t="s">
        <v>11745</v>
      </c>
      <c r="B3826" t="s">
        <v>368</v>
      </c>
      <c r="C3826" s="34" t="s">
        <v>536</v>
      </c>
      <c r="F3826" t="s">
        <v>536</v>
      </c>
      <c r="G3826" t="s">
        <v>6932</v>
      </c>
      <c r="H3826">
        <v>5</v>
      </c>
    </row>
    <row r="3827" spans="1:13">
      <c r="A3827" t="s">
        <v>11746</v>
      </c>
      <c r="B3827" t="s">
        <v>368</v>
      </c>
      <c r="C3827" s="34" t="s">
        <v>11176</v>
      </c>
      <c r="F3827" t="s">
        <v>11176</v>
      </c>
      <c r="G3827" t="s">
        <v>6932</v>
      </c>
      <c r="H3827">
        <v>5</v>
      </c>
    </row>
    <row r="3828" spans="1:13">
      <c r="A3828" t="s">
        <v>11747</v>
      </c>
      <c r="B3828" t="s">
        <v>368</v>
      </c>
      <c r="C3828" s="34" t="s">
        <v>996</v>
      </c>
      <c r="F3828" t="s">
        <v>996</v>
      </c>
      <c r="G3828" t="s">
        <v>801</v>
      </c>
      <c r="H3828">
        <v>5</v>
      </c>
    </row>
    <row r="3829" spans="1:13">
      <c r="A3829" t="s">
        <v>11748</v>
      </c>
      <c r="B3829" t="s">
        <v>368</v>
      </c>
      <c r="C3829" s="34" t="s">
        <v>755</v>
      </c>
      <c r="F3829" t="s">
        <v>755</v>
      </c>
      <c r="G3829" t="s">
        <v>801</v>
      </c>
      <c r="H3829">
        <v>5</v>
      </c>
    </row>
    <row r="3830" spans="1:13">
      <c r="A3830" t="s">
        <v>13761</v>
      </c>
      <c r="B3830" t="s">
        <v>368</v>
      </c>
      <c r="C3830" s="34" t="s">
        <v>772</v>
      </c>
      <c r="F3830" t="s">
        <v>13762</v>
      </c>
      <c r="G3830" t="s">
        <v>6932</v>
      </c>
      <c r="H3830">
        <v>6</v>
      </c>
      <c r="I3830">
        <f>VLOOKUP(B3830,BRAND!B:D,3,FALSE)</f>
        <v>3</v>
      </c>
      <c r="J3830">
        <f>LEN(F3830)</f>
        <v>12</v>
      </c>
      <c r="K3830" t="s">
        <v>821</v>
      </c>
      <c r="L3830">
        <v>0</v>
      </c>
      <c r="M3830">
        <v>1</v>
      </c>
    </row>
    <row r="3831" spans="1:13">
      <c r="A3831" t="s">
        <v>4968</v>
      </c>
      <c r="B3831" t="s">
        <v>368</v>
      </c>
      <c r="C3831" s="34" t="s">
        <v>742</v>
      </c>
      <c r="F3831" t="s">
        <v>742</v>
      </c>
      <c r="G3831" t="s">
        <v>801</v>
      </c>
      <c r="H3831">
        <v>6</v>
      </c>
      <c r="I3831">
        <f>VLOOKUP(B3831,BRAND!B:D,3,FALSE)</f>
        <v>3</v>
      </c>
      <c r="J3831">
        <v>6</v>
      </c>
      <c r="K3831" t="s">
        <v>821</v>
      </c>
      <c r="L3831">
        <v>0</v>
      </c>
      <c r="M3831">
        <v>0</v>
      </c>
    </row>
    <row r="3832" spans="1:13">
      <c r="A3832" t="s">
        <v>4965</v>
      </c>
      <c r="B3832" t="s">
        <v>368</v>
      </c>
      <c r="C3832" s="34" t="s">
        <v>1438</v>
      </c>
      <c r="F3832" t="s">
        <v>1438</v>
      </c>
      <c r="G3832" t="s">
        <v>801</v>
      </c>
      <c r="H3832">
        <v>6</v>
      </c>
      <c r="I3832">
        <f>VLOOKUP(B3832,BRAND!B:D,3,FALSE)</f>
        <v>3</v>
      </c>
      <c r="J3832">
        <v>4</v>
      </c>
      <c r="K3832" t="s">
        <v>821</v>
      </c>
      <c r="M3832">
        <v>1</v>
      </c>
    </row>
    <row r="3833" spans="1:13">
      <c r="A3833" t="s">
        <v>11731</v>
      </c>
      <c r="B3833" t="s">
        <v>368</v>
      </c>
      <c r="C3833" s="34" t="s">
        <v>11732</v>
      </c>
      <c r="F3833" t="s">
        <v>11170</v>
      </c>
      <c r="G3833" t="s">
        <v>6932</v>
      </c>
      <c r="H3833">
        <v>6</v>
      </c>
    </row>
    <row r="3834" spans="1:13">
      <c r="A3834" t="s">
        <v>2863</v>
      </c>
      <c r="B3834" t="s">
        <v>368</v>
      </c>
      <c r="C3834" s="34" t="s">
        <v>1438</v>
      </c>
      <c r="F3834" t="s">
        <v>1438</v>
      </c>
      <c r="H3834">
        <v>15</v>
      </c>
      <c r="I3834">
        <f>VLOOKUP(B3834,BRAND!B:D,3,FALSE)</f>
        <v>3</v>
      </c>
      <c r="J3834">
        <v>4</v>
      </c>
      <c r="K3834" t="s">
        <v>821</v>
      </c>
      <c r="M3834">
        <v>1</v>
      </c>
    </row>
    <row r="3835" spans="1:13">
      <c r="A3835" t="s">
        <v>8350</v>
      </c>
      <c r="B3835" t="s">
        <v>8351</v>
      </c>
      <c r="C3835" s="34" t="s">
        <v>1438</v>
      </c>
      <c r="F3835" t="s">
        <v>1438</v>
      </c>
      <c r="G3835" t="s">
        <v>6932</v>
      </c>
      <c r="H3835">
        <v>5</v>
      </c>
      <c r="I3835">
        <f>VLOOKUP(B3835,BRAND!B:D,3,FALSE)</f>
        <v>5.5</v>
      </c>
      <c r="J3835">
        <v>4</v>
      </c>
      <c r="M3835">
        <v>1</v>
      </c>
    </row>
    <row r="3836" spans="1:13">
      <c r="A3836" t="s">
        <v>8352</v>
      </c>
      <c r="B3836" t="s">
        <v>8353</v>
      </c>
      <c r="C3836" s="34" t="s">
        <v>1438</v>
      </c>
      <c r="F3836" t="s">
        <v>1438</v>
      </c>
      <c r="G3836" t="s">
        <v>6932</v>
      </c>
      <c r="H3836">
        <v>5</v>
      </c>
      <c r="I3836">
        <f>VLOOKUP(B3836,BRAND!B:D,3,FALSE)</f>
        <v>5.5</v>
      </c>
      <c r="J3836">
        <v>4</v>
      </c>
      <c r="M3836">
        <v>1</v>
      </c>
    </row>
    <row r="3837" spans="1:13">
      <c r="A3837" t="s">
        <v>2049</v>
      </c>
      <c r="B3837" t="s">
        <v>1082</v>
      </c>
      <c r="C3837" s="34" t="s">
        <v>1438</v>
      </c>
      <c r="F3837" t="s">
        <v>1438</v>
      </c>
      <c r="H3837">
        <v>15</v>
      </c>
      <c r="I3837">
        <f>VLOOKUP(B3837,BRAND!B:D,3,FALSE)</f>
        <v>3</v>
      </c>
      <c r="J3837">
        <v>4</v>
      </c>
      <c r="K3837" t="s">
        <v>821</v>
      </c>
      <c r="L3837">
        <v>0</v>
      </c>
      <c r="M3837">
        <v>0</v>
      </c>
    </row>
    <row r="3838" spans="1:13">
      <c r="A3838" t="s">
        <v>2499</v>
      </c>
      <c r="B3838" t="s">
        <v>610</v>
      </c>
      <c r="C3838" s="34" t="s">
        <v>1438</v>
      </c>
      <c r="F3838" t="s">
        <v>1438</v>
      </c>
      <c r="H3838">
        <v>15</v>
      </c>
      <c r="I3838">
        <f>VLOOKUP(B3838,BRAND!B:D,3,FALSE)</f>
        <v>3</v>
      </c>
      <c r="J3838">
        <v>4</v>
      </c>
      <c r="K3838" t="s">
        <v>821</v>
      </c>
      <c r="M3838">
        <v>1</v>
      </c>
    </row>
    <row r="3839" spans="1:13">
      <c r="A3839" t="s">
        <v>4384</v>
      </c>
      <c r="B3839" t="s">
        <v>544</v>
      </c>
      <c r="C3839" s="34" t="s">
        <v>775</v>
      </c>
      <c r="F3839" t="s">
        <v>775</v>
      </c>
      <c r="H3839">
        <v>5</v>
      </c>
      <c r="I3839">
        <f>VLOOKUP(B3839,BRAND!B:D,3,FALSE)</f>
        <v>3</v>
      </c>
      <c r="J3839">
        <v>3</v>
      </c>
      <c r="K3839" t="s">
        <v>821</v>
      </c>
      <c r="M3839">
        <v>1</v>
      </c>
    </row>
    <row r="3840" spans="1:13">
      <c r="A3840" t="s">
        <v>2739</v>
      </c>
      <c r="B3840" t="s">
        <v>544</v>
      </c>
      <c r="C3840" s="34" t="s">
        <v>1438</v>
      </c>
      <c r="F3840" t="s">
        <v>1438</v>
      </c>
      <c r="H3840">
        <v>15</v>
      </c>
      <c r="I3840">
        <f>VLOOKUP(B3840,BRAND!B:D,3,FALSE)</f>
        <v>3</v>
      </c>
      <c r="J3840">
        <v>4</v>
      </c>
      <c r="K3840" t="s">
        <v>821</v>
      </c>
      <c r="L3840">
        <v>0</v>
      </c>
      <c r="M3840">
        <v>0</v>
      </c>
    </row>
    <row r="3841" spans="1:13">
      <c r="A3841" t="s">
        <v>11749</v>
      </c>
      <c r="B3841" t="s">
        <v>10940</v>
      </c>
      <c r="C3841" s="34" t="s">
        <v>534</v>
      </c>
      <c r="F3841" t="s">
        <v>534</v>
      </c>
      <c r="G3841" t="s">
        <v>6932</v>
      </c>
      <c r="H3841">
        <v>5</v>
      </c>
    </row>
    <row r="3842" spans="1:13">
      <c r="A3842" t="s">
        <v>11750</v>
      </c>
      <c r="B3842" t="s">
        <v>10940</v>
      </c>
      <c r="C3842" s="34" t="s">
        <v>536</v>
      </c>
      <c r="F3842" t="s">
        <v>536</v>
      </c>
      <c r="G3842" t="s">
        <v>6932</v>
      </c>
      <c r="H3842">
        <v>5</v>
      </c>
    </row>
    <row r="3843" spans="1:13">
      <c r="A3843" t="s">
        <v>11751</v>
      </c>
      <c r="B3843" t="s">
        <v>10940</v>
      </c>
      <c r="C3843" s="34" t="s">
        <v>778</v>
      </c>
      <c r="F3843" t="s">
        <v>778</v>
      </c>
      <c r="G3843" t="s">
        <v>6932</v>
      </c>
      <c r="H3843">
        <v>5</v>
      </c>
    </row>
    <row r="3844" spans="1:13">
      <c r="A3844" t="s">
        <v>11752</v>
      </c>
      <c r="B3844" t="s">
        <v>10940</v>
      </c>
      <c r="C3844" s="34" t="s">
        <v>772</v>
      </c>
      <c r="F3844" t="s">
        <v>772</v>
      </c>
      <c r="G3844" t="s">
        <v>6932</v>
      </c>
      <c r="H3844">
        <v>5</v>
      </c>
    </row>
    <row r="3845" spans="1:13">
      <c r="A3845" t="s">
        <v>11753</v>
      </c>
      <c r="B3845" t="s">
        <v>10940</v>
      </c>
      <c r="C3845" s="34" t="s">
        <v>776</v>
      </c>
      <c r="F3845" t="s">
        <v>776</v>
      </c>
      <c r="G3845" t="s">
        <v>6932</v>
      </c>
      <c r="H3845">
        <v>5</v>
      </c>
    </row>
    <row r="3846" spans="1:13">
      <c r="A3846" t="s">
        <v>11754</v>
      </c>
      <c r="B3846" t="s">
        <v>10940</v>
      </c>
      <c r="C3846" s="34" t="s">
        <v>11177</v>
      </c>
      <c r="F3846" t="s">
        <v>11177</v>
      </c>
      <c r="G3846" t="s">
        <v>6932</v>
      </c>
      <c r="H3846">
        <v>5</v>
      </c>
    </row>
    <row r="3847" spans="1:13">
      <c r="A3847" t="s">
        <v>11755</v>
      </c>
      <c r="B3847" t="s">
        <v>10940</v>
      </c>
      <c r="C3847" s="34" t="s">
        <v>840</v>
      </c>
      <c r="F3847" t="s">
        <v>840</v>
      </c>
      <c r="G3847" t="s">
        <v>6932</v>
      </c>
      <c r="H3847">
        <v>5</v>
      </c>
    </row>
    <row r="3848" spans="1:13">
      <c r="A3848" t="s">
        <v>11756</v>
      </c>
      <c r="B3848" t="s">
        <v>10940</v>
      </c>
      <c r="C3848" s="34" t="s">
        <v>11178</v>
      </c>
      <c r="F3848" t="s">
        <v>11178</v>
      </c>
      <c r="G3848" t="s">
        <v>6932</v>
      </c>
      <c r="H3848">
        <v>5</v>
      </c>
    </row>
    <row r="3849" spans="1:13">
      <c r="A3849" t="s">
        <v>11757</v>
      </c>
      <c r="B3849" t="s">
        <v>10940</v>
      </c>
      <c r="C3849" s="34" t="s">
        <v>6948</v>
      </c>
      <c r="F3849" t="s">
        <v>6948</v>
      </c>
      <c r="G3849" t="s">
        <v>6932</v>
      </c>
      <c r="H3849">
        <v>5</v>
      </c>
    </row>
    <row r="3850" spans="1:13">
      <c r="A3850" t="s">
        <v>8354</v>
      </c>
      <c r="B3850" t="s">
        <v>8355</v>
      </c>
      <c r="C3850" s="34" t="s">
        <v>1438</v>
      </c>
      <c r="F3850" t="s">
        <v>1438</v>
      </c>
      <c r="G3850" t="s">
        <v>6932</v>
      </c>
      <c r="H3850">
        <v>5</v>
      </c>
      <c r="I3850">
        <f>VLOOKUP(B3850,BRAND!B:D,3,FALSE)</f>
        <v>5.5</v>
      </c>
      <c r="J3850">
        <v>4</v>
      </c>
      <c r="M3850">
        <v>1</v>
      </c>
    </row>
    <row r="3851" spans="1:13">
      <c r="A3851" t="s">
        <v>12777</v>
      </c>
      <c r="B3851" t="s">
        <v>12046</v>
      </c>
      <c r="C3851" s="34" t="s">
        <v>11732</v>
      </c>
      <c r="F3851" t="s">
        <v>996</v>
      </c>
      <c r="G3851" t="s">
        <v>6932</v>
      </c>
      <c r="H3851">
        <v>5</v>
      </c>
    </row>
    <row r="3852" spans="1:13">
      <c r="A3852" t="s">
        <v>13920</v>
      </c>
      <c r="B3852" t="s">
        <v>13921</v>
      </c>
      <c r="C3852" s="34" t="s">
        <v>1438</v>
      </c>
      <c r="F3852" t="s">
        <v>1438</v>
      </c>
      <c r="G3852" t="s">
        <v>6932</v>
      </c>
      <c r="H3852">
        <v>5</v>
      </c>
      <c r="I3852">
        <f>VLOOKUP(B3852,BRAND!B:D,3,FALSE)</f>
        <v>0</v>
      </c>
      <c r="J3852">
        <f t="shared" ref="J3852:J3857" si="42">LEN(F3852)</f>
        <v>4</v>
      </c>
      <c r="K3852" t="s">
        <v>821</v>
      </c>
      <c r="L3852">
        <v>0</v>
      </c>
      <c r="M3852">
        <v>1</v>
      </c>
    </row>
    <row r="3853" spans="1:13">
      <c r="A3853" t="s">
        <v>14820</v>
      </c>
      <c r="B3853" t="s">
        <v>14818</v>
      </c>
      <c r="C3853" s="34" t="s">
        <v>798</v>
      </c>
      <c r="F3853" t="s">
        <v>798</v>
      </c>
      <c r="G3853" t="s">
        <v>801</v>
      </c>
      <c r="H3853">
        <v>5</v>
      </c>
      <c r="I3853">
        <f>VLOOKUP(B3853,BRAND!B:D,3,FALSE)</f>
        <v>0</v>
      </c>
      <c r="J3853">
        <f t="shared" si="42"/>
        <v>9</v>
      </c>
      <c r="K3853" t="s">
        <v>821</v>
      </c>
      <c r="L3853">
        <v>0</v>
      </c>
      <c r="M3853">
        <v>1</v>
      </c>
    </row>
    <row r="3854" spans="1:13">
      <c r="A3854" t="s">
        <v>14819</v>
      </c>
      <c r="B3854" t="s">
        <v>14818</v>
      </c>
      <c r="C3854" s="34" t="s">
        <v>1493</v>
      </c>
      <c r="F3854" t="s">
        <v>1493</v>
      </c>
      <c r="G3854" t="s">
        <v>801</v>
      </c>
      <c r="H3854">
        <v>5</v>
      </c>
      <c r="I3854">
        <f>VLOOKUP(B3854,BRAND!B:D,3,FALSE)</f>
        <v>0</v>
      </c>
      <c r="J3854">
        <f t="shared" si="42"/>
        <v>7</v>
      </c>
      <c r="K3854" t="s">
        <v>821</v>
      </c>
      <c r="L3854">
        <v>0</v>
      </c>
      <c r="M3854">
        <v>1</v>
      </c>
    </row>
    <row r="3855" spans="1:13">
      <c r="A3855" t="s">
        <v>14821</v>
      </c>
      <c r="B3855" t="s">
        <v>14818</v>
      </c>
      <c r="C3855" s="34" t="s">
        <v>129</v>
      </c>
      <c r="F3855" t="s">
        <v>129</v>
      </c>
      <c r="G3855" t="s">
        <v>6932</v>
      </c>
      <c r="H3855">
        <v>5</v>
      </c>
      <c r="I3855">
        <f>VLOOKUP(B3855,BRAND!B:D,3,FALSE)</f>
        <v>0</v>
      </c>
      <c r="J3855">
        <f t="shared" si="42"/>
        <v>6</v>
      </c>
      <c r="K3855" t="s">
        <v>821</v>
      </c>
      <c r="L3855">
        <v>0</v>
      </c>
      <c r="M3855">
        <v>1</v>
      </c>
    </row>
    <row r="3856" spans="1:13">
      <c r="A3856" t="s">
        <v>14822</v>
      </c>
      <c r="B3856" t="s">
        <v>14818</v>
      </c>
      <c r="C3856" s="34" t="s">
        <v>1513</v>
      </c>
      <c r="F3856" t="s">
        <v>1513</v>
      </c>
      <c r="G3856" t="s">
        <v>801</v>
      </c>
      <c r="H3856">
        <v>5</v>
      </c>
      <c r="I3856">
        <f>VLOOKUP(B3856,BRAND!B:D,3,FALSE)</f>
        <v>0</v>
      </c>
      <c r="J3856">
        <f t="shared" si="42"/>
        <v>5</v>
      </c>
      <c r="K3856" t="s">
        <v>821</v>
      </c>
      <c r="L3856">
        <v>0</v>
      </c>
      <c r="M3856">
        <v>1</v>
      </c>
    </row>
    <row r="3857" spans="1:13">
      <c r="A3857" t="s">
        <v>14817</v>
      </c>
      <c r="B3857" t="s">
        <v>14818</v>
      </c>
      <c r="C3857" s="34" t="s">
        <v>1438</v>
      </c>
      <c r="F3857" t="s">
        <v>1438</v>
      </c>
      <c r="G3857" t="s">
        <v>6932</v>
      </c>
      <c r="H3857">
        <v>5</v>
      </c>
      <c r="I3857">
        <f>VLOOKUP(B3857,BRAND!B:D,3,FALSE)</f>
        <v>0</v>
      </c>
      <c r="J3857">
        <f t="shared" si="42"/>
        <v>4</v>
      </c>
      <c r="K3857" t="s">
        <v>821</v>
      </c>
      <c r="L3857">
        <v>0</v>
      </c>
      <c r="M3857">
        <v>1</v>
      </c>
    </row>
    <row r="3858" spans="1:13">
      <c r="A3858" t="s">
        <v>9704</v>
      </c>
      <c r="B3858" t="s">
        <v>9995</v>
      </c>
      <c r="C3858" s="34" t="s">
        <v>780</v>
      </c>
      <c r="H3858">
        <v>5</v>
      </c>
      <c r="I3858">
        <f>VLOOKUP(B3858,BRAND!B:D,3,FALSE)</f>
        <v>5.5</v>
      </c>
      <c r="J3858">
        <v>0</v>
      </c>
      <c r="M3858">
        <v>1</v>
      </c>
    </row>
    <row r="3859" spans="1:13">
      <c r="A3859" t="s">
        <v>8356</v>
      </c>
      <c r="B3859" t="s">
        <v>8357</v>
      </c>
      <c r="C3859" s="34" t="s">
        <v>1438</v>
      </c>
      <c r="F3859" t="s">
        <v>1438</v>
      </c>
      <c r="G3859" t="s">
        <v>6932</v>
      </c>
      <c r="H3859">
        <v>5</v>
      </c>
      <c r="I3859">
        <f>VLOOKUP(B3859,BRAND!B:D,3,FALSE)</f>
        <v>5.5</v>
      </c>
      <c r="J3859">
        <v>4</v>
      </c>
      <c r="M3859">
        <v>1</v>
      </c>
    </row>
    <row r="3860" spans="1:13">
      <c r="A3860" t="s">
        <v>11758</v>
      </c>
      <c r="B3860" t="s">
        <v>10942</v>
      </c>
      <c r="C3860" s="34" t="s">
        <v>11179</v>
      </c>
      <c r="F3860" t="s">
        <v>11179</v>
      </c>
      <c r="G3860" t="s">
        <v>6932</v>
      </c>
      <c r="H3860">
        <v>5</v>
      </c>
    </row>
    <row r="3861" spans="1:13">
      <c r="A3861" t="s">
        <v>11759</v>
      </c>
      <c r="B3861" t="s">
        <v>10942</v>
      </c>
      <c r="C3861" s="34" t="s">
        <v>11180</v>
      </c>
      <c r="F3861" t="s">
        <v>11180</v>
      </c>
      <c r="G3861" t="s">
        <v>6932</v>
      </c>
      <c r="H3861">
        <v>5</v>
      </c>
    </row>
    <row r="3862" spans="1:13">
      <c r="A3862" t="s">
        <v>11760</v>
      </c>
      <c r="B3862" t="s">
        <v>10942</v>
      </c>
      <c r="C3862" s="34" t="s">
        <v>11181</v>
      </c>
      <c r="F3862" t="s">
        <v>11181</v>
      </c>
      <c r="G3862" t="s">
        <v>6932</v>
      </c>
      <c r="H3862">
        <v>5</v>
      </c>
    </row>
    <row r="3863" spans="1:13">
      <c r="A3863" t="s">
        <v>11761</v>
      </c>
      <c r="B3863" t="s">
        <v>10942</v>
      </c>
      <c r="C3863" s="34" t="s">
        <v>11182</v>
      </c>
      <c r="F3863" t="s">
        <v>11182</v>
      </c>
      <c r="G3863" t="s">
        <v>6932</v>
      </c>
      <c r="H3863">
        <v>5</v>
      </c>
    </row>
    <row r="3864" spans="1:13">
      <c r="A3864" t="s">
        <v>11762</v>
      </c>
      <c r="B3864" t="s">
        <v>10942</v>
      </c>
      <c r="C3864" s="34" t="s">
        <v>11183</v>
      </c>
      <c r="F3864" t="s">
        <v>11183</v>
      </c>
      <c r="G3864" t="s">
        <v>6932</v>
      </c>
      <c r="H3864">
        <v>5</v>
      </c>
    </row>
    <row r="3865" spans="1:13">
      <c r="A3865" t="s">
        <v>11763</v>
      </c>
      <c r="B3865" t="s">
        <v>10942</v>
      </c>
      <c r="C3865" s="34" t="s">
        <v>11184</v>
      </c>
      <c r="F3865" t="s">
        <v>11184</v>
      </c>
      <c r="G3865" t="s">
        <v>6932</v>
      </c>
      <c r="H3865">
        <v>5</v>
      </c>
    </row>
    <row r="3866" spans="1:13">
      <c r="A3866" t="s">
        <v>11764</v>
      </c>
      <c r="B3866" t="s">
        <v>10942</v>
      </c>
      <c r="C3866" s="34" t="s">
        <v>11185</v>
      </c>
      <c r="F3866" t="s">
        <v>11185</v>
      </c>
      <c r="G3866" t="s">
        <v>6932</v>
      </c>
      <c r="H3866">
        <v>5</v>
      </c>
    </row>
    <row r="3867" spans="1:13">
      <c r="A3867" t="s">
        <v>11765</v>
      </c>
      <c r="B3867" t="s">
        <v>10942</v>
      </c>
      <c r="C3867" s="34" t="s">
        <v>11186</v>
      </c>
      <c r="F3867" t="s">
        <v>11186</v>
      </c>
      <c r="G3867" t="s">
        <v>6932</v>
      </c>
      <c r="H3867">
        <v>5</v>
      </c>
    </row>
    <row r="3868" spans="1:13">
      <c r="A3868" t="s">
        <v>11766</v>
      </c>
      <c r="B3868" t="s">
        <v>10942</v>
      </c>
      <c r="C3868" s="34" t="s">
        <v>796</v>
      </c>
      <c r="F3868" t="s">
        <v>796</v>
      </c>
      <c r="G3868" t="s">
        <v>6932</v>
      </c>
      <c r="H3868">
        <v>5</v>
      </c>
    </row>
    <row r="3869" spans="1:13">
      <c r="A3869" t="s">
        <v>11767</v>
      </c>
      <c r="B3869" t="s">
        <v>10942</v>
      </c>
      <c r="C3869" s="34" t="s">
        <v>11187</v>
      </c>
      <c r="F3869" t="s">
        <v>11187</v>
      </c>
      <c r="G3869" t="s">
        <v>6932</v>
      </c>
      <c r="H3869">
        <v>5</v>
      </c>
    </row>
    <row r="3870" spans="1:13">
      <c r="A3870" t="s">
        <v>11768</v>
      </c>
      <c r="B3870" t="s">
        <v>10942</v>
      </c>
      <c r="C3870" s="34" t="s">
        <v>11159</v>
      </c>
      <c r="F3870" t="s">
        <v>11159</v>
      </c>
      <c r="G3870" t="s">
        <v>6932</v>
      </c>
      <c r="H3870">
        <v>5</v>
      </c>
    </row>
    <row r="3871" spans="1:13">
      <c r="A3871" t="s">
        <v>11769</v>
      </c>
      <c r="B3871" t="s">
        <v>10942</v>
      </c>
      <c r="C3871" s="34" t="s">
        <v>11188</v>
      </c>
      <c r="F3871" t="s">
        <v>11188</v>
      </c>
      <c r="G3871" t="s">
        <v>6932</v>
      </c>
      <c r="H3871">
        <v>5</v>
      </c>
    </row>
    <row r="3872" spans="1:13">
      <c r="A3872" t="s">
        <v>11770</v>
      </c>
      <c r="B3872" t="s">
        <v>10942</v>
      </c>
      <c r="C3872" s="34" t="s">
        <v>11189</v>
      </c>
      <c r="F3872" t="s">
        <v>11189</v>
      </c>
      <c r="G3872" t="s">
        <v>6932</v>
      </c>
      <c r="H3872">
        <v>5</v>
      </c>
    </row>
    <row r="3873" spans="1:13">
      <c r="A3873" t="s">
        <v>11771</v>
      </c>
      <c r="B3873" t="s">
        <v>10942</v>
      </c>
      <c r="C3873" s="34" t="s">
        <v>11190</v>
      </c>
      <c r="F3873" t="s">
        <v>11190</v>
      </c>
      <c r="G3873" t="s">
        <v>6932</v>
      </c>
      <c r="H3873">
        <v>5</v>
      </c>
    </row>
    <row r="3874" spans="1:13">
      <c r="A3874" t="s">
        <v>11772</v>
      </c>
      <c r="B3874" t="s">
        <v>10942</v>
      </c>
      <c r="C3874" s="34" t="s">
        <v>11191</v>
      </c>
      <c r="F3874" t="s">
        <v>11191</v>
      </c>
      <c r="G3874" t="s">
        <v>6932</v>
      </c>
      <c r="H3874">
        <v>5</v>
      </c>
    </row>
    <row r="3875" spans="1:13">
      <c r="A3875" t="s">
        <v>11773</v>
      </c>
      <c r="B3875" t="s">
        <v>10942</v>
      </c>
      <c r="C3875" s="34" t="s">
        <v>11192</v>
      </c>
      <c r="F3875" t="s">
        <v>11192</v>
      </c>
      <c r="G3875" t="s">
        <v>6932</v>
      </c>
      <c r="H3875">
        <v>5</v>
      </c>
    </row>
    <row r="3876" spans="1:13">
      <c r="A3876" t="s">
        <v>11774</v>
      </c>
      <c r="B3876" t="s">
        <v>10942</v>
      </c>
      <c r="C3876" s="34" t="s">
        <v>11193</v>
      </c>
      <c r="F3876" t="s">
        <v>11193</v>
      </c>
      <c r="G3876" t="s">
        <v>6932</v>
      </c>
      <c r="H3876">
        <v>5</v>
      </c>
    </row>
    <row r="3877" spans="1:13">
      <c r="A3877" t="s">
        <v>11775</v>
      </c>
      <c r="B3877" t="s">
        <v>10942</v>
      </c>
      <c r="C3877" s="34" t="s">
        <v>11194</v>
      </c>
      <c r="F3877" t="s">
        <v>11194</v>
      </c>
      <c r="G3877" t="s">
        <v>6932</v>
      </c>
      <c r="H3877">
        <v>5</v>
      </c>
    </row>
    <row r="3878" spans="1:13">
      <c r="A3878" t="s">
        <v>11776</v>
      </c>
      <c r="B3878" t="s">
        <v>10942</v>
      </c>
      <c r="C3878" s="34" t="s">
        <v>11195</v>
      </c>
      <c r="F3878" t="s">
        <v>11195</v>
      </c>
      <c r="G3878" t="s">
        <v>6932</v>
      </c>
      <c r="H3878">
        <v>5</v>
      </c>
    </row>
    <row r="3879" spans="1:13">
      <c r="A3879" t="s">
        <v>11777</v>
      </c>
      <c r="B3879" t="s">
        <v>10942</v>
      </c>
      <c r="C3879" s="34" t="s">
        <v>11196</v>
      </c>
      <c r="F3879" t="s">
        <v>11196</v>
      </c>
      <c r="G3879" t="s">
        <v>6932</v>
      </c>
      <c r="H3879">
        <v>5</v>
      </c>
    </row>
    <row r="3880" spans="1:13">
      <c r="A3880" t="s">
        <v>11778</v>
      </c>
      <c r="B3880" t="s">
        <v>10942</v>
      </c>
      <c r="C3880" s="34" t="s">
        <v>11197</v>
      </c>
      <c r="F3880" t="s">
        <v>11197</v>
      </c>
      <c r="G3880" t="s">
        <v>6932</v>
      </c>
      <c r="H3880">
        <v>5</v>
      </c>
    </row>
    <row r="3881" spans="1:13">
      <c r="A3881" t="s">
        <v>11988</v>
      </c>
      <c r="B3881" t="s">
        <v>10942</v>
      </c>
      <c r="C3881" s="34" t="s">
        <v>11198</v>
      </c>
      <c r="F3881" t="s">
        <v>11198</v>
      </c>
      <c r="G3881" t="s">
        <v>6932</v>
      </c>
      <c r="H3881">
        <v>5</v>
      </c>
    </row>
    <row r="3882" spans="1:13">
      <c r="A3882" t="s">
        <v>11779</v>
      </c>
      <c r="B3882" t="s">
        <v>10942</v>
      </c>
      <c r="C3882" s="34" t="s">
        <v>11199</v>
      </c>
      <c r="F3882" t="s">
        <v>11199</v>
      </c>
      <c r="G3882" t="s">
        <v>6932</v>
      </c>
      <c r="H3882">
        <v>5</v>
      </c>
    </row>
    <row r="3883" spans="1:13">
      <c r="A3883" t="s">
        <v>11780</v>
      </c>
      <c r="B3883" t="s">
        <v>10942</v>
      </c>
      <c r="C3883" s="34" t="s">
        <v>1967</v>
      </c>
      <c r="F3883" t="s">
        <v>1967</v>
      </c>
      <c r="G3883" t="s">
        <v>6932</v>
      </c>
      <c r="H3883">
        <v>5</v>
      </c>
    </row>
    <row r="3884" spans="1:13">
      <c r="A3884" t="s">
        <v>11781</v>
      </c>
      <c r="B3884" t="s">
        <v>10942</v>
      </c>
      <c r="C3884" s="34" t="s">
        <v>11200</v>
      </c>
      <c r="F3884" t="s">
        <v>11200</v>
      </c>
      <c r="G3884" t="s">
        <v>6932</v>
      </c>
      <c r="H3884">
        <v>5</v>
      </c>
    </row>
    <row r="3885" spans="1:13">
      <c r="A3885" t="s">
        <v>3023</v>
      </c>
      <c r="B3885" t="s">
        <v>264</v>
      </c>
      <c r="C3885" s="34" t="s">
        <v>911</v>
      </c>
      <c r="F3885" t="s">
        <v>911</v>
      </c>
      <c r="H3885">
        <v>5</v>
      </c>
      <c r="I3885">
        <f>VLOOKUP(B3885,BRAND!B:D,3,FALSE)</f>
        <v>3</v>
      </c>
      <c r="J3885">
        <v>6</v>
      </c>
      <c r="K3885" t="s">
        <v>821</v>
      </c>
      <c r="L3885">
        <v>0</v>
      </c>
      <c r="M3885">
        <v>0</v>
      </c>
    </row>
    <row r="3886" spans="1:13">
      <c r="A3886" t="s">
        <v>5480</v>
      </c>
      <c r="B3886" t="s">
        <v>264</v>
      </c>
      <c r="C3886" s="34" t="s">
        <v>766</v>
      </c>
      <c r="F3886" t="s">
        <v>766</v>
      </c>
      <c r="H3886">
        <v>5</v>
      </c>
      <c r="I3886">
        <f>VLOOKUP(B3886,BRAND!B:D,3,FALSE)</f>
        <v>3</v>
      </c>
      <c r="J3886">
        <v>6</v>
      </c>
      <c r="K3886" t="s">
        <v>821</v>
      </c>
      <c r="M3886">
        <v>1</v>
      </c>
    </row>
    <row r="3887" spans="1:13">
      <c r="A3887" t="s">
        <v>3656</v>
      </c>
      <c r="B3887" t="s">
        <v>264</v>
      </c>
      <c r="C3887" s="34" t="s">
        <v>913</v>
      </c>
      <c r="F3887" t="s">
        <v>913</v>
      </c>
      <c r="H3887">
        <v>5</v>
      </c>
      <c r="I3887">
        <f>VLOOKUP(B3887,BRAND!B:D,3,FALSE)</f>
        <v>3</v>
      </c>
      <c r="J3887">
        <v>5</v>
      </c>
      <c r="K3887" t="s">
        <v>821</v>
      </c>
      <c r="M3887">
        <v>1</v>
      </c>
    </row>
    <row r="3888" spans="1:13">
      <c r="A3888" t="s">
        <v>8358</v>
      </c>
      <c r="B3888" t="s">
        <v>264</v>
      </c>
      <c r="C3888" s="34" t="s">
        <v>1438</v>
      </c>
      <c r="F3888" t="s">
        <v>1438</v>
      </c>
      <c r="G3888" t="s">
        <v>6932</v>
      </c>
      <c r="H3888">
        <v>5</v>
      </c>
      <c r="I3888">
        <f>VLOOKUP(B3888,BRAND!B:D,3,FALSE)</f>
        <v>3</v>
      </c>
      <c r="J3888">
        <v>4</v>
      </c>
      <c r="L3888">
        <v>0</v>
      </c>
      <c r="M3888">
        <v>0</v>
      </c>
    </row>
    <row r="3889" spans="1:13">
      <c r="A3889" t="s">
        <v>4926</v>
      </c>
      <c r="B3889" t="s">
        <v>264</v>
      </c>
      <c r="C3889" s="34" t="s">
        <v>1438</v>
      </c>
      <c r="F3889" t="s">
        <v>1438</v>
      </c>
      <c r="G3889" t="s">
        <v>801</v>
      </c>
      <c r="H3889">
        <v>5</v>
      </c>
      <c r="I3889">
        <f>VLOOKUP(B3889,BRAND!B:D,3,FALSE)</f>
        <v>3</v>
      </c>
      <c r="J3889">
        <v>4</v>
      </c>
      <c r="M3889">
        <v>1</v>
      </c>
    </row>
    <row r="3890" spans="1:13">
      <c r="A3890" t="s">
        <v>9705</v>
      </c>
      <c r="B3890" t="s">
        <v>264</v>
      </c>
      <c r="C3890" s="34" t="s">
        <v>9532</v>
      </c>
      <c r="H3890">
        <v>5</v>
      </c>
      <c r="I3890">
        <f>VLOOKUP(B3890,BRAND!B:D,3,FALSE)</f>
        <v>3</v>
      </c>
      <c r="J3890">
        <v>0</v>
      </c>
      <c r="M3890">
        <v>1</v>
      </c>
    </row>
    <row r="3891" spans="1:13">
      <c r="A3891" t="s">
        <v>10782</v>
      </c>
      <c r="B3891" t="s">
        <v>264</v>
      </c>
      <c r="C3891" s="34" t="s">
        <v>913</v>
      </c>
      <c r="F3891" t="s">
        <v>913</v>
      </c>
      <c r="H3891">
        <v>5</v>
      </c>
    </row>
    <row r="3892" spans="1:13">
      <c r="A3892" t="str">
        <f>B3892&amp;" | "&amp;F3892&amp;" | "&amp;G3892</f>
        <v xml:space="preserve">GUINNESS | PORTER | </v>
      </c>
      <c r="B3892" t="s">
        <v>264</v>
      </c>
      <c r="C3892" t="s">
        <v>911</v>
      </c>
      <c r="F3892" t="s">
        <v>911</v>
      </c>
      <c r="H3892">
        <v>5</v>
      </c>
    </row>
    <row r="3893" spans="1:13">
      <c r="A3893" t="s">
        <v>4926</v>
      </c>
      <c r="B3893" t="s">
        <v>264</v>
      </c>
      <c r="C3893" s="34" t="s">
        <v>1438</v>
      </c>
      <c r="F3893" t="s">
        <v>1438</v>
      </c>
      <c r="G3893" t="s">
        <v>801</v>
      </c>
      <c r="H3893">
        <v>6</v>
      </c>
      <c r="I3893">
        <f>VLOOKUP(B3893,BRAND!B:D,3,FALSE)</f>
        <v>3</v>
      </c>
      <c r="J3893">
        <v>4</v>
      </c>
      <c r="K3893" t="s">
        <v>821</v>
      </c>
      <c r="M3893">
        <v>1</v>
      </c>
    </row>
    <row r="3894" spans="1:13">
      <c r="A3894" t="s">
        <v>2024</v>
      </c>
      <c r="B3894" t="s">
        <v>264</v>
      </c>
      <c r="C3894" s="34" t="s">
        <v>1438</v>
      </c>
      <c r="F3894" t="s">
        <v>1438</v>
      </c>
      <c r="H3894">
        <v>15</v>
      </c>
      <c r="I3894">
        <f>VLOOKUP(B3894,BRAND!B:D,3,FALSE)</f>
        <v>3</v>
      </c>
      <c r="J3894">
        <v>4</v>
      </c>
      <c r="K3894" t="s">
        <v>821</v>
      </c>
      <c r="L3894">
        <v>0</v>
      </c>
      <c r="M3894">
        <v>0</v>
      </c>
    </row>
    <row r="3895" spans="1:13">
      <c r="A3895" t="s">
        <v>2340</v>
      </c>
      <c r="B3895" t="s">
        <v>611</v>
      </c>
      <c r="C3895" s="34" t="s">
        <v>1967</v>
      </c>
      <c r="F3895" t="s">
        <v>1967</v>
      </c>
      <c r="H3895">
        <v>4</v>
      </c>
      <c r="I3895">
        <f>VLOOKUP(B3895,BRAND!B:D,3,FALSE)</f>
        <v>5</v>
      </c>
      <c r="J3895">
        <f>LEN(F3895)</f>
        <v>15</v>
      </c>
      <c r="K3895" t="s">
        <v>821</v>
      </c>
      <c r="L3895">
        <v>0</v>
      </c>
      <c r="M3895">
        <v>0</v>
      </c>
    </row>
    <row r="3896" spans="1:13">
      <c r="A3896" t="s">
        <v>10084</v>
      </c>
      <c r="B3896" t="s">
        <v>611</v>
      </c>
      <c r="C3896" s="34" t="s">
        <v>922</v>
      </c>
      <c r="F3896" t="s">
        <v>922</v>
      </c>
      <c r="H3896">
        <v>4</v>
      </c>
      <c r="I3896">
        <f>VLOOKUP(B3896,BRAND!B:D,3,FALSE)</f>
        <v>5</v>
      </c>
      <c r="J3896">
        <f>LEN(F3896)</f>
        <v>14</v>
      </c>
      <c r="K3896" t="s">
        <v>821</v>
      </c>
      <c r="L3896">
        <v>0</v>
      </c>
      <c r="M3896">
        <v>0</v>
      </c>
    </row>
    <row r="3897" spans="1:13">
      <c r="A3897" t="s">
        <v>10085</v>
      </c>
      <c r="B3897" t="s">
        <v>611</v>
      </c>
      <c r="C3897" s="34" t="s">
        <v>5297</v>
      </c>
      <c r="F3897" t="s">
        <v>5297</v>
      </c>
      <c r="H3897">
        <v>5</v>
      </c>
      <c r="I3897">
        <f>VLOOKUP(B3897,BRAND!B:D,3,FALSE)</f>
        <v>5</v>
      </c>
      <c r="J3897">
        <f>LEN(F3897)</f>
        <v>10</v>
      </c>
      <c r="K3897" t="s">
        <v>821</v>
      </c>
      <c r="L3897">
        <v>0</v>
      </c>
      <c r="M3897">
        <v>0</v>
      </c>
    </row>
    <row r="3898" spans="1:13">
      <c r="A3898" t="s">
        <v>4021</v>
      </c>
      <c r="B3898" t="s">
        <v>611</v>
      </c>
      <c r="C3898" s="34" t="s">
        <v>752</v>
      </c>
      <c r="F3898" t="s">
        <v>752</v>
      </c>
      <c r="H3898">
        <v>5</v>
      </c>
      <c r="I3898">
        <f>VLOOKUP(B3898,BRAND!B:D,3,FALSE)</f>
        <v>5</v>
      </c>
      <c r="J3898">
        <f>LEN(F3898)</f>
        <v>10</v>
      </c>
      <c r="K3898" t="s">
        <v>821</v>
      </c>
      <c r="M3898">
        <v>1</v>
      </c>
    </row>
    <row r="3899" spans="1:13">
      <c r="A3899" t="s">
        <v>10086</v>
      </c>
      <c r="B3899" t="s">
        <v>611</v>
      </c>
      <c r="C3899" s="34" t="s">
        <v>5443</v>
      </c>
      <c r="F3899" t="s">
        <v>1075</v>
      </c>
      <c r="H3899">
        <v>5</v>
      </c>
      <c r="I3899">
        <f>VLOOKUP(B3899,BRAND!B:D,3,FALSE)</f>
        <v>5</v>
      </c>
      <c r="J3899">
        <v>9</v>
      </c>
      <c r="K3899" t="s">
        <v>821</v>
      </c>
      <c r="L3899">
        <v>0</v>
      </c>
      <c r="M3899">
        <v>0</v>
      </c>
    </row>
    <row r="3900" spans="1:13">
      <c r="A3900" t="s">
        <v>10087</v>
      </c>
      <c r="B3900" t="s">
        <v>611</v>
      </c>
      <c r="C3900" s="34" t="s">
        <v>795</v>
      </c>
      <c r="F3900" t="s">
        <v>795</v>
      </c>
      <c r="H3900">
        <v>5</v>
      </c>
      <c r="I3900">
        <f>VLOOKUP(B3900,BRAND!B:D,3,FALSE)</f>
        <v>5</v>
      </c>
      <c r="J3900">
        <v>9</v>
      </c>
      <c r="K3900" t="s">
        <v>821</v>
      </c>
      <c r="L3900">
        <v>0</v>
      </c>
      <c r="M3900">
        <v>0</v>
      </c>
    </row>
    <row r="3901" spans="1:13">
      <c r="A3901" t="s">
        <v>4022</v>
      </c>
      <c r="B3901" t="s">
        <v>611</v>
      </c>
      <c r="C3901" s="34" t="s">
        <v>5510</v>
      </c>
      <c r="F3901" t="s">
        <v>840</v>
      </c>
      <c r="H3901">
        <v>5</v>
      </c>
      <c r="I3901">
        <f>VLOOKUP(B3901,BRAND!B:D,3,FALSE)</f>
        <v>5</v>
      </c>
      <c r="J3901">
        <v>9</v>
      </c>
      <c r="K3901" t="s">
        <v>821</v>
      </c>
      <c r="L3901">
        <v>0</v>
      </c>
      <c r="M3901">
        <v>0</v>
      </c>
    </row>
    <row r="3902" spans="1:13">
      <c r="A3902" t="s">
        <v>8359</v>
      </c>
      <c r="B3902" t="s">
        <v>611</v>
      </c>
      <c r="C3902" s="34" t="s">
        <v>904</v>
      </c>
      <c r="F3902" t="s">
        <v>904</v>
      </c>
      <c r="G3902" t="s">
        <v>6932</v>
      </c>
      <c r="H3902">
        <v>5</v>
      </c>
      <c r="I3902">
        <f>VLOOKUP(B3902,BRAND!B:D,3,FALSE)</f>
        <v>5</v>
      </c>
      <c r="J3902">
        <v>8</v>
      </c>
      <c r="M3902">
        <v>1</v>
      </c>
    </row>
    <row r="3903" spans="1:13">
      <c r="A3903" t="s">
        <v>8360</v>
      </c>
      <c r="B3903" t="s">
        <v>611</v>
      </c>
      <c r="C3903" s="34" t="s">
        <v>921</v>
      </c>
      <c r="F3903" t="s">
        <v>921</v>
      </c>
      <c r="G3903" t="s">
        <v>6932</v>
      </c>
      <c r="H3903">
        <v>5</v>
      </c>
      <c r="I3903">
        <f>VLOOKUP(B3903,BRAND!B:D,3,FALSE)</f>
        <v>5</v>
      </c>
      <c r="J3903">
        <v>8</v>
      </c>
      <c r="M3903">
        <v>1</v>
      </c>
    </row>
    <row r="3904" spans="1:13">
      <c r="A3904" t="s">
        <v>10088</v>
      </c>
      <c r="B3904" t="s">
        <v>611</v>
      </c>
      <c r="C3904" s="34" t="s">
        <v>1922</v>
      </c>
      <c r="F3904" t="s">
        <v>1922</v>
      </c>
      <c r="H3904">
        <v>5</v>
      </c>
      <c r="I3904">
        <f>VLOOKUP(B3904,BRAND!B:D,3,FALSE)</f>
        <v>5</v>
      </c>
      <c r="J3904">
        <v>6</v>
      </c>
      <c r="K3904" t="s">
        <v>821</v>
      </c>
      <c r="L3904">
        <v>0</v>
      </c>
      <c r="M3904">
        <v>0</v>
      </c>
    </row>
    <row r="3905" spans="1:13">
      <c r="A3905" t="s">
        <v>3739</v>
      </c>
      <c r="B3905" t="s">
        <v>611</v>
      </c>
      <c r="C3905" s="34" t="s">
        <v>534</v>
      </c>
      <c r="F3905" t="s">
        <v>534</v>
      </c>
      <c r="H3905">
        <v>5</v>
      </c>
      <c r="I3905">
        <f>VLOOKUP(B3905,BRAND!B:D,3,FALSE)</f>
        <v>5</v>
      </c>
      <c r="J3905">
        <v>6</v>
      </c>
      <c r="K3905" t="s">
        <v>821</v>
      </c>
      <c r="L3905">
        <v>0</v>
      </c>
      <c r="M3905">
        <v>0</v>
      </c>
    </row>
    <row r="3906" spans="1:13">
      <c r="A3906" t="s">
        <v>3648</v>
      </c>
      <c r="B3906" t="s">
        <v>611</v>
      </c>
      <c r="C3906" s="34" t="s">
        <v>772</v>
      </c>
      <c r="F3906" t="s">
        <v>772</v>
      </c>
      <c r="H3906">
        <v>5</v>
      </c>
      <c r="I3906">
        <f>VLOOKUP(B3906,BRAND!B:D,3,FALSE)</f>
        <v>5</v>
      </c>
      <c r="J3906">
        <v>6</v>
      </c>
      <c r="K3906" t="s">
        <v>821</v>
      </c>
      <c r="M3906">
        <v>1</v>
      </c>
    </row>
    <row r="3907" spans="1:13">
      <c r="A3907" t="s">
        <v>3442</v>
      </c>
      <c r="B3907" t="s">
        <v>611</v>
      </c>
      <c r="C3907" s="34" t="s">
        <v>787</v>
      </c>
      <c r="F3907" t="s">
        <v>787</v>
      </c>
      <c r="H3907">
        <v>5</v>
      </c>
      <c r="I3907">
        <f>VLOOKUP(B3907,BRAND!B:D,3,FALSE)</f>
        <v>5</v>
      </c>
      <c r="J3907">
        <v>6</v>
      </c>
      <c r="K3907" t="s">
        <v>821</v>
      </c>
      <c r="M3907">
        <v>1</v>
      </c>
    </row>
    <row r="3908" spans="1:13">
      <c r="A3908" t="s">
        <v>5163</v>
      </c>
      <c r="B3908" t="s">
        <v>611</v>
      </c>
      <c r="C3908" s="34" t="s">
        <v>751</v>
      </c>
      <c r="F3908" t="s">
        <v>751</v>
      </c>
      <c r="H3908">
        <v>5</v>
      </c>
      <c r="I3908">
        <f>VLOOKUP(B3908,BRAND!B:D,3,FALSE)</f>
        <v>5</v>
      </c>
      <c r="J3908">
        <v>5</v>
      </c>
      <c r="K3908" t="s">
        <v>821</v>
      </c>
      <c r="L3908">
        <v>0</v>
      </c>
      <c r="M3908">
        <v>0</v>
      </c>
    </row>
    <row r="3909" spans="1:13">
      <c r="A3909" t="s">
        <v>3352</v>
      </c>
      <c r="B3909" t="s">
        <v>611</v>
      </c>
      <c r="C3909" s="34" t="s">
        <v>842</v>
      </c>
      <c r="F3909" t="s">
        <v>842</v>
      </c>
      <c r="H3909">
        <v>5</v>
      </c>
      <c r="I3909">
        <f>VLOOKUP(B3909,BRAND!B:D,3,FALSE)</f>
        <v>5</v>
      </c>
      <c r="J3909">
        <v>5</v>
      </c>
      <c r="K3909" t="s">
        <v>821</v>
      </c>
      <c r="L3909">
        <v>0</v>
      </c>
      <c r="M3909">
        <v>0</v>
      </c>
    </row>
    <row r="3910" spans="1:13">
      <c r="A3910" t="s">
        <v>10089</v>
      </c>
      <c r="B3910" t="s">
        <v>611</v>
      </c>
      <c r="C3910" s="34" t="s">
        <v>1916</v>
      </c>
      <c r="F3910" t="s">
        <v>1916</v>
      </c>
      <c r="H3910">
        <v>5</v>
      </c>
      <c r="I3910">
        <f>VLOOKUP(B3910,BRAND!B:D,3,FALSE)</f>
        <v>5</v>
      </c>
      <c r="J3910">
        <v>5</v>
      </c>
      <c r="K3910" t="s">
        <v>821</v>
      </c>
      <c r="L3910">
        <v>0</v>
      </c>
      <c r="M3910">
        <v>0</v>
      </c>
    </row>
    <row r="3911" spans="1:13">
      <c r="A3911" t="s">
        <v>2896</v>
      </c>
      <c r="B3911" t="s">
        <v>611</v>
      </c>
      <c r="C3911" s="34" t="s">
        <v>536</v>
      </c>
      <c r="F3911" t="s">
        <v>536</v>
      </c>
      <c r="H3911">
        <v>5</v>
      </c>
      <c r="I3911">
        <f>VLOOKUP(B3911,BRAND!B:D,3,FALSE)</f>
        <v>5</v>
      </c>
      <c r="J3911">
        <v>5</v>
      </c>
      <c r="K3911" t="s">
        <v>821</v>
      </c>
      <c r="M3911">
        <v>1</v>
      </c>
    </row>
    <row r="3912" spans="1:13">
      <c r="A3912" t="s">
        <v>5292</v>
      </c>
      <c r="B3912" t="s">
        <v>611</v>
      </c>
      <c r="C3912" s="34" t="s">
        <v>5388</v>
      </c>
      <c r="F3912" t="s">
        <v>913</v>
      </c>
      <c r="H3912">
        <v>5</v>
      </c>
      <c r="I3912">
        <f>VLOOKUP(B3912,BRAND!B:D,3,FALSE)</f>
        <v>5</v>
      </c>
      <c r="J3912">
        <v>5</v>
      </c>
      <c r="K3912" t="s">
        <v>821</v>
      </c>
      <c r="M3912">
        <v>1</v>
      </c>
    </row>
    <row r="3913" spans="1:13">
      <c r="A3913" t="s">
        <v>10090</v>
      </c>
      <c r="B3913" t="s">
        <v>611</v>
      </c>
      <c r="C3913" s="34" t="s">
        <v>765</v>
      </c>
      <c r="F3913" t="s">
        <v>765</v>
      </c>
      <c r="H3913">
        <v>5</v>
      </c>
      <c r="I3913">
        <f>VLOOKUP(B3913,BRAND!B:D,3,FALSE)</f>
        <v>5</v>
      </c>
      <c r="J3913">
        <v>4</v>
      </c>
      <c r="K3913" t="s">
        <v>821</v>
      </c>
      <c r="L3913">
        <v>0</v>
      </c>
      <c r="M3913">
        <v>0</v>
      </c>
    </row>
    <row r="3914" spans="1:13">
      <c r="A3914" t="s">
        <v>10091</v>
      </c>
      <c r="B3914" t="s">
        <v>611</v>
      </c>
      <c r="C3914" s="34" t="s">
        <v>5362</v>
      </c>
      <c r="F3914" t="s">
        <v>5362</v>
      </c>
      <c r="H3914">
        <v>5</v>
      </c>
      <c r="I3914">
        <f>VLOOKUP(B3914,BRAND!B:D,3,FALSE)</f>
        <v>5</v>
      </c>
      <c r="J3914">
        <v>4</v>
      </c>
      <c r="K3914" t="s">
        <v>821</v>
      </c>
      <c r="L3914">
        <v>0</v>
      </c>
      <c r="M3914">
        <v>0</v>
      </c>
    </row>
    <row r="3915" spans="1:13">
      <c r="A3915" t="s">
        <v>3900</v>
      </c>
      <c r="B3915" t="s">
        <v>611</v>
      </c>
      <c r="C3915" s="34" t="s">
        <v>775</v>
      </c>
      <c r="F3915" t="s">
        <v>775</v>
      </c>
      <c r="H3915">
        <v>5</v>
      </c>
      <c r="I3915">
        <f>VLOOKUP(B3915,BRAND!B:D,3,FALSE)</f>
        <v>5</v>
      </c>
      <c r="J3915">
        <v>3</v>
      </c>
      <c r="K3915" t="s">
        <v>821</v>
      </c>
      <c r="M3915">
        <v>1</v>
      </c>
    </row>
    <row r="3916" spans="1:13">
      <c r="A3916" t="s">
        <v>9706</v>
      </c>
      <c r="B3916" t="s">
        <v>611</v>
      </c>
      <c r="C3916" s="34" t="s">
        <v>1438</v>
      </c>
      <c r="G3916" t="s">
        <v>6932</v>
      </c>
      <c r="H3916">
        <v>5</v>
      </c>
      <c r="I3916">
        <f>VLOOKUP(B3916,BRAND!B:D,3,FALSE)</f>
        <v>5</v>
      </c>
      <c r="J3916">
        <v>0</v>
      </c>
      <c r="M3916">
        <v>1</v>
      </c>
    </row>
    <row r="3917" spans="1:13">
      <c r="A3917" t="s">
        <v>9707</v>
      </c>
      <c r="B3917" t="s">
        <v>611</v>
      </c>
      <c r="C3917" s="34" t="s">
        <v>840</v>
      </c>
      <c r="G3917" t="s">
        <v>6932</v>
      </c>
      <c r="H3917">
        <v>5</v>
      </c>
      <c r="I3917">
        <f>VLOOKUP(B3917,BRAND!B:D,3,FALSE)</f>
        <v>5</v>
      </c>
      <c r="J3917">
        <v>0</v>
      </c>
      <c r="M3917">
        <v>1</v>
      </c>
    </row>
    <row r="3918" spans="1:13">
      <c r="A3918" t="s">
        <v>5291</v>
      </c>
      <c r="B3918" t="s">
        <v>611</v>
      </c>
      <c r="C3918" s="34" t="s">
        <v>1438</v>
      </c>
      <c r="F3918" t="s">
        <v>1438</v>
      </c>
      <c r="H3918">
        <v>15</v>
      </c>
      <c r="I3918">
        <f>VLOOKUP(B3918,BRAND!B:D,3,FALSE)</f>
        <v>5</v>
      </c>
      <c r="J3918">
        <v>4</v>
      </c>
      <c r="K3918" t="s">
        <v>821</v>
      </c>
      <c r="M3918">
        <v>1</v>
      </c>
    </row>
    <row r="3919" spans="1:13">
      <c r="A3919" t="s">
        <v>2896</v>
      </c>
      <c r="B3919" t="s">
        <v>611</v>
      </c>
      <c r="C3919" s="34" t="s">
        <v>5235</v>
      </c>
      <c r="F3919" t="s">
        <v>1438</v>
      </c>
      <c r="H3919">
        <v>15</v>
      </c>
      <c r="I3919">
        <f>VLOOKUP(B3919,BRAND!B:D,3,FALSE)</f>
        <v>5</v>
      </c>
      <c r="J3919">
        <v>4</v>
      </c>
      <c r="K3919" t="s">
        <v>821</v>
      </c>
      <c r="L3919" t="s">
        <v>6535</v>
      </c>
      <c r="M3919">
        <v>1</v>
      </c>
    </row>
    <row r="3920" spans="1:13">
      <c r="A3920" t="s">
        <v>8361</v>
      </c>
      <c r="B3920" t="s">
        <v>8362</v>
      </c>
      <c r="C3920" s="34" t="s">
        <v>840</v>
      </c>
      <c r="F3920" t="s">
        <v>840</v>
      </c>
      <c r="G3920" t="s">
        <v>6932</v>
      </c>
      <c r="H3920">
        <v>5</v>
      </c>
      <c r="I3920">
        <f>VLOOKUP(B3920,BRAND!B:D,3,FALSE)</f>
        <v>5.5</v>
      </c>
      <c r="J3920">
        <v>9</v>
      </c>
      <c r="M3920">
        <v>1</v>
      </c>
    </row>
    <row r="3921" spans="1:13">
      <c r="A3921" t="s">
        <v>8363</v>
      </c>
      <c r="B3921" t="s">
        <v>8362</v>
      </c>
      <c r="C3921" s="34" t="s">
        <v>534</v>
      </c>
      <c r="F3921" t="s">
        <v>534</v>
      </c>
      <c r="G3921" t="s">
        <v>6932</v>
      </c>
      <c r="H3921">
        <v>5</v>
      </c>
      <c r="I3921">
        <f>VLOOKUP(B3921,BRAND!B:D,3,FALSE)</f>
        <v>5.5</v>
      </c>
      <c r="J3921">
        <v>6</v>
      </c>
      <c r="M3921">
        <v>1</v>
      </c>
    </row>
    <row r="3922" spans="1:13">
      <c r="A3922" t="s">
        <v>8364</v>
      </c>
      <c r="B3922" t="s">
        <v>8362</v>
      </c>
      <c r="C3922" s="34" t="s">
        <v>536</v>
      </c>
      <c r="F3922" t="s">
        <v>536</v>
      </c>
      <c r="G3922" t="s">
        <v>6932</v>
      </c>
      <c r="H3922">
        <v>5</v>
      </c>
      <c r="I3922">
        <f>VLOOKUP(B3922,BRAND!B:D,3,FALSE)</f>
        <v>5.5</v>
      </c>
      <c r="J3922">
        <v>5</v>
      </c>
      <c r="M3922">
        <v>1</v>
      </c>
    </row>
    <row r="3923" spans="1:13">
      <c r="A3923" t="s">
        <v>4770</v>
      </c>
      <c r="B3923" t="s">
        <v>86</v>
      </c>
      <c r="C3923" s="34" t="s">
        <v>534</v>
      </c>
      <c r="F3923" t="s">
        <v>534</v>
      </c>
      <c r="H3923">
        <v>5</v>
      </c>
      <c r="I3923">
        <f>VLOOKUP(B3923,BRAND!B:D,3,FALSE)</f>
        <v>3</v>
      </c>
      <c r="J3923">
        <v>6</v>
      </c>
      <c r="K3923" t="s">
        <v>821</v>
      </c>
      <c r="M3923">
        <v>1</v>
      </c>
    </row>
    <row r="3924" spans="1:13">
      <c r="A3924" t="s">
        <v>3644</v>
      </c>
      <c r="B3924" t="s">
        <v>86</v>
      </c>
      <c r="C3924" s="34" t="s">
        <v>5232</v>
      </c>
      <c r="F3924" t="s">
        <v>536</v>
      </c>
      <c r="H3924">
        <v>5</v>
      </c>
      <c r="I3924">
        <f>VLOOKUP(B3924,BRAND!B:D,3,FALSE)</f>
        <v>3</v>
      </c>
      <c r="J3924">
        <v>5</v>
      </c>
      <c r="K3924" t="s">
        <v>821</v>
      </c>
      <c r="L3924">
        <v>0</v>
      </c>
      <c r="M3924">
        <v>0</v>
      </c>
    </row>
    <row r="3925" spans="1:13">
      <c r="A3925" t="s">
        <v>2280</v>
      </c>
      <c r="B3925" t="s">
        <v>265</v>
      </c>
      <c r="C3925" s="34" t="s">
        <v>777</v>
      </c>
      <c r="F3925" t="s">
        <v>777</v>
      </c>
      <c r="H3925">
        <v>5</v>
      </c>
      <c r="I3925">
        <f>VLOOKUP(B3925,BRAND!B:D,3,FALSE)</f>
        <v>3</v>
      </c>
      <c r="J3925">
        <v>7</v>
      </c>
      <c r="K3925" t="s">
        <v>821</v>
      </c>
      <c r="M3925">
        <v>1</v>
      </c>
    </row>
    <row r="3926" spans="1:13">
      <c r="A3926" t="s">
        <v>2617</v>
      </c>
      <c r="B3926" t="s">
        <v>265</v>
      </c>
      <c r="C3926" s="34" t="s">
        <v>742</v>
      </c>
      <c r="F3926" t="s">
        <v>742</v>
      </c>
      <c r="H3926">
        <v>5</v>
      </c>
      <c r="I3926">
        <f>VLOOKUP(B3926,BRAND!B:D,3,FALSE)</f>
        <v>3</v>
      </c>
      <c r="J3926">
        <v>6</v>
      </c>
      <c r="K3926" t="s">
        <v>821</v>
      </c>
      <c r="L3926">
        <v>0</v>
      </c>
      <c r="M3926">
        <v>0</v>
      </c>
    </row>
    <row r="3927" spans="1:13">
      <c r="A3927" t="s">
        <v>2279</v>
      </c>
      <c r="B3927" t="s">
        <v>265</v>
      </c>
      <c r="C3927" s="34" t="s">
        <v>996</v>
      </c>
      <c r="F3927" t="s">
        <v>996</v>
      </c>
      <c r="H3927">
        <v>5</v>
      </c>
      <c r="I3927">
        <f>VLOOKUP(B3927,BRAND!B:D,3,FALSE)</f>
        <v>3</v>
      </c>
      <c r="J3927">
        <v>6</v>
      </c>
      <c r="K3927" t="s">
        <v>821</v>
      </c>
      <c r="L3927">
        <v>0</v>
      </c>
      <c r="M3927">
        <v>0</v>
      </c>
    </row>
    <row r="3928" spans="1:13">
      <c r="A3928" t="s">
        <v>7291</v>
      </c>
      <c r="B3928" t="s">
        <v>265</v>
      </c>
      <c r="C3928" s="34" t="s">
        <v>1438</v>
      </c>
      <c r="F3928" t="s">
        <v>1438</v>
      </c>
      <c r="G3928" t="s">
        <v>801</v>
      </c>
      <c r="H3928">
        <v>5</v>
      </c>
      <c r="I3928">
        <f>VLOOKUP(B3928,BRAND!B:D,3,FALSE)</f>
        <v>3</v>
      </c>
      <c r="J3928">
        <v>4</v>
      </c>
      <c r="L3928">
        <v>0</v>
      </c>
      <c r="M3928">
        <v>0</v>
      </c>
    </row>
    <row r="3929" spans="1:13" ht="18.649999999999999" customHeight="1">
      <c r="A3929" t="s">
        <v>2616</v>
      </c>
      <c r="B3929" t="s">
        <v>265</v>
      </c>
      <c r="C3929" s="34" t="s">
        <v>13673</v>
      </c>
      <c r="F3929" t="s">
        <v>561</v>
      </c>
      <c r="H3929">
        <v>5</v>
      </c>
      <c r="I3929">
        <f>VLOOKUP(B3929,BRAND!B:D,3,FALSE)</f>
        <v>3</v>
      </c>
      <c r="J3929">
        <v>3</v>
      </c>
      <c r="K3929" t="s">
        <v>821</v>
      </c>
      <c r="L3929">
        <v>0</v>
      </c>
      <c r="M3929">
        <v>0</v>
      </c>
    </row>
    <row r="3930" spans="1:13">
      <c r="A3930" t="s">
        <v>9708</v>
      </c>
      <c r="B3930" t="s">
        <v>265</v>
      </c>
      <c r="C3930" s="34" t="s">
        <v>536</v>
      </c>
      <c r="G3930" t="s">
        <v>6932</v>
      </c>
      <c r="H3930">
        <v>5</v>
      </c>
      <c r="I3930">
        <f>VLOOKUP(B3930,BRAND!B:D,3,FALSE)</f>
        <v>3</v>
      </c>
      <c r="J3930">
        <v>0</v>
      </c>
      <c r="M3930">
        <v>1</v>
      </c>
    </row>
    <row r="3931" spans="1:13">
      <c r="A3931" t="s">
        <v>9709</v>
      </c>
      <c r="B3931" t="s">
        <v>265</v>
      </c>
      <c r="C3931" s="34" t="s">
        <v>9996</v>
      </c>
      <c r="H3931">
        <v>5</v>
      </c>
      <c r="I3931">
        <f>VLOOKUP(B3931,BRAND!B:D,3,FALSE)</f>
        <v>3</v>
      </c>
      <c r="J3931">
        <v>0</v>
      </c>
      <c r="M3931">
        <v>1</v>
      </c>
    </row>
    <row r="3932" spans="1:13">
      <c r="A3932" t="s">
        <v>9710</v>
      </c>
      <c r="B3932" t="s">
        <v>265</v>
      </c>
      <c r="C3932" s="34" t="s">
        <v>776</v>
      </c>
      <c r="G3932" t="s">
        <v>801</v>
      </c>
      <c r="H3932">
        <v>5</v>
      </c>
      <c r="I3932">
        <f>VLOOKUP(B3932,BRAND!B:D,3,FALSE)</f>
        <v>3</v>
      </c>
      <c r="J3932">
        <v>0</v>
      </c>
      <c r="M3932">
        <v>1</v>
      </c>
    </row>
    <row r="3933" spans="1:13">
      <c r="A3933" t="s">
        <v>9711</v>
      </c>
      <c r="B3933" t="s">
        <v>265</v>
      </c>
      <c r="C3933" s="34" t="s">
        <v>7130</v>
      </c>
      <c r="G3933" t="s">
        <v>6932</v>
      </c>
      <c r="H3933">
        <v>5</v>
      </c>
      <c r="I3933">
        <f>VLOOKUP(B3933,BRAND!B:D,3,FALSE)</f>
        <v>3</v>
      </c>
      <c r="J3933">
        <v>0</v>
      </c>
      <c r="M3933">
        <v>1</v>
      </c>
    </row>
    <row r="3934" spans="1:13">
      <c r="A3934" t="s">
        <v>7291</v>
      </c>
      <c r="B3934" t="s">
        <v>265</v>
      </c>
      <c r="C3934" s="34" t="s">
        <v>1438</v>
      </c>
      <c r="F3934" t="s">
        <v>1438</v>
      </c>
      <c r="G3934" t="s">
        <v>801</v>
      </c>
      <c r="H3934">
        <v>5</v>
      </c>
      <c r="I3934">
        <f>VLOOKUP(B3934,BRAND!B:D,3,FALSE)</f>
        <v>3</v>
      </c>
      <c r="L3934">
        <v>0</v>
      </c>
      <c r="M3934">
        <v>0</v>
      </c>
    </row>
    <row r="3935" spans="1:13">
      <c r="A3935" t="s">
        <v>7292</v>
      </c>
      <c r="B3935" t="s">
        <v>265</v>
      </c>
      <c r="C3935" s="34" t="s">
        <v>561</v>
      </c>
      <c r="F3935" t="s">
        <v>561</v>
      </c>
      <c r="G3935" t="s">
        <v>801</v>
      </c>
      <c r="H3935">
        <v>5</v>
      </c>
      <c r="I3935">
        <f>VLOOKUP(B3935,BRAND!B:D,3,FALSE)</f>
        <v>3</v>
      </c>
      <c r="M3935">
        <v>1</v>
      </c>
    </row>
    <row r="3936" spans="1:13">
      <c r="A3936" t="str">
        <f>B3936&amp;" | "&amp;F3936&amp;" | "&amp;G3936</f>
        <v xml:space="preserve">GULPENER | GLADIATOR | </v>
      </c>
      <c r="B3936" t="s">
        <v>265</v>
      </c>
      <c r="C3936" t="s">
        <v>10865</v>
      </c>
      <c r="F3936" t="s">
        <v>10865</v>
      </c>
      <c r="H3936">
        <v>5</v>
      </c>
    </row>
    <row r="3937" spans="1:13">
      <c r="A3937" t="s">
        <v>13674</v>
      </c>
      <c r="B3937" t="s">
        <v>265</v>
      </c>
      <c r="C3937" s="34" t="s">
        <v>11979</v>
      </c>
      <c r="F3937" t="s">
        <v>8349</v>
      </c>
      <c r="G3937" t="s">
        <v>6932</v>
      </c>
      <c r="H3937">
        <v>5</v>
      </c>
    </row>
    <row r="3938" spans="1:13">
      <c r="A3938" t="s">
        <v>12068</v>
      </c>
      <c r="B3938" t="s">
        <v>265</v>
      </c>
      <c r="C3938" s="34" t="s">
        <v>6924</v>
      </c>
      <c r="F3938" t="s">
        <v>6924</v>
      </c>
      <c r="G3938" t="s">
        <v>6932</v>
      </c>
      <c r="H3938">
        <v>5</v>
      </c>
    </row>
    <row r="3939" spans="1:13">
      <c r="A3939" t="s">
        <v>12069</v>
      </c>
      <c r="B3939" t="s">
        <v>265</v>
      </c>
      <c r="C3939" s="34" t="s">
        <v>12070</v>
      </c>
      <c r="F3939" t="s">
        <v>12070</v>
      </c>
      <c r="G3939" t="s">
        <v>6932</v>
      </c>
      <c r="H3939">
        <v>5</v>
      </c>
    </row>
    <row r="3940" spans="1:13">
      <c r="A3940" t="s">
        <v>12071</v>
      </c>
      <c r="B3940" t="s">
        <v>265</v>
      </c>
      <c r="C3940" s="34" t="s">
        <v>8397</v>
      </c>
      <c r="F3940" t="s">
        <v>795</v>
      </c>
      <c r="G3940" t="s">
        <v>6932</v>
      </c>
      <c r="H3940">
        <v>5</v>
      </c>
    </row>
    <row r="3941" spans="1:13">
      <c r="A3941" t="s">
        <v>12072</v>
      </c>
      <c r="B3941" t="s">
        <v>265</v>
      </c>
      <c r="C3941" s="34" t="s">
        <v>534</v>
      </c>
      <c r="F3941" t="s">
        <v>534</v>
      </c>
      <c r="G3941" t="s">
        <v>6932</v>
      </c>
      <c r="H3941">
        <v>5</v>
      </c>
    </row>
    <row r="3942" spans="1:13">
      <c r="A3942" t="s">
        <v>8366</v>
      </c>
      <c r="B3942" t="s">
        <v>8367</v>
      </c>
      <c r="C3942" s="34" t="s">
        <v>536</v>
      </c>
      <c r="F3942" t="s">
        <v>536</v>
      </c>
      <c r="G3942" t="s">
        <v>6932</v>
      </c>
      <c r="H3942">
        <v>5</v>
      </c>
      <c r="I3942">
        <f>VLOOKUP(B3942,BRAND!B:D,3,FALSE)</f>
        <v>5.5</v>
      </c>
      <c r="J3942">
        <v>5</v>
      </c>
      <c r="L3942" t="s">
        <v>6535</v>
      </c>
      <c r="M3942">
        <v>1</v>
      </c>
    </row>
    <row r="3943" spans="1:13">
      <c r="A3943" t="s">
        <v>8368</v>
      </c>
      <c r="B3943" t="s">
        <v>8369</v>
      </c>
      <c r="C3943" s="34" t="s">
        <v>1438</v>
      </c>
      <c r="F3943" t="s">
        <v>1438</v>
      </c>
      <c r="G3943" t="s">
        <v>6932</v>
      </c>
      <c r="H3943">
        <v>5</v>
      </c>
      <c r="I3943">
        <f>VLOOKUP(B3943,BRAND!B:D,3,FALSE)</f>
        <v>5.5</v>
      </c>
      <c r="J3943">
        <v>4</v>
      </c>
      <c r="M3943">
        <v>1</v>
      </c>
    </row>
    <row r="3944" spans="1:13">
      <c r="A3944" t="s">
        <v>8370</v>
      </c>
      <c r="B3944" t="s">
        <v>8371</v>
      </c>
      <c r="C3944" s="34" t="s">
        <v>1438</v>
      </c>
      <c r="F3944" t="s">
        <v>1438</v>
      </c>
      <c r="G3944" t="s">
        <v>6932</v>
      </c>
      <c r="H3944">
        <v>5</v>
      </c>
      <c r="I3944">
        <f>VLOOKUP(B3944,BRAND!B:D,3,FALSE)</f>
        <v>5.5</v>
      </c>
      <c r="J3944">
        <v>4</v>
      </c>
      <c r="M3944">
        <v>1</v>
      </c>
    </row>
    <row r="3945" spans="1:13">
      <c r="A3945" t="s">
        <v>2572</v>
      </c>
      <c r="B3945" t="s">
        <v>1275</v>
      </c>
      <c r="C3945" s="34" t="s">
        <v>1438</v>
      </c>
      <c r="F3945" t="s">
        <v>1438</v>
      </c>
      <c r="H3945">
        <v>15</v>
      </c>
      <c r="I3945">
        <f>VLOOKUP(B3945,BRAND!B:D,3,FALSE)</f>
        <v>3</v>
      </c>
      <c r="J3945">
        <v>4</v>
      </c>
      <c r="K3945" t="s">
        <v>821</v>
      </c>
      <c r="L3945">
        <v>0</v>
      </c>
      <c r="M3945">
        <v>0</v>
      </c>
    </row>
    <row r="3946" spans="1:13">
      <c r="A3946" t="s">
        <v>2803</v>
      </c>
      <c r="B3946" t="s">
        <v>1276</v>
      </c>
      <c r="C3946" s="34" t="s">
        <v>1438</v>
      </c>
      <c r="F3946" t="s">
        <v>1438</v>
      </c>
      <c r="H3946">
        <v>15</v>
      </c>
      <c r="I3946">
        <f>VLOOKUP(B3946,BRAND!B:D,3,FALSE)</f>
        <v>3</v>
      </c>
      <c r="J3946">
        <v>4</v>
      </c>
      <c r="K3946" t="s">
        <v>821</v>
      </c>
      <c r="L3946">
        <v>0</v>
      </c>
      <c r="M3946">
        <v>0</v>
      </c>
    </row>
    <row r="3947" spans="1:13">
      <c r="A3947" t="s">
        <v>2187</v>
      </c>
      <c r="B3947" t="s">
        <v>1045</v>
      </c>
      <c r="C3947" s="34" t="s">
        <v>1438</v>
      </c>
      <c r="F3947" t="s">
        <v>1438</v>
      </c>
      <c r="H3947">
        <v>15</v>
      </c>
      <c r="I3947">
        <f>VLOOKUP(B3947,BRAND!B:D,3,FALSE)</f>
        <v>3</v>
      </c>
      <c r="J3947">
        <v>4</v>
      </c>
      <c r="K3947" t="s">
        <v>821</v>
      </c>
      <c r="L3947">
        <v>0</v>
      </c>
      <c r="M3947">
        <v>0</v>
      </c>
    </row>
    <row r="3948" spans="1:13">
      <c r="A3948" t="s">
        <v>4028</v>
      </c>
      <c r="B3948" t="s">
        <v>411</v>
      </c>
      <c r="C3948" s="34" t="s">
        <v>1966</v>
      </c>
      <c r="F3948" t="s">
        <v>1966</v>
      </c>
      <c r="H3948">
        <v>4</v>
      </c>
      <c r="I3948">
        <f>VLOOKUP(B3948,BRAND!B:D,3,FALSE)</f>
        <v>3</v>
      </c>
      <c r="J3948">
        <f>LEN(F3948)</f>
        <v>12</v>
      </c>
      <c r="K3948" t="s">
        <v>821</v>
      </c>
      <c r="L3948">
        <v>0</v>
      </c>
      <c r="M3948">
        <v>0</v>
      </c>
    </row>
    <row r="3949" spans="1:13">
      <c r="A3949" t="s">
        <v>4026</v>
      </c>
      <c r="B3949" t="s">
        <v>411</v>
      </c>
      <c r="C3949" s="34" t="s">
        <v>961</v>
      </c>
      <c r="F3949" t="s">
        <v>961</v>
      </c>
      <c r="H3949">
        <v>4</v>
      </c>
      <c r="I3949">
        <f>VLOOKUP(B3949,BRAND!B:D,3,FALSE)</f>
        <v>3</v>
      </c>
      <c r="J3949">
        <f>LEN(F3949)</f>
        <v>12</v>
      </c>
      <c r="K3949" t="s">
        <v>821</v>
      </c>
      <c r="M3949">
        <v>1</v>
      </c>
    </row>
    <row r="3950" spans="1:13">
      <c r="A3950" t="s">
        <v>4027</v>
      </c>
      <c r="B3950" t="s">
        <v>411</v>
      </c>
      <c r="C3950" s="34" t="s">
        <v>931</v>
      </c>
      <c r="F3950" t="s">
        <v>931</v>
      </c>
      <c r="H3950">
        <v>5</v>
      </c>
      <c r="I3950">
        <f>VLOOKUP(B3950,BRAND!B:D,3,FALSE)</f>
        <v>3</v>
      </c>
      <c r="J3950">
        <f>LEN(F3950)</f>
        <v>11</v>
      </c>
      <c r="K3950" t="s">
        <v>821</v>
      </c>
      <c r="M3950">
        <v>1</v>
      </c>
    </row>
    <row r="3951" spans="1:13">
      <c r="A3951" t="s">
        <v>4857</v>
      </c>
      <c r="B3951" t="s">
        <v>411</v>
      </c>
      <c r="C3951" s="34" t="s">
        <v>777</v>
      </c>
      <c r="F3951" t="s">
        <v>777</v>
      </c>
      <c r="H3951">
        <v>5</v>
      </c>
      <c r="I3951">
        <f>VLOOKUP(B3951,BRAND!B:D,3,FALSE)</f>
        <v>3</v>
      </c>
      <c r="J3951">
        <v>7</v>
      </c>
      <c r="K3951" t="s">
        <v>821</v>
      </c>
      <c r="L3951">
        <v>0</v>
      </c>
      <c r="M3951">
        <v>0</v>
      </c>
    </row>
    <row r="3952" spans="1:13">
      <c r="A3952" t="s">
        <v>3280</v>
      </c>
      <c r="B3952" t="s">
        <v>411</v>
      </c>
      <c r="C3952" s="34" t="s">
        <v>772</v>
      </c>
      <c r="F3952" t="s">
        <v>772</v>
      </c>
      <c r="H3952">
        <v>5</v>
      </c>
      <c r="I3952">
        <f>VLOOKUP(B3952,BRAND!B:D,3,FALSE)</f>
        <v>3</v>
      </c>
      <c r="J3952">
        <v>6</v>
      </c>
      <c r="K3952" t="s">
        <v>821</v>
      </c>
      <c r="L3952">
        <v>0</v>
      </c>
      <c r="M3952">
        <v>0</v>
      </c>
    </row>
    <row r="3953" spans="1:13">
      <c r="A3953" t="s">
        <v>3279</v>
      </c>
      <c r="B3953" t="s">
        <v>411</v>
      </c>
      <c r="C3953" s="34" t="s">
        <v>5232</v>
      </c>
      <c r="F3953" t="s">
        <v>536</v>
      </c>
      <c r="H3953">
        <v>5</v>
      </c>
      <c r="I3953">
        <f>VLOOKUP(B3953,BRAND!B:D,3,FALSE)</f>
        <v>3</v>
      </c>
      <c r="J3953">
        <v>5</v>
      </c>
      <c r="K3953" t="s">
        <v>821</v>
      </c>
      <c r="L3953">
        <v>0</v>
      </c>
      <c r="M3953">
        <v>0</v>
      </c>
    </row>
    <row r="3954" spans="1:13">
      <c r="A3954" t="s">
        <v>8372</v>
      </c>
      <c r="B3954" t="s">
        <v>411</v>
      </c>
      <c r="C3954" s="34" t="s">
        <v>7265</v>
      </c>
      <c r="F3954" t="s">
        <v>7265</v>
      </c>
      <c r="G3954" t="s">
        <v>6932</v>
      </c>
      <c r="H3954">
        <v>5</v>
      </c>
      <c r="I3954">
        <f>VLOOKUP(B3954,BRAND!B:D,3,FALSE)</f>
        <v>3</v>
      </c>
      <c r="J3954">
        <v>5</v>
      </c>
      <c r="M3954">
        <v>1</v>
      </c>
    </row>
    <row r="3955" spans="1:13">
      <c r="A3955" t="s">
        <v>5293</v>
      </c>
      <c r="B3955" t="s">
        <v>411</v>
      </c>
      <c r="C3955" s="34" t="s">
        <v>5389</v>
      </c>
      <c r="F3955" t="s">
        <v>776</v>
      </c>
      <c r="H3955">
        <v>15</v>
      </c>
      <c r="I3955">
        <f>VLOOKUP(B3955,BRAND!B:D,3,FALSE)</f>
        <v>3</v>
      </c>
      <c r="J3955">
        <v>5</v>
      </c>
      <c r="K3955" t="s">
        <v>821</v>
      </c>
      <c r="L3955">
        <v>0</v>
      </c>
      <c r="M3955">
        <v>0</v>
      </c>
    </row>
    <row r="3956" spans="1:13">
      <c r="A3956" t="s">
        <v>8376</v>
      </c>
      <c r="B3956" t="s">
        <v>8374</v>
      </c>
      <c r="C3956" s="34" t="s">
        <v>8377</v>
      </c>
      <c r="F3956" t="s">
        <v>8377</v>
      </c>
      <c r="G3956" t="s">
        <v>6932</v>
      </c>
      <c r="H3956">
        <v>5</v>
      </c>
      <c r="I3956">
        <f>VLOOKUP(B3956,BRAND!B:D,3,FALSE)</f>
        <v>5.5</v>
      </c>
      <c r="J3956">
        <v>8</v>
      </c>
      <c r="L3956">
        <v>0</v>
      </c>
      <c r="M3956">
        <v>0</v>
      </c>
    </row>
    <row r="3957" spans="1:13">
      <c r="A3957" t="s">
        <v>8373</v>
      </c>
      <c r="B3957" t="s">
        <v>8374</v>
      </c>
      <c r="C3957" s="34">
        <v>10</v>
      </c>
      <c r="F3957">
        <v>10</v>
      </c>
      <c r="G3957" t="s">
        <v>6932</v>
      </c>
      <c r="H3957">
        <v>5</v>
      </c>
      <c r="I3957">
        <f>VLOOKUP(B3957,BRAND!B:D,3,FALSE)</f>
        <v>5.5</v>
      </c>
      <c r="J3957">
        <v>2</v>
      </c>
      <c r="M3957">
        <v>1</v>
      </c>
    </row>
    <row r="3958" spans="1:13">
      <c r="A3958" t="s">
        <v>8375</v>
      </c>
      <c r="B3958" t="s">
        <v>8374</v>
      </c>
      <c r="C3958" s="34">
        <v>12</v>
      </c>
      <c r="F3958">
        <v>12</v>
      </c>
      <c r="G3958" t="s">
        <v>6932</v>
      </c>
      <c r="H3958">
        <v>5</v>
      </c>
      <c r="I3958">
        <f>VLOOKUP(B3958,BRAND!B:D,3,FALSE)</f>
        <v>5.5</v>
      </c>
      <c r="J3958">
        <v>2</v>
      </c>
      <c r="M3958">
        <v>1</v>
      </c>
    </row>
    <row r="3959" spans="1:13">
      <c r="A3959" t="s">
        <v>9712</v>
      </c>
      <c r="B3959" t="s">
        <v>8374</v>
      </c>
      <c r="C3959" s="34" t="s">
        <v>881</v>
      </c>
      <c r="G3959" t="s">
        <v>6932</v>
      </c>
      <c r="H3959">
        <v>5</v>
      </c>
      <c r="I3959">
        <f>VLOOKUP(B3959,BRAND!B:D,3,FALSE)</f>
        <v>5.5</v>
      </c>
      <c r="J3959">
        <v>0</v>
      </c>
      <c r="M3959">
        <v>1</v>
      </c>
    </row>
    <row r="3960" spans="1:13">
      <c r="A3960" t="s">
        <v>9713</v>
      </c>
      <c r="B3960" t="s">
        <v>8374</v>
      </c>
      <c r="C3960" s="34" t="s">
        <v>775</v>
      </c>
      <c r="H3960">
        <v>5</v>
      </c>
      <c r="I3960">
        <f>VLOOKUP(B3960,BRAND!B:D,3,FALSE)</f>
        <v>5.5</v>
      </c>
      <c r="J3960">
        <v>0</v>
      </c>
      <c r="M3960">
        <v>1</v>
      </c>
    </row>
    <row r="3961" spans="1:13">
      <c r="A3961" t="s">
        <v>8378</v>
      </c>
      <c r="B3961" t="s">
        <v>8379</v>
      </c>
      <c r="C3961" s="34" t="s">
        <v>772</v>
      </c>
      <c r="F3961" t="s">
        <v>772</v>
      </c>
      <c r="G3961" t="s">
        <v>6932</v>
      </c>
      <c r="H3961">
        <v>5</v>
      </c>
      <c r="I3961">
        <f>VLOOKUP(B3961,BRAND!B:D,3,FALSE)</f>
        <v>5.5</v>
      </c>
      <c r="J3961">
        <v>6</v>
      </c>
      <c r="M3961">
        <v>1</v>
      </c>
    </row>
    <row r="3962" spans="1:13">
      <c r="A3962" t="s">
        <v>4659</v>
      </c>
      <c r="B3962" t="s">
        <v>1793</v>
      </c>
      <c r="C3962" s="34" t="s">
        <v>776</v>
      </c>
      <c r="F3962" t="s">
        <v>776</v>
      </c>
      <c r="H3962">
        <v>5</v>
      </c>
      <c r="I3962">
        <f>VLOOKUP(B3962,BRAND!B:D,3,FALSE)</f>
        <v>3</v>
      </c>
      <c r="J3962">
        <v>5</v>
      </c>
      <c r="K3962" t="s">
        <v>821</v>
      </c>
      <c r="L3962">
        <v>0</v>
      </c>
      <c r="M3962">
        <v>0</v>
      </c>
    </row>
    <row r="3963" spans="1:13">
      <c r="A3963" t="s">
        <v>4659</v>
      </c>
      <c r="B3963" t="s">
        <v>1793</v>
      </c>
      <c r="C3963" s="34" t="s">
        <v>776</v>
      </c>
      <c r="F3963" t="s">
        <v>776</v>
      </c>
      <c r="H3963">
        <v>5</v>
      </c>
      <c r="I3963">
        <f>VLOOKUP(B3963,BRAND!B:D,3,FALSE)</f>
        <v>3</v>
      </c>
      <c r="J3963">
        <v>5</v>
      </c>
      <c r="K3963" t="s">
        <v>821</v>
      </c>
      <c r="L3963">
        <v>0</v>
      </c>
      <c r="M3963">
        <v>0</v>
      </c>
    </row>
    <row r="3964" spans="1:13">
      <c r="A3964" t="s">
        <v>2673</v>
      </c>
      <c r="B3964" t="s">
        <v>1793</v>
      </c>
      <c r="C3964" s="34" t="s">
        <v>1438</v>
      </c>
      <c r="F3964" t="s">
        <v>1438</v>
      </c>
      <c r="H3964">
        <v>15</v>
      </c>
      <c r="I3964">
        <f>VLOOKUP(B3964,BRAND!B:D,3,FALSE)</f>
        <v>3</v>
      </c>
      <c r="J3964">
        <v>4</v>
      </c>
      <c r="K3964" t="s">
        <v>821</v>
      </c>
      <c r="L3964">
        <v>0</v>
      </c>
      <c r="M3964">
        <v>0</v>
      </c>
    </row>
    <row r="3965" spans="1:13">
      <c r="A3965" t="s">
        <v>2035</v>
      </c>
      <c r="B3965" t="s">
        <v>837</v>
      </c>
      <c r="C3965" s="34" t="s">
        <v>1438</v>
      </c>
      <c r="F3965" t="s">
        <v>1438</v>
      </c>
      <c r="H3965">
        <v>15</v>
      </c>
      <c r="I3965">
        <f>VLOOKUP(B3965,BRAND!B:D,3,FALSE)</f>
        <v>3</v>
      </c>
      <c r="J3965">
        <v>4</v>
      </c>
      <c r="K3965" t="s">
        <v>821</v>
      </c>
      <c r="L3965">
        <v>0</v>
      </c>
      <c r="M3965">
        <v>0</v>
      </c>
    </row>
    <row r="3966" spans="1:13">
      <c r="A3966" t="s">
        <v>8380</v>
      </c>
      <c r="B3966" t="s">
        <v>8381</v>
      </c>
      <c r="C3966" s="34" t="s">
        <v>561</v>
      </c>
      <c r="F3966" t="s">
        <v>561</v>
      </c>
      <c r="G3966" t="s">
        <v>6932</v>
      </c>
      <c r="H3966">
        <v>5</v>
      </c>
      <c r="I3966">
        <f>VLOOKUP(B3966,BRAND!B:D,3,FALSE)</f>
        <v>5.5</v>
      </c>
      <c r="J3966">
        <v>3</v>
      </c>
      <c r="M3966">
        <v>1</v>
      </c>
    </row>
    <row r="3967" spans="1:13">
      <c r="A3967" t="s">
        <v>3220</v>
      </c>
      <c r="B3967" t="s">
        <v>369</v>
      </c>
      <c r="C3967" s="34" t="s">
        <v>862</v>
      </c>
      <c r="F3967" t="s">
        <v>862</v>
      </c>
      <c r="H3967">
        <v>5</v>
      </c>
      <c r="I3967">
        <f>VLOOKUP(B3967,BRAND!B:D,3,FALSE)</f>
        <v>3</v>
      </c>
      <c r="J3967">
        <f>LEN(F3967)</f>
        <v>10</v>
      </c>
      <c r="K3967" t="s">
        <v>821</v>
      </c>
      <c r="M3967">
        <v>1</v>
      </c>
    </row>
    <row r="3968" spans="1:13">
      <c r="A3968" t="s">
        <v>4134</v>
      </c>
      <c r="B3968" t="s">
        <v>369</v>
      </c>
      <c r="C3968" s="34" t="s">
        <v>798</v>
      </c>
      <c r="F3968" t="s">
        <v>798</v>
      </c>
      <c r="H3968">
        <v>5</v>
      </c>
      <c r="I3968">
        <f>VLOOKUP(B3968,BRAND!B:D,3,FALSE)</f>
        <v>3</v>
      </c>
      <c r="J3968">
        <v>9</v>
      </c>
      <c r="K3968" t="s">
        <v>821</v>
      </c>
      <c r="L3968">
        <v>0</v>
      </c>
      <c r="M3968">
        <v>0</v>
      </c>
    </row>
    <row r="3969" spans="1:13">
      <c r="A3969" t="s">
        <v>4135</v>
      </c>
      <c r="B3969" t="s">
        <v>369</v>
      </c>
      <c r="C3969" s="34" t="s">
        <v>1997</v>
      </c>
      <c r="F3969" t="s">
        <v>1997</v>
      </c>
      <c r="H3969">
        <v>5</v>
      </c>
      <c r="I3969">
        <f>VLOOKUP(B3969,BRAND!B:D,3,FALSE)</f>
        <v>3</v>
      </c>
      <c r="J3969">
        <v>7</v>
      </c>
      <c r="K3969" t="s">
        <v>821</v>
      </c>
      <c r="L3969">
        <v>0</v>
      </c>
      <c r="M3969">
        <v>0</v>
      </c>
    </row>
    <row r="3970" spans="1:13">
      <c r="A3970" t="s">
        <v>2639</v>
      </c>
      <c r="B3970" t="s">
        <v>369</v>
      </c>
      <c r="C3970" s="34" t="s">
        <v>780</v>
      </c>
      <c r="F3970" t="s">
        <v>780</v>
      </c>
      <c r="H3970">
        <v>5</v>
      </c>
      <c r="I3970">
        <f>VLOOKUP(B3970,BRAND!B:D,3,FALSE)</f>
        <v>3</v>
      </c>
      <c r="J3970">
        <v>6</v>
      </c>
      <c r="K3970" t="s">
        <v>821</v>
      </c>
      <c r="M3970">
        <v>1</v>
      </c>
    </row>
    <row r="3971" spans="1:13">
      <c r="A3971" t="s">
        <v>8382</v>
      </c>
      <c r="B3971" t="s">
        <v>369</v>
      </c>
      <c r="C3971" s="34" t="s">
        <v>746</v>
      </c>
      <c r="F3971" t="s">
        <v>746</v>
      </c>
      <c r="G3971" t="s">
        <v>6932</v>
      </c>
      <c r="H3971">
        <v>5</v>
      </c>
      <c r="I3971">
        <f>VLOOKUP(B3971,BRAND!B:D,3,FALSE)</f>
        <v>3</v>
      </c>
      <c r="J3971">
        <v>6</v>
      </c>
      <c r="M3971">
        <v>1</v>
      </c>
    </row>
    <row r="3972" spans="1:13">
      <c r="A3972" t="s">
        <v>2354</v>
      </c>
      <c r="B3972" t="s">
        <v>369</v>
      </c>
      <c r="C3972" s="34" t="s">
        <v>1438</v>
      </c>
      <c r="F3972" t="s">
        <v>1438</v>
      </c>
      <c r="H3972">
        <v>15</v>
      </c>
      <c r="I3972">
        <f>VLOOKUP(B3972,BRAND!B:D,3,FALSE)</f>
        <v>3</v>
      </c>
      <c r="J3972">
        <v>4</v>
      </c>
      <c r="K3972" t="s">
        <v>821</v>
      </c>
      <c r="M3972">
        <v>1</v>
      </c>
    </row>
    <row r="3973" spans="1:13">
      <c r="A3973" t="s">
        <v>3866</v>
      </c>
      <c r="B3973" t="s">
        <v>87</v>
      </c>
      <c r="C3973" s="34" t="s">
        <v>5232</v>
      </c>
      <c r="F3973" t="s">
        <v>536</v>
      </c>
      <c r="H3973">
        <v>5</v>
      </c>
      <c r="I3973">
        <f>VLOOKUP(B3973,BRAND!B:D,3,FALSE)</f>
        <v>3</v>
      </c>
      <c r="J3973">
        <v>5</v>
      </c>
      <c r="K3973" t="s">
        <v>821</v>
      </c>
      <c r="M3973">
        <v>1</v>
      </c>
    </row>
    <row r="3974" spans="1:13">
      <c r="A3974" t="s">
        <v>5294</v>
      </c>
      <c r="B3974" t="s">
        <v>87</v>
      </c>
      <c r="C3974" s="34" t="s">
        <v>10873</v>
      </c>
      <c r="F3974" t="s">
        <v>561</v>
      </c>
      <c r="H3974">
        <v>5</v>
      </c>
      <c r="I3974">
        <f>VLOOKUP(B3974,BRAND!B:D,3,FALSE)</f>
        <v>3</v>
      </c>
      <c r="J3974">
        <v>3</v>
      </c>
      <c r="K3974" t="s">
        <v>821</v>
      </c>
      <c r="M3974">
        <v>1</v>
      </c>
    </row>
    <row r="3975" spans="1:13">
      <c r="A3975" t="s">
        <v>8383</v>
      </c>
      <c r="B3975" t="s">
        <v>8384</v>
      </c>
      <c r="C3975" s="34" t="s">
        <v>561</v>
      </c>
      <c r="F3975" t="s">
        <v>561</v>
      </c>
      <c r="G3975" t="s">
        <v>6932</v>
      </c>
      <c r="H3975">
        <v>5</v>
      </c>
      <c r="I3975">
        <f>VLOOKUP(B3975,BRAND!B:D,3,FALSE)</f>
        <v>5.5</v>
      </c>
      <c r="J3975">
        <v>3</v>
      </c>
      <c r="M3975">
        <v>1</v>
      </c>
    </row>
    <row r="3976" spans="1:13">
      <c r="A3976" t="s">
        <v>8385</v>
      </c>
      <c r="B3976" t="s">
        <v>8386</v>
      </c>
      <c r="C3976" s="34" t="s">
        <v>751</v>
      </c>
      <c r="F3976" t="s">
        <v>751</v>
      </c>
      <c r="G3976" t="s">
        <v>6932</v>
      </c>
      <c r="H3976">
        <v>5</v>
      </c>
      <c r="I3976">
        <f>VLOOKUP(B3976,BRAND!B:D,3,FALSE)</f>
        <v>5.5</v>
      </c>
      <c r="J3976">
        <v>5</v>
      </c>
      <c r="M3976">
        <v>1</v>
      </c>
    </row>
    <row r="3977" spans="1:13">
      <c r="A3977" t="s">
        <v>2018</v>
      </c>
      <c r="B3977" t="s">
        <v>545</v>
      </c>
      <c r="C3977" s="34" t="s">
        <v>1438</v>
      </c>
      <c r="F3977" t="s">
        <v>1438</v>
      </c>
      <c r="H3977">
        <v>15</v>
      </c>
      <c r="I3977">
        <f>VLOOKUP(B3977,BRAND!B:D,3,FALSE)</f>
        <v>3</v>
      </c>
      <c r="J3977">
        <v>4</v>
      </c>
      <c r="K3977" t="s">
        <v>821</v>
      </c>
      <c r="M3977">
        <v>1</v>
      </c>
    </row>
    <row r="3978" spans="1:13">
      <c r="A3978" t="s">
        <v>10514</v>
      </c>
      <c r="B3978" t="s">
        <v>10330</v>
      </c>
      <c r="C3978" s="34" t="s">
        <v>10443</v>
      </c>
      <c r="F3978" t="s">
        <v>10444</v>
      </c>
      <c r="G3978" t="s">
        <v>6932</v>
      </c>
      <c r="H3978">
        <v>5</v>
      </c>
      <c r="I3978">
        <f>VLOOKUP(B3978,BRAND!B:D,3,FALSE)</f>
        <v>5</v>
      </c>
      <c r="J3978">
        <f>LEN(F3978)</f>
        <v>17</v>
      </c>
      <c r="L3978">
        <v>0</v>
      </c>
    </row>
    <row r="3979" spans="1:13">
      <c r="A3979" t="s">
        <v>10515</v>
      </c>
      <c r="B3979" t="s">
        <v>10330</v>
      </c>
      <c r="C3979" s="34" t="s">
        <v>6925</v>
      </c>
      <c r="F3979" t="s">
        <v>6925</v>
      </c>
      <c r="G3979" t="s">
        <v>6932</v>
      </c>
      <c r="H3979">
        <v>5</v>
      </c>
      <c r="I3979">
        <f>VLOOKUP(B3979,BRAND!B:D,3,FALSE)</f>
        <v>5</v>
      </c>
      <c r="J3979">
        <f>LEN(F3979)</f>
        <v>7</v>
      </c>
      <c r="L3979">
        <v>0</v>
      </c>
    </row>
    <row r="3980" spans="1:13">
      <c r="A3980" t="s">
        <v>3290</v>
      </c>
      <c r="B3980" t="s">
        <v>370</v>
      </c>
      <c r="C3980" s="34" t="s">
        <v>1438</v>
      </c>
      <c r="F3980" t="s">
        <v>1438</v>
      </c>
      <c r="H3980">
        <v>15</v>
      </c>
      <c r="I3980">
        <f>VLOOKUP(B3980,BRAND!B:D,3,FALSE)</f>
        <v>3</v>
      </c>
      <c r="J3980">
        <v>4</v>
      </c>
      <c r="K3980" t="s">
        <v>821</v>
      </c>
      <c r="M3980">
        <v>1</v>
      </c>
    </row>
    <row r="3981" spans="1:13">
      <c r="A3981" t="s">
        <v>2765</v>
      </c>
      <c r="B3981" t="s">
        <v>546</v>
      </c>
      <c r="C3981" s="34" t="s">
        <v>1438</v>
      </c>
      <c r="F3981" t="s">
        <v>1438</v>
      </c>
      <c r="H3981">
        <v>15</v>
      </c>
      <c r="I3981">
        <f>VLOOKUP(B3981,BRAND!B:D,3,FALSE)</f>
        <v>3</v>
      </c>
      <c r="J3981">
        <v>4</v>
      </c>
      <c r="K3981" t="s">
        <v>821</v>
      </c>
      <c r="M3981">
        <v>1</v>
      </c>
    </row>
    <row r="3982" spans="1:13">
      <c r="A3982" t="s">
        <v>2048</v>
      </c>
      <c r="B3982" t="s">
        <v>1277</v>
      </c>
      <c r="C3982" s="34" t="s">
        <v>1438</v>
      </c>
      <c r="F3982" t="s">
        <v>1438</v>
      </c>
      <c r="H3982">
        <v>15</v>
      </c>
      <c r="I3982">
        <f>VLOOKUP(B3982,BRAND!B:D,3,FALSE)</f>
        <v>3</v>
      </c>
      <c r="J3982">
        <v>4</v>
      </c>
      <c r="K3982" t="s">
        <v>821</v>
      </c>
      <c r="L3982">
        <v>0</v>
      </c>
      <c r="M3982">
        <v>0</v>
      </c>
    </row>
    <row r="3983" spans="1:13">
      <c r="A3983" t="s">
        <v>12637</v>
      </c>
      <c r="B3983" t="s">
        <v>12037</v>
      </c>
      <c r="C3983" s="34" t="s">
        <v>12638</v>
      </c>
      <c r="F3983" t="s">
        <v>12639</v>
      </c>
      <c r="G3983" t="s">
        <v>6932</v>
      </c>
      <c r="H3983">
        <v>4</v>
      </c>
    </row>
    <row r="3984" spans="1:13">
      <c r="A3984" t="s">
        <v>12642</v>
      </c>
      <c r="B3984" t="s">
        <v>12037</v>
      </c>
      <c r="C3984" s="34" t="s">
        <v>12643</v>
      </c>
      <c r="F3984" t="s">
        <v>12643</v>
      </c>
      <c r="G3984" t="s">
        <v>6932</v>
      </c>
      <c r="H3984">
        <v>4</v>
      </c>
    </row>
    <row r="3985" spans="1:8">
      <c r="A3985" t="s">
        <v>13634</v>
      </c>
      <c r="B3985" t="s">
        <v>12037</v>
      </c>
      <c r="C3985" s="34" t="s">
        <v>12632</v>
      </c>
      <c r="D3985" t="s">
        <v>13574</v>
      </c>
      <c r="F3985" t="s">
        <v>12649</v>
      </c>
      <c r="G3985" t="s">
        <v>801</v>
      </c>
      <c r="H3985">
        <v>4</v>
      </c>
    </row>
    <row r="3986" spans="1:8">
      <c r="A3986" t="s">
        <v>13575</v>
      </c>
      <c r="B3986" t="s">
        <v>12037</v>
      </c>
      <c r="C3986" s="34" t="s">
        <v>12652</v>
      </c>
      <c r="D3986" t="s">
        <v>13574</v>
      </c>
      <c r="F3986" t="s">
        <v>12652</v>
      </c>
      <c r="G3986" t="s">
        <v>6932</v>
      </c>
      <c r="H3986">
        <v>4</v>
      </c>
    </row>
    <row r="3987" spans="1:8">
      <c r="A3987" t="s">
        <v>12653</v>
      </c>
      <c r="B3987" t="s">
        <v>12037</v>
      </c>
      <c r="C3987" s="34" t="s">
        <v>12613</v>
      </c>
      <c r="D3987" t="s">
        <v>561</v>
      </c>
      <c r="F3987" t="s">
        <v>12654</v>
      </c>
      <c r="G3987" t="s">
        <v>6932</v>
      </c>
      <c r="H3987">
        <v>4</v>
      </c>
    </row>
    <row r="3988" spans="1:8">
      <c r="A3988" t="s">
        <v>13577</v>
      </c>
      <c r="B3988" t="s">
        <v>12037</v>
      </c>
      <c r="C3988" s="34" t="s">
        <v>12619</v>
      </c>
      <c r="D3988" t="s">
        <v>13574</v>
      </c>
      <c r="F3988" t="s">
        <v>12655</v>
      </c>
      <c r="G3988" t="s">
        <v>6932</v>
      </c>
      <c r="H3988">
        <v>4</v>
      </c>
    </row>
    <row r="3989" spans="1:8">
      <c r="A3989" t="s">
        <v>13576</v>
      </c>
      <c r="B3989" t="s">
        <v>12037</v>
      </c>
      <c r="C3989" s="34" t="s">
        <v>12627</v>
      </c>
      <c r="D3989" t="s">
        <v>13574</v>
      </c>
      <c r="F3989" t="s">
        <v>12656</v>
      </c>
      <c r="G3989" t="s">
        <v>6932</v>
      </c>
      <c r="H3989">
        <v>4</v>
      </c>
    </row>
    <row r="3990" spans="1:8">
      <c r="A3990" t="s">
        <v>12606</v>
      </c>
      <c r="B3990" t="s">
        <v>12037</v>
      </c>
      <c r="C3990" s="34" t="s">
        <v>12607</v>
      </c>
      <c r="F3990" t="s">
        <v>12608</v>
      </c>
      <c r="G3990" t="s">
        <v>6932</v>
      </c>
      <c r="H3990">
        <v>5</v>
      </c>
    </row>
    <row r="3991" spans="1:8">
      <c r="A3991" t="s">
        <v>12609</v>
      </c>
      <c r="B3991" t="s">
        <v>12037</v>
      </c>
      <c r="C3991" s="34" t="s">
        <v>12610</v>
      </c>
      <c r="F3991" t="s">
        <v>12611</v>
      </c>
      <c r="G3991" t="s">
        <v>6932</v>
      </c>
      <c r="H3991">
        <v>5</v>
      </c>
    </row>
    <row r="3992" spans="1:8">
      <c r="A3992" t="s">
        <v>12612</v>
      </c>
      <c r="B3992" t="s">
        <v>12037</v>
      </c>
      <c r="C3992" s="34" t="s">
        <v>12613</v>
      </c>
      <c r="F3992" t="s">
        <v>12614</v>
      </c>
      <c r="G3992" t="s">
        <v>6932</v>
      </c>
      <c r="H3992">
        <v>5</v>
      </c>
    </row>
    <row r="3993" spans="1:8">
      <c r="A3993" t="s">
        <v>12615</v>
      </c>
      <c r="B3993" t="s">
        <v>12037</v>
      </c>
      <c r="C3993" s="34" t="s">
        <v>12616</v>
      </c>
      <c r="F3993" t="s">
        <v>12617</v>
      </c>
      <c r="G3993" t="s">
        <v>6932</v>
      </c>
      <c r="H3993">
        <v>5</v>
      </c>
    </row>
    <row r="3994" spans="1:8">
      <c r="A3994" t="s">
        <v>12618</v>
      </c>
      <c r="B3994" t="s">
        <v>12037</v>
      </c>
      <c r="C3994" s="34" t="s">
        <v>12619</v>
      </c>
      <c r="F3994" t="s">
        <v>12620</v>
      </c>
      <c r="G3994" t="s">
        <v>6932</v>
      </c>
      <c r="H3994">
        <v>5</v>
      </c>
    </row>
    <row r="3995" spans="1:8">
      <c r="A3995" t="s">
        <v>12621</v>
      </c>
      <c r="B3995" t="s">
        <v>12037</v>
      </c>
      <c r="C3995" s="34" t="s">
        <v>12622</v>
      </c>
      <c r="F3995" t="s">
        <v>12623</v>
      </c>
      <c r="G3995" t="s">
        <v>6932</v>
      </c>
      <c r="H3995">
        <v>5</v>
      </c>
    </row>
    <row r="3996" spans="1:8">
      <c r="A3996" t="s">
        <v>12624</v>
      </c>
      <c r="B3996" t="s">
        <v>12037</v>
      </c>
      <c r="C3996" s="34" t="s">
        <v>12625</v>
      </c>
      <c r="F3996" t="s">
        <v>12625</v>
      </c>
      <c r="G3996" t="s">
        <v>6932</v>
      </c>
      <c r="H3996">
        <v>5</v>
      </c>
    </row>
    <row r="3997" spans="1:8">
      <c r="A3997" t="s">
        <v>12626</v>
      </c>
      <c r="B3997" t="s">
        <v>12037</v>
      </c>
      <c r="C3997" s="34" t="s">
        <v>12627</v>
      </c>
      <c r="F3997" t="s">
        <v>12628</v>
      </c>
      <c r="G3997" t="s">
        <v>6932</v>
      </c>
      <c r="H3997">
        <v>5</v>
      </c>
    </row>
    <row r="3998" spans="1:8">
      <c r="A3998" t="s">
        <v>12629</v>
      </c>
      <c r="B3998" t="s">
        <v>12037</v>
      </c>
      <c r="C3998" s="34" t="s">
        <v>12630</v>
      </c>
      <c r="F3998" t="s">
        <v>12631</v>
      </c>
      <c r="G3998" t="s">
        <v>6932</v>
      </c>
      <c r="H3998">
        <v>5</v>
      </c>
    </row>
    <row r="3999" spans="1:8">
      <c r="A3999" t="s">
        <v>13635</v>
      </c>
      <c r="B3999" t="s">
        <v>12037</v>
      </c>
      <c r="C3999" s="34" t="s">
        <v>12632</v>
      </c>
      <c r="F3999" t="s">
        <v>12633</v>
      </c>
      <c r="G3999" t="s">
        <v>801</v>
      </c>
      <c r="H3999">
        <v>5</v>
      </c>
    </row>
    <row r="4000" spans="1:8">
      <c r="A4000" t="s">
        <v>12634</v>
      </c>
      <c r="B4000" t="s">
        <v>12037</v>
      </c>
      <c r="C4000" s="34" t="s">
        <v>12635</v>
      </c>
      <c r="F4000" t="s">
        <v>12636</v>
      </c>
      <c r="G4000" t="s">
        <v>6932</v>
      </c>
      <c r="H4000">
        <v>5</v>
      </c>
    </row>
    <row r="4001" spans="1:13">
      <c r="A4001" t="s">
        <v>12640</v>
      </c>
      <c r="B4001" t="s">
        <v>12037</v>
      </c>
      <c r="C4001" s="34" t="s">
        <v>12641</v>
      </c>
      <c r="F4001" t="s">
        <v>12641</v>
      </c>
      <c r="G4001" t="s">
        <v>6932</v>
      </c>
      <c r="H4001">
        <v>5</v>
      </c>
    </row>
    <row r="4002" spans="1:13">
      <c r="A4002" t="s">
        <v>12644</v>
      </c>
      <c r="B4002" t="s">
        <v>12037</v>
      </c>
      <c r="C4002" s="34" t="s">
        <v>9999</v>
      </c>
      <c r="F4002" t="s">
        <v>12645</v>
      </c>
      <c r="G4002" t="s">
        <v>6932</v>
      </c>
      <c r="H4002">
        <v>5</v>
      </c>
    </row>
    <row r="4003" spans="1:13">
      <c r="A4003" t="s">
        <v>12646</v>
      </c>
      <c r="B4003" t="s">
        <v>12037</v>
      </c>
      <c r="C4003" s="34" t="s">
        <v>12647</v>
      </c>
      <c r="F4003" t="s">
        <v>12648</v>
      </c>
      <c r="G4003" t="s">
        <v>6932</v>
      </c>
      <c r="H4003">
        <v>5</v>
      </c>
    </row>
    <row r="4004" spans="1:13">
      <c r="A4004" t="s">
        <v>12650</v>
      </c>
      <c r="B4004" t="s">
        <v>12037</v>
      </c>
      <c r="C4004" s="34" t="s">
        <v>12651</v>
      </c>
      <c r="F4004" t="s">
        <v>12651</v>
      </c>
      <c r="G4004" t="s">
        <v>6932</v>
      </c>
      <c r="H4004">
        <v>5</v>
      </c>
    </row>
    <row r="4005" spans="1:13">
      <c r="A4005" t="s">
        <v>8391</v>
      </c>
      <c r="B4005" t="s">
        <v>88</v>
      </c>
      <c r="C4005" s="34" t="s">
        <v>800</v>
      </c>
      <c r="F4005" t="s">
        <v>800</v>
      </c>
      <c r="G4005" t="s">
        <v>6932</v>
      </c>
      <c r="H4005">
        <v>5</v>
      </c>
      <c r="I4005">
        <f>VLOOKUP(B4005,BRAND!B:D,3,FALSE)</f>
        <v>3</v>
      </c>
      <c r="J4005">
        <v>6</v>
      </c>
      <c r="M4005">
        <v>1</v>
      </c>
    </row>
    <row r="4006" spans="1:13">
      <c r="A4006" t="s">
        <v>8391</v>
      </c>
      <c r="B4006" t="s">
        <v>88</v>
      </c>
      <c r="C4006" s="34" t="s">
        <v>800</v>
      </c>
      <c r="F4006" t="s">
        <v>800</v>
      </c>
      <c r="G4006" t="s">
        <v>6932</v>
      </c>
      <c r="H4006">
        <v>5</v>
      </c>
    </row>
    <row r="4007" spans="1:13">
      <c r="A4007" t="s">
        <v>4956</v>
      </c>
      <c r="B4007" t="s">
        <v>88</v>
      </c>
      <c r="C4007" s="34" t="s">
        <v>1438</v>
      </c>
      <c r="F4007" t="s">
        <v>1438</v>
      </c>
      <c r="G4007" t="s">
        <v>801</v>
      </c>
      <c r="H4007">
        <v>6</v>
      </c>
      <c r="I4007">
        <f>VLOOKUP(B4007,BRAND!B:D,3,FALSE)</f>
        <v>3</v>
      </c>
      <c r="J4007">
        <v>4</v>
      </c>
      <c r="K4007" t="s">
        <v>821</v>
      </c>
      <c r="M4007">
        <v>1</v>
      </c>
    </row>
    <row r="4008" spans="1:13">
      <c r="A4008" t="s">
        <v>2511</v>
      </c>
      <c r="B4008" t="s">
        <v>88</v>
      </c>
      <c r="C4008" s="34" t="s">
        <v>1438</v>
      </c>
      <c r="F4008" t="s">
        <v>1438</v>
      </c>
      <c r="H4008">
        <v>15</v>
      </c>
      <c r="I4008">
        <f>VLOOKUP(B4008,BRAND!B:D,3,FALSE)</f>
        <v>3</v>
      </c>
      <c r="J4008">
        <v>4</v>
      </c>
      <c r="K4008" t="s">
        <v>821</v>
      </c>
      <c r="M4008">
        <v>1</v>
      </c>
    </row>
    <row r="4009" spans="1:13">
      <c r="A4009" t="s">
        <v>8392</v>
      </c>
      <c r="B4009" t="s">
        <v>8393</v>
      </c>
      <c r="C4009" s="34" t="s">
        <v>1438</v>
      </c>
      <c r="F4009" t="s">
        <v>1438</v>
      </c>
      <c r="G4009" t="s">
        <v>6932</v>
      </c>
      <c r="H4009">
        <v>5</v>
      </c>
      <c r="I4009">
        <f>VLOOKUP(B4009,BRAND!B:D,3,FALSE)</f>
        <v>5.5</v>
      </c>
      <c r="J4009">
        <v>4</v>
      </c>
      <c r="M4009">
        <v>1</v>
      </c>
    </row>
    <row r="4010" spans="1:13">
      <c r="A4010" t="s">
        <v>7389</v>
      </c>
      <c r="B4010" t="s">
        <v>7390</v>
      </c>
      <c r="C4010" s="34" t="s">
        <v>751</v>
      </c>
      <c r="F4010" t="s">
        <v>751</v>
      </c>
      <c r="G4010" t="s">
        <v>6932</v>
      </c>
      <c r="H4010">
        <v>5</v>
      </c>
      <c r="I4010">
        <f>VLOOKUP(B4010,BRAND!B:D,3,FALSE)</f>
        <v>5.5</v>
      </c>
      <c r="J4010">
        <v>5</v>
      </c>
      <c r="M4010">
        <v>1</v>
      </c>
    </row>
    <row r="4011" spans="1:13">
      <c r="A4011" t="s">
        <v>4281</v>
      </c>
      <c r="B4011" t="s">
        <v>1887</v>
      </c>
      <c r="C4011" s="34" t="s">
        <v>1438</v>
      </c>
      <c r="F4011" t="s">
        <v>1438</v>
      </c>
      <c r="H4011">
        <v>15</v>
      </c>
      <c r="I4011">
        <f>VLOOKUP(B4011,BRAND!B:D,3,FALSE)</f>
        <v>5</v>
      </c>
      <c r="J4011">
        <v>4</v>
      </c>
      <c r="K4011" t="s">
        <v>821</v>
      </c>
      <c r="L4011">
        <v>0</v>
      </c>
      <c r="M4011">
        <v>0</v>
      </c>
    </row>
    <row r="4012" spans="1:13">
      <c r="A4012" t="s">
        <v>3717</v>
      </c>
      <c r="B4012" t="s">
        <v>547</v>
      </c>
      <c r="C4012" s="34" t="s">
        <v>536</v>
      </c>
      <c r="F4012" t="s">
        <v>536</v>
      </c>
      <c r="H4012">
        <v>5</v>
      </c>
      <c r="I4012">
        <f>VLOOKUP(B4012,BRAND!B:D,3,FALSE)</f>
        <v>3</v>
      </c>
      <c r="J4012">
        <v>5</v>
      </c>
      <c r="K4012" t="s">
        <v>821</v>
      </c>
      <c r="M4012">
        <v>1</v>
      </c>
    </row>
    <row r="4013" spans="1:13">
      <c r="A4013" t="s">
        <v>2189</v>
      </c>
      <c r="B4013" t="s">
        <v>547</v>
      </c>
      <c r="C4013" s="34" t="s">
        <v>1438</v>
      </c>
      <c r="F4013" t="s">
        <v>1438</v>
      </c>
      <c r="H4013">
        <v>15</v>
      </c>
      <c r="I4013">
        <f>VLOOKUP(B4013,BRAND!B:D,3,FALSE)</f>
        <v>3</v>
      </c>
      <c r="J4013">
        <v>4</v>
      </c>
      <c r="K4013" t="s">
        <v>821</v>
      </c>
      <c r="L4013">
        <v>0</v>
      </c>
      <c r="M4013">
        <v>0</v>
      </c>
    </row>
    <row r="4014" spans="1:13">
      <c r="A4014" t="s">
        <v>2043</v>
      </c>
      <c r="B4014" t="s">
        <v>819</v>
      </c>
      <c r="C4014" s="34" t="s">
        <v>1438</v>
      </c>
      <c r="F4014" t="s">
        <v>1438</v>
      </c>
      <c r="H4014">
        <v>15</v>
      </c>
      <c r="I4014">
        <f>VLOOKUP(B4014,BRAND!B:D,3,FALSE)</f>
        <v>3</v>
      </c>
      <c r="J4014">
        <v>4</v>
      </c>
      <c r="K4014" t="s">
        <v>821</v>
      </c>
      <c r="L4014">
        <v>1</v>
      </c>
      <c r="M4014">
        <v>1</v>
      </c>
    </row>
    <row r="4015" spans="1:13">
      <c r="A4015" t="s">
        <v>4214</v>
      </c>
      <c r="B4015" t="s">
        <v>1067</v>
      </c>
      <c r="C4015" s="34" t="s">
        <v>5232</v>
      </c>
      <c r="F4015" t="s">
        <v>536</v>
      </c>
      <c r="H4015">
        <v>5</v>
      </c>
      <c r="I4015">
        <f>VLOOKUP(B4015,BRAND!B:D,3,FALSE)</f>
        <v>3</v>
      </c>
      <c r="J4015">
        <v>5</v>
      </c>
      <c r="K4015" t="s">
        <v>821</v>
      </c>
      <c r="L4015">
        <v>0</v>
      </c>
      <c r="M4015">
        <v>0</v>
      </c>
    </row>
    <row r="4016" spans="1:13">
      <c r="A4016" t="s">
        <v>8394</v>
      </c>
      <c r="B4016" t="s">
        <v>89</v>
      </c>
      <c r="C4016" s="34" t="s">
        <v>1438</v>
      </c>
      <c r="F4016" t="s">
        <v>1438</v>
      </c>
      <c r="G4016" t="s">
        <v>6932</v>
      </c>
      <c r="H4016">
        <v>5</v>
      </c>
      <c r="I4016">
        <f>VLOOKUP(B4016,BRAND!B:D,3,FALSE)</f>
        <v>5.5</v>
      </c>
      <c r="J4016">
        <v>4</v>
      </c>
      <c r="M4016">
        <v>1</v>
      </c>
    </row>
    <row r="4017" spans="1:13">
      <c r="A4017" t="s">
        <v>2102</v>
      </c>
      <c r="B4017" t="s">
        <v>1068</v>
      </c>
      <c r="C4017" s="34" t="s">
        <v>534</v>
      </c>
      <c r="F4017" t="s">
        <v>534</v>
      </c>
      <c r="H4017">
        <v>5</v>
      </c>
      <c r="I4017">
        <f>VLOOKUP(B4017,BRAND!B:D,3,FALSE)</f>
        <v>3</v>
      </c>
      <c r="J4017">
        <v>6</v>
      </c>
      <c r="K4017" t="s">
        <v>821</v>
      </c>
      <c r="L4017">
        <v>0</v>
      </c>
      <c r="M4017">
        <v>0</v>
      </c>
    </row>
    <row r="4018" spans="1:13">
      <c r="A4018" t="s">
        <v>2101</v>
      </c>
      <c r="B4018" t="s">
        <v>1068</v>
      </c>
      <c r="C4018" s="34" t="s">
        <v>536</v>
      </c>
      <c r="F4018" t="s">
        <v>536</v>
      </c>
      <c r="H4018">
        <v>5</v>
      </c>
      <c r="I4018">
        <f>VLOOKUP(B4018,BRAND!B:D,3,FALSE)</f>
        <v>3</v>
      </c>
      <c r="J4018">
        <v>5</v>
      </c>
      <c r="K4018" t="s">
        <v>821</v>
      </c>
      <c r="L4018">
        <v>0</v>
      </c>
      <c r="M4018">
        <v>0</v>
      </c>
    </row>
    <row r="4019" spans="1:13">
      <c r="A4019" t="s">
        <v>4273</v>
      </c>
      <c r="B4019" t="s">
        <v>1903</v>
      </c>
      <c r="C4019" s="34" t="s">
        <v>842</v>
      </c>
      <c r="F4019" t="s">
        <v>842</v>
      </c>
      <c r="H4019">
        <v>5</v>
      </c>
      <c r="I4019">
        <f>VLOOKUP(B4019,BRAND!B:D,3,FALSE)</f>
        <v>5</v>
      </c>
      <c r="J4019">
        <v>5</v>
      </c>
      <c r="K4019" t="s">
        <v>821</v>
      </c>
      <c r="M4019">
        <v>1</v>
      </c>
    </row>
    <row r="4020" spans="1:13">
      <c r="A4020" t="s">
        <v>9714</v>
      </c>
      <c r="B4020" t="s">
        <v>1903</v>
      </c>
      <c r="C4020" s="34" t="s">
        <v>534</v>
      </c>
      <c r="G4020" t="s">
        <v>6932</v>
      </c>
      <c r="H4020">
        <v>5</v>
      </c>
      <c r="I4020">
        <f>VLOOKUP(B4020,BRAND!B:D,3,FALSE)</f>
        <v>5</v>
      </c>
      <c r="J4020">
        <v>0</v>
      </c>
      <c r="M4020">
        <v>1</v>
      </c>
    </row>
    <row r="4021" spans="1:13">
      <c r="A4021" t="s">
        <v>3455</v>
      </c>
      <c r="B4021" t="s">
        <v>497</v>
      </c>
      <c r="C4021" s="34" t="s">
        <v>913</v>
      </c>
      <c r="F4021" t="s">
        <v>913</v>
      </c>
      <c r="H4021">
        <v>5</v>
      </c>
      <c r="I4021">
        <f>VLOOKUP(B4021,BRAND!B:D,3,FALSE)</f>
        <v>3</v>
      </c>
      <c r="J4021">
        <v>5</v>
      </c>
      <c r="K4021" t="s">
        <v>821</v>
      </c>
      <c r="M4021">
        <v>1</v>
      </c>
    </row>
    <row r="4022" spans="1:13">
      <c r="A4022" t="s">
        <v>2188</v>
      </c>
      <c r="B4022" t="s">
        <v>497</v>
      </c>
      <c r="C4022" s="34" t="s">
        <v>1438</v>
      </c>
      <c r="F4022" t="s">
        <v>1438</v>
      </c>
      <c r="H4022">
        <v>15</v>
      </c>
      <c r="I4022">
        <f>VLOOKUP(B4022,BRAND!B:D,3,FALSE)</f>
        <v>3</v>
      </c>
      <c r="J4022">
        <v>4</v>
      </c>
      <c r="K4022" t="s">
        <v>821</v>
      </c>
      <c r="L4022">
        <v>0</v>
      </c>
      <c r="M4022">
        <v>0</v>
      </c>
    </row>
    <row r="4023" spans="1:13">
      <c r="A4023" t="s">
        <v>7296</v>
      </c>
      <c r="B4023" t="s">
        <v>7297</v>
      </c>
      <c r="C4023" s="34" t="s">
        <v>754</v>
      </c>
      <c r="F4023" t="s">
        <v>754</v>
      </c>
      <c r="H4023">
        <v>5</v>
      </c>
      <c r="I4023">
        <f>VLOOKUP(B4023,BRAND!B:D,3,FALSE)</f>
        <v>5.5</v>
      </c>
      <c r="L4023">
        <v>0</v>
      </c>
      <c r="M4023">
        <v>0</v>
      </c>
    </row>
    <row r="4024" spans="1:13">
      <c r="A4024" t="s">
        <v>7299</v>
      </c>
      <c r="B4024" t="s">
        <v>7297</v>
      </c>
      <c r="C4024" s="34" t="s">
        <v>7300</v>
      </c>
      <c r="F4024" t="s">
        <v>7300</v>
      </c>
      <c r="H4024">
        <v>5</v>
      </c>
      <c r="I4024">
        <f>VLOOKUP(B4024,BRAND!B:D,3,FALSE)</f>
        <v>5.5</v>
      </c>
      <c r="L4024">
        <v>0</v>
      </c>
      <c r="M4024">
        <v>0</v>
      </c>
    </row>
    <row r="4025" spans="1:13">
      <c r="A4025" t="s">
        <v>7301</v>
      </c>
      <c r="B4025" t="s">
        <v>7297</v>
      </c>
      <c r="C4025" s="34" t="s">
        <v>7302</v>
      </c>
      <c r="F4025" t="s">
        <v>7302</v>
      </c>
      <c r="H4025">
        <v>5</v>
      </c>
      <c r="I4025">
        <f>VLOOKUP(B4025,BRAND!B:D,3,FALSE)</f>
        <v>5.5</v>
      </c>
      <c r="M4025">
        <v>1</v>
      </c>
    </row>
    <row r="4026" spans="1:13">
      <c r="A4026" t="s">
        <v>7298</v>
      </c>
      <c r="B4026" t="s">
        <v>7297</v>
      </c>
      <c r="C4026" s="34" t="s">
        <v>1102</v>
      </c>
      <c r="F4026" t="s">
        <v>1102</v>
      </c>
      <c r="H4026">
        <v>5</v>
      </c>
      <c r="I4026">
        <f>VLOOKUP(B4026,BRAND!B:D,3,FALSE)</f>
        <v>5.5</v>
      </c>
      <c r="M4026">
        <v>1</v>
      </c>
    </row>
    <row r="4027" spans="1:13">
      <c r="A4027" t="s">
        <v>10518</v>
      </c>
      <c r="B4027" t="s">
        <v>10331</v>
      </c>
      <c r="C4027" s="34" t="s">
        <v>10517</v>
      </c>
      <c r="F4027" t="s">
        <v>1470</v>
      </c>
      <c r="G4027" t="s">
        <v>801</v>
      </c>
      <c r="H4027">
        <v>5</v>
      </c>
      <c r="I4027">
        <f>VLOOKUP(B4027,BRAND!B:D,3,FALSE)</f>
        <v>5</v>
      </c>
      <c r="J4027">
        <f>LEN(F4027)</f>
        <v>12</v>
      </c>
      <c r="L4027">
        <v>0</v>
      </c>
    </row>
    <row r="4028" spans="1:13">
      <c r="A4028" t="s">
        <v>10674</v>
      </c>
      <c r="B4028" t="s">
        <v>10331</v>
      </c>
      <c r="C4028" s="34" t="s">
        <v>10517</v>
      </c>
      <c r="D4028" t="s">
        <v>5190</v>
      </c>
      <c r="F4028" t="s">
        <v>1470</v>
      </c>
      <c r="G4028" t="s">
        <v>801</v>
      </c>
      <c r="H4028">
        <v>5</v>
      </c>
      <c r="I4028">
        <f>VLOOKUP(B4028,BRAND!B:D,3,FALSE)</f>
        <v>5</v>
      </c>
      <c r="J4028">
        <f>LEN(F4028)</f>
        <v>12</v>
      </c>
      <c r="L4028">
        <v>0</v>
      </c>
    </row>
    <row r="4029" spans="1:13">
      <c r="A4029" t="s">
        <v>10516</v>
      </c>
      <c r="B4029" t="s">
        <v>10331</v>
      </c>
      <c r="C4029" s="34" t="s">
        <v>10517</v>
      </c>
      <c r="F4029" t="s">
        <v>1470</v>
      </c>
      <c r="G4029" t="s">
        <v>6932</v>
      </c>
      <c r="H4029">
        <v>5</v>
      </c>
      <c r="I4029">
        <f>VLOOKUP(B4029,BRAND!B:D,3,FALSE)</f>
        <v>5</v>
      </c>
      <c r="J4029">
        <f>LEN(F4029)</f>
        <v>12</v>
      </c>
      <c r="L4029">
        <v>0</v>
      </c>
    </row>
    <row r="4030" spans="1:13">
      <c r="A4030" t="s">
        <v>3362</v>
      </c>
      <c r="B4030" t="s">
        <v>1134</v>
      </c>
      <c r="C4030" s="34" t="s">
        <v>535</v>
      </c>
      <c r="F4030" t="s">
        <v>535</v>
      </c>
      <c r="H4030">
        <v>5</v>
      </c>
      <c r="I4030">
        <f>VLOOKUP(B4030,BRAND!B:D,3,FALSE)</f>
        <v>3</v>
      </c>
      <c r="J4030">
        <v>6</v>
      </c>
      <c r="K4030" t="s">
        <v>821</v>
      </c>
      <c r="L4030">
        <v>0</v>
      </c>
      <c r="M4030">
        <v>0</v>
      </c>
    </row>
    <row r="4031" spans="1:13">
      <c r="A4031" t="s">
        <v>3361</v>
      </c>
      <c r="B4031" t="s">
        <v>1134</v>
      </c>
      <c r="C4031" s="34" t="s">
        <v>536</v>
      </c>
      <c r="F4031" t="s">
        <v>536</v>
      </c>
      <c r="H4031">
        <v>5</v>
      </c>
      <c r="I4031">
        <f>VLOOKUP(B4031,BRAND!B:D,3,FALSE)</f>
        <v>3</v>
      </c>
      <c r="J4031">
        <v>5</v>
      </c>
      <c r="K4031" t="s">
        <v>821</v>
      </c>
      <c r="L4031">
        <v>0</v>
      </c>
      <c r="M4031">
        <v>0</v>
      </c>
    </row>
    <row r="4032" spans="1:13">
      <c r="A4032" t="s">
        <v>3130</v>
      </c>
      <c r="B4032" t="s">
        <v>1134</v>
      </c>
      <c r="C4032" s="34" t="s">
        <v>842</v>
      </c>
      <c r="F4032" t="s">
        <v>842</v>
      </c>
      <c r="H4032">
        <v>5</v>
      </c>
      <c r="I4032">
        <f>VLOOKUP(B4032,BRAND!B:D,3,FALSE)</f>
        <v>3</v>
      </c>
      <c r="J4032">
        <v>5</v>
      </c>
      <c r="K4032" t="s">
        <v>821</v>
      </c>
      <c r="L4032">
        <v>0</v>
      </c>
      <c r="M4032">
        <v>0</v>
      </c>
    </row>
    <row r="4033" spans="1:13">
      <c r="A4033" t="s">
        <v>2579</v>
      </c>
      <c r="B4033" t="s">
        <v>1134</v>
      </c>
      <c r="C4033" s="34" t="s">
        <v>1438</v>
      </c>
      <c r="F4033" t="s">
        <v>1438</v>
      </c>
      <c r="H4033">
        <v>15</v>
      </c>
      <c r="I4033">
        <f>VLOOKUP(B4033,BRAND!B:D,3,FALSE)</f>
        <v>3</v>
      </c>
      <c r="J4033">
        <v>4</v>
      </c>
      <c r="K4033" t="s">
        <v>821</v>
      </c>
      <c r="L4033">
        <v>0</v>
      </c>
      <c r="M4033">
        <v>0</v>
      </c>
    </row>
    <row r="4034" spans="1:13">
      <c r="A4034" t="s">
        <v>2761</v>
      </c>
      <c r="B4034" t="s">
        <v>1278</v>
      </c>
      <c r="C4034" s="34" t="s">
        <v>1438</v>
      </c>
      <c r="F4034" t="s">
        <v>1438</v>
      </c>
      <c r="H4034">
        <v>15</v>
      </c>
      <c r="I4034">
        <f>VLOOKUP(B4034,BRAND!B:D,3,FALSE)</f>
        <v>3</v>
      </c>
      <c r="J4034">
        <v>4</v>
      </c>
      <c r="K4034" t="s">
        <v>821</v>
      </c>
      <c r="L4034">
        <v>0</v>
      </c>
      <c r="M4034">
        <v>0</v>
      </c>
    </row>
    <row r="4035" spans="1:13">
      <c r="A4035" t="s">
        <v>5295</v>
      </c>
      <c r="B4035" t="s">
        <v>648</v>
      </c>
      <c r="C4035" s="34" t="s">
        <v>5296</v>
      </c>
      <c r="F4035" t="s">
        <v>5296</v>
      </c>
      <c r="H4035">
        <v>4</v>
      </c>
      <c r="I4035">
        <f>VLOOKUP(B4035,BRAND!B:D,3,FALSE)</f>
        <v>3</v>
      </c>
      <c r="J4035">
        <f>LEN(F4035)</f>
        <v>13</v>
      </c>
      <c r="K4035" t="s">
        <v>821</v>
      </c>
      <c r="L4035">
        <v>0</v>
      </c>
      <c r="M4035">
        <v>0</v>
      </c>
    </row>
    <row r="4036" spans="1:13">
      <c r="A4036" t="s">
        <v>4546</v>
      </c>
      <c r="B4036" t="s">
        <v>648</v>
      </c>
      <c r="C4036" s="34" t="s">
        <v>793</v>
      </c>
      <c r="F4036" t="s">
        <v>793</v>
      </c>
      <c r="H4036">
        <v>5</v>
      </c>
      <c r="I4036">
        <f>VLOOKUP(B4036,BRAND!B:D,3,FALSE)</f>
        <v>3</v>
      </c>
      <c r="J4036">
        <v>9</v>
      </c>
      <c r="K4036" t="s">
        <v>821</v>
      </c>
      <c r="L4036">
        <v>0</v>
      </c>
      <c r="M4036">
        <v>0</v>
      </c>
    </row>
    <row r="4037" spans="1:13">
      <c r="A4037" t="s">
        <v>8396</v>
      </c>
      <c r="B4037" t="s">
        <v>648</v>
      </c>
      <c r="C4037" s="34" t="s">
        <v>8397</v>
      </c>
      <c r="F4037" t="s">
        <v>795</v>
      </c>
      <c r="G4037" t="s">
        <v>6932</v>
      </c>
      <c r="H4037">
        <v>5</v>
      </c>
      <c r="I4037">
        <f>VLOOKUP(B4037,BRAND!B:D,3,FALSE)</f>
        <v>3</v>
      </c>
      <c r="J4037">
        <v>9</v>
      </c>
      <c r="M4037">
        <v>1</v>
      </c>
    </row>
    <row r="4038" spans="1:13">
      <c r="A4038" t="s">
        <v>4555</v>
      </c>
      <c r="B4038" t="s">
        <v>648</v>
      </c>
      <c r="C4038" s="34" t="s">
        <v>777</v>
      </c>
      <c r="F4038" t="s">
        <v>777</v>
      </c>
      <c r="H4038">
        <v>5</v>
      </c>
      <c r="I4038">
        <f>VLOOKUP(B4038,BRAND!B:D,3,FALSE)</f>
        <v>3</v>
      </c>
      <c r="J4038">
        <v>7</v>
      </c>
      <c r="K4038" t="s">
        <v>821</v>
      </c>
      <c r="L4038">
        <v>0</v>
      </c>
      <c r="M4038">
        <v>0</v>
      </c>
    </row>
    <row r="4039" spans="1:13">
      <c r="A4039" t="s">
        <v>3029</v>
      </c>
      <c r="B4039" t="s">
        <v>648</v>
      </c>
      <c r="C4039" s="34" t="s">
        <v>772</v>
      </c>
      <c r="F4039" t="s">
        <v>772</v>
      </c>
      <c r="H4039">
        <v>5</v>
      </c>
      <c r="I4039">
        <f>VLOOKUP(B4039,BRAND!B:D,3,FALSE)</f>
        <v>3</v>
      </c>
      <c r="J4039">
        <v>6</v>
      </c>
      <c r="K4039" t="s">
        <v>821</v>
      </c>
      <c r="L4039">
        <v>0</v>
      </c>
      <c r="M4039">
        <v>0</v>
      </c>
    </row>
    <row r="4040" spans="1:13">
      <c r="A4040" t="s">
        <v>2918</v>
      </c>
      <c r="B4040" t="s">
        <v>648</v>
      </c>
      <c r="C4040" s="34" t="s">
        <v>534</v>
      </c>
      <c r="F4040" t="s">
        <v>534</v>
      </c>
      <c r="H4040">
        <v>5</v>
      </c>
      <c r="I4040">
        <f>VLOOKUP(B4040,BRAND!B:D,3,FALSE)</f>
        <v>3</v>
      </c>
      <c r="J4040">
        <v>6</v>
      </c>
      <c r="K4040" t="s">
        <v>821</v>
      </c>
      <c r="M4040">
        <v>1</v>
      </c>
    </row>
    <row r="4041" spans="1:13">
      <c r="A4041" t="s">
        <v>4548</v>
      </c>
      <c r="B4041" t="s">
        <v>648</v>
      </c>
      <c r="C4041" s="34" t="s">
        <v>996</v>
      </c>
      <c r="F4041" t="s">
        <v>996</v>
      </c>
      <c r="H4041">
        <v>5</v>
      </c>
      <c r="I4041">
        <f>VLOOKUP(B4041,BRAND!B:D,3,FALSE)</f>
        <v>3</v>
      </c>
      <c r="J4041">
        <v>6</v>
      </c>
      <c r="K4041" t="s">
        <v>821</v>
      </c>
      <c r="M4041">
        <v>1</v>
      </c>
    </row>
    <row r="4042" spans="1:13">
      <c r="A4042" t="s">
        <v>8395</v>
      </c>
      <c r="B4042" t="s">
        <v>648</v>
      </c>
      <c r="C4042" s="34" t="s">
        <v>778</v>
      </c>
      <c r="F4042" t="s">
        <v>778</v>
      </c>
      <c r="G4042" t="s">
        <v>6932</v>
      </c>
      <c r="H4042">
        <v>5</v>
      </c>
      <c r="I4042">
        <f>VLOOKUP(B4042,BRAND!B:D,3,FALSE)</f>
        <v>3</v>
      </c>
      <c r="J4042">
        <v>4</v>
      </c>
      <c r="M4042">
        <v>1</v>
      </c>
    </row>
    <row r="4043" spans="1:13">
      <c r="A4043" t="s">
        <v>11442</v>
      </c>
      <c r="B4043" t="s">
        <v>648</v>
      </c>
      <c r="C4043" s="34" t="s">
        <v>1438</v>
      </c>
      <c r="F4043" t="s">
        <v>1438</v>
      </c>
      <c r="G4043" t="s">
        <v>801</v>
      </c>
      <c r="H4043">
        <v>5</v>
      </c>
    </row>
    <row r="4044" spans="1:13">
      <c r="A4044" t="s">
        <v>4547</v>
      </c>
      <c r="B4044" t="s">
        <v>648</v>
      </c>
      <c r="C4044" s="34" t="s">
        <v>904</v>
      </c>
      <c r="F4044" t="s">
        <v>904</v>
      </c>
      <c r="H4044">
        <v>6</v>
      </c>
      <c r="I4044">
        <f>VLOOKUP(B4044,BRAND!B:D,3,FALSE)</f>
        <v>3</v>
      </c>
      <c r="J4044">
        <v>8</v>
      </c>
      <c r="K4044" t="s">
        <v>821</v>
      </c>
      <c r="M4044">
        <v>1</v>
      </c>
    </row>
    <row r="4045" spans="1:13">
      <c r="A4045" t="s">
        <v>2917</v>
      </c>
      <c r="B4045" t="s">
        <v>648</v>
      </c>
      <c r="C4045" s="34" t="s">
        <v>1438</v>
      </c>
      <c r="F4045" t="s">
        <v>1438</v>
      </c>
      <c r="H4045">
        <v>15</v>
      </c>
      <c r="I4045">
        <f>VLOOKUP(B4045,BRAND!B:D,3,FALSE)</f>
        <v>3</v>
      </c>
      <c r="J4045">
        <v>4</v>
      </c>
      <c r="K4045" t="s">
        <v>821</v>
      </c>
      <c r="M4045">
        <v>1</v>
      </c>
    </row>
    <row r="4046" spans="1:13">
      <c r="A4046" t="s">
        <v>7668</v>
      </c>
      <c r="B4046" t="s">
        <v>7669</v>
      </c>
      <c r="C4046" s="34" t="s">
        <v>1438</v>
      </c>
      <c r="F4046" t="s">
        <v>1438</v>
      </c>
      <c r="G4046" t="s">
        <v>6932</v>
      </c>
      <c r="H4046">
        <v>5</v>
      </c>
      <c r="I4046">
        <f>VLOOKUP(B4046,BRAND!B:D,3,FALSE)</f>
        <v>5.5</v>
      </c>
      <c r="J4046">
        <v>4</v>
      </c>
      <c r="M4046">
        <v>1</v>
      </c>
    </row>
    <row r="4047" spans="1:13">
      <c r="A4047" t="s">
        <v>8400</v>
      </c>
      <c r="B4047" t="s">
        <v>8399</v>
      </c>
      <c r="C4047" s="34" t="s">
        <v>751</v>
      </c>
      <c r="F4047" t="s">
        <v>751</v>
      </c>
      <c r="G4047" t="s">
        <v>6932</v>
      </c>
      <c r="H4047">
        <v>5</v>
      </c>
      <c r="I4047">
        <f>VLOOKUP(B4047,BRAND!B:D,3,FALSE)</f>
        <v>5.5</v>
      </c>
      <c r="J4047">
        <v>5</v>
      </c>
      <c r="M4047">
        <v>1</v>
      </c>
    </row>
    <row r="4048" spans="1:13">
      <c r="A4048" t="s">
        <v>8398</v>
      </c>
      <c r="B4048" t="s">
        <v>8399</v>
      </c>
      <c r="C4048" s="34" t="s">
        <v>842</v>
      </c>
      <c r="F4048" t="s">
        <v>842</v>
      </c>
      <c r="G4048" t="s">
        <v>6932</v>
      </c>
      <c r="H4048">
        <v>5</v>
      </c>
      <c r="I4048">
        <f>VLOOKUP(B4048,BRAND!B:D,3,FALSE)</f>
        <v>5.5</v>
      </c>
      <c r="J4048">
        <v>5</v>
      </c>
      <c r="M4048">
        <v>1</v>
      </c>
    </row>
    <row r="4049" spans="1:13">
      <c r="A4049" t="s">
        <v>8297</v>
      </c>
      <c r="B4049" t="s">
        <v>8298</v>
      </c>
      <c r="C4049" s="34" t="s">
        <v>1438</v>
      </c>
      <c r="F4049" t="s">
        <v>1438</v>
      </c>
      <c r="G4049" t="s">
        <v>6932</v>
      </c>
      <c r="H4049">
        <v>5</v>
      </c>
      <c r="I4049">
        <f>VLOOKUP(B4049,BRAND!B:D,3,FALSE)</f>
        <v>5.5</v>
      </c>
      <c r="J4049">
        <v>4</v>
      </c>
      <c r="M4049">
        <v>1</v>
      </c>
    </row>
    <row r="4050" spans="1:13">
      <c r="A4050" t="s">
        <v>3793</v>
      </c>
      <c r="B4050" t="s">
        <v>1790</v>
      </c>
      <c r="C4050" s="34" t="s">
        <v>536</v>
      </c>
      <c r="F4050" t="s">
        <v>536</v>
      </c>
      <c r="H4050">
        <v>5</v>
      </c>
      <c r="I4050">
        <f>VLOOKUP(B4050,BRAND!B:D,3,FALSE)</f>
        <v>3</v>
      </c>
      <c r="J4050">
        <v>5</v>
      </c>
      <c r="K4050" t="s">
        <v>821</v>
      </c>
      <c r="L4050">
        <v>0</v>
      </c>
      <c r="M4050">
        <v>0</v>
      </c>
    </row>
    <row r="4051" spans="1:13">
      <c r="A4051" t="s">
        <v>3794</v>
      </c>
      <c r="B4051" t="s">
        <v>1790</v>
      </c>
      <c r="C4051" s="34" t="s">
        <v>842</v>
      </c>
      <c r="F4051" t="s">
        <v>842</v>
      </c>
      <c r="H4051">
        <v>5</v>
      </c>
      <c r="I4051">
        <f>VLOOKUP(B4051,BRAND!B:D,3,FALSE)</f>
        <v>3</v>
      </c>
      <c r="J4051">
        <v>5</v>
      </c>
      <c r="K4051" t="s">
        <v>821</v>
      </c>
      <c r="L4051">
        <v>0</v>
      </c>
      <c r="M4051">
        <v>0</v>
      </c>
    </row>
    <row r="4052" spans="1:13">
      <c r="A4052" t="s">
        <v>7386</v>
      </c>
      <c r="B4052" t="s">
        <v>7385</v>
      </c>
      <c r="C4052" s="34" t="s">
        <v>846</v>
      </c>
      <c r="F4052" t="s">
        <v>846</v>
      </c>
      <c r="G4052" t="s">
        <v>6932</v>
      </c>
      <c r="H4052">
        <v>5</v>
      </c>
      <c r="I4052">
        <f>VLOOKUP(B4052,BRAND!B:D,3,FALSE)</f>
        <v>5.5</v>
      </c>
      <c r="J4052">
        <f>LEN(F4052)</f>
        <v>12</v>
      </c>
      <c r="M4052">
        <v>1</v>
      </c>
    </row>
    <row r="4053" spans="1:13">
      <c r="A4053" t="s">
        <v>7387</v>
      </c>
      <c r="B4053" t="s">
        <v>7385</v>
      </c>
      <c r="C4053" s="34" t="s">
        <v>7388</v>
      </c>
      <c r="F4053" t="s">
        <v>7388</v>
      </c>
      <c r="G4053" t="s">
        <v>6932</v>
      </c>
      <c r="H4053">
        <v>5</v>
      </c>
      <c r="I4053">
        <f>VLOOKUP(B4053,BRAND!B:D,3,FALSE)</f>
        <v>5.5</v>
      </c>
      <c r="J4053">
        <f>LEN(F4053)</f>
        <v>12</v>
      </c>
      <c r="M4053">
        <v>1</v>
      </c>
    </row>
    <row r="4054" spans="1:13">
      <c r="A4054" t="s">
        <v>8401</v>
      </c>
      <c r="B4054" t="s">
        <v>7385</v>
      </c>
      <c r="C4054" s="34" t="s">
        <v>536</v>
      </c>
      <c r="F4054" t="s">
        <v>536</v>
      </c>
      <c r="G4054" t="s">
        <v>6932</v>
      </c>
      <c r="H4054">
        <v>5</v>
      </c>
      <c r="I4054">
        <f>VLOOKUP(B4054,BRAND!B:D,3,FALSE)</f>
        <v>5.5</v>
      </c>
      <c r="J4054">
        <v>5</v>
      </c>
      <c r="M4054">
        <v>1</v>
      </c>
    </row>
    <row r="4055" spans="1:13">
      <c r="A4055" t="s">
        <v>7384</v>
      </c>
      <c r="B4055" t="s">
        <v>7385</v>
      </c>
      <c r="C4055" s="34" t="s">
        <v>842</v>
      </c>
      <c r="F4055" t="s">
        <v>842</v>
      </c>
      <c r="G4055" t="s">
        <v>6932</v>
      </c>
      <c r="H4055">
        <v>5</v>
      </c>
      <c r="I4055">
        <f>VLOOKUP(B4055,BRAND!B:D,3,FALSE)</f>
        <v>5.5</v>
      </c>
      <c r="J4055">
        <v>5</v>
      </c>
      <c r="M4055">
        <v>1</v>
      </c>
    </row>
    <row r="4056" spans="1:13">
      <c r="A4056" t="s">
        <v>8402</v>
      </c>
      <c r="B4056" t="s">
        <v>8403</v>
      </c>
      <c r="C4056" s="34" t="s">
        <v>913</v>
      </c>
      <c r="F4056" t="s">
        <v>913</v>
      </c>
      <c r="G4056" t="s">
        <v>6932</v>
      </c>
      <c r="H4056">
        <v>5</v>
      </c>
      <c r="I4056">
        <f>VLOOKUP(B4056,BRAND!B:D,3,FALSE)</f>
        <v>5.5</v>
      </c>
      <c r="J4056">
        <v>5</v>
      </c>
      <c r="M4056">
        <v>1</v>
      </c>
    </row>
    <row r="4057" spans="1:13">
      <c r="A4057" t="s">
        <v>8404</v>
      </c>
      <c r="B4057" t="s">
        <v>8403</v>
      </c>
      <c r="C4057" s="34" t="s">
        <v>776</v>
      </c>
      <c r="F4057" t="s">
        <v>776</v>
      </c>
      <c r="G4057" t="s">
        <v>6932</v>
      </c>
      <c r="H4057">
        <v>5</v>
      </c>
      <c r="I4057">
        <f>VLOOKUP(B4057,BRAND!B:D,3,FALSE)</f>
        <v>5.5</v>
      </c>
      <c r="J4057">
        <v>5</v>
      </c>
      <c r="M4057">
        <v>1</v>
      </c>
    </row>
    <row r="4058" spans="1:13">
      <c r="A4058" t="s">
        <v>8405</v>
      </c>
      <c r="B4058" t="s">
        <v>8403</v>
      </c>
      <c r="C4058" s="34" t="s">
        <v>775</v>
      </c>
      <c r="F4058" t="s">
        <v>775</v>
      </c>
      <c r="G4058" t="s">
        <v>6932</v>
      </c>
      <c r="H4058">
        <v>5</v>
      </c>
      <c r="I4058">
        <f>VLOOKUP(B4058,BRAND!B:D,3,FALSE)</f>
        <v>5.5</v>
      </c>
      <c r="J4058">
        <v>3</v>
      </c>
      <c r="M4058">
        <v>1</v>
      </c>
    </row>
    <row r="4059" spans="1:13">
      <c r="A4059" t="s">
        <v>6446</v>
      </c>
      <c r="B4059" t="s">
        <v>266</v>
      </c>
      <c r="C4059" s="34" t="s">
        <v>1513</v>
      </c>
      <c r="F4059" t="s">
        <v>5415</v>
      </c>
      <c r="H4059">
        <v>5</v>
      </c>
      <c r="I4059">
        <f>VLOOKUP(B4059,BRAND!B:D,3,FALSE)</f>
        <v>2</v>
      </c>
      <c r="J4059">
        <f>LEN(F4059)</f>
        <v>12</v>
      </c>
      <c r="K4059" t="s">
        <v>821</v>
      </c>
      <c r="L4059">
        <v>0</v>
      </c>
      <c r="M4059">
        <v>0</v>
      </c>
    </row>
    <row r="4060" spans="1:13">
      <c r="A4060" t="s">
        <v>3928</v>
      </c>
      <c r="B4060" t="s">
        <v>266</v>
      </c>
      <c r="C4060" s="34" t="s">
        <v>5391</v>
      </c>
      <c r="F4060" t="s">
        <v>774</v>
      </c>
      <c r="H4060">
        <v>5</v>
      </c>
      <c r="I4060">
        <f>VLOOKUP(B4060,BRAND!B:D,3,FALSE)</f>
        <v>2</v>
      </c>
      <c r="J4060">
        <v>9</v>
      </c>
      <c r="K4060" t="s">
        <v>821</v>
      </c>
      <c r="M4060">
        <v>1</v>
      </c>
    </row>
    <row r="4061" spans="1:13">
      <c r="A4061" t="s">
        <v>4646</v>
      </c>
      <c r="B4061" t="s">
        <v>266</v>
      </c>
      <c r="C4061" s="34" t="s">
        <v>5390</v>
      </c>
      <c r="F4061" t="s">
        <v>1493</v>
      </c>
      <c r="H4061">
        <v>5</v>
      </c>
      <c r="I4061">
        <f>VLOOKUP(B4061,BRAND!B:D,3,FALSE)</f>
        <v>2</v>
      </c>
      <c r="J4061">
        <v>7</v>
      </c>
      <c r="K4061" t="s">
        <v>821</v>
      </c>
      <c r="M4061">
        <v>1</v>
      </c>
    </row>
    <row r="4062" spans="1:13">
      <c r="A4062" t="s">
        <v>10092</v>
      </c>
      <c r="B4062" t="s">
        <v>266</v>
      </c>
      <c r="C4062" s="34" t="s">
        <v>684</v>
      </c>
      <c r="F4062" t="s">
        <v>684</v>
      </c>
      <c r="H4062">
        <v>5</v>
      </c>
      <c r="I4062">
        <f>VLOOKUP(B4062,BRAND!B:D,3,FALSE)</f>
        <v>2</v>
      </c>
      <c r="J4062">
        <v>6</v>
      </c>
      <c r="K4062" t="s">
        <v>821</v>
      </c>
      <c r="L4062">
        <v>0</v>
      </c>
      <c r="M4062">
        <v>0</v>
      </c>
    </row>
    <row r="4063" spans="1:13">
      <c r="A4063" t="s">
        <v>3580</v>
      </c>
      <c r="B4063" t="s">
        <v>266</v>
      </c>
      <c r="C4063" s="34" t="s">
        <v>536</v>
      </c>
      <c r="F4063" t="s">
        <v>536</v>
      </c>
      <c r="H4063">
        <v>5</v>
      </c>
      <c r="I4063">
        <f>VLOOKUP(B4063,BRAND!B:D,3,FALSE)</f>
        <v>2</v>
      </c>
      <c r="J4063">
        <v>5</v>
      </c>
      <c r="K4063" t="s">
        <v>821</v>
      </c>
      <c r="L4063">
        <v>0</v>
      </c>
      <c r="M4063">
        <v>0</v>
      </c>
    </row>
    <row r="4064" spans="1:13">
      <c r="A4064" t="s">
        <v>3945</v>
      </c>
      <c r="B4064" t="s">
        <v>266</v>
      </c>
      <c r="C4064" s="34" t="s">
        <v>5392</v>
      </c>
      <c r="F4064" t="s">
        <v>776</v>
      </c>
      <c r="H4064">
        <v>5</v>
      </c>
      <c r="I4064">
        <f>VLOOKUP(B4064,BRAND!B:D,3,FALSE)</f>
        <v>2</v>
      </c>
      <c r="J4064">
        <v>5</v>
      </c>
      <c r="K4064" t="s">
        <v>821</v>
      </c>
      <c r="M4064">
        <v>1</v>
      </c>
    </row>
    <row r="4065" spans="1:13">
      <c r="A4065" t="s">
        <v>3949</v>
      </c>
      <c r="B4065" t="s">
        <v>266</v>
      </c>
      <c r="C4065" s="34" t="s">
        <v>6501</v>
      </c>
      <c r="F4065" t="s">
        <v>897</v>
      </c>
      <c r="H4065">
        <v>5</v>
      </c>
      <c r="I4065">
        <f>VLOOKUP(B4065,BRAND!B:D,3,FALSE)</f>
        <v>2</v>
      </c>
      <c r="J4065">
        <v>4</v>
      </c>
      <c r="K4065" t="s">
        <v>821</v>
      </c>
      <c r="M4065">
        <v>1</v>
      </c>
    </row>
    <row r="4066" spans="1:13">
      <c r="A4066" t="s">
        <v>9715</v>
      </c>
      <c r="B4066" t="s">
        <v>266</v>
      </c>
      <c r="C4066" s="34" t="s">
        <v>1513</v>
      </c>
      <c r="G4066" t="s">
        <v>6932</v>
      </c>
      <c r="H4066">
        <v>5</v>
      </c>
      <c r="I4066">
        <f>VLOOKUP(B4066,BRAND!B:D,3,FALSE)</f>
        <v>2</v>
      </c>
      <c r="J4066">
        <v>0</v>
      </c>
      <c r="M4066">
        <v>1</v>
      </c>
    </row>
    <row r="4067" spans="1:13">
      <c r="A4067" t="s">
        <v>6549</v>
      </c>
      <c r="B4067" t="s">
        <v>266</v>
      </c>
      <c r="C4067" s="34" t="s">
        <v>6550</v>
      </c>
      <c r="F4067" t="s">
        <v>742</v>
      </c>
      <c r="G4067" t="s">
        <v>801</v>
      </c>
      <c r="H4067">
        <v>6</v>
      </c>
      <c r="I4067">
        <f>VLOOKUP(B4067,BRAND!B:D,3,FALSE)</f>
        <v>2</v>
      </c>
      <c r="J4067">
        <v>6</v>
      </c>
      <c r="K4067" t="s">
        <v>821</v>
      </c>
      <c r="M4067">
        <v>1</v>
      </c>
    </row>
    <row r="4068" spans="1:13">
      <c r="A4068" t="s">
        <v>5298</v>
      </c>
      <c r="B4068" t="s">
        <v>266</v>
      </c>
      <c r="C4068" s="34" t="s">
        <v>5392</v>
      </c>
      <c r="F4068" t="s">
        <v>776</v>
      </c>
      <c r="G4068" t="s">
        <v>801</v>
      </c>
      <c r="H4068">
        <v>6</v>
      </c>
      <c r="I4068">
        <f>VLOOKUP(B4068,BRAND!B:D,3,FALSE)</f>
        <v>2</v>
      </c>
      <c r="J4068">
        <v>5</v>
      </c>
      <c r="K4068" t="s">
        <v>821</v>
      </c>
      <c r="M4068">
        <v>1</v>
      </c>
    </row>
    <row r="4069" spans="1:13">
      <c r="A4069" t="s">
        <v>5299</v>
      </c>
      <c r="B4069" t="s">
        <v>266</v>
      </c>
      <c r="C4069" s="34" t="s">
        <v>6501</v>
      </c>
      <c r="F4069" t="s">
        <v>897</v>
      </c>
      <c r="G4069" t="s">
        <v>801</v>
      </c>
      <c r="H4069">
        <v>6</v>
      </c>
      <c r="I4069">
        <f>VLOOKUP(B4069,BRAND!B:D,3,FALSE)</f>
        <v>2</v>
      </c>
      <c r="J4069">
        <v>4</v>
      </c>
      <c r="K4069" t="s">
        <v>821</v>
      </c>
      <c r="M4069">
        <v>1</v>
      </c>
    </row>
    <row r="4070" spans="1:13">
      <c r="A4070" t="s">
        <v>8415</v>
      </c>
      <c r="B4070" t="s">
        <v>8407</v>
      </c>
      <c r="C4070" s="34" t="s">
        <v>798</v>
      </c>
      <c r="F4070" t="s">
        <v>798</v>
      </c>
      <c r="G4070" t="s">
        <v>6932</v>
      </c>
      <c r="H4070">
        <v>5</v>
      </c>
      <c r="I4070">
        <f>VLOOKUP(B4070,BRAND!B:D,3,FALSE)</f>
        <v>5.5</v>
      </c>
      <c r="J4070">
        <v>9</v>
      </c>
      <c r="M4070">
        <v>1</v>
      </c>
    </row>
    <row r="4071" spans="1:13">
      <c r="A4071" t="s">
        <v>8414</v>
      </c>
      <c r="B4071" t="s">
        <v>8407</v>
      </c>
      <c r="C4071" s="34" t="s">
        <v>7928</v>
      </c>
      <c r="F4071" t="s">
        <v>7928</v>
      </c>
      <c r="G4071" t="s">
        <v>6932</v>
      </c>
      <c r="H4071">
        <v>5</v>
      </c>
      <c r="I4071">
        <f>VLOOKUP(B4071,BRAND!B:D,3,FALSE)</f>
        <v>5.5</v>
      </c>
      <c r="J4071">
        <v>8</v>
      </c>
      <c r="M4071">
        <v>1</v>
      </c>
    </row>
    <row r="4072" spans="1:13">
      <c r="A4072" t="s">
        <v>8413</v>
      </c>
      <c r="B4072" t="s">
        <v>8407</v>
      </c>
      <c r="C4072" s="34" t="s">
        <v>923</v>
      </c>
      <c r="F4072" t="s">
        <v>923</v>
      </c>
      <c r="G4072" t="s">
        <v>6932</v>
      </c>
      <c r="H4072">
        <v>5</v>
      </c>
      <c r="I4072">
        <f>VLOOKUP(B4072,BRAND!B:D,3,FALSE)</f>
        <v>5.5</v>
      </c>
      <c r="J4072">
        <v>7</v>
      </c>
      <c r="M4072">
        <v>1</v>
      </c>
    </row>
    <row r="4073" spans="1:13">
      <c r="A4073" t="s">
        <v>8408</v>
      </c>
      <c r="B4073" t="s">
        <v>8407</v>
      </c>
      <c r="C4073" s="34" t="s">
        <v>535</v>
      </c>
      <c r="F4073" t="s">
        <v>535</v>
      </c>
      <c r="G4073" t="s">
        <v>6932</v>
      </c>
      <c r="H4073">
        <v>5</v>
      </c>
      <c r="I4073">
        <f>VLOOKUP(B4073,BRAND!B:D,3,FALSE)</f>
        <v>5.5</v>
      </c>
      <c r="J4073">
        <v>6</v>
      </c>
      <c r="M4073">
        <v>1</v>
      </c>
    </row>
    <row r="4074" spans="1:13">
      <c r="A4074" t="s">
        <v>8416</v>
      </c>
      <c r="B4074" t="s">
        <v>8407</v>
      </c>
      <c r="C4074" s="34" t="s">
        <v>746</v>
      </c>
      <c r="F4074" t="s">
        <v>746</v>
      </c>
      <c r="G4074" t="s">
        <v>6932</v>
      </c>
      <c r="H4074">
        <v>5</v>
      </c>
      <c r="I4074">
        <f>VLOOKUP(B4074,BRAND!B:D,3,FALSE)</f>
        <v>5.5</v>
      </c>
      <c r="J4074">
        <v>6</v>
      </c>
      <c r="M4074">
        <v>1</v>
      </c>
    </row>
    <row r="4075" spans="1:13">
      <c r="A4075" t="s">
        <v>8419</v>
      </c>
      <c r="B4075" t="s">
        <v>8407</v>
      </c>
      <c r="C4075" s="34" t="s">
        <v>6364</v>
      </c>
      <c r="F4075" t="s">
        <v>6364</v>
      </c>
      <c r="G4075" t="s">
        <v>6932</v>
      </c>
      <c r="H4075">
        <v>5</v>
      </c>
      <c r="I4075">
        <f>VLOOKUP(B4075,BRAND!B:D,3,FALSE)</f>
        <v>5.5</v>
      </c>
      <c r="J4075">
        <v>6</v>
      </c>
      <c r="M4075">
        <v>1</v>
      </c>
    </row>
    <row r="4076" spans="1:13">
      <c r="A4076" t="s">
        <v>8411</v>
      </c>
      <c r="B4076" t="s">
        <v>8407</v>
      </c>
      <c r="C4076" s="34" t="s">
        <v>751</v>
      </c>
      <c r="F4076" t="s">
        <v>751</v>
      </c>
      <c r="G4076" t="s">
        <v>6932</v>
      </c>
      <c r="H4076">
        <v>5</v>
      </c>
      <c r="I4076">
        <f>VLOOKUP(B4076,BRAND!B:D,3,FALSE)</f>
        <v>5.5</v>
      </c>
      <c r="J4076">
        <v>5</v>
      </c>
      <c r="M4076">
        <v>1</v>
      </c>
    </row>
    <row r="4077" spans="1:13">
      <c r="A4077" t="s">
        <v>8420</v>
      </c>
      <c r="B4077" t="s">
        <v>8407</v>
      </c>
      <c r="C4077" s="34" t="s">
        <v>8421</v>
      </c>
      <c r="F4077" t="s">
        <v>8421</v>
      </c>
      <c r="G4077" t="s">
        <v>6932</v>
      </c>
      <c r="H4077">
        <v>5</v>
      </c>
      <c r="I4077">
        <f>VLOOKUP(B4077,BRAND!B:D,3,FALSE)</f>
        <v>5.5</v>
      </c>
      <c r="J4077">
        <v>5</v>
      </c>
      <c r="M4077">
        <v>1</v>
      </c>
    </row>
    <row r="4078" spans="1:13">
      <c r="A4078" t="s">
        <v>8406</v>
      </c>
      <c r="B4078" t="s">
        <v>8407</v>
      </c>
      <c r="C4078" s="34" t="s">
        <v>903</v>
      </c>
      <c r="F4078" t="s">
        <v>903</v>
      </c>
      <c r="G4078" t="s">
        <v>6932</v>
      </c>
      <c r="H4078">
        <v>5</v>
      </c>
      <c r="I4078">
        <f>VLOOKUP(B4078,BRAND!B:D,3,FALSE)</f>
        <v>5.5</v>
      </c>
      <c r="J4078">
        <v>4</v>
      </c>
      <c r="M4078">
        <v>1</v>
      </c>
    </row>
    <row r="4079" spans="1:13">
      <c r="A4079" t="s">
        <v>8409</v>
      </c>
      <c r="B4079" t="s">
        <v>8407</v>
      </c>
      <c r="C4079" s="34" t="s">
        <v>8410</v>
      </c>
      <c r="F4079" t="s">
        <v>8410</v>
      </c>
      <c r="G4079" t="s">
        <v>6932</v>
      </c>
      <c r="H4079">
        <v>5</v>
      </c>
      <c r="I4079">
        <f>VLOOKUP(B4079,BRAND!B:D,3,FALSE)</f>
        <v>5.5</v>
      </c>
      <c r="J4079">
        <v>3</v>
      </c>
      <c r="M4079">
        <v>1</v>
      </c>
    </row>
    <row r="4080" spans="1:13">
      <c r="A4080" t="s">
        <v>8412</v>
      </c>
      <c r="B4080" t="s">
        <v>8407</v>
      </c>
      <c r="C4080" s="34" t="s">
        <v>786</v>
      </c>
      <c r="F4080" t="s">
        <v>786</v>
      </c>
      <c r="G4080" t="s">
        <v>6932</v>
      </c>
      <c r="H4080">
        <v>5</v>
      </c>
      <c r="I4080">
        <f>VLOOKUP(B4080,BRAND!B:D,3,FALSE)</f>
        <v>5.5</v>
      </c>
      <c r="J4080">
        <v>3</v>
      </c>
      <c r="M4080">
        <v>1</v>
      </c>
    </row>
    <row r="4081" spans="1:13">
      <c r="A4081" t="s">
        <v>8417</v>
      </c>
      <c r="B4081" t="s">
        <v>8407</v>
      </c>
      <c r="C4081" s="34" t="s">
        <v>8418</v>
      </c>
      <c r="F4081" t="s">
        <v>8418</v>
      </c>
      <c r="G4081" t="s">
        <v>6932</v>
      </c>
      <c r="H4081">
        <v>6</v>
      </c>
      <c r="I4081">
        <f>VLOOKUP(B4081,BRAND!B:D,3,FALSE)</f>
        <v>5.5</v>
      </c>
      <c r="J4081">
        <v>7</v>
      </c>
      <c r="M4081">
        <v>1</v>
      </c>
    </row>
    <row r="4082" spans="1:13">
      <c r="A4082" t="s">
        <v>8422</v>
      </c>
      <c r="B4082" t="s">
        <v>8423</v>
      </c>
      <c r="C4082" s="34" t="s">
        <v>536</v>
      </c>
      <c r="F4082" t="s">
        <v>536</v>
      </c>
      <c r="G4082" t="s">
        <v>6932</v>
      </c>
      <c r="H4082">
        <v>5</v>
      </c>
      <c r="I4082">
        <f>VLOOKUP(B4082,BRAND!B:D,3,FALSE)</f>
        <v>5.5</v>
      </c>
      <c r="J4082">
        <v>5</v>
      </c>
      <c r="M4082">
        <v>1</v>
      </c>
    </row>
    <row r="4083" spans="1:13">
      <c r="A4083" t="s">
        <v>8424</v>
      </c>
      <c r="B4083" t="s">
        <v>8425</v>
      </c>
      <c r="C4083" s="34" t="s">
        <v>8426</v>
      </c>
      <c r="F4083" t="s">
        <v>8426</v>
      </c>
      <c r="G4083" t="s">
        <v>6932</v>
      </c>
      <c r="H4083">
        <v>5</v>
      </c>
      <c r="I4083">
        <f>VLOOKUP(B4083,BRAND!B:D,3,FALSE)</f>
        <v>5.5</v>
      </c>
      <c r="J4083">
        <v>5</v>
      </c>
      <c r="M4083">
        <v>1</v>
      </c>
    </row>
    <row r="4084" spans="1:13">
      <c r="A4084" t="s">
        <v>3237</v>
      </c>
      <c r="B4084" t="s">
        <v>412</v>
      </c>
      <c r="C4084" s="34" t="s">
        <v>534</v>
      </c>
      <c r="F4084" t="s">
        <v>534</v>
      </c>
      <c r="H4084">
        <v>5</v>
      </c>
      <c r="I4084">
        <f>VLOOKUP(B4084,BRAND!B:D,3,FALSE)</f>
        <v>3</v>
      </c>
      <c r="J4084">
        <v>6</v>
      </c>
      <c r="K4084" t="s">
        <v>821</v>
      </c>
      <c r="M4084">
        <v>1</v>
      </c>
    </row>
    <row r="4085" spans="1:13">
      <c r="A4085" t="s">
        <v>11542</v>
      </c>
      <c r="B4085" t="s">
        <v>10920</v>
      </c>
      <c r="C4085" s="34" t="s">
        <v>6492</v>
      </c>
      <c r="F4085" t="s">
        <v>777</v>
      </c>
      <c r="G4085" t="s">
        <v>6932</v>
      </c>
      <c r="H4085">
        <v>5</v>
      </c>
    </row>
    <row r="4086" spans="1:13">
      <c r="A4086" t="s">
        <v>8427</v>
      </c>
      <c r="B4086" t="s">
        <v>8428</v>
      </c>
      <c r="C4086" s="34" t="s">
        <v>900</v>
      </c>
      <c r="F4086" t="s">
        <v>900</v>
      </c>
      <c r="G4086" t="s">
        <v>6932</v>
      </c>
      <c r="H4086">
        <v>5</v>
      </c>
      <c r="I4086">
        <f>VLOOKUP(B4086,BRAND!B:D,3,FALSE)</f>
        <v>5</v>
      </c>
      <c r="J4086">
        <v>5</v>
      </c>
      <c r="M4086">
        <v>1</v>
      </c>
    </row>
    <row r="4087" spans="1:13">
      <c r="A4087" t="s">
        <v>8427</v>
      </c>
      <c r="B4087" t="s">
        <v>8428</v>
      </c>
      <c r="C4087" s="34" t="s">
        <v>11411</v>
      </c>
      <c r="F4087" t="s">
        <v>900</v>
      </c>
      <c r="G4087" t="s">
        <v>6932</v>
      </c>
      <c r="H4087">
        <v>5</v>
      </c>
    </row>
    <row r="4088" spans="1:13">
      <c r="A4088" t="s">
        <v>2735</v>
      </c>
      <c r="B4088" t="s">
        <v>1772</v>
      </c>
      <c r="C4088" s="34" t="s">
        <v>1438</v>
      </c>
      <c r="F4088" t="s">
        <v>1438</v>
      </c>
      <c r="H4088">
        <v>15</v>
      </c>
      <c r="I4088">
        <f>VLOOKUP(B4088,BRAND!B:D,3,FALSE)</f>
        <v>3</v>
      </c>
      <c r="J4088">
        <v>4</v>
      </c>
      <c r="K4088" t="s">
        <v>821</v>
      </c>
      <c r="L4088">
        <v>0</v>
      </c>
      <c r="M4088">
        <v>0</v>
      </c>
    </row>
    <row r="4089" spans="1:13">
      <c r="A4089" t="s">
        <v>3748</v>
      </c>
      <c r="B4089" t="s">
        <v>1419</v>
      </c>
      <c r="C4089" s="34" t="s">
        <v>561</v>
      </c>
      <c r="F4089" t="s">
        <v>561</v>
      </c>
      <c r="H4089">
        <v>5</v>
      </c>
      <c r="I4089">
        <f>VLOOKUP(B4089,BRAND!B:D,3,FALSE)</f>
        <v>3</v>
      </c>
      <c r="J4089">
        <v>3</v>
      </c>
      <c r="K4089" t="s">
        <v>821</v>
      </c>
      <c r="M4089">
        <v>1</v>
      </c>
    </row>
    <row r="4090" spans="1:13">
      <c r="A4090" t="s">
        <v>5467</v>
      </c>
      <c r="B4090" t="s">
        <v>1419</v>
      </c>
      <c r="C4090" s="34" t="s">
        <v>561</v>
      </c>
      <c r="F4090" t="s">
        <v>561</v>
      </c>
      <c r="G4090" t="s">
        <v>801</v>
      </c>
      <c r="H4090">
        <v>6</v>
      </c>
      <c r="I4090">
        <f>VLOOKUP(B4090,BRAND!B:D,3,FALSE)</f>
        <v>3</v>
      </c>
      <c r="J4090">
        <v>3</v>
      </c>
      <c r="K4090" t="s">
        <v>821</v>
      </c>
      <c r="L4090">
        <v>0</v>
      </c>
      <c r="M4090">
        <v>0</v>
      </c>
    </row>
    <row r="4091" spans="1:13">
      <c r="A4091" t="s">
        <v>3760</v>
      </c>
      <c r="B4091" t="s">
        <v>1773</v>
      </c>
      <c r="C4091" s="34" t="s">
        <v>913</v>
      </c>
      <c r="F4091" t="s">
        <v>913</v>
      </c>
      <c r="H4091">
        <v>5</v>
      </c>
      <c r="I4091">
        <f>VLOOKUP(B4091,BRAND!B:D,3,FALSE)</f>
        <v>3</v>
      </c>
      <c r="J4091">
        <v>5</v>
      </c>
      <c r="K4091" t="s">
        <v>821</v>
      </c>
      <c r="L4091">
        <v>0</v>
      </c>
      <c r="M4091">
        <v>0</v>
      </c>
    </row>
    <row r="4092" spans="1:13">
      <c r="A4092" t="s">
        <v>5466</v>
      </c>
      <c r="B4092" t="s">
        <v>1773</v>
      </c>
      <c r="C4092" s="34" t="s">
        <v>913</v>
      </c>
      <c r="F4092" t="s">
        <v>913</v>
      </c>
      <c r="G4092" t="s">
        <v>801</v>
      </c>
      <c r="H4092">
        <v>6</v>
      </c>
      <c r="I4092">
        <f>VLOOKUP(B4092,BRAND!B:D,3,FALSE)</f>
        <v>3</v>
      </c>
      <c r="J4092">
        <v>5</v>
      </c>
      <c r="K4092" t="s">
        <v>821</v>
      </c>
      <c r="L4092">
        <v>0</v>
      </c>
      <c r="M4092">
        <v>0</v>
      </c>
    </row>
    <row r="4093" spans="1:13">
      <c r="A4093" t="s">
        <v>12337</v>
      </c>
      <c r="B4093" t="s">
        <v>12014</v>
      </c>
      <c r="C4093" s="34" t="s">
        <v>12338</v>
      </c>
      <c r="F4093" t="s">
        <v>12338</v>
      </c>
      <c r="G4093" t="s">
        <v>6932</v>
      </c>
      <c r="H4093">
        <v>5</v>
      </c>
    </row>
    <row r="4094" spans="1:13">
      <c r="A4094" t="s">
        <v>12339</v>
      </c>
      <c r="B4094" t="s">
        <v>12014</v>
      </c>
      <c r="C4094" s="34" t="s">
        <v>12340</v>
      </c>
      <c r="F4094" t="s">
        <v>12340</v>
      </c>
      <c r="G4094" t="s">
        <v>6932</v>
      </c>
      <c r="H4094">
        <v>5</v>
      </c>
    </row>
    <row r="4095" spans="1:13">
      <c r="A4095" t="s">
        <v>12341</v>
      </c>
      <c r="B4095" t="s">
        <v>12014</v>
      </c>
      <c r="C4095" s="34" t="s">
        <v>12342</v>
      </c>
      <c r="F4095" t="s">
        <v>12343</v>
      </c>
      <c r="G4095" t="s">
        <v>6932</v>
      </c>
      <c r="H4095">
        <v>5</v>
      </c>
    </row>
    <row r="4096" spans="1:13">
      <c r="A4096" t="s">
        <v>12344</v>
      </c>
      <c r="B4096" t="s">
        <v>12014</v>
      </c>
      <c r="C4096" s="34" t="s">
        <v>12345</v>
      </c>
      <c r="F4096" t="s">
        <v>12345</v>
      </c>
      <c r="G4096" t="s">
        <v>6932</v>
      </c>
      <c r="H4096">
        <v>5</v>
      </c>
    </row>
    <row r="4097" spans="1:8">
      <c r="A4097" t="s">
        <v>12346</v>
      </c>
      <c r="B4097" t="s">
        <v>12014</v>
      </c>
      <c r="C4097" s="34" t="s">
        <v>12347</v>
      </c>
      <c r="F4097" t="s">
        <v>12348</v>
      </c>
      <c r="G4097" t="s">
        <v>6932</v>
      </c>
      <c r="H4097">
        <v>5</v>
      </c>
    </row>
    <row r="4098" spans="1:8">
      <c r="A4098" t="s">
        <v>12349</v>
      </c>
      <c r="B4098" t="s">
        <v>12014</v>
      </c>
      <c r="C4098" s="34" t="s">
        <v>12350</v>
      </c>
      <c r="F4098" t="s">
        <v>12350</v>
      </c>
      <c r="G4098" t="s">
        <v>6932</v>
      </c>
      <c r="H4098">
        <v>5</v>
      </c>
    </row>
    <row r="4099" spans="1:8">
      <c r="A4099" t="s">
        <v>12351</v>
      </c>
      <c r="B4099" t="s">
        <v>12014</v>
      </c>
      <c r="C4099" s="34" t="s">
        <v>12352</v>
      </c>
      <c r="F4099" t="s">
        <v>12352</v>
      </c>
      <c r="G4099" t="s">
        <v>6932</v>
      </c>
      <c r="H4099">
        <v>5</v>
      </c>
    </row>
    <row r="4100" spans="1:8">
      <c r="A4100" t="s">
        <v>12353</v>
      </c>
      <c r="B4100" t="s">
        <v>12014</v>
      </c>
      <c r="C4100" s="34" t="s">
        <v>12354</v>
      </c>
      <c r="F4100" t="s">
        <v>12354</v>
      </c>
      <c r="G4100" t="s">
        <v>6932</v>
      </c>
      <c r="H4100">
        <v>5</v>
      </c>
    </row>
    <row r="4101" spans="1:8">
      <c r="A4101" t="s">
        <v>12355</v>
      </c>
      <c r="B4101" t="s">
        <v>12014</v>
      </c>
      <c r="C4101" s="34" t="s">
        <v>12356</v>
      </c>
      <c r="F4101" t="s">
        <v>12356</v>
      </c>
      <c r="G4101" t="s">
        <v>6932</v>
      </c>
      <c r="H4101">
        <v>5</v>
      </c>
    </row>
    <row r="4102" spans="1:8">
      <c r="A4102" t="s">
        <v>12357</v>
      </c>
      <c r="B4102" t="s">
        <v>12014</v>
      </c>
      <c r="C4102" s="34" t="s">
        <v>12358</v>
      </c>
      <c r="F4102" t="s">
        <v>12358</v>
      </c>
      <c r="G4102" t="s">
        <v>6932</v>
      </c>
      <c r="H4102">
        <v>5</v>
      </c>
    </row>
    <row r="4103" spans="1:8">
      <c r="A4103" t="s">
        <v>12359</v>
      </c>
      <c r="B4103" t="s">
        <v>12014</v>
      </c>
      <c r="C4103" s="34" t="s">
        <v>12360</v>
      </c>
      <c r="F4103" t="s">
        <v>12361</v>
      </c>
      <c r="G4103" t="s">
        <v>6932</v>
      </c>
      <c r="H4103">
        <v>5</v>
      </c>
    </row>
    <row r="4104" spans="1:8">
      <c r="A4104" t="s">
        <v>12362</v>
      </c>
      <c r="B4104" t="s">
        <v>12014</v>
      </c>
      <c r="C4104" s="34" t="s">
        <v>12363</v>
      </c>
      <c r="F4104" t="s">
        <v>12363</v>
      </c>
      <c r="G4104" t="s">
        <v>6932</v>
      </c>
      <c r="H4104">
        <v>5</v>
      </c>
    </row>
    <row r="4105" spans="1:8">
      <c r="A4105" t="s">
        <v>12364</v>
      </c>
      <c r="B4105" t="s">
        <v>12014</v>
      </c>
      <c r="C4105" s="34" t="s">
        <v>12365</v>
      </c>
      <c r="F4105" t="s">
        <v>12366</v>
      </c>
      <c r="G4105" t="s">
        <v>6932</v>
      </c>
      <c r="H4105">
        <v>5</v>
      </c>
    </row>
    <row r="4106" spans="1:8">
      <c r="A4106" t="s">
        <v>12367</v>
      </c>
      <c r="B4106" t="s">
        <v>12014</v>
      </c>
      <c r="C4106" s="34" t="s">
        <v>12368</v>
      </c>
      <c r="F4106" t="s">
        <v>12368</v>
      </c>
      <c r="G4106" t="s">
        <v>6932</v>
      </c>
      <c r="H4106">
        <v>5</v>
      </c>
    </row>
    <row r="4107" spans="1:8">
      <c r="A4107" t="s">
        <v>12369</v>
      </c>
      <c r="B4107" t="s">
        <v>12014</v>
      </c>
      <c r="C4107" s="34" t="s">
        <v>12370</v>
      </c>
      <c r="F4107" t="s">
        <v>12371</v>
      </c>
      <c r="G4107" t="s">
        <v>6932</v>
      </c>
      <c r="H4107">
        <v>5</v>
      </c>
    </row>
    <row r="4108" spans="1:8">
      <c r="A4108" t="s">
        <v>12372</v>
      </c>
      <c r="B4108" t="s">
        <v>12014</v>
      </c>
      <c r="C4108" s="34" t="s">
        <v>12373</v>
      </c>
      <c r="F4108" t="s">
        <v>12374</v>
      </c>
      <c r="G4108" t="s">
        <v>6932</v>
      </c>
      <c r="H4108">
        <v>5</v>
      </c>
    </row>
    <row r="4109" spans="1:8">
      <c r="A4109" t="s">
        <v>12375</v>
      </c>
      <c r="B4109" t="s">
        <v>12014</v>
      </c>
      <c r="C4109" s="34" t="s">
        <v>12376</v>
      </c>
      <c r="F4109" t="s">
        <v>12376</v>
      </c>
      <c r="G4109" t="s">
        <v>6932</v>
      </c>
      <c r="H4109">
        <v>5</v>
      </c>
    </row>
    <row r="4110" spans="1:8">
      <c r="A4110" t="s">
        <v>12377</v>
      </c>
      <c r="B4110" t="s">
        <v>12014</v>
      </c>
      <c r="C4110" s="34" t="s">
        <v>12378</v>
      </c>
      <c r="F4110" t="s">
        <v>12379</v>
      </c>
      <c r="G4110" t="s">
        <v>6932</v>
      </c>
      <c r="H4110">
        <v>5</v>
      </c>
    </row>
    <row r="4111" spans="1:8">
      <c r="A4111" t="s">
        <v>12380</v>
      </c>
      <c r="B4111" t="s">
        <v>12014</v>
      </c>
      <c r="C4111" s="34" t="s">
        <v>12381</v>
      </c>
      <c r="F4111" t="s">
        <v>12381</v>
      </c>
      <c r="G4111" t="s">
        <v>6932</v>
      </c>
      <c r="H4111">
        <v>5</v>
      </c>
    </row>
    <row r="4112" spans="1:8">
      <c r="A4112" t="s">
        <v>12382</v>
      </c>
      <c r="B4112" t="s">
        <v>12014</v>
      </c>
      <c r="C4112" s="34" t="s">
        <v>12383</v>
      </c>
      <c r="F4112" t="s">
        <v>12383</v>
      </c>
      <c r="G4112" t="s">
        <v>6932</v>
      </c>
      <c r="H4112">
        <v>5</v>
      </c>
    </row>
    <row r="4113" spans="1:13">
      <c r="A4113" t="s">
        <v>12384</v>
      </c>
      <c r="B4113" t="s">
        <v>12014</v>
      </c>
      <c r="C4113" s="34" t="s">
        <v>12385</v>
      </c>
      <c r="F4113" t="s">
        <v>12385</v>
      </c>
      <c r="G4113" t="s">
        <v>6932</v>
      </c>
      <c r="H4113">
        <v>5</v>
      </c>
    </row>
    <row r="4114" spans="1:13">
      <c r="A4114" t="s">
        <v>12386</v>
      </c>
      <c r="B4114" t="s">
        <v>12014</v>
      </c>
      <c r="C4114" s="34" t="s">
        <v>12387</v>
      </c>
      <c r="F4114" t="s">
        <v>12387</v>
      </c>
      <c r="G4114" t="s">
        <v>6932</v>
      </c>
      <c r="H4114">
        <v>5</v>
      </c>
    </row>
    <row r="4115" spans="1:13">
      <c r="A4115" t="s">
        <v>4394</v>
      </c>
      <c r="B4115" t="s">
        <v>1279</v>
      </c>
      <c r="C4115" s="34" t="s">
        <v>1438</v>
      </c>
      <c r="F4115" t="s">
        <v>1438</v>
      </c>
      <c r="H4115">
        <v>15</v>
      </c>
      <c r="I4115">
        <f>VLOOKUP(B4115,BRAND!B:D,3,FALSE)</f>
        <v>3</v>
      </c>
      <c r="J4115">
        <v>4</v>
      </c>
      <c r="K4115" t="s">
        <v>821</v>
      </c>
      <c r="L4115">
        <v>0</v>
      </c>
      <c r="M4115">
        <v>0</v>
      </c>
    </row>
    <row r="4116" spans="1:13">
      <c r="A4116" t="s">
        <v>2659</v>
      </c>
      <c r="B4116" t="s">
        <v>413</v>
      </c>
      <c r="C4116" s="34" t="s">
        <v>1438</v>
      </c>
      <c r="F4116" t="s">
        <v>1438</v>
      </c>
      <c r="H4116">
        <v>15</v>
      </c>
      <c r="I4116">
        <f>VLOOKUP(B4116,BRAND!B:D,3,FALSE)</f>
        <v>5.5</v>
      </c>
      <c r="J4116">
        <v>4</v>
      </c>
      <c r="K4116" t="e">
        <v>#N/A</v>
      </c>
      <c r="L4116">
        <v>0</v>
      </c>
      <c r="M4116">
        <v>0</v>
      </c>
    </row>
    <row r="4117" spans="1:13">
      <c r="A4117" t="s">
        <v>3230</v>
      </c>
      <c r="B4117" t="s">
        <v>90</v>
      </c>
      <c r="C4117" s="34" t="s">
        <v>933</v>
      </c>
      <c r="F4117" t="s">
        <v>933</v>
      </c>
      <c r="H4117">
        <v>5</v>
      </c>
      <c r="I4117">
        <f>VLOOKUP(B4117,BRAND!B:D,3,FALSE)</f>
        <v>3</v>
      </c>
      <c r="J4117">
        <v>8</v>
      </c>
      <c r="K4117" t="s">
        <v>821</v>
      </c>
      <c r="L4117">
        <v>0</v>
      </c>
      <c r="M4117">
        <v>0</v>
      </c>
    </row>
    <row r="4118" spans="1:13">
      <c r="A4118" t="s">
        <v>8429</v>
      </c>
      <c r="B4118" t="s">
        <v>90</v>
      </c>
      <c r="C4118" s="34" t="s">
        <v>534</v>
      </c>
      <c r="F4118" t="s">
        <v>534</v>
      </c>
      <c r="G4118" t="s">
        <v>6932</v>
      </c>
      <c r="H4118">
        <v>5</v>
      </c>
      <c r="I4118">
        <f>VLOOKUP(B4118,BRAND!B:D,3,FALSE)</f>
        <v>3</v>
      </c>
      <c r="J4118">
        <v>6</v>
      </c>
      <c r="M4118">
        <v>1</v>
      </c>
    </row>
    <row r="4119" spans="1:13">
      <c r="A4119" t="s">
        <v>3650</v>
      </c>
      <c r="B4119" t="s">
        <v>90</v>
      </c>
      <c r="C4119" s="34" t="s">
        <v>536</v>
      </c>
      <c r="F4119" t="s">
        <v>536</v>
      </c>
      <c r="H4119">
        <v>5</v>
      </c>
      <c r="I4119">
        <f>VLOOKUP(B4119,BRAND!B:D,3,FALSE)</f>
        <v>3</v>
      </c>
      <c r="J4119">
        <v>5</v>
      </c>
      <c r="K4119" t="s">
        <v>821</v>
      </c>
      <c r="M4119">
        <v>1</v>
      </c>
    </row>
    <row r="4120" spans="1:13">
      <c r="A4120" t="s">
        <v>4107</v>
      </c>
      <c r="B4120" t="s">
        <v>90</v>
      </c>
      <c r="C4120" s="34" t="s">
        <v>786</v>
      </c>
      <c r="F4120" t="s">
        <v>786</v>
      </c>
      <c r="H4120">
        <v>5</v>
      </c>
      <c r="I4120">
        <f>VLOOKUP(B4120,BRAND!B:D,3,FALSE)</f>
        <v>3</v>
      </c>
      <c r="J4120">
        <v>3</v>
      </c>
      <c r="K4120" t="s">
        <v>821</v>
      </c>
      <c r="L4120">
        <v>0</v>
      </c>
      <c r="M4120">
        <v>0</v>
      </c>
    </row>
    <row r="4121" spans="1:13">
      <c r="A4121" t="s">
        <v>3235</v>
      </c>
      <c r="B4121" t="s">
        <v>90</v>
      </c>
      <c r="C4121" s="34" t="s">
        <v>561</v>
      </c>
      <c r="F4121" t="s">
        <v>561</v>
      </c>
      <c r="H4121">
        <v>5</v>
      </c>
      <c r="I4121">
        <f>VLOOKUP(B4121,BRAND!B:D,3,FALSE)</f>
        <v>3</v>
      </c>
      <c r="J4121">
        <v>3</v>
      </c>
      <c r="K4121" t="s">
        <v>821</v>
      </c>
      <c r="L4121">
        <v>0</v>
      </c>
      <c r="M4121">
        <v>0</v>
      </c>
    </row>
    <row r="4122" spans="1:13">
      <c r="A4122" t="s">
        <v>4340</v>
      </c>
      <c r="B4122" t="s">
        <v>90</v>
      </c>
      <c r="C4122" s="34" t="s">
        <v>775</v>
      </c>
      <c r="F4122" t="s">
        <v>775</v>
      </c>
      <c r="H4122">
        <v>5</v>
      </c>
      <c r="I4122">
        <f>VLOOKUP(B4122,BRAND!B:D,3,FALSE)</f>
        <v>3</v>
      </c>
      <c r="J4122">
        <v>3</v>
      </c>
      <c r="K4122" t="s">
        <v>821</v>
      </c>
      <c r="L4122">
        <v>0</v>
      </c>
      <c r="M4122">
        <v>0</v>
      </c>
    </row>
    <row r="4123" spans="1:13">
      <c r="A4123" t="s">
        <v>4961</v>
      </c>
      <c r="B4123" t="s">
        <v>90</v>
      </c>
      <c r="C4123" s="34" t="s">
        <v>1438</v>
      </c>
      <c r="F4123" t="s">
        <v>1438</v>
      </c>
      <c r="G4123" t="s">
        <v>801</v>
      </c>
      <c r="H4123">
        <v>6</v>
      </c>
      <c r="I4123">
        <f>VLOOKUP(B4123,BRAND!B:D,3,FALSE)</f>
        <v>3</v>
      </c>
      <c r="J4123">
        <v>4</v>
      </c>
      <c r="K4123" t="s">
        <v>821</v>
      </c>
      <c r="L4123">
        <v>0</v>
      </c>
      <c r="M4123">
        <v>0</v>
      </c>
    </row>
    <row r="4124" spans="1:13">
      <c r="A4124" t="s">
        <v>2012</v>
      </c>
      <c r="B4124" t="s">
        <v>90</v>
      </c>
      <c r="C4124" s="34" t="s">
        <v>1438</v>
      </c>
      <c r="F4124" t="s">
        <v>1438</v>
      </c>
      <c r="H4124">
        <v>15</v>
      </c>
      <c r="I4124">
        <f>VLOOKUP(B4124,BRAND!B:D,3,FALSE)</f>
        <v>3</v>
      </c>
      <c r="J4124">
        <v>4</v>
      </c>
      <c r="K4124" t="s">
        <v>821</v>
      </c>
      <c r="L4124">
        <v>0</v>
      </c>
      <c r="M4124">
        <v>0</v>
      </c>
    </row>
    <row r="4125" spans="1:13">
      <c r="A4125" t="s">
        <v>3534</v>
      </c>
      <c r="B4125" t="s">
        <v>1166</v>
      </c>
      <c r="C4125" s="34" t="s">
        <v>776</v>
      </c>
      <c r="F4125" t="s">
        <v>776</v>
      </c>
      <c r="H4125">
        <v>5</v>
      </c>
      <c r="I4125">
        <f>VLOOKUP(B4125,BRAND!B:D,3,FALSE)</f>
        <v>5.5</v>
      </c>
      <c r="J4125">
        <v>5</v>
      </c>
      <c r="K4125" t="e">
        <v>#N/A</v>
      </c>
      <c r="L4125">
        <v>0</v>
      </c>
      <c r="M4125">
        <v>0</v>
      </c>
    </row>
    <row r="4126" spans="1:13">
      <c r="A4126" t="s">
        <v>3601</v>
      </c>
      <c r="B4126" t="s">
        <v>1046</v>
      </c>
      <c r="C4126" s="34" t="s">
        <v>561</v>
      </c>
      <c r="F4126" t="s">
        <v>561</v>
      </c>
      <c r="H4126">
        <v>5</v>
      </c>
      <c r="I4126">
        <f>VLOOKUP(B4126,BRAND!B:D,3,FALSE)</f>
        <v>3</v>
      </c>
      <c r="J4126">
        <v>3</v>
      </c>
      <c r="K4126" t="s">
        <v>821</v>
      </c>
      <c r="L4126">
        <v>0</v>
      </c>
      <c r="M4126">
        <v>0</v>
      </c>
    </row>
    <row r="4127" spans="1:13">
      <c r="A4127" t="s">
        <v>2190</v>
      </c>
      <c r="B4127" t="s">
        <v>1046</v>
      </c>
      <c r="C4127" s="34" t="s">
        <v>1438</v>
      </c>
      <c r="F4127" t="s">
        <v>1438</v>
      </c>
      <c r="H4127">
        <v>15</v>
      </c>
      <c r="I4127">
        <f>VLOOKUP(B4127,BRAND!B:D,3,FALSE)</f>
        <v>3</v>
      </c>
      <c r="J4127">
        <v>4</v>
      </c>
      <c r="K4127" t="s">
        <v>821</v>
      </c>
      <c r="L4127">
        <v>0</v>
      </c>
      <c r="M4127">
        <v>0</v>
      </c>
    </row>
    <row r="4128" spans="1:13">
      <c r="A4128" t="s">
        <v>12388</v>
      </c>
      <c r="B4128" t="s">
        <v>12016</v>
      </c>
      <c r="C4128" s="34" t="s">
        <v>12389</v>
      </c>
      <c r="F4128" t="s">
        <v>12389</v>
      </c>
      <c r="G4128" t="s">
        <v>6932</v>
      </c>
      <c r="H4128">
        <v>5</v>
      </c>
    </row>
    <row r="4129" spans="1:8">
      <c r="A4129" t="s">
        <v>12390</v>
      </c>
      <c r="B4129" t="s">
        <v>12016</v>
      </c>
      <c r="C4129" s="34" t="s">
        <v>12391</v>
      </c>
      <c r="F4129" t="s">
        <v>12391</v>
      </c>
      <c r="G4129" t="s">
        <v>6932</v>
      </c>
      <c r="H4129">
        <v>5</v>
      </c>
    </row>
    <row r="4130" spans="1:8">
      <c r="A4130" t="s">
        <v>12392</v>
      </c>
      <c r="B4130" t="s">
        <v>12016</v>
      </c>
      <c r="C4130" s="34" t="s">
        <v>8349</v>
      </c>
      <c r="F4130" t="s">
        <v>12393</v>
      </c>
      <c r="G4130" t="s">
        <v>6932</v>
      </c>
      <c r="H4130">
        <v>5</v>
      </c>
    </row>
    <row r="4131" spans="1:8">
      <c r="A4131" t="s">
        <v>12394</v>
      </c>
      <c r="B4131" t="s">
        <v>12016</v>
      </c>
      <c r="C4131" s="34" t="s">
        <v>12395</v>
      </c>
      <c r="F4131" t="s">
        <v>12395</v>
      </c>
      <c r="G4131" t="s">
        <v>6932</v>
      </c>
      <c r="H4131">
        <v>5</v>
      </c>
    </row>
    <row r="4132" spans="1:8">
      <c r="A4132" t="s">
        <v>12396</v>
      </c>
      <c r="B4132" t="s">
        <v>12016</v>
      </c>
      <c r="C4132" s="34" t="s">
        <v>755</v>
      </c>
      <c r="F4132" t="s">
        <v>12397</v>
      </c>
      <c r="G4132" t="s">
        <v>6932</v>
      </c>
      <c r="H4132">
        <v>5</v>
      </c>
    </row>
    <row r="4133" spans="1:8">
      <c r="A4133" t="s">
        <v>12398</v>
      </c>
      <c r="B4133" t="s">
        <v>12016</v>
      </c>
      <c r="C4133" s="34" t="s">
        <v>6948</v>
      </c>
      <c r="F4133" t="s">
        <v>12399</v>
      </c>
      <c r="G4133" t="s">
        <v>6932</v>
      </c>
      <c r="H4133">
        <v>5</v>
      </c>
    </row>
    <row r="4134" spans="1:8">
      <c r="A4134" t="s">
        <v>12400</v>
      </c>
      <c r="B4134" t="s">
        <v>12016</v>
      </c>
      <c r="C4134" s="34" t="s">
        <v>354</v>
      </c>
      <c r="F4134" t="s">
        <v>354</v>
      </c>
      <c r="G4134" t="s">
        <v>6932</v>
      </c>
      <c r="H4134">
        <v>5</v>
      </c>
    </row>
    <row r="4135" spans="1:8">
      <c r="A4135" t="s">
        <v>12401</v>
      </c>
      <c r="B4135" t="s">
        <v>12016</v>
      </c>
      <c r="C4135" s="34" t="s">
        <v>12402</v>
      </c>
      <c r="F4135" t="s">
        <v>12403</v>
      </c>
      <c r="G4135" t="s">
        <v>6932</v>
      </c>
      <c r="H4135">
        <v>5</v>
      </c>
    </row>
    <row r="4136" spans="1:8">
      <c r="A4136" t="s">
        <v>12404</v>
      </c>
      <c r="B4136" t="s">
        <v>12016</v>
      </c>
      <c r="C4136" s="34" t="s">
        <v>12405</v>
      </c>
      <c r="F4136" t="s">
        <v>12406</v>
      </c>
      <c r="G4136" t="s">
        <v>6932</v>
      </c>
      <c r="H4136">
        <v>5</v>
      </c>
    </row>
    <row r="4137" spans="1:8">
      <c r="A4137" t="s">
        <v>12407</v>
      </c>
      <c r="B4137" t="s">
        <v>12016</v>
      </c>
      <c r="C4137" s="34" t="s">
        <v>12408</v>
      </c>
      <c r="F4137" t="s">
        <v>12409</v>
      </c>
      <c r="G4137" t="s">
        <v>6932</v>
      </c>
      <c r="H4137">
        <v>5</v>
      </c>
    </row>
    <row r="4138" spans="1:8">
      <c r="A4138" t="s">
        <v>12410</v>
      </c>
      <c r="B4138" t="s">
        <v>12016</v>
      </c>
      <c r="C4138" s="34" t="s">
        <v>12411</v>
      </c>
      <c r="F4138" t="s">
        <v>12412</v>
      </c>
      <c r="G4138" t="s">
        <v>6932</v>
      </c>
      <c r="H4138">
        <v>5</v>
      </c>
    </row>
    <row r="4139" spans="1:8">
      <c r="A4139" t="s">
        <v>12413</v>
      </c>
      <c r="B4139" t="s">
        <v>12016</v>
      </c>
      <c r="C4139" s="34" t="s">
        <v>12414</v>
      </c>
      <c r="F4139" t="s">
        <v>12414</v>
      </c>
      <c r="G4139" t="s">
        <v>6932</v>
      </c>
      <c r="H4139">
        <v>5</v>
      </c>
    </row>
    <row r="4140" spans="1:8">
      <c r="A4140" t="s">
        <v>12415</v>
      </c>
      <c r="B4140" t="s">
        <v>12016</v>
      </c>
      <c r="C4140" s="34" t="s">
        <v>12416</v>
      </c>
      <c r="F4140" t="s">
        <v>12416</v>
      </c>
      <c r="G4140" t="s">
        <v>801</v>
      </c>
      <c r="H4140">
        <v>5</v>
      </c>
    </row>
    <row r="4141" spans="1:8">
      <c r="A4141" t="s">
        <v>12417</v>
      </c>
      <c r="B4141" t="s">
        <v>12016</v>
      </c>
      <c r="C4141" s="34" t="s">
        <v>12418</v>
      </c>
      <c r="F4141" t="s">
        <v>12419</v>
      </c>
      <c r="G4141" t="s">
        <v>6932</v>
      </c>
      <c r="H4141">
        <v>5</v>
      </c>
    </row>
    <row r="4142" spans="1:8">
      <c r="A4142" t="s">
        <v>12420</v>
      </c>
      <c r="B4142" t="s">
        <v>12016</v>
      </c>
      <c r="C4142" s="34" t="s">
        <v>12421</v>
      </c>
      <c r="F4142" t="s">
        <v>12421</v>
      </c>
      <c r="G4142" t="s">
        <v>6932</v>
      </c>
      <c r="H4142">
        <v>5</v>
      </c>
    </row>
    <row r="4143" spans="1:8">
      <c r="A4143" t="s">
        <v>12422</v>
      </c>
      <c r="B4143" t="s">
        <v>12016</v>
      </c>
      <c r="C4143" s="34" t="s">
        <v>8301</v>
      </c>
      <c r="F4143" t="s">
        <v>8301</v>
      </c>
      <c r="G4143" t="s">
        <v>6932</v>
      </c>
      <c r="H4143">
        <v>5</v>
      </c>
    </row>
    <row r="4144" spans="1:8">
      <c r="A4144" t="s">
        <v>12423</v>
      </c>
      <c r="B4144" t="s">
        <v>12016</v>
      </c>
      <c r="C4144" s="34" t="s">
        <v>12424</v>
      </c>
      <c r="F4144" t="s">
        <v>12425</v>
      </c>
      <c r="G4144" t="s">
        <v>6932</v>
      </c>
      <c r="H4144">
        <v>5</v>
      </c>
    </row>
    <row r="4145" spans="1:13">
      <c r="A4145" t="s">
        <v>12426</v>
      </c>
      <c r="B4145" t="s">
        <v>12016</v>
      </c>
      <c r="C4145" s="34" t="s">
        <v>12427</v>
      </c>
      <c r="F4145" t="s">
        <v>12428</v>
      </c>
      <c r="G4145" t="s">
        <v>6932</v>
      </c>
      <c r="H4145">
        <v>5</v>
      </c>
    </row>
    <row r="4146" spans="1:13">
      <c r="A4146" t="s">
        <v>12429</v>
      </c>
      <c r="B4146" t="s">
        <v>12016</v>
      </c>
      <c r="C4146" s="34" t="s">
        <v>12430</v>
      </c>
      <c r="F4146" t="s">
        <v>12431</v>
      </c>
      <c r="G4146" t="s">
        <v>6932</v>
      </c>
      <c r="H4146">
        <v>5</v>
      </c>
    </row>
    <row r="4147" spans="1:13">
      <c r="A4147" t="s">
        <v>12432</v>
      </c>
      <c r="B4147" t="s">
        <v>12016</v>
      </c>
      <c r="C4147" s="34" t="s">
        <v>12433</v>
      </c>
      <c r="F4147" t="s">
        <v>12433</v>
      </c>
      <c r="G4147" t="s">
        <v>6932</v>
      </c>
      <c r="H4147">
        <v>5</v>
      </c>
    </row>
    <row r="4148" spans="1:13">
      <c r="A4148" t="s">
        <v>12434</v>
      </c>
      <c r="B4148" t="s">
        <v>12016</v>
      </c>
      <c r="C4148" s="34">
        <v>15</v>
      </c>
      <c r="F4148">
        <v>1862</v>
      </c>
      <c r="G4148" t="s">
        <v>6932</v>
      </c>
      <c r="H4148">
        <v>5</v>
      </c>
    </row>
    <row r="4149" spans="1:13">
      <c r="A4149" t="s">
        <v>12435</v>
      </c>
      <c r="B4149" t="s">
        <v>12016</v>
      </c>
      <c r="C4149" s="34" t="s">
        <v>877</v>
      </c>
      <c r="F4149" t="s">
        <v>877</v>
      </c>
      <c r="G4149" t="s">
        <v>6932</v>
      </c>
      <c r="H4149">
        <v>5</v>
      </c>
    </row>
    <row r="4150" spans="1:13">
      <c r="A4150" t="s">
        <v>12436</v>
      </c>
      <c r="B4150" t="s">
        <v>12016</v>
      </c>
      <c r="C4150" s="34" t="s">
        <v>913</v>
      </c>
      <c r="F4150" t="s">
        <v>12437</v>
      </c>
      <c r="G4150" t="s">
        <v>6932</v>
      </c>
      <c r="H4150">
        <v>5</v>
      </c>
    </row>
    <row r="4151" spans="1:13">
      <c r="A4151" t="s">
        <v>4871</v>
      </c>
      <c r="B4151" t="s">
        <v>1891</v>
      </c>
      <c r="C4151" s="34" t="s">
        <v>786</v>
      </c>
      <c r="F4151" t="s">
        <v>786</v>
      </c>
      <c r="H4151">
        <v>5</v>
      </c>
      <c r="I4151">
        <f>VLOOKUP(B4151,BRAND!B:D,3,FALSE)</f>
        <v>5</v>
      </c>
      <c r="J4151">
        <v>3</v>
      </c>
      <c r="K4151" t="s">
        <v>821</v>
      </c>
      <c r="L4151">
        <v>0</v>
      </c>
      <c r="M4151">
        <v>0</v>
      </c>
    </row>
    <row r="4152" spans="1:13">
      <c r="A4152" t="s">
        <v>4305</v>
      </c>
      <c r="B4152" t="s">
        <v>1891</v>
      </c>
      <c r="C4152" s="34" t="s">
        <v>561</v>
      </c>
      <c r="F4152" t="s">
        <v>561</v>
      </c>
      <c r="H4152">
        <v>5</v>
      </c>
      <c r="I4152">
        <f>VLOOKUP(B4152,BRAND!B:D,3,FALSE)</f>
        <v>5</v>
      </c>
      <c r="J4152">
        <v>3</v>
      </c>
      <c r="K4152" t="s">
        <v>821</v>
      </c>
      <c r="L4152">
        <v>0</v>
      </c>
      <c r="M4152">
        <v>0</v>
      </c>
    </row>
    <row r="4153" spans="1:13">
      <c r="A4153" t="s">
        <v>4858</v>
      </c>
      <c r="B4153" t="s">
        <v>1280</v>
      </c>
      <c r="C4153" s="34" t="s">
        <v>786</v>
      </c>
      <c r="F4153" t="s">
        <v>786</v>
      </c>
      <c r="H4153">
        <v>5</v>
      </c>
      <c r="I4153">
        <f>VLOOKUP(B4153,BRAND!B:D,3,FALSE)</f>
        <v>3</v>
      </c>
      <c r="J4153">
        <v>3</v>
      </c>
      <c r="K4153" t="s">
        <v>821</v>
      </c>
      <c r="L4153">
        <v>0</v>
      </c>
      <c r="M4153">
        <v>0</v>
      </c>
    </row>
    <row r="4154" spans="1:13">
      <c r="A4154" t="s">
        <v>3307</v>
      </c>
      <c r="B4154" t="s">
        <v>1280</v>
      </c>
      <c r="C4154" s="34" t="s">
        <v>1438</v>
      </c>
      <c r="F4154" t="s">
        <v>1438</v>
      </c>
      <c r="H4154">
        <v>15</v>
      </c>
      <c r="I4154">
        <f>VLOOKUP(B4154,BRAND!B:D,3,FALSE)</f>
        <v>3</v>
      </c>
      <c r="J4154">
        <v>4</v>
      </c>
      <c r="K4154" t="s">
        <v>821</v>
      </c>
      <c r="L4154">
        <v>0</v>
      </c>
      <c r="M4154">
        <v>0</v>
      </c>
    </row>
    <row r="4155" spans="1:13">
      <c r="A4155" t="s">
        <v>4640</v>
      </c>
      <c r="B4155" t="s">
        <v>1758</v>
      </c>
      <c r="C4155" s="34" t="s">
        <v>776</v>
      </c>
      <c r="F4155" t="s">
        <v>776</v>
      </c>
      <c r="H4155">
        <v>5</v>
      </c>
      <c r="I4155">
        <f>VLOOKUP(B4155,BRAND!B:D,3,FALSE)</f>
        <v>9</v>
      </c>
      <c r="J4155">
        <v>5</v>
      </c>
      <c r="K4155" t="s">
        <v>821</v>
      </c>
      <c r="L4155">
        <v>0</v>
      </c>
      <c r="M4155">
        <v>0</v>
      </c>
    </row>
    <row r="4156" spans="1:13">
      <c r="A4156" t="s">
        <v>3035</v>
      </c>
      <c r="B4156" t="s">
        <v>1758</v>
      </c>
      <c r="C4156" s="34" t="s">
        <v>1438</v>
      </c>
      <c r="F4156" t="s">
        <v>1438</v>
      </c>
      <c r="H4156">
        <v>15</v>
      </c>
      <c r="I4156">
        <f>VLOOKUP(B4156,BRAND!B:D,3,FALSE)</f>
        <v>9</v>
      </c>
      <c r="J4156">
        <v>4</v>
      </c>
      <c r="K4156" t="s">
        <v>821</v>
      </c>
      <c r="L4156">
        <v>0</v>
      </c>
      <c r="M4156">
        <v>0</v>
      </c>
    </row>
    <row r="4157" spans="1:13">
      <c r="A4157" t="s">
        <v>4185</v>
      </c>
      <c r="B4157" t="s">
        <v>1047</v>
      </c>
      <c r="C4157" s="34" t="s">
        <v>786</v>
      </c>
      <c r="F4157" t="s">
        <v>786</v>
      </c>
      <c r="H4157">
        <v>5</v>
      </c>
      <c r="I4157">
        <f>VLOOKUP(B4157,BRAND!B:D,3,FALSE)</f>
        <v>3</v>
      </c>
      <c r="J4157">
        <v>3</v>
      </c>
      <c r="K4157" t="s">
        <v>821</v>
      </c>
      <c r="L4157">
        <v>0</v>
      </c>
      <c r="M4157">
        <v>0</v>
      </c>
    </row>
    <row r="4158" spans="1:13">
      <c r="A4158" t="s">
        <v>2127</v>
      </c>
      <c r="B4158" t="s">
        <v>1047</v>
      </c>
      <c r="C4158" s="34" t="s">
        <v>1438</v>
      </c>
      <c r="F4158" t="s">
        <v>1438</v>
      </c>
      <c r="H4158">
        <v>15</v>
      </c>
      <c r="I4158">
        <f>VLOOKUP(B4158,BRAND!B:D,3,FALSE)</f>
        <v>3</v>
      </c>
      <c r="J4158">
        <v>4</v>
      </c>
      <c r="K4158" t="s">
        <v>821</v>
      </c>
      <c r="L4158">
        <v>0</v>
      </c>
      <c r="M4158">
        <v>0</v>
      </c>
    </row>
    <row r="4159" spans="1:13">
      <c r="A4159" t="s">
        <v>7165</v>
      </c>
      <c r="B4159" t="s">
        <v>7166</v>
      </c>
      <c r="C4159" s="34" t="s">
        <v>1438</v>
      </c>
      <c r="F4159" t="s">
        <v>1438</v>
      </c>
      <c r="G4159" t="s">
        <v>6932</v>
      </c>
      <c r="H4159">
        <v>5</v>
      </c>
      <c r="I4159">
        <f>VLOOKUP(B4159,BRAND!B:D,3,FALSE)</f>
        <v>5.5</v>
      </c>
      <c r="J4159">
        <v>4</v>
      </c>
      <c r="M4159">
        <v>1</v>
      </c>
    </row>
    <row r="4160" spans="1:13">
      <c r="A4160" t="s">
        <v>7165</v>
      </c>
      <c r="B4160" t="s">
        <v>7166</v>
      </c>
      <c r="C4160" s="34" t="s">
        <v>1438</v>
      </c>
      <c r="F4160" t="s">
        <v>1438</v>
      </c>
      <c r="H4160">
        <v>5</v>
      </c>
      <c r="I4160">
        <f>VLOOKUP(B4160,BRAND!B:D,3,FALSE)</f>
        <v>5.5</v>
      </c>
      <c r="M4160">
        <v>1</v>
      </c>
    </row>
    <row r="4161" spans="1:13">
      <c r="A4161" t="s">
        <v>8436</v>
      </c>
      <c r="B4161" t="s">
        <v>8437</v>
      </c>
      <c r="C4161" s="34" t="s">
        <v>1438</v>
      </c>
      <c r="F4161" t="s">
        <v>1438</v>
      </c>
      <c r="G4161" t="s">
        <v>6932</v>
      </c>
      <c r="H4161">
        <v>5</v>
      </c>
      <c r="I4161">
        <f>VLOOKUP(B4161,BRAND!B:D,3,FALSE)</f>
        <v>5.5</v>
      </c>
      <c r="J4161">
        <v>4</v>
      </c>
      <c r="M4161">
        <v>1</v>
      </c>
    </row>
    <row r="4162" spans="1:13">
      <c r="A4162" t="s">
        <v>3718</v>
      </c>
      <c r="B4162" t="s">
        <v>1069</v>
      </c>
      <c r="C4162" s="34" t="s">
        <v>786</v>
      </c>
      <c r="F4162" t="s">
        <v>786</v>
      </c>
      <c r="H4162">
        <v>5</v>
      </c>
      <c r="I4162">
        <f>VLOOKUP(B4162,BRAND!B:D,3,FALSE)</f>
        <v>3</v>
      </c>
      <c r="J4162">
        <v>3</v>
      </c>
      <c r="K4162" t="s">
        <v>821</v>
      </c>
      <c r="M4162">
        <v>1</v>
      </c>
    </row>
    <row r="4163" spans="1:13">
      <c r="A4163" t="s">
        <v>11485</v>
      </c>
      <c r="B4163" t="s">
        <v>1069</v>
      </c>
      <c r="C4163" s="34" t="s">
        <v>1438</v>
      </c>
      <c r="F4163" t="s">
        <v>1438</v>
      </c>
      <c r="G4163" t="s">
        <v>6932</v>
      </c>
      <c r="H4163">
        <v>5</v>
      </c>
    </row>
    <row r="4164" spans="1:13">
      <c r="A4164" t="s">
        <v>2235</v>
      </c>
      <c r="B4164" t="s">
        <v>1069</v>
      </c>
      <c r="C4164" s="34" t="s">
        <v>1438</v>
      </c>
      <c r="F4164" t="s">
        <v>1438</v>
      </c>
      <c r="H4164">
        <v>15</v>
      </c>
      <c r="I4164">
        <f>VLOOKUP(B4164,BRAND!B:D,3,FALSE)</f>
        <v>3</v>
      </c>
      <c r="J4164">
        <v>4</v>
      </c>
      <c r="K4164" t="s">
        <v>821</v>
      </c>
      <c r="L4164">
        <v>0</v>
      </c>
      <c r="M4164">
        <v>0</v>
      </c>
    </row>
    <row r="4165" spans="1:13">
      <c r="A4165" t="s">
        <v>8438</v>
      </c>
      <c r="B4165" t="s">
        <v>8439</v>
      </c>
      <c r="C4165" s="34" t="s">
        <v>921</v>
      </c>
      <c r="F4165" t="s">
        <v>921</v>
      </c>
      <c r="G4165" t="s">
        <v>6932</v>
      </c>
      <c r="H4165">
        <v>5</v>
      </c>
      <c r="I4165">
        <f>VLOOKUP(B4165,BRAND!B:D,3,FALSE)</f>
        <v>5.5</v>
      </c>
      <c r="J4165">
        <v>8</v>
      </c>
      <c r="M4165">
        <v>1</v>
      </c>
    </row>
    <row r="4166" spans="1:13">
      <c r="A4166" t="s">
        <v>8440</v>
      </c>
      <c r="B4166" t="s">
        <v>8439</v>
      </c>
      <c r="C4166" s="34" t="s">
        <v>913</v>
      </c>
      <c r="F4166" t="s">
        <v>913</v>
      </c>
      <c r="G4166" t="s">
        <v>6932</v>
      </c>
      <c r="H4166">
        <v>5</v>
      </c>
      <c r="I4166">
        <f>VLOOKUP(B4166,BRAND!B:D,3,FALSE)</f>
        <v>5.5</v>
      </c>
      <c r="J4166">
        <v>5</v>
      </c>
      <c r="M4166">
        <v>1</v>
      </c>
    </row>
    <row r="4167" spans="1:13">
      <c r="A4167" t="s">
        <v>4090</v>
      </c>
      <c r="B4167" t="s">
        <v>1106</v>
      </c>
      <c r="C4167" s="34" t="s">
        <v>786</v>
      </c>
      <c r="F4167" t="s">
        <v>786</v>
      </c>
      <c r="H4167">
        <v>5</v>
      </c>
      <c r="I4167">
        <f>VLOOKUP(B4167,BRAND!B:D,3,FALSE)</f>
        <v>3</v>
      </c>
      <c r="J4167">
        <v>3</v>
      </c>
      <c r="K4167" t="s">
        <v>821</v>
      </c>
      <c r="L4167">
        <v>0</v>
      </c>
      <c r="M4167">
        <v>0</v>
      </c>
    </row>
    <row r="4168" spans="1:13">
      <c r="A4168" t="s">
        <v>2396</v>
      </c>
      <c r="B4168" t="s">
        <v>1106</v>
      </c>
      <c r="C4168" s="34" t="s">
        <v>1438</v>
      </c>
      <c r="F4168" t="s">
        <v>1438</v>
      </c>
      <c r="H4168">
        <v>15</v>
      </c>
      <c r="I4168">
        <f>VLOOKUP(B4168,BRAND!B:D,3,FALSE)</f>
        <v>3</v>
      </c>
      <c r="J4168">
        <v>4</v>
      </c>
      <c r="K4168" t="s">
        <v>821</v>
      </c>
      <c r="L4168">
        <v>0</v>
      </c>
      <c r="M4168">
        <v>0</v>
      </c>
    </row>
    <row r="4169" spans="1:13">
      <c r="A4169" t="s">
        <v>4099</v>
      </c>
      <c r="B4169" t="s">
        <v>969</v>
      </c>
      <c r="C4169" s="34" t="s">
        <v>786</v>
      </c>
      <c r="F4169" t="s">
        <v>786</v>
      </c>
      <c r="H4169">
        <v>5</v>
      </c>
      <c r="I4169">
        <f>VLOOKUP(B4169,BRAND!B:D,3,FALSE)</f>
        <v>3</v>
      </c>
      <c r="J4169">
        <v>3</v>
      </c>
      <c r="K4169" t="s">
        <v>821</v>
      </c>
      <c r="L4169">
        <v>0</v>
      </c>
      <c r="M4169">
        <v>0</v>
      </c>
    </row>
    <row r="4170" spans="1:13">
      <c r="A4170" t="s">
        <v>2414</v>
      </c>
      <c r="B4170" t="s">
        <v>969</v>
      </c>
      <c r="C4170" s="34" t="s">
        <v>1438</v>
      </c>
      <c r="F4170" t="s">
        <v>1438</v>
      </c>
      <c r="H4170">
        <v>15</v>
      </c>
      <c r="I4170">
        <f>VLOOKUP(B4170,BRAND!B:D,3,FALSE)</f>
        <v>3</v>
      </c>
      <c r="J4170">
        <v>4</v>
      </c>
      <c r="K4170" t="s">
        <v>821</v>
      </c>
      <c r="L4170">
        <v>0</v>
      </c>
      <c r="M4170">
        <v>0</v>
      </c>
    </row>
    <row r="4171" spans="1:13">
      <c r="A4171" t="s">
        <v>8441</v>
      </c>
      <c r="B4171" t="s">
        <v>8442</v>
      </c>
      <c r="C4171" s="34" t="s">
        <v>1438</v>
      </c>
      <c r="F4171" t="s">
        <v>1438</v>
      </c>
      <c r="G4171" t="s">
        <v>6932</v>
      </c>
      <c r="H4171">
        <v>5</v>
      </c>
      <c r="I4171">
        <f>VLOOKUP(B4171,BRAND!B:D,3,FALSE)</f>
        <v>5.5</v>
      </c>
      <c r="J4171">
        <v>4</v>
      </c>
      <c r="M4171">
        <v>1</v>
      </c>
    </row>
    <row r="4172" spans="1:13">
      <c r="A4172" t="s">
        <v>4277</v>
      </c>
      <c r="B4172" t="s">
        <v>1907</v>
      </c>
      <c r="C4172" s="34" t="s">
        <v>561</v>
      </c>
      <c r="F4172" t="s">
        <v>561</v>
      </c>
      <c r="H4172">
        <v>5</v>
      </c>
      <c r="I4172">
        <f>VLOOKUP(B4172,BRAND!B:D,3,FALSE)</f>
        <v>5</v>
      </c>
      <c r="J4172">
        <v>3</v>
      </c>
      <c r="K4172" t="s">
        <v>821</v>
      </c>
      <c r="L4172">
        <v>0</v>
      </c>
      <c r="M4172">
        <v>0</v>
      </c>
    </row>
    <row r="4173" spans="1:13">
      <c r="A4173" t="s">
        <v>3228</v>
      </c>
      <c r="B4173" t="s">
        <v>91</v>
      </c>
      <c r="C4173" s="34" t="s">
        <v>933</v>
      </c>
      <c r="F4173" t="s">
        <v>933</v>
      </c>
      <c r="H4173">
        <v>5</v>
      </c>
      <c r="I4173">
        <f>VLOOKUP(B4173,BRAND!B:D,3,FALSE)</f>
        <v>3</v>
      </c>
      <c r="J4173">
        <v>8</v>
      </c>
      <c r="K4173" t="s">
        <v>821</v>
      </c>
      <c r="L4173">
        <v>0</v>
      </c>
      <c r="M4173">
        <v>0</v>
      </c>
    </row>
    <row r="4174" spans="1:13">
      <c r="A4174" t="s">
        <v>3043</v>
      </c>
      <c r="B4174" t="s">
        <v>91</v>
      </c>
      <c r="C4174" s="34" t="s">
        <v>371</v>
      </c>
      <c r="F4174" t="s">
        <v>371</v>
      </c>
      <c r="H4174">
        <v>5</v>
      </c>
      <c r="I4174">
        <f>VLOOKUP(B4174,BRAND!B:D,3,FALSE)</f>
        <v>3</v>
      </c>
      <c r="J4174">
        <v>5</v>
      </c>
      <c r="K4174" t="s">
        <v>821</v>
      </c>
      <c r="L4174">
        <v>0</v>
      </c>
      <c r="M4174">
        <v>0</v>
      </c>
    </row>
    <row r="4175" spans="1:13">
      <c r="A4175" t="s">
        <v>3043</v>
      </c>
      <c r="B4175" t="s">
        <v>91</v>
      </c>
      <c r="C4175" s="34" t="s">
        <v>536</v>
      </c>
      <c r="F4175" t="s">
        <v>536</v>
      </c>
      <c r="H4175">
        <v>5</v>
      </c>
      <c r="I4175">
        <f>VLOOKUP(B4175,BRAND!B:D,3,FALSE)</f>
        <v>3</v>
      </c>
      <c r="J4175">
        <v>5</v>
      </c>
      <c r="K4175" t="s">
        <v>821</v>
      </c>
      <c r="M4175">
        <v>1</v>
      </c>
    </row>
    <row r="4176" spans="1:13">
      <c r="A4176" t="s">
        <v>8443</v>
      </c>
      <c r="B4176" t="s">
        <v>91</v>
      </c>
      <c r="C4176" s="34" t="s">
        <v>1438</v>
      </c>
      <c r="F4176" t="s">
        <v>1438</v>
      </c>
      <c r="G4176" t="s">
        <v>6932</v>
      </c>
      <c r="H4176">
        <v>5</v>
      </c>
      <c r="I4176">
        <f>VLOOKUP(B4176,BRAND!B:D,3,FALSE)</f>
        <v>3</v>
      </c>
      <c r="J4176">
        <v>4</v>
      </c>
      <c r="L4176">
        <v>0</v>
      </c>
      <c r="M4176">
        <v>0</v>
      </c>
    </row>
    <row r="4177" spans="1:13">
      <c r="A4177" t="s">
        <v>2053</v>
      </c>
      <c r="B4177" t="s">
        <v>91</v>
      </c>
      <c r="C4177" s="34" t="s">
        <v>1438</v>
      </c>
      <c r="F4177" t="s">
        <v>1438</v>
      </c>
      <c r="H4177">
        <v>15</v>
      </c>
      <c r="I4177">
        <f>VLOOKUP(B4177,BRAND!B:D,3,FALSE)</f>
        <v>3</v>
      </c>
      <c r="J4177">
        <v>4</v>
      </c>
      <c r="K4177" t="s">
        <v>821</v>
      </c>
      <c r="L4177">
        <v>0</v>
      </c>
      <c r="M4177">
        <v>0</v>
      </c>
    </row>
    <row r="4178" spans="1:13">
      <c r="A4178" t="s">
        <v>8444</v>
      </c>
      <c r="B4178" t="s">
        <v>92</v>
      </c>
      <c r="C4178" s="34" t="s">
        <v>1438</v>
      </c>
      <c r="F4178" t="s">
        <v>1438</v>
      </c>
      <c r="G4178" t="s">
        <v>6932</v>
      </c>
      <c r="H4178">
        <v>5</v>
      </c>
      <c r="I4178">
        <f>VLOOKUP(B4178,BRAND!B:D,3,FALSE)</f>
        <v>3</v>
      </c>
      <c r="J4178">
        <v>4</v>
      </c>
      <c r="L4178">
        <v>0</v>
      </c>
      <c r="M4178">
        <v>0</v>
      </c>
    </row>
    <row r="4179" spans="1:13">
      <c r="A4179" t="s">
        <v>4317</v>
      </c>
      <c r="B4179" t="s">
        <v>92</v>
      </c>
      <c r="C4179" s="34" t="s">
        <v>786</v>
      </c>
      <c r="F4179" t="s">
        <v>786</v>
      </c>
      <c r="H4179">
        <v>5</v>
      </c>
      <c r="I4179">
        <f>VLOOKUP(B4179,BRAND!B:D,3,FALSE)</f>
        <v>3</v>
      </c>
      <c r="J4179">
        <v>3</v>
      </c>
      <c r="K4179" t="s">
        <v>821</v>
      </c>
      <c r="M4179">
        <v>1</v>
      </c>
    </row>
    <row r="4180" spans="1:13">
      <c r="A4180" t="s">
        <v>2649</v>
      </c>
      <c r="B4180" t="s">
        <v>92</v>
      </c>
      <c r="C4180" s="34" t="s">
        <v>1438</v>
      </c>
      <c r="F4180" t="s">
        <v>1438</v>
      </c>
      <c r="H4180">
        <v>15</v>
      </c>
      <c r="I4180">
        <f>VLOOKUP(B4180,BRAND!B:D,3,FALSE)</f>
        <v>3</v>
      </c>
      <c r="J4180">
        <v>4</v>
      </c>
      <c r="K4180" t="s">
        <v>821</v>
      </c>
      <c r="L4180">
        <v>0</v>
      </c>
      <c r="M4180">
        <v>0</v>
      </c>
    </row>
    <row r="4181" spans="1:13">
      <c r="A4181" t="s">
        <v>3105</v>
      </c>
      <c r="B4181" t="s">
        <v>1281</v>
      </c>
      <c r="C4181" s="34" t="s">
        <v>1438</v>
      </c>
      <c r="F4181" t="s">
        <v>1438</v>
      </c>
      <c r="H4181">
        <v>15</v>
      </c>
      <c r="I4181">
        <f>VLOOKUP(B4181,BRAND!B:D,3,FALSE)</f>
        <v>3</v>
      </c>
      <c r="J4181">
        <v>4</v>
      </c>
      <c r="K4181" t="s">
        <v>821</v>
      </c>
      <c r="L4181">
        <v>0</v>
      </c>
      <c r="M4181">
        <v>0</v>
      </c>
    </row>
    <row r="4182" spans="1:13">
      <c r="A4182" t="s">
        <v>8447</v>
      </c>
      <c r="B4182" t="s">
        <v>8446</v>
      </c>
      <c r="C4182" s="34" t="s">
        <v>8448</v>
      </c>
      <c r="F4182" t="s">
        <v>8449</v>
      </c>
      <c r="G4182" t="s">
        <v>6932</v>
      </c>
      <c r="H4182">
        <v>5</v>
      </c>
      <c r="I4182">
        <f>VLOOKUP(B4182,BRAND!B:D,3,FALSE)</f>
        <v>5.5</v>
      </c>
      <c r="J4182">
        <v>9</v>
      </c>
      <c r="M4182">
        <v>1</v>
      </c>
    </row>
    <row r="4183" spans="1:13">
      <c r="A4183" t="s">
        <v>8445</v>
      </c>
      <c r="B4183" t="s">
        <v>8446</v>
      </c>
      <c r="C4183" s="34" t="s">
        <v>536</v>
      </c>
      <c r="F4183" t="s">
        <v>536</v>
      </c>
      <c r="G4183" t="s">
        <v>6932</v>
      </c>
      <c r="H4183">
        <v>5</v>
      </c>
      <c r="I4183">
        <f>VLOOKUP(B4183,BRAND!B:D,3,FALSE)</f>
        <v>5.5</v>
      </c>
      <c r="J4183">
        <v>5</v>
      </c>
      <c r="M4183">
        <v>1</v>
      </c>
    </row>
    <row r="4184" spans="1:13">
      <c r="A4184" t="s">
        <v>13914</v>
      </c>
      <c r="B4184" t="s">
        <v>13915</v>
      </c>
      <c r="C4184" s="34" t="s">
        <v>1438</v>
      </c>
      <c r="F4184" t="s">
        <v>1438</v>
      </c>
      <c r="G4184" t="s">
        <v>6932</v>
      </c>
      <c r="H4184">
        <v>5</v>
      </c>
      <c r="I4184">
        <f>VLOOKUP(B4184,BRAND!B:D,3,FALSE)</f>
        <v>0</v>
      </c>
      <c r="J4184">
        <f>LEN(F4184)</f>
        <v>4</v>
      </c>
      <c r="K4184" t="s">
        <v>821</v>
      </c>
      <c r="L4184">
        <v>0</v>
      </c>
      <c r="M4184">
        <v>1</v>
      </c>
    </row>
    <row r="4185" spans="1:13">
      <c r="A4185" t="s">
        <v>8453</v>
      </c>
      <c r="B4185" t="s">
        <v>414</v>
      </c>
      <c r="C4185" s="34" t="s">
        <v>8454</v>
      </c>
      <c r="F4185" t="s">
        <v>8455</v>
      </c>
      <c r="G4185" t="s">
        <v>6932</v>
      </c>
      <c r="H4185">
        <v>5</v>
      </c>
      <c r="I4185">
        <f>VLOOKUP(B4185,BRAND!B:D,3,FALSE)</f>
        <v>3</v>
      </c>
      <c r="J4185">
        <f>LEN(F4185)</f>
        <v>12</v>
      </c>
      <c r="M4185">
        <v>1</v>
      </c>
    </row>
    <row r="4186" spans="1:13">
      <c r="A4186" t="s">
        <v>3041</v>
      </c>
      <c r="B4186" t="s">
        <v>414</v>
      </c>
      <c r="C4186" s="34" t="s">
        <v>798</v>
      </c>
      <c r="F4186" t="s">
        <v>798</v>
      </c>
      <c r="H4186">
        <v>5</v>
      </c>
      <c r="I4186">
        <f>VLOOKUP(B4186,BRAND!B:D,3,FALSE)</f>
        <v>3</v>
      </c>
      <c r="J4186">
        <v>9</v>
      </c>
      <c r="K4186" t="s">
        <v>821</v>
      </c>
      <c r="L4186">
        <v>0</v>
      </c>
      <c r="M4186">
        <v>0</v>
      </c>
    </row>
    <row r="4187" spans="1:13">
      <c r="A4187" t="s">
        <v>8456</v>
      </c>
      <c r="B4187" t="s">
        <v>414</v>
      </c>
      <c r="C4187" s="34" t="s">
        <v>8457</v>
      </c>
      <c r="F4187" t="s">
        <v>8457</v>
      </c>
      <c r="G4187" t="s">
        <v>6932</v>
      </c>
      <c r="H4187">
        <v>5</v>
      </c>
      <c r="I4187">
        <f>VLOOKUP(B4187,BRAND!B:D,3,FALSE)</f>
        <v>3</v>
      </c>
      <c r="J4187">
        <v>8</v>
      </c>
      <c r="M4187">
        <v>1</v>
      </c>
    </row>
    <row r="4188" spans="1:13">
      <c r="A4188" t="s">
        <v>8451</v>
      </c>
      <c r="B4188" t="s">
        <v>414</v>
      </c>
      <c r="C4188" s="34" t="s">
        <v>8452</v>
      </c>
      <c r="F4188" t="s">
        <v>8452</v>
      </c>
      <c r="G4188" t="s">
        <v>6932</v>
      </c>
      <c r="H4188">
        <v>5</v>
      </c>
      <c r="I4188">
        <f>VLOOKUP(B4188,BRAND!B:D,3,FALSE)</f>
        <v>3</v>
      </c>
      <c r="J4188">
        <v>7</v>
      </c>
      <c r="M4188">
        <v>1</v>
      </c>
    </row>
    <row r="4189" spans="1:13">
      <c r="A4189" t="s">
        <v>8460</v>
      </c>
      <c r="B4189" t="s">
        <v>414</v>
      </c>
      <c r="C4189" s="34" t="s">
        <v>8461</v>
      </c>
      <c r="F4189" t="s">
        <v>8461</v>
      </c>
      <c r="G4189" t="s">
        <v>6932</v>
      </c>
      <c r="H4189">
        <v>5</v>
      </c>
      <c r="I4189">
        <f>VLOOKUP(B4189,BRAND!B:D,3,FALSE)</f>
        <v>3</v>
      </c>
      <c r="J4189">
        <v>6</v>
      </c>
      <c r="M4189">
        <v>1</v>
      </c>
    </row>
    <row r="4190" spans="1:13">
      <c r="A4190" t="s">
        <v>3066</v>
      </c>
      <c r="B4190" t="s">
        <v>414</v>
      </c>
      <c r="C4190" s="34" t="s">
        <v>534</v>
      </c>
      <c r="F4190" t="s">
        <v>534</v>
      </c>
      <c r="H4190">
        <v>5</v>
      </c>
      <c r="I4190">
        <f>VLOOKUP(B4190,BRAND!B:D,3,FALSE)</f>
        <v>3</v>
      </c>
      <c r="J4190">
        <v>6</v>
      </c>
      <c r="K4190" t="s">
        <v>821</v>
      </c>
      <c r="M4190">
        <v>1</v>
      </c>
    </row>
    <row r="4191" spans="1:13">
      <c r="A4191" t="s">
        <v>2821</v>
      </c>
      <c r="B4191" t="s">
        <v>414</v>
      </c>
      <c r="C4191" s="34" t="s">
        <v>536</v>
      </c>
      <c r="F4191" t="s">
        <v>536</v>
      </c>
      <c r="H4191">
        <v>5</v>
      </c>
      <c r="I4191">
        <f>VLOOKUP(B4191,BRAND!B:D,3,FALSE)</f>
        <v>3</v>
      </c>
      <c r="J4191">
        <v>5</v>
      </c>
      <c r="K4191" t="s">
        <v>821</v>
      </c>
      <c r="L4191">
        <v>0</v>
      </c>
      <c r="M4191">
        <v>0</v>
      </c>
    </row>
    <row r="4192" spans="1:13">
      <c r="A4192" t="s">
        <v>8458</v>
      </c>
      <c r="B4192" t="s">
        <v>414</v>
      </c>
      <c r="C4192" s="34" t="s">
        <v>799</v>
      </c>
      <c r="F4192" t="s">
        <v>799</v>
      </c>
      <c r="G4192" t="s">
        <v>6932</v>
      </c>
      <c r="H4192">
        <v>5</v>
      </c>
      <c r="I4192">
        <f>VLOOKUP(B4192,BRAND!B:D,3,FALSE)</f>
        <v>3</v>
      </c>
      <c r="J4192">
        <v>5</v>
      </c>
      <c r="M4192">
        <v>1</v>
      </c>
    </row>
    <row r="4193" spans="1:13">
      <c r="A4193" t="s">
        <v>8464</v>
      </c>
      <c r="B4193" t="s">
        <v>414</v>
      </c>
      <c r="C4193" s="34" t="s">
        <v>8465</v>
      </c>
      <c r="F4193" t="s">
        <v>8465</v>
      </c>
      <c r="G4193" t="s">
        <v>6932</v>
      </c>
      <c r="H4193">
        <v>5</v>
      </c>
      <c r="I4193">
        <f>VLOOKUP(B4193,BRAND!B:D,3,FALSE)</f>
        <v>3</v>
      </c>
      <c r="J4193">
        <v>5</v>
      </c>
      <c r="M4193">
        <v>1</v>
      </c>
    </row>
    <row r="4194" spans="1:13">
      <c r="A4194" t="s">
        <v>8450</v>
      </c>
      <c r="B4194" t="s">
        <v>414</v>
      </c>
      <c r="C4194" s="34" t="s">
        <v>776</v>
      </c>
      <c r="F4194" t="s">
        <v>776</v>
      </c>
      <c r="G4194" t="s">
        <v>6932</v>
      </c>
      <c r="H4194">
        <v>5</v>
      </c>
      <c r="I4194">
        <f>VLOOKUP(B4194,BRAND!B:D,3,FALSE)</f>
        <v>3</v>
      </c>
      <c r="J4194">
        <v>5</v>
      </c>
      <c r="M4194">
        <v>1</v>
      </c>
    </row>
    <row r="4195" spans="1:13">
      <c r="A4195" t="s">
        <v>8462</v>
      </c>
      <c r="B4195" t="s">
        <v>414</v>
      </c>
      <c r="C4195" s="34" t="s">
        <v>8463</v>
      </c>
      <c r="F4195" t="s">
        <v>8463</v>
      </c>
      <c r="G4195" t="s">
        <v>6932</v>
      </c>
      <c r="H4195">
        <v>5</v>
      </c>
      <c r="I4195">
        <f>VLOOKUP(B4195,BRAND!B:D,3,FALSE)</f>
        <v>3</v>
      </c>
      <c r="J4195">
        <v>4</v>
      </c>
      <c r="M4195">
        <v>1</v>
      </c>
    </row>
    <row r="4196" spans="1:13">
      <c r="A4196" t="s">
        <v>8459</v>
      </c>
      <c r="B4196" t="s">
        <v>414</v>
      </c>
      <c r="C4196" s="34" t="s">
        <v>786</v>
      </c>
      <c r="F4196" t="s">
        <v>786</v>
      </c>
      <c r="G4196" t="s">
        <v>6932</v>
      </c>
      <c r="H4196">
        <v>5</v>
      </c>
      <c r="I4196">
        <f>VLOOKUP(B4196,BRAND!B:D,3,FALSE)</f>
        <v>3</v>
      </c>
      <c r="J4196">
        <v>3</v>
      </c>
      <c r="M4196">
        <v>1</v>
      </c>
    </row>
    <row r="4197" spans="1:13">
      <c r="A4197" t="s">
        <v>2256</v>
      </c>
      <c r="B4197" t="s">
        <v>414</v>
      </c>
      <c r="C4197" s="34" t="s">
        <v>561</v>
      </c>
      <c r="F4197" t="s">
        <v>561</v>
      </c>
      <c r="H4197">
        <v>5</v>
      </c>
      <c r="I4197">
        <f>VLOOKUP(B4197,BRAND!B:D,3,FALSE)</f>
        <v>3</v>
      </c>
      <c r="J4197">
        <v>3</v>
      </c>
      <c r="K4197" t="s">
        <v>821</v>
      </c>
      <c r="M4197">
        <v>1</v>
      </c>
    </row>
    <row r="4198" spans="1:13">
      <c r="A4198" t="s">
        <v>2366</v>
      </c>
      <c r="B4198" t="s">
        <v>414</v>
      </c>
      <c r="C4198" s="34" t="s">
        <v>1438</v>
      </c>
      <c r="F4198" t="s">
        <v>1438</v>
      </c>
      <c r="H4198">
        <v>15</v>
      </c>
      <c r="I4198">
        <f>VLOOKUP(B4198,BRAND!B:D,3,FALSE)</f>
        <v>3</v>
      </c>
      <c r="J4198">
        <v>4</v>
      </c>
      <c r="K4198" t="s">
        <v>821</v>
      </c>
      <c r="M4198">
        <v>1</v>
      </c>
    </row>
    <row r="4199" spans="1:13">
      <c r="A4199" t="s">
        <v>2341</v>
      </c>
      <c r="B4199" t="s">
        <v>1048</v>
      </c>
      <c r="C4199" s="34" t="s">
        <v>1438</v>
      </c>
      <c r="F4199" t="s">
        <v>1438</v>
      </c>
      <c r="H4199">
        <v>15</v>
      </c>
      <c r="I4199">
        <f>VLOOKUP(B4199,BRAND!B:D,3,FALSE)</f>
        <v>3</v>
      </c>
      <c r="J4199">
        <v>4</v>
      </c>
      <c r="K4199" t="s">
        <v>821</v>
      </c>
      <c r="L4199">
        <v>0</v>
      </c>
      <c r="M4199">
        <v>0</v>
      </c>
    </row>
    <row r="4200" spans="1:13">
      <c r="A4200" t="s">
        <v>14991</v>
      </c>
      <c r="B4200" t="s">
        <v>14992</v>
      </c>
      <c r="C4200" s="34" t="s">
        <v>933</v>
      </c>
      <c r="F4200" t="s">
        <v>933</v>
      </c>
      <c r="G4200" t="s">
        <v>6932</v>
      </c>
      <c r="H4200">
        <v>5</v>
      </c>
      <c r="I4200">
        <f>VLOOKUP(B4200,BRAND!B:D,3,FALSE)</f>
        <v>5</v>
      </c>
      <c r="J4200">
        <v>0</v>
      </c>
      <c r="K4200" t="s">
        <v>821</v>
      </c>
      <c r="L4200">
        <v>0</v>
      </c>
      <c r="M4200">
        <v>0</v>
      </c>
    </row>
    <row r="4201" spans="1:13">
      <c r="A4201" t="s">
        <v>14993</v>
      </c>
      <c r="B4201" t="s">
        <v>14992</v>
      </c>
      <c r="C4201" s="34" t="s">
        <v>776</v>
      </c>
      <c r="F4201" t="s">
        <v>776</v>
      </c>
      <c r="G4201" t="s">
        <v>6932</v>
      </c>
      <c r="H4201">
        <v>5</v>
      </c>
      <c r="I4201">
        <f>VLOOKUP(B4201,BRAND!B:D,3,FALSE)</f>
        <v>5</v>
      </c>
      <c r="J4201">
        <v>0</v>
      </c>
      <c r="K4201" t="s">
        <v>821</v>
      </c>
      <c r="L4201">
        <v>0</v>
      </c>
      <c r="M4201">
        <v>0</v>
      </c>
    </row>
    <row r="4202" spans="1:13">
      <c r="A4202" t="s">
        <v>14994</v>
      </c>
      <c r="B4202" t="s">
        <v>14992</v>
      </c>
      <c r="C4202" s="34" t="s">
        <v>1999</v>
      </c>
      <c r="F4202" t="s">
        <v>1999</v>
      </c>
      <c r="G4202" t="s">
        <v>6932</v>
      </c>
      <c r="H4202">
        <v>5</v>
      </c>
      <c r="I4202">
        <f>VLOOKUP(B4202,BRAND!B:D,3,FALSE)</f>
        <v>5</v>
      </c>
      <c r="J4202">
        <v>0</v>
      </c>
      <c r="K4202" t="s">
        <v>821</v>
      </c>
      <c r="L4202">
        <v>0</v>
      </c>
      <c r="M4202">
        <v>0</v>
      </c>
    </row>
    <row r="4203" spans="1:13">
      <c r="A4203" t="s">
        <v>14995</v>
      </c>
      <c r="B4203" t="s">
        <v>14992</v>
      </c>
      <c r="C4203" s="34" t="s">
        <v>775</v>
      </c>
      <c r="F4203" t="s">
        <v>775</v>
      </c>
      <c r="G4203" t="s">
        <v>6932</v>
      </c>
      <c r="H4203">
        <v>5</v>
      </c>
      <c r="I4203">
        <f>VLOOKUP(B4203,BRAND!B:D,3,FALSE)</f>
        <v>5</v>
      </c>
      <c r="J4203">
        <v>0</v>
      </c>
      <c r="K4203" t="s">
        <v>821</v>
      </c>
      <c r="L4203">
        <v>0</v>
      </c>
      <c r="M4203">
        <v>0</v>
      </c>
    </row>
    <row r="4204" spans="1:13">
      <c r="A4204" t="s">
        <v>8466</v>
      </c>
      <c r="B4204" t="s">
        <v>8467</v>
      </c>
      <c r="C4204" s="34" t="s">
        <v>1438</v>
      </c>
      <c r="F4204" t="s">
        <v>1438</v>
      </c>
      <c r="G4204" t="s">
        <v>6932</v>
      </c>
      <c r="H4204">
        <v>5</v>
      </c>
      <c r="I4204">
        <f>VLOOKUP(B4204,BRAND!B:D,3,FALSE)</f>
        <v>5.5</v>
      </c>
      <c r="J4204">
        <v>4</v>
      </c>
      <c r="M4204">
        <v>1</v>
      </c>
    </row>
    <row r="4205" spans="1:13">
      <c r="A4205" t="s">
        <v>15195</v>
      </c>
      <c r="B4205" t="s">
        <v>15196</v>
      </c>
      <c r="C4205" s="34" t="s">
        <v>15197</v>
      </c>
      <c r="F4205" t="s">
        <v>15197</v>
      </c>
      <c r="G4205" t="s">
        <v>6932</v>
      </c>
      <c r="H4205">
        <v>5</v>
      </c>
      <c r="I4205">
        <f>VLOOKUP(B4205,BRAND!B:D,3,FALSE)</f>
        <v>5</v>
      </c>
      <c r="J4205">
        <v>0</v>
      </c>
      <c r="K4205" t="s">
        <v>821</v>
      </c>
      <c r="L4205">
        <v>0</v>
      </c>
      <c r="M4205">
        <v>0</v>
      </c>
    </row>
    <row r="4206" spans="1:13">
      <c r="A4206" t="s">
        <v>15198</v>
      </c>
      <c r="B4206" t="s">
        <v>15196</v>
      </c>
      <c r="C4206" s="34" t="s">
        <v>15199</v>
      </c>
      <c r="F4206" t="s">
        <v>15199</v>
      </c>
      <c r="G4206" t="s">
        <v>6932</v>
      </c>
      <c r="H4206">
        <v>5</v>
      </c>
      <c r="I4206">
        <f>VLOOKUP(B4206,BRAND!B:D,3,FALSE)</f>
        <v>5</v>
      </c>
      <c r="J4206">
        <v>0</v>
      </c>
      <c r="K4206" t="s">
        <v>821</v>
      </c>
      <c r="L4206">
        <v>0</v>
      </c>
      <c r="M4206">
        <v>0</v>
      </c>
    </row>
    <row r="4207" spans="1:13">
      <c r="A4207" t="s">
        <v>15200</v>
      </c>
      <c r="B4207" t="s">
        <v>15196</v>
      </c>
      <c r="C4207" s="34" t="s">
        <v>15201</v>
      </c>
      <c r="F4207" t="s">
        <v>15201</v>
      </c>
      <c r="G4207" t="s">
        <v>6932</v>
      </c>
      <c r="H4207">
        <v>5</v>
      </c>
      <c r="I4207">
        <f>VLOOKUP(B4207,BRAND!B:D,3,FALSE)</f>
        <v>5</v>
      </c>
      <c r="J4207">
        <v>0</v>
      </c>
      <c r="K4207" t="s">
        <v>821</v>
      </c>
      <c r="L4207">
        <v>0</v>
      </c>
      <c r="M4207">
        <v>0</v>
      </c>
    </row>
    <row r="4208" spans="1:13">
      <c r="A4208" t="s">
        <v>15202</v>
      </c>
      <c r="B4208" t="s">
        <v>15196</v>
      </c>
      <c r="C4208" s="34" t="s">
        <v>15203</v>
      </c>
      <c r="F4208" t="s">
        <v>15203</v>
      </c>
      <c r="G4208" t="s">
        <v>6932</v>
      </c>
      <c r="H4208">
        <v>5</v>
      </c>
      <c r="I4208">
        <f>VLOOKUP(B4208,BRAND!B:D,3,FALSE)</f>
        <v>5</v>
      </c>
      <c r="J4208">
        <v>0</v>
      </c>
      <c r="K4208" t="s">
        <v>821</v>
      </c>
      <c r="L4208">
        <v>0</v>
      </c>
      <c r="M4208">
        <v>0</v>
      </c>
    </row>
    <row r="4209" spans="1:13">
      <c r="A4209" t="s">
        <v>15204</v>
      </c>
      <c r="B4209" t="s">
        <v>15196</v>
      </c>
      <c r="C4209" s="34" t="s">
        <v>15205</v>
      </c>
      <c r="F4209" t="s">
        <v>15205</v>
      </c>
      <c r="G4209" t="s">
        <v>6932</v>
      </c>
      <c r="H4209">
        <v>5</v>
      </c>
      <c r="I4209">
        <f>VLOOKUP(B4209,BRAND!B:D,3,FALSE)</f>
        <v>5</v>
      </c>
      <c r="J4209">
        <v>0</v>
      </c>
      <c r="K4209" t="s">
        <v>821</v>
      </c>
      <c r="L4209">
        <v>0</v>
      </c>
      <c r="M4209">
        <v>0</v>
      </c>
    </row>
    <row r="4210" spans="1:13">
      <c r="A4210" t="s">
        <v>15206</v>
      </c>
      <c r="B4210" t="s">
        <v>15196</v>
      </c>
      <c r="C4210" s="34" t="s">
        <v>15207</v>
      </c>
      <c r="F4210" t="s">
        <v>15207</v>
      </c>
      <c r="G4210" t="s">
        <v>6932</v>
      </c>
      <c r="H4210">
        <v>5</v>
      </c>
      <c r="I4210">
        <f>VLOOKUP(B4210,BRAND!B:D,3,FALSE)</f>
        <v>5</v>
      </c>
      <c r="J4210">
        <v>0</v>
      </c>
      <c r="K4210" t="s">
        <v>821</v>
      </c>
      <c r="L4210">
        <v>0</v>
      </c>
      <c r="M4210">
        <v>0</v>
      </c>
    </row>
    <row r="4211" spans="1:13">
      <c r="A4211" t="s">
        <v>15208</v>
      </c>
      <c r="B4211" t="s">
        <v>15196</v>
      </c>
      <c r="C4211" s="34" t="s">
        <v>15209</v>
      </c>
      <c r="F4211" t="s">
        <v>15209</v>
      </c>
      <c r="G4211" t="s">
        <v>6932</v>
      </c>
      <c r="H4211">
        <v>5</v>
      </c>
      <c r="I4211">
        <f>VLOOKUP(B4211,BRAND!B:D,3,FALSE)</f>
        <v>5</v>
      </c>
      <c r="J4211">
        <v>0</v>
      </c>
      <c r="K4211" t="s">
        <v>821</v>
      </c>
      <c r="L4211">
        <v>0</v>
      </c>
      <c r="M4211">
        <v>0</v>
      </c>
    </row>
    <row r="4212" spans="1:13">
      <c r="A4212" t="s">
        <v>15210</v>
      </c>
      <c r="B4212" t="s">
        <v>15196</v>
      </c>
      <c r="C4212" s="34" t="s">
        <v>15211</v>
      </c>
      <c r="F4212" t="s">
        <v>15211</v>
      </c>
      <c r="G4212" t="s">
        <v>6932</v>
      </c>
      <c r="H4212">
        <v>5</v>
      </c>
      <c r="I4212">
        <f>VLOOKUP(B4212,BRAND!B:D,3,FALSE)</f>
        <v>5</v>
      </c>
      <c r="J4212">
        <v>0</v>
      </c>
      <c r="K4212" t="s">
        <v>821</v>
      </c>
      <c r="L4212">
        <v>0</v>
      </c>
      <c r="M4212">
        <v>0</v>
      </c>
    </row>
    <row r="4213" spans="1:13">
      <c r="A4213" t="s">
        <v>15212</v>
      </c>
      <c r="B4213" t="s">
        <v>15196</v>
      </c>
      <c r="C4213" s="34" t="s">
        <v>13890</v>
      </c>
      <c r="F4213" t="s">
        <v>13890</v>
      </c>
      <c r="G4213" t="s">
        <v>6932</v>
      </c>
      <c r="H4213">
        <v>5</v>
      </c>
      <c r="I4213">
        <f>VLOOKUP(B4213,BRAND!B:D,3,FALSE)</f>
        <v>5</v>
      </c>
      <c r="J4213">
        <v>0</v>
      </c>
      <c r="K4213" t="s">
        <v>821</v>
      </c>
      <c r="L4213">
        <v>0</v>
      </c>
      <c r="M4213">
        <v>0</v>
      </c>
    </row>
    <row r="4214" spans="1:13">
      <c r="A4214" t="s">
        <v>15213</v>
      </c>
      <c r="B4214" t="s">
        <v>15196</v>
      </c>
      <c r="C4214" s="34" t="s">
        <v>15214</v>
      </c>
      <c r="F4214" t="s">
        <v>15214</v>
      </c>
      <c r="G4214" t="s">
        <v>6932</v>
      </c>
      <c r="H4214">
        <v>5</v>
      </c>
      <c r="I4214">
        <f>VLOOKUP(B4214,BRAND!B:D,3,FALSE)</f>
        <v>5</v>
      </c>
      <c r="J4214">
        <v>0</v>
      </c>
      <c r="K4214" t="s">
        <v>821</v>
      </c>
      <c r="L4214">
        <v>0</v>
      </c>
      <c r="M4214">
        <v>0</v>
      </c>
    </row>
    <row r="4215" spans="1:13">
      <c r="A4215" t="s">
        <v>7817</v>
      </c>
      <c r="B4215" t="s">
        <v>7818</v>
      </c>
      <c r="C4215" s="34" t="s">
        <v>1438</v>
      </c>
      <c r="F4215" t="s">
        <v>1438</v>
      </c>
      <c r="G4215" t="s">
        <v>6932</v>
      </c>
      <c r="H4215">
        <v>5</v>
      </c>
      <c r="I4215">
        <f>VLOOKUP(B4215,BRAND!B:D,3,FALSE)</f>
        <v>5.5</v>
      </c>
      <c r="J4215">
        <v>4</v>
      </c>
      <c r="M4215">
        <v>1</v>
      </c>
    </row>
    <row r="4216" spans="1:13">
      <c r="A4216" t="s">
        <v>8468</v>
      </c>
      <c r="B4216" t="s">
        <v>8469</v>
      </c>
      <c r="C4216" s="34" t="s">
        <v>1438</v>
      </c>
      <c r="F4216" t="s">
        <v>1438</v>
      </c>
      <c r="G4216" t="s">
        <v>6932</v>
      </c>
      <c r="H4216">
        <v>5</v>
      </c>
      <c r="I4216">
        <f>VLOOKUP(B4216,BRAND!B:D,3,FALSE)</f>
        <v>5.5</v>
      </c>
      <c r="J4216">
        <v>4</v>
      </c>
      <c r="M4216">
        <v>1</v>
      </c>
    </row>
    <row r="4217" spans="1:13">
      <c r="A4217" t="s">
        <v>8470</v>
      </c>
      <c r="B4217" t="s">
        <v>8471</v>
      </c>
      <c r="C4217" s="34" t="s">
        <v>1438</v>
      </c>
      <c r="F4217" t="s">
        <v>1438</v>
      </c>
      <c r="G4217" t="s">
        <v>6932</v>
      </c>
      <c r="H4217">
        <v>5</v>
      </c>
      <c r="I4217">
        <f>VLOOKUP(B4217,BRAND!B:D,3,FALSE)</f>
        <v>5.5</v>
      </c>
      <c r="J4217">
        <v>4</v>
      </c>
      <c r="M4217">
        <v>1</v>
      </c>
    </row>
    <row r="4218" spans="1:13">
      <c r="A4218" t="s">
        <v>10093</v>
      </c>
      <c r="B4218" t="s">
        <v>7003</v>
      </c>
      <c r="C4218" s="34" t="s">
        <v>1438</v>
      </c>
      <c r="F4218" t="s">
        <v>1438</v>
      </c>
      <c r="H4218">
        <v>15</v>
      </c>
      <c r="I4218">
        <f>VLOOKUP(B4218,BRAND!B:D,3,FALSE)</f>
        <v>11</v>
      </c>
      <c r="J4218">
        <v>4</v>
      </c>
      <c r="L4218">
        <v>0</v>
      </c>
      <c r="M4218">
        <v>0</v>
      </c>
    </row>
    <row r="4219" spans="1:13">
      <c r="A4219" t="s">
        <v>4570</v>
      </c>
      <c r="B4219" t="s">
        <v>1453</v>
      </c>
      <c r="C4219" s="34" t="s">
        <v>1472</v>
      </c>
      <c r="F4219" t="s">
        <v>1472</v>
      </c>
      <c r="H4219">
        <v>5</v>
      </c>
      <c r="I4219">
        <f>VLOOKUP(B4219,BRAND!B:D,3,FALSE)</f>
        <v>11</v>
      </c>
      <c r="J4219">
        <f t="shared" ref="J4219:J4224" si="43">LEN(F4219)</f>
        <v>11</v>
      </c>
      <c r="K4219" t="s">
        <v>822</v>
      </c>
      <c r="M4219">
        <v>1</v>
      </c>
    </row>
    <row r="4220" spans="1:13">
      <c r="A4220" t="s">
        <v>1714</v>
      </c>
      <c r="B4220" t="s">
        <v>1453</v>
      </c>
      <c r="C4220" s="34" t="s">
        <v>1506</v>
      </c>
      <c r="F4220" t="s">
        <v>6447</v>
      </c>
      <c r="H4220">
        <v>5</v>
      </c>
      <c r="I4220">
        <f>VLOOKUP(B4220,BRAND!B:D,3,FALSE)</f>
        <v>11</v>
      </c>
      <c r="J4220">
        <f t="shared" si="43"/>
        <v>11</v>
      </c>
      <c r="K4220" t="s">
        <v>822</v>
      </c>
      <c r="M4220">
        <v>1</v>
      </c>
    </row>
    <row r="4221" spans="1:13">
      <c r="A4221" t="s">
        <v>5549</v>
      </c>
      <c r="B4221" t="s">
        <v>1453</v>
      </c>
      <c r="C4221" s="34" t="s">
        <v>1478</v>
      </c>
      <c r="F4221" t="s">
        <v>1478</v>
      </c>
      <c r="H4221">
        <v>5</v>
      </c>
      <c r="I4221">
        <f>VLOOKUP(B4221,BRAND!B:D,3,FALSE)</f>
        <v>11</v>
      </c>
      <c r="J4221">
        <f t="shared" si="43"/>
        <v>11</v>
      </c>
      <c r="K4221" t="s">
        <v>822</v>
      </c>
      <c r="M4221">
        <v>1</v>
      </c>
    </row>
    <row r="4222" spans="1:13">
      <c r="A4222" t="s">
        <v>1725</v>
      </c>
      <c r="B4222" t="s">
        <v>1453</v>
      </c>
      <c r="C4222" s="34" t="s">
        <v>1479</v>
      </c>
      <c r="F4222" t="s">
        <v>1479</v>
      </c>
      <c r="H4222">
        <v>5</v>
      </c>
      <c r="I4222">
        <f>VLOOKUP(B4222,BRAND!B:D,3,FALSE)</f>
        <v>11</v>
      </c>
      <c r="J4222">
        <f t="shared" si="43"/>
        <v>10</v>
      </c>
      <c r="K4222" t="s">
        <v>822</v>
      </c>
      <c r="M4222">
        <v>1</v>
      </c>
    </row>
    <row r="4223" spans="1:13">
      <c r="A4223" t="s">
        <v>4561</v>
      </c>
      <c r="B4223" t="s">
        <v>1453</v>
      </c>
      <c r="C4223" s="34" t="s">
        <v>1965</v>
      </c>
      <c r="F4223" t="s">
        <v>1965</v>
      </c>
      <c r="H4223">
        <v>5</v>
      </c>
      <c r="I4223">
        <f>VLOOKUP(B4223,BRAND!B:D,3,FALSE)</f>
        <v>11</v>
      </c>
      <c r="J4223">
        <f t="shared" si="43"/>
        <v>10</v>
      </c>
      <c r="K4223" t="s">
        <v>822</v>
      </c>
      <c r="M4223">
        <v>1</v>
      </c>
    </row>
    <row r="4224" spans="1:13">
      <c r="A4224" t="s">
        <v>1662</v>
      </c>
      <c r="B4224" t="s">
        <v>1453</v>
      </c>
      <c r="C4224" s="34" t="s">
        <v>994</v>
      </c>
      <c r="F4224" t="s">
        <v>994</v>
      </c>
      <c r="H4224">
        <v>5</v>
      </c>
      <c r="I4224">
        <f>VLOOKUP(B4224,BRAND!B:D,3,FALSE)</f>
        <v>11</v>
      </c>
      <c r="J4224">
        <f t="shared" si="43"/>
        <v>10</v>
      </c>
      <c r="K4224" t="s">
        <v>822</v>
      </c>
      <c r="M4224">
        <v>1</v>
      </c>
    </row>
    <row r="4225" spans="1:13">
      <c r="A4225" t="s">
        <v>5316</v>
      </c>
      <c r="B4225" t="s">
        <v>1453</v>
      </c>
      <c r="C4225" s="34" t="s">
        <v>5315</v>
      </c>
      <c r="F4225" t="s">
        <v>5315</v>
      </c>
      <c r="H4225">
        <v>5</v>
      </c>
      <c r="I4225">
        <f>VLOOKUP(B4225,BRAND!B:D,3,FALSE)</f>
        <v>11</v>
      </c>
      <c r="J4225">
        <v>9</v>
      </c>
      <c r="K4225" t="s">
        <v>822</v>
      </c>
      <c r="M4225">
        <v>1</v>
      </c>
    </row>
    <row r="4226" spans="1:13">
      <c r="A4226" t="s">
        <v>4448</v>
      </c>
      <c r="B4226" t="s">
        <v>1453</v>
      </c>
      <c r="C4226" s="34" t="s">
        <v>798</v>
      </c>
      <c r="F4226" t="s">
        <v>798</v>
      </c>
      <c r="H4226">
        <v>5</v>
      </c>
      <c r="I4226">
        <f>VLOOKUP(B4226,BRAND!B:D,3,FALSE)</f>
        <v>11</v>
      </c>
      <c r="J4226">
        <v>9</v>
      </c>
      <c r="K4226" t="s">
        <v>822</v>
      </c>
      <c r="M4226">
        <v>1</v>
      </c>
    </row>
    <row r="4227" spans="1:13">
      <c r="A4227" t="s">
        <v>1747</v>
      </c>
      <c r="B4227" t="s">
        <v>1453</v>
      </c>
      <c r="C4227" s="34" t="s">
        <v>942</v>
      </c>
      <c r="F4227" t="s">
        <v>942</v>
      </c>
      <c r="H4227">
        <v>5</v>
      </c>
      <c r="I4227">
        <f>VLOOKUP(B4227,BRAND!B:D,3,FALSE)</f>
        <v>11</v>
      </c>
      <c r="J4227">
        <v>8</v>
      </c>
      <c r="K4227" t="s">
        <v>822</v>
      </c>
      <c r="M4227">
        <v>1</v>
      </c>
    </row>
    <row r="4228" spans="1:13">
      <c r="A4228" t="s">
        <v>4581</v>
      </c>
      <c r="B4228" t="s">
        <v>1453</v>
      </c>
      <c r="C4228" s="34" t="s">
        <v>769</v>
      </c>
      <c r="F4228" t="s">
        <v>769</v>
      </c>
      <c r="H4228">
        <v>5</v>
      </c>
      <c r="I4228">
        <f>VLOOKUP(B4228,BRAND!B:D,3,FALSE)</f>
        <v>11</v>
      </c>
      <c r="J4228">
        <v>8</v>
      </c>
      <c r="K4228" t="s">
        <v>822</v>
      </c>
      <c r="M4228">
        <v>1</v>
      </c>
    </row>
    <row r="4229" spans="1:13">
      <c r="A4229" t="s">
        <v>4519</v>
      </c>
      <c r="B4229" t="s">
        <v>1453</v>
      </c>
      <c r="C4229" s="34" t="s">
        <v>1493</v>
      </c>
      <c r="F4229" t="s">
        <v>1493</v>
      </c>
      <c r="H4229">
        <v>5</v>
      </c>
      <c r="I4229">
        <f>VLOOKUP(B4229,BRAND!B:D,3,FALSE)</f>
        <v>11</v>
      </c>
      <c r="J4229">
        <v>7</v>
      </c>
      <c r="K4229" t="s">
        <v>822</v>
      </c>
      <c r="M4229">
        <v>1</v>
      </c>
    </row>
    <row r="4230" spans="1:13">
      <c r="A4230" t="s">
        <v>1580</v>
      </c>
      <c r="B4230" t="s">
        <v>1453</v>
      </c>
      <c r="C4230" s="34" t="s">
        <v>1488</v>
      </c>
      <c r="F4230" t="s">
        <v>1488</v>
      </c>
      <c r="H4230">
        <v>5</v>
      </c>
      <c r="I4230">
        <f>VLOOKUP(B4230,BRAND!B:D,3,FALSE)</f>
        <v>11</v>
      </c>
      <c r="J4230">
        <v>7</v>
      </c>
      <c r="K4230" t="s">
        <v>822</v>
      </c>
      <c r="M4230">
        <v>1</v>
      </c>
    </row>
    <row r="4231" spans="1:13">
      <c r="A4231" t="s">
        <v>4609</v>
      </c>
      <c r="B4231" t="s">
        <v>1453</v>
      </c>
      <c r="C4231" s="34" t="s">
        <v>880</v>
      </c>
      <c r="F4231" t="s">
        <v>880</v>
      </c>
      <c r="H4231">
        <v>5</v>
      </c>
      <c r="I4231">
        <f>VLOOKUP(B4231,BRAND!B:D,3,FALSE)</f>
        <v>11</v>
      </c>
      <c r="J4231">
        <v>7</v>
      </c>
      <c r="K4231" t="s">
        <v>822</v>
      </c>
      <c r="M4231">
        <v>1</v>
      </c>
    </row>
    <row r="4232" spans="1:13">
      <c r="A4232" t="s">
        <v>1728</v>
      </c>
      <c r="B4232" t="s">
        <v>1453</v>
      </c>
      <c r="C4232" s="34" t="s">
        <v>898</v>
      </c>
      <c r="F4232" t="s">
        <v>898</v>
      </c>
      <c r="H4232">
        <v>5</v>
      </c>
      <c r="I4232">
        <f>VLOOKUP(B4232,BRAND!B:D,3,FALSE)</f>
        <v>11</v>
      </c>
      <c r="J4232">
        <v>6</v>
      </c>
      <c r="K4232" t="s">
        <v>822</v>
      </c>
      <c r="M4232">
        <v>1</v>
      </c>
    </row>
    <row r="4233" spans="1:13">
      <c r="A4233" t="s">
        <v>1707</v>
      </c>
      <c r="B4233" t="s">
        <v>1453</v>
      </c>
      <c r="C4233" s="34" t="s">
        <v>995</v>
      </c>
      <c r="F4233" t="s">
        <v>995</v>
      </c>
      <c r="H4233">
        <v>5</v>
      </c>
      <c r="I4233">
        <f>VLOOKUP(B4233,BRAND!B:D,3,FALSE)</f>
        <v>11</v>
      </c>
      <c r="J4233">
        <v>6</v>
      </c>
      <c r="K4233" t="s">
        <v>822</v>
      </c>
      <c r="M4233">
        <v>1</v>
      </c>
    </row>
    <row r="4234" spans="1:13">
      <c r="A4234" t="s">
        <v>10605</v>
      </c>
      <c r="B4234" t="s">
        <v>1453</v>
      </c>
      <c r="C4234" s="34" t="s">
        <v>799</v>
      </c>
      <c r="F4234" t="s">
        <v>799</v>
      </c>
      <c r="G4234" t="s">
        <v>6932</v>
      </c>
      <c r="H4234">
        <v>5</v>
      </c>
      <c r="I4234">
        <f>VLOOKUP(B4234,BRAND!B:D,3,FALSE)</f>
        <v>11</v>
      </c>
      <c r="J4234">
        <f>LEN(F4234)</f>
        <v>5</v>
      </c>
      <c r="L4234">
        <v>0</v>
      </c>
    </row>
    <row r="4235" spans="1:13">
      <c r="A4235" t="s">
        <v>10607</v>
      </c>
      <c r="B4235" t="s">
        <v>1453</v>
      </c>
      <c r="C4235" s="34" t="s">
        <v>881</v>
      </c>
      <c r="F4235" t="s">
        <v>881</v>
      </c>
      <c r="G4235" t="s">
        <v>6932</v>
      </c>
      <c r="H4235">
        <v>5</v>
      </c>
      <c r="I4235">
        <f>VLOOKUP(B4235,BRAND!B:D,3,FALSE)</f>
        <v>11</v>
      </c>
      <c r="J4235">
        <f>LEN(F4235)</f>
        <v>5</v>
      </c>
      <c r="L4235">
        <v>0</v>
      </c>
    </row>
    <row r="4236" spans="1:13">
      <c r="A4236" t="s">
        <v>10605</v>
      </c>
      <c r="B4236" t="s">
        <v>1453</v>
      </c>
      <c r="C4236" s="34" t="s">
        <v>799</v>
      </c>
      <c r="F4236" t="s">
        <v>799</v>
      </c>
      <c r="G4236" t="s">
        <v>6932</v>
      </c>
      <c r="H4236">
        <v>5</v>
      </c>
      <c r="I4236">
        <f>VLOOKUP(B4236,BRAND!B:D,3,FALSE)</f>
        <v>11</v>
      </c>
      <c r="J4236">
        <f>LEN(F4236)</f>
        <v>5</v>
      </c>
      <c r="L4236">
        <v>0</v>
      </c>
    </row>
    <row r="4237" spans="1:13">
      <c r="A4237" t="s">
        <v>1539</v>
      </c>
      <c r="B4237" t="s">
        <v>1453</v>
      </c>
      <c r="C4237" s="34" t="s">
        <v>799</v>
      </c>
      <c r="F4237" t="s">
        <v>799</v>
      </c>
      <c r="H4237">
        <v>5</v>
      </c>
      <c r="I4237">
        <f>VLOOKUP(B4237,BRAND!B:D,3,FALSE)</f>
        <v>11</v>
      </c>
      <c r="J4237">
        <v>5</v>
      </c>
      <c r="K4237" t="s">
        <v>822</v>
      </c>
      <c r="M4237">
        <v>1</v>
      </c>
    </row>
    <row r="4238" spans="1:13">
      <c r="A4238" t="s">
        <v>1712</v>
      </c>
      <c r="B4238" t="s">
        <v>1453</v>
      </c>
      <c r="C4238" s="34" t="s">
        <v>1513</v>
      </c>
      <c r="F4238" t="s">
        <v>1513</v>
      </c>
      <c r="H4238">
        <v>5</v>
      </c>
      <c r="I4238">
        <f>VLOOKUP(B4238,BRAND!B:D,3,FALSE)</f>
        <v>11</v>
      </c>
      <c r="J4238">
        <v>5</v>
      </c>
      <c r="K4238" t="s">
        <v>822</v>
      </c>
      <c r="M4238">
        <v>1</v>
      </c>
    </row>
    <row r="4239" spans="1:13">
      <c r="A4239" t="s">
        <v>1647</v>
      </c>
      <c r="B4239" t="s">
        <v>1453</v>
      </c>
      <c r="C4239" s="34" t="s">
        <v>761</v>
      </c>
      <c r="F4239" t="s">
        <v>761</v>
      </c>
      <c r="H4239">
        <v>5</v>
      </c>
      <c r="I4239">
        <f>VLOOKUP(B4239,BRAND!B:D,3,FALSE)</f>
        <v>11</v>
      </c>
      <c r="J4239">
        <v>5</v>
      </c>
      <c r="K4239" t="s">
        <v>822</v>
      </c>
      <c r="M4239">
        <v>1</v>
      </c>
    </row>
    <row r="4240" spans="1:13">
      <c r="A4240" t="s">
        <v>4851</v>
      </c>
      <c r="B4240" t="s">
        <v>1453</v>
      </c>
      <c r="C4240" s="34" t="s">
        <v>764</v>
      </c>
      <c r="F4240" t="s">
        <v>764</v>
      </c>
      <c r="H4240">
        <v>5</v>
      </c>
      <c r="I4240">
        <f>VLOOKUP(B4240,BRAND!B:D,3,FALSE)</f>
        <v>11</v>
      </c>
      <c r="J4240">
        <v>5</v>
      </c>
      <c r="K4240" t="s">
        <v>822</v>
      </c>
      <c r="M4240">
        <v>1</v>
      </c>
    </row>
    <row r="4241" spans="1:13">
      <c r="A4241" t="s">
        <v>4399</v>
      </c>
      <c r="B4241" t="s">
        <v>1453</v>
      </c>
      <c r="C4241" s="34" t="s">
        <v>776</v>
      </c>
      <c r="F4241" t="s">
        <v>776</v>
      </c>
      <c r="H4241">
        <v>5</v>
      </c>
      <c r="I4241">
        <f>VLOOKUP(B4241,BRAND!B:D,3,FALSE)</f>
        <v>11</v>
      </c>
      <c r="J4241">
        <v>5</v>
      </c>
      <c r="K4241" t="s">
        <v>822</v>
      </c>
      <c r="M4241">
        <v>1</v>
      </c>
    </row>
    <row r="4242" spans="1:13">
      <c r="A4242" t="s">
        <v>1582</v>
      </c>
      <c r="B4242" t="s">
        <v>1453</v>
      </c>
      <c r="C4242" s="34" t="s">
        <v>881</v>
      </c>
      <c r="F4242" t="s">
        <v>881</v>
      </c>
      <c r="H4242">
        <v>5</v>
      </c>
      <c r="I4242">
        <f>VLOOKUP(B4242,BRAND!B:D,3,FALSE)</f>
        <v>11</v>
      </c>
      <c r="J4242">
        <v>5</v>
      </c>
      <c r="K4242" t="s">
        <v>822</v>
      </c>
      <c r="M4242">
        <v>1</v>
      </c>
    </row>
    <row r="4243" spans="1:13">
      <c r="A4243" t="s">
        <v>4776</v>
      </c>
      <c r="B4243" t="s">
        <v>1453</v>
      </c>
      <c r="C4243" s="34" t="s">
        <v>763</v>
      </c>
      <c r="F4243" t="s">
        <v>763</v>
      </c>
      <c r="H4243">
        <v>5</v>
      </c>
      <c r="I4243">
        <f>VLOOKUP(B4243,BRAND!B:D,3,FALSE)</f>
        <v>11</v>
      </c>
      <c r="J4243">
        <v>5</v>
      </c>
      <c r="K4243" t="s">
        <v>822</v>
      </c>
      <c r="M4243">
        <v>1</v>
      </c>
    </row>
    <row r="4244" spans="1:13">
      <c r="A4244" t="s">
        <v>10606</v>
      </c>
      <c r="B4244" t="s">
        <v>1453</v>
      </c>
      <c r="C4244" s="34" t="s">
        <v>1438</v>
      </c>
      <c r="F4244" t="s">
        <v>1438</v>
      </c>
      <c r="G4244" t="s">
        <v>6932</v>
      </c>
      <c r="H4244">
        <v>5</v>
      </c>
      <c r="I4244">
        <f>VLOOKUP(B4244,BRAND!B:D,3,FALSE)</f>
        <v>11</v>
      </c>
      <c r="J4244">
        <f>LEN(F4244)</f>
        <v>4</v>
      </c>
      <c r="L4244">
        <v>0</v>
      </c>
    </row>
    <row r="4245" spans="1:13">
      <c r="A4245" t="s">
        <v>1660</v>
      </c>
      <c r="B4245" t="s">
        <v>1453</v>
      </c>
      <c r="C4245" s="34" t="s">
        <v>876</v>
      </c>
      <c r="F4245" t="s">
        <v>876</v>
      </c>
      <c r="H4245">
        <v>5</v>
      </c>
      <c r="I4245">
        <f>VLOOKUP(B4245,BRAND!B:D,3,FALSE)</f>
        <v>11</v>
      </c>
      <c r="J4245">
        <v>4</v>
      </c>
      <c r="K4245" t="s">
        <v>822</v>
      </c>
      <c r="M4245">
        <v>1</v>
      </c>
    </row>
    <row r="4246" spans="1:13">
      <c r="A4246" t="s">
        <v>1674</v>
      </c>
      <c r="B4246" t="s">
        <v>1453</v>
      </c>
      <c r="C4246" s="34" t="s">
        <v>1515</v>
      </c>
      <c r="F4246" t="s">
        <v>1515</v>
      </c>
      <c r="H4246">
        <v>5</v>
      </c>
      <c r="I4246">
        <f>VLOOKUP(B4246,BRAND!B:D,3,FALSE)</f>
        <v>11</v>
      </c>
      <c r="J4246">
        <v>4</v>
      </c>
      <c r="K4246" t="s">
        <v>822</v>
      </c>
      <c r="M4246">
        <v>1</v>
      </c>
    </row>
    <row r="4247" spans="1:13">
      <c r="A4247" t="s">
        <v>4246</v>
      </c>
      <c r="B4247" t="s">
        <v>1453</v>
      </c>
      <c r="C4247" s="34" t="s">
        <v>867</v>
      </c>
      <c r="F4247" t="s">
        <v>867</v>
      </c>
      <c r="H4247">
        <v>5</v>
      </c>
      <c r="I4247">
        <f>VLOOKUP(B4247,BRAND!B:D,3,FALSE)</f>
        <v>11</v>
      </c>
      <c r="J4247">
        <v>4</v>
      </c>
      <c r="K4247" t="s">
        <v>822</v>
      </c>
      <c r="M4247">
        <v>1</v>
      </c>
    </row>
    <row r="4248" spans="1:13">
      <c r="A4248" t="s">
        <v>4906</v>
      </c>
      <c r="B4248" t="s">
        <v>1453</v>
      </c>
      <c r="C4248" s="34" t="s">
        <v>1488</v>
      </c>
      <c r="F4248" t="s">
        <v>1488</v>
      </c>
      <c r="G4248" t="s">
        <v>801</v>
      </c>
      <c r="H4248">
        <v>6</v>
      </c>
      <c r="I4248">
        <f>VLOOKUP(B4248,BRAND!B:D,3,FALSE)</f>
        <v>11</v>
      </c>
      <c r="J4248">
        <v>7</v>
      </c>
      <c r="K4248" t="s">
        <v>822</v>
      </c>
      <c r="M4248">
        <v>1</v>
      </c>
    </row>
    <row r="4249" spans="1:13">
      <c r="A4249" t="s">
        <v>4905</v>
      </c>
      <c r="B4249" t="s">
        <v>1453</v>
      </c>
      <c r="C4249" s="34" t="s">
        <v>799</v>
      </c>
      <c r="F4249" t="s">
        <v>799</v>
      </c>
      <c r="G4249" t="s">
        <v>801</v>
      </c>
      <c r="H4249">
        <v>6</v>
      </c>
      <c r="I4249">
        <f>VLOOKUP(B4249,BRAND!B:D,3,FALSE)</f>
        <v>11</v>
      </c>
      <c r="J4249">
        <v>5</v>
      </c>
      <c r="K4249" t="s">
        <v>822</v>
      </c>
      <c r="M4249">
        <v>1</v>
      </c>
    </row>
    <row r="4250" spans="1:13">
      <c r="A4250" t="s">
        <v>4908</v>
      </c>
      <c r="B4250" t="s">
        <v>1453</v>
      </c>
      <c r="C4250" s="34" t="s">
        <v>881</v>
      </c>
      <c r="F4250" t="s">
        <v>881</v>
      </c>
      <c r="G4250" t="s">
        <v>801</v>
      </c>
      <c r="H4250">
        <v>6</v>
      </c>
      <c r="I4250">
        <f>VLOOKUP(B4250,BRAND!B:D,3,FALSE)</f>
        <v>11</v>
      </c>
      <c r="J4250">
        <v>5</v>
      </c>
      <c r="K4250" t="s">
        <v>822</v>
      </c>
      <c r="M4250">
        <v>1</v>
      </c>
    </row>
    <row r="4251" spans="1:13">
      <c r="A4251" t="s">
        <v>4711</v>
      </c>
      <c r="B4251" t="s">
        <v>1453</v>
      </c>
      <c r="C4251" s="34" t="s">
        <v>1438</v>
      </c>
      <c r="F4251" t="s">
        <v>1438</v>
      </c>
      <c r="G4251" t="s">
        <v>801</v>
      </c>
      <c r="H4251">
        <v>6</v>
      </c>
      <c r="I4251">
        <f>VLOOKUP(B4251,BRAND!B:D,3,FALSE)</f>
        <v>11</v>
      </c>
      <c r="J4251">
        <v>4</v>
      </c>
      <c r="K4251" t="s">
        <v>822</v>
      </c>
      <c r="L4251">
        <v>0</v>
      </c>
      <c r="M4251">
        <v>0</v>
      </c>
    </row>
    <row r="4252" spans="1:13">
      <c r="A4252" t="s">
        <v>4711</v>
      </c>
      <c r="B4252" t="s">
        <v>1453</v>
      </c>
      <c r="C4252" s="34" t="s">
        <v>1438</v>
      </c>
      <c r="F4252" t="s">
        <v>1438</v>
      </c>
      <c r="G4252" t="s">
        <v>801</v>
      </c>
      <c r="H4252">
        <v>6</v>
      </c>
      <c r="I4252">
        <f>VLOOKUP(B4252,BRAND!B:D,3,FALSE)</f>
        <v>11</v>
      </c>
      <c r="J4252">
        <v>4</v>
      </c>
      <c r="K4252" t="s">
        <v>822</v>
      </c>
      <c r="L4252">
        <v>0</v>
      </c>
      <c r="M4252">
        <v>0</v>
      </c>
    </row>
    <row r="4253" spans="1:13">
      <c r="A4253" t="s">
        <v>1530</v>
      </c>
      <c r="B4253" t="s">
        <v>1453</v>
      </c>
      <c r="C4253" s="34" t="s">
        <v>1438</v>
      </c>
      <c r="F4253" t="s">
        <v>1438</v>
      </c>
      <c r="H4253">
        <v>15</v>
      </c>
      <c r="I4253">
        <f>VLOOKUP(B4253,BRAND!B:D,3,FALSE)</f>
        <v>11</v>
      </c>
      <c r="J4253">
        <v>4</v>
      </c>
      <c r="K4253" t="s">
        <v>822</v>
      </c>
      <c r="M4253">
        <v>1</v>
      </c>
    </row>
    <row r="4254" spans="1:13">
      <c r="A4254" t="s">
        <v>5499</v>
      </c>
      <c r="B4254" t="s">
        <v>1453</v>
      </c>
      <c r="C4254" s="34" t="s">
        <v>1438</v>
      </c>
      <c r="F4254" t="s">
        <v>1438</v>
      </c>
      <c r="G4254" t="s">
        <v>5473</v>
      </c>
      <c r="H4254">
        <v>15</v>
      </c>
      <c r="I4254">
        <f>VLOOKUP(B4254,BRAND!B:D,3,FALSE)</f>
        <v>11</v>
      </c>
      <c r="J4254">
        <v>4</v>
      </c>
      <c r="K4254" t="s">
        <v>822</v>
      </c>
      <c r="M4254">
        <v>1</v>
      </c>
    </row>
    <row r="4255" spans="1:13">
      <c r="A4255" t="s">
        <v>2834</v>
      </c>
      <c r="B4255" t="s">
        <v>486</v>
      </c>
      <c r="C4255" s="34" t="s">
        <v>777</v>
      </c>
      <c r="F4255" t="s">
        <v>777</v>
      </c>
      <c r="H4255">
        <v>5</v>
      </c>
      <c r="I4255">
        <f>VLOOKUP(B4255,BRAND!B:D,3,FALSE)</f>
        <v>3</v>
      </c>
      <c r="J4255">
        <v>7</v>
      </c>
      <c r="K4255" t="s">
        <v>821</v>
      </c>
      <c r="L4255">
        <v>0</v>
      </c>
      <c r="M4255">
        <v>0</v>
      </c>
    </row>
    <row r="4256" spans="1:13">
      <c r="A4256" t="s">
        <v>4627</v>
      </c>
      <c r="B4256" t="s">
        <v>486</v>
      </c>
      <c r="C4256" s="34" t="s">
        <v>1513</v>
      </c>
      <c r="F4256" t="s">
        <v>1513</v>
      </c>
      <c r="H4256">
        <v>5</v>
      </c>
      <c r="I4256">
        <f>VLOOKUP(B4256,BRAND!B:D,3,FALSE)</f>
        <v>3</v>
      </c>
      <c r="J4256">
        <v>5</v>
      </c>
      <c r="K4256" t="s">
        <v>821</v>
      </c>
      <c r="L4256">
        <v>0</v>
      </c>
      <c r="M4256">
        <v>0</v>
      </c>
    </row>
    <row r="4257" spans="1:13">
      <c r="A4257" t="s">
        <v>2672</v>
      </c>
      <c r="B4257" t="s">
        <v>486</v>
      </c>
      <c r="C4257" s="34" t="s">
        <v>1438</v>
      </c>
      <c r="F4257" t="s">
        <v>1438</v>
      </c>
      <c r="H4257">
        <v>15</v>
      </c>
      <c r="I4257">
        <f>VLOOKUP(B4257,BRAND!B:D,3,FALSE)</f>
        <v>3</v>
      </c>
      <c r="J4257">
        <v>4</v>
      </c>
      <c r="K4257" t="s">
        <v>821</v>
      </c>
      <c r="M4257">
        <v>1</v>
      </c>
    </row>
    <row r="4258" spans="1:13">
      <c r="A4258" t="s">
        <v>3460</v>
      </c>
      <c r="B4258" t="s">
        <v>415</v>
      </c>
      <c r="C4258" s="34" t="s">
        <v>774</v>
      </c>
      <c r="F4258" t="s">
        <v>774</v>
      </c>
      <c r="H4258">
        <v>5</v>
      </c>
      <c r="I4258">
        <f>VLOOKUP(B4258,BRAND!B:D,3,FALSE)</f>
        <v>3</v>
      </c>
      <c r="J4258">
        <v>9</v>
      </c>
      <c r="K4258" t="s">
        <v>821</v>
      </c>
      <c r="M4258">
        <v>1</v>
      </c>
    </row>
    <row r="4259" spans="1:13">
      <c r="A4259" t="s">
        <v>4319</v>
      </c>
      <c r="B4259" t="s">
        <v>415</v>
      </c>
      <c r="C4259" s="34" t="s">
        <v>1992</v>
      </c>
      <c r="F4259" t="s">
        <v>1992</v>
      </c>
      <c r="H4259">
        <v>5</v>
      </c>
      <c r="I4259">
        <f>VLOOKUP(B4259,BRAND!B:D,3,FALSE)</f>
        <v>3</v>
      </c>
      <c r="J4259">
        <v>3</v>
      </c>
      <c r="K4259" t="s">
        <v>821</v>
      </c>
      <c r="L4259">
        <v>0</v>
      </c>
      <c r="M4259">
        <v>0</v>
      </c>
    </row>
    <row r="4260" spans="1:13">
      <c r="A4260" t="s">
        <v>4635</v>
      </c>
      <c r="B4260" t="s">
        <v>415</v>
      </c>
      <c r="C4260" s="34" t="s">
        <v>775</v>
      </c>
      <c r="F4260" t="s">
        <v>775</v>
      </c>
      <c r="H4260">
        <v>5</v>
      </c>
      <c r="I4260">
        <f>VLOOKUP(B4260,BRAND!B:D,3,FALSE)</f>
        <v>3</v>
      </c>
      <c r="J4260">
        <v>3</v>
      </c>
      <c r="K4260" t="s">
        <v>821</v>
      </c>
      <c r="L4260">
        <v>0</v>
      </c>
      <c r="M4260">
        <v>0</v>
      </c>
    </row>
    <row r="4261" spans="1:13">
      <c r="A4261" t="s">
        <v>7089</v>
      </c>
      <c r="B4261" t="s">
        <v>6617</v>
      </c>
      <c r="C4261" s="34" t="s">
        <v>1438</v>
      </c>
      <c r="F4261" t="s">
        <v>1438</v>
      </c>
      <c r="H4261">
        <v>5</v>
      </c>
      <c r="I4261">
        <f>VLOOKUP(B4261,BRAND!B:D,3,FALSE)</f>
        <v>5</v>
      </c>
      <c r="J4261">
        <v>4</v>
      </c>
      <c r="M4261">
        <v>1</v>
      </c>
    </row>
    <row r="4262" spans="1:13">
      <c r="A4262" t="s">
        <v>7089</v>
      </c>
      <c r="B4262" t="s">
        <v>6617</v>
      </c>
      <c r="C4262" s="34" t="s">
        <v>1438</v>
      </c>
      <c r="F4262" t="s">
        <v>1438</v>
      </c>
      <c r="H4262">
        <v>5</v>
      </c>
      <c r="I4262">
        <f>VLOOKUP(B4262,BRAND!B:D,3,FALSE)</f>
        <v>5</v>
      </c>
      <c r="J4262">
        <v>4</v>
      </c>
      <c r="M4262">
        <v>1</v>
      </c>
    </row>
    <row r="4263" spans="1:13">
      <c r="A4263" t="s">
        <v>2423</v>
      </c>
      <c r="B4263" t="s">
        <v>93</v>
      </c>
      <c r="C4263" s="34" t="s">
        <v>1438</v>
      </c>
      <c r="F4263" t="s">
        <v>1438</v>
      </c>
      <c r="H4263">
        <v>15</v>
      </c>
      <c r="I4263">
        <f>VLOOKUP(B4263,BRAND!B:D,3,FALSE)</f>
        <v>3</v>
      </c>
      <c r="J4263">
        <v>4</v>
      </c>
      <c r="K4263" t="s">
        <v>821</v>
      </c>
      <c r="L4263">
        <v>0</v>
      </c>
      <c r="M4263">
        <v>0</v>
      </c>
    </row>
    <row r="4264" spans="1:13">
      <c r="A4264" t="s">
        <v>8472</v>
      </c>
      <c r="B4264" t="s">
        <v>8473</v>
      </c>
      <c r="C4264" s="34" t="s">
        <v>1438</v>
      </c>
      <c r="F4264" t="s">
        <v>1438</v>
      </c>
      <c r="G4264" t="s">
        <v>6932</v>
      </c>
      <c r="H4264">
        <v>5</v>
      </c>
      <c r="I4264">
        <f>VLOOKUP(B4264,BRAND!B:D,3,FALSE)</f>
        <v>5.5</v>
      </c>
      <c r="J4264">
        <v>4</v>
      </c>
      <c r="M4264">
        <v>1</v>
      </c>
    </row>
    <row r="4265" spans="1:13">
      <c r="A4265" t="s">
        <v>3102</v>
      </c>
      <c r="B4265" t="s">
        <v>1282</v>
      </c>
      <c r="C4265" s="34" t="s">
        <v>898</v>
      </c>
      <c r="F4265" t="s">
        <v>898</v>
      </c>
      <c r="H4265">
        <v>5</v>
      </c>
      <c r="I4265">
        <f>VLOOKUP(B4265,BRAND!B:D,3,FALSE)</f>
        <v>3</v>
      </c>
      <c r="J4265">
        <v>6</v>
      </c>
      <c r="K4265" t="s">
        <v>821</v>
      </c>
      <c r="L4265">
        <v>0</v>
      </c>
      <c r="M4265">
        <v>0</v>
      </c>
    </row>
    <row r="4266" spans="1:13">
      <c r="A4266" t="s">
        <v>3103</v>
      </c>
      <c r="B4266" t="s">
        <v>1283</v>
      </c>
      <c r="C4266" s="34" t="s">
        <v>1438</v>
      </c>
      <c r="F4266" t="s">
        <v>1438</v>
      </c>
      <c r="H4266">
        <v>15</v>
      </c>
      <c r="I4266">
        <f>VLOOKUP(B4266,BRAND!B:D,3,FALSE)</f>
        <v>3</v>
      </c>
      <c r="J4266">
        <v>4</v>
      </c>
      <c r="K4266" t="s">
        <v>821</v>
      </c>
      <c r="L4266">
        <v>0</v>
      </c>
      <c r="M4266">
        <v>0</v>
      </c>
    </row>
    <row r="4267" spans="1:13">
      <c r="A4267" t="s">
        <v>4424</v>
      </c>
      <c r="B4267" t="s">
        <v>416</v>
      </c>
      <c r="C4267" s="34" t="s">
        <v>772</v>
      </c>
      <c r="F4267" t="s">
        <v>772</v>
      </c>
      <c r="H4267">
        <v>5</v>
      </c>
      <c r="I4267">
        <f>VLOOKUP(B4267,BRAND!B:D,3,FALSE)</f>
        <v>3</v>
      </c>
      <c r="J4267">
        <v>6</v>
      </c>
      <c r="K4267" t="s">
        <v>821</v>
      </c>
      <c r="L4267">
        <v>0</v>
      </c>
      <c r="M4267">
        <v>0</v>
      </c>
    </row>
    <row r="4268" spans="1:13">
      <c r="A4268" t="s">
        <v>3835</v>
      </c>
      <c r="B4268" t="s">
        <v>416</v>
      </c>
      <c r="C4268" s="34" t="s">
        <v>561</v>
      </c>
      <c r="F4268" t="s">
        <v>561</v>
      </c>
      <c r="H4268">
        <v>5</v>
      </c>
      <c r="I4268">
        <f>VLOOKUP(B4268,BRAND!B:D,3,FALSE)</f>
        <v>3</v>
      </c>
      <c r="J4268">
        <v>3</v>
      </c>
      <c r="K4268" t="s">
        <v>821</v>
      </c>
      <c r="L4268">
        <v>0</v>
      </c>
      <c r="M4268">
        <v>0</v>
      </c>
    </row>
    <row r="4269" spans="1:13">
      <c r="A4269" t="s">
        <v>2787</v>
      </c>
      <c r="B4269" t="s">
        <v>416</v>
      </c>
      <c r="C4269" s="34" t="s">
        <v>1438</v>
      </c>
      <c r="F4269" t="s">
        <v>1438</v>
      </c>
      <c r="H4269">
        <v>15</v>
      </c>
      <c r="I4269">
        <f>VLOOKUP(B4269,BRAND!B:D,3,FALSE)</f>
        <v>3</v>
      </c>
      <c r="J4269">
        <v>4</v>
      </c>
      <c r="K4269" t="s">
        <v>821</v>
      </c>
      <c r="M4269">
        <v>1</v>
      </c>
    </row>
    <row r="4270" spans="1:13">
      <c r="A4270" t="s">
        <v>3812</v>
      </c>
      <c r="B4270" t="s">
        <v>417</v>
      </c>
      <c r="C4270" s="34" t="s">
        <v>534</v>
      </c>
      <c r="F4270" t="s">
        <v>534</v>
      </c>
      <c r="H4270">
        <v>5</v>
      </c>
      <c r="I4270">
        <f>VLOOKUP(B4270,BRAND!B:D,3,FALSE)</f>
        <v>3</v>
      </c>
      <c r="J4270">
        <v>6</v>
      </c>
      <c r="K4270" t="s">
        <v>821</v>
      </c>
      <c r="M4270">
        <v>1</v>
      </c>
    </row>
    <row r="4271" spans="1:13">
      <c r="A4271" t="s">
        <v>2996</v>
      </c>
      <c r="B4271" t="s">
        <v>417</v>
      </c>
      <c r="C4271" s="34" t="s">
        <v>842</v>
      </c>
      <c r="F4271" t="s">
        <v>842</v>
      </c>
      <c r="H4271">
        <v>5</v>
      </c>
      <c r="I4271">
        <f>VLOOKUP(B4271,BRAND!B:D,3,FALSE)</f>
        <v>3</v>
      </c>
      <c r="J4271">
        <v>5</v>
      </c>
      <c r="K4271" t="s">
        <v>821</v>
      </c>
      <c r="L4271">
        <v>0</v>
      </c>
      <c r="M4271">
        <v>0</v>
      </c>
    </row>
    <row r="4272" spans="1:13">
      <c r="A4272" t="s">
        <v>2191</v>
      </c>
      <c r="B4272" t="s">
        <v>417</v>
      </c>
      <c r="C4272" s="34" t="s">
        <v>1438</v>
      </c>
      <c r="F4272" t="s">
        <v>1438</v>
      </c>
      <c r="H4272">
        <v>15</v>
      </c>
      <c r="I4272">
        <f>VLOOKUP(B4272,BRAND!B:D,3,FALSE)</f>
        <v>3</v>
      </c>
      <c r="J4272">
        <v>4</v>
      </c>
      <c r="K4272" t="s">
        <v>821</v>
      </c>
      <c r="M4272">
        <v>1</v>
      </c>
    </row>
    <row r="4273" spans="1:13">
      <c r="A4273" t="s">
        <v>4771</v>
      </c>
      <c r="B4273" t="s">
        <v>1284</v>
      </c>
      <c r="C4273" s="34" t="s">
        <v>872</v>
      </c>
      <c r="F4273" t="s">
        <v>872</v>
      </c>
      <c r="H4273">
        <v>5</v>
      </c>
      <c r="I4273">
        <f>VLOOKUP(B4273,BRAND!B:D,3,FALSE)</f>
        <v>3</v>
      </c>
      <c r="J4273">
        <v>5</v>
      </c>
      <c r="K4273" t="s">
        <v>821</v>
      </c>
      <c r="L4273">
        <v>0</v>
      </c>
      <c r="M4273">
        <v>0</v>
      </c>
    </row>
    <row r="4274" spans="1:13">
      <c r="A4274" t="s">
        <v>3088</v>
      </c>
      <c r="B4274" t="s">
        <v>1284</v>
      </c>
      <c r="C4274" s="34" t="s">
        <v>1438</v>
      </c>
      <c r="F4274" t="s">
        <v>1438</v>
      </c>
      <c r="H4274">
        <v>15</v>
      </c>
      <c r="I4274">
        <f>VLOOKUP(B4274,BRAND!B:D,3,FALSE)</f>
        <v>3</v>
      </c>
      <c r="J4274">
        <v>4</v>
      </c>
      <c r="K4274" t="s">
        <v>821</v>
      </c>
      <c r="L4274">
        <v>0</v>
      </c>
      <c r="M4274">
        <v>0</v>
      </c>
    </row>
    <row r="4275" spans="1:13">
      <c r="A4275" t="s">
        <v>8474</v>
      </c>
      <c r="B4275" t="s">
        <v>980</v>
      </c>
      <c r="C4275" s="34" t="s">
        <v>1438</v>
      </c>
      <c r="F4275" t="s">
        <v>1438</v>
      </c>
      <c r="G4275" t="s">
        <v>6932</v>
      </c>
      <c r="H4275">
        <v>5</v>
      </c>
      <c r="I4275">
        <f>VLOOKUP(B4275,BRAND!B:D,3,FALSE)</f>
        <v>5.5</v>
      </c>
      <c r="J4275">
        <v>4</v>
      </c>
      <c r="M4275">
        <v>1</v>
      </c>
    </row>
    <row r="4276" spans="1:13">
      <c r="A4276" t="s">
        <v>8475</v>
      </c>
      <c r="B4276" t="s">
        <v>8476</v>
      </c>
      <c r="C4276" s="34" t="s">
        <v>1438</v>
      </c>
      <c r="F4276" t="s">
        <v>1438</v>
      </c>
      <c r="G4276" t="s">
        <v>6932</v>
      </c>
      <c r="H4276">
        <v>5</v>
      </c>
      <c r="I4276">
        <f>VLOOKUP(B4276,BRAND!B:D,3,FALSE)</f>
        <v>5.5</v>
      </c>
      <c r="J4276">
        <v>4</v>
      </c>
      <c r="M4276">
        <v>1</v>
      </c>
    </row>
    <row r="4277" spans="1:13">
      <c r="A4277" t="s">
        <v>10530</v>
      </c>
      <c r="B4277" t="s">
        <v>10332</v>
      </c>
      <c r="C4277" s="34" t="s">
        <v>10678</v>
      </c>
      <c r="D4277" t="s">
        <v>10375</v>
      </c>
      <c r="F4277" t="s">
        <v>10531</v>
      </c>
      <c r="G4277" t="s">
        <v>6932</v>
      </c>
      <c r="H4277">
        <v>5</v>
      </c>
      <c r="I4277">
        <f>VLOOKUP(B4277,BRAND!B:D,3,FALSE)</f>
        <v>5</v>
      </c>
      <c r="J4277">
        <f t="shared" ref="J4277:J4290" si="44">LEN(F4277)</f>
        <v>26</v>
      </c>
      <c r="L4277">
        <v>0</v>
      </c>
    </row>
    <row r="4278" spans="1:13">
      <c r="A4278" t="s">
        <v>10525</v>
      </c>
      <c r="B4278" t="s">
        <v>10332</v>
      </c>
      <c r="C4278" s="34" t="s">
        <v>10676</v>
      </c>
      <c r="D4278" t="s">
        <v>994</v>
      </c>
      <c r="F4278" t="s">
        <v>10526</v>
      </c>
      <c r="G4278" t="s">
        <v>6932</v>
      </c>
      <c r="H4278">
        <v>5</v>
      </c>
      <c r="I4278">
        <f>VLOOKUP(B4278,BRAND!B:D,3,FALSE)</f>
        <v>5</v>
      </c>
      <c r="J4278">
        <f t="shared" si="44"/>
        <v>20</v>
      </c>
      <c r="L4278">
        <v>0</v>
      </c>
    </row>
    <row r="4279" spans="1:13">
      <c r="A4279" t="s">
        <v>10532</v>
      </c>
      <c r="B4279" t="s">
        <v>10332</v>
      </c>
      <c r="C4279" s="34" t="s">
        <v>799</v>
      </c>
      <c r="D4279" t="s">
        <v>10375</v>
      </c>
      <c r="F4279" t="s">
        <v>10533</v>
      </c>
      <c r="G4279" t="s">
        <v>6932</v>
      </c>
      <c r="H4279">
        <v>5</v>
      </c>
      <c r="I4279">
        <f>VLOOKUP(B4279,BRAND!B:D,3,FALSE)</f>
        <v>5</v>
      </c>
      <c r="J4279">
        <f t="shared" si="44"/>
        <v>17</v>
      </c>
      <c r="L4279">
        <v>0</v>
      </c>
    </row>
    <row r="4280" spans="1:13">
      <c r="A4280" t="s">
        <v>10529</v>
      </c>
      <c r="B4280" t="s">
        <v>10332</v>
      </c>
      <c r="C4280" s="34" t="s">
        <v>5311</v>
      </c>
      <c r="F4280" t="s">
        <v>5311</v>
      </c>
      <c r="G4280" t="s">
        <v>6932</v>
      </c>
      <c r="H4280">
        <v>5</v>
      </c>
      <c r="I4280">
        <f>VLOOKUP(B4280,BRAND!B:D,3,FALSE)</f>
        <v>5</v>
      </c>
      <c r="J4280">
        <f t="shared" si="44"/>
        <v>12</v>
      </c>
      <c r="L4280">
        <v>0</v>
      </c>
    </row>
    <row r="4281" spans="1:13">
      <c r="A4281" t="s">
        <v>10527</v>
      </c>
      <c r="B4281" t="s">
        <v>10332</v>
      </c>
      <c r="C4281" s="34" t="s">
        <v>10677</v>
      </c>
      <c r="D4281" t="s">
        <v>995</v>
      </c>
      <c r="F4281" t="s">
        <v>10528</v>
      </c>
      <c r="G4281" t="s">
        <v>6932</v>
      </c>
      <c r="H4281">
        <v>5</v>
      </c>
      <c r="I4281">
        <f>VLOOKUP(B4281,BRAND!B:D,3,FALSE)</f>
        <v>5</v>
      </c>
      <c r="J4281">
        <f t="shared" si="44"/>
        <v>12</v>
      </c>
      <c r="L4281">
        <v>0</v>
      </c>
    </row>
    <row r="4282" spans="1:13">
      <c r="A4282" t="s">
        <v>10524</v>
      </c>
      <c r="B4282" t="s">
        <v>10332</v>
      </c>
      <c r="C4282" s="34" t="s">
        <v>10660</v>
      </c>
      <c r="D4282" t="s">
        <v>995</v>
      </c>
      <c r="F4282" t="s">
        <v>10439</v>
      </c>
      <c r="G4282" t="s">
        <v>6932</v>
      </c>
      <c r="H4282">
        <v>5</v>
      </c>
      <c r="I4282">
        <f>VLOOKUP(B4282,BRAND!B:D,3,FALSE)</f>
        <v>5</v>
      </c>
      <c r="J4282">
        <f t="shared" si="44"/>
        <v>12</v>
      </c>
      <c r="L4282">
        <v>0</v>
      </c>
    </row>
    <row r="4283" spans="1:13">
      <c r="A4283" t="s">
        <v>10535</v>
      </c>
      <c r="B4283" t="s">
        <v>10332</v>
      </c>
      <c r="C4283" s="34" t="s">
        <v>769</v>
      </c>
      <c r="F4283" t="s">
        <v>769</v>
      </c>
      <c r="G4283" t="s">
        <v>6932</v>
      </c>
      <c r="H4283">
        <v>5</v>
      </c>
      <c r="I4283">
        <f>VLOOKUP(B4283,BRAND!B:D,3,FALSE)</f>
        <v>5</v>
      </c>
      <c r="J4283">
        <f t="shared" si="44"/>
        <v>8</v>
      </c>
      <c r="L4283">
        <v>0</v>
      </c>
    </row>
    <row r="4284" spans="1:13">
      <c r="A4284" t="s">
        <v>10534</v>
      </c>
      <c r="B4284" t="s">
        <v>10332</v>
      </c>
      <c r="C4284" s="34" t="s">
        <v>995</v>
      </c>
      <c r="F4284" t="s">
        <v>995</v>
      </c>
      <c r="G4284" t="s">
        <v>6932</v>
      </c>
      <c r="H4284">
        <v>5</v>
      </c>
      <c r="I4284">
        <f>VLOOKUP(B4284,BRAND!B:D,3,FALSE)</f>
        <v>5</v>
      </c>
      <c r="J4284">
        <f t="shared" si="44"/>
        <v>6</v>
      </c>
      <c r="L4284">
        <v>0</v>
      </c>
    </row>
    <row r="4285" spans="1:13">
      <c r="A4285" t="s">
        <v>10523</v>
      </c>
      <c r="B4285" t="s">
        <v>10332</v>
      </c>
      <c r="C4285" s="34" t="s">
        <v>898</v>
      </c>
      <c r="F4285" t="s">
        <v>898</v>
      </c>
      <c r="G4285" t="s">
        <v>6932</v>
      </c>
      <c r="H4285">
        <v>5</v>
      </c>
      <c r="I4285">
        <f>VLOOKUP(B4285,BRAND!B:D,3,FALSE)</f>
        <v>5</v>
      </c>
      <c r="J4285">
        <f t="shared" si="44"/>
        <v>6</v>
      </c>
      <c r="L4285">
        <v>0</v>
      </c>
    </row>
    <row r="4286" spans="1:13">
      <c r="A4286" t="s">
        <v>10522</v>
      </c>
      <c r="B4286" t="s">
        <v>10332</v>
      </c>
      <c r="C4286" s="34" t="s">
        <v>883</v>
      </c>
      <c r="F4286" t="s">
        <v>883</v>
      </c>
      <c r="G4286" t="s">
        <v>6932</v>
      </c>
      <c r="H4286">
        <v>5</v>
      </c>
      <c r="I4286">
        <f>VLOOKUP(B4286,BRAND!B:D,3,FALSE)</f>
        <v>5</v>
      </c>
      <c r="J4286">
        <f t="shared" si="44"/>
        <v>6</v>
      </c>
      <c r="L4286">
        <v>0</v>
      </c>
    </row>
    <row r="4287" spans="1:13">
      <c r="A4287" t="s">
        <v>10520</v>
      </c>
      <c r="B4287" t="s">
        <v>10332</v>
      </c>
      <c r="C4287" s="34" t="s">
        <v>1979</v>
      </c>
      <c r="F4287" t="s">
        <v>1979</v>
      </c>
      <c r="G4287" t="s">
        <v>6932</v>
      </c>
      <c r="H4287">
        <v>5</v>
      </c>
      <c r="I4287">
        <f>VLOOKUP(B4287,BRAND!B:D,3,FALSE)</f>
        <v>5</v>
      </c>
      <c r="J4287">
        <f t="shared" si="44"/>
        <v>5</v>
      </c>
      <c r="L4287">
        <v>0</v>
      </c>
    </row>
    <row r="4288" spans="1:13">
      <c r="A4288" t="s">
        <v>10520</v>
      </c>
      <c r="B4288" t="s">
        <v>10332</v>
      </c>
      <c r="C4288" s="34" t="s">
        <v>1979</v>
      </c>
      <c r="F4288" t="s">
        <v>1979</v>
      </c>
      <c r="G4288" t="s">
        <v>6932</v>
      </c>
      <c r="H4288">
        <v>5</v>
      </c>
      <c r="I4288">
        <f>VLOOKUP(B4288,BRAND!B:D,3,FALSE)</f>
        <v>5</v>
      </c>
      <c r="J4288">
        <f t="shared" si="44"/>
        <v>5</v>
      </c>
      <c r="L4288">
        <v>0</v>
      </c>
    </row>
    <row r="4289" spans="1:13">
      <c r="A4289" t="s">
        <v>10519</v>
      </c>
      <c r="B4289" t="s">
        <v>10332</v>
      </c>
      <c r="C4289" s="34" t="s">
        <v>764</v>
      </c>
      <c r="F4289" t="s">
        <v>764</v>
      </c>
      <c r="G4289" t="s">
        <v>6932</v>
      </c>
      <c r="H4289">
        <v>5</v>
      </c>
      <c r="I4289">
        <f>VLOOKUP(B4289,BRAND!B:D,3,FALSE)</f>
        <v>5</v>
      </c>
      <c r="J4289">
        <f t="shared" si="44"/>
        <v>5</v>
      </c>
      <c r="L4289">
        <v>0</v>
      </c>
    </row>
    <row r="4290" spans="1:13">
      <c r="A4290" t="s">
        <v>10521</v>
      </c>
      <c r="B4290" t="s">
        <v>10332</v>
      </c>
      <c r="C4290" s="34" t="s">
        <v>782</v>
      </c>
      <c r="F4290" t="s">
        <v>782</v>
      </c>
      <c r="G4290" t="s">
        <v>6932</v>
      </c>
      <c r="H4290">
        <v>5</v>
      </c>
      <c r="I4290">
        <f>VLOOKUP(B4290,BRAND!B:D,3,FALSE)</f>
        <v>5</v>
      </c>
      <c r="J4290">
        <f t="shared" si="44"/>
        <v>4</v>
      </c>
      <c r="L4290">
        <v>0</v>
      </c>
    </row>
    <row r="4291" spans="1:13">
      <c r="A4291" t="s">
        <v>3205</v>
      </c>
      <c r="B4291" t="s">
        <v>1285</v>
      </c>
      <c r="C4291" s="34" t="s">
        <v>1438</v>
      </c>
      <c r="F4291" t="s">
        <v>1438</v>
      </c>
      <c r="H4291">
        <v>15</v>
      </c>
      <c r="I4291">
        <f>VLOOKUP(B4291,BRAND!B:D,3,FALSE)</f>
        <v>3</v>
      </c>
      <c r="J4291">
        <v>4</v>
      </c>
      <c r="K4291" t="s">
        <v>821</v>
      </c>
      <c r="L4291">
        <v>0</v>
      </c>
      <c r="M4291">
        <v>0</v>
      </c>
    </row>
    <row r="4292" spans="1:13">
      <c r="A4292" t="s">
        <v>8477</v>
      </c>
      <c r="B4292" t="s">
        <v>8478</v>
      </c>
      <c r="C4292" s="34" t="s">
        <v>1438</v>
      </c>
      <c r="F4292" t="s">
        <v>1438</v>
      </c>
      <c r="G4292" t="s">
        <v>6932</v>
      </c>
      <c r="H4292">
        <v>5</v>
      </c>
      <c r="I4292">
        <f>VLOOKUP(B4292,BRAND!B:D,3,FALSE)</f>
        <v>5.5</v>
      </c>
      <c r="J4292">
        <v>4</v>
      </c>
      <c r="M4292">
        <v>1</v>
      </c>
    </row>
    <row r="4293" spans="1:13">
      <c r="A4293" t="s">
        <v>6755</v>
      </c>
      <c r="B4293" t="s">
        <v>6756</v>
      </c>
      <c r="C4293" s="34" t="s">
        <v>6961</v>
      </c>
      <c r="F4293" t="s">
        <v>878</v>
      </c>
      <c r="H4293">
        <v>5</v>
      </c>
      <c r="I4293">
        <f>VLOOKUP(B4293,BRAND!B:D,3,FALSE)</f>
        <v>5</v>
      </c>
      <c r="J4293">
        <v>8</v>
      </c>
      <c r="M4293">
        <v>1</v>
      </c>
    </row>
    <row r="4294" spans="1:13">
      <c r="A4294" t="s">
        <v>4299</v>
      </c>
      <c r="B4294" t="s">
        <v>1884</v>
      </c>
      <c r="C4294" s="34" t="s">
        <v>1493</v>
      </c>
      <c r="F4294" t="s">
        <v>1493</v>
      </c>
      <c r="H4294">
        <v>5</v>
      </c>
      <c r="I4294">
        <f>VLOOKUP(B4294,BRAND!B:D,3,FALSE)</f>
        <v>5</v>
      </c>
      <c r="J4294">
        <v>7</v>
      </c>
      <c r="K4294" t="s">
        <v>821</v>
      </c>
      <c r="M4294">
        <v>1</v>
      </c>
    </row>
    <row r="4295" spans="1:13">
      <c r="A4295" t="s">
        <v>4300</v>
      </c>
      <c r="B4295" t="s">
        <v>1884</v>
      </c>
      <c r="C4295" s="34" t="s">
        <v>1513</v>
      </c>
      <c r="F4295" t="s">
        <v>1513</v>
      </c>
      <c r="H4295">
        <v>5</v>
      </c>
      <c r="I4295">
        <f>VLOOKUP(B4295,BRAND!B:D,3,FALSE)</f>
        <v>5</v>
      </c>
      <c r="J4295">
        <v>5</v>
      </c>
      <c r="K4295" t="s">
        <v>821</v>
      </c>
      <c r="M4295">
        <v>1</v>
      </c>
    </row>
    <row r="4296" spans="1:13">
      <c r="A4296" t="s">
        <v>3817</v>
      </c>
      <c r="B4296" t="s">
        <v>1807</v>
      </c>
      <c r="C4296" s="34" t="s">
        <v>534</v>
      </c>
      <c r="F4296" t="s">
        <v>534</v>
      </c>
      <c r="H4296">
        <v>5</v>
      </c>
      <c r="I4296">
        <f>VLOOKUP(B4296,BRAND!B:D,3,FALSE)</f>
        <v>3</v>
      </c>
      <c r="J4296">
        <v>6</v>
      </c>
      <c r="K4296" t="s">
        <v>821</v>
      </c>
      <c r="L4296">
        <v>0</v>
      </c>
      <c r="M4296">
        <v>0</v>
      </c>
    </row>
    <row r="4297" spans="1:13">
      <c r="A4297" t="s">
        <v>4420</v>
      </c>
      <c r="B4297" t="s">
        <v>1807</v>
      </c>
      <c r="C4297" s="34" t="s">
        <v>1438</v>
      </c>
      <c r="F4297" t="s">
        <v>1438</v>
      </c>
      <c r="H4297">
        <v>15</v>
      </c>
      <c r="I4297">
        <f>VLOOKUP(B4297,BRAND!B:D,3,FALSE)</f>
        <v>3</v>
      </c>
      <c r="J4297">
        <v>4</v>
      </c>
      <c r="K4297" t="s">
        <v>821</v>
      </c>
      <c r="L4297">
        <v>0</v>
      </c>
      <c r="M4297">
        <v>0</v>
      </c>
    </row>
    <row r="4298" spans="1:13">
      <c r="A4298" t="s">
        <v>2141</v>
      </c>
      <c r="B4298" t="s">
        <v>1049</v>
      </c>
      <c r="C4298" s="34" t="s">
        <v>1438</v>
      </c>
      <c r="F4298" t="s">
        <v>1438</v>
      </c>
      <c r="H4298">
        <v>15</v>
      </c>
      <c r="I4298">
        <f>VLOOKUP(B4298,BRAND!B:D,3,FALSE)</f>
        <v>3</v>
      </c>
      <c r="J4298">
        <v>4</v>
      </c>
      <c r="K4298" t="s">
        <v>821</v>
      </c>
      <c r="L4298">
        <v>0</v>
      </c>
      <c r="M4298">
        <v>0</v>
      </c>
    </row>
    <row r="4299" spans="1:13">
      <c r="A4299" t="s">
        <v>10289</v>
      </c>
      <c r="B4299" t="s">
        <v>10265</v>
      </c>
      <c r="C4299" s="34" t="s">
        <v>788</v>
      </c>
      <c r="F4299" t="s">
        <v>788</v>
      </c>
      <c r="H4299">
        <v>5</v>
      </c>
      <c r="I4299">
        <f>VLOOKUP(B4299,BRAND!B:D,3,FALSE)</f>
        <v>5</v>
      </c>
      <c r="J4299">
        <f>LEN(F4299)</f>
        <v>4</v>
      </c>
      <c r="M4299">
        <v>1</v>
      </c>
    </row>
    <row r="4300" spans="1:13">
      <c r="A4300" t="s">
        <v>6942</v>
      </c>
      <c r="B4300" t="s">
        <v>6448</v>
      </c>
      <c r="C4300" s="34" t="s">
        <v>561</v>
      </c>
      <c r="F4300" t="s">
        <v>561</v>
      </c>
      <c r="H4300">
        <v>5</v>
      </c>
      <c r="I4300">
        <f>VLOOKUP(B4300,BRAND!B:D,3,FALSE)</f>
        <v>3</v>
      </c>
      <c r="J4300">
        <v>3</v>
      </c>
      <c r="L4300">
        <v>0</v>
      </c>
      <c r="M4300">
        <v>0</v>
      </c>
    </row>
    <row r="4301" spans="1:13">
      <c r="A4301" t="s">
        <v>9716</v>
      </c>
      <c r="B4301" t="s">
        <v>6448</v>
      </c>
      <c r="C4301" s="34" t="s">
        <v>561</v>
      </c>
      <c r="H4301">
        <v>5</v>
      </c>
      <c r="I4301">
        <f>VLOOKUP(B4301,BRAND!B:D,3,FALSE)</f>
        <v>3</v>
      </c>
      <c r="J4301">
        <v>0</v>
      </c>
      <c r="M4301">
        <v>1</v>
      </c>
    </row>
    <row r="4302" spans="1:13">
      <c r="A4302" t="s">
        <v>8484</v>
      </c>
      <c r="B4302" t="s">
        <v>8483</v>
      </c>
      <c r="C4302" s="34" t="s">
        <v>746</v>
      </c>
      <c r="F4302" t="s">
        <v>746</v>
      </c>
      <c r="G4302" t="s">
        <v>6932</v>
      </c>
      <c r="H4302">
        <v>5</v>
      </c>
      <c r="I4302">
        <f>VLOOKUP(B4302,BRAND!B:D,3,FALSE)</f>
        <v>5.5</v>
      </c>
      <c r="J4302">
        <v>6</v>
      </c>
      <c r="M4302">
        <v>1</v>
      </c>
    </row>
    <row r="4303" spans="1:13">
      <c r="A4303" t="s">
        <v>8482</v>
      </c>
      <c r="B4303" t="s">
        <v>8483</v>
      </c>
      <c r="C4303" s="34" t="s">
        <v>775</v>
      </c>
      <c r="F4303" t="s">
        <v>775</v>
      </c>
      <c r="G4303" t="s">
        <v>6932</v>
      </c>
      <c r="H4303">
        <v>5</v>
      </c>
      <c r="I4303">
        <f>VLOOKUP(B4303,BRAND!B:D,3,FALSE)</f>
        <v>5.5</v>
      </c>
      <c r="J4303">
        <v>3</v>
      </c>
      <c r="M4303">
        <v>1</v>
      </c>
    </row>
    <row r="4304" spans="1:13">
      <c r="A4304" t="s">
        <v>9841</v>
      </c>
      <c r="B4304" t="s">
        <v>8483</v>
      </c>
      <c r="C4304" s="34" t="s">
        <v>897</v>
      </c>
      <c r="H4304">
        <v>5</v>
      </c>
      <c r="I4304">
        <f>VLOOKUP(B4304,BRAND!B:D,3,FALSE)</f>
        <v>5.5</v>
      </c>
      <c r="J4304">
        <f>LEN(F4304)</f>
        <v>0</v>
      </c>
      <c r="L4304">
        <v>0</v>
      </c>
      <c r="M4304">
        <v>0</v>
      </c>
    </row>
    <row r="4305" spans="1:13">
      <c r="A4305" t="s">
        <v>9841</v>
      </c>
      <c r="B4305" t="s">
        <v>8483</v>
      </c>
      <c r="C4305" s="34" t="s">
        <v>897</v>
      </c>
      <c r="H4305">
        <v>5</v>
      </c>
      <c r="I4305">
        <f>VLOOKUP(B4305,BRAND!B:D,3,FALSE)</f>
        <v>5.5</v>
      </c>
      <c r="J4305">
        <v>0</v>
      </c>
      <c r="M4305">
        <v>1</v>
      </c>
    </row>
    <row r="4306" spans="1:13">
      <c r="A4306" t="s">
        <v>14996</v>
      </c>
      <c r="B4306" t="s">
        <v>14997</v>
      </c>
      <c r="C4306" s="34" t="s">
        <v>14911</v>
      </c>
      <c r="F4306" t="s">
        <v>900</v>
      </c>
      <c r="G4306" t="s">
        <v>6932</v>
      </c>
      <c r="H4306">
        <v>5</v>
      </c>
      <c r="I4306">
        <f>VLOOKUP(B4306,BRAND!B:D,3,FALSE)</f>
        <v>5</v>
      </c>
      <c r="J4306">
        <v>0</v>
      </c>
      <c r="K4306" t="s">
        <v>821</v>
      </c>
      <c r="L4306">
        <v>0</v>
      </c>
      <c r="M4306">
        <v>0</v>
      </c>
    </row>
    <row r="4307" spans="1:13">
      <c r="A4307" t="s">
        <v>14998</v>
      </c>
      <c r="B4307" t="s">
        <v>14997</v>
      </c>
      <c r="C4307" s="34" t="s">
        <v>776</v>
      </c>
      <c r="F4307" t="s">
        <v>776</v>
      </c>
      <c r="G4307" t="s">
        <v>6932</v>
      </c>
      <c r="H4307">
        <v>5</v>
      </c>
      <c r="I4307">
        <f>VLOOKUP(B4307,BRAND!B:D,3,FALSE)</f>
        <v>5</v>
      </c>
      <c r="J4307">
        <v>0</v>
      </c>
      <c r="K4307" t="s">
        <v>821</v>
      </c>
      <c r="L4307">
        <v>0</v>
      </c>
      <c r="M4307">
        <v>0</v>
      </c>
    </row>
    <row r="4308" spans="1:13">
      <c r="A4308" t="s">
        <v>14999</v>
      </c>
      <c r="B4308" t="s">
        <v>14997</v>
      </c>
      <c r="C4308" s="34" t="s">
        <v>786</v>
      </c>
      <c r="F4308" t="s">
        <v>786</v>
      </c>
      <c r="G4308" t="s">
        <v>6932</v>
      </c>
      <c r="H4308">
        <v>5</v>
      </c>
      <c r="I4308">
        <f>VLOOKUP(B4308,BRAND!B:D,3,FALSE)</f>
        <v>5</v>
      </c>
      <c r="J4308">
        <v>0</v>
      </c>
      <c r="K4308" t="s">
        <v>821</v>
      </c>
      <c r="L4308">
        <v>0</v>
      </c>
      <c r="M4308">
        <v>0</v>
      </c>
    </row>
    <row r="4309" spans="1:13">
      <c r="A4309" t="s">
        <v>15000</v>
      </c>
      <c r="B4309" t="s">
        <v>14997</v>
      </c>
      <c r="C4309" s="34" t="s">
        <v>10023</v>
      </c>
      <c r="F4309" t="s">
        <v>10023</v>
      </c>
      <c r="G4309" t="s">
        <v>6932</v>
      </c>
      <c r="H4309">
        <v>5</v>
      </c>
      <c r="I4309">
        <f>VLOOKUP(B4309,BRAND!B:D,3,FALSE)</f>
        <v>5</v>
      </c>
      <c r="J4309">
        <v>0</v>
      </c>
      <c r="K4309" t="s">
        <v>821</v>
      </c>
      <c r="L4309">
        <v>0</v>
      </c>
      <c r="M4309">
        <v>0</v>
      </c>
    </row>
    <row r="4310" spans="1:13">
      <c r="A4310" t="s">
        <v>14996</v>
      </c>
      <c r="B4310" t="s">
        <v>14997</v>
      </c>
      <c r="C4310" s="34" t="s">
        <v>14911</v>
      </c>
      <c r="D4310" t="s">
        <v>802</v>
      </c>
      <c r="F4310" t="s">
        <v>900</v>
      </c>
      <c r="G4310" t="s">
        <v>6932</v>
      </c>
      <c r="H4310">
        <v>5</v>
      </c>
      <c r="I4310">
        <f>VLOOKUP(B4310,BRAND!B:D,3,FALSE)</f>
        <v>5</v>
      </c>
      <c r="J4310">
        <v>0</v>
      </c>
      <c r="K4310" t="s">
        <v>821</v>
      </c>
      <c r="L4310">
        <v>0</v>
      </c>
      <c r="M4310">
        <v>0</v>
      </c>
    </row>
    <row r="4311" spans="1:13">
      <c r="A4311" t="s">
        <v>15484</v>
      </c>
      <c r="B4311" t="s">
        <v>14997</v>
      </c>
      <c r="C4311" s="34" t="s">
        <v>15485</v>
      </c>
      <c r="F4311" t="s">
        <v>15485</v>
      </c>
      <c r="G4311" t="s">
        <v>6932</v>
      </c>
      <c r="H4311">
        <v>5</v>
      </c>
      <c r="I4311">
        <f>VLOOKUP(B4311,BRAND!B:D,3,FALSE)</f>
        <v>5</v>
      </c>
      <c r="J4311">
        <v>0</v>
      </c>
      <c r="K4311" t="s">
        <v>821</v>
      </c>
      <c r="L4311">
        <v>0</v>
      </c>
      <c r="M4311">
        <v>0</v>
      </c>
    </row>
    <row r="4312" spans="1:13">
      <c r="A4312" t="s">
        <v>15486</v>
      </c>
      <c r="B4312" t="s">
        <v>14997</v>
      </c>
      <c r="C4312" s="34" t="s">
        <v>15487</v>
      </c>
      <c r="F4312" t="s">
        <v>15487</v>
      </c>
      <c r="G4312" t="s">
        <v>6932</v>
      </c>
      <c r="H4312">
        <v>5</v>
      </c>
      <c r="I4312">
        <f>VLOOKUP(B4312,BRAND!B:D,3,FALSE)</f>
        <v>5</v>
      </c>
      <c r="J4312">
        <v>0</v>
      </c>
      <c r="K4312" t="s">
        <v>821</v>
      </c>
      <c r="L4312">
        <v>0</v>
      </c>
      <c r="M4312">
        <v>0</v>
      </c>
    </row>
    <row r="4313" spans="1:13">
      <c r="A4313" t="s">
        <v>15488</v>
      </c>
      <c r="B4313" t="s">
        <v>14997</v>
      </c>
      <c r="C4313" s="34" t="s">
        <v>15489</v>
      </c>
      <c r="F4313" t="s">
        <v>15489</v>
      </c>
      <c r="G4313" t="s">
        <v>6932</v>
      </c>
      <c r="H4313">
        <v>5</v>
      </c>
      <c r="I4313">
        <f>VLOOKUP(B4313,BRAND!B:D,3,FALSE)</f>
        <v>5</v>
      </c>
      <c r="J4313">
        <v>0</v>
      </c>
      <c r="K4313" t="s">
        <v>821</v>
      </c>
      <c r="L4313">
        <v>0</v>
      </c>
      <c r="M4313">
        <v>0</v>
      </c>
    </row>
    <row r="4314" spans="1:13">
      <c r="A4314" t="s">
        <v>15490</v>
      </c>
      <c r="B4314" t="s">
        <v>14997</v>
      </c>
      <c r="C4314" s="34" t="s">
        <v>10979</v>
      </c>
      <c r="F4314" t="s">
        <v>10979</v>
      </c>
      <c r="G4314" t="s">
        <v>6932</v>
      </c>
      <c r="H4314">
        <v>5</v>
      </c>
      <c r="I4314">
        <f>VLOOKUP(B4314,BRAND!B:D,3,FALSE)</f>
        <v>5</v>
      </c>
      <c r="J4314">
        <v>0</v>
      </c>
      <c r="K4314" t="s">
        <v>821</v>
      </c>
      <c r="L4314">
        <v>0</v>
      </c>
      <c r="M4314">
        <v>0</v>
      </c>
    </row>
    <row r="4315" spans="1:13">
      <c r="A4315" t="s">
        <v>15491</v>
      </c>
      <c r="B4315" t="s">
        <v>14997</v>
      </c>
      <c r="C4315" s="34" t="s">
        <v>15492</v>
      </c>
      <c r="F4315" t="s">
        <v>15492</v>
      </c>
      <c r="G4315" t="s">
        <v>6932</v>
      </c>
      <c r="H4315">
        <v>5</v>
      </c>
      <c r="I4315">
        <f>VLOOKUP(B4315,BRAND!B:D,3,FALSE)</f>
        <v>5</v>
      </c>
      <c r="J4315">
        <v>0</v>
      </c>
      <c r="K4315" t="s">
        <v>821</v>
      </c>
      <c r="L4315">
        <v>0</v>
      </c>
      <c r="M4315">
        <v>0</v>
      </c>
    </row>
    <row r="4316" spans="1:13">
      <c r="A4316" t="s">
        <v>15000</v>
      </c>
      <c r="B4316" t="s">
        <v>14997</v>
      </c>
      <c r="C4316" s="34" t="s">
        <v>10023</v>
      </c>
      <c r="F4316" t="s">
        <v>10023</v>
      </c>
      <c r="G4316" t="s">
        <v>6932</v>
      </c>
      <c r="H4316">
        <v>5</v>
      </c>
      <c r="I4316">
        <f>VLOOKUP(B4316,BRAND!B:D,3,FALSE)</f>
        <v>5</v>
      </c>
      <c r="J4316">
        <v>0</v>
      </c>
      <c r="K4316" t="s">
        <v>821</v>
      </c>
      <c r="L4316">
        <v>0</v>
      </c>
      <c r="M4316">
        <v>0</v>
      </c>
    </row>
    <row r="4317" spans="1:13">
      <c r="A4317" t="s">
        <v>15493</v>
      </c>
      <c r="B4317" t="s">
        <v>14997</v>
      </c>
      <c r="C4317" s="34" t="s">
        <v>15494</v>
      </c>
      <c r="F4317" t="s">
        <v>15494</v>
      </c>
      <c r="G4317" t="s">
        <v>801</v>
      </c>
      <c r="H4317">
        <v>5</v>
      </c>
      <c r="I4317">
        <f>VLOOKUP(B4317,BRAND!B:D,3,FALSE)</f>
        <v>5</v>
      </c>
      <c r="J4317">
        <v>0</v>
      </c>
      <c r="K4317" t="s">
        <v>821</v>
      </c>
      <c r="L4317">
        <v>0</v>
      </c>
      <c r="M4317">
        <v>0</v>
      </c>
    </row>
    <row r="4318" spans="1:13">
      <c r="A4318" t="s">
        <v>15495</v>
      </c>
      <c r="B4318" t="s">
        <v>14997</v>
      </c>
      <c r="C4318" s="34" t="s">
        <v>15496</v>
      </c>
      <c r="F4318" t="s">
        <v>15496</v>
      </c>
      <c r="G4318" t="s">
        <v>6932</v>
      </c>
      <c r="H4318">
        <v>5</v>
      </c>
      <c r="I4318">
        <f>VLOOKUP(B4318,BRAND!B:D,3,FALSE)</f>
        <v>5</v>
      </c>
      <c r="J4318">
        <v>0</v>
      </c>
      <c r="K4318" t="s">
        <v>821</v>
      </c>
      <c r="L4318">
        <v>0</v>
      </c>
      <c r="M4318">
        <v>0</v>
      </c>
    </row>
    <row r="4319" spans="1:13">
      <c r="A4319" t="s">
        <v>15497</v>
      </c>
      <c r="B4319" t="s">
        <v>14997</v>
      </c>
      <c r="C4319" s="34" t="s">
        <v>15498</v>
      </c>
      <c r="F4319" t="s">
        <v>15498</v>
      </c>
      <c r="G4319" t="s">
        <v>6932</v>
      </c>
      <c r="H4319">
        <v>5</v>
      </c>
      <c r="I4319">
        <f>VLOOKUP(B4319,BRAND!B:D,3,FALSE)</f>
        <v>5</v>
      </c>
      <c r="J4319">
        <v>0</v>
      </c>
      <c r="K4319" t="s">
        <v>821</v>
      </c>
      <c r="L4319">
        <v>0</v>
      </c>
      <c r="M4319">
        <v>0</v>
      </c>
    </row>
    <row r="4320" spans="1:13">
      <c r="A4320" t="s">
        <v>15499</v>
      </c>
      <c r="B4320" t="s">
        <v>14997</v>
      </c>
      <c r="C4320" s="34" t="s">
        <v>15500</v>
      </c>
      <c r="F4320" t="s">
        <v>15500</v>
      </c>
      <c r="G4320" t="s">
        <v>801</v>
      </c>
      <c r="H4320">
        <v>5</v>
      </c>
      <c r="I4320">
        <f>VLOOKUP(B4320,BRAND!B:D,3,FALSE)</f>
        <v>5</v>
      </c>
      <c r="J4320">
        <v>0</v>
      </c>
      <c r="K4320" t="s">
        <v>821</v>
      </c>
      <c r="L4320">
        <v>0</v>
      </c>
      <c r="M4320">
        <v>0</v>
      </c>
    </row>
    <row r="4321" spans="1:13">
      <c r="A4321" t="s">
        <v>14450</v>
      </c>
      <c r="B4321" t="s">
        <v>14451</v>
      </c>
      <c r="C4321" s="34" t="s">
        <v>14452</v>
      </c>
      <c r="F4321" t="s">
        <v>6689</v>
      </c>
      <c r="G4321" t="s">
        <v>6932</v>
      </c>
      <c r="H4321">
        <v>5</v>
      </c>
      <c r="I4321">
        <f>VLOOKUP(B4321,BRAND!B:D,3,FALSE)</f>
        <v>0</v>
      </c>
      <c r="J4321">
        <f>LEN(F4321)</f>
        <v>7</v>
      </c>
      <c r="K4321" t="s">
        <v>821</v>
      </c>
      <c r="L4321">
        <v>0</v>
      </c>
      <c r="M4321">
        <v>1</v>
      </c>
    </row>
    <row r="4322" spans="1:13">
      <c r="A4322" t="s">
        <v>3285</v>
      </c>
      <c r="B4322" t="s">
        <v>94</v>
      </c>
      <c r="C4322" s="34" t="s">
        <v>5438</v>
      </c>
      <c r="F4322" t="s">
        <v>534</v>
      </c>
      <c r="H4322">
        <v>5</v>
      </c>
      <c r="I4322">
        <f>VLOOKUP(B4322,BRAND!B:D,3,FALSE)</f>
        <v>3</v>
      </c>
      <c r="J4322">
        <v>6</v>
      </c>
      <c r="K4322" t="s">
        <v>821</v>
      </c>
      <c r="M4322">
        <v>1</v>
      </c>
    </row>
    <row r="4323" spans="1:13">
      <c r="A4323" t="s">
        <v>2725</v>
      </c>
      <c r="B4323" t="s">
        <v>668</v>
      </c>
      <c r="C4323" s="34" t="s">
        <v>1438</v>
      </c>
      <c r="F4323" t="s">
        <v>1438</v>
      </c>
      <c r="H4323">
        <v>15</v>
      </c>
      <c r="I4323">
        <f>VLOOKUP(B4323,BRAND!B:D,3,FALSE)</f>
        <v>3</v>
      </c>
      <c r="J4323">
        <v>4</v>
      </c>
      <c r="K4323" t="s">
        <v>821</v>
      </c>
      <c r="M4323">
        <v>1</v>
      </c>
    </row>
    <row r="4324" spans="1:13">
      <c r="A4324" t="s">
        <v>7315</v>
      </c>
      <c r="B4324" t="s">
        <v>7316</v>
      </c>
      <c r="C4324" s="34" t="s">
        <v>1438</v>
      </c>
      <c r="F4324" t="s">
        <v>1438</v>
      </c>
      <c r="G4324" t="s">
        <v>802</v>
      </c>
      <c r="H4324">
        <v>5</v>
      </c>
      <c r="I4324">
        <f>VLOOKUP(B4324,BRAND!B:D,3,FALSE)</f>
        <v>5.5</v>
      </c>
      <c r="M4324">
        <v>1</v>
      </c>
    </row>
    <row r="4325" spans="1:13">
      <c r="A4325" t="s">
        <v>8485</v>
      </c>
      <c r="B4325" t="s">
        <v>8486</v>
      </c>
      <c r="C4325" s="34" t="s">
        <v>1438</v>
      </c>
      <c r="F4325" t="s">
        <v>1438</v>
      </c>
      <c r="G4325" t="s">
        <v>6932</v>
      </c>
      <c r="H4325">
        <v>5</v>
      </c>
      <c r="I4325">
        <f>VLOOKUP(B4325,BRAND!B:D,3,FALSE)</f>
        <v>5.5</v>
      </c>
      <c r="J4325">
        <v>4</v>
      </c>
      <c r="M4325">
        <v>1</v>
      </c>
    </row>
    <row r="4326" spans="1:13">
      <c r="A4326" t="s">
        <v>4883</v>
      </c>
      <c r="B4326" t="s">
        <v>418</v>
      </c>
      <c r="C4326" s="34" t="s">
        <v>883</v>
      </c>
      <c r="F4326" t="s">
        <v>883</v>
      </c>
      <c r="H4326">
        <v>5</v>
      </c>
      <c r="I4326">
        <f>VLOOKUP(B4326,BRAND!B:D,3,FALSE)</f>
        <v>3</v>
      </c>
      <c r="J4326">
        <v>6</v>
      </c>
      <c r="K4326" t="s">
        <v>821</v>
      </c>
      <c r="L4326">
        <v>0</v>
      </c>
      <c r="M4326">
        <v>0</v>
      </c>
    </row>
    <row r="4327" spans="1:13">
      <c r="A4327" t="s">
        <v>8487</v>
      </c>
      <c r="B4327" t="s">
        <v>418</v>
      </c>
      <c r="C4327" s="34" t="s">
        <v>8488</v>
      </c>
      <c r="F4327" t="s">
        <v>8488</v>
      </c>
      <c r="G4327" t="s">
        <v>6932</v>
      </c>
      <c r="H4327">
        <v>5</v>
      </c>
      <c r="I4327">
        <f>VLOOKUP(B4327,BRAND!B:D,3,FALSE)</f>
        <v>3</v>
      </c>
      <c r="J4327">
        <v>5</v>
      </c>
      <c r="M4327">
        <v>1</v>
      </c>
    </row>
    <row r="4328" spans="1:13">
      <c r="A4328" t="s">
        <v>8491</v>
      </c>
      <c r="B4328" t="s">
        <v>418</v>
      </c>
      <c r="C4328" s="34" t="s">
        <v>6601</v>
      </c>
      <c r="F4328" t="s">
        <v>6601</v>
      </c>
      <c r="G4328" t="s">
        <v>6932</v>
      </c>
      <c r="H4328">
        <v>5</v>
      </c>
      <c r="I4328">
        <f>VLOOKUP(B4328,BRAND!B:D,3,FALSE)</f>
        <v>3</v>
      </c>
      <c r="J4328">
        <v>5</v>
      </c>
      <c r="M4328">
        <v>1</v>
      </c>
    </row>
    <row r="4329" spans="1:13">
      <c r="A4329" t="s">
        <v>8492</v>
      </c>
      <c r="B4329" t="s">
        <v>418</v>
      </c>
      <c r="C4329" s="34" t="s">
        <v>8493</v>
      </c>
      <c r="F4329" t="s">
        <v>8493</v>
      </c>
      <c r="G4329" t="s">
        <v>6932</v>
      </c>
      <c r="H4329">
        <v>5</v>
      </c>
      <c r="I4329">
        <f>VLOOKUP(B4329,BRAND!B:D,3,FALSE)</f>
        <v>3</v>
      </c>
      <c r="J4329">
        <v>5</v>
      </c>
      <c r="M4329">
        <v>1</v>
      </c>
    </row>
    <row r="4330" spans="1:13">
      <c r="A4330" t="s">
        <v>3834</v>
      </c>
      <c r="B4330" t="s">
        <v>418</v>
      </c>
      <c r="C4330" s="34" t="s">
        <v>773</v>
      </c>
      <c r="F4330" t="s">
        <v>773</v>
      </c>
      <c r="H4330">
        <v>5</v>
      </c>
      <c r="I4330">
        <f>VLOOKUP(B4330,BRAND!B:D,3,FALSE)</f>
        <v>3</v>
      </c>
      <c r="J4330">
        <v>4</v>
      </c>
      <c r="K4330" t="s">
        <v>821</v>
      </c>
      <c r="L4330">
        <v>0</v>
      </c>
      <c r="M4330">
        <v>0</v>
      </c>
    </row>
    <row r="4331" spans="1:13">
      <c r="A4331" t="s">
        <v>8489</v>
      </c>
      <c r="B4331" t="s">
        <v>418</v>
      </c>
      <c r="C4331" s="34" t="s">
        <v>8490</v>
      </c>
      <c r="F4331" t="s">
        <v>8490</v>
      </c>
      <c r="G4331" t="s">
        <v>6932</v>
      </c>
      <c r="H4331">
        <v>5</v>
      </c>
      <c r="I4331">
        <f>VLOOKUP(B4331,BRAND!B:D,3,FALSE)</f>
        <v>3</v>
      </c>
      <c r="J4331">
        <v>3</v>
      </c>
      <c r="M4331">
        <v>1</v>
      </c>
    </row>
    <row r="4332" spans="1:13">
      <c r="A4332" t="s">
        <v>9717</v>
      </c>
      <c r="B4332" t="s">
        <v>418</v>
      </c>
      <c r="C4332" s="34" t="s">
        <v>777</v>
      </c>
      <c r="G4332" t="s">
        <v>6932</v>
      </c>
      <c r="H4332">
        <v>5</v>
      </c>
      <c r="I4332">
        <f>VLOOKUP(B4332,BRAND!B:D,3,FALSE)</f>
        <v>3</v>
      </c>
      <c r="J4332">
        <v>0</v>
      </c>
      <c r="M4332">
        <v>1</v>
      </c>
    </row>
    <row r="4333" spans="1:13">
      <c r="A4333" t="s">
        <v>1734</v>
      </c>
      <c r="B4333" t="s">
        <v>95</v>
      </c>
      <c r="C4333" s="34" t="s">
        <v>5395</v>
      </c>
      <c r="F4333" t="s">
        <v>1467</v>
      </c>
      <c r="H4333">
        <v>4</v>
      </c>
      <c r="I4333">
        <f>VLOOKUP(B4333,BRAND!B:D,3,FALSE)</f>
        <v>3</v>
      </c>
      <c r="J4333">
        <f>LEN(F4333)</f>
        <v>12</v>
      </c>
      <c r="K4333" t="s">
        <v>822</v>
      </c>
      <c r="M4333">
        <v>1</v>
      </c>
    </row>
    <row r="4334" spans="1:13">
      <c r="A4334" t="s">
        <v>4475</v>
      </c>
      <c r="B4334" t="s">
        <v>95</v>
      </c>
      <c r="C4334" s="34" t="s">
        <v>798</v>
      </c>
      <c r="F4334" t="s">
        <v>798</v>
      </c>
      <c r="H4334">
        <v>5</v>
      </c>
      <c r="I4334">
        <f>VLOOKUP(B4334,BRAND!B:D,3,FALSE)</f>
        <v>3</v>
      </c>
      <c r="J4334">
        <v>9</v>
      </c>
      <c r="K4334" t="s">
        <v>822</v>
      </c>
      <c r="M4334">
        <v>1</v>
      </c>
    </row>
    <row r="4335" spans="1:13">
      <c r="A4335" t="s">
        <v>5327</v>
      </c>
      <c r="B4335" t="s">
        <v>95</v>
      </c>
      <c r="C4335" s="34" t="s">
        <v>5394</v>
      </c>
      <c r="F4335" t="s">
        <v>1513</v>
      </c>
      <c r="H4335">
        <v>5</v>
      </c>
      <c r="I4335">
        <f>VLOOKUP(B4335,BRAND!B:D,3,FALSE)</f>
        <v>3</v>
      </c>
      <c r="J4335">
        <v>5</v>
      </c>
      <c r="K4335" t="s">
        <v>822</v>
      </c>
      <c r="M4335">
        <v>1</v>
      </c>
    </row>
    <row r="4336" spans="1:13">
      <c r="A4336" t="s">
        <v>1638</v>
      </c>
      <c r="B4336" t="s">
        <v>95</v>
      </c>
      <c r="C4336" s="34" t="s">
        <v>5396</v>
      </c>
      <c r="F4336" t="s">
        <v>881</v>
      </c>
      <c r="H4336">
        <v>5</v>
      </c>
      <c r="I4336">
        <f>VLOOKUP(B4336,BRAND!B:D,3,FALSE)</f>
        <v>3</v>
      </c>
      <c r="J4336">
        <v>5</v>
      </c>
      <c r="K4336" t="s">
        <v>822</v>
      </c>
      <c r="M4336">
        <v>1</v>
      </c>
    </row>
    <row r="4337" spans="1:13">
      <c r="A4337" t="s">
        <v>5326</v>
      </c>
      <c r="B4337" t="s">
        <v>95</v>
      </c>
      <c r="C4337" s="34" t="s">
        <v>5393</v>
      </c>
      <c r="F4337" t="s">
        <v>1438</v>
      </c>
      <c r="H4337">
        <v>15</v>
      </c>
      <c r="I4337">
        <f>VLOOKUP(B4337,BRAND!B:D,3,FALSE)</f>
        <v>3</v>
      </c>
      <c r="J4337">
        <v>4</v>
      </c>
      <c r="K4337" t="s">
        <v>822</v>
      </c>
      <c r="M4337">
        <v>1</v>
      </c>
    </row>
    <row r="4338" spans="1:13">
      <c r="A4338" t="s">
        <v>6736</v>
      </c>
      <c r="B4338" t="s">
        <v>6732</v>
      </c>
      <c r="C4338" s="34" t="s">
        <v>6737</v>
      </c>
      <c r="F4338" t="s">
        <v>6737</v>
      </c>
      <c r="H4338">
        <v>5</v>
      </c>
      <c r="I4338">
        <f>VLOOKUP(B4338,BRAND!B:D,3,FALSE)</f>
        <v>5</v>
      </c>
      <c r="J4338">
        <f>LEN(F4338)</f>
        <v>11</v>
      </c>
      <c r="M4338">
        <v>1</v>
      </c>
    </row>
    <row r="4339" spans="1:13">
      <c r="A4339" t="s">
        <v>6744</v>
      </c>
      <c r="B4339" t="s">
        <v>6732</v>
      </c>
      <c r="C4339" s="34" t="s">
        <v>1965</v>
      </c>
      <c r="F4339" t="s">
        <v>1965</v>
      </c>
      <c r="H4339">
        <v>5</v>
      </c>
      <c r="I4339">
        <f>VLOOKUP(B4339,BRAND!B:D,3,FALSE)</f>
        <v>5</v>
      </c>
      <c r="J4339">
        <f>LEN(F4339)</f>
        <v>10</v>
      </c>
      <c r="M4339">
        <v>1</v>
      </c>
    </row>
    <row r="4340" spans="1:13">
      <c r="A4340" t="s">
        <v>6734</v>
      </c>
      <c r="B4340" t="s">
        <v>6732</v>
      </c>
      <c r="C4340" s="34" t="s">
        <v>994</v>
      </c>
      <c r="F4340" t="s">
        <v>994</v>
      </c>
      <c r="H4340">
        <v>5</v>
      </c>
      <c r="I4340">
        <f>VLOOKUP(B4340,BRAND!B:D,3,FALSE)</f>
        <v>5</v>
      </c>
      <c r="J4340">
        <f>LEN(F4340)</f>
        <v>10</v>
      </c>
      <c r="M4340">
        <v>1</v>
      </c>
    </row>
    <row r="4341" spans="1:13">
      <c r="A4341" t="s">
        <v>6735</v>
      </c>
      <c r="B4341" t="s">
        <v>6732</v>
      </c>
      <c r="C4341" s="34" t="s">
        <v>882</v>
      </c>
      <c r="F4341" t="s">
        <v>882</v>
      </c>
      <c r="H4341">
        <v>5</v>
      </c>
      <c r="I4341">
        <f>VLOOKUP(B4341,BRAND!B:D,3,FALSE)</f>
        <v>5</v>
      </c>
      <c r="J4341">
        <f>LEN(F4341)</f>
        <v>10</v>
      </c>
      <c r="M4341">
        <v>1</v>
      </c>
    </row>
    <row r="4342" spans="1:13">
      <c r="A4342" t="s">
        <v>6742</v>
      </c>
      <c r="B4342" t="s">
        <v>6732</v>
      </c>
      <c r="C4342" s="34" t="s">
        <v>1983</v>
      </c>
      <c r="F4342" t="s">
        <v>1983</v>
      </c>
      <c r="H4342">
        <v>5</v>
      </c>
      <c r="I4342">
        <f>VLOOKUP(B4342,BRAND!B:D,3,FALSE)</f>
        <v>5</v>
      </c>
      <c r="J4342">
        <v>9</v>
      </c>
      <c r="M4342">
        <v>1</v>
      </c>
    </row>
    <row r="4343" spans="1:13">
      <c r="A4343" t="s">
        <v>6738</v>
      </c>
      <c r="B4343" t="s">
        <v>6732</v>
      </c>
      <c r="C4343" s="34" t="s">
        <v>6739</v>
      </c>
      <c r="F4343" t="s">
        <v>6739</v>
      </c>
      <c r="H4343">
        <v>5</v>
      </c>
      <c r="I4343">
        <f>VLOOKUP(B4343,BRAND!B:D,3,FALSE)</f>
        <v>5</v>
      </c>
      <c r="J4343">
        <v>8</v>
      </c>
      <c r="M4343">
        <v>1</v>
      </c>
    </row>
    <row r="4344" spans="1:13">
      <c r="A4344" t="s">
        <v>6745</v>
      </c>
      <c r="B4344" t="s">
        <v>6732</v>
      </c>
      <c r="C4344" s="34" t="s">
        <v>6746</v>
      </c>
      <c r="F4344" t="s">
        <v>6746</v>
      </c>
      <c r="H4344">
        <v>5</v>
      </c>
      <c r="I4344">
        <f>VLOOKUP(B4344,BRAND!B:D,3,FALSE)</f>
        <v>5</v>
      </c>
      <c r="J4344">
        <v>8</v>
      </c>
      <c r="M4344">
        <v>1</v>
      </c>
    </row>
    <row r="4345" spans="1:13">
      <c r="A4345" t="s">
        <v>6741</v>
      </c>
      <c r="B4345" t="s">
        <v>6732</v>
      </c>
      <c r="C4345" s="34" t="s">
        <v>880</v>
      </c>
      <c r="F4345" t="s">
        <v>880</v>
      </c>
      <c r="H4345">
        <v>5</v>
      </c>
      <c r="I4345">
        <f>VLOOKUP(B4345,BRAND!B:D,3,FALSE)</f>
        <v>5</v>
      </c>
      <c r="J4345">
        <v>7</v>
      </c>
      <c r="M4345">
        <v>1</v>
      </c>
    </row>
    <row r="4346" spans="1:13">
      <c r="A4346" t="s">
        <v>6740</v>
      </c>
      <c r="B4346" t="s">
        <v>6732</v>
      </c>
      <c r="C4346" s="34" t="s">
        <v>761</v>
      </c>
      <c r="F4346" t="s">
        <v>761</v>
      </c>
      <c r="H4346">
        <v>5</v>
      </c>
      <c r="I4346">
        <f>VLOOKUP(B4346,BRAND!B:D,3,FALSE)</f>
        <v>5</v>
      </c>
      <c r="J4346">
        <v>5</v>
      </c>
      <c r="L4346">
        <v>1</v>
      </c>
      <c r="M4346">
        <v>1</v>
      </c>
    </row>
    <row r="4347" spans="1:13">
      <c r="A4347" t="s">
        <v>6731</v>
      </c>
      <c r="B4347" t="s">
        <v>6732</v>
      </c>
      <c r="C4347" s="34" t="s">
        <v>6733</v>
      </c>
      <c r="F4347" t="s">
        <v>6733</v>
      </c>
      <c r="H4347">
        <v>5</v>
      </c>
      <c r="I4347">
        <f>VLOOKUP(B4347,BRAND!B:D,3,FALSE)</f>
        <v>5</v>
      </c>
      <c r="J4347">
        <v>5</v>
      </c>
      <c r="M4347">
        <v>1</v>
      </c>
    </row>
    <row r="4348" spans="1:13">
      <c r="A4348" t="s">
        <v>6747</v>
      </c>
      <c r="B4348" t="s">
        <v>6732</v>
      </c>
      <c r="C4348" s="34" t="s">
        <v>1466</v>
      </c>
      <c r="F4348" t="s">
        <v>1466</v>
      </c>
      <c r="H4348">
        <v>5</v>
      </c>
      <c r="I4348">
        <f>VLOOKUP(B4348,BRAND!B:D,3,FALSE)</f>
        <v>5</v>
      </c>
      <c r="J4348">
        <v>4</v>
      </c>
      <c r="M4348">
        <v>1</v>
      </c>
    </row>
    <row r="4349" spans="1:13">
      <c r="A4349" t="s">
        <v>6743</v>
      </c>
      <c r="B4349" t="s">
        <v>6732</v>
      </c>
      <c r="C4349" s="34" t="s">
        <v>876</v>
      </c>
      <c r="F4349" t="s">
        <v>876</v>
      </c>
      <c r="H4349">
        <v>5</v>
      </c>
      <c r="I4349">
        <f>VLOOKUP(B4349,BRAND!B:D,3,FALSE)</f>
        <v>5</v>
      </c>
      <c r="J4349">
        <v>4</v>
      </c>
      <c r="M4349">
        <v>1</v>
      </c>
    </row>
    <row r="4350" spans="1:13">
      <c r="A4350" t="s">
        <v>3519</v>
      </c>
      <c r="B4350" t="s">
        <v>372</v>
      </c>
      <c r="C4350" s="34" t="s">
        <v>862</v>
      </c>
      <c r="F4350" t="s">
        <v>862</v>
      </c>
      <c r="H4350">
        <v>5</v>
      </c>
      <c r="I4350">
        <f>VLOOKUP(B4350,BRAND!B:D,3,FALSE)</f>
        <v>3</v>
      </c>
      <c r="J4350">
        <f>LEN(F4350)</f>
        <v>10</v>
      </c>
      <c r="K4350" t="s">
        <v>821</v>
      </c>
      <c r="M4350">
        <v>1</v>
      </c>
    </row>
    <row r="4351" spans="1:13">
      <c r="A4351" t="s">
        <v>2592</v>
      </c>
      <c r="B4351" t="s">
        <v>372</v>
      </c>
      <c r="C4351" s="34" t="s">
        <v>1438</v>
      </c>
      <c r="F4351" t="s">
        <v>1438</v>
      </c>
      <c r="H4351">
        <v>15</v>
      </c>
      <c r="I4351">
        <f>VLOOKUP(B4351,BRAND!B:D,3,FALSE)</f>
        <v>3</v>
      </c>
      <c r="J4351">
        <v>4</v>
      </c>
      <c r="K4351" t="s">
        <v>821</v>
      </c>
      <c r="L4351">
        <v>0</v>
      </c>
      <c r="M4351">
        <v>0</v>
      </c>
    </row>
    <row r="4352" spans="1:13">
      <c r="A4352" t="s">
        <v>8494</v>
      </c>
      <c r="B4352" t="s">
        <v>8495</v>
      </c>
      <c r="C4352" s="34" t="s">
        <v>751</v>
      </c>
      <c r="F4352" t="s">
        <v>751</v>
      </c>
      <c r="G4352" t="s">
        <v>6932</v>
      </c>
      <c r="H4352">
        <v>5</v>
      </c>
      <c r="I4352">
        <f>VLOOKUP(B4352,BRAND!B:D,3,FALSE)</f>
        <v>5.5</v>
      </c>
      <c r="J4352">
        <v>5</v>
      </c>
      <c r="M4352">
        <v>1</v>
      </c>
    </row>
    <row r="4353" spans="1:13">
      <c r="A4353" t="s">
        <v>3005</v>
      </c>
      <c r="B4353" t="s">
        <v>419</v>
      </c>
      <c r="C4353" s="34" t="s">
        <v>561</v>
      </c>
      <c r="F4353" t="s">
        <v>561</v>
      </c>
      <c r="H4353">
        <v>5</v>
      </c>
      <c r="I4353">
        <f>VLOOKUP(B4353,BRAND!B:D,3,FALSE)</f>
        <v>3</v>
      </c>
      <c r="J4353">
        <v>3</v>
      </c>
      <c r="K4353" t="s">
        <v>821</v>
      </c>
      <c r="M4353">
        <v>1</v>
      </c>
    </row>
    <row r="4354" spans="1:13">
      <c r="A4354" t="s">
        <v>9718</v>
      </c>
      <c r="B4354" t="s">
        <v>419</v>
      </c>
      <c r="C4354" s="34" t="s">
        <v>842</v>
      </c>
      <c r="G4354" t="s">
        <v>6932</v>
      </c>
      <c r="H4354">
        <v>5</v>
      </c>
      <c r="I4354">
        <f>VLOOKUP(B4354,BRAND!B:D,3,FALSE)</f>
        <v>3</v>
      </c>
      <c r="J4354">
        <v>0</v>
      </c>
      <c r="M4354">
        <v>1</v>
      </c>
    </row>
    <row r="4355" spans="1:13">
      <c r="A4355" t="s">
        <v>10094</v>
      </c>
      <c r="B4355" t="s">
        <v>6999</v>
      </c>
      <c r="C4355" s="34" t="s">
        <v>1438</v>
      </c>
      <c r="F4355" t="s">
        <v>1438</v>
      </c>
      <c r="H4355">
        <v>15</v>
      </c>
      <c r="I4355">
        <f>VLOOKUP(B4355,BRAND!B:D,3,FALSE)</f>
        <v>11</v>
      </c>
      <c r="J4355">
        <v>4</v>
      </c>
      <c r="L4355">
        <v>0</v>
      </c>
      <c r="M4355">
        <v>0</v>
      </c>
    </row>
    <row r="4356" spans="1:13">
      <c r="A4356" t="s">
        <v>14574</v>
      </c>
      <c r="B4356" t="s">
        <v>14571</v>
      </c>
      <c r="C4356" s="34" t="s">
        <v>534</v>
      </c>
      <c r="F4356" t="s">
        <v>534</v>
      </c>
      <c r="G4356" t="s">
        <v>6932</v>
      </c>
      <c r="H4356">
        <v>5</v>
      </c>
      <c r="I4356">
        <f>VLOOKUP(B4356,BRAND!B:D,3,FALSE)</f>
        <v>0</v>
      </c>
      <c r="J4356">
        <f t="shared" ref="J4356:J4361" si="45">LEN(F4356)</f>
        <v>6</v>
      </c>
      <c r="K4356" t="s">
        <v>821</v>
      </c>
      <c r="L4356">
        <v>0</v>
      </c>
      <c r="M4356">
        <v>1</v>
      </c>
    </row>
    <row r="4357" spans="1:13">
      <c r="A4357" t="s">
        <v>14570</v>
      </c>
      <c r="B4357" t="s">
        <v>14571</v>
      </c>
      <c r="C4357" s="34" t="s">
        <v>10023</v>
      </c>
      <c r="F4357" t="s">
        <v>10023</v>
      </c>
      <c r="G4357" t="s">
        <v>6932</v>
      </c>
      <c r="H4357">
        <v>5</v>
      </c>
      <c r="I4357">
        <f>VLOOKUP(B4357,BRAND!B:D,3,FALSE)</f>
        <v>0</v>
      </c>
      <c r="J4357">
        <f t="shared" si="45"/>
        <v>6</v>
      </c>
      <c r="K4357" t="s">
        <v>821</v>
      </c>
      <c r="L4357">
        <v>0</v>
      </c>
      <c r="M4357">
        <v>1</v>
      </c>
    </row>
    <row r="4358" spans="1:13">
      <c r="A4358" t="s">
        <v>14572</v>
      </c>
      <c r="B4358" t="s">
        <v>14571</v>
      </c>
      <c r="C4358" s="34" t="s">
        <v>536</v>
      </c>
      <c r="F4358" t="s">
        <v>536</v>
      </c>
      <c r="G4358" t="s">
        <v>6932</v>
      </c>
      <c r="H4358">
        <v>5</v>
      </c>
      <c r="I4358">
        <f>VLOOKUP(B4358,BRAND!B:D,3,FALSE)</f>
        <v>0</v>
      </c>
      <c r="J4358">
        <f t="shared" si="45"/>
        <v>5</v>
      </c>
      <c r="K4358" t="s">
        <v>821</v>
      </c>
      <c r="L4358">
        <v>0</v>
      </c>
      <c r="M4358">
        <v>1</v>
      </c>
    </row>
    <row r="4359" spans="1:13">
      <c r="A4359" t="s">
        <v>14575</v>
      </c>
      <c r="B4359" t="s">
        <v>14571</v>
      </c>
      <c r="C4359" s="34" t="s">
        <v>776</v>
      </c>
      <c r="F4359" t="s">
        <v>776</v>
      </c>
      <c r="G4359" t="s">
        <v>6932</v>
      </c>
      <c r="H4359">
        <v>5</v>
      </c>
      <c r="I4359">
        <f>VLOOKUP(B4359,BRAND!B:D,3,FALSE)</f>
        <v>0</v>
      </c>
      <c r="J4359">
        <f t="shared" si="45"/>
        <v>5</v>
      </c>
      <c r="K4359" t="s">
        <v>821</v>
      </c>
      <c r="L4359">
        <v>0</v>
      </c>
      <c r="M4359">
        <v>1</v>
      </c>
    </row>
    <row r="4360" spans="1:13">
      <c r="A4360" t="s">
        <v>14576</v>
      </c>
      <c r="B4360" t="s">
        <v>14571</v>
      </c>
      <c r="C4360" s="34" t="s">
        <v>775</v>
      </c>
      <c r="F4360" t="s">
        <v>775</v>
      </c>
      <c r="G4360" t="s">
        <v>6932</v>
      </c>
      <c r="H4360">
        <v>5</v>
      </c>
      <c r="I4360">
        <f>VLOOKUP(B4360,BRAND!B:D,3,FALSE)</f>
        <v>0</v>
      </c>
      <c r="J4360">
        <f t="shared" si="45"/>
        <v>3</v>
      </c>
      <c r="K4360" t="s">
        <v>821</v>
      </c>
      <c r="L4360">
        <v>0</v>
      </c>
      <c r="M4360">
        <v>1</v>
      </c>
    </row>
    <row r="4361" spans="1:13">
      <c r="A4361" t="s">
        <v>14573</v>
      </c>
      <c r="B4361" t="s">
        <v>14571</v>
      </c>
      <c r="C4361" s="34" t="s">
        <v>561</v>
      </c>
      <c r="F4361" t="s">
        <v>561</v>
      </c>
      <c r="G4361" t="s">
        <v>6932</v>
      </c>
      <c r="H4361">
        <v>5</v>
      </c>
      <c r="I4361">
        <f>VLOOKUP(B4361,BRAND!B:D,3,FALSE)</f>
        <v>0</v>
      </c>
      <c r="J4361">
        <f t="shared" si="45"/>
        <v>3</v>
      </c>
      <c r="K4361" t="s">
        <v>821</v>
      </c>
      <c r="L4361">
        <v>0</v>
      </c>
      <c r="M4361">
        <v>1</v>
      </c>
    </row>
    <row r="4362" spans="1:13">
      <c r="A4362" t="s">
        <v>2569</v>
      </c>
      <c r="B4362" t="s">
        <v>420</v>
      </c>
      <c r="C4362" s="34" t="s">
        <v>534</v>
      </c>
      <c r="F4362" t="s">
        <v>534</v>
      </c>
      <c r="H4362">
        <v>5</v>
      </c>
      <c r="I4362">
        <f>VLOOKUP(B4362,BRAND!B:D,3,FALSE)</f>
        <v>3</v>
      </c>
      <c r="J4362">
        <v>6</v>
      </c>
      <c r="K4362" t="s">
        <v>821</v>
      </c>
      <c r="M4362">
        <v>1</v>
      </c>
    </row>
    <row r="4363" spans="1:13">
      <c r="A4363" t="s">
        <v>8498</v>
      </c>
      <c r="B4363" t="s">
        <v>420</v>
      </c>
      <c r="C4363" s="34" t="s">
        <v>8499</v>
      </c>
      <c r="F4363" t="s">
        <v>8499</v>
      </c>
      <c r="G4363" t="s">
        <v>6932</v>
      </c>
      <c r="H4363">
        <v>5</v>
      </c>
      <c r="I4363">
        <f>VLOOKUP(B4363,BRAND!B:D,3,FALSE)</f>
        <v>3</v>
      </c>
      <c r="J4363">
        <v>6</v>
      </c>
      <c r="M4363">
        <v>1</v>
      </c>
    </row>
    <row r="4364" spans="1:13">
      <c r="A4364" t="s">
        <v>8500</v>
      </c>
      <c r="B4364" t="s">
        <v>420</v>
      </c>
      <c r="C4364" s="34" t="s">
        <v>842</v>
      </c>
      <c r="F4364" t="s">
        <v>842</v>
      </c>
      <c r="G4364" t="s">
        <v>6932</v>
      </c>
      <c r="H4364">
        <v>5</v>
      </c>
      <c r="I4364">
        <f>VLOOKUP(B4364,BRAND!B:D,3,FALSE)</f>
        <v>3</v>
      </c>
      <c r="J4364">
        <v>5</v>
      </c>
      <c r="M4364">
        <v>1</v>
      </c>
    </row>
    <row r="4365" spans="1:13">
      <c r="A4365" t="s">
        <v>8496</v>
      </c>
      <c r="B4365" t="s">
        <v>420</v>
      </c>
      <c r="C4365" s="34" t="s">
        <v>8497</v>
      </c>
      <c r="F4365" t="s">
        <v>8497</v>
      </c>
      <c r="G4365" t="s">
        <v>6932</v>
      </c>
      <c r="H4365">
        <v>5</v>
      </c>
      <c r="I4365">
        <f>VLOOKUP(B4365,BRAND!B:D,3,FALSE)</f>
        <v>3</v>
      </c>
      <c r="J4365">
        <v>4</v>
      </c>
      <c r="M4365">
        <v>1</v>
      </c>
    </row>
    <row r="4366" spans="1:13">
      <c r="A4366" t="s">
        <v>2654</v>
      </c>
      <c r="B4366" t="s">
        <v>420</v>
      </c>
      <c r="C4366" s="34" t="s">
        <v>1438</v>
      </c>
      <c r="F4366" t="s">
        <v>1438</v>
      </c>
      <c r="H4366">
        <v>15</v>
      </c>
      <c r="I4366">
        <f>VLOOKUP(B4366,BRAND!B:D,3,FALSE)</f>
        <v>3</v>
      </c>
      <c r="J4366">
        <v>4</v>
      </c>
      <c r="K4366" t="s">
        <v>821</v>
      </c>
      <c r="M4366">
        <v>1</v>
      </c>
    </row>
    <row r="4367" spans="1:13">
      <c r="A4367" t="s">
        <v>10783</v>
      </c>
      <c r="B4367" t="s">
        <v>10784</v>
      </c>
      <c r="C4367" s="34" t="s">
        <v>1438</v>
      </c>
      <c r="F4367" t="s">
        <v>1438</v>
      </c>
      <c r="G4367" t="s">
        <v>801</v>
      </c>
      <c r="H4367">
        <v>5</v>
      </c>
    </row>
    <row r="4368" spans="1:13">
      <c r="A4368" t="s">
        <v>4298</v>
      </c>
      <c r="B4368" t="s">
        <v>1889</v>
      </c>
      <c r="C4368" s="34" t="s">
        <v>534</v>
      </c>
      <c r="F4368" t="s">
        <v>534</v>
      </c>
      <c r="H4368">
        <v>5</v>
      </c>
      <c r="I4368">
        <f>VLOOKUP(B4368,BRAND!B:D,3,FALSE)</f>
        <v>5</v>
      </c>
      <c r="J4368">
        <v>6</v>
      </c>
      <c r="K4368" t="s">
        <v>821</v>
      </c>
      <c r="L4368">
        <v>0</v>
      </c>
      <c r="M4368">
        <v>0</v>
      </c>
    </row>
    <row r="4369" spans="1:13">
      <c r="A4369" t="s">
        <v>4341</v>
      </c>
      <c r="B4369" t="s">
        <v>1796</v>
      </c>
      <c r="C4369" s="34" t="s">
        <v>996</v>
      </c>
      <c r="F4369" t="s">
        <v>996</v>
      </c>
      <c r="H4369">
        <v>5</v>
      </c>
      <c r="I4369">
        <f>VLOOKUP(B4369,BRAND!B:D,3,FALSE)</f>
        <v>3</v>
      </c>
      <c r="J4369">
        <v>6</v>
      </c>
      <c r="K4369" t="s">
        <v>821</v>
      </c>
      <c r="L4369">
        <v>0</v>
      </c>
      <c r="M4369">
        <v>0</v>
      </c>
    </row>
    <row r="4370" spans="1:13">
      <c r="A4370" t="s">
        <v>4341</v>
      </c>
      <c r="B4370" t="s">
        <v>1796</v>
      </c>
      <c r="C4370" s="34" t="s">
        <v>996</v>
      </c>
      <c r="F4370" t="s">
        <v>996</v>
      </c>
      <c r="H4370">
        <v>5</v>
      </c>
      <c r="I4370">
        <f>VLOOKUP(B4370,BRAND!B:D,3,FALSE)</f>
        <v>3</v>
      </c>
      <c r="J4370">
        <v>6</v>
      </c>
      <c r="K4370" t="s">
        <v>821</v>
      </c>
      <c r="L4370">
        <v>0</v>
      </c>
      <c r="M4370">
        <v>0</v>
      </c>
    </row>
    <row r="4371" spans="1:13">
      <c r="A4371" t="s">
        <v>3719</v>
      </c>
      <c r="B4371" t="s">
        <v>1796</v>
      </c>
      <c r="C4371" s="34" t="s">
        <v>536</v>
      </c>
      <c r="F4371" t="s">
        <v>536</v>
      </c>
      <c r="H4371">
        <v>5</v>
      </c>
      <c r="I4371">
        <f>VLOOKUP(B4371,BRAND!B:D,3,FALSE)</f>
        <v>3</v>
      </c>
      <c r="J4371">
        <v>5</v>
      </c>
      <c r="K4371" t="s">
        <v>821</v>
      </c>
      <c r="L4371">
        <v>0</v>
      </c>
      <c r="M4371">
        <v>0</v>
      </c>
    </row>
    <row r="4372" spans="1:13">
      <c r="A4372" t="s">
        <v>2687</v>
      </c>
      <c r="B4372" t="s">
        <v>1796</v>
      </c>
      <c r="C4372" s="34" t="s">
        <v>1438</v>
      </c>
      <c r="F4372" t="s">
        <v>1438</v>
      </c>
      <c r="H4372">
        <v>15</v>
      </c>
      <c r="I4372">
        <f>VLOOKUP(B4372,BRAND!B:D,3,FALSE)</f>
        <v>3</v>
      </c>
      <c r="J4372">
        <v>4</v>
      </c>
      <c r="K4372" t="s">
        <v>821</v>
      </c>
      <c r="L4372">
        <v>0</v>
      </c>
      <c r="M4372">
        <v>0</v>
      </c>
    </row>
    <row r="4373" spans="1:13">
      <c r="A4373" t="s">
        <v>2698</v>
      </c>
      <c r="B4373" t="s">
        <v>421</v>
      </c>
      <c r="C4373" s="34" t="s">
        <v>1438</v>
      </c>
      <c r="F4373" t="s">
        <v>1438</v>
      </c>
      <c r="H4373">
        <v>15</v>
      </c>
      <c r="I4373">
        <f>VLOOKUP(B4373,BRAND!B:D,3,FALSE)</f>
        <v>3</v>
      </c>
      <c r="J4373">
        <v>4</v>
      </c>
      <c r="K4373" t="s">
        <v>821</v>
      </c>
      <c r="M4373">
        <v>1</v>
      </c>
    </row>
    <row r="4374" spans="1:13">
      <c r="A4374" t="s">
        <v>7097</v>
      </c>
      <c r="B4374" t="s">
        <v>6625</v>
      </c>
      <c r="C4374" s="34" t="s">
        <v>1438</v>
      </c>
      <c r="F4374" t="s">
        <v>1438</v>
      </c>
      <c r="H4374">
        <v>5</v>
      </c>
      <c r="I4374">
        <f>VLOOKUP(B4374,BRAND!B:D,3,FALSE)</f>
        <v>5</v>
      </c>
      <c r="J4374">
        <v>4</v>
      </c>
      <c r="M4374">
        <v>1</v>
      </c>
    </row>
    <row r="4375" spans="1:13">
      <c r="A4375" t="s">
        <v>7097</v>
      </c>
      <c r="B4375" t="s">
        <v>6625</v>
      </c>
      <c r="C4375" s="34" t="s">
        <v>1438</v>
      </c>
      <c r="F4375" t="s">
        <v>1438</v>
      </c>
      <c r="H4375">
        <v>5</v>
      </c>
      <c r="I4375">
        <f>VLOOKUP(B4375,BRAND!B:D,3,FALSE)</f>
        <v>5</v>
      </c>
      <c r="J4375">
        <v>4</v>
      </c>
      <c r="M4375">
        <v>1</v>
      </c>
    </row>
    <row r="4376" spans="1:13">
      <c r="A4376" t="s">
        <v>11798</v>
      </c>
      <c r="B4376" t="s">
        <v>473</v>
      </c>
      <c r="C4376" s="34" t="s">
        <v>11992</v>
      </c>
      <c r="F4376" t="s">
        <v>11218</v>
      </c>
      <c r="G4376" t="s">
        <v>6932</v>
      </c>
      <c r="H4376">
        <v>5</v>
      </c>
    </row>
    <row r="4377" spans="1:13">
      <c r="A4377" t="s">
        <v>11799</v>
      </c>
      <c r="B4377" t="s">
        <v>473</v>
      </c>
      <c r="C4377" s="34" t="s">
        <v>11219</v>
      </c>
      <c r="F4377" t="s">
        <v>11219</v>
      </c>
      <c r="G4377" t="s">
        <v>6932</v>
      </c>
      <c r="H4377">
        <v>5</v>
      </c>
    </row>
    <row r="4378" spans="1:13">
      <c r="A4378" t="s">
        <v>11800</v>
      </c>
      <c r="B4378" t="s">
        <v>473</v>
      </c>
      <c r="C4378" s="34" t="s">
        <v>7769</v>
      </c>
      <c r="F4378" t="s">
        <v>7769</v>
      </c>
      <c r="G4378" t="s">
        <v>6932</v>
      </c>
      <c r="H4378">
        <v>5</v>
      </c>
    </row>
    <row r="4379" spans="1:13">
      <c r="A4379" t="s">
        <v>11801</v>
      </c>
      <c r="B4379" t="s">
        <v>473</v>
      </c>
      <c r="C4379" s="34" t="s">
        <v>10777</v>
      </c>
      <c r="F4379" t="s">
        <v>11220</v>
      </c>
      <c r="G4379" t="s">
        <v>6932</v>
      </c>
      <c r="H4379">
        <v>5</v>
      </c>
    </row>
    <row r="4380" spans="1:13">
      <c r="A4380" t="s">
        <v>11802</v>
      </c>
      <c r="B4380" t="s">
        <v>473</v>
      </c>
      <c r="C4380" s="34" t="s">
        <v>13652</v>
      </c>
      <c r="F4380" t="s">
        <v>11221</v>
      </c>
      <c r="G4380" t="s">
        <v>6932</v>
      </c>
      <c r="H4380">
        <v>5</v>
      </c>
    </row>
    <row r="4381" spans="1:13">
      <c r="A4381" t="s">
        <v>11803</v>
      </c>
      <c r="B4381" t="s">
        <v>473</v>
      </c>
      <c r="C4381" s="34" t="s">
        <v>1446</v>
      </c>
      <c r="F4381" t="s">
        <v>11222</v>
      </c>
      <c r="G4381" t="s">
        <v>6932</v>
      </c>
      <c r="H4381">
        <v>5</v>
      </c>
    </row>
    <row r="4382" spans="1:13">
      <c r="A4382" t="s">
        <v>11804</v>
      </c>
      <c r="B4382" t="s">
        <v>473</v>
      </c>
      <c r="C4382" s="34" t="s">
        <v>11223</v>
      </c>
      <c r="F4382" t="s">
        <v>11223</v>
      </c>
      <c r="G4382" t="s">
        <v>6932</v>
      </c>
      <c r="H4382">
        <v>5</v>
      </c>
    </row>
    <row r="4383" spans="1:13">
      <c r="A4383" t="s">
        <v>11805</v>
      </c>
      <c r="B4383" t="s">
        <v>473</v>
      </c>
      <c r="C4383" s="34" t="s">
        <v>13649</v>
      </c>
      <c r="F4383" t="s">
        <v>11224</v>
      </c>
      <c r="G4383" t="s">
        <v>6932</v>
      </c>
      <c r="H4383">
        <v>5</v>
      </c>
    </row>
    <row r="4384" spans="1:13">
      <c r="A4384" t="s">
        <v>11806</v>
      </c>
      <c r="B4384" t="s">
        <v>473</v>
      </c>
      <c r="C4384" s="34" t="s">
        <v>11225</v>
      </c>
      <c r="F4384" t="s">
        <v>11225</v>
      </c>
      <c r="G4384" t="s">
        <v>6932</v>
      </c>
      <c r="H4384">
        <v>5</v>
      </c>
    </row>
    <row r="4385" spans="1:8">
      <c r="A4385" t="s">
        <v>11807</v>
      </c>
      <c r="B4385" t="s">
        <v>473</v>
      </c>
      <c r="C4385" s="34" t="s">
        <v>13650</v>
      </c>
      <c r="F4385" t="s">
        <v>11226</v>
      </c>
      <c r="G4385" t="s">
        <v>6932</v>
      </c>
      <c r="H4385">
        <v>5</v>
      </c>
    </row>
    <row r="4386" spans="1:8">
      <c r="A4386" t="s">
        <v>11808</v>
      </c>
      <c r="B4386" t="s">
        <v>473</v>
      </c>
      <c r="C4386" s="34" t="s">
        <v>11227</v>
      </c>
      <c r="F4386" t="s">
        <v>11227</v>
      </c>
      <c r="G4386" t="s">
        <v>6932</v>
      </c>
      <c r="H4386">
        <v>5</v>
      </c>
    </row>
    <row r="4387" spans="1:8">
      <c r="A4387" t="s">
        <v>11809</v>
      </c>
      <c r="B4387" t="s">
        <v>473</v>
      </c>
      <c r="C4387" s="34" t="s">
        <v>13651</v>
      </c>
      <c r="F4387" t="s">
        <v>11228</v>
      </c>
      <c r="G4387" t="s">
        <v>6932</v>
      </c>
      <c r="H4387">
        <v>5</v>
      </c>
    </row>
    <row r="4388" spans="1:8">
      <c r="A4388" t="s">
        <v>11810</v>
      </c>
      <c r="B4388" t="s">
        <v>473</v>
      </c>
      <c r="C4388" s="34" t="s">
        <v>11229</v>
      </c>
      <c r="F4388" t="s">
        <v>11229</v>
      </c>
      <c r="G4388" t="s">
        <v>6932</v>
      </c>
      <c r="H4388">
        <v>5</v>
      </c>
    </row>
    <row r="4389" spans="1:8">
      <c r="A4389" t="s">
        <v>11811</v>
      </c>
      <c r="B4389" t="s">
        <v>473</v>
      </c>
      <c r="C4389" s="34" t="s">
        <v>11230</v>
      </c>
      <c r="F4389" t="s">
        <v>11230</v>
      </c>
      <c r="G4389" t="s">
        <v>6932</v>
      </c>
      <c r="H4389">
        <v>5</v>
      </c>
    </row>
    <row r="4390" spans="1:8">
      <c r="A4390" t="s">
        <v>11812</v>
      </c>
      <c r="B4390" t="s">
        <v>473</v>
      </c>
      <c r="C4390" s="34" t="s">
        <v>11231</v>
      </c>
      <c r="F4390" t="s">
        <v>11231</v>
      </c>
      <c r="G4390" t="s">
        <v>6932</v>
      </c>
      <c r="H4390">
        <v>5</v>
      </c>
    </row>
    <row r="4391" spans="1:8">
      <c r="A4391" t="s">
        <v>11813</v>
      </c>
      <c r="B4391" t="s">
        <v>473</v>
      </c>
      <c r="C4391" s="34" t="s">
        <v>11232</v>
      </c>
      <c r="F4391" t="s">
        <v>11232</v>
      </c>
      <c r="G4391" t="s">
        <v>6932</v>
      </c>
      <c r="H4391">
        <v>5</v>
      </c>
    </row>
    <row r="4392" spans="1:8">
      <c r="A4392" t="s">
        <v>11814</v>
      </c>
      <c r="B4392" t="s">
        <v>473</v>
      </c>
      <c r="C4392" s="34" t="s">
        <v>11233</v>
      </c>
      <c r="F4392" t="s">
        <v>11233</v>
      </c>
      <c r="G4392" t="s">
        <v>6932</v>
      </c>
      <c r="H4392">
        <v>5</v>
      </c>
    </row>
    <row r="4393" spans="1:8">
      <c r="A4393" t="s">
        <v>11815</v>
      </c>
      <c r="B4393" t="s">
        <v>473</v>
      </c>
      <c r="C4393" s="34" t="s">
        <v>11234</v>
      </c>
      <c r="F4393" t="s">
        <v>11234</v>
      </c>
      <c r="G4393" t="s">
        <v>6932</v>
      </c>
      <c r="H4393">
        <v>5</v>
      </c>
    </row>
    <row r="4394" spans="1:8">
      <c r="A4394" t="s">
        <v>11816</v>
      </c>
      <c r="B4394" t="s">
        <v>473</v>
      </c>
      <c r="C4394" s="34" t="s">
        <v>13653</v>
      </c>
      <c r="F4394" t="s">
        <v>10689</v>
      </c>
      <c r="G4394" t="s">
        <v>801</v>
      </c>
      <c r="H4394">
        <v>5</v>
      </c>
    </row>
    <row r="4395" spans="1:8">
      <c r="A4395" t="s">
        <v>11817</v>
      </c>
      <c r="B4395" t="s">
        <v>473</v>
      </c>
      <c r="C4395" s="34" t="s">
        <v>11235</v>
      </c>
      <c r="F4395" t="s">
        <v>11235</v>
      </c>
      <c r="G4395" t="s">
        <v>6932</v>
      </c>
      <c r="H4395">
        <v>5</v>
      </c>
    </row>
    <row r="4396" spans="1:8">
      <c r="A4396" t="s">
        <v>11818</v>
      </c>
      <c r="B4396" t="s">
        <v>473</v>
      </c>
      <c r="C4396" s="34" t="s">
        <v>2000</v>
      </c>
      <c r="F4396" t="s">
        <v>11236</v>
      </c>
      <c r="G4396" t="s">
        <v>6932</v>
      </c>
      <c r="H4396">
        <v>5</v>
      </c>
    </row>
    <row r="4397" spans="1:8">
      <c r="A4397" t="s">
        <v>11819</v>
      </c>
      <c r="B4397" t="s">
        <v>473</v>
      </c>
      <c r="C4397" s="34" t="s">
        <v>11237</v>
      </c>
      <c r="F4397" t="s">
        <v>11237</v>
      </c>
      <c r="G4397" t="s">
        <v>6932</v>
      </c>
      <c r="H4397">
        <v>5</v>
      </c>
    </row>
    <row r="4398" spans="1:8">
      <c r="A4398" t="s">
        <v>11820</v>
      </c>
      <c r="B4398" t="s">
        <v>473</v>
      </c>
      <c r="C4398" s="34" t="s">
        <v>536</v>
      </c>
      <c r="F4398" t="s">
        <v>536</v>
      </c>
      <c r="G4398" t="s">
        <v>6932</v>
      </c>
      <c r="H4398">
        <v>5</v>
      </c>
    </row>
    <row r="4399" spans="1:8">
      <c r="A4399" t="s">
        <v>11821</v>
      </c>
      <c r="B4399" t="s">
        <v>473</v>
      </c>
      <c r="C4399" s="34" t="s">
        <v>11238</v>
      </c>
      <c r="F4399" t="s">
        <v>11238</v>
      </c>
      <c r="G4399" t="s">
        <v>6932</v>
      </c>
      <c r="H4399">
        <v>5</v>
      </c>
    </row>
    <row r="4400" spans="1:8">
      <c r="A4400" t="s">
        <v>11822</v>
      </c>
      <c r="B4400" t="s">
        <v>473</v>
      </c>
      <c r="C4400" s="34" t="s">
        <v>11239</v>
      </c>
      <c r="F4400" t="s">
        <v>11239</v>
      </c>
      <c r="G4400" t="s">
        <v>6932</v>
      </c>
      <c r="H4400">
        <v>5</v>
      </c>
    </row>
    <row r="4401" spans="1:13">
      <c r="A4401" t="s">
        <v>8502</v>
      </c>
      <c r="B4401" t="s">
        <v>548</v>
      </c>
      <c r="C4401" s="34" t="s">
        <v>534</v>
      </c>
      <c r="F4401" t="s">
        <v>534</v>
      </c>
      <c r="G4401" t="s">
        <v>6932</v>
      </c>
      <c r="H4401">
        <v>5</v>
      </c>
      <c r="I4401">
        <f>VLOOKUP(B4401,BRAND!B:D,3,FALSE)</f>
        <v>3</v>
      </c>
      <c r="J4401">
        <v>6</v>
      </c>
      <c r="M4401">
        <v>1</v>
      </c>
    </row>
    <row r="4402" spans="1:13">
      <c r="A4402" t="s">
        <v>8501</v>
      </c>
      <c r="B4402" t="s">
        <v>548</v>
      </c>
      <c r="C4402" s="34" t="s">
        <v>536</v>
      </c>
      <c r="F4402" t="s">
        <v>536</v>
      </c>
      <c r="G4402" t="s">
        <v>6932</v>
      </c>
      <c r="H4402">
        <v>5</v>
      </c>
      <c r="I4402">
        <f>VLOOKUP(B4402,BRAND!B:D,3,FALSE)</f>
        <v>3</v>
      </c>
      <c r="J4402">
        <v>5</v>
      </c>
      <c r="M4402">
        <v>1</v>
      </c>
    </row>
    <row r="4403" spans="1:13">
      <c r="A4403" t="s">
        <v>8505</v>
      </c>
      <c r="B4403" t="s">
        <v>8504</v>
      </c>
      <c r="C4403" s="34" t="s">
        <v>7890</v>
      </c>
      <c r="F4403" t="s">
        <v>7890</v>
      </c>
      <c r="G4403" t="s">
        <v>6932</v>
      </c>
      <c r="H4403">
        <v>5</v>
      </c>
      <c r="I4403">
        <f>VLOOKUP(B4403,BRAND!B:D,3,FALSE)</f>
        <v>5.5</v>
      </c>
      <c r="J4403">
        <v>9</v>
      </c>
      <c r="M4403">
        <v>1</v>
      </c>
    </row>
    <row r="4404" spans="1:13">
      <c r="A4404" t="s">
        <v>8503</v>
      </c>
      <c r="B4404" t="s">
        <v>8504</v>
      </c>
      <c r="C4404" s="34" t="s">
        <v>536</v>
      </c>
      <c r="F4404" t="s">
        <v>536</v>
      </c>
      <c r="G4404" t="s">
        <v>6932</v>
      </c>
      <c r="H4404">
        <v>5</v>
      </c>
      <c r="I4404">
        <f>VLOOKUP(B4404,BRAND!B:D,3,FALSE)</f>
        <v>5.5</v>
      </c>
      <c r="J4404">
        <v>5</v>
      </c>
      <c r="M4404">
        <v>1</v>
      </c>
    </row>
    <row r="4405" spans="1:13">
      <c r="A4405" t="s">
        <v>4046</v>
      </c>
      <c r="B4405" t="s">
        <v>816</v>
      </c>
      <c r="C4405" s="34" t="s">
        <v>534</v>
      </c>
      <c r="F4405" t="s">
        <v>534</v>
      </c>
      <c r="H4405">
        <v>5</v>
      </c>
      <c r="I4405">
        <f>VLOOKUP(B4405,BRAND!B:D,3,FALSE)</f>
        <v>3</v>
      </c>
      <c r="J4405">
        <v>6</v>
      </c>
      <c r="K4405" t="s">
        <v>821</v>
      </c>
      <c r="L4405">
        <v>0</v>
      </c>
      <c r="M4405">
        <v>0</v>
      </c>
    </row>
    <row r="4406" spans="1:13">
      <c r="A4406" t="s">
        <v>2455</v>
      </c>
      <c r="B4406" t="s">
        <v>816</v>
      </c>
      <c r="C4406" s="34" t="s">
        <v>1438</v>
      </c>
      <c r="F4406" t="s">
        <v>1438</v>
      </c>
      <c r="H4406">
        <v>15</v>
      </c>
      <c r="I4406">
        <f>VLOOKUP(B4406,BRAND!B:D,3,FALSE)</f>
        <v>3</v>
      </c>
      <c r="J4406">
        <v>4</v>
      </c>
      <c r="K4406" t="s">
        <v>821</v>
      </c>
      <c r="L4406">
        <v>0</v>
      </c>
      <c r="M4406">
        <v>0</v>
      </c>
    </row>
    <row r="4407" spans="1:13">
      <c r="A4407" t="s">
        <v>8506</v>
      </c>
      <c r="B4407" t="s">
        <v>8507</v>
      </c>
      <c r="C4407" s="34" t="s">
        <v>842</v>
      </c>
      <c r="F4407" t="s">
        <v>842</v>
      </c>
      <c r="G4407" t="s">
        <v>6932</v>
      </c>
      <c r="H4407">
        <v>5</v>
      </c>
      <c r="I4407">
        <f>VLOOKUP(B4407,BRAND!B:D,3,FALSE)</f>
        <v>5.5</v>
      </c>
      <c r="J4407">
        <v>5</v>
      </c>
      <c r="M4407">
        <v>1</v>
      </c>
    </row>
    <row r="4408" spans="1:13">
      <c r="A4408" t="s">
        <v>9719</v>
      </c>
      <c r="B4408" t="s">
        <v>6611</v>
      </c>
      <c r="C4408" s="34" t="s">
        <v>6441</v>
      </c>
      <c r="F4408" t="s">
        <v>561</v>
      </c>
      <c r="H4408">
        <v>5</v>
      </c>
      <c r="I4408">
        <f>VLOOKUP(B4408,BRAND!B:D,3,FALSE)</f>
        <v>5</v>
      </c>
      <c r="J4408">
        <v>3</v>
      </c>
      <c r="M4408">
        <v>1</v>
      </c>
    </row>
    <row r="4409" spans="1:13">
      <c r="A4409" t="s">
        <v>8508</v>
      </c>
      <c r="B4409" t="s">
        <v>8509</v>
      </c>
      <c r="C4409" s="34" t="s">
        <v>1438</v>
      </c>
      <c r="F4409" t="s">
        <v>1438</v>
      </c>
      <c r="G4409" t="s">
        <v>6932</v>
      </c>
      <c r="H4409">
        <v>5</v>
      </c>
      <c r="I4409">
        <f>VLOOKUP(B4409,BRAND!B:D,3,FALSE)</f>
        <v>5.5</v>
      </c>
      <c r="J4409">
        <v>4</v>
      </c>
      <c r="M4409">
        <v>1</v>
      </c>
    </row>
    <row r="4410" spans="1:13">
      <c r="A4410" t="s">
        <v>2797</v>
      </c>
      <c r="B4410" t="s">
        <v>1167</v>
      </c>
      <c r="C4410" s="34" t="s">
        <v>1438</v>
      </c>
      <c r="F4410" t="s">
        <v>1438</v>
      </c>
      <c r="H4410">
        <v>15</v>
      </c>
      <c r="I4410">
        <f>VLOOKUP(B4410,BRAND!B:D,3,FALSE)</f>
        <v>3</v>
      </c>
      <c r="J4410">
        <v>4</v>
      </c>
      <c r="K4410" t="s">
        <v>821</v>
      </c>
      <c r="L4410">
        <v>0</v>
      </c>
      <c r="M4410">
        <v>0</v>
      </c>
    </row>
    <row r="4411" spans="1:13">
      <c r="A4411" t="s">
        <v>3327</v>
      </c>
      <c r="B4411" t="s">
        <v>96</v>
      </c>
      <c r="C4411" s="34" t="s">
        <v>1438</v>
      </c>
      <c r="F4411" t="s">
        <v>1438</v>
      </c>
      <c r="H4411">
        <v>15</v>
      </c>
      <c r="I4411">
        <f>VLOOKUP(B4411,BRAND!B:D,3,FALSE)</f>
        <v>3</v>
      </c>
      <c r="J4411">
        <v>4</v>
      </c>
      <c r="K4411" t="s">
        <v>821</v>
      </c>
      <c r="L4411">
        <v>0</v>
      </c>
      <c r="M4411">
        <v>0</v>
      </c>
    </row>
    <row r="4412" spans="1:13">
      <c r="A4412" t="s">
        <v>8510</v>
      </c>
      <c r="B4412" t="s">
        <v>8511</v>
      </c>
      <c r="C4412" s="34" t="s">
        <v>536</v>
      </c>
      <c r="F4412" t="s">
        <v>536</v>
      </c>
      <c r="G4412" t="s">
        <v>6932</v>
      </c>
      <c r="H4412">
        <v>5</v>
      </c>
      <c r="I4412">
        <f>VLOOKUP(B4412,BRAND!B:D,3,FALSE)</f>
        <v>5.5</v>
      </c>
      <c r="J4412">
        <v>5</v>
      </c>
      <c r="M4412">
        <v>1</v>
      </c>
    </row>
    <row r="4413" spans="1:13">
      <c r="A4413" t="s">
        <v>5513</v>
      </c>
      <c r="B4413" t="s">
        <v>5505</v>
      </c>
      <c r="C4413" s="34" t="s">
        <v>5506</v>
      </c>
      <c r="F4413" t="s">
        <v>5506</v>
      </c>
      <c r="G4413" t="s">
        <v>5512</v>
      </c>
      <c r="H4413">
        <v>15</v>
      </c>
      <c r="I4413">
        <f>VLOOKUP(B4413,BRAND!B:D,3,FALSE)</f>
        <v>5.5</v>
      </c>
      <c r="J4413">
        <f>LEN(F4413)</f>
        <v>12</v>
      </c>
      <c r="K4413" t="e">
        <v>#N/A</v>
      </c>
      <c r="M4413">
        <v>1</v>
      </c>
    </row>
    <row r="4414" spans="1:13">
      <c r="A4414" t="s">
        <v>1520</v>
      </c>
      <c r="B4414" t="s">
        <v>5505</v>
      </c>
      <c r="C4414" s="34" t="s">
        <v>995</v>
      </c>
      <c r="F4414" t="s">
        <v>995</v>
      </c>
      <c r="G4414" t="s">
        <v>5512</v>
      </c>
      <c r="H4414">
        <v>15</v>
      </c>
      <c r="I4414">
        <f>VLOOKUP(B4414,BRAND!B:D,3,FALSE)</f>
        <v>5.5</v>
      </c>
      <c r="J4414">
        <v>6</v>
      </c>
      <c r="K4414" t="e">
        <v>#N/A</v>
      </c>
      <c r="M4414">
        <v>1</v>
      </c>
    </row>
    <row r="4415" spans="1:13">
      <c r="A4415" t="s">
        <v>1648</v>
      </c>
      <c r="B4415" t="s">
        <v>5505</v>
      </c>
      <c r="C4415" s="34" t="s">
        <v>1513</v>
      </c>
      <c r="F4415" t="s">
        <v>1513</v>
      </c>
      <c r="G4415" t="s">
        <v>5512</v>
      </c>
      <c r="H4415">
        <v>15</v>
      </c>
      <c r="I4415">
        <f>VLOOKUP(B4415,BRAND!B:D,3,FALSE)</f>
        <v>5.5</v>
      </c>
      <c r="J4415">
        <v>5</v>
      </c>
      <c r="K4415" t="e">
        <v>#N/A</v>
      </c>
      <c r="M4415">
        <v>1</v>
      </c>
    </row>
    <row r="4416" spans="1:13">
      <c r="A4416" t="s">
        <v>1701</v>
      </c>
      <c r="B4416" t="s">
        <v>1456</v>
      </c>
      <c r="C4416" s="34" t="s">
        <v>1470</v>
      </c>
      <c r="F4416" t="s">
        <v>1470</v>
      </c>
      <c r="H4416">
        <v>4</v>
      </c>
      <c r="I4416">
        <f>VLOOKUP(B4416,BRAND!B:D,3,FALSE)</f>
        <v>9</v>
      </c>
      <c r="J4416">
        <f t="shared" ref="J4416:J4437" si="46">LEN(F4416)</f>
        <v>12</v>
      </c>
      <c r="K4416" t="s">
        <v>822</v>
      </c>
      <c r="M4416">
        <v>1</v>
      </c>
    </row>
    <row r="4417" spans="1:13">
      <c r="A4417" t="s">
        <v>1656</v>
      </c>
      <c r="B4417" t="s">
        <v>1456</v>
      </c>
      <c r="C4417" s="34" t="s">
        <v>1467</v>
      </c>
      <c r="F4417" t="s">
        <v>1467</v>
      </c>
      <c r="H4417">
        <v>4</v>
      </c>
      <c r="I4417">
        <f>VLOOKUP(B4417,BRAND!B:D,3,FALSE)</f>
        <v>9</v>
      </c>
      <c r="J4417">
        <f t="shared" si="46"/>
        <v>12</v>
      </c>
      <c r="K4417" t="s">
        <v>822</v>
      </c>
      <c r="M4417">
        <v>1</v>
      </c>
    </row>
    <row r="4418" spans="1:13">
      <c r="A4418" t="s">
        <v>10632</v>
      </c>
      <c r="B4418" t="s">
        <v>1456</v>
      </c>
      <c r="C4418" s="34" t="s">
        <v>10661</v>
      </c>
      <c r="D4418" t="s">
        <v>6858</v>
      </c>
      <c r="F4418" t="s">
        <v>10435</v>
      </c>
      <c r="G4418" t="s">
        <v>5512</v>
      </c>
      <c r="H4418">
        <v>5</v>
      </c>
      <c r="I4418">
        <f>VLOOKUP(B4418,BRAND!B:D,3,FALSE)</f>
        <v>9</v>
      </c>
      <c r="J4418">
        <f t="shared" si="46"/>
        <v>20</v>
      </c>
      <c r="L4418">
        <v>0</v>
      </c>
    </row>
    <row r="4419" spans="1:13">
      <c r="A4419" t="s">
        <v>10631</v>
      </c>
      <c r="B4419" t="s">
        <v>1456</v>
      </c>
      <c r="C4419" s="34" t="s">
        <v>10656</v>
      </c>
      <c r="D4419" t="s">
        <v>764</v>
      </c>
      <c r="F4419" t="s">
        <v>10428</v>
      </c>
      <c r="G4419" t="s">
        <v>5512</v>
      </c>
      <c r="H4419">
        <v>5</v>
      </c>
      <c r="I4419">
        <f>VLOOKUP(B4419,BRAND!B:D,3,FALSE)</f>
        <v>9</v>
      </c>
      <c r="J4419">
        <f t="shared" si="46"/>
        <v>18</v>
      </c>
      <c r="L4419">
        <v>0</v>
      </c>
    </row>
    <row r="4420" spans="1:13">
      <c r="A4420" t="s">
        <v>10633</v>
      </c>
      <c r="B4420" t="s">
        <v>1456</v>
      </c>
      <c r="C4420" s="34" t="s">
        <v>10662</v>
      </c>
      <c r="D4420" t="s">
        <v>995</v>
      </c>
      <c r="F4420" t="s">
        <v>10436</v>
      </c>
      <c r="G4420" t="s">
        <v>5512</v>
      </c>
      <c r="H4420">
        <v>5</v>
      </c>
      <c r="I4420">
        <f>VLOOKUP(B4420,BRAND!B:D,3,FALSE)</f>
        <v>9</v>
      </c>
      <c r="J4420">
        <f t="shared" si="46"/>
        <v>17</v>
      </c>
      <c r="L4420">
        <v>0</v>
      </c>
    </row>
    <row r="4421" spans="1:13">
      <c r="A4421" t="s">
        <v>10634</v>
      </c>
      <c r="B4421" t="s">
        <v>1456</v>
      </c>
      <c r="C4421" s="34" t="s">
        <v>10663</v>
      </c>
      <c r="D4421" t="s">
        <v>995</v>
      </c>
      <c r="F4421" t="s">
        <v>10437</v>
      </c>
      <c r="G4421" t="s">
        <v>5512</v>
      </c>
      <c r="H4421">
        <v>5</v>
      </c>
      <c r="I4421">
        <f>VLOOKUP(B4421,BRAND!B:D,3,FALSE)</f>
        <v>9</v>
      </c>
      <c r="J4421">
        <f t="shared" si="46"/>
        <v>13</v>
      </c>
      <c r="L4421">
        <v>0</v>
      </c>
    </row>
    <row r="4422" spans="1:13">
      <c r="A4422" t="s">
        <v>10636</v>
      </c>
      <c r="B4422" t="s">
        <v>1456</v>
      </c>
      <c r="C4422" s="34" t="s">
        <v>10660</v>
      </c>
      <c r="D4422" t="s">
        <v>995</v>
      </c>
      <c r="F4422" t="s">
        <v>10439</v>
      </c>
      <c r="G4422" t="s">
        <v>5512</v>
      </c>
      <c r="H4422">
        <v>5</v>
      </c>
      <c r="I4422">
        <f>VLOOKUP(B4422,BRAND!B:D,3,FALSE)</f>
        <v>9</v>
      </c>
      <c r="J4422">
        <f t="shared" si="46"/>
        <v>12</v>
      </c>
      <c r="L4422">
        <v>0</v>
      </c>
    </row>
    <row r="4423" spans="1:13">
      <c r="A4423" t="s">
        <v>10618</v>
      </c>
      <c r="B4423" t="s">
        <v>1456</v>
      </c>
      <c r="C4423" s="34" t="s">
        <v>5187</v>
      </c>
      <c r="F4423" t="s">
        <v>5187</v>
      </c>
      <c r="G4423" t="s">
        <v>2000</v>
      </c>
      <c r="H4423">
        <v>5</v>
      </c>
      <c r="I4423">
        <f>VLOOKUP(B4423,BRAND!B:D,3,FALSE)</f>
        <v>9</v>
      </c>
      <c r="J4423">
        <f t="shared" si="46"/>
        <v>12</v>
      </c>
      <c r="L4423">
        <v>0</v>
      </c>
    </row>
    <row r="4424" spans="1:13">
      <c r="A4424" t="s">
        <v>10617</v>
      </c>
      <c r="B4424" t="s">
        <v>1456</v>
      </c>
      <c r="C4424" s="34" t="s">
        <v>5187</v>
      </c>
      <c r="F4424" t="s">
        <v>5187</v>
      </c>
      <c r="G4424" t="s">
        <v>6932</v>
      </c>
      <c r="H4424">
        <v>5</v>
      </c>
      <c r="I4424">
        <f>VLOOKUP(B4424,BRAND!B:D,3,FALSE)</f>
        <v>9</v>
      </c>
      <c r="J4424">
        <f t="shared" si="46"/>
        <v>12</v>
      </c>
      <c r="L4424">
        <v>0</v>
      </c>
    </row>
    <row r="4425" spans="1:13">
      <c r="A4425" t="s">
        <v>10587</v>
      </c>
      <c r="B4425" t="s">
        <v>1456</v>
      </c>
      <c r="C4425" s="34" t="s">
        <v>1470</v>
      </c>
      <c r="F4425" t="s">
        <v>1470</v>
      </c>
      <c r="G4425" t="s">
        <v>6932</v>
      </c>
      <c r="H4425">
        <v>5</v>
      </c>
      <c r="I4425">
        <f>VLOOKUP(B4425,BRAND!B:D,3,FALSE)</f>
        <v>9</v>
      </c>
      <c r="J4425">
        <f t="shared" si="46"/>
        <v>12</v>
      </c>
      <c r="L4425">
        <v>0</v>
      </c>
    </row>
    <row r="4426" spans="1:13">
      <c r="A4426" t="s">
        <v>10582</v>
      </c>
      <c r="B4426" t="s">
        <v>1456</v>
      </c>
      <c r="C4426" s="34" t="s">
        <v>877</v>
      </c>
      <c r="F4426" t="s">
        <v>877</v>
      </c>
      <c r="G4426" t="s">
        <v>6932</v>
      </c>
      <c r="H4426">
        <v>5</v>
      </c>
      <c r="I4426">
        <f>VLOOKUP(B4426,BRAND!B:D,3,FALSE)</f>
        <v>9</v>
      </c>
      <c r="J4426">
        <f t="shared" si="46"/>
        <v>12</v>
      </c>
      <c r="L4426">
        <v>0</v>
      </c>
    </row>
    <row r="4427" spans="1:13">
      <c r="A4427" t="s">
        <v>10635</v>
      </c>
      <c r="B4427" t="s">
        <v>1456</v>
      </c>
      <c r="C4427" s="34" t="s">
        <v>10664</v>
      </c>
      <c r="D4427" t="s">
        <v>6936</v>
      </c>
      <c r="F4427" t="s">
        <v>10438</v>
      </c>
      <c r="G4427" t="s">
        <v>5512</v>
      </c>
      <c r="H4427">
        <v>5</v>
      </c>
      <c r="I4427">
        <f>VLOOKUP(B4427,BRAND!B:D,3,FALSE)</f>
        <v>9</v>
      </c>
      <c r="J4427">
        <f t="shared" si="46"/>
        <v>11</v>
      </c>
      <c r="L4427">
        <v>0</v>
      </c>
    </row>
    <row r="4428" spans="1:13">
      <c r="A4428" t="s">
        <v>10578</v>
      </c>
      <c r="B4428" t="s">
        <v>1456</v>
      </c>
      <c r="C4428" s="34" t="s">
        <v>761</v>
      </c>
      <c r="D4428" t="s">
        <v>10650</v>
      </c>
      <c r="F4428" t="s">
        <v>10423</v>
      </c>
      <c r="G4428" t="s">
        <v>802</v>
      </c>
      <c r="H4428">
        <v>5</v>
      </c>
      <c r="I4428">
        <f>VLOOKUP(B4428,BRAND!B:D,3,FALSE)</f>
        <v>9</v>
      </c>
      <c r="J4428">
        <f t="shared" si="46"/>
        <v>11</v>
      </c>
      <c r="L4428">
        <v>0</v>
      </c>
    </row>
    <row r="4429" spans="1:13">
      <c r="A4429" t="s">
        <v>4792</v>
      </c>
      <c r="B4429" t="s">
        <v>1456</v>
      </c>
      <c r="C4429" s="34" t="s">
        <v>1478</v>
      </c>
      <c r="F4429" t="s">
        <v>1478</v>
      </c>
      <c r="H4429">
        <v>5</v>
      </c>
      <c r="I4429">
        <f>VLOOKUP(B4429,BRAND!B:D,3,FALSE)</f>
        <v>9</v>
      </c>
      <c r="J4429">
        <f t="shared" si="46"/>
        <v>11</v>
      </c>
      <c r="K4429" t="s">
        <v>822</v>
      </c>
      <c r="M4429">
        <v>1</v>
      </c>
    </row>
    <row r="4430" spans="1:13">
      <c r="A4430" t="s">
        <v>10616</v>
      </c>
      <c r="B4430" t="s">
        <v>1456</v>
      </c>
      <c r="C4430" s="34" t="s">
        <v>1481</v>
      </c>
      <c r="F4430" t="s">
        <v>1481</v>
      </c>
      <c r="G4430" t="s">
        <v>6932</v>
      </c>
      <c r="H4430">
        <v>5</v>
      </c>
      <c r="I4430">
        <f>VLOOKUP(B4430,BRAND!B:D,3,FALSE)</f>
        <v>9</v>
      </c>
      <c r="J4430">
        <f t="shared" si="46"/>
        <v>10</v>
      </c>
      <c r="L4430">
        <v>0</v>
      </c>
    </row>
    <row r="4431" spans="1:13">
      <c r="A4431" t="s">
        <v>10588</v>
      </c>
      <c r="B4431" t="s">
        <v>1456</v>
      </c>
      <c r="C4431" s="34" t="s">
        <v>865</v>
      </c>
      <c r="F4431" t="s">
        <v>865</v>
      </c>
      <c r="G4431" t="s">
        <v>6932</v>
      </c>
      <c r="H4431">
        <v>5</v>
      </c>
      <c r="I4431">
        <f>VLOOKUP(B4431,BRAND!B:D,3,FALSE)</f>
        <v>9</v>
      </c>
      <c r="J4431">
        <f t="shared" si="46"/>
        <v>10</v>
      </c>
      <c r="L4431">
        <v>0</v>
      </c>
    </row>
    <row r="4432" spans="1:13">
      <c r="A4432" t="s">
        <v>4233</v>
      </c>
      <c r="B4432" t="s">
        <v>1456</v>
      </c>
      <c r="C4432" s="34" t="s">
        <v>1965</v>
      </c>
      <c r="F4432" t="s">
        <v>1965</v>
      </c>
      <c r="H4432">
        <v>5</v>
      </c>
      <c r="I4432">
        <f>VLOOKUP(B4432,BRAND!B:D,3,FALSE)</f>
        <v>9</v>
      </c>
      <c r="J4432">
        <f t="shared" si="46"/>
        <v>10</v>
      </c>
      <c r="K4432" t="s">
        <v>822</v>
      </c>
      <c r="M4432">
        <v>1</v>
      </c>
    </row>
    <row r="4433" spans="1:13">
      <c r="A4433" t="s">
        <v>1592</v>
      </c>
      <c r="B4433" t="s">
        <v>1456</v>
      </c>
      <c r="C4433" s="34" t="s">
        <v>1481</v>
      </c>
      <c r="F4433" t="s">
        <v>1481</v>
      </c>
      <c r="H4433">
        <v>5</v>
      </c>
      <c r="I4433">
        <f>VLOOKUP(B4433,BRAND!B:D,3,FALSE)</f>
        <v>9</v>
      </c>
      <c r="J4433">
        <f t="shared" si="46"/>
        <v>10</v>
      </c>
      <c r="K4433" t="s">
        <v>822</v>
      </c>
      <c r="M4433">
        <v>1</v>
      </c>
    </row>
    <row r="4434" spans="1:13">
      <c r="A4434" t="s">
        <v>1654</v>
      </c>
      <c r="B4434" t="s">
        <v>1456</v>
      </c>
      <c r="C4434" s="34" t="s">
        <v>994</v>
      </c>
      <c r="F4434" t="s">
        <v>994</v>
      </c>
      <c r="H4434">
        <v>5</v>
      </c>
      <c r="I4434">
        <f>VLOOKUP(B4434,BRAND!B:D,3,FALSE)</f>
        <v>9</v>
      </c>
      <c r="J4434">
        <f t="shared" si="46"/>
        <v>10</v>
      </c>
      <c r="K4434" t="s">
        <v>822</v>
      </c>
      <c r="M4434">
        <v>1</v>
      </c>
    </row>
    <row r="4435" spans="1:13">
      <c r="A4435" t="s">
        <v>10593</v>
      </c>
      <c r="B4435" t="s">
        <v>1456</v>
      </c>
      <c r="C4435" s="34" t="s">
        <v>1483</v>
      </c>
      <c r="F4435" t="s">
        <v>1483</v>
      </c>
      <c r="G4435" t="s">
        <v>2000</v>
      </c>
      <c r="H4435">
        <v>5</v>
      </c>
      <c r="I4435">
        <f>VLOOKUP(B4435,BRAND!B:D,3,FALSE)</f>
        <v>9</v>
      </c>
      <c r="J4435">
        <f t="shared" si="46"/>
        <v>9</v>
      </c>
      <c r="L4435">
        <v>0</v>
      </c>
    </row>
    <row r="4436" spans="1:13">
      <c r="A4436" t="s">
        <v>10592</v>
      </c>
      <c r="B4436" t="s">
        <v>1456</v>
      </c>
      <c r="C4436" s="34" t="s">
        <v>1483</v>
      </c>
      <c r="F4436" t="s">
        <v>1483</v>
      </c>
      <c r="G4436" t="s">
        <v>6932</v>
      </c>
      <c r="H4436">
        <v>5</v>
      </c>
      <c r="I4436">
        <f>VLOOKUP(B4436,BRAND!B:D,3,FALSE)</f>
        <v>9</v>
      </c>
      <c r="J4436">
        <f t="shared" si="46"/>
        <v>9</v>
      </c>
      <c r="L4436">
        <v>0</v>
      </c>
    </row>
    <row r="4437" spans="1:13">
      <c r="A4437" t="s">
        <v>10576</v>
      </c>
      <c r="B4437" t="s">
        <v>1456</v>
      </c>
      <c r="C4437" s="34" t="s">
        <v>1983</v>
      </c>
      <c r="F4437" t="s">
        <v>1983</v>
      </c>
      <c r="G4437" t="s">
        <v>6932</v>
      </c>
      <c r="H4437">
        <v>5</v>
      </c>
      <c r="I4437">
        <f>VLOOKUP(B4437,BRAND!B:D,3,FALSE)</f>
        <v>9</v>
      </c>
      <c r="J4437">
        <f t="shared" si="46"/>
        <v>9</v>
      </c>
      <c r="L4437">
        <v>0</v>
      </c>
    </row>
    <row r="4438" spans="1:13">
      <c r="A4438" t="s">
        <v>1700</v>
      </c>
      <c r="B4438" t="s">
        <v>1456</v>
      </c>
      <c r="C4438" s="34" t="s">
        <v>1482</v>
      </c>
      <c r="F4438" t="s">
        <v>1482</v>
      </c>
      <c r="H4438">
        <v>5</v>
      </c>
      <c r="I4438">
        <f>VLOOKUP(B4438,BRAND!B:D,3,FALSE)</f>
        <v>9</v>
      </c>
      <c r="J4438">
        <v>9</v>
      </c>
      <c r="K4438" t="s">
        <v>822</v>
      </c>
      <c r="M4438">
        <v>1</v>
      </c>
    </row>
    <row r="4439" spans="1:13">
      <c r="A4439" t="s">
        <v>1649</v>
      </c>
      <c r="B4439" t="s">
        <v>1456</v>
      </c>
      <c r="C4439" s="34" t="s">
        <v>1483</v>
      </c>
      <c r="F4439" t="s">
        <v>1483</v>
      </c>
      <c r="H4439">
        <v>5</v>
      </c>
      <c r="I4439">
        <f>VLOOKUP(B4439,BRAND!B:D,3,FALSE)</f>
        <v>9</v>
      </c>
      <c r="J4439">
        <v>9</v>
      </c>
      <c r="K4439" t="s">
        <v>822</v>
      </c>
      <c r="M4439">
        <v>1</v>
      </c>
    </row>
    <row r="4440" spans="1:13">
      <c r="A4440" t="s">
        <v>4347</v>
      </c>
      <c r="B4440" t="s">
        <v>1456</v>
      </c>
      <c r="C4440" s="34" t="s">
        <v>1983</v>
      </c>
      <c r="F4440" t="s">
        <v>1983</v>
      </c>
      <c r="H4440">
        <v>5</v>
      </c>
      <c r="I4440">
        <f>VLOOKUP(B4440,BRAND!B:D,3,FALSE)</f>
        <v>9</v>
      </c>
      <c r="J4440">
        <v>9</v>
      </c>
      <c r="K4440" t="s">
        <v>822</v>
      </c>
      <c r="M4440">
        <v>1</v>
      </c>
    </row>
    <row r="4441" spans="1:13">
      <c r="A4441" t="s">
        <v>4651</v>
      </c>
      <c r="B4441" t="s">
        <v>1456</v>
      </c>
      <c r="C4441" s="34" t="s">
        <v>798</v>
      </c>
      <c r="F4441" t="s">
        <v>798</v>
      </c>
      <c r="H4441">
        <v>5</v>
      </c>
      <c r="I4441">
        <f>VLOOKUP(B4441,BRAND!B:D,3,FALSE)</f>
        <v>9</v>
      </c>
      <c r="J4441">
        <v>9</v>
      </c>
      <c r="K4441" t="s">
        <v>822</v>
      </c>
      <c r="M4441">
        <v>1</v>
      </c>
    </row>
    <row r="4442" spans="1:13">
      <c r="A4442" t="s">
        <v>1717</v>
      </c>
      <c r="B4442" t="s">
        <v>1456</v>
      </c>
      <c r="C4442" s="34" t="s">
        <v>942</v>
      </c>
      <c r="F4442" t="s">
        <v>942</v>
      </c>
      <c r="H4442">
        <v>5</v>
      </c>
      <c r="I4442">
        <f>VLOOKUP(B4442,BRAND!B:D,3,FALSE)</f>
        <v>9</v>
      </c>
      <c r="J4442">
        <v>8</v>
      </c>
      <c r="K4442" t="s">
        <v>822</v>
      </c>
      <c r="M4442">
        <v>1</v>
      </c>
    </row>
    <row r="4443" spans="1:13">
      <c r="A4443" t="s">
        <v>4789</v>
      </c>
      <c r="B4443" t="s">
        <v>1456</v>
      </c>
      <c r="C4443" s="34" t="s">
        <v>769</v>
      </c>
      <c r="F4443" t="s">
        <v>769</v>
      </c>
      <c r="H4443">
        <v>5</v>
      </c>
      <c r="I4443">
        <f>VLOOKUP(B4443,BRAND!B:D,3,FALSE)</f>
        <v>9</v>
      </c>
      <c r="J4443">
        <v>8</v>
      </c>
      <c r="K4443" t="s">
        <v>822</v>
      </c>
      <c r="M4443">
        <v>1</v>
      </c>
    </row>
    <row r="4444" spans="1:13">
      <c r="A4444" t="s">
        <v>10608</v>
      </c>
      <c r="B4444" t="s">
        <v>1456</v>
      </c>
      <c r="C4444" s="34" t="s">
        <v>6925</v>
      </c>
      <c r="F4444" t="s">
        <v>6925</v>
      </c>
      <c r="G4444" t="s">
        <v>6932</v>
      </c>
      <c r="H4444">
        <v>5</v>
      </c>
      <c r="I4444">
        <f>VLOOKUP(B4444,BRAND!B:D,3,FALSE)</f>
        <v>9</v>
      </c>
      <c r="J4444">
        <f>LEN(F4444)</f>
        <v>7</v>
      </c>
      <c r="L4444">
        <v>0</v>
      </c>
    </row>
    <row r="4445" spans="1:13">
      <c r="A4445" t="s">
        <v>4727</v>
      </c>
      <c r="B4445" t="s">
        <v>1456</v>
      </c>
      <c r="C4445" s="34" t="s">
        <v>1493</v>
      </c>
      <c r="F4445" t="s">
        <v>1493</v>
      </c>
      <c r="H4445">
        <v>5</v>
      </c>
      <c r="I4445">
        <f>VLOOKUP(B4445,BRAND!B:D,3,FALSE)</f>
        <v>9</v>
      </c>
      <c r="J4445">
        <v>7</v>
      </c>
      <c r="K4445" t="s">
        <v>822</v>
      </c>
      <c r="M4445">
        <v>1</v>
      </c>
    </row>
    <row r="4446" spans="1:13">
      <c r="A4446" t="s">
        <v>4460</v>
      </c>
      <c r="B4446" t="s">
        <v>1456</v>
      </c>
      <c r="C4446" s="34" t="s">
        <v>880</v>
      </c>
      <c r="F4446" t="s">
        <v>880</v>
      </c>
      <c r="H4446">
        <v>5</v>
      </c>
      <c r="I4446">
        <f>VLOOKUP(B4446,BRAND!B:D,3,FALSE)</f>
        <v>9</v>
      </c>
      <c r="J4446">
        <v>7</v>
      </c>
      <c r="K4446" t="s">
        <v>822</v>
      </c>
      <c r="M4446">
        <v>1</v>
      </c>
    </row>
    <row r="4447" spans="1:13">
      <c r="A4447" t="s">
        <v>4526</v>
      </c>
      <c r="B4447" t="s">
        <v>1456</v>
      </c>
      <c r="C4447" s="34" t="s">
        <v>1489</v>
      </c>
      <c r="F4447" t="s">
        <v>1489</v>
      </c>
      <c r="H4447">
        <v>5</v>
      </c>
      <c r="I4447">
        <f>VLOOKUP(B4447,BRAND!B:D,3,FALSE)</f>
        <v>9</v>
      </c>
      <c r="J4447">
        <v>7</v>
      </c>
      <c r="K4447" t="s">
        <v>822</v>
      </c>
      <c r="M4447">
        <v>1</v>
      </c>
    </row>
    <row r="4448" spans="1:13">
      <c r="A4448" t="s">
        <v>10601</v>
      </c>
      <c r="B4448" t="s">
        <v>1456</v>
      </c>
      <c r="C4448" s="34" t="s">
        <v>995</v>
      </c>
      <c r="F4448" t="s">
        <v>995</v>
      </c>
      <c r="G4448" t="s">
        <v>5512</v>
      </c>
      <c r="H4448">
        <v>5</v>
      </c>
      <c r="I4448">
        <f>VLOOKUP(B4448,BRAND!B:D,3,FALSE)</f>
        <v>9</v>
      </c>
      <c r="J4448">
        <f t="shared" ref="J4448:J4454" si="47">LEN(F4448)</f>
        <v>6</v>
      </c>
      <c r="L4448">
        <v>0</v>
      </c>
    </row>
    <row r="4449" spans="1:13">
      <c r="A4449" t="s">
        <v>10620</v>
      </c>
      <c r="B4449" t="s">
        <v>1456</v>
      </c>
      <c r="C4449" s="34" t="s">
        <v>995</v>
      </c>
      <c r="F4449" t="s">
        <v>995</v>
      </c>
      <c r="G4449" t="s">
        <v>6932</v>
      </c>
      <c r="H4449">
        <v>5</v>
      </c>
      <c r="I4449">
        <f>VLOOKUP(B4449,BRAND!B:D,3,FALSE)</f>
        <v>9</v>
      </c>
      <c r="J4449">
        <f t="shared" si="47"/>
        <v>6</v>
      </c>
      <c r="L4449">
        <v>0</v>
      </c>
    </row>
    <row r="4450" spans="1:13">
      <c r="A4450" t="s">
        <v>10630</v>
      </c>
      <c r="B4450" t="s">
        <v>1456</v>
      </c>
      <c r="C4450" s="34" t="s">
        <v>1511</v>
      </c>
      <c r="F4450" t="s">
        <v>1511</v>
      </c>
      <c r="G4450" t="s">
        <v>6932</v>
      </c>
      <c r="H4450">
        <v>5</v>
      </c>
      <c r="I4450">
        <f>VLOOKUP(B4450,BRAND!B:D,3,FALSE)</f>
        <v>9</v>
      </c>
      <c r="J4450">
        <f t="shared" si="47"/>
        <v>6</v>
      </c>
      <c r="L4450">
        <v>0</v>
      </c>
    </row>
    <row r="4451" spans="1:13">
      <c r="A4451" t="s">
        <v>10620</v>
      </c>
      <c r="B4451" t="s">
        <v>1456</v>
      </c>
      <c r="C4451" s="34" t="s">
        <v>995</v>
      </c>
      <c r="F4451" t="s">
        <v>995</v>
      </c>
      <c r="G4451" t="s">
        <v>6932</v>
      </c>
      <c r="H4451">
        <v>5</v>
      </c>
      <c r="I4451">
        <f>VLOOKUP(B4451,BRAND!B:D,3,FALSE)</f>
        <v>9</v>
      </c>
      <c r="J4451">
        <f t="shared" si="47"/>
        <v>6</v>
      </c>
      <c r="L4451">
        <v>0</v>
      </c>
    </row>
    <row r="4452" spans="1:13">
      <c r="A4452" t="s">
        <v>10601</v>
      </c>
      <c r="B4452" t="s">
        <v>1456</v>
      </c>
      <c r="C4452" s="34" t="s">
        <v>995</v>
      </c>
      <c r="F4452" t="s">
        <v>995</v>
      </c>
      <c r="G4452" t="s">
        <v>5512</v>
      </c>
      <c r="H4452">
        <v>5</v>
      </c>
      <c r="I4452">
        <f>VLOOKUP(B4452,BRAND!B:D,3,FALSE)</f>
        <v>9</v>
      </c>
      <c r="J4452">
        <f t="shared" si="47"/>
        <v>6</v>
      </c>
      <c r="L4452">
        <v>0</v>
      </c>
    </row>
    <row r="4453" spans="1:13">
      <c r="A4453" t="s">
        <v>10595</v>
      </c>
      <c r="B4453" t="s">
        <v>1456</v>
      </c>
      <c r="C4453" s="34" t="s">
        <v>1510</v>
      </c>
      <c r="F4453" t="s">
        <v>1510</v>
      </c>
      <c r="G4453" t="s">
        <v>6932</v>
      </c>
      <c r="H4453">
        <v>5</v>
      </c>
      <c r="I4453">
        <f>VLOOKUP(B4453,BRAND!B:D,3,FALSE)</f>
        <v>9</v>
      </c>
      <c r="J4453">
        <f t="shared" si="47"/>
        <v>6</v>
      </c>
      <c r="L4453">
        <v>0</v>
      </c>
    </row>
    <row r="4454" spans="1:13">
      <c r="A4454" t="s">
        <v>10580</v>
      </c>
      <c r="B4454" t="s">
        <v>1456</v>
      </c>
      <c r="C4454" s="34" t="s">
        <v>995</v>
      </c>
      <c r="F4454" t="s">
        <v>995</v>
      </c>
      <c r="G4454" t="s">
        <v>802</v>
      </c>
      <c r="H4454">
        <v>5</v>
      </c>
      <c r="I4454">
        <f>VLOOKUP(B4454,BRAND!B:D,3,FALSE)</f>
        <v>9</v>
      </c>
      <c r="J4454">
        <f t="shared" si="47"/>
        <v>6</v>
      </c>
      <c r="L4454">
        <v>0</v>
      </c>
    </row>
    <row r="4455" spans="1:13">
      <c r="A4455" t="s">
        <v>4212</v>
      </c>
      <c r="B4455" t="s">
        <v>1456</v>
      </c>
      <c r="C4455" s="34" t="s">
        <v>760</v>
      </c>
      <c r="F4455" t="s">
        <v>760</v>
      </c>
      <c r="H4455">
        <v>5</v>
      </c>
      <c r="I4455">
        <f>VLOOKUP(B4455,BRAND!B:D,3,FALSE)</f>
        <v>9</v>
      </c>
      <c r="J4455">
        <v>6</v>
      </c>
      <c r="K4455" t="s">
        <v>822</v>
      </c>
      <c r="M4455">
        <v>1</v>
      </c>
    </row>
    <row r="4456" spans="1:13">
      <c r="A4456" t="s">
        <v>1596</v>
      </c>
      <c r="B4456" t="s">
        <v>1456</v>
      </c>
      <c r="C4456" s="34" t="s">
        <v>746</v>
      </c>
      <c r="F4456" t="s">
        <v>746</v>
      </c>
      <c r="H4456">
        <v>5</v>
      </c>
      <c r="I4456">
        <f>VLOOKUP(B4456,BRAND!B:D,3,FALSE)</f>
        <v>9</v>
      </c>
      <c r="J4456">
        <v>6</v>
      </c>
      <c r="K4456" t="s">
        <v>822</v>
      </c>
      <c r="M4456">
        <v>1</v>
      </c>
    </row>
    <row r="4457" spans="1:13">
      <c r="A4457" t="s">
        <v>1526</v>
      </c>
      <c r="B4457" t="s">
        <v>1456</v>
      </c>
      <c r="C4457" s="34" t="s">
        <v>898</v>
      </c>
      <c r="F4457" t="s">
        <v>898</v>
      </c>
      <c r="H4457">
        <v>5</v>
      </c>
      <c r="I4457">
        <f>VLOOKUP(B4457,BRAND!B:D,3,FALSE)</f>
        <v>9</v>
      </c>
      <c r="J4457">
        <v>6</v>
      </c>
      <c r="K4457" t="s">
        <v>822</v>
      </c>
      <c r="M4457">
        <v>1</v>
      </c>
    </row>
    <row r="4458" spans="1:13">
      <c r="A4458" t="s">
        <v>4458</v>
      </c>
      <c r="B4458" t="s">
        <v>1456</v>
      </c>
      <c r="C4458" s="34" t="s">
        <v>1510</v>
      </c>
      <c r="F4458" t="s">
        <v>1510</v>
      </c>
      <c r="H4458">
        <v>5</v>
      </c>
      <c r="I4458">
        <f>VLOOKUP(B4458,BRAND!B:D,3,FALSE)</f>
        <v>9</v>
      </c>
      <c r="J4458">
        <v>6</v>
      </c>
      <c r="K4458" t="s">
        <v>822</v>
      </c>
      <c r="M4458">
        <v>1</v>
      </c>
    </row>
    <row r="4459" spans="1:13">
      <c r="A4459" t="s">
        <v>1703</v>
      </c>
      <c r="B4459" t="s">
        <v>1456</v>
      </c>
      <c r="C4459" s="34" t="s">
        <v>1498</v>
      </c>
      <c r="F4459" t="s">
        <v>1498</v>
      </c>
      <c r="H4459">
        <v>5</v>
      </c>
      <c r="I4459">
        <f>VLOOKUP(B4459,BRAND!B:D,3,FALSE)</f>
        <v>9</v>
      </c>
      <c r="J4459">
        <v>6</v>
      </c>
      <c r="K4459" t="s">
        <v>822</v>
      </c>
      <c r="M4459">
        <v>1</v>
      </c>
    </row>
    <row r="4460" spans="1:13">
      <c r="A4460" t="s">
        <v>1520</v>
      </c>
      <c r="B4460" t="s">
        <v>1456</v>
      </c>
      <c r="C4460" s="34" t="s">
        <v>995</v>
      </c>
      <c r="F4460" t="s">
        <v>995</v>
      </c>
      <c r="H4460">
        <v>5</v>
      </c>
      <c r="I4460">
        <f>VLOOKUP(B4460,BRAND!B:D,3,FALSE)</f>
        <v>9</v>
      </c>
      <c r="J4460">
        <v>6</v>
      </c>
      <c r="K4460" t="s">
        <v>822</v>
      </c>
      <c r="M4460">
        <v>1</v>
      </c>
    </row>
    <row r="4461" spans="1:13">
      <c r="A4461" t="s">
        <v>1555</v>
      </c>
      <c r="B4461" t="s">
        <v>1456</v>
      </c>
      <c r="C4461" s="34" t="s">
        <v>1511</v>
      </c>
      <c r="F4461" t="s">
        <v>1511</v>
      </c>
      <c r="H4461">
        <v>5</v>
      </c>
      <c r="I4461">
        <f>VLOOKUP(B4461,BRAND!B:D,3,FALSE)</f>
        <v>9</v>
      </c>
      <c r="J4461">
        <v>6</v>
      </c>
      <c r="K4461" t="s">
        <v>822</v>
      </c>
      <c r="M4461">
        <v>1</v>
      </c>
    </row>
    <row r="4462" spans="1:13">
      <c r="A4462" t="s">
        <v>10579</v>
      </c>
      <c r="B4462" t="s">
        <v>1456</v>
      </c>
      <c r="C4462" s="34" t="s">
        <v>764</v>
      </c>
      <c r="F4462" t="s">
        <v>764</v>
      </c>
      <c r="G4462" t="s">
        <v>802</v>
      </c>
      <c r="H4462">
        <v>5</v>
      </c>
      <c r="I4462">
        <f>VLOOKUP(B4462,BRAND!B:D,3,FALSE)</f>
        <v>9</v>
      </c>
      <c r="J4462">
        <f>LEN(F4462)</f>
        <v>5</v>
      </c>
      <c r="L4462">
        <v>0</v>
      </c>
    </row>
    <row r="4463" spans="1:13">
      <c r="A4463" t="s">
        <v>10577</v>
      </c>
      <c r="B4463" t="s">
        <v>1456</v>
      </c>
      <c r="C4463" s="34" t="s">
        <v>764</v>
      </c>
      <c r="F4463" t="s">
        <v>764</v>
      </c>
      <c r="G4463" t="s">
        <v>6932</v>
      </c>
      <c r="H4463">
        <v>5</v>
      </c>
      <c r="I4463">
        <f>VLOOKUP(B4463,BRAND!B:D,3,FALSE)</f>
        <v>9</v>
      </c>
      <c r="J4463">
        <f>LEN(F4463)</f>
        <v>5</v>
      </c>
      <c r="L4463">
        <v>0</v>
      </c>
    </row>
    <row r="4464" spans="1:13">
      <c r="A4464" t="s">
        <v>1525</v>
      </c>
      <c r="B4464" t="s">
        <v>1456</v>
      </c>
      <c r="C4464" s="34" t="s">
        <v>764</v>
      </c>
      <c r="F4464" t="s">
        <v>764</v>
      </c>
      <c r="H4464">
        <v>5</v>
      </c>
      <c r="I4464">
        <f>VLOOKUP(B4464,BRAND!B:D,3,FALSE)</f>
        <v>9</v>
      </c>
      <c r="J4464">
        <v>5</v>
      </c>
      <c r="K4464" t="s">
        <v>822</v>
      </c>
      <c r="M4464">
        <v>1</v>
      </c>
    </row>
    <row r="4465" spans="1:13">
      <c r="A4465" t="s">
        <v>1593</v>
      </c>
      <c r="B4465" t="s">
        <v>1456</v>
      </c>
      <c r="C4465" s="34" t="s">
        <v>799</v>
      </c>
      <c r="F4465" t="s">
        <v>799</v>
      </c>
      <c r="H4465">
        <v>5</v>
      </c>
      <c r="I4465">
        <f>VLOOKUP(B4465,BRAND!B:D,3,FALSE)</f>
        <v>9</v>
      </c>
      <c r="J4465">
        <v>5</v>
      </c>
      <c r="K4465" t="s">
        <v>822</v>
      </c>
      <c r="M4465">
        <v>1</v>
      </c>
    </row>
    <row r="4466" spans="1:13">
      <c r="A4466" t="s">
        <v>1648</v>
      </c>
      <c r="B4466" t="s">
        <v>1456</v>
      </c>
      <c r="C4466" s="34" t="s">
        <v>1513</v>
      </c>
      <c r="F4466" t="s">
        <v>1513</v>
      </c>
      <c r="H4466">
        <v>5</v>
      </c>
      <c r="I4466">
        <f>VLOOKUP(B4466,BRAND!B:D,3,FALSE)</f>
        <v>9</v>
      </c>
      <c r="J4466">
        <v>5</v>
      </c>
      <c r="K4466" t="s">
        <v>822</v>
      </c>
      <c r="M4466">
        <v>1</v>
      </c>
    </row>
    <row r="4467" spans="1:13">
      <c r="A4467" t="s">
        <v>1704</v>
      </c>
      <c r="B4467" t="s">
        <v>1456</v>
      </c>
      <c r="C4467" s="34" t="s">
        <v>761</v>
      </c>
      <c r="F4467" t="s">
        <v>761</v>
      </c>
      <c r="H4467">
        <v>5</v>
      </c>
      <c r="I4467">
        <f>VLOOKUP(B4467,BRAND!B:D,3,FALSE)</f>
        <v>9</v>
      </c>
      <c r="J4467">
        <v>5</v>
      </c>
      <c r="K4467" t="s">
        <v>822</v>
      </c>
      <c r="M4467">
        <v>1</v>
      </c>
    </row>
    <row r="4468" spans="1:13">
      <c r="A4468" t="s">
        <v>1655</v>
      </c>
      <c r="B4468" t="s">
        <v>1456</v>
      </c>
      <c r="C4468" s="34" t="s">
        <v>881</v>
      </c>
      <c r="F4468" t="s">
        <v>881</v>
      </c>
      <c r="H4468">
        <v>5</v>
      </c>
      <c r="I4468">
        <f>VLOOKUP(B4468,BRAND!B:D,3,FALSE)</f>
        <v>9</v>
      </c>
      <c r="J4468">
        <v>5</v>
      </c>
      <c r="K4468" t="s">
        <v>822</v>
      </c>
      <c r="M4468">
        <v>1</v>
      </c>
    </row>
    <row r="4469" spans="1:13">
      <c r="A4469" t="s">
        <v>4683</v>
      </c>
      <c r="B4469" t="s">
        <v>1456</v>
      </c>
      <c r="C4469" s="34" t="s">
        <v>561</v>
      </c>
      <c r="F4469" t="s">
        <v>561</v>
      </c>
      <c r="H4469">
        <v>5</v>
      </c>
      <c r="I4469">
        <f>VLOOKUP(B4469,BRAND!B:D,3,FALSE)</f>
        <v>9</v>
      </c>
      <c r="J4469">
        <v>3</v>
      </c>
      <c r="K4469" t="s">
        <v>822</v>
      </c>
      <c r="L4469">
        <v>0</v>
      </c>
      <c r="M4469">
        <v>0</v>
      </c>
    </row>
    <row r="4470" spans="1:13">
      <c r="A4470" t="s">
        <v>4408</v>
      </c>
      <c r="B4470" t="s">
        <v>1456</v>
      </c>
      <c r="C4470" s="34" t="s">
        <v>775</v>
      </c>
      <c r="F4470" t="s">
        <v>775</v>
      </c>
      <c r="H4470">
        <v>5</v>
      </c>
      <c r="I4470">
        <f>VLOOKUP(B4470,BRAND!B:D,3,FALSE)</f>
        <v>9</v>
      </c>
      <c r="J4470">
        <v>3</v>
      </c>
      <c r="K4470" t="s">
        <v>822</v>
      </c>
      <c r="L4470">
        <v>0</v>
      </c>
      <c r="M4470">
        <v>0</v>
      </c>
    </row>
    <row r="4471" spans="1:13">
      <c r="A4471" t="s">
        <v>1518</v>
      </c>
      <c r="B4471" t="s">
        <v>1456</v>
      </c>
      <c r="C4471" s="34" t="s">
        <v>1438</v>
      </c>
      <c r="F4471" t="s">
        <v>1438</v>
      </c>
      <c r="H4471">
        <v>15</v>
      </c>
      <c r="I4471">
        <f>VLOOKUP(B4471,BRAND!B:D,3,FALSE)</f>
        <v>9</v>
      </c>
      <c r="J4471">
        <v>4</v>
      </c>
      <c r="K4471" t="s">
        <v>822</v>
      </c>
      <c r="M4471">
        <v>1</v>
      </c>
    </row>
    <row r="4472" spans="1:13">
      <c r="A4472" t="s">
        <v>3109</v>
      </c>
      <c r="B4472" t="s">
        <v>97</v>
      </c>
      <c r="C4472" s="34" t="s">
        <v>561</v>
      </c>
      <c r="F4472" t="s">
        <v>561</v>
      </c>
      <c r="H4472">
        <v>5</v>
      </c>
      <c r="I4472">
        <f>VLOOKUP(B4472,BRAND!B:D,3,FALSE)</f>
        <v>3</v>
      </c>
      <c r="J4472">
        <v>3</v>
      </c>
      <c r="K4472" t="s">
        <v>821</v>
      </c>
      <c r="M4472">
        <v>1</v>
      </c>
    </row>
    <row r="4473" spans="1:13">
      <c r="A4473" t="s">
        <v>2242</v>
      </c>
      <c r="B4473" t="s">
        <v>97</v>
      </c>
      <c r="C4473" s="34" t="s">
        <v>1438</v>
      </c>
      <c r="F4473" t="s">
        <v>1438</v>
      </c>
      <c r="H4473">
        <v>15</v>
      </c>
      <c r="I4473">
        <f>VLOOKUP(B4473,BRAND!B:D,3,FALSE)</f>
        <v>3</v>
      </c>
      <c r="J4473">
        <v>4</v>
      </c>
      <c r="K4473" t="s">
        <v>821</v>
      </c>
      <c r="L4473">
        <v>0</v>
      </c>
      <c r="M4473">
        <v>0</v>
      </c>
    </row>
    <row r="4474" spans="1:13">
      <c r="A4474" t="s">
        <v>6725</v>
      </c>
      <c r="B4474" t="s">
        <v>6726</v>
      </c>
      <c r="C4474" s="34" t="s">
        <v>995</v>
      </c>
      <c r="F4474" t="s">
        <v>995</v>
      </c>
      <c r="G4474" t="s">
        <v>5512</v>
      </c>
      <c r="H4474">
        <v>5</v>
      </c>
      <c r="I4474">
        <f>VLOOKUP(B4474,BRAND!B:D,3,FALSE)</f>
        <v>5</v>
      </c>
      <c r="J4474">
        <v>6</v>
      </c>
      <c r="M4474">
        <v>1</v>
      </c>
    </row>
    <row r="4475" spans="1:13">
      <c r="A4475" t="s">
        <v>3094</v>
      </c>
      <c r="B4475" t="s">
        <v>633</v>
      </c>
      <c r="C4475" s="34" t="s">
        <v>988</v>
      </c>
      <c r="F4475" t="s">
        <v>988</v>
      </c>
      <c r="H4475">
        <v>5</v>
      </c>
      <c r="I4475">
        <f>VLOOKUP(B4475,BRAND!B:D,3,FALSE)</f>
        <v>3</v>
      </c>
      <c r="J4475">
        <v>4</v>
      </c>
      <c r="K4475" t="s">
        <v>821</v>
      </c>
      <c r="L4475">
        <v>0</v>
      </c>
      <c r="M4475">
        <v>0</v>
      </c>
    </row>
    <row r="4476" spans="1:13">
      <c r="A4476" t="s">
        <v>8516</v>
      </c>
      <c r="B4476" t="s">
        <v>8517</v>
      </c>
      <c r="C4476" s="34" t="s">
        <v>1438</v>
      </c>
      <c r="F4476" t="s">
        <v>1438</v>
      </c>
      <c r="G4476" t="s">
        <v>6932</v>
      </c>
      <c r="H4476">
        <v>5</v>
      </c>
      <c r="I4476">
        <f>VLOOKUP(B4476,BRAND!B:D,3,FALSE)</f>
        <v>5.5</v>
      </c>
      <c r="J4476">
        <v>4</v>
      </c>
      <c r="M4476">
        <v>1</v>
      </c>
    </row>
    <row r="4477" spans="1:13">
      <c r="A4477" t="s">
        <v>7195</v>
      </c>
      <c r="B4477" t="s">
        <v>7196</v>
      </c>
      <c r="C4477" s="34" t="s">
        <v>1438</v>
      </c>
      <c r="F4477" t="s">
        <v>1438</v>
      </c>
      <c r="H4477">
        <v>5</v>
      </c>
      <c r="I4477">
        <f>VLOOKUP(B4477,BRAND!B:D,3,FALSE)</f>
        <v>5.5</v>
      </c>
      <c r="L4477">
        <v>0</v>
      </c>
      <c r="M4477">
        <v>0</v>
      </c>
    </row>
    <row r="4478" spans="1:13">
      <c r="A4478" t="s">
        <v>7081</v>
      </c>
      <c r="B4478" t="s">
        <v>6451</v>
      </c>
      <c r="C4478" s="34" t="s">
        <v>6441</v>
      </c>
      <c r="F4478" t="s">
        <v>561</v>
      </c>
      <c r="H4478">
        <v>5</v>
      </c>
      <c r="I4478" t="e">
        <f>VLOOKUP(B4478,BRAND!B:D,3,FALSE)</f>
        <v>#N/A</v>
      </c>
      <c r="J4478">
        <v>3</v>
      </c>
      <c r="M4478">
        <v>1</v>
      </c>
    </row>
    <row r="4479" spans="1:13">
      <c r="A4479" t="s">
        <v>7082</v>
      </c>
      <c r="B4479" t="s">
        <v>6451</v>
      </c>
      <c r="C4479" s="34" t="s">
        <v>6441</v>
      </c>
      <c r="F4479" t="s">
        <v>561</v>
      </c>
      <c r="G4479" t="s">
        <v>801</v>
      </c>
      <c r="H4479">
        <v>5</v>
      </c>
      <c r="I4479" t="e">
        <f>VLOOKUP(B4479,BRAND!B:D,3,FALSE)</f>
        <v>#N/A</v>
      </c>
      <c r="J4479">
        <v>3</v>
      </c>
      <c r="M4479">
        <v>1</v>
      </c>
    </row>
    <row r="4480" spans="1:13">
      <c r="A4480" t="s">
        <v>8512</v>
      </c>
      <c r="B4480" t="s">
        <v>8513</v>
      </c>
      <c r="C4480" s="34" t="s">
        <v>8514</v>
      </c>
      <c r="F4480" t="s">
        <v>8514</v>
      </c>
      <c r="G4480" t="s">
        <v>6932</v>
      </c>
      <c r="H4480">
        <v>5</v>
      </c>
      <c r="I4480">
        <f>VLOOKUP(B4480,BRAND!B:D,3,FALSE)</f>
        <v>5.5</v>
      </c>
      <c r="J4480">
        <v>6</v>
      </c>
      <c r="M4480">
        <v>1</v>
      </c>
    </row>
    <row r="4481" spans="1:13">
      <c r="A4481" t="s">
        <v>8515</v>
      </c>
      <c r="B4481" t="s">
        <v>8513</v>
      </c>
      <c r="C4481" s="34" t="s">
        <v>1987</v>
      </c>
      <c r="F4481" t="s">
        <v>1987</v>
      </c>
      <c r="G4481" t="s">
        <v>6932</v>
      </c>
      <c r="H4481">
        <v>5</v>
      </c>
      <c r="I4481">
        <f>VLOOKUP(B4481,BRAND!B:D,3,FALSE)</f>
        <v>5.5</v>
      </c>
      <c r="J4481">
        <v>3</v>
      </c>
      <c r="M4481">
        <v>1</v>
      </c>
    </row>
    <row r="4482" spans="1:13">
      <c r="A4482" t="s">
        <v>8518</v>
      </c>
      <c r="B4482" t="s">
        <v>8519</v>
      </c>
      <c r="C4482" s="34" t="s">
        <v>1438</v>
      </c>
      <c r="F4482" t="s">
        <v>1438</v>
      </c>
      <c r="G4482" t="s">
        <v>6932</v>
      </c>
      <c r="H4482">
        <v>5</v>
      </c>
      <c r="I4482">
        <f>VLOOKUP(B4482,BRAND!B:D,3,FALSE)</f>
        <v>5.5</v>
      </c>
      <c r="J4482">
        <v>4</v>
      </c>
      <c r="M4482">
        <v>1</v>
      </c>
    </row>
    <row r="4483" spans="1:13">
      <c r="A4483" t="s">
        <v>4615</v>
      </c>
      <c r="B4483" t="s">
        <v>98</v>
      </c>
      <c r="C4483" s="34" t="s">
        <v>751</v>
      </c>
      <c r="F4483" t="s">
        <v>751</v>
      </c>
      <c r="H4483">
        <v>5</v>
      </c>
      <c r="I4483">
        <f>VLOOKUP(B4483,BRAND!B:D,3,FALSE)</f>
        <v>3</v>
      </c>
      <c r="J4483">
        <v>5</v>
      </c>
      <c r="K4483" t="s">
        <v>821</v>
      </c>
      <c r="L4483">
        <v>0</v>
      </c>
      <c r="M4483">
        <v>0</v>
      </c>
    </row>
    <row r="4484" spans="1:13">
      <c r="A4484" t="s">
        <v>4358</v>
      </c>
      <c r="B4484" t="s">
        <v>98</v>
      </c>
      <c r="C4484" s="34" t="s">
        <v>764</v>
      </c>
      <c r="F4484" t="s">
        <v>764</v>
      </c>
      <c r="H4484">
        <v>5</v>
      </c>
      <c r="I4484">
        <f>VLOOKUP(B4484,BRAND!B:D,3,FALSE)</f>
        <v>3</v>
      </c>
      <c r="J4484">
        <v>5</v>
      </c>
      <c r="K4484" t="s">
        <v>821</v>
      </c>
      <c r="L4484">
        <v>0</v>
      </c>
      <c r="M4484">
        <v>0</v>
      </c>
    </row>
    <row r="4485" spans="1:13">
      <c r="A4485" t="s">
        <v>4514</v>
      </c>
      <c r="B4485" t="s">
        <v>98</v>
      </c>
      <c r="C4485" s="34" t="s">
        <v>776</v>
      </c>
      <c r="F4485" t="s">
        <v>776</v>
      </c>
      <c r="H4485">
        <v>5</v>
      </c>
      <c r="I4485">
        <f>VLOOKUP(B4485,BRAND!B:D,3,FALSE)</f>
        <v>3</v>
      </c>
      <c r="J4485">
        <v>5</v>
      </c>
      <c r="K4485" t="s">
        <v>821</v>
      </c>
      <c r="L4485">
        <v>0</v>
      </c>
      <c r="M4485">
        <v>0</v>
      </c>
    </row>
    <row r="4486" spans="1:13">
      <c r="A4486" t="s">
        <v>4647</v>
      </c>
      <c r="B4486" t="s">
        <v>98</v>
      </c>
      <c r="C4486" s="34" t="s">
        <v>867</v>
      </c>
      <c r="F4486" t="s">
        <v>867</v>
      </c>
      <c r="H4486">
        <v>5</v>
      </c>
      <c r="I4486">
        <f>VLOOKUP(B4486,BRAND!B:D,3,FALSE)</f>
        <v>3</v>
      </c>
      <c r="J4486">
        <v>4</v>
      </c>
      <c r="K4486" t="s">
        <v>821</v>
      </c>
      <c r="L4486">
        <v>0</v>
      </c>
      <c r="M4486">
        <v>0</v>
      </c>
    </row>
    <row r="4487" spans="1:13">
      <c r="A4487" t="s">
        <v>2853</v>
      </c>
      <c r="B4487" t="s">
        <v>98</v>
      </c>
      <c r="C4487" s="34" t="s">
        <v>1438</v>
      </c>
      <c r="F4487" t="s">
        <v>1438</v>
      </c>
      <c r="H4487">
        <v>15</v>
      </c>
      <c r="I4487">
        <f>VLOOKUP(B4487,BRAND!B:D,3,FALSE)</f>
        <v>3</v>
      </c>
      <c r="J4487">
        <v>4</v>
      </c>
      <c r="K4487" t="s">
        <v>821</v>
      </c>
      <c r="M4487">
        <v>1</v>
      </c>
    </row>
    <row r="4488" spans="1:13">
      <c r="A4488" t="s">
        <v>8520</v>
      </c>
      <c r="B4488" t="s">
        <v>8521</v>
      </c>
      <c r="C4488" s="34" t="s">
        <v>1438</v>
      </c>
      <c r="F4488" t="s">
        <v>1438</v>
      </c>
      <c r="G4488" t="s">
        <v>6932</v>
      </c>
      <c r="H4488">
        <v>5</v>
      </c>
      <c r="I4488">
        <f>VLOOKUP(B4488,BRAND!B:D,3,FALSE)</f>
        <v>5.5</v>
      </c>
      <c r="J4488">
        <v>4</v>
      </c>
      <c r="M4488">
        <v>1</v>
      </c>
    </row>
    <row r="4489" spans="1:13">
      <c r="A4489" t="s">
        <v>2986</v>
      </c>
      <c r="B4489" t="s">
        <v>684</v>
      </c>
      <c r="C4489" s="34" t="s">
        <v>774</v>
      </c>
      <c r="F4489" t="s">
        <v>774</v>
      </c>
      <c r="H4489">
        <v>5</v>
      </c>
      <c r="I4489">
        <f>VLOOKUP(B4489,BRAND!B:D,3,FALSE)</f>
        <v>3</v>
      </c>
      <c r="J4489">
        <v>9</v>
      </c>
      <c r="K4489" t="s">
        <v>821</v>
      </c>
      <c r="L4489">
        <v>0</v>
      </c>
      <c r="M4489">
        <v>0</v>
      </c>
    </row>
    <row r="4490" spans="1:13">
      <c r="A4490" t="s">
        <v>4617</v>
      </c>
      <c r="B4490" t="s">
        <v>684</v>
      </c>
      <c r="C4490" s="34" t="s">
        <v>1992</v>
      </c>
      <c r="F4490" t="s">
        <v>1992</v>
      </c>
      <c r="H4490">
        <v>5</v>
      </c>
      <c r="I4490">
        <f>VLOOKUP(B4490,BRAND!B:D,3,FALSE)</f>
        <v>3</v>
      </c>
      <c r="J4490">
        <v>3</v>
      </c>
      <c r="K4490" t="s">
        <v>821</v>
      </c>
      <c r="L4490">
        <v>0</v>
      </c>
      <c r="M4490">
        <v>0</v>
      </c>
    </row>
    <row r="4491" spans="1:13">
      <c r="A4491" t="s">
        <v>2100</v>
      </c>
      <c r="B4491" t="s">
        <v>684</v>
      </c>
      <c r="C4491" s="34" t="s">
        <v>1438</v>
      </c>
      <c r="F4491" t="s">
        <v>1438</v>
      </c>
      <c r="H4491">
        <v>15</v>
      </c>
      <c r="I4491">
        <f>VLOOKUP(B4491,BRAND!B:D,3,FALSE)</f>
        <v>3</v>
      </c>
      <c r="J4491">
        <v>4</v>
      </c>
      <c r="K4491" t="s">
        <v>821</v>
      </c>
      <c r="M4491">
        <v>1</v>
      </c>
    </row>
    <row r="4492" spans="1:13">
      <c r="A4492" t="s">
        <v>9720</v>
      </c>
      <c r="B4492" t="s">
        <v>99</v>
      </c>
      <c r="C4492" s="34" t="s">
        <v>761</v>
      </c>
      <c r="H4492">
        <v>5</v>
      </c>
      <c r="I4492">
        <f>VLOOKUP(B4492,BRAND!B:D,3,FALSE)</f>
        <v>3</v>
      </c>
      <c r="J4492">
        <v>0</v>
      </c>
      <c r="M4492">
        <v>1</v>
      </c>
    </row>
    <row r="4493" spans="1:13">
      <c r="A4493" t="s">
        <v>2277</v>
      </c>
      <c r="B4493" t="s">
        <v>99</v>
      </c>
      <c r="C4493" s="34" t="s">
        <v>1438</v>
      </c>
      <c r="F4493" t="s">
        <v>1438</v>
      </c>
      <c r="H4493">
        <v>15</v>
      </c>
      <c r="I4493">
        <f>VLOOKUP(B4493,BRAND!B:D,3,FALSE)</f>
        <v>3</v>
      </c>
      <c r="J4493">
        <v>4</v>
      </c>
      <c r="K4493" t="s">
        <v>821</v>
      </c>
      <c r="M4493">
        <v>1</v>
      </c>
    </row>
    <row r="4494" spans="1:13">
      <c r="A4494" t="s">
        <v>4051</v>
      </c>
      <c r="B4494" t="s">
        <v>267</v>
      </c>
      <c r="C4494" s="34" t="s">
        <v>782</v>
      </c>
      <c r="F4494" t="s">
        <v>782</v>
      </c>
      <c r="H4494">
        <v>4</v>
      </c>
      <c r="I4494">
        <f>VLOOKUP(B4494,BRAND!B:D,3,FALSE)</f>
        <v>3</v>
      </c>
      <c r="J4494">
        <v>4</v>
      </c>
      <c r="K4494" t="s">
        <v>821</v>
      </c>
      <c r="M4494">
        <v>1</v>
      </c>
    </row>
    <row r="4495" spans="1:13">
      <c r="A4495" t="s">
        <v>3459</v>
      </c>
      <c r="B4495" t="s">
        <v>267</v>
      </c>
      <c r="C4495" s="34" t="s">
        <v>5397</v>
      </c>
      <c r="F4495" t="s">
        <v>777</v>
      </c>
      <c r="H4495">
        <v>5</v>
      </c>
      <c r="I4495">
        <f>VLOOKUP(B4495,BRAND!B:D,3,FALSE)</f>
        <v>3</v>
      </c>
      <c r="J4495">
        <v>7</v>
      </c>
      <c r="K4495" t="s">
        <v>821</v>
      </c>
      <c r="M4495">
        <v>1</v>
      </c>
    </row>
    <row r="4496" spans="1:13">
      <c r="A4496" t="s">
        <v>5002</v>
      </c>
      <c r="B4496" t="s">
        <v>267</v>
      </c>
      <c r="C4496" s="34" t="s">
        <v>5397</v>
      </c>
      <c r="F4496" t="s">
        <v>777</v>
      </c>
      <c r="G4496" t="s">
        <v>801</v>
      </c>
      <c r="H4496">
        <v>6</v>
      </c>
      <c r="I4496">
        <f>VLOOKUP(B4496,BRAND!B:D,3,FALSE)</f>
        <v>3</v>
      </c>
      <c r="J4496">
        <v>7</v>
      </c>
      <c r="K4496" t="s">
        <v>821</v>
      </c>
      <c r="M4496">
        <v>1</v>
      </c>
    </row>
    <row r="4497" spans="1:13">
      <c r="A4497" t="s">
        <v>3070</v>
      </c>
      <c r="B4497" t="s">
        <v>1286</v>
      </c>
      <c r="C4497" s="34" t="s">
        <v>1438</v>
      </c>
      <c r="F4497" t="s">
        <v>1438</v>
      </c>
      <c r="H4497">
        <v>15</v>
      </c>
      <c r="I4497">
        <f>VLOOKUP(B4497,BRAND!B:D,3,FALSE)</f>
        <v>5.5</v>
      </c>
      <c r="J4497">
        <v>4</v>
      </c>
      <c r="K4497" t="e">
        <v>#N/A</v>
      </c>
      <c r="L4497">
        <v>0</v>
      </c>
      <c r="M4497">
        <v>0</v>
      </c>
    </row>
    <row r="4498" spans="1:13">
      <c r="A4498" t="s">
        <v>4315</v>
      </c>
      <c r="B4498" t="s">
        <v>100</v>
      </c>
      <c r="C4498" s="34" t="s">
        <v>1476</v>
      </c>
      <c r="F4498" t="s">
        <v>1476</v>
      </c>
      <c r="H4498">
        <v>5</v>
      </c>
      <c r="I4498">
        <f>VLOOKUP(B4498,BRAND!B:D,3,FALSE)</f>
        <v>3</v>
      </c>
      <c r="J4498">
        <f>LEN(F4498)</f>
        <v>11</v>
      </c>
      <c r="K4498" t="s">
        <v>821</v>
      </c>
      <c r="L4498">
        <v>0</v>
      </c>
      <c r="M4498">
        <v>0</v>
      </c>
    </row>
    <row r="4499" spans="1:13">
      <c r="A4499" t="s">
        <v>3711</v>
      </c>
      <c r="B4499" t="s">
        <v>100</v>
      </c>
      <c r="C4499" s="34" t="s">
        <v>772</v>
      </c>
      <c r="F4499" t="s">
        <v>772</v>
      </c>
      <c r="H4499">
        <v>5</v>
      </c>
      <c r="I4499">
        <f>VLOOKUP(B4499,BRAND!B:D,3,FALSE)</f>
        <v>3</v>
      </c>
      <c r="J4499">
        <v>6</v>
      </c>
      <c r="K4499" t="s">
        <v>821</v>
      </c>
      <c r="M4499">
        <v>1</v>
      </c>
    </row>
    <row r="4500" spans="1:13">
      <c r="A4500" t="s">
        <v>3613</v>
      </c>
      <c r="B4500" t="s">
        <v>100</v>
      </c>
      <c r="C4500" s="34" t="s">
        <v>842</v>
      </c>
      <c r="F4500" t="s">
        <v>842</v>
      </c>
      <c r="H4500">
        <v>5</v>
      </c>
      <c r="I4500">
        <f>VLOOKUP(B4500,BRAND!B:D,3,FALSE)</f>
        <v>3</v>
      </c>
      <c r="J4500">
        <v>5</v>
      </c>
      <c r="K4500" t="s">
        <v>821</v>
      </c>
      <c r="L4500">
        <v>0</v>
      </c>
      <c r="M4500">
        <v>0</v>
      </c>
    </row>
    <row r="4501" spans="1:13">
      <c r="A4501" t="s">
        <v>3984</v>
      </c>
      <c r="B4501" t="s">
        <v>100</v>
      </c>
      <c r="C4501" s="34" t="s">
        <v>536</v>
      </c>
      <c r="F4501" t="s">
        <v>536</v>
      </c>
      <c r="H4501">
        <v>5</v>
      </c>
      <c r="I4501">
        <f>VLOOKUP(B4501,BRAND!B:D,3,FALSE)</f>
        <v>3</v>
      </c>
      <c r="J4501">
        <v>5</v>
      </c>
      <c r="K4501" t="s">
        <v>821</v>
      </c>
      <c r="M4501">
        <v>1</v>
      </c>
    </row>
    <row r="4502" spans="1:13">
      <c r="A4502" t="s">
        <v>2066</v>
      </c>
      <c r="B4502" t="s">
        <v>100</v>
      </c>
      <c r="C4502" s="34" t="s">
        <v>1438</v>
      </c>
      <c r="F4502" t="s">
        <v>1438</v>
      </c>
      <c r="H4502">
        <v>15</v>
      </c>
      <c r="I4502">
        <f>VLOOKUP(B4502,BRAND!B:D,3,FALSE)</f>
        <v>3</v>
      </c>
      <c r="J4502">
        <v>4</v>
      </c>
      <c r="K4502" t="s">
        <v>821</v>
      </c>
      <c r="L4502">
        <v>0</v>
      </c>
      <c r="M4502">
        <v>0</v>
      </c>
    </row>
    <row r="4503" spans="1:13">
      <c r="A4503" t="s">
        <v>3127</v>
      </c>
      <c r="B4503" t="s">
        <v>1783</v>
      </c>
      <c r="C4503" s="34" t="s">
        <v>534</v>
      </c>
      <c r="F4503" t="s">
        <v>534</v>
      </c>
      <c r="H4503">
        <v>5</v>
      </c>
      <c r="I4503">
        <f>VLOOKUP(B4503,BRAND!B:D,3,FALSE)</f>
        <v>3</v>
      </c>
      <c r="J4503">
        <v>6</v>
      </c>
      <c r="K4503" t="s">
        <v>821</v>
      </c>
      <c r="L4503">
        <v>0</v>
      </c>
      <c r="M4503">
        <v>0</v>
      </c>
    </row>
    <row r="4504" spans="1:13">
      <c r="A4504" t="s">
        <v>3125</v>
      </c>
      <c r="B4504" t="s">
        <v>1783</v>
      </c>
      <c r="C4504" s="34" t="s">
        <v>536</v>
      </c>
      <c r="F4504" t="s">
        <v>536</v>
      </c>
      <c r="H4504">
        <v>5</v>
      </c>
      <c r="I4504">
        <f>VLOOKUP(B4504,BRAND!B:D,3,FALSE)</f>
        <v>3</v>
      </c>
      <c r="J4504">
        <v>5</v>
      </c>
      <c r="K4504" t="s">
        <v>821</v>
      </c>
      <c r="L4504">
        <v>0</v>
      </c>
      <c r="M4504">
        <v>0</v>
      </c>
    </row>
    <row r="4505" spans="1:13">
      <c r="A4505" t="s">
        <v>3126</v>
      </c>
      <c r="B4505" t="s">
        <v>1783</v>
      </c>
      <c r="C4505" s="34" t="s">
        <v>842</v>
      </c>
      <c r="F4505" t="s">
        <v>842</v>
      </c>
      <c r="H4505">
        <v>5</v>
      </c>
      <c r="I4505">
        <f>VLOOKUP(B4505,BRAND!B:D,3,FALSE)</f>
        <v>3</v>
      </c>
      <c r="J4505">
        <v>5</v>
      </c>
      <c r="K4505" t="s">
        <v>821</v>
      </c>
      <c r="L4505">
        <v>0</v>
      </c>
      <c r="M4505">
        <v>0</v>
      </c>
    </row>
    <row r="4506" spans="1:13">
      <c r="A4506" t="s">
        <v>4119</v>
      </c>
      <c r="B4506" t="s">
        <v>1135</v>
      </c>
      <c r="C4506" s="34" t="s">
        <v>746</v>
      </c>
      <c r="F4506" t="s">
        <v>746</v>
      </c>
      <c r="H4506">
        <v>5</v>
      </c>
      <c r="I4506">
        <f>VLOOKUP(B4506,BRAND!B:D,3,FALSE)</f>
        <v>3</v>
      </c>
      <c r="J4506">
        <v>6</v>
      </c>
      <c r="K4506" t="s">
        <v>821</v>
      </c>
      <c r="L4506">
        <v>0</v>
      </c>
      <c r="M4506">
        <v>0</v>
      </c>
    </row>
    <row r="4507" spans="1:13">
      <c r="A4507" t="s">
        <v>2483</v>
      </c>
      <c r="B4507" t="s">
        <v>1135</v>
      </c>
      <c r="C4507" s="34" t="s">
        <v>1438</v>
      </c>
      <c r="F4507" t="s">
        <v>1438</v>
      </c>
      <c r="H4507">
        <v>15</v>
      </c>
      <c r="I4507">
        <f>VLOOKUP(B4507,BRAND!B:D,3,FALSE)</f>
        <v>3</v>
      </c>
      <c r="J4507">
        <v>4</v>
      </c>
      <c r="K4507" t="s">
        <v>821</v>
      </c>
      <c r="L4507">
        <v>0</v>
      </c>
      <c r="M4507">
        <v>0</v>
      </c>
    </row>
    <row r="4508" spans="1:13">
      <c r="A4508" t="s">
        <v>11458</v>
      </c>
      <c r="B4508" t="s">
        <v>10903</v>
      </c>
      <c r="C4508" s="34" t="s">
        <v>10998</v>
      </c>
      <c r="F4508" t="s">
        <v>10998</v>
      </c>
      <c r="G4508" t="s">
        <v>6932</v>
      </c>
      <c r="H4508">
        <v>4</v>
      </c>
    </row>
    <row r="4509" spans="1:13">
      <c r="A4509" t="s">
        <v>11443</v>
      </c>
      <c r="B4509" t="s">
        <v>10903</v>
      </c>
      <c r="C4509" s="34" t="s">
        <v>10983</v>
      </c>
      <c r="F4509" t="s">
        <v>10983</v>
      </c>
      <c r="G4509" t="s">
        <v>6932</v>
      </c>
      <c r="H4509">
        <v>5</v>
      </c>
    </row>
    <row r="4510" spans="1:13">
      <c r="A4510" t="s">
        <v>11444</v>
      </c>
      <c r="B4510" t="s">
        <v>10903</v>
      </c>
      <c r="C4510" s="34" t="s">
        <v>10984</v>
      </c>
      <c r="F4510" t="s">
        <v>10984</v>
      </c>
      <c r="G4510" t="s">
        <v>6932</v>
      </c>
      <c r="H4510">
        <v>5</v>
      </c>
    </row>
    <row r="4511" spans="1:13">
      <c r="A4511" t="s">
        <v>11445</v>
      </c>
      <c r="B4511" t="s">
        <v>10903</v>
      </c>
      <c r="C4511" s="34" t="s">
        <v>10985</v>
      </c>
      <c r="F4511" t="s">
        <v>10985</v>
      </c>
      <c r="G4511" t="s">
        <v>6932</v>
      </c>
      <c r="H4511">
        <v>5</v>
      </c>
    </row>
    <row r="4512" spans="1:13">
      <c r="A4512" t="s">
        <v>11446</v>
      </c>
      <c r="B4512" t="s">
        <v>10903</v>
      </c>
      <c r="C4512" s="34" t="s">
        <v>10986</v>
      </c>
      <c r="F4512" t="s">
        <v>10986</v>
      </c>
      <c r="G4512" t="s">
        <v>6932</v>
      </c>
      <c r="H4512">
        <v>5</v>
      </c>
    </row>
    <row r="4513" spans="1:13">
      <c r="A4513" t="s">
        <v>11447</v>
      </c>
      <c r="B4513" t="s">
        <v>10903</v>
      </c>
      <c r="C4513" s="34" t="s">
        <v>10987</v>
      </c>
      <c r="F4513" t="s">
        <v>10987</v>
      </c>
      <c r="G4513" t="s">
        <v>6932</v>
      </c>
      <c r="H4513">
        <v>5</v>
      </c>
    </row>
    <row r="4514" spans="1:13">
      <c r="A4514" t="s">
        <v>11448</v>
      </c>
      <c r="B4514" t="s">
        <v>10903</v>
      </c>
      <c r="C4514" s="34" t="s">
        <v>10988</v>
      </c>
      <c r="F4514" t="s">
        <v>10988</v>
      </c>
      <c r="G4514" t="s">
        <v>6932</v>
      </c>
      <c r="H4514">
        <v>5</v>
      </c>
    </row>
    <row r="4515" spans="1:13">
      <c r="A4515" t="s">
        <v>11449</v>
      </c>
      <c r="B4515" t="s">
        <v>10903</v>
      </c>
      <c r="C4515" s="34" t="s">
        <v>10989</v>
      </c>
      <c r="F4515" t="s">
        <v>10989</v>
      </c>
      <c r="G4515" t="s">
        <v>6932</v>
      </c>
      <c r="H4515">
        <v>5</v>
      </c>
    </row>
    <row r="4516" spans="1:13">
      <c r="A4516" t="s">
        <v>11450</v>
      </c>
      <c r="B4516" t="s">
        <v>10903</v>
      </c>
      <c r="C4516" s="34" t="s">
        <v>10990</v>
      </c>
      <c r="F4516" t="s">
        <v>10990</v>
      </c>
      <c r="G4516" t="s">
        <v>6932</v>
      </c>
      <c r="H4516">
        <v>5</v>
      </c>
    </row>
    <row r="4517" spans="1:13">
      <c r="A4517" t="s">
        <v>11451</v>
      </c>
      <c r="B4517" t="s">
        <v>10903</v>
      </c>
      <c r="C4517" s="34" t="s">
        <v>10991</v>
      </c>
      <c r="F4517" t="s">
        <v>10991</v>
      </c>
      <c r="G4517" t="s">
        <v>6932</v>
      </c>
      <c r="H4517">
        <v>5</v>
      </c>
    </row>
    <row r="4518" spans="1:13">
      <c r="A4518" t="s">
        <v>11452</v>
      </c>
      <c r="B4518" t="s">
        <v>10903</v>
      </c>
      <c r="C4518" s="34" t="s">
        <v>10992</v>
      </c>
      <c r="F4518" t="s">
        <v>10992</v>
      </c>
      <c r="G4518" t="s">
        <v>6932</v>
      </c>
      <c r="H4518">
        <v>5</v>
      </c>
    </row>
    <row r="4519" spans="1:13">
      <c r="A4519" t="s">
        <v>11453</v>
      </c>
      <c r="B4519" t="s">
        <v>10903</v>
      </c>
      <c r="C4519" s="34" t="s">
        <v>10993</v>
      </c>
      <c r="F4519" t="s">
        <v>10993</v>
      </c>
      <c r="G4519" t="s">
        <v>6932</v>
      </c>
      <c r="H4519">
        <v>5</v>
      </c>
    </row>
    <row r="4520" spans="1:13">
      <c r="A4520" t="s">
        <v>11454</v>
      </c>
      <c r="B4520" t="s">
        <v>10903</v>
      </c>
      <c r="C4520" s="34" t="s">
        <v>10994</v>
      </c>
      <c r="F4520" t="s">
        <v>10994</v>
      </c>
      <c r="G4520" t="s">
        <v>6932</v>
      </c>
      <c r="H4520">
        <v>5</v>
      </c>
    </row>
    <row r="4521" spans="1:13">
      <c r="A4521" t="s">
        <v>11455</v>
      </c>
      <c r="B4521" t="s">
        <v>10903</v>
      </c>
      <c r="C4521" s="34" t="s">
        <v>10995</v>
      </c>
      <c r="F4521" t="s">
        <v>10995</v>
      </c>
      <c r="G4521" t="s">
        <v>6932</v>
      </c>
      <c r="H4521">
        <v>5</v>
      </c>
    </row>
    <row r="4522" spans="1:13">
      <c r="A4522" t="s">
        <v>11456</v>
      </c>
      <c r="B4522" t="s">
        <v>10903</v>
      </c>
      <c r="C4522" s="34" t="s">
        <v>10996</v>
      </c>
      <c r="F4522" t="s">
        <v>10996</v>
      </c>
      <c r="G4522" t="s">
        <v>6932</v>
      </c>
      <c r="H4522">
        <v>5</v>
      </c>
    </row>
    <row r="4523" spans="1:13">
      <c r="A4523" t="s">
        <v>11457</v>
      </c>
      <c r="B4523" t="s">
        <v>10903</v>
      </c>
      <c r="C4523" s="34" t="s">
        <v>10997</v>
      </c>
      <c r="F4523" t="s">
        <v>10997</v>
      </c>
      <c r="G4523" t="s">
        <v>6932</v>
      </c>
      <c r="H4523">
        <v>5</v>
      </c>
    </row>
    <row r="4524" spans="1:13">
      <c r="A4524" t="s">
        <v>11459</v>
      </c>
      <c r="B4524" t="s">
        <v>10903</v>
      </c>
      <c r="C4524" s="34" t="s">
        <v>10999</v>
      </c>
      <c r="F4524" t="s">
        <v>10999</v>
      </c>
      <c r="G4524" t="s">
        <v>6932</v>
      </c>
      <c r="H4524">
        <v>5</v>
      </c>
    </row>
    <row r="4525" spans="1:13">
      <c r="A4525" t="s">
        <v>3854</v>
      </c>
      <c r="B4525" t="s">
        <v>1820</v>
      </c>
      <c r="C4525" s="34" t="s">
        <v>534</v>
      </c>
      <c r="F4525" t="s">
        <v>534</v>
      </c>
      <c r="H4525">
        <v>5</v>
      </c>
      <c r="I4525">
        <f>VLOOKUP(B4525,BRAND!B:D,3,FALSE)</f>
        <v>3</v>
      </c>
      <c r="J4525">
        <v>6</v>
      </c>
      <c r="K4525" t="s">
        <v>821</v>
      </c>
      <c r="L4525">
        <v>0</v>
      </c>
      <c r="M4525">
        <v>0</v>
      </c>
    </row>
    <row r="4526" spans="1:13">
      <c r="A4526" t="s">
        <v>8522</v>
      </c>
      <c r="B4526" t="s">
        <v>8523</v>
      </c>
      <c r="C4526" s="34" t="s">
        <v>777</v>
      </c>
      <c r="F4526" t="s">
        <v>777</v>
      </c>
      <c r="G4526" t="s">
        <v>6932</v>
      </c>
      <c r="H4526">
        <v>5</v>
      </c>
      <c r="I4526">
        <f>VLOOKUP(B4526,BRAND!B:D,3,FALSE)</f>
        <v>5.5</v>
      </c>
      <c r="J4526">
        <v>7</v>
      </c>
      <c r="M4526">
        <v>1</v>
      </c>
    </row>
    <row r="4527" spans="1:13">
      <c r="A4527" t="s">
        <v>8524</v>
      </c>
      <c r="B4527" t="s">
        <v>8523</v>
      </c>
      <c r="C4527" s="34" t="s">
        <v>842</v>
      </c>
      <c r="F4527" t="s">
        <v>842</v>
      </c>
      <c r="G4527" t="s">
        <v>6932</v>
      </c>
      <c r="H4527">
        <v>5</v>
      </c>
      <c r="I4527">
        <f>VLOOKUP(B4527,BRAND!B:D,3,FALSE)</f>
        <v>5.5</v>
      </c>
      <c r="J4527">
        <v>5</v>
      </c>
      <c r="L4527">
        <v>1</v>
      </c>
      <c r="M4527">
        <v>1</v>
      </c>
    </row>
    <row r="4528" spans="1:13">
      <c r="A4528" t="s">
        <v>11549</v>
      </c>
      <c r="B4528" t="s">
        <v>10923</v>
      </c>
      <c r="C4528" s="34" t="s">
        <v>5374</v>
      </c>
      <c r="F4528" t="s">
        <v>777</v>
      </c>
      <c r="G4528" t="s">
        <v>6932</v>
      </c>
      <c r="H4528">
        <v>5</v>
      </c>
    </row>
    <row r="4529" spans="1:13">
      <c r="A4529" t="s">
        <v>11551</v>
      </c>
      <c r="B4529" t="s">
        <v>10923</v>
      </c>
      <c r="C4529" s="34" t="s">
        <v>11037</v>
      </c>
      <c r="F4529" t="s">
        <v>11037</v>
      </c>
      <c r="G4529" t="s">
        <v>6932</v>
      </c>
      <c r="H4529">
        <v>5</v>
      </c>
    </row>
    <row r="4530" spans="1:13">
      <c r="A4530" t="s">
        <v>11552</v>
      </c>
      <c r="B4530" t="s">
        <v>10923</v>
      </c>
      <c r="C4530" s="34" t="s">
        <v>8902</v>
      </c>
      <c r="F4530" t="s">
        <v>8902</v>
      </c>
      <c r="G4530" t="s">
        <v>6932</v>
      </c>
      <c r="H4530">
        <v>5</v>
      </c>
    </row>
    <row r="4531" spans="1:13">
      <c r="A4531" t="s">
        <v>11553</v>
      </c>
      <c r="B4531" t="s">
        <v>10923</v>
      </c>
      <c r="C4531" s="34" t="s">
        <v>11038</v>
      </c>
      <c r="F4531" t="s">
        <v>11038</v>
      </c>
      <c r="G4531" t="s">
        <v>6932</v>
      </c>
      <c r="H4531">
        <v>5</v>
      </c>
    </row>
    <row r="4532" spans="1:13">
      <c r="A4532" t="s">
        <v>11556</v>
      </c>
      <c r="B4532" t="s">
        <v>10923</v>
      </c>
      <c r="C4532" s="34" t="s">
        <v>11039</v>
      </c>
      <c r="F4532" t="s">
        <v>11039</v>
      </c>
      <c r="G4532" t="s">
        <v>6932</v>
      </c>
      <c r="H4532">
        <v>5</v>
      </c>
    </row>
    <row r="4533" spans="1:13">
      <c r="A4533" t="s">
        <v>11558</v>
      </c>
      <c r="B4533" t="s">
        <v>10923</v>
      </c>
      <c r="C4533" s="34" t="s">
        <v>9532</v>
      </c>
      <c r="F4533" t="s">
        <v>9532</v>
      </c>
      <c r="G4533" t="s">
        <v>6932</v>
      </c>
      <c r="H4533">
        <v>5</v>
      </c>
    </row>
    <row r="4534" spans="1:13">
      <c r="A4534" t="s">
        <v>11559</v>
      </c>
      <c r="B4534" t="s">
        <v>10923</v>
      </c>
      <c r="C4534" s="34" t="s">
        <v>6361</v>
      </c>
      <c r="F4534" t="s">
        <v>6361</v>
      </c>
      <c r="G4534" t="s">
        <v>6932</v>
      </c>
      <c r="H4534">
        <v>5</v>
      </c>
    </row>
    <row r="4535" spans="1:13">
      <c r="A4535" t="s">
        <v>11552</v>
      </c>
      <c r="B4535" t="s">
        <v>10923</v>
      </c>
      <c r="C4535" s="34" t="s">
        <v>8902</v>
      </c>
      <c r="F4535" t="s">
        <v>8902</v>
      </c>
      <c r="G4535" t="s">
        <v>6932</v>
      </c>
      <c r="H4535">
        <v>5</v>
      </c>
    </row>
    <row r="4536" spans="1:13">
      <c r="A4536" t="s">
        <v>11560</v>
      </c>
      <c r="B4536" t="s">
        <v>10923</v>
      </c>
      <c r="C4536" s="34" t="s">
        <v>506</v>
      </c>
      <c r="F4536" t="s">
        <v>506</v>
      </c>
      <c r="G4536" t="s">
        <v>6932</v>
      </c>
      <c r="H4536">
        <v>5</v>
      </c>
    </row>
    <row r="4537" spans="1:13">
      <c r="A4537" t="s">
        <v>11561</v>
      </c>
      <c r="B4537" t="s">
        <v>10923</v>
      </c>
      <c r="C4537" s="34" t="s">
        <v>6351</v>
      </c>
      <c r="F4537" t="s">
        <v>6351</v>
      </c>
      <c r="G4537" t="s">
        <v>6932</v>
      </c>
      <c r="H4537">
        <v>5</v>
      </c>
    </row>
    <row r="4538" spans="1:13">
      <c r="A4538" t="s">
        <v>3060</v>
      </c>
      <c r="B4538" t="s">
        <v>422</v>
      </c>
      <c r="C4538" s="34" t="s">
        <v>1438</v>
      </c>
      <c r="F4538" t="s">
        <v>1438</v>
      </c>
      <c r="H4538">
        <v>15</v>
      </c>
      <c r="I4538">
        <f>VLOOKUP(B4538,BRAND!B:D,3,FALSE)</f>
        <v>3</v>
      </c>
      <c r="J4538">
        <v>4</v>
      </c>
      <c r="K4538" t="s">
        <v>821</v>
      </c>
      <c r="M4538">
        <v>1</v>
      </c>
    </row>
    <row r="4539" spans="1:13">
      <c r="A4539" t="s">
        <v>4819</v>
      </c>
      <c r="B4539" t="s">
        <v>1287</v>
      </c>
      <c r="C4539" s="34" t="s">
        <v>876</v>
      </c>
      <c r="F4539" t="s">
        <v>876</v>
      </c>
      <c r="H4539">
        <v>5</v>
      </c>
      <c r="I4539">
        <f>VLOOKUP(B4539,BRAND!B:D,3,FALSE)</f>
        <v>3</v>
      </c>
      <c r="J4539">
        <v>4</v>
      </c>
      <c r="K4539" t="s">
        <v>821</v>
      </c>
      <c r="L4539">
        <v>0</v>
      </c>
      <c r="M4539">
        <v>0</v>
      </c>
    </row>
    <row r="4540" spans="1:13">
      <c r="A4540" t="s">
        <v>2930</v>
      </c>
      <c r="B4540" t="s">
        <v>1287</v>
      </c>
      <c r="C4540" s="34" t="s">
        <v>1438</v>
      </c>
      <c r="F4540" t="s">
        <v>1438</v>
      </c>
      <c r="H4540">
        <v>15</v>
      </c>
      <c r="I4540">
        <f>VLOOKUP(B4540,BRAND!B:D,3,FALSE)</f>
        <v>3</v>
      </c>
      <c r="J4540">
        <v>4</v>
      </c>
      <c r="K4540" t="s">
        <v>821</v>
      </c>
      <c r="L4540">
        <v>0</v>
      </c>
      <c r="M4540">
        <v>0</v>
      </c>
    </row>
    <row r="4541" spans="1:13">
      <c r="A4541" t="s">
        <v>3210</v>
      </c>
      <c r="B4541" t="s">
        <v>423</v>
      </c>
      <c r="C4541" s="34" t="s">
        <v>561</v>
      </c>
      <c r="F4541" t="s">
        <v>561</v>
      </c>
      <c r="H4541">
        <v>5</v>
      </c>
      <c r="I4541">
        <f>VLOOKUP(B4541,BRAND!B:D,3,FALSE)</f>
        <v>3</v>
      </c>
      <c r="J4541">
        <v>3</v>
      </c>
      <c r="K4541" t="s">
        <v>821</v>
      </c>
      <c r="M4541">
        <v>1</v>
      </c>
    </row>
    <row r="4542" spans="1:13">
      <c r="A4542" t="s">
        <v>3326</v>
      </c>
      <c r="B4542" t="s">
        <v>423</v>
      </c>
      <c r="C4542" s="34" t="s">
        <v>1438</v>
      </c>
      <c r="F4542" t="s">
        <v>1438</v>
      </c>
      <c r="H4542">
        <v>15</v>
      </c>
      <c r="I4542">
        <f>VLOOKUP(B4542,BRAND!B:D,3,FALSE)</f>
        <v>3</v>
      </c>
      <c r="J4542">
        <v>4</v>
      </c>
      <c r="K4542" t="s">
        <v>821</v>
      </c>
      <c r="L4542">
        <v>0</v>
      </c>
      <c r="M4542">
        <v>0</v>
      </c>
    </row>
    <row r="4543" spans="1:13">
      <c r="A4543" t="s">
        <v>3651</v>
      </c>
      <c r="B4543" t="s">
        <v>101</v>
      </c>
      <c r="C4543" s="34" t="s">
        <v>794</v>
      </c>
      <c r="F4543" t="s">
        <v>794</v>
      </c>
      <c r="H4543">
        <v>5</v>
      </c>
      <c r="I4543">
        <f>VLOOKUP(B4543,BRAND!B:D,3,FALSE)</f>
        <v>3</v>
      </c>
      <c r="J4543">
        <f>LEN(F4543)</f>
        <v>10</v>
      </c>
      <c r="K4543" t="s">
        <v>821</v>
      </c>
      <c r="M4543">
        <v>1</v>
      </c>
    </row>
    <row r="4544" spans="1:13">
      <c r="A4544" t="s">
        <v>2841</v>
      </c>
      <c r="B4544" t="s">
        <v>101</v>
      </c>
      <c r="C4544" s="34" t="s">
        <v>772</v>
      </c>
      <c r="F4544" t="s">
        <v>772</v>
      </c>
      <c r="H4544">
        <v>5</v>
      </c>
      <c r="I4544">
        <f>VLOOKUP(B4544,BRAND!B:D,3,FALSE)</f>
        <v>3</v>
      </c>
      <c r="J4544">
        <v>6</v>
      </c>
      <c r="K4544" t="s">
        <v>821</v>
      </c>
      <c r="M4544">
        <v>1</v>
      </c>
    </row>
    <row r="4545" spans="1:13">
      <c r="A4545" t="s">
        <v>4376</v>
      </c>
      <c r="B4545" t="s">
        <v>101</v>
      </c>
      <c r="C4545" s="34" t="s">
        <v>851</v>
      </c>
      <c r="F4545" t="s">
        <v>851</v>
      </c>
      <c r="H4545">
        <v>5</v>
      </c>
      <c r="I4545">
        <f>VLOOKUP(B4545,BRAND!B:D,3,FALSE)</f>
        <v>3</v>
      </c>
      <c r="J4545">
        <v>6</v>
      </c>
      <c r="K4545" t="s">
        <v>821</v>
      </c>
      <c r="M4545">
        <v>1</v>
      </c>
    </row>
    <row r="4546" spans="1:13">
      <c r="A4546" t="s">
        <v>3567</v>
      </c>
      <c r="B4546" t="s">
        <v>101</v>
      </c>
      <c r="C4546" s="34" t="s">
        <v>534</v>
      </c>
      <c r="F4546" t="s">
        <v>534</v>
      </c>
      <c r="H4546">
        <v>5</v>
      </c>
      <c r="I4546">
        <f>VLOOKUP(B4546,BRAND!B:D,3,FALSE)</f>
        <v>3</v>
      </c>
      <c r="J4546">
        <v>6</v>
      </c>
      <c r="K4546" t="s">
        <v>821</v>
      </c>
      <c r="M4546">
        <v>1</v>
      </c>
    </row>
    <row r="4547" spans="1:13">
      <c r="A4547" t="s">
        <v>2839</v>
      </c>
      <c r="B4547" t="s">
        <v>101</v>
      </c>
      <c r="C4547" s="34" t="s">
        <v>536</v>
      </c>
      <c r="F4547" t="s">
        <v>536</v>
      </c>
      <c r="H4547">
        <v>5</v>
      </c>
      <c r="I4547">
        <f>VLOOKUP(B4547,BRAND!B:D,3,FALSE)</f>
        <v>3</v>
      </c>
      <c r="J4547">
        <v>5</v>
      </c>
      <c r="K4547" t="s">
        <v>821</v>
      </c>
      <c r="M4547">
        <v>1</v>
      </c>
    </row>
    <row r="4548" spans="1:13">
      <c r="A4548" t="s">
        <v>4230</v>
      </c>
      <c r="B4548" t="s">
        <v>101</v>
      </c>
      <c r="C4548" s="34" t="s">
        <v>768</v>
      </c>
      <c r="F4548" t="s">
        <v>768</v>
      </c>
      <c r="H4548">
        <v>5</v>
      </c>
      <c r="I4548">
        <f>VLOOKUP(B4548,BRAND!B:D,3,FALSE)</f>
        <v>3</v>
      </c>
      <c r="J4548">
        <v>5</v>
      </c>
      <c r="K4548" t="s">
        <v>821</v>
      </c>
      <c r="M4548">
        <v>1</v>
      </c>
    </row>
    <row r="4549" spans="1:13">
      <c r="A4549" t="s">
        <v>4704</v>
      </c>
      <c r="B4549" t="s">
        <v>101</v>
      </c>
      <c r="C4549" s="34" t="s">
        <v>775</v>
      </c>
      <c r="F4549" t="s">
        <v>775</v>
      </c>
      <c r="H4549">
        <v>5</v>
      </c>
      <c r="I4549">
        <f>VLOOKUP(B4549,BRAND!B:D,3,FALSE)</f>
        <v>3</v>
      </c>
      <c r="J4549">
        <v>3</v>
      </c>
      <c r="K4549" t="s">
        <v>821</v>
      </c>
      <c r="L4549">
        <v>0</v>
      </c>
      <c r="M4549">
        <v>0</v>
      </c>
    </row>
    <row r="4550" spans="1:13">
      <c r="A4550" t="s">
        <v>2342</v>
      </c>
      <c r="B4550" t="s">
        <v>101</v>
      </c>
      <c r="C4550" s="34" t="s">
        <v>1438</v>
      </c>
      <c r="F4550" t="s">
        <v>1438</v>
      </c>
      <c r="H4550">
        <v>15</v>
      </c>
      <c r="I4550">
        <f>VLOOKUP(B4550,BRAND!B:D,3,FALSE)</f>
        <v>3</v>
      </c>
      <c r="J4550">
        <v>4</v>
      </c>
      <c r="K4550" t="s">
        <v>821</v>
      </c>
      <c r="M4550">
        <v>1</v>
      </c>
    </row>
    <row r="4551" spans="1:13">
      <c r="A4551" t="s">
        <v>8525</v>
      </c>
      <c r="B4551" t="s">
        <v>8526</v>
      </c>
      <c r="C4551" s="34" t="s">
        <v>8527</v>
      </c>
      <c r="F4551" t="s">
        <v>8527</v>
      </c>
      <c r="G4551" t="s">
        <v>6932</v>
      </c>
      <c r="H4551">
        <v>5</v>
      </c>
      <c r="I4551">
        <f>VLOOKUP(B4551,BRAND!B:D,3,FALSE)</f>
        <v>5.5</v>
      </c>
      <c r="J4551">
        <v>9</v>
      </c>
      <c r="L4551">
        <v>0</v>
      </c>
      <c r="M4551">
        <v>0</v>
      </c>
    </row>
    <row r="4552" spans="1:13">
      <c r="A4552" t="s">
        <v>9721</v>
      </c>
      <c r="B4552" t="s">
        <v>8526</v>
      </c>
      <c r="C4552" s="34" t="s">
        <v>757</v>
      </c>
      <c r="G4552" t="s">
        <v>6932</v>
      </c>
      <c r="H4552">
        <v>5</v>
      </c>
      <c r="I4552">
        <f>VLOOKUP(B4552,BRAND!B:D,3,FALSE)</f>
        <v>5.5</v>
      </c>
      <c r="J4552">
        <v>0</v>
      </c>
      <c r="M4552">
        <v>1</v>
      </c>
    </row>
    <row r="4553" spans="1:13">
      <c r="A4553" t="s">
        <v>8528</v>
      </c>
      <c r="B4553" t="s">
        <v>8529</v>
      </c>
      <c r="C4553" s="34" t="s">
        <v>1438</v>
      </c>
      <c r="F4553" t="s">
        <v>1438</v>
      </c>
      <c r="G4553" t="s">
        <v>6932</v>
      </c>
      <c r="H4553">
        <v>5</v>
      </c>
      <c r="I4553">
        <f>VLOOKUP(B4553,BRAND!B:D,3,FALSE)</f>
        <v>5.5</v>
      </c>
      <c r="J4553">
        <v>4</v>
      </c>
      <c r="M4553">
        <v>1</v>
      </c>
    </row>
    <row r="4554" spans="1:13">
      <c r="A4554" t="s">
        <v>14922</v>
      </c>
      <c r="B4554" t="s">
        <v>14923</v>
      </c>
      <c r="C4554" s="34" t="s">
        <v>536</v>
      </c>
      <c r="F4554" t="s">
        <v>536</v>
      </c>
      <c r="G4554" t="s">
        <v>6932</v>
      </c>
      <c r="H4554">
        <v>5</v>
      </c>
      <c r="I4554">
        <f>VLOOKUP(B4554,BRAND!B:D,3,FALSE)</f>
        <v>5</v>
      </c>
      <c r="J4554">
        <v>0</v>
      </c>
      <c r="K4554" t="s">
        <v>821</v>
      </c>
      <c r="L4554">
        <v>0</v>
      </c>
      <c r="M4554">
        <v>0</v>
      </c>
    </row>
    <row r="4555" spans="1:13">
      <c r="A4555" t="s">
        <v>14924</v>
      </c>
      <c r="B4555" t="s">
        <v>14923</v>
      </c>
      <c r="C4555" s="34" t="s">
        <v>14925</v>
      </c>
      <c r="F4555" t="s">
        <v>14925</v>
      </c>
      <c r="G4555" t="s">
        <v>6932</v>
      </c>
      <c r="H4555">
        <v>5</v>
      </c>
      <c r="I4555">
        <f>VLOOKUP(B4555,BRAND!B:D,3,FALSE)</f>
        <v>5</v>
      </c>
      <c r="J4555">
        <v>0</v>
      </c>
      <c r="K4555" t="s">
        <v>821</v>
      </c>
      <c r="L4555">
        <v>0</v>
      </c>
      <c r="M4555">
        <v>0</v>
      </c>
    </row>
    <row r="4556" spans="1:13">
      <c r="A4556" t="s">
        <v>14926</v>
      </c>
      <c r="B4556" t="s">
        <v>14923</v>
      </c>
      <c r="C4556" s="34" t="s">
        <v>8225</v>
      </c>
      <c r="F4556" t="s">
        <v>8225</v>
      </c>
      <c r="G4556" t="s">
        <v>6932</v>
      </c>
      <c r="H4556">
        <v>5</v>
      </c>
      <c r="I4556">
        <f>VLOOKUP(B4556,BRAND!B:D,3,FALSE)</f>
        <v>5</v>
      </c>
      <c r="J4556">
        <v>0</v>
      </c>
      <c r="K4556" t="s">
        <v>821</v>
      </c>
      <c r="L4556">
        <v>0</v>
      </c>
      <c r="M4556">
        <v>0</v>
      </c>
    </row>
    <row r="4557" spans="1:13">
      <c r="A4557" t="s">
        <v>14927</v>
      </c>
      <c r="B4557" t="s">
        <v>14923</v>
      </c>
      <c r="C4557" s="34" t="s">
        <v>7377</v>
      </c>
      <c r="F4557" t="s">
        <v>7377</v>
      </c>
      <c r="G4557" t="s">
        <v>6932</v>
      </c>
      <c r="H4557">
        <v>5</v>
      </c>
      <c r="I4557">
        <f>VLOOKUP(B4557,BRAND!B:D,3,FALSE)</f>
        <v>5</v>
      </c>
      <c r="J4557">
        <v>0</v>
      </c>
      <c r="K4557" t="s">
        <v>821</v>
      </c>
      <c r="L4557">
        <v>0</v>
      </c>
      <c r="M4557">
        <v>0</v>
      </c>
    </row>
    <row r="4558" spans="1:13">
      <c r="A4558" t="s">
        <v>14928</v>
      </c>
      <c r="B4558" t="s">
        <v>14923</v>
      </c>
      <c r="C4558" s="34">
        <v>10</v>
      </c>
      <c r="F4558">
        <v>10</v>
      </c>
      <c r="G4558" t="s">
        <v>6932</v>
      </c>
      <c r="H4558">
        <v>5</v>
      </c>
      <c r="I4558">
        <f>VLOOKUP(B4558,BRAND!B:D,3,FALSE)</f>
        <v>5</v>
      </c>
      <c r="J4558">
        <v>0</v>
      </c>
      <c r="K4558" t="s">
        <v>821</v>
      </c>
      <c r="L4558">
        <v>0</v>
      </c>
      <c r="M4558">
        <v>0</v>
      </c>
    </row>
    <row r="4559" spans="1:13">
      <c r="A4559" t="s">
        <v>2560</v>
      </c>
      <c r="B4559" t="s">
        <v>549</v>
      </c>
      <c r="C4559" s="34" t="s">
        <v>1438</v>
      </c>
      <c r="F4559" t="s">
        <v>1438</v>
      </c>
      <c r="H4559">
        <v>15</v>
      </c>
      <c r="I4559">
        <f>VLOOKUP(B4559,BRAND!B:D,3,FALSE)</f>
        <v>3</v>
      </c>
      <c r="J4559">
        <v>4</v>
      </c>
      <c r="K4559" t="s">
        <v>821</v>
      </c>
      <c r="M4559">
        <v>1</v>
      </c>
    </row>
    <row r="4560" spans="1:13">
      <c r="A4560" t="s">
        <v>6913</v>
      </c>
      <c r="B4560" t="s">
        <v>6914</v>
      </c>
      <c r="C4560" s="34" t="s">
        <v>995</v>
      </c>
      <c r="F4560" t="s">
        <v>995</v>
      </c>
      <c r="H4560">
        <v>5</v>
      </c>
      <c r="I4560">
        <f>VLOOKUP(B4560,BRAND!B:D,3,FALSE)</f>
        <v>5</v>
      </c>
      <c r="J4560">
        <v>6</v>
      </c>
      <c r="M4560">
        <v>1</v>
      </c>
    </row>
    <row r="4561" spans="1:13">
      <c r="A4561" t="s">
        <v>5270</v>
      </c>
      <c r="B4561" t="s">
        <v>672</v>
      </c>
      <c r="C4561" s="34" t="s">
        <v>878</v>
      </c>
      <c r="F4561" t="s">
        <v>878</v>
      </c>
      <c r="H4561">
        <v>3</v>
      </c>
      <c r="I4561">
        <f>VLOOKUP(B4561,BRAND!B:D,3,FALSE)</f>
        <v>3</v>
      </c>
      <c r="J4561">
        <v>8</v>
      </c>
      <c r="K4561" t="s">
        <v>821</v>
      </c>
      <c r="L4561">
        <v>0</v>
      </c>
      <c r="M4561">
        <v>0</v>
      </c>
    </row>
    <row r="4562" spans="1:13">
      <c r="A4562" t="s">
        <v>2496</v>
      </c>
      <c r="B4562" t="s">
        <v>672</v>
      </c>
      <c r="C4562" s="34" t="s">
        <v>774</v>
      </c>
      <c r="F4562" t="s">
        <v>774</v>
      </c>
      <c r="H4562">
        <v>5</v>
      </c>
      <c r="I4562">
        <f>VLOOKUP(B4562,BRAND!B:D,3,FALSE)</f>
        <v>3</v>
      </c>
      <c r="J4562">
        <v>9</v>
      </c>
      <c r="K4562" t="s">
        <v>821</v>
      </c>
      <c r="L4562">
        <v>0</v>
      </c>
      <c r="M4562">
        <v>0</v>
      </c>
    </row>
    <row r="4563" spans="1:13">
      <c r="A4563" t="s">
        <v>3982</v>
      </c>
      <c r="B4563" t="s">
        <v>672</v>
      </c>
      <c r="C4563" s="34" t="s">
        <v>5398</v>
      </c>
      <c r="F4563" t="s">
        <v>798</v>
      </c>
      <c r="H4563">
        <v>5</v>
      </c>
      <c r="I4563">
        <f>VLOOKUP(B4563,BRAND!B:D,3,FALSE)</f>
        <v>3</v>
      </c>
      <c r="J4563">
        <v>9</v>
      </c>
      <c r="K4563" t="s">
        <v>821</v>
      </c>
      <c r="M4563">
        <v>1</v>
      </c>
    </row>
    <row r="4564" spans="1:13">
      <c r="A4564" t="s">
        <v>3824</v>
      </c>
      <c r="B4564" t="s">
        <v>672</v>
      </c>
      <c r="C4564" s="34" t="s">
        <v>769</v>
      </c>
      <c r="F4564" t="s">
        <v>769</v>
      </c>
      <c r="H4564">
        <v>5</v>
      </c>
      <c r="I4564">
        <f>VLOOKUP(B4564,BRAND!B:D,3,FALSE)</f>
        <v>3</v>
      </c>
      <c r="J4564">
        <v>8</v>
      </c>
      <c r="K4564" t="s">
        <v>821</v>
      </c>
      <c r="M4564">
        <v>1</v>
      </c>
    </row>
    <row r="4565" spans="1:13">
      <c r="A4565" t="s">
        <v>4679</v>
      </c>
      <c r="B4565" t="s">
        <v>672</v>
      </c>
      <c r="C4565" s="34" t="s">
        <v>930</v>
      </c>
      <c r="F4565" t="s">
        <v>930</v>
      </c>
      <c r="H4565">
        <v>5</v>
      </c>
      <c r="I4565">
        <f>VLOOKUP(B4565,BRAND!B:D,3,FALSE)</f>
        <v>3</v>
      </c>
      <c r="J4565">
        <v>6</v>
      </c>
      <c r="K4565" t="s">
        <v>821</v>
      </c>
      <c r="L4565">
        <v>0</v>
      </c>
      <c r="M4565">
        <v>0</v>
      </c>
    </row>
    <row r="4566" spans="1:13">
      <c r="A4566" t="s">
        <v>3981</v>
      </c>
      <c r="B4566" t="s">
        <v>672</v>
      </c>
      <c r="C4566" s="34" t="s">
        <v>534</v>
      </c>
      <c r="F4566" t="s">
        <v>534</v>
      </c>
      <c r="H4566">
        <v>5</v>
      </c>
      <c r="I4566">
        <f>VLOOKUP(B4566,BRAND!B:D,3,FALSE)</f>
        <v>3</v>
      </c>
      <c r="J4566">
        <v>6</v>
      </c>
      <c r="K4566" t="s">
        <v>821</v>
      </c>
      <c r="M4566">
        <v>1</v>
      </c>
    </row>
    <row r="4567" spans="1:13">
      <c r="A4567" t="s">
        <v>6953</v>
      </c>
      <c r="B4567" t="s">
        <v>672</v>
      </c>
      <c r="C4567" s="34" t="s">
        <v>6954</v>
      </c>
      <c r="F4567" t="s">
        <v>842</v>
      </c>
      <c r="H4567">
        <v>5</v>
      </c>
      <c r="I4567">
        <f>VLOOKUP(B4567,BRAND!B:D,3,FALSE)</f>
        <v>3</v>
      </c>
      <c r="J4567">
        <v>5</v>
      </c>
      <c r="K4567" t="s">
        <v>821</v>
      </c>
      <c r="M4567">
        <v>1</v>
      </c>
    </row>
    <row r="4568" spans="1:13">
      <c r="A4568" t="s">
        <v>3353</v>
      </c>
      <c r="B4568" t="s">
        <v>672</v>
      </c>
      <c r="C4568" s="34" t="s">
        <v>872</v>
      </c>
      <c r="F4568" t="s">
        <v>872</v>
      </c>
      <c r="H4568">
        <v>5</v>
      </c>
      <c r="I4568">
        <f>VLOOKUP(B4568,BRAND!B:D,3,FALSE)</f>
        <v>3</v>
      </c>
      <c r="J4568">
        <v>5</v>
      </c>
      <c r="K4568" t="s">
        <v>821</v>
      </c>
      <c r="M4568">
        <v>1</v>
      </c>
    </row>
    <row r="4569" spans="1:13">
      <c r="A4569" t="s">
        <v>3681</v>
      </c>
      <c r="B4569" t="s">
        <v>672</v>
      </c>
      <c r="C4569" s="34" t="s">
        <v>791</v>
      </c>
      <c r="F4569" t="s">
        <v>791</v>
      </c>
      <c r="H4569">
        <v>5</v>
      </c>
      <c r="I4569">
        <f>VLOOKUP(B4569,BRAND!B:D,3,FALSE)</f>
        <v>3</v>
      </c>
      <c r="J4569">
        <v>5</v>
      </c>
      <c r="K4569" t="s">
        <v>821</v>
      </c>
      <c r="M4569">
        <v>1</v>
      </c>
    </row>
    <row r="4570" spans="1:13">
      <c r="A4570" t="s">
        <v>3929</v>
      </c>
      <c r="B4570" t="s">
        <v>672</v>
      </c>
      <c r="C4570" s="34" t="s">
        <v>5399</v>
      </c>
      <c r="F4570" t="s">
        <v>775</v>
      </c>
      <c r="H4570">
        <v>5</v>
      </c>
      <c r="I4570">
        <f>VLOOKUP(B4570,BRAND!B:D,3,FALSE)</f>
        <v>3</v>
      </c>
      <c r="J4570">
        <v>3</v>
      </c>
      <c r="K4570" t="s">
        <v>821</v>
      </c>
      <c r="M4570">
        <v>1</v>
      </c>
    </row>
    <row r="4571" spans="1:13">
      <c r="A4571" t="str">
        <f>B4571&amp;" | "&amp;F4571&amp;" | "&amp;G4571</f>
        <v>KASTEELBIER | TROPICAL | ZERO</v>
      </c>
      <c r="B4571" t="s">
        <v>672</v>
      </c>
      <c r="C4571" t="s">
        <v>769</v>
      </c>
      <c r="F4571" t="s">
        <v>769</v>
      </c>
      <c r="G4571" t="s">
        <v>801</v>
      </c>
      <c r="H4571">
        <v>5</v>
      </c>
    </row>
    <row r="4572" spans="1:13">
      <c r="A4572" t="s">
        <v>5269</v>
      </c>
      <c r="B4572" t="s">
        <v>672</v>
      </c>
      <c r="C4572" s="34" t="s">
        <v>769</v>
      </c>
      <c r="F4572" t="s">
        <v>769</v>
      </c>
      <c r="G4572" t="s">
        <v>801</v>
      </c>
      <c r="H4572">
        <v>6</v>
      </c>
      <c r="I4572">
        <f>VLOOKUP(B4572,BRAND!B:D,3,FALSE)</f>
        <v>3</v>
      </c>
      <c r="J4572">
        <v>8</v>
      </c>
      <c r="K4572" t="s">
        <v>821</v>
      </c>
      <c r="L4572">
        <v>0</v>
      </c>
      <c r="M4572">
        <v>0</v>
      </c>
    </row>
    <row r="4573" spans="1:13">
      <c r="A4573" t="s">
        <v>5012</v>
      </c>
      <c r="B4573" t="s">
        <v>672</v>
      </c>
      <c r="C4573" s="34" t="s">
        <v>5399</v>
      </c>
      <c r="F4573" t="s">
        <v>775</v>
      </c>
      <c r="G4573" t="s">
        <v>801</v>
      </c>
      <c r="H4573">
        <v>6</v>
      </c>
      <c r="I4573">
        <f>VLOOKUP(B4573,BRAND!B:D,3,FALSE)</f>
        <v>3</v>
      </c>
      <c r="J4573">
        <v>3</v>
      </c>
      <c r="K4573" t="s">
        <v>821</v>
      </c>
      <c r="M4573">
        <v>1</v>
      </c>
    </row>
    <row r="4574" spans="1:13">
      <c r="A4574" t="s">
        <v>3299</v>
      </c>
      <c r="B4574" t="s">
        <v>1071</v>
      </c>
      <c r="C4574" s="34" t="s">
        <v>772</v>
      </c>
      <c r="F4574" t="s">
        <v>772</v>
      </c>
      <c r="H4574">
        <v>5</v>
      </c>
      <c r="I4574">
        <f>VLOOKUP(B4574,BRAND!B:D,3,FALSE)</f>
        <v>3</v>
      </c>
      <c r="J4574">
        <v>6</v>
      </c>
      <c r="K4574" t="s">
        <v>821</v>
      </c>
      <c r="L4574">
        <v>0</v>
      </c>
      <c r="M4574">
        <v>0</v>
      </c>
    </row>
    <row r="4575" spans="1:13">
      <c r="A4575" t="s">
        <v>2136</v>
      </c>
      <c r="B4575" t="s">
        <v>1071</v>
      </c>
      <c r="C4575" s="34" t="s">
        <v>536</v>
      </c>
      <c r="F4575" t="s">
        <v>536</v>
      </c>
      <c r="H4575">
        <v>5</v>
      </c>
      <c r="I4575">
        <f>VLOOKUP(B4575,BRAND!B:D,3,FALSE)</f>
        <v>3</v>
      </c>
      <c r="J4575">
        <v>5</v>
      </c>
      <c r="K4575" t="s">
        <v>821</v>
      </c>
      <c r="L4575">
        <v>0</v>
      </c>
      <c r="M4575">
        <v>0</v>
      </c>
    </row>
    <row r="4576" spans="1:13">
      <c r="A4576" t="s">
        <v>2491</v>
      </c>
      <c r="B4576" t="s">
        <v>1071</v>
      </c>
      <c r="C4576" s="34" t="s">
        <v>775</v>
      </c>
      <c r="F4576" t="s">
        <v>775</v>
      </c>
      <c r="H4576">
        <v>5</v>
      </c>
      <c r="I4576">
        <f>VLOOKUP(B4576,BRAND!B:D,3,FALSE)</f>
        <v>3</v>
      </c>
      <c r="J4576">
        <v>3</v>
      </c>
      <c r="K4576" t="s">
        <v>821</v>
      </c>
      <c r="L4576">
        <v>0</v>
      </c>
      <c r="M4576">
        <v>0</v>
      </c>
    </row>
    <row r="4577" spans="1:13">
      <c r="A4577" t="s">
        <v>2439</v>
      </c>
      <c r="B4577" t="s">
        <v>1071</v>
      </c>
      <c r="C4577" s="34" t="s">
        <v>1438</v>
      </c>
      <c r="F4577" t="s">
        <v>1438</v>
      </c>
      <c r="H4577">
        <v>15</v>
      </c>
      <c r="I4577">
        <f>VLOOKUP(B4577,BRAND!B:D,3,FALSE)</f>
        <v>3</v>
      </c>
      <c r="J4577">
        <v>4</v>
      </c>
      <c r="K4577" t="s">
        <v>821</v>
      </c>
      <c r="L4577">
        <v>0</v>
      </c>
      <c r="M4577">
        <v>0</v>
      </c>
    </row>
    <row r="4578" spans="1:13">
      <c r="A4578" t="s">
        <v>3604</v>
      </c>
      <c r="B4578" t="s">
        <v>1779</v>
      </c>
      <c r="C4578" s="34" t="s">
        <v>772</v>
      </c>
      <c r="F4578" t="s">
        <v>772</v>
      </c>
      <c r="H4578">
        <v>5</v>
      </c>
      <c r="I4578">
        <f>VLOOKUP(B4578,BRAND!B:D,3,FALSE)</f>
        <v>3</v>
      </c>
      <c r="J4578">
        <v>6</v>
      </c>
      <c r="K4578" t="s">
        <v>821</v>
      </c>
      <c r="L4578">
        <v>0</v>
      </c>
      <c r="M4578">
        <v>0</v>
      </c>
    </row>
    <row r="4579" spans="1:13">
      <c r="A4579" t="s">
        <v>3603</v>
      </c>
      <c r="B4579" t="s">
        <v>1779</v>
      </c>
      <c r="C4579" s="34" t="s">
        <v>536</v>
      </c>
      <c r="F4579" t="s">
        <v>536</v>
      </c>
      <c r="H4579">
        <v>5</v>
      </c>
      <c r="I4579">
        <f>VLOOKUP(B4579,BRAND!B:D,3,FALSE)</f>
        <v>3</v>
      </c>
      <c r="J4579">
        <v>5</v>
      </c>
      <c r="K4579" t="s">
        <v>821</v>
      </c>
      <c r="L4579">
        <v>0</v>
      </c>
      <c r="M4579">
        <v>0</v>
      </c>
    </row>
    <row r="4580" spans="1:13">
      <c r="A4580" t="s">
        <v>9722</v>
      </c>
      <c r="B4580" t="s">
        <v>1779</v>
      </c>
      <c r="C4580" s="34" t="s">
        <v>6598</v>
      </c>
      <c r="F4580" t="s">
        <v>536</v>
      </c>
      <c r="H4580">
        <v>5</v>
      </c>
      <c r="I4580">
        <f>VLOOKUP(B4580,BRAND!B:D,3,FALSE)</f>
        <v>3</v>
      </c>
      <c r="J4580">
        <v>5</v>
      </c>
      <c r="M4580">
        <v>1</v>
      </c>
    </row>
    <row r="4581" spans="1:13">
      <c r="A4581" t="s">
        <v>9723</v>
      </c>
      <c r="B4581" t="s">
        <v>1779</v>
      </c>
      <c r="C4581" s="34" t="s">
        <v>6599</v>
      </c>
      <c r="F4581" t="s">
        <v>903</v>
      </c>
      <c r="H4581">
        <v>5</v>
      </c>
      <c r="I4581">
        <f>VLOOKUP(B4581,BRAND!B:D,3,FALSE)</f>
        <v>3</v>
      </c>
      <c r="J4581">
        <v>4</v>
      </c>
      <c r="M4581">
        <v>1</v>
      </c>
    </row>
    <row r="4582" spans="1:13">
      <c r="A4582" t="s">
        <v>3071</v>
      </c>
      <c r="B4582" t="s">
        <v>424</v>
      </c>
      <c r="C4582" s="34" t="s">
        <v>1948</v>
      </c>
      <c r="F4582" t="s">
        <v>1948</v>
      </c>
      <c r="H4582">
        <v>5</v>
      </c>
      <c r="I4582">
        <f>VLOOKUP(B4582,BRAND!B:D,3,FALSE)</f>
        <v>3</v>
      </c>
      <c r="J4582">
        <f>LEN(F4582)</f>
        <v>10</v>
      </c>
      <c r="K4582" t="s">
        <v>821</v>
      </c>
      <c r="L4582">
        <v>0</v>
      </c>
      <c r="M4582">
        <v>0</v>
      </c>
    </row>
    <row r="4583" spans="1:13">
      <c r="A4583" t="s">
        <v>8530</v>
      </c>
      <c r="B4583" t="s">
        <v>424</v>
      </c>
      <c r="C4583" s="34" t="s">
        <v>1438</v>
      </c>
      <c r="F4583" t="s">
        <v>1438</v>
      </c>
      <c r="G4583" t="s">
        <v>6932</v>
      </c>
      <c r="H4583">
        <v>5</v>
      </c>
      <c r="I4583">
        <f>VLOOKUP(B4583,BRAND!B:D,3,FALSE)</f>
        <v>3</v>
      </c>
      <c r="J4583">
        <v>4</v>
      </c>
      <c r="L4583">
        <v>0</v>
      </c>
      <c r="M4583">
        <v>0</v>
      </c>
    </row>
    <row r="4584" spans="1:13">
      <c r="A4584" t="s">
        <v>2282</v>
      </c>
      <c r="B4584" t="s">
        <v>424</v>
      </c>
      <c r="C4584" s="34" t="s">
        <v>1438</v>
      </c>
      <c r="F4584" t="s">
        <v>1438</v>
      </c>
      <c r="H4584">
        <v>15</v>
      </c>
      <c r="I4584">
        <f>VLOOKUP(B4584,BRAND!B:D,3,FALSE)</f>
        <v>3</v>
      </c>
      <c r="J4584">
        <v>4</v>
      </c>
      <c r="K4584" t="s">
        <v>821</v>
      </c>
      <c r="M4584">
        <v>1</v>
      </c>
    </row>
    <row r="4585" spans="1:13">
      <c r="A4585" t="s">
        <v>13824</v>
      </c>
      <c r="B4585" t="s">
        <v>474</v>
      </c>
      <c r="C4585" s="34" t="s">
        <v>13825</v>
      </c>
      <c r="F4585" t="s">
        <v>13826</v>
      </c>
      <c r="G4585" t="s">
        <v>6932</v>
      </c>
      <c r="H4585">
        <v>4</v>
      </c>
      <c r="I4585">
        <f>VLOOKUP(B4585,BRAND!B:D,3,FALSE)</f>
        <v>5</v>
      </c>
      <c r="J4585">
        <f t="shared" ref="J4585:J4628" si="48">LEN(F4585)</f>
        <v>19</v>
      </c>
      <c r="K4585" t="s">
        <v>821</v>
      </c>
      <c r="L4585">
        <v>0</v>
      </c>
      <c r="M4585">
        <v>1</v>
      </c>
    </row>
    <row r="4586" spans="1:13">
      <c r="A4586" t="s">
        <v>13809</v>
      </c>
      <c r="B4586" t="s">
        <v>474</v>
      </c>
      <c r="C4586" s="34" t="s">
        <v>13810</v>
      </c>
      <c r="F4586" t="s">
        <v>13811</v>
      </c>
      <c r="G4586" t="s">
        <v>6932</v>
      </c>
      <c r="H4586">
        <v>5</v>
      </c>
      <c r="I4586">
        <f>VLOOKUP(B4586,BRAND!B:D,3,FALSE)</f>
        <v>5</v>
      </c>
      <c r="J4586">
        <f t="shared" si="48"/>
        <v>54</v>
      </c>
      <c r="K4586" t="s">
        <v>821</v>
      </c>
      <c r="L4586">
        <v>0</v>
      </c>
      <c r="M4586">
        <v>1</v>
      </c>
    </row>
    <row r="4587" spans="1:13">
      <c r="A4587" t="s">
        <v>13866</v>
      </c>
      <c r="B4587" t="s">
        <v>474</v>
      </c>
      <c r="C4587" s="34" t="s">
        <v>13867</v>
      </c>
      <c r="F4587" t="s">
        <v>13868</v>
      </c>
      <c r="G4587" t="s">
        <v>6932</v>
      </c>
      <c r="H4587">
        <v>5</v>
      </c>
      <c r="I4587">
        <f>VLOOKUP(B4587,BRAND!B:D,3,FALSE)</f>
        <v>5</v>
      </c>
      <c r="J4587">
        <f t="shared" si="48"/>
        <v>43</v>
      </c>
      <c r="K4587" t="s">
        <v>821</v>
      </c>
      <c r="L4587">
        <v>0</v>
      </c>
      <c r="M4587">
        <v>1</v>
      </c>
    </row>
    <row r="4588" spans="1:13">
      <c r="A4588" t="s">
        <v>13817</v>
      </c>
      <c r="B4588" t="s">
        <v>474</v>
      </c>
      <c r="C4588" s="34" t="s">
        <v>13440</v>
      </c>
      <c r="F4588" t="s">
        <v>13818</v>
      </c>
      <c r="G4588" t="s">
        <v>6932</v>
      </c>
      <c r="H4588">
        <v>5</v>
      </c>
      <c r="I4588">
        <f>VLOOKUP(B4588,BRAND!B:D,3,FALSE)</f>
        <v>5</v>
      </c>
      <c r="J4588">
        <f t="shared" si="48"/>
        <v>29</v>
      </c>
      <c r="K4588" t="s">
        <v>821</v>
      </c>
      <c r="L4588">
        <v>0</v>
      </c>
      <c r="M4588">
        <v>1</v>
      </c>
    </row>
    <row r="4589" spans="1:13">
      <c r="A4589" t="s">
        <v>13860</v>
      </c>
      <c r="B4589" t="s">
        <v>474</v>
      </c>
      <c r="C4589" s="34" t="s">
        <v>13861</v>
      </c>
      <c r="F4589" t="s">
        <v>13862</v>
      </c>
      <c r="G4589" t="s">
        <v>6932</v>
      </c>
      <c r="H4589">
        <v>5</v>
      </c>
      <c r="I4589">
        <f>VLOOKUP(B4589,BRAND!B:D,3,FALSE)</f>
        <v>5</v>
      </c>
      <c r="J4589">
        <f t="shared" si="48"/>
        <v>28</v>
      </c>
      <c r="K4589" t="s">
        <v>821</v>
      </c>
      <c r="L4589">
        <v>0</v>
      </c>
      <c r="M4589">
        <v>1</v>
      </c>
    </row>
    <row r="4590" spans="1:13">
      <c r="A4590" t="s">
        <v>13832</v>
      </c>
      <c r="B4590" t="s">
        <v>474</v>
      </c>
      <c r="C4590" s="34" t="s">
        <v>13833</v>
      </c>
      <c r="F4590" t="s">
        <v>13834</v>
      </c>
      <c r="G4590" t="s">
        <v>6932</v>
      </c>
      <c r="H4590">
        <v>5</v>
      </c>
      <c r="I4590">
        <f>VLOOKUP(B4590,BRAND!B:D,3,FALSE)</f>
        <v>5</v>
      </c>
      <c r="J4590">
        <f t="shared" si="48"/>
        <v>25</v>
      </c>
      <c r="K4590" t="s">
        <v>821</v>
      </c>
      <c r="L4590">
        <v>0</v>
      </c>
      <c r="M4590">
        <v>1</v>
      </c>
    </row>
    <row r="4591" spans="1:13">
      <c r="A4591" t="s">
        <v>13844</v>
      </c>
      <c r="B4591" t="s">
        <v>474</v>
      </c>
      <c r="C4591" s="34" t="s">
        <v>13845</v>
      </c>
      <c r="F4591" t="s">
        <v>13846</v>
      </c>
      <c r="G4591" t="s">
        <v>6932</v>
      </c>
      <c r="H4591">
        <v>5</v>
      </c>
      <c r="I4591">
        <f>VLOOKUP(B4591,BRAND!B:D,3,FALSE)</f>
        <v>5</v>
      </c>
      <c r="J4591">
        <f t="shared" si="48"/>
        <v>25</v>
      </c>
      <c r="K4591" t="s">
        <v>821</v>
      </c>
      <c r="L4591">
        <v>0</v>
      </c>
      <c r="M4591">
        <v>1</v>
      </c>
    </row>
    <row r="4592" spans="1:13">
      <c r="A4592" t="s">
        <v>13855</v>
      </c>
      <c r="B4592" t="s">
        <v>474</v>
      </c>
      <c r="C4592" s="34" t="s">
        <v>13856</v>
      </c>
      <c r="F4592" t="s">
        <v>13857</v>
      </c>
      <c r="G4592" t="s">
        <v>6932</v>
      </c>
      <c r="H4592">
        <v>5</v>
      </c>
      <c r="I4592">
        <f>VLOOKUP(B4592,BRAND!B:D,3,FALSE)</f>
        <v>5</v>
      </c>
      <c r="J4592">
        <f t="shared" si="48"/>
        <v>24</v>
      </c>
      <c r="K4592" t="s">
        <v>821</v>
      </c>
      <c r="L4592">
        <v>0</v>
      </c>
      <c r="M4592">
        <v>1</v>
      </c>
    </row>
    <row r="4593" spans="1:13">
      <c r="A4593" t="s">
        <v>13838</v>
      </c>
      <c r="B4593" t="s">
        <v>474</v>
      </c>
      <c r="C4593" s="34" t="s">
        <v>6925</v>
      </c>
      <c r="F4593" t="s">
        <v>13839</v>
      </c>
      <c r="G4593" t="s">
        <v>6932</v>
      </c>
      <c r="H4593">
        <v>5</v>
      </c>
      <c r="I4593">
        <f>VLOOKUP(B4593,BRAND!B:D,3,FALSE)</f>
        <v>5</v>
      </c>
      <c r="J4593">
        <f t="shared" si="48"/>
        <v>24</v>
      </c>
      <c r="K4593" t="s">
        <v>821</v>
      </c>
      <c r="L4593">
        <v>0</v>
      </c>
      <c r="M4593">
        <v>1</v>
      </c>
    </row>
    <row r="4594" spans="1:13">
      <c r="A4594" t="s">
        <v>13827</v>
      </c>
      <c r="B4594" t="s">
        <v>474</v>
      </c>
      <c r="C4594" s="34" t="s">
        <v>13828</v>
      </c>
      <c r="F4594" t="s">
        <v>13829</v>
      </c>
      <c r="G4594" t="s">
        <v>6932</v>
      </c>
      <c r="H4594">
        <v>5</v>
      </c>
      <c r="I4594">
        <f>VLOOKUP(B4594,BRAND!B:D,3,FALSE)</f>
        <v>5</v>
      </c>
      <c r="J4594">
        <f t="shared" si="48"/>
        <v>22</v>
      </c>
      <c r="K4594" t="s">
        <v>821</v>
      </c>
      <c r="L4594">
        <v>0</v>
      </c>
      <c r="M4594">
        <v>1</v>
      </c>
    </row>
    <row r="4595" spans="1:13">
      <c r="A4595" t="s">
        <v>13812</v>
      </c>
      <c r="B4595" t="s">
        <v>474</v>
      </c>
      <c r="C4595" s="34" t="s">
        <v>13813</v>
      </c>
      <c r="F4595" t="s">
        <v>13814</v>
      </c>
      <c r="G4595" t="s">
        <v>6932</v>
      </c>
      <c r="H4595">
        <v>5</v>
      </c>
      <c r="I4595">
        <f>VLOOKUP(B4595,BRAND!B:D,3,FALSE)</f>
        <v>5</v>
      </c>
      <c r="J4595">
        <f t="shared" si="48"/>
        <v>20</v>
      </c>
      <c r="K4595" t="s">
        <v>821</v>
      </c>
      <c r="L4595">
        <v>0</v>
      </c>
      <c r="M4595">
        <v>1</v>
      </c>
    </row>
    <row r="4596" spans="1:13">
      <c r="A4596" t="s">
        <v>13769</v>
      </c>
      <c r="B4596" t="s">
        <v>474</v>
      </c>
      <c r="C4596" s="34" t="s">
        <v>13770</v>
      </c>
      <c r="F4596" t="s">
        <v>13771</v>
      </c>
      <c r="G4596" t="s">
        <v>6932</v>
      </c>
      <c r="H4596">
        <v>5</v>
      </c>
      <c r="I4596">
        <f>VLOOKUP(B4596,BRAND!B:D,3,FALSE)</f>
        <v>5</v>
      </c>
      <c r="J4596">
        <f t="shared" si="48"/>
        <v>19</v>
      </c>
      <c r="K4596" t="s">
        <v>821</v>
      </c>
      <c r="L4596">
        <v>0</v>
      </c>
      <c r="M4596">
        <v>1</v>
      </c>
    </row>
    <row r="4597" spans="1:13">
      <c r="A4597" t="s">
        <v>13791</v>
      </c>
      <c r="B4597" t="s">
        <v>474</v>
      </c>
      <c r="C4597" s="34" t="s">
        <v>5377</v>
      </c>
      <c r="F4597" t="s">
        <v>13792</v>
      </c>
      <c r="G4597" t="s">
        <v>6932</v>
      </c>
      <c r="H4597">
        <v>5</v>
      </c>
      <c r="I4597">
        <f>VLOOKUP(B4597,BRAND!B:D,3,FALSE)</f>
        <v>5</v>
      </c>
      <c r="J4597">
        <f t="shared" si="48"/>
        <v>19</v>
      </c>
      <c r="K4597" t="s">
        <v>821</v>
      </c>
      <c r="L4597">
        <v>0</v>
      </c>
      <c r="M4597">
        <v>1</v>
      </c>
    </row>
    <row r="4598" spans="1:13">
      <c r="A4598" t="s">
        <v>13853</v>
      </c>
      <c r="B4598" t="s">
        <v>474</v>
      </c>
      <c r="C4598" s="34" t="s">
        <v>788</v>
      </c>
      <c r="F4598" t="s">
        <v>13854</v>
      </c>
      <c r="G4598" t="s">
        <v>6932</v>
      </c>
      <c r="H4598">
        <v>5</v>
      </c>
      <c r="I4598">
        <f>VLOOKUP(B4598,BRAND!B:D,3,FALSE)</f>
        <v>5</v>
      </c>
      <c r="J4598">
        <f t="shared" si="48"/>
        <v>19</v>
      </c>
      <c r="K4598" t="s">
        <v>821</v>
      </c>
      <c r="L4598">
        <v>0</v>
      </c>
      <c r="M4598">
        <v>1</v>
      </c>
    </row>
    <row r="4599" spans="1:13">
      <c r="A4599" t="s">
        <v>13803</v>
      </c>
      <c r="B4599" t="s">
        <v>474</v>
      </c>
      <c r="C4599" s="34" t="s">
        <v>13804</v>
      </c>
      <c r="F4599" t="s">
        <v>13805</v>
      </c>
      <c r="G4599" t="s">
        <v>6932</v>
      </c>
      <c r="H4599">
        <v>5</v>
      </c>
      <c r="I4599">
        <f>VLOOKUP(B4599,BRAND!B:D,3,FALSE)</f>
        <v>5</v>
      </c>
      <c r="J4599">
        <f t="shared" si="48"/>
        <v>18</v>
      </c>
      <c r="K4599" t="s">
        <v>821</v>
      </c>
      <c r="L4599">
        <v>0</v>
      </c>
      <c r="M4599">
        <v>1</v>
      </c>
    </row>
    <row r="4600" spans="1:13">
      <c r="A4600" t="s">
        <v>13776</v>
      </c>
      <c r="B4600" t="s">
        <v>474</v>
      </c>
      <c r="C4600" s="34" t="s">
        <v>766</v>
      </c>
      <c r="F4600" t="s">
        <v>13777</v>
      </c>
      <c r="G4600" t="s">
        <v>6932</v>
      </c>
      <c r="H4600">
        <v>5</v>
      </c>
      <c r="I4600">
        <f>VLOOKUP(B4600,BRAND!B:D,3,FALSE)</f>
        <v>5</v>
      </c>
      <c r="J4600">
        <f t="shared" si="48"/>
        <v>18</v>
      </c>
      <c r="K4600" t="s">
        <v>821</v>
      </c>
      <c r="L4600">
        <v>0</v>
      </c>
      <c r="M4600">
        <v>1</v>
      </c>
    </row>
    <row r="4601" spans="1:13">
      <c r="A4601" t="s">
        <v>13793</v>
      </c>
      <c r="B4601" t="s">
        <v>474</v>
      </c>
      <c r="C4601" s="34" t="s">
        <v>11006</v>
      </c>
      <c r="F4601" t="s">
        <v>13794</v>
      </c>
      <c r="G4601" t="s">
        <v>6932</v>
      </c>
      <c r="H4601">
        <v>5</v>
      </c>
      <c r="I4601">
        <f>VLOOKUP(B4601,BRAND!B:D,3,FALSE)</f>
        <v>5</v>
      </c>
      <c r="J4601">
        <f t="shared" si="48"/>
        <v>17</v>
      </c>
      <c r="K4601" t="s">
        <v>821</v>
      </c>
      <c r="L4601">
        <v>0</v>
      </c>
      <c r="M4601">
        <v>1</v>
      </c>
    </row>
    <row r="4602" spans="1:13">
      <c r="A4602" t="s">
        <v>13869</v>
      </c>
      <c r="B4602" t="s">
        <v>474</v>
      </c>
      <c r="C4602" s="34" t="s">
        <v>13870</v>
      </c>
      <c r="F4602" t="s">
        <v>13871</v>
      </c>
      <c r="G4602" t="s">
        <v>6932</v>
      </c>
      <c r="H4602">
        <v>5</v>
      </c>
      <c r="I4602">
        <f>VLOOKUP(B4602,BRAND!B:D,3,FALSE)</f>
        <v>5</v>
      </c>
      <c r="J4602">
        <f t="shared" si="48"/>
        <v>15</v>
      </c>
      <c r="K4602" t="s">
        <v>821</v>
      </c>
      <c r="L4602">
        <v>0</v>
      </c>
      <c r="M4602">
        <v>1</v>
      </c>
    </row>
    <row r="4603" spans="1:13">
      <c r="A4603" t="s">
        <v>13788</v>
      </c>
      <c r="B4603" t="s">
        <v>474</v>
      </c>
      <c r="C4603" s="34" t="s">
        <v>13789</v>
      </c>
      <c r="F4603" t="s">
        <v>13790</v>
      </c>
      <c r="G4603" t="s">
        <v>6932</v>
      </c>
      <c r="H4603">
        <v>5</v>
      </c>
      <c r="I4603">
        <f>VLOOKUP(B4603,BRAND!B:D,3,FALSE)</f>
        <v>5</v>
      </c>
      <c r="J4603">
        <f t="shared" si="48"/>
        <v>14</v>
      </c>
      <c r="K4603" t="s">
        <v>821</v>
      </c>
      <c r="L4603">
        <v>0</v>
      </c>
      <c r="M4603">
        <v>1</v>
      </c>
    </row>
    <row r="4604" spans="1:13">
      <c r="A4604" t="s">
        <v>13784</v>
      </c>
      <c r="B4604" t="s">
        <v>474</v>
      </c>
      <c r="C4604" s="34" t="s">
        <v>941</v>
      </c>
      <c r="F4604" t="s">
        <v>13785</v>
      </c>
      <c r="G4604" t="s">
        <v>6932</v>
      </c>
      <c r="H4604">
        <v>5</v>
      </c>
      <c r="I4604">
        <f>VLOOKUP(B4604,BRAND!B:D,3,FALSE)</f>
        <v>5</v>
      </c>
      <c r="J4604">
        <f t="shared" si="48"/>
        <v>14</v>
      </c>
      <c r="K4604" t="s">
        <v>821</v>
      </c>
      <c r="L4604">
        <v>0</v>
      </c>
      <c r="M4604">
        <v>1</v>
      </c>
    </row>
    <row r="4605" spans="1:13">
      <c r="A4605" t="s">
        <v>13830</v>
      </c>
      <c r="B4605" t="s">
        <v>474</v>
      </c>
      <c r="C4605" s="34" t="s">
        <v>13831</v>
      </c>
      <c r="F4605" t="s">
        <v>217</v>
      </c>
      <c r="G4605" t="s">
        <v>6932</v>
      </c>
      <c r="H4605">
        <v>5</v>
      </c>
      <c r="I4605">
        <f>VLOOKUP(B4605,BRAND!B:D,3,FALSE)</f>
        <v>5</v>
      </c>
      <c r="J4605">
        <f t="shared" si="48"/>
        <v>14</v>
      </c>
      <c r="K4605" t="s">
        <v>821</v>
      </c>
      <c r="L4605">
        <v>0</v>
      </c>
      <c r="M4605">
        <v>1</v>
      </c>
    </row>
    <row r="4606" spans="1:13">
      <c r="A4606" t="s">
        <v>13835</v>
      </c>
      <c r="B4606" t="s">
        <v>474</v>
      </c>
      <c r="C4606" s="34" t="s">
        <v>13836</v>
      </c>
      <c r="F4606" t="s">
        <v>13837</v>
      </c>
      <c r="G4606" t="s">
        <v>6932</v>
      </c>
      <c r="H4606">
        <v>5</v>
      </c>
      <c r="I4606">
        <f>VLOOKUP(B4606,BRAND!B:D,3,FALSE)</f>
        <v>5</v>
      </c>
      <c r="J4606">
        <f t="shared" si="48"/>
        <v>14</v>
      </c>
      <c r="K4606" t="s">
        <v>821</v>
      </c>
      <c r="L4606">
        <v>0</v>
      </c>
      <c r="M4606">
        <v>1</v>
      </c>
    </row>
    <row r="4607" spans="1:13">
      <c r="A4607" t="s">
        <v>13786</v>
      </c>
      <c r="B4607" t="s">
        <v>474</v>
      </c>
      <c r="C4607" s="34" t="s">
        <v>755</v>
      </c>
      <c r="F4607" t="s">
        <v>13787</v>
      </c>
      <c r="G4607" t="s">
        <v>6932</v>
      </c>
      <c r="H4607">
        <v>5</v>
      </c>
      <c r="I4607">
        <f>VLOOKUP(B4607,BRAND!B:D,3,FALSE)</f>
        <v>5</v>
      </c>
      <c r="J4607">
        <f t="shared" si="48"/>
        <v>13</v>
      </c>
      <c r="K4607" t="s">
        <v>821</v>
      </c>
      <c r="L4607">
        <v>0</v>
      </c>
      <c r="M4607">
        <v>1</v>
      </c>
    </row>
    <row r="4608" spans="1:13">
      <c r="A4608" t="s">
        <v>13858</v>
      </c>
      <c r="B4608" t="s">
        <v>474</v>
      </c>
      <c r="C4608" s="34" t="s">
        <v>13859</v>
      </c>
      <c r="F4608" t="s">
        <v>13859</v>
      </c>
      <c r="G4608" t="s">
        <v>6932</v>
      </c>
      <c r="H4608">
        <v>5</v>
      </c>
      <c r="I4608">
        <f>VLOOKUP(B4608,BRAND!B:D,3,FALSE)</f>
        <v>5</v>
      </c>
      <c r="J4608">
        <f t="shared" si="48"/>
        <v>13</v>
      </c>
      <c r="K4608" t="s">
        <v>821</v>
      </c>
      <c r="L4608">
        <v>0</v>
      </c>
      <c r="M4608">
        <v>1</v>
      </c>
    </row>
    <row r="4609" spans="1:13">
      <c r="A4609" t="s">
        <v>13774</v>
      </c>
      <c r="B4609" t="s">
        <v>474</v>
      </c>
      <c r="C4609" s="34" t="s">
        <v>11001</v>
      </c>
      <c r="F4609" t="s">
        <v>13775</v>
      </c>
      <c r="G4609" t="s">
        <v>6932</v>
      </c>
      <c r="H4609">
        <v>5</v>
      </c>
      <c r="I4609">
        <f>VLOOKUP(B4609,BRAND!B:D,3,FALSE)</f>
        <v>5</v>
      </c>
      <c r="J4609">
        <f t="shared" si="48"/>
        <v>12</v>
      </c>
      <c r="K4609" t="s">
        <v>821</v>
      </c>
      <c r="L4609">
        <v>0</v>
      </c>
      <c r="M4609">
        <v>1</v>
      </c>
    </row>
    <row r="4610" spans="1:13">
      <c r="A4610" t="s">
        <v>13795</v>
      </c>
      <c r="B4610" t="s">
        <v>474</v>
      </c>
      <c r="C4610" s="34" t="s">
        <v>13796</v>
      </c>
      <c r="F4610" t="s">
        <v>13797</v>
      </c>
      <c r="G4610" t="s">
        <v>6932</v>
      </c>
      <c r="H4610">
        <v>5</v>
      </c>
      <c r="I4610">
        <f>VLOOKUP(B4610,BRAND!B:D,3,FALSE)</f>
        <v>5</v>
      </c>
      <c r="J4610">
        <f t="shared" si="48"/>
        <v>12</v>
      </c>
      <c r="K4610" t="s">
        <v>821</v>
      </c>
      <c r="L4610">
        <v>0</v>
      </c>
      <c r="M4610">
        <v>1</v>
      </c>
    </row>
    <row r="4611" spans="1:13">
      <c r="A4611" t="s">
        <v>13800</v>
      </c>
      <c r="B4611" t="s">
        <v>474</v>
      </c>
      <c r="C4611" s="34" t="s">
        <v>13801</v>
      </c>
      <c r="F4611" t="s">
        <v>13802</v>
      </c>
      <c r="G4611" t="s">
        <v>6932</v>
      </c>
      <c r="H4611">
        <v>5</v>
      </c>
      <c r="I4611">
        <f>VLOOKUP(B4611,BRAND!B:D,3,FALSE)</f>
        <v>5</v>
      </c>
      <c r="J4611">
        <f t="shared" si="48"/>
        <v>11</v>
      </c>
      <c r="K4611" t="s">
        <v>821</v>
      </c>
      <c r="L4611">
        <v>0</v>
      </c>
      <c r="M4611">
        <v>1</v>
      </c>
    </row>
    <row r="4612" spans="1:13">
      <c r="A4612" t="s">
        <v>11474</v>
      </c>
      <c r="B4612" t="s">
        <v>474</v>
      </c>
      <c r="C4612" s="34" t="s">
        <v>11005</v>
      </c>
      <c r="F4612" t="s">
        <v>11005</v>
      </c>
      <c r="G4612" t="s">
        <v>6932</v>
      </c>
      <c r="H4612">
        <v>5</v>
      </c>
      <c r="I4612">
        <f>VLOOKUP(B4612,BRAND!B:D,3,FALSE)</f>
        <v>5</v>
      </c>
      <c r="J4612">
        <f t="shared" si="48"/>
        <v>11</v>
      </c>
      <c r="K4612" t="s">
        <v>821</v>
      </c>
      <c r="L4612">
        <v>0</v>
      </c>
      <c r="M4612">
        <v>1</v>
      </c>
    </row>
    <row r="4613" spans="1:13">
      <c r="A4613" t="s">
        <v>13783</v>
      </c>
      <c r="B4613" t="s">
        <v>474</v>
      </c>
      <c r="C4613" s="34" t="s">
        <v>1999</v>
      </c>
      <c r="F4613" t="s">
        <v>7855</v>
      </c>
      <c r="G4613" t="s">
        <v>6932</v>
      </c>
      <c r="H4613">
        <v>5</v>
      </c>
      <c r="I4613">
        <f>VLOOKUP(B4613,BRAND!B:D,3,FALSE)</f>
        <v>5</v>
      </c>
      <c r="J4613">
        <f t="shared" si="48"/>
        <v>11</v>
      </c>
      <c r="K4613" t="s">
        <v>821</v>
      </c>
      <c r="L4613">
        <v>0</v>
      </c>
      <c r="M4613">
        <v>1</v>
      </c>
    </row>
    <row r="4614" spans="1:13">
      <c r="A4614" t="s">
        <v>13815</v>
      </c>
      <c r="B4614" t="s">
        <v>474</v>
      </c>
      <c r="C4614" s="34" t="s">
        <v>13816</v>
      </c>
      <c r="F4614" t="s">
        <v>13816</v>
      </c>
      <c r="G4614" t="s">
        <v>6932</v>
      </c>
      <c r="H4614">
        <v>5</v>
      </c>
      <c r="I4614">
        <f>VLOOKUP(B4614,BRAND!B:D,3,FALSE)</f>
        <v>5</v>
      </c>
      <c r="J4614">
        <f t="shared" si="48"/>
        <v>11</v>
      </c>
      <c r="K4614" t="s">
        <v>821</v>
      </c>
      <c r="L4614">
        <v>0</v>
      </c>
      <c r="M4614">
        <v>1</v>
      </c>
    </row>
    <row r="4615" spans="1:13">
      <c r="A4615" t="s">
        <v>13848</v>
      </c>
      <c r="B4615" t="s">
        <v>474</v>
      </c>
      <c r="C4615" s="34" t="s">
        <v>1489</v>
      </c>
      <c r="F4615" t="s">
        <v>13849</v>
      </c>
      <c r="G4615" t="s">
        <v>6932</v>
      </c>
      <c r="H4615">
        <v>5</v>
      </c>
      <c r="I4615">
        <f>VLOOKUP(B4615,BRAND!B:D,3,FALSE)</f>
        <v>5</v>
      </c>
      <c r="J4615">
        <f t="shared" si="48"/>
        <v>11</v>
      </c>
      <c r="K4615" t="s">
        <v>821</v>
      </c>
      <c r="L4615">
        <v>0</v>
      </c>
      <c r="M4615">
        <v>1</v>
      </c>
    </row>
    <row r="4616" spans="1:13">
      <c r="A4616" t="s">
        <v>13781</v>
      </c>
      <c r="B4616" t="s">
        <v>474</v>
      </c>
      <c r="C4616" s="34" t="s">
        <v>13782</v>
      </c>
      <c r="F4616" t="s">
        <v>13782</v>
      </c>
      <c r="G4616" t="s">
        <v>6932</v>
      </c>
      <c r="H4616">
        <v>5</v>
      </c>
      <c r="I4616">
        <f>VLOOKUP(B4616,BRAND!B:D,3,FALSE)</f>
        <v>5</v>
      </c>
      <c r="J4616">
        <f t="shared" si="48"/>
        <v>11</v>
      </c>
      <c r="K4616" t="s">
        <v>821</v>
      </c>
      <c r="L4616">
        <v>0</v>
      </c>
      <c r="M4616">
        <v>1</v>
      </c>
    </row>
    <row r="4617" spans="1:13">
      <c r="A4617" t="s">
        <v>13798</v>
      </c>
      <c r="B4617" t="s">
        <v>474</v>
      </c>
      <c r="C4617" s="34" t="s">
        <v>8245</v>
      </c>
      <c r="F4617" t="s">
        <v>13799</v>
      </c>
      <c r="G4617" t="s">
        <v>6932</v>
      </c>
      <c r="H4617">
        <v>5</v>
      </c>
      <c r="I4617">
        <f>VLOOKUP(B4617,BRAND!B:D,3,FALSE)</f>
        <v>5</v>
      </c>
      <c r="J4617">
        <f t="shared" si="48"/>
        <v>11</v>
      </c>
      <c r="K4617" t="s">
        <v>821</v>
      </c>
      <c r="L4617">
        <v>0</v>
      </c>
      <c r="M4617">
        <v>1</v>
      </c>
    </row>
    <row r="4618" spans="1:13">
      <c r="A4618" t="s">
        <v>13843</v>
      </c>
      <c r="B4618" t="s">
        <v>474</v>
      </c>
      <c r="C4618" s="34" t="s">
        <v>11160</v>
      </c>
      <c r="F4618" t="s">
        <v>11160</v>
      </c>
      <c r="G4618" t="s">
        <v>6932</v>
      </c>
      <c r="H4618">
        <v>5</v>
      </c>
      <c r="I4618">
        <f>VLOOKUP(B4618,BRAND!B:D,3,FALSE)</f>
        <v>5</v>
      </c>
      <c r="J4618">
        <f t="shared" si="48"/>
        <v>10</v>
      </c>
      <c r="K4618" t="s">
        <v>821</v>
      </c>
      <c r="L4618">
        <v>0</v>
      </c>
      <c r="M4618">
        <v>1</v>
      </c>
    </row>
    <row r="4619" spans="1:13">
      <c r="A4619" t="s">
        <v>13821</v>
      </c>
      <c r="B4619" t="s">
        <v>474</v>
      </c>
      <c r="C4619" s="34" t="s">
        <v>13822</v>
      </c>
      <c r="F4619" t="s">
        <v>13823</v>
      </c>
      <c r="G4619" t="s">
        <v>6932</v>
      </c>
      <c r="H4619">
        <v>5</v>
      </c>
      <c r="I4619">
        <f>VLOOKUP(B4619,BRAND!B:D,3,FALSE)</f>
        <v>5</v>
      </c>
      <c r="J4619">
        <f t="shared" si="48"/>
        <v>10</v>
      </c>
      <c r="K4619" t="s">
        <v>821</v>
      </c>
      <c r="L4619">
        <v>0</v>
      </c>
      <c r="M4619">
        <v>1</v>
      </c>
    </row>
    <row r="4620" spans="1:13">
      <c r="A4620" t="s">
        <v>13772</v>
      </c>
      <c r="B4620" t="s">
        <v>474</v>
      </c>
      <c r="C4620" s="34" t="s">
        <v>11000</v>
      </c>
      <c r="F4620" t="s">
        <v>13773</v>
      </c>
      <c r="G4620" t="s">
        <v>6932</v>
      </c>
      <c r="H4620">
        <v>5</v>
      </c>
      <c r="I4620">
        <f>VLOOKUP(B4620,BRAND!B:D,3,FALSE)</f>
        <v>5</v>
      </c>
      <c r="J4620">
        <f t="shared" si="48"/>
        <v>10</v>
      </c>
      <c r="K4620" t="s">
        <v>821</v>
      </c>
      <c r="L4620">
        <v>0</v>
      </c>
      <c r="M4620">
        <v>1</v>
      </c>
    </row>
    <row r="4621" spans="1:13">
      <c r="A4621" t="s">
        <v>11471</v>
      </c>
      <c r="B4621" t="s">
        <v>474</v>
      </c>
      <c r="C4621" s="34" t="s">
        <v>11004</v>
      </c>
      <c r="F4621" t="s">
        <v>11004</v>
      </c>
      <c r="G4621" t="s">
        <v>6932</v>
      </c>
      <c r="H4621">
        <v>5</v>
      </c>
      <c r="I4621">
        <f>VLOOKUP(B4621,BRAND!B:D,3,FALSE)</f>
        <v>5</v>
      </c>
      <c r="J4621">
        <f t="shared" si="48"/>
        <v>10</v>
      </c>
      <c r="K4621" t="s">
        <v>821</v>
      </c>
      <c r="L4621">
        <v>0</v>
      </c>
      <c r="M4621">
        <v>1</v>
      </c>
    </row>
    <row r="4622" spans="1:13">
      <c r="A4622" t="s">
        <v>13806</v>
      </c>
      <c r="B4622" t="s">
        <v>474</v>
      </c>
      <c r="C4622" s="34" t="s">
        <v>13807</v>
      </c>
      <c r="F4622" t="s">
        <v>13808</v>
      </c>
      <c r="G4622" t="s">
        <v>6932</v>
      </c>
      <c r="H4622">
        <v>5</v>
      </c>
      <c r="I4622">
        <f>VLOOKUP(B4622,BRAND!B:D,3,FALSE)</f>
        <v>5</v>
      </c>
      <c r="J4622">
        <f t="shared" si="48"/>
        <v>9</v>
      </c>
      <c r="K4622" t="s">
        <v>821</v>
      </c>
      <c r="L4622">
        <v>0</v>
      </c>
      <c r="M4622">
        <v>1</v>
      </c>
    </row>
    <row r="4623" spans="1:13">
      <c r="A4623" t="s">
        <v>11470</v>
      </c>
      <c r="B4623" t="s">
        <v>474</v>
      </c>
      <c r="C4623" s="34" t="s">
        <v>11003</v>
      </c>
      <c r="F4623" t="s">
        <v>11003</v>
      </c>
      <c r="G4623" t="s">
        <v>6932</v>
      </c>
      <c r="H4623">
        <v>5</v>
      </c>
      <c r="I4623">
        <f>VLOOKUP(B4623,BRAND!B:D,3,FALSE)</f>
        <v>5</v>
      </c>
      <c r="J4623">
        <f t="shared" si="48"/>
        <v>9</v>
      </c>
      <c r="K4623" t="s">
        <v>821</v>
      </c>
      <c r="L4623">
        <v>0</v>
      </c>
      <c r="M4623">
        <v>1</v>
      </c>
    </row>
    <row r="4624" spans="1:13">
      <c r="A4624" t="s">
        <v>13840</v>
      </c>
      <c r="B4624" t="s">
        <v>474</v>
      </c>
      <c r="C4624" s="34" t="s">
        <v>13841</v>
      </c>
      <c r="F4624" t="s">
        <v>13842</v>
      </c>
      <c r="G4624" t="s">
        <v>6932</v>
      </c>
      <c r="H4624">
        <v>5</v>
      </c>
      <c r="I4624">
        <f>VLOOKUP(B4624,BRAND!B:D,3,FALSE)</f>
        <v>5</v>
      </c>
      <c r="J4624">
        <f t="shared" si="48"/>
        <v>9</v>
      </c>
      <c r="K4624" t="s">
        <v>821</v>
      </c>
      <c r="L4624">
        <v>0</v>
      </c>
      <c r="M4624">
        <v>1</v>
      </c>
    </row>
    <row r="4625" spans="1:13">
      <c r="A4625" t="s">
        <v>13850</v>
      </c>
      <c r="B4625" t="s">
        <v>474</v>
      </c>
      <c r="C4625" s="34" t="s">
        <v>13851</v>
      </c>
      <c r="F4625" t="s">
        <v>13852</v>
      </c>
      <c r="G4625" t="s">
        <v>6932</v>
      </c>
      <c r="H4625">
        <v>5</v>
      </c>
      <c r="I4625">
        <f>VLOOKUP(B4625,BRAND!B:D,3,FALSE)</f>
        <v>5</v>
      </c>
      <c r="J4625">
        <f t="shared" si="48"/>
        <v>8</v>
      </c>
      <c r="K4625" t="s">
        <v>821</v>
      </c>
      <c r="L4625">
        <v>0</v>
      </c>
      <c r="M4625">
        <v>1</v>
      </c>
    </row>
    <row r="4626" spans="1:13">
      <c r="A4626" t="s">
        <v>13819</v>
      </c>
      <c r="B4626" t="s">
        <v>474</v>
      </c>
      <c r="C4626" s="34" t="s">
        <v>13820</v>
      </c>
      <c r="F4626" t="s">
        <v>13820</v>
      </c>
      <c r="G4626" t="s">
        <v>6932</v>
      </c>
      <c r="H4626">
        <v>5</v>
      </c>
      <c r="I4626">
        <f>VLOOKUP(B4626,BRAND!B:D,3,FALSE)</f>
        <v>5</v>
      </c>
      <c r="J4626">
        <f t="shared" si="48"/>
        <v>7</v>
      </c>
      <c r="K4626" t="s">
        <v>821</v>
      </c>
      <c r="L4626">
        <v>0</v>
      </c>
      <c r="M4626">
        <v>1</v>
      </c>
    </row>
    <row r="4627" spans="1:13">
      <c r="A4627" t="s">
        <v>13863</v>
      </c>
      <c r="B4627" t="s">
        <v>474</v>
      </c>
      <c r="C4627" s="34" t="s">
        <v>13864</v>
      </c>
      <c r="F4627" t="s">
        <v>13865</v>
      </c>
      <c r="G4627" t="s">
        <v>801</v>
      </c>
      <c r="H4627">
        <v>5</v>
      </c>
      <c r="I4627">
        <f>VLOOKUP(B4627,BRAND!B:D,3,FALSE)</f>
        <v>5</v>
      </c>
      <c r="J4627">
        <f t="shared" si="48"/>
        <v>7</v>
      </c>
      <c r="K4627" t="s">
        <v>821</v>
      </c>
      <c r="L4627">
        <v>0</v>
      </c>
      <c r="M4627">
        <v>1</v>
      </c>
    </row>
    <row r="4628" spans="1:13">
      <c r="A4628" t="s">
        <v>13847</v>
      </c>
      <c r="B4628" t="s">
        <v>474</v>
      </c>
      <c r="C4628" s="34" t="s">
        <v>6352</v>
      </c>
      <c r="F4628" t="s">
        <v>6352</v>
      </c>
      <c r="G4628" t="s">
        <v>6932</v>
      </c>
      <c r="H4628">
        <v>5</v>
      </c>
      <c r="I4628">
        <f>VLOOKUP(B4628,BRAND!B:D,3,FALSE)</f>
        <v>5</v>
      </c>
      <c r="J4628">
        <f t="shared" si="48"/>
        <v>7</v>
      </c>
      <c r="K4628" t="s">
        <v>821</v>
      </c>
      <c r="L4628">
        <v>0</v>
      </c>
      <c r="M4628">
        <v>1</v>
      </c>
    </row>
    <row r="4629" spans="1:13">
      <c r="A4629" t="s">
        <v>3024</v>
      </c>
      <c r="B4629" t="s">
        <v>474</v>
      </c>
      <c r="C4629" s="34" t="s">
        <v>913</v>
      </c>
      <c r="F4629" t="s">
        <v>913</v>
      </c>
      <c r="H4629">
        <v>5</v>
      </c>
      <c r="I4629">
        <f>VLOOKUP(B4629,BRAND!B:D,3,FALSE)</f>
        <v>5</v>
      </c>
      <c r="J4629">
        <v>5</v>
      </c>
      <c r="K4629" t="s">
        <v>821</v>
      </c>
      <c r="M4629">
        <v>1</v>
      </c>
    </row>
    <row r="4630" spans="1:13">
      <c r="A4630" t="s">
        <v>9724</v>
      </c>
      <c r="B4630" t="s">
        <v>474</v>
      </c>
      <c r="C4630" s="34" t="s">
        <v>1438</v>
      </c>
      <c r="G4630" t="s">
        <v>6932</v>
      </c>
      <c r="H4630">
        <v>5</v>
      </c>
      <c r="I4630">
        <f>VLOOKUP(B4630,BRAND!B:D,3,FALSE)</f>
        <v>5</v>
      </c>
      <c r="J4630">
        <v>0</v>
      </c>
      <c r="M4630">
        <v>1</v>
      </c>
    </row>
    <row r="4631" spans="1:13">
      <c r="A4631" t="s">
        <v>9725</v>
      </c>
      <c r="B4631" t="s">
        <v>474</v>
      </c>
      <c r="C4631" s="34" t="s">
        <v>786</v>
      </c>
      <c r="G4631" t="s">
        <v>6932</v>
      </c>
      <c r="H4631">
        <v>5</v>
      </c>
      <c r="I4631">
        <f>VLOOKUP(B4631,BRAND!B:D,3,FALSE)</f>
        <v>5</v>
      </c>
      <c r="J4631">
        <v>0</v>
      </c>
      <c r="M4631">
        <v>1</v>
      </c>
    </row>
    <row r="4632" spans="1:13">
      <c r="A4632" t="s">
        <v>11460</v>
      </c>
      <c r="B4632" t="s">
        <v>474</v>
      </c>
      <c r="C4632" s="34" t="s">
        <v>913</v>
      </c>
      <c r="F4632" t="s">
        <v>913</v>
      </c>
      <c r="G4632" t="s">
        <v>6932</v>
      </c>
      <c r="H4632">
        <v>5</v>
      </c>
    </row>
    <row r="4633" spans="1:13">
      <c r="A4633" t="s">
        <v>11461</v>
      </c>
      <c r="B4633" t="s">
        <v>474</v>
      </c>
      <c r="C4633" s="34" t="s">
        <v>11000</v>
      </c>
      <c r="F4633" t="s">
        <v>11000</v>
      </c>
      <c r="G4633" t="s">
        <v>6932</v>
      </c>
      <c r="H4633">
        <v>5</v>
      </c>
    </row>
    <row r="4634" spans="1:13">
      <c r="A4634" t="s">
        <v>11462</v>
      </c>
      <c r="B4634" t="s">
        <v>474</v>
      </c>
      <c r="C4634" s="34" t="s">
        <v>11001</v>
      </c>
      <c r="F4634" t="s">
        <v>11001</v>
      </c>
      <c r="G4634" t="s">
        <v>6932</v>
      </c>
      <c r="H4634">
        <v>5</v>
      </c>
    </row>
    <row r="4635" spans="1:13">
      <c r="A4635" t="s">
        <v>11463</v>
      </c>
      <c r="B4635" t="s">
        <v>474</v>
      </c>
      <c r="C4635" s="34" t="s">
        <v>911</v>
      </c>
      <c r="F4635" t="s">
        <v>911</v>
      </c>
      <c r="G4635" t="s">
        <v>6932</v>
      </c>
      <c r="H4635">
        <v>5</v>
      </c>
    </row>
    <row r="4636" spans="1:13">
      <c r="A4636" t="s">
        <v>11464</v>
      </c>
      <c r="B4636" t="s">
        <v>474</v>
      </c>
      <c r="C4636" s="34" t="s">
        <v>536</v>
      </c>
      <c r="F4636" t="s">
        <v>536</v>
      </c>
      <c r="G4636" t="s">
        <v>6932</v>
      </c>
      <c r="H4636">
        <v>5</v>
      </c>
    </row>
    <row r="4637" spans="1:13">
      <c r="A4637" t="s">
        <v>11465</v>
      </c>
      <c r="B4637" t="s">
        <v>474</v>
      </c>
      <c r="C4637" s="34" t="s">
        <v>11002</v>
      </c>
      <c r="F4637" t="s">
        <v>11002</v>
      </c>
      <c r="G4637" t="s">
        <v>6932</v>
      </c>
      <c r="H4637">
        <v>5</v>
      </c>
    </row>
    <row r="4638" spans="1:13">
      <c r="A4638" t="s">
        <v>11466</v>
      </c>
      <c r="B4638" t="s">
        <v>474</v>
      </c>
      <c r="C4638" s="34" t="s">
        <v>561</v>
      </c>
      <c r="F4638" t="s">
        <v>561</v>
      </c>
      <c r="G4638" t="s">
        <v>6932</v>
      </c>
      <c r="H4638">
        <v>5</v>
      </c>
    </row>
    <row r="4639" spans="1:13">
      <c r="A4639" t="s">
        <v>11467</v>
      </c>
      <c r="B4639" t="s">
        <v>474</v>
      </c>
      <c r="C4639" s="34" t="s">
        <v>1999</v>
      </c>
      <c r="F4639" t="s">
        <v>1999</v>
      </c>
      <c r="G4639" t="s">
        <v>6932</v>
      </c>
      <c r="H4639">
        <v>5</v>
      </c>
    </row>
    <row r="4640" spans="1:13">
      <c r="A4640" t="s">
        <v>11468</v>
      </c>
      <c r="B4640" t="s">
        <v>474</v>
      </c>
      <c r="C4640" s="34" t="s">
        <v>933</v>
      </c>
      <c r="F4640" t="s">
        <v>933</v>
      </c>
      <c r="G4640" t="s">
        <v>6932</v>
      </c>
      <c r="H4640">
        <v>5</v>
      </c>
    </row>
    <row r="4641" spans="1:13">
      <c r="A4641" t="s">
        <v>11469</v>
      </c>
      <c r="B4641" t="s">
        <v>474</v>
      </c>
      <c r="C4641" s="34" t="s">
        <v>755</v>
      </c>
      <c r="F4641" t="s">
        <v>755</v>
      </c>
      <c r="G4641" t="s">
        <v>6932</v>
      </c>
      <c r="H4641">
        <v>5</v>
      </c>
    </row>
    <row r="4642" spans="1:13">
      <c r="A4642" t="s">
        <v>11470</v>
      </c>
      <c r="B4642" t="s">
        <v>474</v>
      </c>
      <c r="C4642" s="34" t="s">
        <v>11003</v>
      </c>
      <c r="F4642" t="s">
        <v>11003</v>
      </c>
      <c r="G4642" t="s">
        <v>6932</v>
      </c>
      <c r="H4642">
        <v>5</v>
      </c>
    </row>
    <row r="4643" spans="1:13">
      <c r="A4643" t="s">
        <v>11471</v>
      </c>
      <c r="B4643" t="s">
        <v>474</v>
      </c>
      <c r="C4643" s="34" t="s">
        <v>11004</v>
      </c>
      <c r="F4643" t="s">
        <v>11004</v>
      </c>
      <c r="G4643" t="s">
        <v>6932</v>
      </c>
      <c r="H4643">
        <v>5</v>
      </c>
    </row>
    <row r="4644" spans="1:13">
      <c r="A4644" t="s">
        <v>11472</v>
      </c>
      <c r="B4644" t="s">
        <v>474</v>
      </c>
      <c r="C4644" s="34" t="s">
        <v>6948</v>
      </c>
      <c r="F4644" t="s">
        <v>6948</v>
      </c>
      <c r="G4644" t="s">
        <v>6932</v>
      </c>
      <c r="H4644">
        <v>5</v>
      </c>
    </row>
    <row r="4645" spans="1:13">
      <c r="A4645" t="s">
        <v>11473</v>
      </c>
      <c r="B4645" t="s">
        <v>474</v>
      </c>
      <c r="C4645" s="34" t="s">
        <v>1965</v>
      </c>
      <c r="F4645" t="s">
        <v>1965</v>
      </c>
      <c r="G4645" t="s">
        <v>6932</v>
      </c>
      <c r="H4645">
        <v>5</v>
      </c>
    </row>
    <row r="4646" spans="1:13">
      <c r="A4646" t="s">
        <v>11474</v>
      </c>
      <c r="B4646" t="s">
        <v>474</v>
      </c>
      <c r="C4646" s="34" t="s">
        <v>11005</v>
      </c>
      <c r="F4646" t="s">
        <v>11005</v>
      </c>
      <c r="G4646" t="s">
        <v>6932</v>
      </c>
      <c r="H4646">
        <v>5</v>
      </c>
    </row>
    <row r="4647" spans="1:13">
      <c r="A4647" t="s">
        <v>11475</v>
      </c>
      <c r="B4647" t="s">
        <v>474</v>
      </c>
      <c r="C4647" s="34" t="s">
        <v>11006</v>
      </c>
      <c r="F4647" t="s">
        <v>11006</v>
      </c>
      <c r="G4647" t="s">
        <v>6932</v>
      </c>
      <c r="H4647">
        <v>5</v>
      </c>
    </row>
    <row r="4648" spans="1:13">
      <c r="A4648" t="s">
        <v>11476</v>
      </c>
      <c r="B4648" t="s">
        <v>474</v>
      </c>
      <c r="C4648" s="34" t="s">
        <v>11007</v>
      </c>
      <c r="F4648" t="s">
        <v>11007</v>
      </c>
      <c r="G4648" t="s">
        <v>6932</v>
      </c>
      <c r="H4648">
        <v>5</v>
      </c>
    </row>
    <row r="4649" spans="1:13">
      <c r="A4649" t="s">
        <v>13778</v>
      </c>
      <c r="B4649" t="s">
        <v>474</v>
      </c>
      <c r="C4649" s="34" t="s">
        <v>13779</v>
      </c>
      <c r="F4649" t="s">
        <v>13780</v>
      </c>
      <c r="G4649" t="s">
        <v>6932</v>
      </c>
      <c r="H4649">
        <v>6</v>
      </c>
      <c r="I4649">
        <f>VLOOKUP(B4649,BRAND!B:D,3,FALSE)</f>
        <v>5</v>
      </c>
      <c r="J4649">
        <f>LEN(F4649)</f>
        <v>12</v>
      </c>
      <c r="K4649" t="s">
        <v>821</v>
      </c>
      <c r="L4649">
        <v>0</v>
      </c>
      <c r="M4649">
        <v>1</v>
      </c>
    </row>
    <row r="4650" spans="1:13">
      <c r="A4650" t="s">
        <v>11466</v>
      </c>
      <c r="B4650" t="s">
        <v>474</v>
      </c>
      <c r="C4650" s="34" t="s">
        <v>561</v>
      </c>
      <c r="F4650" t="s">
        <v>561</v>
      </c>
      <c r="G4650" t="s">
        <v>6932</v>
      </c>
      <c r="H4650">
        <v>6</v>
      </c>
      <c r="I4650">
        <f>VLOOKUP(B4650,BRAND!B:D,3,FALSE)</f>
        <v>5</v>
      </c>
      <c r="J4650">
        <f>LEN(F4650)</f>
        <v>3</v>
      </c>
      <c r="K4650" t="s">
        <v>821</v>
      </c>
      <c r="L4650">
        <v>0</v>
      </c>
      <c r="M4650">
        <v>1</v>
      </c>
    </row>
    <row r="4651" spans="1:13">
      <c r="A4651" t="s">
        <v>2344</v>
      </c>
      <c r="B4651" t="s">
        <v>1050</v>
      </c>
      <c r="C4651" s="34" t="s">
        <v>1438</v>
      </c>
      <c r="F4651" t="s">
        <v>1438</v>
      </c>
      <c r="H4651">
        <v>15</v>
      </c>
      <c r="I4651">
        <f>VLOOKUP(B4651,BRAND!B:D,3,FALSE)</f>
        <v>3</v>
      </c>
      <c r="J4651">
        <v>4</v>
      </c>
      <c r="K4651" t="s">
        <v>821</v>
      </c>
      <c r="L4651">
        <v>0</v>
      </c>
      <c r="M4651">
        <v>0</v>
      </c>
    </row>
    <row r="4652" spans="1:13">
      <c r="A4652" t="s">
        <v>4290</v>
      </c>
      <c r="B4652" t="s">
        <v>1878</v>
      </c>
      <c r="C4652" s="34" t="s">
        <v>1438</v>
      </c>
      <c r="F4652" t="s">
        <v>1438</v>
      </c>
      <c r="H4652">
        <v>15</v>
      </c>
      <c r="I4652">
        <f>VLOOKUP(B4652,BRAND!B:D,3,FALSE)</f>
        <v>5</v>
      </c>
      <c r="J4652">
        <v>4</v>
      </c>
      <c r="K4652" t="s">
        <v>821</v>
      </c>
      <c r="L4652">
        <v>0</v>
      </c>
      <c r="M4652">
        <v>0</v>
      </c>
    </row>
    <row r="4653" spans="1:13">
      <c r="A4653" t="s">
        <v>3916</v>
      </c>
      <c r="B4653" t="s">
        <v>550</v>
      </c>
      <c r="C4653" s="34" t="s">
        <v>840</v>
      </c>
      <c r="F4653" t="s">
        <v>840</v>
      </c>
      <c r="H4653">
        <v>5</v>
      </c>
      <c r="I4653">
        <f>VLOOKUP(B4653,BRAND!B:D,3,FALSE)</f>
        <v>3</v>
      </c>
      <c r="J4653">
        <v>9</v>
      </c>
      <c r="K4653" t="s">
        <v>821</v>
      </c>
      <c r="M4653">
        <v>1</v>
      </c>
    </row>
    <row r="4654" spans="1:13">
      <c r="A4654" t="s">
        <v>3917</v>
      </c>
      <c r="B4654" t="s">
        <v>550</v>
      </c>
      <c r="C4654" s="34" t="s">
        <v>534</v>
      </c>
      <c r="F4654" t="s">
        <v>534</v>
      </c>
      <c r="H4654">
        <v>5</v>
      </c>
      <c r="I4654">
        <f>VLOOKUP(B4654,BRAND!B:D,3,FALSE)</f>
        <v>3</v>
      </c>
      <c r="J4654">
        <v>6</v>
      </c>
      <c r="K4654" t="s">
        <v>821</v>
      </c>
      <c r="L4654">
        <v>0</v>
      </c>
      <c r="M4654">
        <v>0</v>
      </c>
    </row>
    <row r="4655" spans="1:13">
      <c r="A4655" t="s">
        <v>3915</v>
      </c>
      <c r="B4655" t="s">
        <v>550</v>
      </c>
      <c r="C4655" s="34" t="s">
        <v>536</v>
      </c>
      <c r="F4655" t="s">
        <v>536</v>
      </c>
      <c r="H4655">
        <v>5</v>
      </c>
      <c r="I4655">
        <f>VLOOKUP(B4655,BRAND!B:D,3,FALSE)</f>
        <v>3</v>
      </c>
      <c r="J4655">
        <v>5</v>
      </c>
      <c r="K4655" t="s">
        <v>821</v>
      </c>
      <c r="L4655">
        <v>0</v>
      </c>
      <c r="M4655">
        <v>0</v>
      </c>
    </row>
    <row r="4656" spans="1:13">
      <c r="A4656" t="s">
        <v>3092</v>
      </c>
      <c r="B4656" t="s">
        <v>550</v>
      </c>
      <c r="C4656" s="34" t="s">
        <v>1438</v>
      </c>
      <c r="F4656" t="s">
        <v>1438</v>
      </c>
      <c r="H4656">
        <v>15</v>
      </c>
      <c r="I4656">
        <f>VLOOKUP(B4656,BRAND!B:D,3,FALSE)</f>
        <v>3</v>
      </c>
      <c r="J4656">
        <v>4</v>
      </c>
      <c r="K4656" t="s">
        <v>821</v>
      </c>
      <c r="M4656">
        <v>1</v>
      </c>
    </row>
    <row r="4657" spans="1:13">
      <c r="A4657" t="s">
        <v>2872</v>
      </c>
      <c r="B4657" t="s">
        <v>1756</v>
      </c>
      <c r="C4657" s="34" t="s">
        <v>772</v>
      </c>
      <c r="F4657" t="s">
        <v>772</v>
      </c>
      <c r="H4657">
        <v>5</v>
      </c>
      <c r="I4657">
        <f>VLOOKUP(B4657,BRAND!B:D,3,FALSE)</f>
        <v>3</v>
      </c>
      <c r="J4657">
        <v>6</v>
      </c>
      <c r="K4657" t="s">
        <v>821</v>
      </c>
      <c r="L4657">
        <v>0</v>
      </c>
      <c r="M4657">
        <v>0</v>
      </c>
    </row>
    <row r="4658" spans="1:13">
      <c r="A4658" t="s">
        <v>3376</v>
      </c>
      <c r="B4658" t="s">
        <v>1756</v>
      </c>
      <c r="C4658" s="34" t="s">
        <v>536</v>
      </c>
      <c r="F4658" t="s">
        <v>536</v>
      </c>
      <c r="H4658">
        <v>5</v>
      </c>
      <c r="I4658">
        <f>VLOOKUP(B4658,BRAND!B:D,3,FALSE)</f>
        <v>3</v>
      </c>
      <c r="J4658">
        <v>5</v>
      </c>
      <c r="K4658" t="s">
        <v>821</v>
      </c>
      <c r="L4658">
        <v>0</v>
      </c>
      <c r="M4658">
        <v>0</v>
      </c>
    </row>
    <row r="4659" spans="1:13">
      <c r="A4659" t="s">
        <v>2481</v>
      </c>
      <c r="B4659" t="s">
        <v>1756</v>
      </c>
      <c r="C4659" s="34" t="s">
        <v>842</v>
      </c>
      <c r="F4659" t="s">
        <v>842</v>
      </c>
      <c r="H4659">
        <v>5</v>
      </c>
      <c r="I4659">
        <f>VLOOKUP(B4659,BRAND!B:D,3,FALSE)</f>
        <v>3</v>
      </c>
      <c r="J4659">
        <v>5</v>
      </c>
      <c r="K4659" t="s">
        <v>821</v>
      </c>
      <c r="L4659">
        <v>0</v>
      </c>
      <c r="M4659">
        <v>0</v>
      </c>
    </row>
    <row r="4660" spans="1:13">
      <c r="A4660" t="s">
        <v>2871</v>
      </c>
      <c r="B4660" t="s">
        <v>1756</v>
      </c>
      <c r="C4660" s="34" t="s">
        <v>1438</v>
      </c>
      <c r="F4660" t="s">
        <v>1438</v>
      </c>
      <c r="H4660">
        <v>15</v>
      </c>
      <c r="I4660">
        <f>VLOOKUP(B4660,BRAND!B:D,3,FALSE)</f>
        <v>3</v>
      </c>
      <c r="J4660">
        <v>4</v>
      </c>
      <c r="K4660" t="s">
        <v>821</v>
      </c>
      <c r="L4660">
        <v>0</v>
      </c>
      <c r="M4660">
        <v>0</v>
      </c>
    </row>
    <row r="4661" spans="1:13">
      <c r="A4661" t="s">
        <v>8531</v>
      </c>
      <c r="B4661" t="s">
        <v>8532</v>
      </c>
      <c r="C4661" s="34" t="s">
        <v>1438</v>
      </c>
      <c r="F4661" t="s">
        <v>1438</v>
      </c>
      <c r="G4661" t="s">
        <v>6932</v>
      </c>
      <c r="H4661">
        <v>5</v>
      </c>
      <c r="I4661">
        <f>VLOOKUP(B4661,BRAND!B:D,3,FALSE)</f>
        <v>5.5</v>
      </c>
      <c r="J4661">
        <v>4</v>
      </c>
      <c r="L4661">
        <v>0</v>
      </c>
      <c r="M4661">
        <v>0</v>
      </c>
    </row>
    <row r="4662" spans="1:13">
      <c r="A4662" t="s">
        <v>9726</v>
      </c>
      <c r="B4662" t="s">
        <v>8532</v>
      </c>
      <c r="C4662" s="34" t="s">
        <v>751</v>
      </c>
      <c r="G4662" t="s">
        <v>6932</v>
      </c>
      <c r="H4662">
        <v>5</v>
      </c>
      <c r="I4662">
        <f>VLOOKUP(B4662,BRAND!B:D,3,FALSE)</f>
        <v>5.5</v>
      </c>
      <c r="J4662">
        <v>0</v>
      </c>
      <c r="M4662">
        <v>1</v>
      </c>
    </row>
    <row r="4663" spans="1:13">
      <c r="A4663" t="s">
        <v>9727</v>
      </c>
      <c r="B4663" t="s">
        <v>8532</v>
      </c>
      <c r="C4663" s="34" t="s">
        <v>775</v>
      </c>
      <c r="G4663" t="s">
        <v>6932</v>
      </c>
      <c r="H4663">
        <v>5</v>
      </c>
      <c r="I4663">
        <f>VLOOKUP(B4663,BRAND!B:D,3,FALSE)</f>
        <v>5.5</v>
      </c>
      <c r="J4663">
        <v>0</v>
      </c>
      <c r="M4663">
        <v>1</v>
      </c>
    </row>
    <row r="4664" spans="1:13">
      <c r="A4664" t="s">
        <v>2992</v>
      </c>
      <c r="B4664" t="s">
        <v>1288</v>
      </c>
      <c r="C4664" s="34" t="s">
        <v>1438</v>
      </c>
      <c r="F4664" t="s">
        <v>1438</v>
      </c>
      <c r="H4664">
        <v>15</v>
      </c>
      <c r="I4664">
        <f>VLOOKUP(B4664,BRAND!B:D,3,FALSE)</f>
        <v>3</v>
      </c>
      <c r="J4664">
        <v>4</v>
      </c>
      <c r="K4664" t="s">
        <v>821</v>
      </c>
      <c r="L4664">
        <v>0</v>
      </c>
      <c r="M4664">
        <v>0</v>
      </c>
    </row>
    <row r="4665" spans="1:13">
      <c r="A4665" t="s">
        <v>15501</v>
      </c>
      <c r="B4665" t="s">
        <v>15225</v>
      </c>
      <c r="C4665" s="34" t="s">
        <v>15502</v>
      </c>
      <c r="F4665" t="s">
        <v>15502</v>
      </c>
      <c r="G4665" t="s">
        <v>6932</v>
      </c>
      <c r="H4665">
        <v>5</v>
      </c>
      <c r="I4665">
        <f>VLOOKUP(B4665,BRAND!B:D,3,FALSE)</f>
        <v>5</v>
      </c>
      <c r="J4665">
        <v>0</v>
      </c>
      <c r="K4665" t="s">
        <v>821</v>
      </c>
      <c r="L4665">
        <v>0</v>
      </c>
      <c r="M4665">
        <v>0</v>
      </c>
    </row>
    <row r="4666" spans="1:13">
      <c r="A4666" t="s">
        <v>15503</v>
      </c>
      <c r="B4666" t="s">
        <v>15225</v>
      </c>
      <c r="C4666" s="34" t="s">
        <v>15504</v>
      </c>
      <c r="F4666" t="s">
        <v>15504</v>
      </c>
      <c r="G4666" t="s">
        <v>6932</v>
      </c>
      <c r="H4666">
        <v>5</v>
      </c>
      <c r="I4666">
        <f>VLOOKUP(B4666,BRAND!B:D,3,FALSE)</f>
        <v>5</v>
      </c>
      <c r="J4666">
        <v>0</v>
      </c>
      <c r="K4666" t="s">
        <v>821</v>
      </c>
      <c r="L4666">
        <v>0</v>
      </c>
      <c r="M4666">
        <v>0</v>
      </c>
    </row>
    <row r="4667" spans="1:13">
      <c r="A4667" t="s">
        <v>15505</v>
      </c>
      <c r="B4667" t="s">
        <v>15225</v>
      </c>
      <c r="C4667" s="34" t="s">
        <v>904</v>
      </c>
      <c r="F4667" t="s">
        <v>904</v>
      </c>
      <c r="G4667" t="s">
        <v>6932</v>
      </c>
      <c r="H4667">
        <v>5</v>
      </c>
      <c r="I4667">
        <f>VLOOKUP(B4667,BRAND!B:D,3,FALSE)</f>
        <v>5</v>
      </c>
      <c r="J4667">
        <v>0</v>
      </c>
      <c r="K4667" t="s">
        <v>821</v>
      </c>
      <c r="L4667">
        <v>0</v>
      </c>
      <c r="M4667">
        <v>0</v>
      </c>
    </row>
    <row r="4668" spans="1:13">
      <c r="A4668" t="s">
        <v>15506</v>
      </c>
      <c r="B4668" t="s">
        <v>15225</v>
      </c>
      <c r="C4668" s="34" t="s">
        <v>15507</v>
      </c>
      <c r="F4668" t="s">
        <v>15507</v>
      </c>
      <c r="G4668" t="s">
        <v>6932</v>
      </c>
      <c r="H4668">
        <v>5</v>
      </c>
      <c r="I4668">
        <f>VLOOKUP(B4668,BRAND!B:D,3,FALSE)</f>
        <v>5</v>
      </c>
      <c r="J4668">
        <v>0</v>
      </c>
      <c r="K4668" t="s">
        <v>821</v>
      </c>
      <c r="L4668">
        <v>0</v>
      </c>
      <c r="M4668">
        <v>0</v>
      </c>
    </row>
    <row r="4669" spans="1:13">
      <c r="A4669" t="s">
        <v>15508</v>
      </c>
      <c r="B4669" t="s">
        <v>15225</v>
      </c>
      <c r="C4669" s="34" t="s">
        <v>15509</v>
      </c>
      <c r="F4669" t="s">
        <v>15509</v>
      </c>
      <c r="G4669" t="s">
        <v>801</v>
      </c>
      <c r="H4669">
        <v>5</v>
      </c>
      <c r="I4669">
        <f>VLOOKUP(B4669,BRAND!B:D,3,FALSE)</f>
        <v>5</v>
      </c>
      <c r="J4669">
        <v>0</v>
      </c>
      <c r="K4669" t="s">
        <v>821</v>
      </c>
      <c r="L4669">
        <v>0</v>
      </c>
      <c r="M4669">
        <v>0</v>
      </c>
    </row>
    <row r="4670" spans="1:13">
      <c r="A4670" t="s">
        <v>15510</v>
      </c>
      <c r="B4670" t="s">
        <v>15225</v>
      </c>
      <c r="C4670" s="34" t="s">
        <v>12474</v>
      </c>
      <c r="F4670" t="s">
        <v>12474</v>
      </c>
      <c r="G4670" t="s">
        <v>6932</v>
      </c>
      <c r="H4670">
        <v>5</v>
      </c>
      <c r="I4670">
        <f>VLOOKUP(B4670,BRAND!B:D,3,FALSE)</f>
        <v>5</v>
      </c>
      <c r="J4670">
        <v>0</v>
      </c>
      <c r="K4670" t="s">
        <v>821</v>
      </c>
      <c r="L4670">
        <v>0</v>
      </c>
      <c r="M4670">
        <v>0</v>
      </c>
    </row>
    <row r="4671" spans="1:13">
      <c r="A4671" t="s">
        <v>3355</v>
      </c>
      <c r="B4671" t="s">
        <v>551</v>
      </c>
      <c r="C4671" s="34" t="s">
        <v>772</v>
      </c>
      <c r="F4671" t="s">
        <v>772</v>
      </c>
      <c r="H4671">
        <v>5</v>
      </c>
      <c r="I4671">
        <f>VLOOKUP(B4671,BRAND!B:D,3,FALSE)</f>
        <v>3</v>
      </c>
      <c r="J4671">
        <v>6</v>
      </c>
      <c r="K4671" t="s">
        <v>821</v>
      </c>
      <c r="L4671">
        <v>0</v>
      </c>
      <c r="M4671">
        <v>0</v>
      </c>
    </row>
    <row r="4672" spans="1:13">
      <c r="A4672" t="s">
        <v>3354</v>
      </c>
      <c r="B4672" t="s">
        <v>551</v>
      </c>
      <c r="C4672" s="34" t="s">
        <v>534</v>
      </c>
      <c r="F4672" t="s">
        <v>534</v>
      </c>
      <c r="H4672">
        <v>5</v>
      </c>
      <c r="I4672">
        <f>VLOOKUP(B4672,BRAND!B:D,3,FALSE)</f>
        <v>3</v>
      </c>
      <c r="J4672">
        <v>6</v>
      </c>
      <c r="K4672" t="s">
        <v>821</v>
      </c>
      <c r="M4672">
        <v>1</v>
      </c>
    </row>
    <row r="4673" spans="1:13">
      <c r="A4673" t="s">
        <v>4353</v>
      </c>
      <c r="B4673" t="s">
        <v>551</v>
      </c>
      <c r="C4673" s="34" t="s">
        <v>786</v>
      </c>
      <c r="F4673" t="s">
        <v>786</v>
      </c>
      <c r="H4673">
        <v>5</v>
      </c>
      <c r="I4673">
        <f>VLOOKUP(B4673,BRAND!B:D,3,FALSE)</f>
        <v>3</v>
      </c>
      <c r="J4673">
        <v>3</v>
      </c>
      <c r="K4673" t="s">
        <v>821</v>
      </c>
      <c r="L4673">
        <v>0</v>
      </c>
      <c r="M4673">
        <v>0</v>
      </c>
    </row>
    <row r="4674" spans="1:13">
      <c r="A4674" t="s">
        <v>2570</v>
      </c>
      <c r="B4674" t="s">
        <v>551</v>
      </c>
      <c r="C4674" s="34" t="s">
        <v>1438</v>
      </c>
      <c r="F4674" t="s">
        <v>1438</v>
      </c>
      <c r="H4674">
        <v>15</v>
      </c>
      <c r="I4674">
        <f>VLOOKUP(B4674,BRAND!B:D,3,FALSE)</f>
        <v>3</v>
      </c>
      <c r="J4674">
        <v>4</v>
      </c>
      <c r="K4674" t="s">
        <v>821</v>
      </c>
      <c r="L4674">
        <v>0</v>
      </c>
      <c r="M4674">
        <v>0</v>
      </c>
    </row>
    <row r="4675" spans="1:13">
      <c r="A4675" t="s">
        <v>10841</v>
      </c>
      <c r="B4675" t="s">
        <v>268</v>
      </c>
      <c r="C4675" s="34" t="s">
        <v>6924</v>
      </c>
      <c r="F4675" t="s">
        <v>1965</v>
      </c>
      <c r="H4675">
        <v>5</v>
      </c>
      <c r="I4675">
        <f>VLOOKUP(B4675,BRAND!B:D,3,FALSE)</f>
        <v>3</v>
      </c>
      <c r="J4675">
        <f>LEN(F4675)</f>
        <v>10</v>
      </c>
      <c r="K4675" t="s">
        <v>821</v>
      </c>
      <c r="M4675">
        <v>1</v>
      </c>
    </row>
    <row r="4676" spans="1:13">
      <c r="A4676" t="s">
        <v>7150</v>
      </c>
      <c r="B4676" t="s">
        <v>268</v>
      </c>
      <c r="C4676" s="34" t="s">
        <v>7149</v>
      </c>
      <c r="F4676" t="s">
        <v>7149</v>
      </c>
      <c r="H4676">
        <v>5</v>
      </c>
      <c r="I4676">
        <f>VLOOKUP(B4676,BRAND!B:D,3,FALSE)</f>
        <v>3</v>
      </c>
      <c r="J4676">
        <v>8</v>
      </c>
      <c r="K4676" t="s">
        <v>821</v>
      </c>
      <c r="L4676">
        <v>0</v>
      </c>
      <c r="M4676">
        <v>0</v>
      </c>
    </row>
    <row r="4677" spans="1:13">
      <c r="A4677" t="s">
        <v>10840</v>
      </c>
      <c r="B4677" t="s">
        <v>268</v>
      </c>
      <c r="C4677" s="34" t="s">
        <v>7928</v>
      </c>
      <c r="F4677" t="s">
        <v>7928</v>
      </c>
      <c r="G4677" t="s">
        <v>6932</v>
      </c>
      <c r="H4677">
        <v>5</v>
      </c>
      <c r="I4677">
        <f>VLOOKUP(B4677,BRAND!B:D,3,FALSE)</f>
        <v>3</v>
      </c>
      <c r="J4677">
        <v>8</v>
      </c>
      <c r="M4677">
        <v>1</v>
      </c>
    </row>
    <row r="4678" spans="1:13">
      <c r="A4678" t="s">
        <v>3287</v>
      </c>
      <c r="B4678" t="s">
        <v>268</v>
      </c>
      <c r="C4678" s="34" t="s">
        <v>933</v>
      </c>
      <c r="F4678" t="s">
        <v>933</v>
      </c>
      <c r="H4678">
        <v>5</v>
      </c>
      <c r="I4678">
        <f>VLOOKUP(B4678,BRAND!B:D,3,FALSE)</f>
        <v>3</v>
      </c>
      <c r="J4678">
        <v>8</v>
      </c>
      <c r="K4678" t="s">
        <v>821</v>
      </c>
      <c r="M4678">
        <v>1</v>
      </c>
    </row>
    <row r="4679" spans="1:13">
      <c r="A4679" t="s">
        <v>4264</v>
      </c>
      <c r="B4679" t="s">
        <v>268</v>
      </c>
      <c r="C4679" s="34" t="s">
        <v>1965</v>
      </c>
      <c r="F4679" t="s">
        <v>1510</v>
      </c>
      <c r="H4679">
        <v>5</v>
      </c>
      <c r="I4679">
        <f>VLOOKUP(B4679,BRAND!B:D,3,FALSE)</f>
        <v>3</v>
      </c>
      <c r="J4679">
        <v>6</v>
      </c>
      <c r="K4679" t="s">
        <v>821</v>
      </c>
      <c r="L4679">
        <v>0</v>
      </c>
      <c r="M4679">
        <v>0</v>
      </c>
    </row>
    <row r="4680" spans="1:13">
      <c r="A4680" t="s">
        <v>3286</v>
      </c>
      <c r="B4680" t="s">
        <v>268</v>
      </c>
      <c r="C4680" s="34" t="s">
        <v>535</v>
      </c>
      <c r="F4680" t="s">
        <v>535</v>
      </c>
      <c r="H4680">
        <v>5</v>
      </c>
      <c r="I4680">
        <f>VLOOKUP(B4680,BRAND!B:D,3,FALSE)</f>
        <v>3</v>
      </c>
      <c r="J4680">
        <v>6</v>
      </c>
      <c r="K4680" t="s">
        <v>821</v>
      </c>
      <c r="L4680">
        <v>0</v>
      </c>
      <c r="M4680">
        <v>0</v>
      </c>
    </row>
    <row r="4681" spans="1:13">
      <c r="A4681" t="s">
        <v>8533</v>
      </c>
      <c r="B4681" t="s">
        <v>268</v>
      </c>
      <c r="C4681" s="34" t="s">
        <v>6364</v>
      </c>
      <c r="F4681" t="s">
        <v>6364</v>
      </c>
      <c r="G4681" t="s">
        <v>6932</v>
      </c>
      <c r="H4681">
        <v>5</v>
      </c>
      <c r="I4681">
        <f>VLOOKUP(B4681,BRAND!B:D,3,FALSE)</f>
        <v>3</v>
      </c>
      <c r="J4681">
        <v>6</v>
      </c>
      <c r="M4681">
        <v>1</v>
      </c>
    </row>
    <row r="4682" spans="1:13">
      <c r="A4682" t="s">
        <v>3330</v>
      </c>
      <c r="B4682" t="s">
        <v>268</v>
      </c>
      <c r="C4682" s="34" t="s">
        <v>536</v>
      </c>
      <c r="F4682" t="s">
        <v>536</v>
      </c>
      <c r="H4682">
        <v>5</v>
      </c>
      <c r="I4682">
        <f>VLOOKUP(B4682,BRAND!B:D,3,FALSE)</f>
        <v>3</v>
      </c>
      <c r="J4682">
        <v>5</v>
      </c>
      <c r="K4682" t="s">
        <v>821</v>
      </c>
      <c r="M4682">
        <v>1</v>
      </c>
    </row>
    <row r="4683" spans="1:13">
      <c r="A4683" t="s">
        <v>2345</v>
      </c>
      <c r="B4683" t="s">
        <v>268</v>
      </c>
      <c r="C4683" s="34" t="s">
        <v>561</v>
      </c>
      <c r="F4683" t="s">
        <v>561</v>
      </c>
      <c r="H4683">
        <v>5</v>
      </c>
      <c r="I4683">
        <f>VLOOKUP(B4683,BRAND!B:D,3,FALSE)</f>
        <v>3</v>
      </c>
      <c r="J4683">
        <v>3</v>
      </c>
      <c r="K4683" t="s">
        <v>821</v>
      </c>
      <c r="M4683">
        <v>1</v>
      </c>
    </row>
    <row r="4684" spans="1:13">
      <c r="A4684" t="s">
        <v>7266</v>
      </c>
      <c r="B4684" t="s">
        <v>268</v>
      </c>
      <c r="C4684" s="34" t="s">
        <v>970</v>
      </c>
      <c r="F4684" t="s">
        <v>970</v>
      </c>
      <c r="H4684">
        <v>5</v>
      </c>
      <c r="I4684">
        <f>VLOOKUP(B4684,BRAND!B:D,3,FALSE)</f>
        <v>3</v>
      </c>
      <c r="M4684">
        <v>1</v>
      </c>
    </row>
    <row r="4685" spans="1:13">
      <c r="A4685" t="s">
        <v>2528</v>
      </c>
      <c r="B4685" t="s">
        <v>268</v>
      </c>
      <c r="C4685" s="34" t="s">
        <v>1438</v>
      </c>
      <c r="F4685" t="s">
        <v>1438</v>
      </c>
      <c r="H4685">
        <v>15</v>
      </c>
      <c r="I4685">
        <f>VLOOKUP(B4685,BRAND!B:D,3,FALSE)</f>
        <v>3</v>
      </c>
      <c r="J4685">
        <v>4</v>
      </c>
      <c r="K4685" t="s">
        <v>821</v>
      </c>
      <c r="L4685">
        <v>0</v>
      </c>
      <c r="M4685">
        <v>0</v>
      </c>
    </row>
    <row r="4686" spans="1:13">
      <c r="A4686" t="s">
        <v>8535</v>
      </c>
      <c r="B4686" t="s">
        <v>8536</v>
      </c>
      <c r="C4686" s="34" t="s">
        <v>1438</v>
      </c>
      <c r="F4686" t="s">
        <v>1438</v>
      </c>
      <c r="G4686" t="s">
        <v>6932</v>
      </c>
      <c r="H4686">
        <v>5</v>
      </c>
      <c r="I4686">
        <f>VLOOKUP(B4686,BRAND!B:D,3,FALSE)</f>
        <v>5.5</v>
      </c>
      <c r="J4686">
        <v>4</v>
      </c>
      <c r="M4686">
        <v>1</v>
      </c>
    </row>
    <row r="4687" spans="1:13">
      <c r="A4687" t="s">
        <v>4205</v>
      </c>
      <c r="B4687" t="s">
        <v>1168</v>
      </c>
      <c r="C4687" s="34" t="s">
        <v>794</v>
      </c>
      <c r="F4687" t="s">
        <v>794</v>
      </c>
      <c r="H4687">
        <v>5</v>
      </c>
      <c r="I4687">
        <f>VLOOKUP(B4687,BRAND!B:D,3,FALSE)</f>
        <v>3</v>
      </c>
      <c r="J4687">
        <f>LEN(F4687)</f>
        <v>10</v>
      </c>
      <c r="K4687" t="s">
        <v>821</v>
      </c>
      <c r="L4687">
        <v>0</v>
      </c>
      <c r="M4687">
        <v>0</v>
      </c>
    </row>
    <row r="4688" spans="1:13">
      <c r="A4688" t="s">
        <v>4120</v>
      </c>
      <c r="B4688" t="s">
        <v>1168</v>
      </c>
      <c r="C4688" s="34" t="s">
        <v>746</v>
      </c>
      <c r="F4688" t="s">
        <v>746</v>
      </c>
      <c r="H4688">
        <v>5</v>
      </c>
      <c r="I4688">
        <f>VLOOKUP(B4688,BRAND!B:D,3,FALSE)</f>
        <v>3</v>
      </c>
      <c r="J4688">
        <v>6</v>
      </c>
      <c r="K4688" t="s">
        <v>821</v>
      </c>
      <c r="L4688">
        <v>0</v>
      </c>
      <c r="M4688">
        <v>0</v>
      </c>
    </row>
    <row r="4689" spans="1:13">
      <c r="A4689" t="s">
        <v>3738</v>
      </c>
      <c r="B4689" t="s">
        <v>1168</v>
      </c>
      <c r="C4689" s="34" t="s">
        <v>842</v>
      </c>
      <c r="F4689" t="s">
        <v>842</v>
      </c>
      <c r="H4689">
        <v>5</v>
      </c>
      <c r="I4689">
        <f>VLOOKUP(B4689,BRAND!B:D,3,FALSE)</f>
        <v>3</v>
      </c>
      <c r="J4689">
        <v>5</v>
      </c>
      <c r="K4689" t="s">
        <v>821</v>
      </c>
      <c r="L4689">
        <v>0</v>
      </c>
      <c r="M4689">
        <v>0</v>
      </c>
    </row>
    <row r="4690" spans="1:13">
      <c r="A4690" t="s">
        <v>2485</v>
      </c>
      <c r="B4690" t="s">
        <v>1168</v>
      </c>
      <c r="C4690" s="34" t="s">
        <v>1438</v>
      </c>
      <c r="F4690" t="s">
        <v>1438</v>
      </c>
      <c r="H4690">
        <v>15</v>
      </c>
      <c r="I4690">
        <f>VLOOKUP(B4690,BRAND!B:D,3,FALSE)</f>
        <v>3</v>
      </c>
      <c r="J4690">
        <v>4</v>
      </c>
      <c r="K4690" t="s">
        <v>821</v>
      </c>
      <c r="L4690">
        <v>0</v>
      </c>
      <c r="M4690">
        <v>0</v>
      </c>
    </row>
    <row r="4691" spans="1:13">
      <c r="A4691" t="s">
        <v>8537</v>
      </c>
      <c r="B4691" t="s">
        <v>8538</v>
      </c>
      <c r="C4691" s="34" t="s">
        <v>863</v>
      </c>
      <c r="F4691" t="s">
        <v>863</v>
      </c>
      <c r="G4691" t="s">
        <v>6932</v>
      </c>
      <c r="H4691">
        <v>5</v>
      </c>
      <c r="I4691">
        <f>VLOOKUP(B4691,BRAND!B:D,3,FALSE)</f>
        <v>5.5</v>
      </c>
      <c r="J4691">
        <f>LEN(F4691)</f>
        <v>10</v>
      </c>
      <c r="M4691">
        <v>1</v>
      </c>
    </row>
    <row r="4692" spans="1:13">
      <c r="A4692" t="s">
        <v>3547</v>
      </c>
      <c r="B4692" t="s">
        <v>103</v>
      </c>
      <c r="C4692" s="34" t="s">
        <v>772</v>
      </c>
      <c r="F4692" t="s">
        <v>772</v>
      </c>
      <c r="H4692">
        <v>5</v>
      </c>
      <c r="I4692">
        <f>VLOOKUP(B4692,BRAND!B:D,3,FALSE)</f>
        <v>3</v>
      </c>
      <c r="J4692">
        <v>6</v>
      </c>
      <c r="K4692" t="s">
        <v>821</v>
      </c>
      <c r="L4692">
        <v>0</v>
      </c>
      <c r="M4692">
        <v>0</v>
      </c>
    </row>
    <row r="4693" spans="1:13">
      <c r="A4693" t="s">
        <v>3948</v>
      </c>
      <c r="B4693" t="s">
        <v>103</v>
      </c>
      <c r="C4693" s="34" t="s">
        <v>534</v>
      </c>
      <c r="F4693" t="s">
        <v>534</v>
      </c>
      <c r="H4693">
        <v>5</v>
      </c>
      <c r="I4693">
        <f>VLOOKUP(B4693,BRAND!B:D,3,FALSE)</f>
        <v>3</v>
      </c>
      <c r="J4693">
        <v>6</v>
      </c>
      <c r="K4693" t="s">
        <v>821</v>
      </c>
      <c r="M4693">
        <v>1</v>
      </c>
    </row>
    <row r="4694" spans="1:13">
      <c r="A4694" t="s">
        <v>2093</v>
      </c>
      <c r="B4694" t="s">
        <v>103</v>
      </c>
      <c r="C4694" s="34" t="s">
        <v>746</v>
      </c>
      <c r="F4694" t="s">
        <v>746</v>
      </c>
      <c r="H4694">
        <v>5</v>
      </c>
      <c r="I4694">
        <f>VLOOKUP(B4694,BRAND!B:D,3,FALSE)</f>
        <v>3</v>
      </c>
      <c r="J4694">
        <v>6</v>
      </c>
      <c r="K4694" t="s">
        <v>821</v>
      </c>
      <c r="M4694">
        <v>1</v>
      </c>
    </row>
    <row r="4695" spans="1:13">
      <c r="A4695" t="s">
        <v>3688</v>
      </c>
      <c r="B4695" t="s">
        <v>103</v>
      </c>
      <c r="C4695" s="34" t="s">
        <v>536</v>
      </c>
      <c r="F4695" t="s">
        <v>536</v>
      </c>
      <c r="H4695">
        <v>5</v>
      </c>
      <c r="I4695">
        <f>VLOOKUP(B4695,BRAND!B:D,3,FALSE)</f>
        <v>3</v>
      </c>
      <c r="J4695">
        <v>5</v>
      </c>
      <c r="K4695" t="s">
        <v>821</v>
      </c>
      <c r="L4695">
        <v>0</v>
      </c>
      <c r="M4695">
        <v>0</v>
      </c>
    </row>
    <row r="4696" spans="1:13">
      <c r="A4696" t="s">
        <v>2359</v>
      </c>
      <c r="B4696" t="s">
        <v>103</v>
      </c>
      <c r="C4696" s="34" t="s">
        <v>842</v>
      </c>
      <c r="F4696" t="s">
        <v>842</v>
      </c>
      <c r="H4696">
        <v>5</v>
      </c>
      <c r="I4696">
        <f>VLOOKUP(B4696,BRAND!B:D,3,FALSE)</f>
        <v>3</v>
      </c>
      <c r="J4696">
        <v>5</v>
      </c>
      <c r="K4696" t="s">
        <v>821</v>
      </c>
      <c r="L4696">
        <v>0</v>
      </c>
      <c r="M4696">
        <v>0</v>
      </c>
    </row>
    <row r="4697" spans="1:13">
      <c r="A4697" t="s">
        <v>4924</v>
      </c>
      <c r="B4697" t="s">
        <v>103</v>
      </c>
      <c r="C4697" s="34" t="s">
        <v>1438</v>
      </c>
      <c r="F4697" t="s">
        <v>1438</v>
      </c>
      <c r="G4697" t="s">
        <v>801</v>
      </c>
      <c r="H4697">
        <v>6</v>
      </c>
      <c r="I4697">
        <f>VLOOKUP(B4697,BRAND!B:D,3,FALSE)</f>
        <v>3</v>
      </c>
      <c r="J4697">
        <v>4</v>
      </c>
      <c r="K4697" t="s">
        <v>821</v>
      </c>
      <c r="L4697">
        <v>0</v>
      </c>
      <c r="M4697">
        <v>0</v>
      </c>
    </row>
    <row r="4698" spans="1:13">
      <c r="A4698" t="s">
        <v>2065</v>
      </c>
      <c r="B4698" t="s">
        <v>103</v>
      </c>
      <c r="C4698" s="34" t="s">
        <v>1438</v>
      </c>
      <c r="F4698" t="s">
        <v>1438</v>
      </c>
      <c r="H4698">
        <v>15</v>
      </c>
      <c r="I4698">
        <f>VLOOKUP(B4698,BRAND!B:D,3,FALSE)</f>
        <v>3</v>
      </c>
      <c r="J4698">
        <v>4</v>
      </c>
      <c r="K4698" t="s">
        <v>821</v>
      </c>
      <c r="M4698">
        <v>1</v>
      </c>
    </row>
    <row r="4699" spans="1:13">
      <c r="A4699" t="s">
        <v>2427</v>
      </c>
      <c r="B4699" t="s">
        <v>1107</v>
      </c>
      <c r="C4699" s="34" t="s">
        <v>1438</v>
      </c>
      <c r="F4699" t="s">
        <v>1438</v>
      </c>
      <c r="H4699">
        <v>15</v>
      </c>
      <c r="I4699">
        <f>VLOOKUP(B4699,BRAND!B:D,3,FALSE)</f>
        <v>3</v>
      </c>
      <c r="J4699">
        <v>4</v>
      </c>
      <c r="K4699" t="s">
        <v>821</v>
      </c>
      <c r="L4699">
        <v>0</v>
      </c>
      <c r="M4699">
        <v>0</v>
      </c>
    </row>
    <row r="4700" spans="1:13">
      <c r="A4700" t="s">
        <v>10536</v>
      </c>
      <c r="B4700" t="s">
        <v>10333</v>
      </c>
      <c r="C4700" s="34" t="s">
        <v>994</v>
      </c>
      <c r="F4700" t="s">
        <v>994</v>
      </c>
      <c r="G4700" t="s">
        <v>6932</v>
      </c>
      <c r="H4700">
        <v>5</v>
      </c>
      <c r="I4700">
        <f>VLOOKUP(B4700,BRAND!B:D,3,FALSE)</f>
        <v>5</v>
      </c>
      <c r="J4700">
        <f>LEN(F4700)</f>
        <v>10</v>
      </c>
      <c r="L4700">
        <v>0</v>
      </c>
    </row>
    <row r="4701" spans="1:13">
      <c r="A4701" t="s">
        <v>10537</v>
      </c>
      <c r="B4701" t="s">
        <v>10333</v>
      </c>
      <c r="C4701" s="34" t="s">
        <v>764</v>
      </c>
      <c r="F4701" t="s">
        <v>764</v>
      </c>
      <c r="G4701" t="s">
        <v>6932</v>
      </c>
      <c r="H4701">
        <v>5</v>
      </c>
      <c r="I4701">
        <f>VLOOKUP(B4701,BRAND!B:D,3,FALSE)</f>
        <v>5</v>
      </c>
      <c r="J4701">
        <f>LEN(F4701)</f>
        <v>5</v>
      </c>
      <c r="L4701">
        <v>0</v>
      </c>
    </row>
    <row r="4702" spans="1:13">
      <c r="A4702" t="s">
        <v>4590</v>
      </c>
      <c r="B4702" t="s">
        <v>1868</v>
      </c>
      <c r="C4702" s="34" t="s">
        <v>769</v>
      </c>
      <c r="F4702" t="s">
        <v>769</v>
      </c>
      <c r="H4702">
        <v>5</v>
      </c>
      <c r="I4702">
        <f>VLOOKUP(B4702,BRAND!B:D,3,FALSE)</f>
        <v>5</v>
      </c>
      <c r="J4702">
        <v>8</v>
      </c>
      <c r="K4702" t="s">
        <v>822</v>
      </c>
      <c r="L4702">
        <v>0</v>
      </c>
      <c r="M4702">
        <v>0</v>
      </c>
    </row>
    <row r="4703" spans="1:13">
      <c r="A4703" t="s">
        <v>4250</v>
      </c>
      <c r="B4703" t="s">
        <v>1868</v>
      </c>
      <c r="C4703" s="34" t="s">
        <v>764</v>
      </c>
      <c r="F4703" t="s">
        <v>764</v>
      </c>
      <c r="H4703">
        <v>5</v>
      </c>
      <c r="I4703">
        <f>VLOOKUP(B4703,BRAND!B:D,3,FALSE)</f>
        <v>5</v>
      </c>
      <c r="J4703">
        <v>5</v>
      </c>
      <c r="K4703" t="s">
        <v>822</v>
      </c>
      <c r="L4703">
        <v>0</v>
      </c>
      <c r="M4703">
        <v>0</v>
      </c>
    </row>
    <row r="4704" spans="1:13">
      <c r="A4704" t="s">
        <v>4449</v>
      </c>
      <c r="B4704" t="s">
        <v>1868</v>
      </c>
      <c r="C4704" s="34" t="s">
        <v>1438</v>
      </c>
      <c r="F4704" t="s">
        <v>1438</v>
      </c>
      <c r="H4704">
        <v>15</v>
      </c>
      <c r="I4704">
        <f>VLOOKUP(B4704,BRAND!B:D,3,FALSE)</f>
        <v>5</v>
      </c>
      <c r="J4704">
        <v>4</v>
      </c>
      <c r="K4704" t="s">
        <v>822</v>
      </c>
      <c r="L4704">
        <v>0</v>
      </c>
      <c r="M4704">
        <v>0</v>
      </c>
    </row>
    <row r="4705" spans="1:13">
      <c r="A4705" t="s">
        <v>2692</v>
      </c>
      <c r="B4705" t="s">
        <v>1169</v>
      </c>
      <c r="C4705" s="34" t="s">
        <v>1438</v>
      </c>
      <c r="F4705" t="s">
        <v>1438</v>
      </c>
      <c r="H4705">
        <v>15</v>
      </c>
      <c r="I4705">
        <f>VLOOKUP(B4705,BRAND!B:D,3,FALSE)</f>
        <v>3</v>
      </c>
      <c r="J4705">
        <v>4</v>
      </c>
      <c r="K4705" t="s">
        <v>821</v>
      </c>
      <c r="L4705">
        <v>0</v>
      </c>
      <c r="M4705">
        <v>0</v>
      </c>
    </row>
    <row r="4706" spans="1:13">
      <c r="A4706" t="s">
        <v>7036</v>
      </c>
      <c r="B4706" t="s">
        <v>1170</v>
      </c>
      <c r="C4706" s="34" t="s">
        <v>1438</v>
      </c>
      <c r="F4706" t="s">
        <v>1438</v>
      </c>
      <c r="H4706">
        <v>5</v>
      </c>
      <c r="I4706">
        <f>VLOOKUP(B4706,BRAND!B:D,3,FALSE)</f>
        <v>3</v>
      </c>
      <c r="J4706">
        <v>4</v>
      </c>
      <c r="M4706">
        <v>1</v>
      </c>
    </row>
    <row r="4707" spans="1:13">
      <c r="A4707" t="s">
        <v>2814</v>
      </c>
      <c r="B4707" t="s">
        <v>1170</v>
      </c>
      <c r="C4707" s="34" t="s">
        <v>1438</v>
      </c>
      <c r="F4707" t="s">
        <v>1438</v>
      </c>
      <c r="H4707">
        <v>15</v>
      </c>
      <c r="I4707">
        <f>VLOOKUP(B4707,BRAND!B:D,3,FALSE)</f>
        <v>3</v>
      </c>
      <c r="J4707">
        <v>4</v>
      </c>
      <c r="K4707" t="s">
        <v>821</v>
      </c>
      <c r="L4707">
        <v>0</v>
      </c>
      <c r="M4707">
        <v>0</v>
      </c>
    </row>
    <row r="4708" spans="1:13">
      <c r="A4708" t="s">
        <v>3829</v>
      </c>
      <c r="B4708" t="s">
        <v>104</v>
      </c>
      <c r="C4708" s="34" t="s">
        <v>561</v>
      </c>
      <c r="F4708" t="s">
        <v>561</v>
      </c>
      <c r="H4708">
        <v>5</v>
      </c>
      <c r="I4708">
        <f>VLOOKUP(B4708,BRAND!B:D,3,FALSE)</f>
        <v>3</v>
      </c>
      <c r="J4708">
        <v>3</v>
      </c>
      <c r="K4708" t="s">
        <v>821</v>
      </c>
      <c r="L4708">
        <v>0</v>
      </c>
      <c r="M4708">
        <v>0</v>
      </c>
    </row>
    <row r="4709" spans="1:13">
      <c r="A4709" t="s">
        <v>3645</v>
      </c>
      <c r="B4709" t="s">
        <v>104</v>
      </c>
      <c r="C4709" s="34" t="s">
        <v>775</v>
      </c>
      <c r="F4709" t="s">
        <v>775</v>
      </c>
      <c r="H4709">
        <v>5</v>
      </c>
      <c r="I4709">
        <f>VLOOKUP(B4709,BRAND!B:D,3,FALSE)</f>
        <v>3</v>
      </c>
      <c r="J4709">
        <v>3</v>
      </c>
      <c r="K4709" t="s">
        <v>821</v>
      </c>
      <c r="L4709">
        <v>0</v>
      </c>
      <c r="M4709">
        <v>0</v>
      </c>
    </row>
    <row r="4710" spans="1:13">
      <c r="A4710" t="s">
        <v>2518</v>
      </c>
      <c r="B4710" t="s">
        <v>104</v>
      </c>
      <c r="C4710" s="34" t="s">
        <v>1438</v>
      </c>
      <c r="F4710" t="s">
        <v>1438</v>
      </c>
      <c r="H4710">
        <v>15</v>
      </c>
      <c r="I4710">
        <f>VLOOKUP(B4710,BRAND!B:D,3,FALSE)</f>
        <v>3</v>
      </c>
      <c r="J4710">
        <v>4</v>
      </c>
      <c r="K4710" t="s">
        <v>821</v>
      </c>
      <c r="M4710">
        <v>1</v>
      </c>
    </row>
    <row r="4711" spans="1:13">
      <c r="A4711" t="s">
        <v>8539</v>
      </c>
      <c r="B4711" t="s">
        <v>8540</v>
      </c>
      <c r="C4711" s="34" t="s">
        <v>1438</v>
      </c>
      <c r="F4711" t="s">
        <v>1438</v>
      </c>
      <c r="G4711" t="s">
        <v>6932</v>
      </c>
      <c r="H4711">
        <v>5</v>
      </c>
      <c r="I4711">
        <f>VLOOKUP(B4711,BRAND!B:D,3,FALSE)</f>
        <v>5.5</v>
      </c>
      <c r="J4711">
        <v>4</v>
      </c>
      <c r="M4711">
        <v>1</v>
      </c>
    </row>
    <row r="4712" spans="1:13">
      <c r="A4712" t="s">
        <v>2245</v>
      </c>
      <c r="B4712" t="s">
        <v>105</v>
      </c>
      <c r="C4712" s="34" t="s">
        <v>1438</v>
      </c>
      <c r="F4712" t="s">
        <v>1438</v>
      </c>
      <c r="H4712">
        <v>15</v>
      </c>
      <c r="I4712">
        <f>VLOOKUP(B4712,BRAND!B:D,3,FALSE)</f>
        <v>3</v>
      </c>
      <c r="J4712">
        <v>4</v>
      </c>
      <c r="K4712" t="s">
        <v>821</v>
      </c>
      <c r="M4712">
        <v>1</v>
      </c>
    </row>
    <row r="4713" spans="1:13">
      <c r="A4713" t="s">
        <v>15001</v>
      </c>
      <c r="B4713" t="s">
        <v>15002</v>
      </c>
      <c r="C4713" s="34" t="s">
        <v>14911</v>
      </c>
      <c r="F4713" t="s">
        <v>900</v>
      </c>
      <c r="G4713" t="s">
        <v>6932</v>
      </c>
      <c r="H4713">
        <v>5</v>
      </c>
      <c r="I4713">
        <f>VLOOKUP(B4713,BRAND!B:D,3,FALSE)</f>
        <v>5</v>
      </c>
      <c r="J4713">
        <v>0</v>
      </c>
      <c r="K4713" t="s">
        <v>821</v>
      </c>
      <c r="L4713">
        <v>0</v>
      </c>
      <c r="M4713">
        <v>0</v>
      </c>
    </row>
    <row r="4714" spans="1:13">
      <c r="A4714" t="s">
        <v>15003</v>
      </c>
      <c r="B4714" t="s">
        <v>15004</v>
      </c>
      <c r="C4714" s="34" t="s">
        <v>1438</v>
      </c>
      <c r="F4714" t="s">
        <v>1438</v>
      </c>
      <c r="G4714" t="s">
        <v>6932</v>
      </c>
      <c r="H4714">
        <v>5</v>
      </c>
      <c r="I4714">
        <f>VLOOKUP(B4714,BRAND!B:D,3,FALSE)</f>
        <v>5</v>
      </c>
      <c r="J4714">
        <v>0</v>
      </c>
      <c r="K4714" t="s">
        <v>821</v>
      </c>
      <c r="L4714">
        <v>0</v>
      </c>
      <c r="M4714">
        <v>0</v>
      </c>
    </row>
    <row r="4715" spans="1:13">
      <c r="A4715" t="s">
        <v>2192</v>
      </c>
      <c r="B4715" t="s">
        <v>1051</v>
      </c>
      <c r="C4715" s="34" t="s">
        <v>1438</v>
      </c>
      <c r="F4715" t="s">
        <v>1438</v>
      </c>
      <c r="H4715">
        <v>15</v>
      </c>
      <c r="I4715">
        <f>VLOOKUP(B4715,BRAND!B:D,3,FALSE)</f>
        <v>3</v>
      </c>
      <c r="J4715">
        <v>4</v>
      </c>
      <c r="K4715" t="s">
        <v>821</v>
      </c>
      <c r="L4715">
        <v>0</v>
      </c>
      <c r="M4715">
        <v>0</v>
      </c>
    </row>
    <row r="4716" spans="1:13">
      <c r="A4716" t="s">
        <v>3189</v>
      </c>
      <c r="B4716" t="s">
        <v>487</v>
      </c>
      <c r="C4716" s="34" t="s">
        <v>5232</v>
      </c>
      <c r="F4716" t="s">
        <v>536</v>
      </c>
      <c r="H4716">
        <v>5</v>
      </c>
      <c r="I4716">
        <f>VLOOKUP(B4716,BRAND!B:D,3,FALSE)</f>
        <v>3</v>
      </c>
      <c r="J4716">
        <v>5</v>
      </c>
      <c r="K4716" t="s">
        <v>821</v>
      </c>
      <c r="M4716">
        <v>1</v>
      </c>
    </row>
    <row r="4717" spans="1:13">
      <c r="A4717" t="s">
        <v>2694</v>
      </c>
      <c r="B4717" t="s">
        <v>661</v>
      </c>
      <c r="C4717" s="34" t="s">
        <v>1438</v>
      </c>
      <c r="F4717" t="s">
        <v>1438</v>
      </c>
      <c r="H4717">
        <v>15</v>
      </c>
      <c r="I4717">
        <f>VLOOKUP(B4717,BRAND!B:D,3,FALSE)</f>
        <v>3</v>
      </c>
      <c r="J4717">
        <v>4</v>
      </c>
      <c r="K4717" t="s">
        <v>821</v>
      </c>
      <c r="M4717">
        <v>1</v>
      </c>
    </row>
    <row r="4718" spans="1:13">
      <c r="A4718" t="s">
        <v>2577</v>
      </c>
      <c r="B4718" t="s">
        <v>1108</v>
      </c>
      <c r="C4718" s="34" t="s">
        <v>1438</v>
      </c>
      <c r="F4718" t="s">
        <v>1438</v>
      </c>
      <c r="H4718">
        <v>15</v>
      </c>
      <c r="I4718">
        <f>VLOOKUP(B4718,BRAND!B:D,3,FALSE)</f>
        <v>3</v>
      </c>
      <c r="J4718">
        <v>4</v>
      </c>
      <c r="K4718" t="s">
        <v>821</v>
      </c>
      <c r="L4718">
        <v>0</v>
      </c>
      <c r="M4718">
        <v>0</v>
      </c>
    </row>
    <row r="4719" spans="1:13">
      <c r="A4719" t="s">
        <v>8543</v>
      </c>
      <c r="B4719" t="s">
        <v>8544</v>
      </c>
      <c r="C4719" s="34" t="s">
        <v>1438</v>
      </c>
      <c r="F4719" t="s">
        <v>1438</v>
      </c>
      <c r="G4719" t="s">
        <v>6932</v>
      </c>
      <c r="H4719">
        <v>5</v>
      </c>
      <c r="I4719">
        <f>VLOOKUP(B4719,BRAND!B:D,3,FALSE)</f>
        <v>5.5</v>
      </c>
      <c r="J4719">
        <v>4</v>
      </c>
      <c r="M4719">
        <v>1</v>
      </c>
    </row>
    <row r="4720" spans="1:13">
      <c r="A4720" t="s">
        <v>11823</v>
      </c>
      <c r="B4720" t="s">
        <v>10946</v>
      </c>
      <c r="C4720" s="34" t="s">
        <v>11824</v>
      </c>
      <c r="F4720" t="s">
        <v>11240</v>
      </c>
      <c r="G4720" t="s">
        <v>6932</v>
      </c>
      <c r="H4720">
        <v>5</v>
      </c>
    </row>
    <row r="4721" spans="1:8">
      <c r="A4721" t="s">
        <v>11825</v>
      </c>
      <c r="B4721" t="s">
        <v>10946</v>
      </c>
      <c r="C4721" s="34" t="s">
        <v>11241</v>
      </c>
      <c r="F4721" t="s">
        <v>11241</v>
      </c>
      <c r="G4721" t="s">
        <v>6932</v>
      </c>
      <c r="H4721">
        <v>5</v>
      </c>
    </row>
    <row r="4722" spans="1:8">
      <c r="A4722" t="s">
        <v>11826</v>
      </c>
      <c r="B4722" t="s">
        <v>10946</v>
      </c>
      <c r="C4722" s="34" t="s">
        <v>776</v>
      </c>
      <c r="F4722" t="s">
        <v>11242</v>
      </c>
      <c r="G4722" t="s">
        <v>6932</v>
      </c>
      <c r="H4722">
        <v>5</v>
      </c>
    </row>
    <row r="4723" spans="1:8">
      <c r="A4723" t="s">
        <v>11828</v>
      </c>
      <c r="B4723" t="s">
        <v>10946</v>
      </c>
      <c r="C4723" s="34" t="s">
        <v>1999</v>
      </c>
      <c r="F4723" t="s">
        <v>7855</v>
      </c>
      <c r="G4723" t="s">
        <v>6932</v>
      </c>
      <c r="H4723">
        <v>5</v>
      </c>
    </row>
    <row r="4724" spans="1:8">
      <c r="A4724" t="s">
        <v>11829</v>
      </c>
      <c r="B4724" t="s">
        <v>10946</v>
      </c>
      <c r="C4724" s="34" t="s">
        <v>11244</v>
      </c>
      <c r="F4724" t="s">
        <v>11244</v>
      </c>
      <c r="G4724" t="s">
        <v>6932</v>
      </c>
      <c r="H4724">
        <v>5</v>
      </c>
    </row>
    <row r="4725" spans="1:8">
      <c r="A4725" t="s">
        <v>11830</v>
      </c>
      <c r="B4725" t="s">
        <v>10946</v>
      </c>
      <c r="C4725" s="34" t="s">
        <v>11245</v>
      </c>
      <c r="F4725" t="s">
        <v>11245</v>
      </c>
      <c r="G4725" t="s">
        <v>6932</v>
      </c>
      <c r="H4725">
        <v>5</v>
      </c>
    </row>
    <row r="4726" spans="1:8">
      <c r="A4726" t="s">
        <v>11831</v>
      </c>
      <c r="B4726" t="s">
        <v>10946</v>
      </c>
      <c r="C4726" s="34" t="s">
        <v>11246</v>
      </c>
      <c r="F4726" t="s">
        <v>11246</v>
      </c>
      <c r="G4726" t="s">
        <v>6932</v>
      </c>
      <c r="H4726">
        <v>5</v>
      </c>
    </row>
    <row r="4727" spans="1:8">
      <c r="A4727" t="s">
        <v>11832</v>
      </c>
      <c r="B4727" t="s">
        <v>10946</v>
      </c>
      <c r="C4727" s="34" t="s">
        <v>11247</v>
      </c>
      <c r="F4727" t="s">
        <v>11247</v>
      </c>
      <c r="G4727" t="s">
        <v>6932</v>
      </c>
      <c r="H4727">
        <v>5</v>
      </c>
    </row>
    <row r="4728" spans="1:8">
      <c r="A4728" t="s">
        <v>11833</v>
      </c>
      <c r="B4728" t="s">
        <v>10946</v>
      </c>
      <c r="C4728" s="34" t="s">
        <v>777</v>
      </c>
      <c r="F4728" t="s">
        <v>11248</v>
      </c>
      <c r="G4728" t="s">
        <v>6932</v>
      </c>
      <c r="H4728">
        <v>5</v>
      </c>
    </row>
    <row r="4729" spans="1:8">
      <c r="A4729" t="s">
        <v>11834</v>
      </c>
      <c r="B4729" t="s">
        <v>10946</v>
      </c>
      <c r="C4729" s="34" t="s">
        <v>11249</v>
      </c>
      <c r="F4729" t="s">
        <v>11249</v>
      </c>
      <c r="G4729" t="s">
        <v>6932</v>
      </c>
      <c r="H4729">
        <v>5</v>
      </c>
    </row>
    <row r="4730" spans="1:8">
      <c r="A4730" t="s">
        <v>11835</v>
      </c>
      <c r="B4730" t="s">
        <v>10946</v>
      </c>
      <c r="C4730" s="34" t="s">
        <v>11836</v>
      </c>
      <c r="F4730" t="s">
        <v>11250</v>
      </c>
      <c r="G4730" t="s">
        <v>6932</v>
      </c>
      <c r="H4730">
        <v>5</v>
      </c>
    </row>
    <row r="4731" spans="1:8">
      <c r="A4731" t="s">
        <v>11837</v>
      </c>
      <c r="B4731" t="s">
        <v>10946</v>
      </c>
      <c r="C4731" s="34" t="s">
        <v>11251</v>
      </c>
      <c r="F4731" t="s">
        <v>11251</v>
      </c>
      <c r="G4731" t="s">
        <v>6932</v>
      </c>
      <c r="H4731">
        <v>5</v>
      </c>
    </row>
    <row r="4732" spans="1:8">
      <c r="A4732" t="s">
        <v>11838</v>
      </c>
      <c r="B4732" t="s">
        <v>10946</v>
      </c>
      <c r="C4732" s="34" t="s">
        <v>8070</v>
      </c>
      <c r="F4732" t="s">
        <v>11252</v>
      </c>
      <c r="G4732" t="s">
        <v>6932</v>
      </c>
      <c r="H4732">
        <v>5</v>
      </c>
    </row>
    <row r="4733" spans="1:8">
      <c r="A4733" t="s">
        <v>11839</v>
      </c>
      <c r="B4733" t="s">
        <v>10946</v>
      </c>
      <c r="C4733" s="34" t="s">
        <v>11840</v>
      </c>
      <c r="F4733" t="s">
        <v>11253</v>
      </c>
      <c r="G4733" t="s">
        <v>6932</v>
      </c>
      <c r="H4733">
        <v>5</v>
      </c>
    </row>
    <row r="4734" spans="1:8">
      <c r="A4734" t="s">
        <v>11827</v>
      </c>
      <c r="B4734" t="s">
        <v>10946</v>
      </c>
      <c r="C4734" s="34" t="s">
        <v>840</v>
      </c>
      <c r="F4734" t="s">
        <v>11243</v>
      </c>
      <c r="G4734" t="s">
        <v>6932</v>
      </c>
      <c r="H4734">
        <v>6</v>
      </c>
    </row>
    <row r="4735" spans="1:8">
      <c r="A4735" t="s">
        <v>11841</v>
      </c>
      <c r="B4735" t="s">
        <v>10948</v>
      </c>
      <c r="C4735" s="34" t="s">
        <v>11254</v>
      </c>
      <c r="F4735" t="s">
        <v>11254</v>
      </c>
      <c r="G4735" t="s">
        <v>6932</v>
      </c>
      <c r="H4735">
        <v>5</v>
      </c>
    </row>
    <row r="4736" spans="1:8">
      <c r="A4736" t="s">
        <v>11842</v>
      </c>
      <c r="B4736" t="s">
        <v>10948</v>
      </c>
      <c r="C4736" s="34" t="s">
        <v>11255</v>
      </c>
      <c r="F4736" t="s">
        <v>11255</v>
      </c>
      <c r="G4736" t="s">
        <v>6932</v>
      </c>
      <c r="H4736">
        <v>5</v>
      </c>
    </row>
    <row r="4737" spans="1:8">
      <c r="A4737" t="s">
        <v>11843</v>
      </c>
      <c r="B4737" t="s">
        <v>10948</v>
      </c>
      <c r="C4737" s="34" t="s">
        <v>11256</v>
      </c>
      <c r="F4737" t="s">
        <v>11256</v>
      </c>
      <c r="G4737" t="s">
        <v>6932</v>
      </c>
      <c r="H4737">
        <v>5</v>
      </c>
    </row>
    <row r="4738" spans="1:8">
      <c r="A4738" t="s">
        <v>11844</v>
      </c>
      <c r="B4738" t="s">
        <v>10948</v>
      </c>
      <c r="C4738" s="34" t="s">
        <v>11257</v>
      </c>
      <c r="F4738" t="s">
        <v>11257</v>
      </c>
      <c r="G4738" t="s">
        <v>6932</v>
      </c>
      <c r="H4738">
        <v>5</v>
      </c>
    </row>
    <row r="4739" spans="1:8">
      <c r="A4739" t="s">
        <v>11845</v>
      </c>
      <c r="B4739" t="s">
        <v>10948</v>
      </c>
      <c r="C4739" s="34" t="s">
        <v>11258</v>
      </c>
      <c r="F4739" t="s">
        <v>11258</v>
      </c>
      <c r="G4739" t="s">
        <v>6932</v>
      </c>
      <c r="H4739">
        <v>5</v>
      </c>
    </row>
    <row r="4740" spans="1:8">
      <c r="A4740" t="s">
        <v>11846</v>
      </c>
      <c r="B4740" t="s">
        <v>10948</v>
      </c>
      <c r="C4740" s="34" t="s">
        <v>11259</v>
      </c>
      <c r="F4740" t="s">
        <v>11259</v>
      </c>
      <c r="G4740" t="s">
        <v>6932</v>
      </c>
      <c r="H4740">
        <v>5</v>
      </c>
    </row>
    <row r="4741" spans="1:8">
      <c r="A4741" t="s">
        <v>11847</v>
      </c>
      <c r="B4741" t="s">
        <v>10948</v>
      </c>
      <c r="C4741" s="34" t="s">
        <v>11260</v>
      </c>
      <c r="F4741" t="s">
        <v>11260</v>
      </c>
      <c r="G4741" t="s">
        <v>6932</v>
      </c>
      <c r="H4741">
        <v>5</v>
      </c>
    </row>
    <row r="4742" spans="1:8">
      <c r="A4742" t="s">
        <v>11848</v>
      </c>
      <c r="B4742" t="s">
        <v>10948</v>
      </c>
      <c r="C4742" s="34" t="s">
        <v>11261</v>
      </c>
      <c r="F4742" t="s">
        <v>11261</v>
      </c>
      <c r="G4742" t="s">
        <v>6932</v>
      </c>
      <c r="H4742">
        <v>5</v>
      </c>
    </row>
    <row r="4743" spans="1:8">
      <c r="A4743" t="s">
        <v>11849</v>
      </c>
      <c r="B4743" t="s">
        <v>10948</v>
      </c>
      <c r="C4743" s="34" t="s">
        <v>11262</v>
      </c>
      <c r="F4743" t="s">
        <v>11262</v>
      </c>
      <c r="G4743" t="s">
        <v>6932</v>
      </c>
      <c r="H4743">
        <v>5</v>
      </c>
    </row>
    <row r="4744" spans="1:8">
      <c r="A4744" t="s">
        <v>11850</v>
      </c>
      <c r="B4744" t="s">
        <v>10948</v>
      </c>
      <c r="C4744" s="34" t="s">
        <v>11263</v>
      </c>
      <c r="F4744" t="s">
        <v>11263</v>
      </c>
      <c r="G4744" t="s">
        <v>6932</v>
      </c>
      <c r="H4744">
        <v>5</v>
      </c>
    </row>
    <row r="4745" spans="1:8">
      <c r="A4745" t="s">
        <v>11851</v>
      </c>
      <c r="B4745" t="s">
        <v>10948</v>
      </c>
      <c r="C4745" s="34" t="s">
        <v>11264</v>
      </c>
      <c r="F4745" t="s">
        <v>11264</v>
      </c>
      <c r="G4745" t="s">
        <v>6932</v>
      </c>
      <c r="H4745">
        <v>5</v>
      </c>
    </row>
    <row r="4746" spans="1:8">
      <c r="A4746" t="s">
        <v>11852</v>
      </c>
      <c r="B4746" t="s">
        <v>10948</v>
      </c>
      <c r="C4746" s="34" t="s">
        <v>11265</v>
      </c>
      <c r="F4746" t="s">
        <v>11265</v>
      </c>
      <c r="G4746" t="s">
        <v>6932</v>
      </c>
      <c r="H4746">
        <v>5</v>
      </c>
    </row>
    <row r="4747" spans="1:8">
      <c r="A4747" t="s">
        <v>11853</v>
      </c>
      <c r="B4747" t="s">
        <v>10948</v>
      </c>
      <c r="C4747" s="34" t="s">
        <v>11266</v>
      </c>
      <c r="F4747" t="s">
        <v>11266</v>
      </c>
      <c r="G4747" t="s">
        <v>6932</v>
      </c>
      <c r="H4747">
        <v>5</v>
      </c>
    </row>
    <row r="4748" spans="1:8">
      <c r="A4748" t="s">
        <v>11854</v>
      </c>
      <c r="B4748" t="s">
        <v>10948</v>
      </c>
      <c r="C4748" s="34" t="s">
        <v>11267</v>
      </c>
      <c r="F4748" t="s">
        <v>11267</v>
      </c>
      <c r="G4748" t="s">
        <v>6932</v>
      </c>
      <c r="H4748">
        <v>5</v>
      </c>
    </row>
    <row r="4749" spans="1:8">
      <c r="A4749" t="s">
        <v>11855</v>
      </c>
      <c r="B4749" t="s">
        <v>10948</v>
      </c>
      <c r="C4749" s="34" t="s">
        <v>840</v>
      </c>
      <c r="F4749" t="s">
        <v>840</v>
      </c>
      <c r="G4749" t="s">
        <v>6932</v>
      </c>
      <c r="H4749">
        <v>5</v>
      </c>
    </row>
    <row r="4750" spans="1:8">
      <c r="A4750" t="s">
        <v>11856</v>
      </c>
      <c r="B4750" t="s">
        <v>10948</v>
      </c>
      <c r="C4750" s="34" t="s">
        <v>11268</v>
      </c>
      <c r="F4750" t="s">
        <v>11268</v>
      </c>
      <c r="G4750" t="s">
        <v>6932</v>
      </c>
      <c r="H4750">
        <v>5</v>
      </c>
    </row>
    <row r="4751" spans="1:8">
      <c r="A4751" t="s">
        <v>11857</v>
      </c>
      <c r="B4751" t="s">
        <v>10948</v>
      </c>
      <c r="C4751" s="34" t="s">
        <v>11269</v>
      </c>
      <c r="F4751" t="s">
        <v>11269</v>
      </c>
      <c r="G4751" t="s">
        <v>6932</v>
      </c>
      <c r="H4751">
        <v>5</v>
      </c>
    </row>
    <row r="4752" spans="1:8">
      <c r="A4752" t="s">
        <v>11858</v>
      </c>
      <c r="B4752" t="s">
        <v>10948</v>
      </c>
      <c r="C4752" s="34" t="s">
        <v>11270</v>
      </c>
      <c r="F4752" t="s">
        <v>11270</v>
      </c>
      <c r="G4752" t="s">
        <v>6932</v>
      </c>
      <c r="H4752">
        <v>5</v>
      </c>
    </row>
    <row r="4753" spans="1:13">
      <c r="A4753" t="s">
        <v>11859</v>
      </c>
      <c r="B4753" t="s">
        <v>10948</v>
      </c>
      <c r="C4753" s="34" t="s">
        <v>11271</v>
      </c>
      <c r="F4753" t="s">
        <v>11271</v>
      </c>
      <c r="G4753" t="s">
        <v>6932</v>
      </c>
      <c r="H4753">
        <v>5</v>
      </c>
    </row>
    <row r="4754" spans="1:13">
      <c r="A4754" t="s">
        <v>11860</v>
      </c>
      <c r="B4754" t="s">
        <v>10948</v>
      </c>
      <c r="C4754" s="34" t="s">
        <v>11272</v>
      </c>
      <c r="F4754" t="s">
        <v>11272</v>
      </c>
      <c r="G4754" t="s">
        <v>6932</v>
      </c>
      <c r="H4754">
        <v>5</v>
      </c>
    </row>
    <row r="4755" spans="1:13">
      <c r="A4755" t="s">
        <v>11861</v>
      </c>
      <c r="B4755" t="s">
        <v>10948</v>
      </c>
      <c r="C4755" s="34" t="s">
        <v>11273</v>
      </c>
      <c r="F4755" t="s">
        <v>11273</v>
      </c>
      <c r="G4755" t="s">
        <v>6932</v>
      </c>
      <c r="H4755">
        <v>5</v>
      </c>
    </row>
    <row r="4756" spans="1:13">
      <c r="A4756" t="s">
        <v>11862</v>
      </c>
      <c r="B4756" t="s">
        <v>10948</v>
      </c>
      <c r="C4756" s="34" t="s">
        <v>11274</v>
      </c>
      <c r="F4756" t="s">
        <v>11274</v>
      </c>
      <c r="G4756" t="s">
        <v>6932</v>
      </c>
      <c r="H4756">
        <v>5</v>
      </c>
    </row>
    <row r="4757" spans="1:13">
      <c r="A4757" t="s">
        <v>11863</v>
      </c>
      <c r="B4757" t="s">
        <v>10948</v>
      </c>
      <c r="C4757" s="34" t="s">
        <v>11275</v>
      </c>
      <c r="F4757" t="s">
        <v>11275</v>
      </c>
      <c r="G4757" t="s">
        <v>6932</v>
      </c>
      <c r="H4757">
        <v>5</v>
      </c>
    </row>
    <row r="4758" spans="1:13">
      <c r="A4758" t="s">
        <v>11864</v>
      </c>
      <c r="B4758" t="s">
        <v>10948</v>
      </c>
      <c r="C4758" s="34" t="s">
        <v>11276</v>
      </c>
      <c r="F4758" t="s">
        <v>11276</v>
      </c>
      <c r="G4758" t="s">
        <v>6932</v>
      </c>
      <c r="H4758">
        <v>5</v>
      </c>
    </row>
    <row r="4759" spans="1:13">
      <c r="A4759" t="s">
        <v>2788</v>
      </c>
      <c r="B4759" t="s">
        <v>1289</v>
      </c>
      <c r="C4759" s="34" t="s">
        <v>1438</v>
      </c>
      <c r="F4759" t="s">
        <v>1438</v>
      </c>
      <c r="H4759">
        <v>15</v>
      </c>
      <c r="I4759">
        <f>VLOOKUP(B4759,BRAND!B:D,3,FALSE)</f>
        <v>3</v>
      </c>
      <c r="J4759">
        <v>4</v>
      </c>
      <c r="K4759" t="s">
        <v>821</v>
      </c>
      <c r="L4759">
        <v>0</v>
      </c>
      <c r="M4759">
        <v>0</v>
      </c>
    </row>
    <row r="4760" spans="1:13">
      <c r="A4760" t="s">
        <v>2807</v>
      </c>
      <c r="B4760" t="s">
        <v>1172</v>
      </c>
      <c r="C4760" s="34" t="s">
        <v>1438</v>
      </c>
      <c r="F4760" t="s">
        <v>1438</v>
      </c>
      <c r="H4760">
        <v>15</v>
      </c>
      <c r="I4760">
        <f>VLOOKUP(B4760,BRAND!B:D,3,FALSE)</f>
        <v>3</v>
      </c>
      <c r="J4760">
        <v>4</v>
      </c>
      <c r="K4760" t="s">
        <v>821</v>
      </c>
      <c r="L4760">
        <v>0</v>
      </c>
      <c r="M4760">
        <v>0</v>
      </c>
    </row>
    <row r="4761" spans="1:13">
      <c r="A4761" t="s">
        <v>2543</v>
      </c>
      <c r="B4761" t="s">
        <v>552</v>
      </c>
      <c r="C4761" s="34" t="s">
        <v>1438</v>
      </c>
      <c r="F4761" t="s">
        <v>1438</v>
      </c>
      <c r="H4761">
        <v>15</v>
      </c>
      <c r="I4761">
        <f>VLOOKUP(B4761,BRAND!B:D,3,FALSE)</f>
        <v>3</v>
      </c>
      <c r="J4761">
        <v>4</v>
      </c>
      <c r="K4761" t="s">
        <v>821</v>
      </c>
      <c r="M4761">
        <v>1</v>
      </c>
    </row>
    <row r="4762" spans="1:13">
      <c r="A4762" t="s">
        <v>2666</v>
      </c>
      <c r="B4762" t="s">
        <v>1173</v>
      </c>
      <c r="C4762" s="34" t="s">
        <v>1438</v>
      </c>
      <c r="F4762" t="s">
        <v>1438</v>
      </c>
      <c r="H4762">
        <v>15</v>
      </c>
      <c r="I4762">
        <f>VLOOKUP(B4762,BRAND!B:D,3,FALSE)</f>
        <v>3</v>
      </c>
      <c r="J4762">
        <v>4</v>
      </c>
      <c r="K4762" t="s">
        <v>821</v>
      </c>
      <c r="L4762">
        <v>0</v>
      </c>
      <c r="M4762">
        <v>0</v>
      </c>
    </row>
    <row r="4763" spans="1:13">
      <c r="A4763" t="s">
        <v>4241</v>
      </c>
      <c r="B4763" t="s">
        <v>425</v>
      </c>
      <c r="C4763" s="34" t="s">
        <v>1438</v>
      </c>
      <c r="F4763" t="s">
        <v>1438</v>
      </c>
      <c r="H4763">
        <v>15</v>
      </c>
      <c r="I4763">
        <f>VLOOKUP(B4763,BRAND!B:D,3,FALSE)</f>
        <v>5</v>
      </c>
      <c r="J4763">
        <v>4</v>
      </c>
      <c r="K4763" t="s">
        <v>821</v>
      </c>
      <c r="M4763">
        <v>1</v>
      </c>
    </row>
    <row r="4764" spans="1:13">
      <c r="A4764" t="s">
        <v>3598</v>
      </c>
      <c r="B4764" t="s">
        <v>1109</v>
      </c>
      <c r="C4764" s="34" t="s">
        <v>536</v>
      </c>
      <c r="F4764" t="s">
        <v>536</v>
      </c>
      <c r="H4764">
        <v>5</v>
      </c>
      <c r="I4764">
        <f>VLOOKUP(B4764,BRAND!B:D,3,FALSE)</f>
        <v>3</v>
      </c>
      <c r="J4764">
        <v>5</v>
      </c>
      <c r="K4764" t="s">
        <v>821</v>
      </c>
      <c r="L4764">
        <v>0</v>
      </c>
      <c r="M4764">
        <v>0</v>
      </c>
    </row>
    <row r="4765" spans="1:13">
      <c r="A4765" t="s">
        <v>2470</v>
      </c>
      <c r="B4765" t="s">
        <v>1109</v>
      </c>
      <c r="C4765" s="34" t="s">
        <v>1438</v>
      </c>
      <c r="F4765" t="s">
        <v>1438</v>
      </c>
      <c r="H4765">
        <v>15</v>
      </c>
      <c r="I4765">
        <f>VLOOKUP(B4765,BRAND!B:D,3,FALSE)</f>
        <v>3</v>
      </c>
      <c r="J4765">
        <v>4</v>
      </c>
      <c r="K4765" t="s">
        <v>821</v>
      </c>
      <c r="L4765">
        <v>0</v>
      </c>
      <c r="M4765">
        <v>0</v>
      </c>
    </row>
    <row r="4766" spans="1:13">
      <c r="A4766" t="s">
        <v>11429</v>
      </c>
      <c r="B4766" t="s">
        <v>10902</v>
      </c>
      <c r="C4766" s="34" t="s">
        <v>777</v>
      </c>
      <c r="F4766" t="s">
        <v>777</v>
      </c>
      <c r="G4766" t="s">
        <v>6932</v>
      </c>
      <c r="H4766">
        <v>5</v>
      </c>
    </row>
    <row r="4767" spans="1:13">
      <c r="A4767" t="s">
        <v>11430</v>
      </c>
      <c r="B4767" t="s">
        <v>10902</v>
      </c>
      <c r="C4767" s="34" t="s">
        <v>742</v>
      </c>
      <c r="F4767" t="s">
        <v>742</v>
      </c>
      <c r="G4767" t="s">
        <v>6932</v>
      </c>
      <c r="H4767">
        <v>5</v>
      </c>
    </row>
    <row r="4768" spans="1:13">
      <c r="A4768" t="s">
        <v>11431</v>
      </c>
      <c r="B4768" t="s">
        <v>10902</v>
      </c>
      <c r="C4768" s="34" t="s">
        <v>996</v>
      </c>
      <c r="F4768" t="s">
        <v>996</v>
      </c>
      <c r="G4768" t="s">
        <v>6932</v>
      </c>
      <c r="H4768">
        <v>5</v>
      </c>
    </row>
    <row r="4769" spans="1:13">
      <c r="A4769" t="s">
        <v>11432</v>
      </c>
      <c r="B4769" t="s">
        <v>10902</v>
      </c>
      <c r="C4769" s="34" t="s">
        <v>930</v>
      </c>
      <c r="F4769" t="s">
        <v>930</v>
      </c>
      <c r="G4769" t="s">
        <v>6932</v>
      </c>
      <c r="H4769">
        <v>5</v>
      </c>
    </row>
    <row r="4770" spans="1:13">
      <c r="A4770" t="s">
        <v>2385</v>
      </c>
      <c r="B4770" t="s">
        <v>1072</v>
      </c>
      <c r="C4770" s="34" t="s">
        <v>534</v>
      </c>
      <c r="F4770" t="s">
        <v>534</v>
      </c>
      <c r="H4770">
        <v>5</v>
      </c>
      <c r="I4770">
        <f>VLOOKUP(B4770,BRAND!B:D,3,FALSE)</f>
        <v>3</v>
      </c>
      <c r="J4770">
        <v>6</v>
      </c>
      <c r="K4770" t="s">
        <v>821</v>
      </c>
      <c r="L4770">
        <v>0</v>
      </c>
      <c r="M4770">
        <v>0</v>
      </c>
    </row>
    <row r="4771" spans="1:13">
      <c r="A4771" t="s">
        <v>3277</v>
      </c>
      <c r="B4771" t="s">
        <v>1072</v>
      </c>
      <c r="C4771" s="34" t="s">
        <v>1438</v>
      </c>
      <c r="F4771" t="s">
        <v>1438</v>
      </c>
      <c r="H4771">
        <v>15</v>
      </c>
      <c r="I4771">
        <f>VLOOKUP(B4771,BRAND!B:D,3,FALSE)</f>
        <v>3</v>
      </c>
      <c r="J4771">
        <v>4</v>
      </c>
      <c r="K4771" t="s">
        <v>821</v>
      </c>
      <c r="L4771">
        <v>0</v>
      </c>
      <c r="M4771">
        <v>0</v>
      </c>
    </row>
    <row r="4772" spans="1:13">
      <c r="A4772" t="s">
        <v>3481</v>
      </c>
      <c r="B4772" t="s">
        <v>1769</v>
      </c>
      <c r="C4772" s="34" t="s">
        <v>772</v>
      </c>
      <c r="F4772" t="s">
        <v>772</v>
      </c>
      <c r="H4772">
        <v>5</v>
      </c>
      <c r="I4772">
        <f>VLOOKUP(B4772,BRAND!B:D,3,FALSE)</f>
        <v>3</v>
      </c>
      <c r="J4772">
        <v>6</v>
      </c>
      <c r="K4772" t="s">
        <v>821</v>
      </c>
      <c r="L4772">
        <v>0</v>
      </c>
      <c r="M4772">
        <v>0</v>
      </c>
    </row>
    <row r="4773" spans="1:13">
      <c r="A4773" t="s">
        <v>3480</v>
      </c>
      <c r="B4773" t="s">
        <v>1769</v>
      </c>
      <c r="C4773" s="34" t="s">
        <v>536</v>
      </c>
      <c r="F4773" t="s">
        <v>536</v>
      </c>
      <c r="H4773">
        <v>5</v>
      </c>
      <c r="I4773">
        <f>VLOOKUP(B4773,BRAND!B:D,3,FALSE)</f>
        <v>3</v>
      </c>
      <c r="J4773">
        <v>5</v>
      </c>
      <c r="K4773" t="s">
        <v>821</v>
      </c>
      <c r="L4773">
        <v>0</v>
      </c>
      <c r="M4773">
        <v>0</v>
      </c>
    </row>
    <row r="4774" spans="1:13">
      <c r="A4774" t="s">
        <v>3691</v>
      </c>
      <c r="B4774" t="s">
        <v>1769</v>
      </c>
      <c r="C4774" s="34" t="s">
        <v>842</v>
      </c>
      <c r="F4774" t="s">
        <v>842</v>
      </c>
      <c r="H4774">
        <v>5</v>
      </c>
      <c r="I4774">
        <f>VLOOKUP(B4774,BRAND!B:D,3,FALSE)</f>
        <v>3</v>
      </c>
      <c r="J4774">
        <v>5</v>
      </c>
      <c r="K4774" t="s">
        <v>821</v>
      </c>
      <c r="L4774">
        <v>0</v>
      </c>
      <c r="M4774">
        <v>0</v>
      </c>
    </row>
    <row r="4775" spans="1:13">
      <c r="A4775" t="s">
        <v>3482</v>
      </c>
      <c r="B4775" t="s">
        <v>1769</v>
      </c>
      <c r="C4775" s="34" t="s">
        <v>776</v>
      </c>
      <c r="F4775" t="s">
        <v>776</v>
      </c>
      <c r="H4775">
        <v>5</v>
      </c>
      <c r="I4775">
        <f>VLOOKUP(B4775,BRAND!B:D,3,FALSE)</f>
        <v>3</v>
      </c>
      <c r="J4775">
        <v>5</v>
      </c>
      <c r="K4775" t="s">
        <v>821</v>
      </c>
      <c r="L4775">
        <v>0</v>
      </c>
      <c r="M4775">
        <v>0</v>
      </c>
    </row>
    <row r="4776" spans="1:13">
      <c r="A4776" t="s">
        <v>4116</v>
      </c>
      <c r="B4776" t="s">
        <v>553</v>
      </c>
      <c r="C4776" s="34" t="s">
        <v>534</v>
      </c>
      <c r="F4776" t="s">
        <v>534</v>
      </c>
      <c r="H4776">
        <v>5</v>
      </c>
      <c r="I4776">
        <f>VLOOKUP(B4776,BRAND!B:D,3,FALSE)</f>
        <v>3</v>
      </c>
      <c r="J4776">
        <v>6</v>
      </c>
      <c r="K4776" t="s">
        <v>821</v>
      </c>
      <c r="L4776">
        <v>0</v>
      </c>
      <c r="M4776">
        <v>0</v>
      </c>
    </row>
    <row r="4777" spans="1:13">
      <c r="A4777" t="s">
        <v>2466</v>
      </c>
      <c r="B4777" t="s">
        <v>553</v>
      </c>
      <c r="C4777" s="34" t="s">
        <v>536</v>
      </c>
      <c r="F4777" t="s">
        <v>536</v>
      </c>
      <c r="H4777">
        <v>5</v>
      </c>
      <c r="I4777">
        <f>VLOOKUP(B4777,BRAND!B:D,3,FALSE)</f>
        <v>3</v>
      </c>
      <c r="J4777">
        <v>5</v>
      </c>
      <c r="K4777" t="s">
        <v>821</v>
      </c>
      <c r="M4777">
        <v>1</v>
      </c>
    </row>
    <row r="4778" spans="1:13">
      <c r="A4778" t="s">
        <v>2480</v>
      </c>
      <c r="B4778" t="s">
        <v>553</v>
      </c>
      <c r="C4778" s="34" t="s">
        <v>1438</v>
      </c>
      <c r="F4778" t="s">
        <v>1438</v>
      </c>
      <c r="H4778">
        <v>15</v>
      </c>
      <c r="I4778">
        <f>VLOOKUP(B4778,BRAND!B:D,3,FALSE)</f>
        <v>3</v>
      </c>
      <c r="J4778">
        <v>4</v>
      </c>
      <c r="K4778" t="s">
        <v>821</v>
      </c>
      <c r="L4778">
        <v>0</v>
      </c>
      <c r="M4778">
        <v>0</v>
      </c>
    </row>
    <row r="4779" spans="1:13">
      <c r="A4779" t="s">
        <v>2045</v>
      </c>
      <c r="B4779" t="s">
        <v>1010</v>
      </c>
      <c r="C4779" s="34" t="s">
        <v>1438</v>
      </c>
      <c r="F4779" t="s">
        <v>1438</v>
      </c>
      <c r="H4779">
        <v>15</v>
      </c>
      <c r="I4779">
        <f>VLOOKUP(B4779,BRAND!B:D,3,FALSE)</f>
        <v>3</v>
      </c>
      <c r="J4779">
        <v>4</v>
      </c>
      <c r="K4779" t="s">
        <v>821</v>
      </c>
      <c r="L4779">
        <v>0</v>
      </c>
      <c r="M4779">
        <v>0</v>
      </c>
    </row>
    <row r="4780" spans="1:13">
      <c r="A4780" t="s">
        <v>8547</v>
      </c>
      <c r="B4780" t="s">
        <v>8546</v>
      </c>
      <c r="C4780" s="34" t="s">
        <v>885</v>
      </c>
      <c r="F4780" t="s">
        <v>885</v>
      </c>
      <c r="G4780" t="s">
        <v>6932</v>
      </c>
      <c r="H4780">
        <v>5</v>
      </c>
      <c r="I4780">
        <f>VLOOKUP(B4780,BRAND!B:D,3,FALSE)</f>
        <v>5.5</v>
      </c>
      <c r="J4780">
        <v>6</v>
      </c>
      <c r="M4780">
        <v>1</v>
      </c>
    </row>
    <row r="4781" spans="1:13">
      <c r="A4781" t="s">
        <v>8548</v>
      </c>
      <c r="B4781" t="s">
        <v>8546</v>
      </c>
      <c r="C4781" s="34" t="s">
        <v>6364</v>
      </c>
      <c r="F4781" t="s">
        <v>6364</v>
      </c>
      <c r="G4781" t="s">
        <v>6932</v>
      </c>
      <c r="H4781">
        <v>5</v>
      </c>
      <c r="I4781">
        <f>VLOOKUP(B4781,BRAND!B:D,3,FALSE)</f>
        <v>5.5</v>
      </c>
      <c r="J4781">
        <v>6</v>
      </c>
      <c r="M4781">
        <v>1</v>
      </c>
    </row>
    <row r="4782" spans="1:13">
      <c r="A4782" t="s">
        <v>8545</v>
      </c>
      <c r="B4782" t="s">
        <v>8546</v>
      </c>
      <c r="C4782" s="34" t="s">
        <v>561</v>
      </c>
      <c r="F4782" t="s">
        <v>561</v>
      </c>
      <c r="G4782" t="s">
        <v>6932</v>
      </c>
      <c r="H4782">
        <v>5</v>
      </c>
      <c r="I4782">
        <f>VLOOKUP(B4782,BRAND!B:D,3,FALSE)</f>
        <v>5.5</v>
      </c>
      <c r="J4782">
        <v>3</v>
      </c>
      <c r="M4782">
        <v>1</v>
      </c>
    </row>
    <row r="4783" spans="1:13">
      <c r="A4783" t="s">
        <v>8552</v>
      </c>
      <c r="B4783" t="s">
        <v>8550</v>
      </c>
      <c r="C4783" s="34" t="s">
        <v>971</v>
      </c>
      <c r="F4783" t="s">
        <v>971</v>
      </c>
      <c r="G4783" t="s">
        <v>6932</v>
      </c>
      <c r="H4783">
        <v>5</v>
      </c>
      <c r="I4783">
        <f>VLOOKUP(B4783,BRAND!B:D,3,FALSE)</f>
        <v>5.5</v>
      </c>
      <c r="J4783">
        <v>9</v>
      </c>
      <c r="M4783">
        <v>1</v>
      </c>
    </row>
    <row r="4784" spans="1:13">
      <c r="A4784" t="s">
        <v>8551</v>
      </c>
      <c r="B4784" t="s">
        <v>8550</v>
      </c>
      <c r="C4784" s="34" t="s">
        <v>534</v>
      </c>
      <c r="F4784" t="s">
        <v>534</v>
      </c>
      <c r="G4784" t="s">
        <v>6932</v>
      </c>
      <c r="H4784">
        <v>5</v>
      </c>
      <c r="I4784">
        <f>VLOOKUP(B4784,BRAND!B:D,3,FALSE)</f>
        <v>5.5</v>
      </c>
      <c r="J4784">
        <v>6</v>
      </c>
      <c r="M4784">
        <v>1</v>
      </c>
    </row>
    <row r="4785" spans="1:13">
      <c r="A4785" t="s">
        <v>8549</v>
      </c>
      <c r="B4785" t="s">
        <v>8550</v>
      </c>
      <c r="C4785" s="34" t="s">
        <v>535</v>
      </c>
      <c r="F4785" t="s">
        <v>535</v>
      </c>
      <c r="G4785" t="s">
        <v>6932</v>
      </c>
      <c r="H4785">
        <v>5</v>
      </c>
      <c r="I4785">
        <f>VLOOKUP(B4785,BRAND!B:D,3,FALSE)</f>
        <v>5.5</v>
      </c>
      <c r="J4785">
        <v>6</v>
      </c>
      <c r="M4785">
        <v>1</v>
      </c>
    </row>
    <row r="4786" spans="1:13">
      <c r="A4786" t="s">
        <v>4163</v>
      </c>
      <c r="B4786" t="s">
        <v>818</v>
      </c>
      <c r="C4786" s="34" t="s">
        <v>772</v>
      </c>
      <c r="F4786" t="s">
        <v>772</v>
      </c>
      <c r="H4786">
        <v>5</v>
      </c>
      <c r="I4786">
        <f>VLOOKUP(B4786,BRAND!B:D,3,FALSE)</f>
        <v>3</v>
      </c>
      <c r="J4786">
        <v>6</v>
      </c>
      <c r="K4786" t="s">
        <v>821</v>
      </c>
      <c r="L4786">
        <v>0</v>
      </c>
      <c r="M4786">
        <v>0</v>
      </c>
    </row>
    <row r="4787" spans="1:13">
      <c r="A4787" t="s">
        <v>4049</v>
      </c>
      <c r="B4787" t="s">
        <v>818</v>
      </c>
      <c r="C4787" s="34" t="s">
        <v>534</v>
      </c>
      <c r="F4787" t="s">
        <v>534</v>
      </c>
      <c r="H4787">
        <v>5</v>
      </c>
      <c r="I4787">
        <f>VLOOKUP(B4787,BRAND!B:D,3,FALSE)</f>
        <v>3</v>
      </c>
      <c r="J4787">
        <v>6</v>
      </c>
      <c r="K4787" t="s">
        <v>821</v>
      </c>
      <c r="L4787">
        <v>0</v>
      </c>
      <c r="M4787">
        <v>0</v>
      </c>
    </row>
    <row r="4788" spans="1:13">
      <c r="A4788" t="s">
        <v>4048</v>
      </c>
      <c r="B4788" t="s">
        <v>818</v>
      </c>
      <c r="C4788" s="34" t="s">
        <v>842</v>
      </c>
      <c r="F4788" t="s">
        <v>842</v>
      </c>
      <c r="H4788">
        <v>5</v>
      </c>
      <c r="I4788">
        <f>VLOOKUP(B4788,BRAND!B:D,3,FALSE)</f>
        <v>3</v>
      </c>
      <c r="J4788">
        <v>5</v>
      </c>
      <c r="K4788" t="s">
        <v>821</v>
      </c>
      <c r="L4788">
        <v>0</v>
      </c>
      <c r="M4788">
        <v>0</v>
      </c>
    </row>
    <row r="4789" spans="1:13">
      <c r="A4789" t="s">
        <v>4541</v>
      </c>
      <c r="B4789" t="s">
        <v>818</v>
      </c>
      <c r="C4789" s="34" t="s">
        <v>1438</v>
      </c>
      <c r="F4789" t="s">
        <v>1438</v>
      </c>
      <c r="H4789">
        <v>15</v>
      </c>
      <c r="I4789">
        <f>VLOOKUP(B4789,BRAND!B:D,3,FALSE)</f>
        <v>3</v>
      </c>
      <c r="J4789">
        <v>4</v>
      </c>
      <c r="K4789" t="s">
        <v>821</v>
      </c>
      <c r="L4789">
        <v>0</v>
      </c>
      <c r="M4789">
        <v>0</v>
      </c>
    </row>
    <row r="4790" spans="1:13">
      <c r="A4790" t="s">
        <v>2129</v>
      </c>
      <c r="B4790" t="s">
        <v>1053</v>
      </c>
      <c r="C4790" s="34" t="s">
        <v>1438</v>
      </c>
      <c r="F4790" t="s">
        <v>1438</v>
      </c>
      <c r="H4790">
        <v>15</v>
      </c>
      <c r="I4790">
        <f>VLOOKUP(B4790,BRAND!B:D,3,FALSE)</f>
        <v>3</v>
      </c>
      <c r="J4790">
        <v>4</v>
      </c>
      <c r="K4790" t="s">
        <v>821</v>
      </c>
      <c r="L4790">
        <v>0</v>
      </c>
      <c r="M4790">
        <v>0</v>
      </c>
    </row>
    <row r="4791" spans="1:13">
      <c r="A4791" t="s">
        <v>8553</v>
      </c>
      <c r="B4791" t="s">
        <v>373</v>
      </c>
      <c r="C4791" s="34" t="s">
        <v>7504</v>
      </c>
      <c r="F4791" t="s">
        <v>7504</v>
      </c>
      <c r="G4791" t="s">
        <v>6932</v>
      </c>
      <c r="H4791">
        <v>5</v>
      </c>
      <c r="I4791">
        <f>VLOOKUP(B4791,BRAND!B:D,3,FALSE)</f>
        <v>3</v>
      </c>
      <c r="J4791">
        <v>7</v>
      </c>
      <c r="M4791">
        <v>1</v>
      </c>
    </row>
    <row r="4792" spans="1:13">
      <c r="A4792" t="s">
        <v>8554</v>
      </c>
      <c r="B4792" t="s">
        <v>373</v>
      </c>
      <c r="C4792" s="34" t="s">
        <v>885</v>
      </c>
      <c r="F4792" t="s">
        <v>885</v>
      </c>
      <c r="G4792" t="s">
        <v>6932</v>
      </c>
      <c r="H4792">
        <v>5</v>
      </c>
      <c r="I4792">
        <f>VLOOKUP(B4792,BRAND!B:D,3,FALSE)</f>
        <v>3</v>
      </c>
      <c r="J4792">
        <v>6</v>
      </c>
      <c r="M4792">
        <v>1</v>
      </c>
    </row>
    <row r="4793" spans="1:13">
      <c r="A4793" t="s">
        <v>3424</v>
      </c>
      <c r="B4793" t="s">
        <v>106</v>
      </c>
      <c r="C4793" s="34" t="s">
        <v>534</v>
      </c>
      <c r="F4793" t="s">
        <v>534</v>
      </c>
      <c r="H4793">
        <v>5</v>
      </c>
      <c r="I4793">
        <f>VLOOKUP(B4793,BRAND!B:D,3,FALSE)</f>
        <v>3</v>
      </c>
      <c r="J4793">
        <v>6</v>
      </c>
      <c r="K4793" t="s">
        <v>821</v>
      </c>
      <c r="M4793">
        <v>1</v>
      </c>
    </row>
    <row r="4794" spans="1:13">
      <c r="A4794" t="s">
        <v>9729</v>
      </c>
      <c r="B4794" t="s">
        <v>1000</v>
      </c>
      <c r="C4794" s="34" t="s">
        <v>1438</v>
      </c>
      <c r="G4794" t="s">
        <v>6932</v>
      </c>
      <c r="H4794">
        <v>5</v>
      </c>
      <c r="I4794">
        <f>VLOOKUP(B4794,BRAND!B:D,3,FALSE)</f>
        <v>3</v>
      </c>
      <c r="J4794">
        <v>0</v>
      </c>
      <c r="L4794" s="29"/>
      <c r="M4794">
        <v>1</v>
      </c>
    </row>
    <row r="4795" spans="1:13">
      <c r="A4795" t="s">
        <v>1682</v>
      </c>
      <c r="B4795" t="s">
        <v>1461</v>
      </c>
      <c r="C4795" s="34" t="s">
        <v>1467</v>
      </c>
      <c r="F4795" t="s">
        <v>1467</v>
      </c>
      <c r="H4795">
        <v>4</v>
      </c>
      <c r="I4795">
        <f>VLOOKUP(B4795,BRAND!B:D,3,FALSE)</f>
        <v>11</v>
      </c>
      <c r="J4795">
        <f>LEN(F4795)</f>
        <v>12</v>
      </c>
      <c r="K4795" t="s">
        <v>822</v>
      </c>
      <c r="M4795">
        <v>1</v>
      </c>
    </row>
    <row r="4796" spans="1:13">
      <c r="A4796" t="s">
        <v>1730</v>
      </c>
      <c r="B4796" t="s">
        <v>1461</v>
      </c>
      <c r="C4796" s="34" t="s">
        <v>1478</v>
      </c>
      <c r="F4796" t="s">
        <v>1478</v>
      </c>
      <c r="H4796">
        <v>5</v>
      </c>
      <c r="I4796">
        <f>VLOOKUP(B4796,BRAND!B:D,3,FALSE)</f>
        <v>11</v>
      </c>
      <c r="J4796">
        <f>LEN(F4796)</f>
        <v>11</v>
      </c>
      <c r="K4796" t="s">
        <v>822</v>
      </c>
      <c r="M4796">
        <v>1</v>
      </c>
    </row>
    <row r="4797" spans="1:13">
      <c r="A4797" t="s">
        <v>4576</v>
      </c>
      <c r="B4797" t="s">
        <v>1461</v>
      </c>
      <c r="C4797" s="34" t="s">
        <v>994</v>
      </c>
      <c r="F4797" t="s">
        <v>994</v>
      </c>
      <c r="H4797">
        <v>5</v>
      </c>
      <c r="I4797">
        <f>VLOOKUP(B4797,BRAND!B:D,3,FALSE)</f>
        <v>11</v>
      </c>
      <c r="J4797">
        <f>LEN(F4797)</f>
        <v>10</v>
      </c>
      <c r="K4797" t="s">
        <v>822</v>
      </c>
      <c r="M4797">
        <v>1</v>
      </c>
    </row>
    <row r="4798" spans="1:13">
      <c r="A4798" t="s">
        <v>1616</v>
      </c>
      <c r="B4798" t="s">
        <v>1461</v>
      </c>
      <c r="C4798" s="34" t="s">
        <v>942</v>
      </c>
      <c r="F4798" t="s">
        <v>942</v>
      </c>
      <c r="H4798">
        <v>5</v>
      </c>
      <c r="I4798">
        <f>VLOOKUP(B4798,BRAND!B:D,3,FALSE)</f>
        <v>11</v>
      </c>
      <c r="J4798">
        <v>8</v>
      </c>
      <c r="K4798" t="s">
        <v>822</v>
      </c>
      <c r="M4798">
        <v>1</v>
      </c>
    </row>
    <row r="4799" spans="1:13">
      <c r="A4799" t="s">
        <v>4624</v>
      </c>
      <c r="B4799" t="s">
        <v>1461</v>
      </c>
      <c r="C4799" s="34" t="s">
        <v>1085</v>
      </c>
      <c r="F4799" t="s">
        <v>1085</v>
      </c>
      <c r="H4799">
        <v>5</v>
      </c>
      <c r="I4799">
        <f>VLOOKUP(B4799,BRAND!B:D,3,FALSE)</f>
        <v>11</v>
      </c>
      <c r="J4799">
        <v>8</v>
      </c>
      <c r="K4799" t="s">
        <v>822</v>
      </c>
      <c r="M4799">
        <v>1</v>
      </c>
    </row>
    <row r="4800" spans="1:13">
      <c r="A4800" t="s">
        <v>4343</v>
      </c>
      <c r="B4800" t="s">
        <v>1461</v>
      </c>
      <c r="C4800" s="34" t="s">
        <v>880</v>
      </c>
      <c r="F4800" t="s">
        <v>880</v>
      </c>
      <c r="H4800">
        <v>5</v>
      </c>
      <c r="I4800">
        <f>VLOOKUP(B4800,BRAND!B:D,3,FALSE)</f>
        <v>11</v>
      </c>
      <c r="J4800">
        <v>7</v>
      </c>
      <c r="K4800" t="s">
        <v>822</v>
      </c>
      <c r="M4800">
        <v>1</v>
      </c>
    </row>
    <row r="4801" spans="1:13">
      <c r="A4801" t="s">
        <v>4850</v>
      </c>
      <c r="B4801" t="s">
        <v>1461</v>
      </c>
      <c r="C4801" s="34" t="s">
        <v>746</v>
      </c>
      <c r="F4801" t="s">
        <v>746</v>
      </c>
      <c r="H4801">
        <v>5</v>
      </c>
      <c r="I4801">
        <f>VLOOKUP(B4801,BRAND!B:D,3,FALSE)</f>
        <v>11</v>
      </c>
      <c r="J4801">
        <v>6</v>
      </c>
      <c r="K4801" t="s">
        <v>822</v>
      </c>
      <c r="M4801">
        <v>1</v>
      </c>
    </row>
    <row r="4802" spans="1:13">
      <c r="A4802" t="s">
        <v>1608</v>
      </c>
      <c r="B4802" t="s">
        <v>1461</v>
      </c>
      <c r="C4802" s="34" t="s">
        <v>898</v>
      </c>
      <c r="F4802" t="s">
        <v>898</v>
      </c>
      <c r="H4802">
        <v>5</v>
      </c>
      <c r="I4802">
        <f>VLOOKUP(B4802,BRAND!B:D,3,FALSE)</f>
        <v>11</v>
      </c>
      <c r="J4802">
        <v>6</v>
      </c>
      <c r="K4802" t="s">
        <v>822</v>
      </c>
      <c r="M4802">
        <v>1</v>
      </c>
    </row>
    <row r="4803" spans="1:13">
      <c r="A4803" t="s">
        <v>1740</v>
      </c>
      <c r="B4803" t="s">
        <v>1461</v>
      </c>
      <c r="C4803" s="34" t="s">
        <v>995</v>
      </c>
      <c r="F4803" t="s">
        <v>995</v>
      </c>
      <c r="H4803">
        <v>5</v>
      </c>
      <c r="I4803">
        <f>VLOOKUP(B4803,BRAND!B:D,3,FALSE)</f>
        <v>11</v>
      </c>
      <c r="J4803">
        <v>6</v>
      </c>
      <c r="K4803" t="s">
        <v>822</v>
      </c>
      <c r="M4803">
        <v>1</v>
      </c>
    </row>
    <row r="4804" spans="1:13">
      <c r="A4804" t="s">
        <v>1681</v>
      </c>
      <c r="B4804" t="s">
        <v>1461</v>
      </c>
      <c r="C4804" s="34" t="s">
        <v>764</v>
      </c>
      <c r="F4804" t="s">
        <v>764</v>
      </c>
      <c r="H4804">
        <v>5</v>
      </c>
      <c r="I4804">
        <f>VLOOKUP(B4804,BRAND!B:D,3,FALSE)</f>
        <v>11</v>
      </c>
      <c r="J4804">
        <v>5</v>
      </c>
      <c r="K4804" t="s">
        <v>822</v>
      </c>
      <c r="M4804">
        <v>1</v>
      </c>
    </row>
    <row r="4805" spans="1:13">
      <c r="A4805" t="s">
        <v>4812</v>
      </c>
      <c r="B4805" t="s">
        <v>1461</v>
      </c>
      <c r="C4805" s="34" t="s">
        <v>1513</v>
      </c>
      <c r="F4805" t="s">
        <v>1513</v>
      </c>
      <c r="H4805">
        <v>5</v>
      </c>
      <c r="I4805">
        <f>VLOOKUP(B4805,BRAND!B:D,3,FALSE)</f>
        <v>11</v>
      </c>
      <c r="J4805">
        <v>5</v>
      </c>
      <c r="K4805" t="s">
        <v>822</v>
      </c>
      <c r="M4805">
        <v>1</v>
      </c>
    </row>
    <row r="4806" spans="1:13">
      <c r="A4806" t="s">
        <v>1607</v>
      </c>
      <c r="B4806" t="s">
        <v>1461</v>
      </c>
      <c r="C4806" s="34" t="s">
        <v>881</v>
      </c>
      <c r="F4806" t="s">
        <v>881</v>
      </c>
      <c r="H4806">
        <v>5</v>
      </c>
      <c r="I4806">
        <f>VLOOKUP(B4806,BRAND!B:D,3,FALSE)</f>
        <v>11</v>
      </c>
      <c r="J4806">
        <v>5</v>
      </c>
      <c r="K4806" t="s">
        <v>822</v>
      </c>
      <c r="M4806">
        <v>1</v>
      </c>
    </row>
    <row r="4807" spans="1:13">
      <c r="A4807" t="s">
        <v>4794</v>
      </c>
      <c r="B4807" t="s">
        <v>1461</v>
      </c>
      <c r="C4807" s="34" t="s">
        <v>782</v>
      </c>
      <c r="F4807" t="s">
        <v>782</v>
      </c>
      <c r="H4807">
        <v>5</v>
      </c>
      <c r="I4807">
        <f>VLOOKUP(B4807,BRAND!B:D,3,FALSE)</f>
        <v>11</v>
      </c>
      <c r="J4807">
        <v>4</v>
      </c>
      <c r="K4807" t="s">
        <v>822</v>
      </c>
      <c r="M4807">
        <v>1</v>
      </c>
    </row>
    <row r="4808" spans="1:13">
      <c r="A4808" t="s">
        <v>4884</v>
      </c>
      <c r="B4808" t="s">
        <v>1461</v>
      </c>
      <c r="C4808" s="34" t="s">
        <v>876</v>
      </c>
      <c r="F4808" t="s">
        <v>876</v>
      </c>
      <c r="H4808">
        <v>5</v>
      </c>
      <c r="I4808">
        <f>VLOOKUP(B4808,BRAND!B:D,3,FALSE)</f>
        <v>11</v>
      </c>
      <c r="J4808">
        <v>4</v>
      </c>
      <c r="K4808" t="s">
        <v>822</v>
      </c>
      <c r="M4808">
        <v>1</v>
      </c>
    </row>
    <row r="4809" spans="1:13">
      <c r="A4809" t="s">
        <v>4688</v>
      </c>
      <c r="B4809" t="s">
        <v>1461</v>
      </c>
      <c r="C4809" s="34" t="s">
        <v>897</v>
      </c>
      <c r="F4809" t="s">
        <v>897</v>
      </c>
      <c r="H4809">
        <v>5</v>
      </c>
      <c r="I4809">
        <f>VLOOKUP(B4809,BRAND!B:D,3,FALSE)</f>
        <v>11</v>
      </c>
      <c r="J4809">
        <v>4</v>
      </c>
      <c r="K4809" t="s">
        <v>822</v>
      </c>
      <c r="M4809">
        <v>1</v>
      </c>
    </row>
    <row r="4810" spans="1:13">
      <c r="A4810" t="s">
        <v>1610</v>
      </c>
      <c r="B4810" t="s">
        <v>1461</v>
      </c>
      <c r="C4810" s="34" t="s">
        <v>1438</v>
      </c>
      <c r="F4810" t="s">
        <v>1438</v>
      </c>
      <c r="H4810">
        <v>15</v>
      </c>
      <c r="I4810">
        <f>VLOOKUP(B4810,BRAND!B:D,3,FALSE)</f>
        <v>11</v>
      </c>
      <c r="J4810">
        <v>4</v>
      </c>
      <c r="K4810" t="s">
        <v>822</v>
      </c>
      <c r="M4810">
        <v>1</v>
      </c>
    </row>
    <row r="4811" spans="1:13">
      <c r="A4811" t="s">
        <v>11865</v>
      </c>
      <c r="B4811" t="s">
        <v>10950</v>
      </c>
      <c r="C4811" s="34" t="s">
        <v>11993</v>
      </c>
      <c r="F4811" t="s">
        <v>11277</v>
      </c>
      <c r="G4811" t="s">
        <v>6932</v>
      </c>
      <c r="H4811">
        <v>5</v>
      </c>
    </row>
    <row r="4812" spans="1:13">
      <c r="A4812" t="s">
        <v>11866</v>
      </c>
      <c r="B4812" t="s">
        <v>10950</v>
      </c>
      <c r="C4812" s="34" t="s">
        <v>11278</v>
      </c>
      <c r="F4812" t="s">
        <v>11278</v>
      </c>
      <c r="G4812" t="s">
        <v>6932</v>
      </c>
      <c r="H4812">
        <v>5</v>
      </c>
    </row>
    <row r="4813" spans="1:13">
      <c r="A4813" t="s">
        <v>11867</v>
      </c>
      <c r="B4813" t="s">
        <v>10950</v>
      </c>
      <c r="C4813" s="34" t="s">
        <v>11279</v>
      </c>
      <c r="F4813" t="s">
        <v>11279</v>
      </c>
      <c r="G4813" t="s">
        <v>6932</v>
      </c>
      <c r="H4813">
        <v>5</v>
      </c>
    </row>
    <row r="4814" spans="1:13">
      <c r="A4814" t="s">
        <v>11868</v>
      </c>
      <c r="B4814" t="s">
        <v>10950</v>
      </c>
      <c r="C4814" s="34" t="s">
        <v>11280</v>
      </c>
      <c r="F4814" t="s">
        <v>11280</v>
      </c>
      <c r="G4814" t="s">
        <v>6932</v>
      </c>
      <c r="H4814">
        <v>5</v>
      </c>
    </row>
    <row r="4815" spans="1:13">
      <c r="A4815" t="s">
        <v>11869</v>
      </c>
      <c r="B4815" t="s">
        <v>10950</v>
      </c>
      <c r="C4815" s="34" t="s">
        <v>11281</v>
      </c>
      <c r="F4815" t="s">
        <v>11281</v>
      </c>
      <c r="G4815" t="s">
        <v>6932</v>
      </c>
      <c r="H4815">
        <v>5</v>
      </c>
    </row>
    <row r="4816" spans="1:13">
      <c r="A4816" t="s">
        <v>11870</v>
      </c>
      <c r="B4816" t="s">
        <v>10950</v>
      </c>
      <c r="C4816" s="34" t="s">
        <v>11282</v>
      </c>
      <c r="F4816" t="s">
        <v>11282</v>
      </c>
      <c r="G4816" t="s">
        <v>6932</v>
      </c>
      <c r="H4816">
        <v>5</v>
      </c>
    </row>
    <row r="4817" spans="1:8">
      <c r="A4817" t="s">
        <v>11871</v>
      </c>
      <c r="B4817" t="s">
        <v>10950</v>
      </c>
      <c r="C4817" s="34" t="s">
        <v>11283</v>
      </c>
      <c r="F4817" t="s">
        <v>11283</v>
      </c>
      <c r="G4817" t="s">
        <v>6932</v>
      </c>
      <c r="H4817">
        <v>5</v>
      </c>
    </row>
    <row r="4818" spans="1:8">
      <c r="A4818" t="s">
        <v>11872</v>
      </c>
      <c r="B4818" t="s">
        <v>10950</v>
      </c>
      <c r="C4818" s="34" t="s">
        <v>11284</v>
      </c>
      <c r="F4818" t="s">
        <v>11284</v>
      </c>
      <c r="G4818" t="s">
        <v>6932</v>
      </c>
      <c r="H4818">
        <v>5</v>
      </c>
    </row>
    <row r="4819" spans="1:8">
      <c r="A4819" t="s">
        <v>11873</v>
      </c>
      <c r="B4819" t="s">
        <v>10950</v>
      </c>
      <c r="C4819" s="34" t="s">
        <v>11285</v>
      </c>
      <c r="F4819" t="s">
        <v>11285</v>
      </c>
      <c r="G4819" t="s">
        <v>6932</v>
      </c>
      <c r="H4819">
        <v>5</v>
      </c>
    </row>
    <row r="4820" spans="1:8">
      <c r="A4820" t="s">
        <v>11874</v>
      </c>
      <c r="B4820" t="s">
        <v>10950</v>
      </c>
      <c r="C4820" s="34" t="s">
        <v>11286</v>
      </c>
      <c r="F4820" t="s">
        <v>11286</v>
      </c>
      <c r="G4820" t="s">
        <v>6932</v>
      </c>
      <c r="H4820">
        <v>5</v>
      </c>
    </row>
    <row r="4821" spans="1:8">
      <c r="A4821" t="s">
        <v>11875</v>
      </c>
      <c r="B4821" t="s">
        <v>10950</v>
      </c>
      <c r="C4821" s="34" t="s">
        <v>11287</v>
      </c>
      <c r="F4821" t="s">
        <v>11287</v>
      </c>
      <c r="G4821" t="s">
        <v>6932</v>
      </c>
      <c r="H4821">
        <v>5</v>
      </c>
    </row>
    <row r="4822" spans="1:8">
      <c r="A4822" t="s">
        <v>11876</v>
      </c>
      <c r="B4822" t="s">
        <v>10950</v>
      </c>
      <c r="C4822" s="34" t="s">
        <v>11288</v>
      </c>
      <c r="F4822" t="s">
        <v>11288</v>
      </c>
      <c r="G4822" t="s">
        <v>6932</v>
      </c>
      <c r="H4822">
        <v>5</v>
      </c>
    </row>
    <row r="4823" spans="1:8">
      <c r="A4823" t="s">
        <v>11877</v>
      </c>
      <c r="B4823" t="s">
        <v>10950</v>
      </c>
      <c r="C4823" s="34" t="s">
        <v>11289</v>
      </c>
      <c r="F4823" t="s">
        <v>11289</v>
      </c>
      <c r="G4823" t="s">
        <v>6932</v>
      </c>
      <c r="H4823">
        <v>5</v>
      </c>
    </row>
    <row r="4824" spans="1:8">
      <c r="A4824" t="s">
        <v>11878</v>
      </c>
      <c r="B4824" t="s">
        <v>10950</v>
      </c>
      <c r="C4824" s="34" t="s">
        <v>11290</v>
      </c>
      <c r="F4824" t="s">
        <v>11290</v>
      </c>
      <c r="G4824" t="s">
        <v>6932</v>
      </c>
      <c r="H4824">
        <v>5</v>
      </c>
    </row>
    <row r="4825" spans="1:8">
      <c r="A4825" t="s">
        <v>11879</v>
      </c>
      <c r="B4825" t="s">
        <v>10950</v>
      </c>
      <c r="C4825" s="34" t="s">
        <v>11291</v>
      </c>
      <c r="F4825" t="s">
        <v>11291</v>
      </c>
      <c r="G4825" t="s">
        <v>6932</v>
      </c>
      <c r="H4825">
        <v>5</v>
      </c>
    </row>
    <row r="4826" spans="1:8">
      <c r="A4826" t="s">
        <v>11880</v>
      </c>
      <c r="B4826" t="s">
        <v>10950</v>
      </c>
      <c r="C4826" s="34" t="s">
        <v>11292</v>
      </c>
      <c r="F4826" t="s">
        <v>11292</v>
      </c>
      <c r="G4826" t="s">
        <v>6932</v>
      </c>
      <c r="H4826">
        <v>5</v>
      </c>
    </row>
    <row r="4827" spans="1:8">
      <c r="A4827" t="s">
        <v>11881</v>
      </c>
      <c r="B4827" t="s">
        <v>10950</v>
      </c>
      <c r="C4827" s="34" t="s">
        <v>11293</v>
      </c>
      <c r="F4827" t="s">
        <v>11293</v>
      </c>
      <c r="G4827" t="s">
        <v>6932</v>
      </c>
      <c r="H4827">
        <v>5</v>
      </c>
    </row>
    <row r="4828" spans="1:8">
      <c r="A4828" t="s">
        <v>11882</v>
      </c>
      <c r="B4828" t="s">
        <v>10950</v>
      </c>
      <c r="C4828" s="34" t="s">
        <v>11294</v>
      </c>
      <c r="F4828" t="s">
        <v>11294</v>
      </c>
      <c r="G4828" t="s">
        <v>6932</v>
      </c>
      <c r="H4828">
        <v>5</v>
      </c>
    </row>
    <row r="4829" spans="1:8">
      <c r="A4829" t="s">
        <v>11883</v>
      </c>
      <c r="B4829" t="s">
        <v>10950</v>
      </c>
      <c r="C4829" s="34" t="s">
        <v>11295</v>
      </c>
      <c r="F4829" t="s">
        <v>11295</v>
      </c>
      <c r="G4829" t="s">
        <v>6932</v>
      </c>
      <c r="H4829">
        <v>5</v>
      </c>
    </row>
    <row r="4830" spans="1:8">
      <c r="A4830" t="s">
        <v>11884</v>
      </c>
      <c r="B4830" t="s">
        <v>10950</v>
      </c>
      <c r="C4830" s="34" t="s">
        <v>11296</v>
      </c>
      <c r="F4830" t="s">
        <v>11296</v>
      </c>
      <c r="G4830" t="s">
        <v>6932</v>
      </c>
      <c r="H4830">
        <v>5</v>
      </c>
    </row>
    <row r="4831" spans="1:8">
      <c r="A4831" t="s">
        <v>11885</v>
      </c>
      <c r="B4831" t="s">
        <v>10950</v>
      </c>
      <c r="C4831" s="34" t="s">
        <v>11297</v>
      </c>
      <c r="F4831" t="s">
        <v>11297</v>
      </c>
      <c r="G4831" t="s">
        <v>6932</v>
      </c>
      <c r="H4831">
        <v>5</v>
      </c>
    </row>
    <row r="4832" spans="1:8">
      <c r="A4832" t="s">
        <v>11886</v>
      </c>
      <c r="B4832" t="s">
        <v>10950</v>
      </c>
      <c r="C4832" s="34" t="s">
        <v>11298</v>
      </c>
      <c r="F4832" t="s">
        <v>11298</v>
      </c>
      <c r="G4832" t="s">
        <v>6932</v>
      </c>
      <c r="H4832">
        <v>5</v>
      </c>
    </row>
    <row r="4833" spans="1:13">
      <c r="A4833" t="s">
        <v>11887</v>
      </c>
      <c r="B4833" t="s">
        <v>10950</v>
      </c>
      <c r="C4833" s="34" t="s">
        <v>11299</v>
      </c>
      <c r="F4833" t="s">
        <v>11299</v>
      </c>
      <c r="G4833" t="s">
        <v>6932</v>
      </c>
      <c r="H4833">
        <v>5</v>
      </c>
    </row>
    <row r="4834" spans="1:13">
      <c r="A4834" t="s">
        <v>13636</v>
      </c>
      <c r="B4834" t="s">
        <v>10950</v>
      </c>
      <c r="C4834" s="34" t="s">
        <v>12657</v>
      </c>
      <c r="F4834" t="s">
        <v>12657</v>
      </c>
      <c r="G4834" t="s">
        <v>801</v>
      </c>
      <c r="H4834">
        <v>5</v>
      </c>
    </row>
    <row r="4835" spans="1:13">
      <c r="A4835" t="s">
        <v>1018</v>
      </c>
      <c r="B4835" t="s">
        <v>374</v>
      </c>
      <c r="C4835" s="34" t="s">
        <v>974</v>
      </c>
      <c r="F4835" t="s">
        <v>974</v>
      </c>
      <c r="H4835">
        <v>4</v>
      </c>
      <c r="I4835">
        <f>VLOOKUP(B4835,BRAND!B:D,3,FALSE)</f>
        <v>3</v>
      </c>
      <c r="J4835">
        <f>LEN(F4835)</f>
        <v>16</v>
      </c>
      <c r="K4835" t="s">
        <v>821</v>
      </c>
      <c r="M4835">
        <v>1</v>
      </c>
    </row>
    <row r="4836" spans="1:13">
      <c r="A4836" t="s">
        <v>8555</v>
      </c>
      <c r="B4836" t="s">
        <v>374</v>
      </c>
      <c r="C4836" s="34" t="s">
        <v>8556</v>
      </c>
      <c r="F4836" t="s">
        <v>8556</v>
      </c>
      <c r="G4836" t="s">
        <v>6932</v>
      </c>
      <c r="H4836">
        <v>5</v>
      </c>
      <c r="I4836">
        <f>VLOOKUP(B4836,BRAND!B:D,3,FALSE)</f>
        <v>3</v>
      </c>
      <c r="J4836">
        <f>LEN(F4836)</f>
        <v>14</v>
      </c>
      <c r="M4836">
        <v>1</v>
      </c>
    </row>
    <row r="4837" spans="1:13">
      <c r="A4837" t="s">
        <v>5285</v>
      </c>
      <c r="B4837" t="s">
        <v>374</v>
      </c>
      <c r="C4837" s="34" t="s">
        <v>5273</v>
      </c>
      <c r="F4837" t="s">
        <v>5273</v>
      </c>
      <c r="H4837">
        <v>5</v>
      </c>
      <c r="I4837">
        <f>VLOOKUP(B4837,BRAND!B:D,3,FALSE)</f>
        <v>3</v>
      </c>
      <c r="J4837">
        <f>LEN(F4837)</f>
        <v>10</v>
      </c>
      <c r="K4837" t="s">
        <v>821</v>
      </c>
      <c r="L4837">
        <v>0</v>
      </c>
      <c r="M4837">
        <v>0</v>
      </c>
    </row>
    <row r="4838" spans="1:13">
      <c r="A4838" t="s">
        <v>5284</v>
      </c>
      <c r="B4838" t="s">
        <v>374</v>
      </c>
      <c r="C4838" s="34" t="s">
        <v>5271</v>
      </c>
      <c r="F4838" t="s">
        <v>5271</v>
      </c>
      <c r="H4838">
        <v>5</v>
      </c>
      <c r="I4838">
        <f>VLOOKUP(B4838,BRAND!B:D,3,FALSE)</f>
        <v>3</v>
      </c>
      <c r="J4838">
        <f>LEN(F4838)</f>
        <v>10</v>
      </c>
      <c r="K4838" t="s">
        <v>821</v>
      </c>
      <c r="M4838">
        <v>1</v>
      </c>
    </row>
    <row r="4839" spans="1:13">
      <c r="A4839" t="s">
        <v>3671</v>
      </c>
      <c r="B4839" t="s">
        <v>374</v>
      </c>
      <c r="C4839" s="34" t="s">
        <v>777</v>
      </c>
      <c r="F4839" t="s">
        <v>777</v>
      </c>
      <c r="H4839">
        <v>5</v>
      </c>
      <c r="I4839">
        <f>VLOOKUP(B4839,BRAND!B:D,3,FALSE)</f>
        <v>3</v>
      </c>
      <c r="J4839">
        <v>7</v>
      </c>
      <c r="K4839" t="s">
        <v>821</v>
      </c>
      <c r="L4839">
        <v>0</v>
      </c>
      <c r="M4839">
        <v>0</v>
      </c>
    </row>
    <row r="4840" spans="1:13">
      <c r="A4840" t="s">
        <v>3425</v>
      </c>
      <c r="B4840" t="s">
        <v>374</v>
      </c>
      <c r="C4840" s="34" t="s">
        <v>5404</v>
      </c>
      <c r="F4840" t="s">
        <v>772</v>
      </c>
      <c r="H4840">
        <v>5</v>
      </c>
      <c r="I4840">
        <f>VLOOKUP(B4840,BRAND!B:D,3,FALSE)</f>
        <v>3</v>
      </c>
      <c r="J4840">
        <v>6</v>
      </c>
      <c r="K4840" t="s">
        <v>821</v>
      </c>
      <c r="M4840">
        <v>1</v>
      </c>
    </row>
    <row r="4841" spans="1:13">
      <c r="A4841" t="s">
        <v>3492</v>
      </c>
      <c r="B4841" t="s">
        <v>374</v>
      </c>
      <c r="C4841" s="34" t="s">
        <v>5401</v>
      </c>
      <c r="F4841" t="s">
        <v>746</v>
      </c>
      <c r="H4841">
        <v>5</v>
      </c>
      <c r="I4841">
        <f>VLOOKUP(B4841,BRAND!B:D,3,FALSE)</f>
        <v>3</v>
      </c>
      <c r="J4841">
        <v>6</v>
      </c>
      <c r="K4841" t="s">
        <v>821</v>
      </c>
      <c r="M4841">
        <v>1</v>
      </c>
    </row>
    <row r="4842" spans="1:13">
      <c r="A4842" t="s">
        <v>3642</v>
      </c>
      <c r="B4842" t="s">
        <v>374</v>
      </c>
      <c r="C4842" s="34" t="s">
        <v>5400</v>
      </c>
      <c r="F4842" t="s">
        <v>536</v>
      </c>
      <c r="H4842">
        <v>5</v>
      </c>
      <c r="I4842">
        <f>VLOOKUP(B4842,BRAND!B:D,3,FALSE)</f>
        <v>3</v>
      </c>
      <c r="J4842">
        <v>5</v>
      </c>
      <c r="K4842" t="s">
        <v>821</v>
      </c>
      <c r="M4842">
        <v>1</v>
      </c>
    </row>
    <row r="4843" spans="1:13">
      <c r="A4843" t="s">
        <v>5275</v>
      </c>
      <c r="B4843" t="s">
        <v>374</v>
      </c>
      <c r="C4843" s="34" t="s">
        <v>5402</v>
      </c>
      <c r="F4843" t="s">
        <v>1438</v>
      </c>
      <c r="G4843" t="s">
        <v>801</v>
      </c>
      <c r="H4843">
        <v>6</v>
      </c>
      <c r="I4843">
        <f>VLOOKUP(B4843,BRAND!B:D,3,FALSE)</f>
        <v>3</v>
      </c>
      <c r="J4843">
        <v>4</v>
      </c>
      <c r="K4843" t="s">
        <v>821</v>
      </c>
      <c r="L4843">
        <v>0</v>
      </c>
      <c r="M4843">
        <v>0</v>
      </c>
    </row>
    <row r="4844" spans="1:13">
      <c r="A4844" t="s">
        <v>2384</v>
      </c>
      <c r="B4844" t="s">
        <v>374</v>
      </c>
      <c r="C4844" s="34" t="s">
        <v>5403</v>
      </c>
      <c r="F4844" t="s">
        <v>1438</v>
      </c>
      <c r="H4844">
        <v>15</v>
      </c>
      <c r="I4844">
        <f>VLOOKUP(B4844,BRAND!B:D,3,FALSE)</f>
        <v>3</v>
      </c>
      <c r="J4844">
        <v>4</v>
      </c>
      <c r="K4844" t="s">
        <v>821</v>
      </c>
      <c r="L4844">
        <v>0</v>
      </c>
      <c r="M4844">
        <v>0</v>
      </c>
    </row>
    <row r="4845" spans="1:13">
      <c r="A4845" t="s">
        <v>11547</v>
      </c>
      <c r="B4845" t="s">
        <v>10921</v>
      </c>
      <c r="C4845" s="34" t="s">
        <v>11036</v>
      </c>
      <c r="F4845" t="s">
        <v>11036</v>
      </c>
      <c r="G4845" t="s">
        <v>6932</v>
      </c>
      <c r="H4845">
        <v>4</v>
      </c>
    </row>
    <row r="4846" spans="1:13">
      <c r="A4846" t="s">
        <v>11543</v>
      </c>
      <c r="B4846" t="s">
        <v>10921</v>
      </c>
      <c r="C4846" s="34" t="s">
        <v>6943</v>
      </c>
      <c r="F4846" t="s">
        <v>1019</v>
      </c>
      <c r="G4846" t="s">
        <v>6932</v>
      </c>
      <c r="H4846">
        <v>5</v>
      </c>
    </row>
    <row r="4847" spans="1:13">
      <c r="A4847" t="s">
        <v>11544</v>
      </c>
      <c r="B4847" t="s">
        <v>10921</v>
      </c>
      <c r="C4847" s="34" t="s">
        <v>10745</v>
      </c>
      <c r="F4847" t="s">
        <v>10745</v>
      </c>
      <c r="G4847" t="s">
        <v>6932</v>
      </c>
      <c r="H4847">
        <v>5</v>
      </c>
    </row>
    <row r="4848" spans="1:13">
      <c r="A4848" t="s">
        <v>11546</v>
      </c>
      <c r="B4848" t="s">
        <v>10921</v>
      </c>
      <c r="C4848" s="34" t="s">
        <v>6351</v>
      </c>
      <c r="F4848" t="s">
        <v>6351</v>
      </c>
      <c r="G4848" t="s">
        <v>6932</v>
      </c>
      <c r="H4848">
        <v>5</v>
      </c>
    </row>
    <row r="4849" spans="1:13">
      <c r="A4849" t="s">
        <v>11548</v>
      </c>
      <c r="B4849" t="s">
        <v>10921</v>
      </c>
      <c r="C4849" s="34" t="s">
        <v>6943</v>
      </c>
      <c r="F4849" t="s">
        <v>1019</v>
      </c>
      <c r="G4849" t="s">
        <v>801</v>
      </c>
      <c r="H4849">
        <v>5</v>
      </c>
    </row>
    <row r="4850" spans="1:13">
      <c r="A4850" t="s">
        <v>11550</v>
      </c>
      <c r="B4850" t="s">
        <v>10921</v>
      </c>
      <c r="C4850" s="34" t="s">
        <v>8170</v>
      </c>
      <c r="F4850" t="s">
        <v>8170</v>
      </c>
      <c r="G4850" t="s">
        <v>6932</v>
      </c>
      <c r="H4850">
        <v>5</v>
      </c>
    </row>
    <row r="4851" spans="1:13">
      <c r="A4851" t="s">
        <v>11555</v>
      </c>
      <c r="B4851" t="s">
        <v>10921</v>
      </c>
      <c r="C4851" s="34" t="s">
        <v>6943</v>
      </c>
      <c r="F4851" t="s">
        <v>1019</v>
      </c>
      <c r="G4851" t="s">
        <v>2000</v>
      </c>
      <c r="H4851">
        <v>5</v>
      </c>
    </row>
    <row r="4852" spans="1:13">
      <c r="A4852" t="s">
        <v>11557</v>
      </c>
      <c r="B4852" t="s">
        <v>10921</v>
      </c>
      <c r="C4852" s="34" t="s">
        <v>11040</v>
      </c>
      <c r="F4852" t="s">
        <v>11040</v>
      </c>
      <c r="G4852" t="s">
        <v>6932</v>
      </c>
      <c r="H4852">
        <v>5</v>
      </c>
    </row>
    <row r="4853" spans="1:13">
      <c r="A4853" t="s">
        <v>2193</v>
      </c>
      <c r="B4853" t="s">
        <v>1073</v>
      </c>
      <c r="C4853" s="34" t="s">
        <v>534</v>
      </c>
      <c r="F4853" t="s">
        <v>534</v>
      </c>
      <c r="H4853">
        <v>5</v>
      </c>
      <c r="I4853">
        <f>VLOOKUP(B4853,BRAND!B:D,3,FALSE)</f>
        <v>3</v>
      </c>
      <c r="J4853">
        <v>6</v>
      </c>
      <c r="K4853" t="s">
        <v>821</v>
      </c>
      <c r="L4853">
        <v>0</v>
      </c>
      <c r="M4853">
        <v>0</v>
      </c>
    </row>
    <row r="4854" spans="1:13">
      <c r="A4854" t="s">
        <v>4265</v>
      </c>
      <c r="B4854" t="s">
        <v>1073</v>
      </c>
      <c r="C4854" s="34" t="s">
        <v>763</v>
      </c>
      <c r="F4854" t="s">
        <v>763</v>
      </c>
      <c r="H4854">
        <v>5</v>
      </c>
      <c r="I4854">
        <f>VLOOKUP(B4854,BRAND!B:D,3,FALSE)</f>
        <v>3</v>
      </c>
      <c r="J4854">
        <v>5</v>
      </c>
      <c r="K4854" t="s">
        <v>821</v>
      </c>
      <c r="L4854">
        <v>0</v>
      </c>
      <c r="M4854">
        <v>0</v>
      </c>
    </row>
    <row r="4855" spans="1:13">
      <c r="A4855" t="s">
        <v>3641</v>
      </c>
      <c r="B4855" t="s">
        <v>1073</v>
      </c>
      <c r="C4855" s="34" t="s">
        <v>536</v>
      </c>
      <c r="F4855" t="s">
        <v>536</v>
      </c>
      <c r="H4855">
        <v>5</v>
      </c>
      <c r="I4855">
        <f>VLOOKUP(B4855,BRAND!B:D,3,FALSE)</f>
        <v>3</v>
      </c>
      <c r="J4855">
        <v>5</v>
      </c>
      <c r="K4855" t="s">
        <v>821</v>
      </c>
      <c r="L4855">
        <v>0</v>
      </c>
      <c r="M4855">
        <v>0</v>
      </c>
    </row>
    <row r="4856" spans="1:13">
      <c r="A4856" t="s">
        <v>3634</v>
      </c>
      <c r="B4856" t="s">
        <v>1073</v>
      </c>
      <c r="C4856" s="34" t="s">
        <v>781</v>
      </c>
      <c r="F4856" t="s">
        <v>781</v>
      </c>
      <c r="H4856">
        <v>5</v>
      </c>
      <c r="I4856">
        <f>VLOOKUP(B4856,BRAND!B:D,3,FALSE)</f>
        <v>3</v>
      </c>
      <c r="J4856">
        <v>4</v>
      </c>
      <c r="K4856" t="s">
        <v>821</v>
      </c>
      <c r="L4856">
        <v>0</v>
      </c>
      <c r="M4856">
        <v>0</v>
      </c>
    </row>
    <row r="4857" spans="1:13">
      <c r="A4857" t="s">
        <v>2398</v>
      </c>
      <c r="B4857" t="s">
        <v>1073</v>
      </c>
      <c r="C4857" s="34" t="s">
        <v>1438</v>
      </c>
      <c r="F4857" t="s">
        <v>1438</v>
      </c>
      <c r="H4857">
        <v>15</v>
      </c>
      <c r="I4857">
        <f>VLOOKUP(B4857,BRAND!B:D,3,FALSE)</f>
        <v>3</v>
      </c>
      <c r="J4857">
        <v>4</v>
      </c>
      <c r="K4857" t="s">
        <v>821</v>
      </c>
      <c r="L4857">
        <v>0</v>
      </c>
      <c r="M4857">
        <v>0</v>
      </c>
    </row>
    <row r="4858" spans="1:13">
      <c r="A4858" t="s">
        <v>3589</v>
      </c>
      <c r="B4858" t="s">
        <v>1761</v>
      </c>
      <c r="C4858" s="34" t="s">
        <v>534</v>
      </c>
      <c r="F4858" t="s">
        <v>534</v>
      </c>
      <c r="H4858">
        <v>5</v>
      </c>
      <c r="I4858">
        <f>VLOOKUP(B4858,BRAND!B:D,3,FALSE)</f>
        <v>3</v>
      </c>
      <c r="J4858">
        <v>6</v>
      </c>
      <c r="K4858" t="s">
        <v>821</v>
      </c>
      <c r="L4858">
        <v>0</v>
      </c>
      <c r="M4858">
        <v>0</v>
      </c>
    </row>
    <row r="4859" spans="1:13">
      <c r="A4859" t="s">
        <v>3588</v>
      </c>
      <c r="B4859" t="s">
        <v>1761</v>
      </c>
      <c r="C4859" s="34" t="s">
        <v>536</v>
      </c>
      <c r="F4859" t="s">
        <v>536</v>
      </c>
      <c r="H4859">
        <v>5</v>
      </c>
      <c r="I4859">
        <f>VLOOKUP(B4859,BRAND!B:D,3,FALSE)</f>
        <v>3</v>
      </c>
      <c r="J4859">
        <v>5</v>
      </c>
      <c r="K4859" t="s">
        <v>821</v>
      </c>
      <c r="L4859">
        <v>0</v>
      </c>
      <c r="M4859">
        <v>0</v>
      </c>
    </row>
    <row r="4860" spans="1:13">
      <c r="A4860" t="s">
        <v>12568</v>
      </c>
      <c r="B4860" t="s">
        <v>12032</v>
      </c>
      <c r="C4860" s="34" t="s">
        <v>12569</v>
      </c>
      <c r="F4860" t="s">
        <v>12570</v>
      </c>
      <c r="G4860" t="s">
        <v>6932</v>
      </c>
      <c r="H4860">
        <v>4</v>
      </c>
    </row>
    <row r="4861" spans="1:13">
      <c r="A4861" t="s">
        <v>12549</v>
      </c>
      <c r="B4861" t="s">
        <v>12032</v>
      </c>
      <c r="C4861" s="34" t="s">
        <v>657</v>
      </c>
      <c r="F4861" t="s">
        <v>657</v>
      </c>
      <c r="G4861" t="s">
        <v>6932</v>
      </c>
      <c r="H4861">
        <v>5</v>
      </c>
    </row>
    <row r="4862" spans="1:13">
      <c r="A4862" t="s">
        <v>12550</v>
      </c>
      <c r="B4862" t="s">
        <v>12032</v>
      </c>
      <c r="C4862" s="34" t="s">
        <v>12551</v>
      </c>
      <c r="F4862" t="s">
        <v>12551</v>
      </c>
      <c r="G4862" t="s">
        <v>6932</v>
      </c>
      <c r="H4862">
        <v>5</v>
      </c>
    </row>
    <row r="4863" spans="1:13">
      <c r="A4863" t="s">
        <v>12552</v>
      </c>
      <c r="B4863" t="s">
        <v>12032</v>
      </c>
      <c r="C4863" s="34" t="s">
        <v>12553</v>
      </c>
      <c r="F4863" t="s">
        <v>12553</v>
      </c>
      <c r="G4863" t="s">
        <v>6932</v>
      </c>
      <c r="H4863">
        <v>5</v>
      </c>
    </row>
    <row r="4864" spans="1:13">
      <c r="A4864" t="s">
        <v>12554</v>
      </c>
      <c r="B4864" t="s">
        <v>12032</v>
      </c>
      <c r="C4864" s="34" t="s">
        <v>12555</v>
      </c>
      <c r="F4864" t="s">
        <v>12555</v>
      </c>
      <c r="G4864" t="s">
        <v>6932</v>
      </c>
      <c r="H4864">
        <v>5</v>
      </c>
    </row>
    <row r="4865" spans="1:8">
      <c r="A4865" t="s">
        <v>12556</v>
      </c>
      <c r="B4865" t="s">
        <v>12032</v>
      </c>
      <c r="C4865" s="34" t="s">
        <v>12557</v>
      </c>
      <c r="F4865" t="s">
        <v>12557</v>
      </c>
      <c r="G4865" t="s">
        <v>6932</v>
      </c>
      <c r="H4865">
        <v>5</v>
      </c>
    </row>
    <row r="4866" spans="1:8">
      <c r="A4866" t="s">
        <v>12558</v>
      </c>
      <c r="B4866" t="s">
        <v>12032</v>
      </c>
      <c r="C4866" s="34" t="s">
        <v>12559</v>
      </c>
      <c r="F4866" t="s">
        <v>12559</v>
      </c>
      <c r="G4866" t="s">
        <v>6932</v>
      </c>
      <c r="H4866">
        <v>5</v>
      </c>
    </row>
    <row r="4867" spans="1:8">
      <c r="A4867" t="s">
        <v>12560</v>
      </c>
      <c r="B4867" t="s">
        <v>12032</v>
      </c>
      <c r="C4867" s="34" t="s">
        <v>7329</v>
      </c>
      <c r="F4867" t="s">
        <v>7329</v>
      </c>
      <c r="G4867" t="s">
        <v>6932</v>
      </c>
      <c r="H4867">
        <v>5</v>
      </c>
    </row>
    <row r="4868" spans="1:8">
      <c r="A4868" t="s">
        <v>12561</v>
      </c>
      <c r="B4868" t="s">
        <v>12032</v>
      </c>
      <c r="C4868" s="34" t="s">
        <v>12562</v>
      </c>
      <c r="F4868" t="s">
        <v>12562</v>
      </c>
      <c r="G4868" t="s">
        <v>6932</v>
      </c>
      <c r="H4868">
        <v>5</v>
      </c>
    </row>
    <row r="4869" spans="1:8">
      <c r="A4869" t="s">
        <v>12563</v>
      </c>
      <c r="B4869" t="s">
        <v>12032</v>
      </c>
      <c r="C4869" s="34" t="s">
        <v>12564</v>
      </c>
      <c r="F4869" t="s">
        <v>12564</v>
      </c>
      <c r="G4869" t="s">
        <v>6932</v>
      </c>
      <c r="H4869">
        <v>5</v>
      </c>
    </row>
    <row r="4870" spans="1:8">
      <c r="A4870" t="s">
        <v>12565</v>
      </c>
      <c r="B4870" t="s">
        <v>12032</v>
      </c>
      <c r="C4870" s="34" t="s">
        <v>12566</v>
      </c>
      <c r="F4870" t="s">
        <v>12567</v>
      </c>
      <c r="G4870" t="s">
        <v>6932</v>
      </c>
      <c r="H4870">
        <v>5</v>
      </c>
    </row>
    <row r="4871" spans="1:8">
      <c r="A4871" t="s">
        <v>12571</v>
      </c>
      <c r="B4871" t="s">
        <v>12032</v>
      </c>
      <c r="C4871" s="34" t="s">
        <v>12572</v>
      </c>
      <c r="F4871" t="s">
        <v>12572</v>
      </c>
      <c r="G4871" t="s">
        <v>6932</v>
      </c>
      <c r="H4871">
        <v>5</v>
      </c>
    </row>
    <row r="4872" spans="1:8">
      <c r="A4872" t="s">
        <v>12573</v>
      </c>
      <c r="B4872" t="s">
        <v>12032</v>
      </c>
      <c r="C4872" s="34" t="s">
        <v>12574</v>
      </c>
      <c r="F4872" t="s">
        <v>12574</v>
      </c>
      <c r="G4872" t="s">
        <v>6932</v>
      </c>
      <c r="H4872">
        <v>5</v>
      </c>
    </row>
    <row r="4873" spans="1:8">
      <c r="A4873" t="s">
        <v>12554</v>
      </c>
      <c r="B4873" t="s">
        <v>12032</v>
      </c>
      <c r="C4873" s="34" t="s">
        <v>12555</v>
      </c>
      <c r="F4873" t="s">
        <v>12555</v>
      </c>
      <c r="G4873" t="s">
        <v>6932</v>
      </c>
      <c r="H4873">
        <v>5</v>
      </c>
    </row>
    <row r="4874" spans="1:8">
      <c r="A4874" t="s">
        <v>12575</v>
      </c>
      <c r="B4874" t="s">
        <v>12032</v>
      </c>
      <c r="C4874" s="34" t="s">
        <v>12576</v>
      </c>
      <c r="F4874" t="s">
        <v>12576</v>
      </c>
      <c r="G4874" t="s">
        <v>6932</v>
      </c>
      <c r="H4874">
        <v>5</v>
      </c>
    </row>
    <row r="4875" spans="1:8">
      <c r="A4875" t="s">
        <v>12561</v>
      </c>
      <c r="B4875" t="s">
        <v>12032</v>
      </c>
      <c r="C4875" s="34" t="s">
        <v>12562</v>
      </c>
      <c r="F4875" t="s">
        <v>12562</v>
      </c>
      <c r="G4875" t="s">
        <v>6932</v>
      </c>
      <c r="H4875">
        <v>5</v>
      </c>
    </row>
    <row r="4876" spans="1:8">
      <c r="A4876" t="s">
        <v>12577</v>
      </c>
      <c r="B4876" t="s">
        <v>12032</v>
      </c>
      <c r="C4876" s="34" t="s">
        <v>12578</v>
      </c>
      <c r="F4876" t="s">
        <v>12578</v>
      </c>
      <c r="G4876" t="s">
        <v>6932</v>
      </c>
      <c r="H4876">
        <v>5</v>
      </c>
    </row>
    <row r="4877" spans="1:8">
      <c r="A4877" t="s">
        <v>12579</v>
      </c>
      <c r="B4877" t="s">
        <v>12032</v>
      </c>
      <c r="C4877" s="34" t="s">
        <v>12580</v>
      </c>
      <c r="F4877" t="s">
        <v>12580</v>
      </c>
      <c r="G4877" t="s">
        <v>6932</v>
      </c>
      <c r="H4877">
        <v>5</v>
      </c>
    </row>
    <row r="4878" spans="1:8">
      <c r="A4878" t="s">
        <v>12561</v>
      </c>
      <c r="B4878" t="s">
        <v>12032</v>
      </c>
      <c r="C4878" s="34" t="s">
        <v>12562</v>
      </c>
      <c r="F4878" t="s">
        <v>12562</v>
      </c>
      <c r="G4878" t="s">
        <v>6932</v>
      </c>
      <c r="H4878">
        <v>5</v>
      </c>
    </row>
    <row r="4879" spans="1:8">
      <c r="A4879" t="s">
        <v>12581</v>
      </c>
      <c r="B4879" t="s">
        <v>12032</v>
      </c>
      <c r="C4879" s="34" t="s">
        <v>778</v>
      </c>
      <c r="F4879" t="s">
        <v>778</v>
      </c>
      <c r="G4879" t="s">
        <v>6932</v>
      </c>
      <c r="H4879">
        <v>5</v>
      </c>
    </row>
    <row r="4880" spans="1:8">
      <c r="A4880" t="s">
        <v>12560</v>
      </c>
      <c r="B4880" t="s">
        <v>12032</v>
      </c>
      <c r="C4880" s="34" t="s">
        <v>7329</v>
      </c>
      <c r="F4880" t="s">
        <v>7329</v>
      </c>
      <c r="G4880" t="s">
        <v>6932</v>
      </c>
      <c r="H4880">
        <v>5</v>
      </c>
    </row>
    <row r="4881" spans="1:13">
      <c r="A4881" t="s">
        <v>12558</v>
      </c>
      <c r="B4881" t="s">
        <v>12032</v>
      </c>
      <c r="C4881" s="34" t="s">
        <v>12559</v>
      </c>
      <c r="F4881" t="s">
        <v>12559</v>
      </c>
      <c r="G4881" t="s">
        <v>6932</v>
      </c>
      <c r="H4881">
        <v>5</v>
      </c>
    </row>
    <row r="4882" spans="1:13">
      <c r="A4882" t="s">
        <v>12582</v>
      </c>
      <c r="B4882" t="s">
        <v>12032</v>
      </c>
      <c r="C4882" s="34" t="s">
        <v>12583</v>
      </c>
      <c r="F4882" t="s">
        <v>12583</v>
      </c>
      <c r="G4882" t="s">
        <v>6932</v>
      </c>
      <c r="H4882">
        <v>5</v>
      </c>
    </row>
    <row r="4883" spans="1:13">
      <c r="A4883" t="s">
        <v>12554</v>
      </c>
      <c r="B4883" t="s">
        <v>12032</v>
      </c>
      <c r="C4883" s="34" t="s">
        <v>12555</v>
      </c>
      <c r="F4883" t="s">
        <v>12555</v>
      </c>
      <c r="G4883" t="s">
        <v>6932</v>
      </c>
      <c r="H4883">
        <v>5</v>
      </c>
    </row>
    <row r="4884" spans="1:13">
      <c r="A4884" t="s">
        <v>12584</v>
      </c>
      <c r="B4884" t="s">
        <v>12032</v>
      </c>
      <c r="C4884" s="34" t="s">
        <v>12585</v>
      </c>
      <c r="F4884" t="s">
        <v>12585</v>
      </c>
      <c r="G4884" t="s">
        <v>6932</v>
      </c>
      <c r="H4884">
        <v>5</v>
      </c>
    </row>
    <row r="4885" spans="1:13">
      <c r="A4885" t="s">
        <v>11541</v>
      </c>
      <c r="B4885" t="s">
        <v>10919</v>
      </c>
      <c r="C4885" s="34" t="s">
        <v>6545</v>
      </c>
      <c r="F4885" t="s">
        <v>776</v>
      </c>
      <c r="G4885" t="s">
        <v>6932</v>
      </c>
      <c r="H4885">
        <v>5</v>
      </c>
    </row>
    <row r="4886" spans="1:13">
      <c r="A4886" t="s">
        <v>8557</v>
      </c>
      <c r="B4886" t="s">
        <v>8558</v>
      </c>
      <c r="C4886" s="34" t="s">
        <v>1438</v>
      </c>
      <c r="F4886" t="s">
        <v>1438</v>
      </c>
      <c r="G4886" t="s">
        <v>801</v>
      </c>
      <c r="H4886">
        <v>5</v>
      </c>
      <c r="I4886">
        <f>VLOOKUP(B4886,BRAND!B:D,3,FALSE)</f>
        <v>5.5</v>
      </c>
      <c r="J4886">
        <v>4</v>
      </c>
      <c r="M4886">
        <v>1</v>
      </c>
    </row>
    <row r="4887" spans="1:13">
      <c r="A4887" t="s">
        <v>2314</v>
      </c>
      <c r="B4887" t="s">
        <v>554</v>
      </c>
      <c r="C4887" s="34" t="s">
        <v>535</v>
      </c>
      <c r="F4887" t="s">
        <v>535</v>
      </c>
      <c r="H4887">
        <v>5</v>
      </c>
      <c r="I4887">
        <f>VLOOKUP(B4887,BRAND!B:D,3,FALSE)</f>
        <v>3</v>
      </c>
      <c r="J4887">
        <v>6</v>
      </c>
      <c r="K4887" t="s">
        <v>821</v>
      </c>
      <c r="L4887">
        <v>0</v>
      </c>
      <c r="M4887">
        <v>0</v>
      </c>
    </row>
    <row r="4888" spans="1:13">
      <c r="A4888" t="s">
        <v>2346</v>
      </c>
      <c r="B4888" t="s">
        <v>554</v>
      </c>
      <c r="C4888" s="34" t="s">
        <v>561</v>
      </c>
      <c r="F4888" t="s">
        <v>561</v>
      </c>
      <c r="H4888">
        <v>5</v>
      </c>
      <c r="I4888">
        <f>VLOOKUP(B4888,BRAND!B:D,3,FALSE)</f>
        <v>3</v>
      </c>
      <c r="J4888">
        <v>3</v>
      </c>
      <c r="K4888" t="s">
        <v>821</v>
      </c>
      <c r="L4888">
        <v>0</v>
      </c>
      <c r="M4888">
        <v>0</v>
      </c>
    </row>
    <row r="4889" spans="1:13">
      <c r="A4889" t="s">
        <v>9730</v>
      </c>
      <c r="B4889" t="s">
        <v>554</v>
      </c>
      <c r="C4889" s="34" t="s">
        <v>536</v>
      </c>
      <c r="G4889" t="s">
        <v>6932</v>
      </c>
      <c r="H4889">
        <v>5</v>
      </c>
      <c r="I4889">
        <f>VLOOKUP(B4889,BRAND!B:D,3,FALSE)</f>
        <v>3</v>
      </c>
      <c r="J4889">
        <v>0</v>
      </c>
      <c r="M4889">
        <v>1</v>
      </c>
    </row>
    <row r="4890" spans="1:13">
      <c r="A4890" t="s">
        <v>8559</v>
      </c>
      <c r="B4890" t="s">
        <v>8560</v>
      </c>
      <c r="C4890" s="34" t="s">
        <v>1438</v>
      </c>
      <c r="F4890" t="s">
        <v>1438</v>
      </c>
      <c r="G4890" t="s">
        <v>6932</v>
      </c>
      <c r="H4890">
        <v>5</v>
      </c>
      <c r="I4890">
        <f>VLOOKUP(B4890,BRAND!B:D,3,FALSE)</f>
        <v>5.5</v>
      </c>
      <c r="J4890">
        <v>4</v>
      </c>
      <c r="M4890">
        <v>1</v>
      </c>
    </row>
    <row r="4891" spans="1:13">
      <c r="A4891" t="s">
        <v>8563</v>
      </c>
      <c r="B4891" t="s">
        <v>330</v>
      </c>
      <c r="C4891" s="34" t="s">
        <v>8564</v>
      </c>
      <c r="F4891" t="s">
        <v>8564</v>
      </c>
      <c r="G4891" t="s">
        <v>6932</v>
      </c>
      <c r="H4891">
        <v>5</v>
      </c>
      <c r="I4891">
        <f>VLOOKUP(B4891,BRAND!B:D,3,FALSE)</f>
        <v>3</v>
      </c>
      <c r="J4891">
        <v>7</v>
      </c>
      <c r="M4891">
        <v>1</v>
      </c>
    </row>
    <row r="4892" spans="1:13">
      <c r="A4892" t="s">
        <v>8565</v>
      </c>
      <c r="B4892" t="s">
        <v>330</v>
      </c>
      <c r="C4892" s="34" t="s">
        <v>772</v>
      </c>
      <c r="F4892" t="s">
        <v>772</v>
      </c>
      <c r="G4892" t="s">
        <v>6932</v>
      </c>
      <c r="H4892">
        <v>5</v>
      </c>
      <c r="I4892">
        <f>VLOOKUP(B4892,BRAND!B:D,3,FALSE)</f>
        <v>3</v>
      </c>
      <c r="J4892">
        <v>6</v>
      </c>
      <c r="M4892">
        <v>1</v>
      </c>
    </row>
    <row r="4893" spans="1:13">
      <c r="A4893" t="s">
        <v>4038</v>
      </c>
      <c r="B4893" t="s">
        <v>330</v>
      </c>
      <c r="C4893" s="34" t="s">
        <v>534</v>
      </c>
      <c r="F4893" t="s">
        <v>534</v>
      </c>
      <c r="H4893">
        <v>5</v>
      </c>
      <c r="I4893">
        <f>VLOOKUP(B4893,BRAND!B:D,3,FALSE)</f>
        <v>3</v>
      </c>
      <c r="J4893">
        <v>6</v>
      </c>
      <c r="K4893" t="s">
        <v>821</v>
      </c>
      <c r="M4893">
        <v>1</v>
      </c>
    </row>
    <row r="4894" spans="1:13">
      <c r="A4894" t="s">
        <v>3144</v>
      </c>
      <c r="B4894" t="s">
        <v>330</v>
      </c>
      <c r="C4894" s="34" t="s">
        <v>800</v>
      </c>
      <c r="F4894" t="s">
        <v>800</v>
      </c>
      <c r="H4894">
        <v>5</v>
      </c>
      <c r="I4894">
        <f>VLOOKUP(B4894,BRAND!B:D,3,FALSE)</f>
        <v>3</v>
      </c>
      <c r="J4894">
        <v>6</v>
      </c>
      <c r="K4894" t="s">
        <v>821</v>
      </c>
      <c r="M4894">
        <v>1</v>
      </c>
    </row>
    <row r="4895" spans="1:13">
      <c r="A4895" t="s">
        <v>8567</v>
      </c>
      <c r="B4895" t="s">
        <v>330</v>
      </c>
      <c r="C4895" s="34" t="s">
        <v>751</v>
      </c>
      <c r="F4895" t="s">
        <v>751</v>
      </c>
      <c r="G4895" t="s">
        <v>6932</v>
      </c>
      <c r="H4895">
        <v>5</v>
      </c>
      <c r="I4895">
        <f>VLOOKUP(B4895,BRAND!B:D,3,FALSE)</f>
        <v>3</v>
      </c>
      <c r="J4895">
        <v>5</v>
      </c>
      <c r="M4895">
        <v>1</v>
      </c>
    </row>
    <row r="4896" spans="1:13">
      <c r="A4896" t="s">
        <v>8561</v>
      </c>
      <c r="B4896" t="s">
        <v>330</v>
      </c>
      <c r="C4896" s="34" t="s">
        <v>781</v>
      </c>
      <c r="F4896" t="s">
        <v>781</v>
      </c>
      <c r="G4896" t="s">
        <v>6932</v>
      </c>
      <c r="H4896">
        <v>5</v>
      </c>
      <c r="I4896">
        <f>VLOOKUP(B4896,BRAND!B:D,3,FALSE)</f>
        <v>3</v>
      </c>
      <c r="J4896">
        <v>4</v>
      </c>
      <c r="M4896">
        <v>1</v>
      </c>
    </row>
    <row r="4897" spans="1:13">
      <c r="A4897" t="s">
        <v>8562</v>
      </c>
      <c r="B4897" t="s">
        <v>330</v>
      </c>
      <c r="C4897" s="34" t="s">
        <v>765</v>
      </c>
      <c r="F4897" t="s">
        <v>765</v>
      </c>
      <c r="G4897" t="s">
        <v>6932</v>
      </c>
      <c r="H4897">
        <v>5</v>
      </c>
      <c r="I4897">
        <f>VLOOKUP(B4897,BRAND!B:D,3,FALSE)</f>
        <v>3</v>
      </c>
      <c r="J4897">
        <v>4</v>
      </c>
      <c r="M4897">
        <v>1</v>
      </c>
    </row>
    <row r="4898" spans="1:13">
      <c r="A4898" t="s">
        <v>8568</v>
      </c>
      <c r="B4898" t="s">
        <v>330</v>
      </c>
      <c r="C4898" s="34" t="s">
        <v>903</v>
      </c>
      <c r="F4898" t="s">
        <v>903</v>
      </c>
      <c r="G4898" t="s">
        <v>6932</v>
      </c>
      <c r="H4898">
        <v>5</v>
      </c>
      <c r="I4898">
        <f>VLOOKUP(B4898,BRAND!B:D,3,FALSE)</f>
        <v>3</v>
      </c>
      <c r="J4898">
        <v>4</v>
      </c>
      <c r="M4898">
        <v>1</v>
      </c>
    </row>
    <row r="4899" spans="1:13">
      <c r="A4899" t="s">
        <v>8566</v>
      </c>
      <c r="B4899" t="s">
        <v>330</v>
      </c>
      <c r="C4899" s="34" t="s">
        <v>775</v>
      </c>
      <c r="F4899" t="s">
        <v>775</v>
      </c>
      <c r="G4899" t="s">
        <v>6932</v>
      </c>
      <c r="H4899">
        <v>5</v>
      </c>
      <c r="I4899">
        <f>VLOOKUP(B4899,BRAND!B:D,3,FALSE)</f>
        <v>3</v>
      </c>
      <c r="J4899">
        <v>3</v>
      </c>
      <c r="M4899">
        <v>1</v>
      </c>
    </row>
    <row r="4900" spans="1:13">
      <c r="A4900" t="s">
        <v>2381</v>
      </c>
      <c r="B4900" t="s">
        <v>330</v>
      </c>
      <c r="C4900" s="34" t="s">
        <v>1438</v>
      </c>
      <c r="F4900" t="s">
        <v>1438</v>
      </c>
      <c r="H4900">
        <v>15</v>
      </c>
      <c r="I4900">
        <f>VLOOKUP(B4900,BRAND!B:D,3,FALSE)</f>
        <v>3</v>
      </c>
      <c r="J4900">
        <v>4</v>
      </c>
      <c r="K4900" t="s">
        <v>821</v>
      </c>
      <c r="L4900">
        <v>0</v>
      </c>
      <c r="M4900">
        <v>0</v>
      </c>
    </row>
    <row r="4901" spans="1:13">
      <c r="A4901" t="s">
        <v>11489</v>
      </c>
      <c r="B4901" t="s">
        <v>10911</v>
      </c>
      <c r="C4901" s="34" t="s">
        <v>1438</v>
      </c>
      <c r="F4901" t="s">
        <v>1438</v>
      </c>
      <c r="G4901" t="s">
        <v>6932</v>
      </c>
      <c r="H4901">
        <v>5</v>
      </c>
    </row>
    <row r="4902" spans="1:13">
      <c r="A4902" t="s">
        <v>2276</v>
      </c>
      <c r="B4902" t="s">
        <v>1054</v>
      </c>
      <c r="C4902" s="34" t="s">
        <v>746</v>
      </c>
      <c r="F4902" t="s">
        <v>746</v>
      </c>
      <c r="H4902">
        <v>5</v>
      </c>
      <c r="I4902">
        <f>VLOOKUP(B4902,BRAND!B:D,3,FALSE)</f>
        <v>3</v>
      </c>
      <c r="J4902">
        <v>6</v>
      </c>
      <c r="K4902" t="s">
        <v>821</v>
      </c>
      <c r="L4902">
        <v>0</v>
      </c>
      <c r="M4902">
        <v>0</v>
      </c>
    </row>
    <row r="4903" spans="1:13">
      <c r="A4903" t="s">
        <v>8569</v>
      </c>
      <c r="B4903" t="s">
        <v>8570</v>
      </c>
      <c r="C4903" s="34" t="s">
        <v>1438</v>
      </c>
      <c r="F4903" t="s">
        <v>1438</v>
      </c>
      <c r="G4903" t="s">
        <v>6932</v>
      </c>
      <c r="H4903">
        <v>5</v>
      </c>
      <c r="I4903">
        <f>VLOOKUP(B4903,BRAND!B:D,3,FALSE)</f>
        <v>5.5</v>
      </c>
      <c r="J4903">
        <v>4</v>
      </c>
      <c r="M4903">
        <v>1</v>
      </c>
    </row>
    <row r="4904" spans="1:13">
      <c r="A4904" t="s">
        <v>7243</v>
      </c>
      <c r="B4904" t="s">
        <v>107</v>
      </c>
      <c r="C4904" s="34" t="s">
        <v>1438</v>
      </c>
      <c r="F4904" t="s">
        <v>1438</v>
      </c>
      <c r="H4904">
        <v>5</v>
      </c>
      <c r="I4904">
        <f>VLOOKUP(B4904,BRAND!B:D,3,FALSE)</f>
        <v>5.5</v>
      </c>
      <c r="M4904">
        <v>1</v>
      </c>
    </row>
    <row r="4905" spans="1:13">
      <c r="A4905" t="s">
        <v>5358</v>
      </c>
      <c r="B4905" t="s">
        <v>108</v>
      </c>
      <c r="C4905" s="34" t="s">
        <v>5405</v>
      </c>
      <c r="F4905" t="s">
        <v>1438</v>
      </c>
      <c r="H4905">
        <v>5</v>
      </c>
      <c r="I4905">
        <f>VLOOKUP(B4905,BRAND!B:D,3,FALSE)</f>
        <v>9</v>
      </c>
      <c r="J4905">
        <v>4</v>
      </c>
      <c r="K4905" t="s">
        <v>821</v>
      </c>
      <c r="M4905">
        <v>1</v>
      </c>
    </row>
    <row r="4906" spans="1:13">
      <c r="A4906" t="s">
        <v>3171</v>
      </c>
      <c r="B4906" t="s">
        <v>109</v>
      </c>
      <c r="C4906" s="34" t="s">
        <v>746</v>
      </c>
      <c r="F4906" t="s">
        <v>746</v>
      </c>
      <c r="H4906">
        <v>5</v>
      </c>
      <c r="I4906">
        <f>VLOOKUP(B4906,BRAND!B:D,3,FALSE)</f>
        <v>3</v>
      </c>
      <c r="J4906">
        <v>6</v>
      </c>
      <c r="K4906" t="s">
        <v>821</v>
      </c>
      <c r="M4906">
        <v>1</v>
      </c>
    </row>
    <row r="4907" spans="1:13">
      <c r="A4907" t="s">
        <v>2234</v>
      </c>
      <c r="B4907" t="s">
        <v>109</v>
      </c>
      <c r="C4907" s="34" t="s">
        <v>1438</v>
      </c>
      <c r="F4907" t="s">
        <v>1438</v>
      </c>
      <c r="H4907">
        <v>15</v>
      </c>
      <c r="I4907">
        <f>VLOOKUP(B4907,BRAND!B:D,3,FALSE)</f>
        <v>3</v>
      </c>
      <c r="J4907">
        <v>4</v>
      </c>
      <c r="K4907" t="s">
        <v>821</v>
      </c>
      <c r="L4907">
        <v>0</v>
      </c>
      <c r="M4907">
        <v>0</v>
      </c>
    </row>
    <row r="4908" spans="1:13">
      <c r="A4908" t="s">
        <v>3478</v>
      </c>
      <c r="B4908" t="s">
        <v>555</v>
      </c>
      <c r="C4908" s="34" t="s">
        <v>772</v>
      </c>
      <c r="F4908" t="s">
        <v>772</v>
      </c>
      <c r="H4908">
        <v>5</v>
      </c>
      <c r="I4908">
        <f>VLOOKUP(B4908,BRAND!B:D,3,FALSE)</f>
        <v>3</v>
      </c>
      <c r="J4908">
        <v>6</v>
      </c>
      <c r="K4908" t="s">
        <v>821</v>
      </c>
      <c r="L4908">
        <v>0</v>
      </c>
      <c r="M4908">
        <v>0</v>
      </c>
    </row>
    <row r="4909" spans="1:13">
      <c r="A4909" t="s">
        <v>2237</v>
      </c>
      <c r="B4909" t="s">
        <v>555</v>
      </c>
      <c r="C4909" s="34" t="s">
        <v>842</v>
      </c>
      <c r="F4909" t="s">
        <v>842</v>
      </c>
      <c r="H4909">
        <v>5</v>
      </c>
      <c r="I4909">
        <f>VLOOKUP(B4909,BRAND!B:D,3,FALSE)</f>
        <v>3</v>
      </c>
      <c r="J4909">
        <v>5</v>
      </c>
      <c r="K4909" t="s">
        <v>821</v>
      </c>
      <c r="L4909">
        <v>0</v>
      </c>
      <c r="M4909">
        <v>0</v>
      </c>
    </row>
    <row r="4910" spans="1:13">
      <c r="A4910" t="s">
        <v>3479</v>
      </c>
      <c r="B4910" t="s">
        <v>555</v>
      </c>
      <c r="C4910" s="34" t="s">
        <v>776</v>
      </c>
      <c r="F4910" t="s">
        <v>776</v>
      </c>
      <c r="H4910">
        <v>5</v>
      </c>
      <c r="I4910">
        <f>VLOOKUP(B4910,BRAND!B:D,3,FALSE)</f>
        <v>3</v>
      </c>
      <c r="J4910">
        <v>5</v>
      </c>
      <c r="K4910" t="s">
        <v>821</v>
      </c>
      <c r="L4910">
        <v>0</v>
      </c>
      <c r="M4910">
        <v>0</v>
      </c>
    </row>
    <row r="4911" spans="1:13">
      <c r="A4911" t="s">
        <v>3477</v>
      </c>
      <c r="B4911" t="s">
        <v>555</v>
      </c>
      <c r="C4911" s="34" t="s">
        <v>536</v>
      </c>
      <c r="F4911" t="s">
        <v>536</v>
      </c>
      <c r="H4911">
        <v>5</v>
      </c>
      <c r="I4911">
        <f>VLOOKUP(B4911,BRAND!B:D,3,FALSE)</f>
        <v>3</v>
      </c>
      <c r="J4911">
        <v>5</v>
      </c>
      <c r="K4911" t="s">
        <v>821</v>
      </c>
      <c r="M4911">
        <v>1</v>
      </c>
    </row>
    <row r="4912" spans="1:13">
      <c r="A4912" t="s">
        <v>3490</v>
      </c>
      <c r="B4912" t="s">
        <v>555</v>
      </c>
      <c r="C4912" s="34" t="s">
        <v>897</v>
      </c>
      <c r="F4912" t="s">
        <v>897</v>
      </c>
      <c r="H4912">
        <v>5</v>
      </c>
      <c r="I4912">
        <f>VLOOKUP(B4912,BRAND!B:D,3,FALSE)</f>
        <v>3</v>
      </c>
      <c r="J4912">
        <v>4</v>
      </c>
      <c r="K4912" t="s">
        <v>821</v>
      </c>
      <c r="L4912">
        <v>0</v>
      </c>
      <c r="M4912">
        <v>0</v>
      </c>
    </row>
    <row r="4913" spans="1:13">
      <c r="A4913" t="s">
        <v>2638</v>
      </c>
      <c r="B4913" t="s">
        <v>555</v>
      </c>
      <c r="C4913" s="34" t="s">
        <v>1438</v>
      </c>
      <c r="F4913" t="s">
        <v>1438</v>
      </c>
      <c r="H4913">
        <v>15</v>
      </c>
      <c r="I4913">
        <f>VLOOKUP(B4913,BRAND!B:D,3,FALSE)</f>
        <v>3</v>
      </c>
      <c r="J4913">
        <v>4</v>
      </c>
      <c r="K4913" t="s">
        <v>821</v>
      </c>
      <c r="L4913">
        <v>0</v>
      </c>
      <c r="M4913">
        <v>0</v>
      </c>
    </row>
    <row r="4914" spans="1:13">
      <c r="A4914" t="s">
        <v>2925</v>
      </c>
      <c r="B4914" t="s">
        <v>110</v>
      </c>
      <c r="C4914" s="34" t="s">
        <v>777</v>
      </c>
      <c r="F4914" t="s">
        <v>777</v>
      </c>
      <c r="H4914">
        <v>5</v>
      </c>
      <c r="I4914">
        <f>VLOOKUP(B4914,BRAND!B:D,3,FALSE)</f>
        <v>3</v>
      </c>
      <c r="J4914">
        <v>7</v>
      </c>
      <c r="K4914" t="s">
        <v>821</v>
      </c>
      <c r="M4914">
        <v>1</v>
      </c>
    </row>
    <row r="4915" spans="1:13">
      <c r="A4915" t="s">
        <v>3298</v>
      </c>
      <c r="B4915" t="s">
        <v>110</v>
      </c>
      <c r="C4915" s="34" t="s">
        <v>742</v>
      </c>
      <c r="F4915" t="s">
        <v>742</v>
      </c>
      <c r="H4915">
        <v>5</v>
      </c>
      <c r="I4915">
        <f>VLOOKUP(B4915,BRAND!B:D,3,FALSE)</f>
        <v>3</v>
      </c>
      <c r="J4915">
        <v>6</v>
      </c>
      <c r="K4915" t="s">
        <v>821</v>
      </c>
      <c r="L4915">
        <v>0</v>
      </c>
      <c r="M4915">
        <v>0</v>
      </c>
    </row>
    <row r="4916" spans="1:13">
      <c r="A4916" t="s">
        <v>4989</v>
      </c>
      <c r="B4916" t="s">
        <v>110</v>
      </c>
      <c r="C4916" s="34" t="s">
        <v>742</v>
      </c>
      <c r="F4916" t="s">
        <v>742</v>
      </c>
      <c r="G4916" t="s">
        <v>801</v>
      </c>
      <c r="H4916">
        <v>6</v>
      </c>
      <c r="I4916">
        <f>VLOOKUP(B4916,BRAND!B:D,3,FALSE)</f>
        <v>3</v>
      </c>
      <c r="J4916">
        <v>6</v>
      </c>
      <c r="K4916" t="s">
        <v>821</v>
      </c>
      <c r="L4916">
        <v>0</v>
      </c>
      <c r="M4916">
        <v>0</v>
      </c>
    </row>
    <row r="4917" spans="1:13">
      <c r="A4917" t="s">
        <v>4955</v>
      </c>
      <c r="B4917" t="s">
        <v>110</v>
      </c>
      <c r="C4917" s="34" t="s">
        <v>1438</v>
      </c>
      <c r="F4917" t="s">
        <v>1438</v>
      </c>
      <c r="G4917" t="s">
        <v>801</v>
      </c>
      <c r="H4917">
        <v>6</v>
      </c>
      <c r="I4917">
        <f>VLOOKUP(B4917,BRAND!B:D,3,FALSE)</f>
        <v>3</v>
      </c>
      <c r="J4917">
        <v>4</v>
      </c>
      <c r="K4917" t="s">
        <v>821</v>
      </c>
      <c r="L4917">
        <v>0</v>
      </c>
      <c r="M4917">
        <v>0</v>
      </c>
    </row>
    <row r="4918" spans="1:13">
      <c r="A4918" t="s">
        <v>2854</v>
      </c>
      <c r="B4918" t="s">
        <v>110</v>
      </c>
      <c r="C4918" s="34" t="s">
        <v>1438</v>
      </c>
      <c r="F4918" t="s">
        <v>1438</v>
      </c>
      <c r="H4918">
        <v>15</v>
      </c>
      <c r="I4918">
        <f>VLOOKUP(B4918,BRAND!B:D,3,FALSE)</f>
        <v>3</v>
      </c>
      <c r="J4918">
        <v>4</v>
      </c>
      <c r="K4918" t="s">
        <v>821</v>
      </c>
      <c r="L4918">
        <v>0</v>
      </c>
      <c r="M4918">
        <v>0</v>
      </c>
    </row>
    <row r="4919" spans="1:13">
      <c r="A4919" t="s">
        <v>3278</v>
      </c>
      <c r="B4919" t="s">
        <v>488</v>
      </c>
      <c r="C4919" s="34" t="s">
        <v>777</v>
      </c>
      <c r="F4919" t="s">
        <v>777</v>
      </c>
      <c r="H4919">
        <v>5</v>
      </c>
      <c r="I4919">
        <f>VLOOKUP(B4919,BRAND!B:D,3,FALSE)</f>
        <v>3</v>
      </c>
      <c r="J4919">
        <v>7</v>
      </c>
      <c r="K4919" t="s">
        <v>821</v>
      </c>
      <c r="L4919">
        <v>0</v>
      </c>
      <c r="M4919">
        <v>0</v>
      </c>
    </row>
    <row r="4920" spans="1:13">
      <c r="A4920" t="s">
        <v>4879</v>
      </c>
      <c r="B4920" t="s">
        <v>488</v>
      </c>
      <c r="C4920" s="34" t="s">
        <v>897</v>
      </c>
      <c r="F4920" t="s">
        <v>897</v>
      </c>
      <c r="H4920">
        <v>5</v>
      </c>
      <c r="I4920">
        <f>VLOOKUP(B4920,BRAND!B:D,3,FALSE)</f>
        <v>3</v>
      </c>
      <c r="J4920">
        <v>4</v>
      </c>
      <c r="K4920" t="s">
        <v>821</v>
      </c>
      <c r="L4920">
        <v>0</v>
      </c>
      <c r="M4920">
        <v>0</v>
      </c>
    </row>
    <row r="4921" spans="1:13">
      <c r="A4921" t="s">
        <v>2137</v>
      </c>
      <c r="B4921" t="s">
        <v>488</v>
      </c>
      <c r="C4921" s="34" t="s">
        <v>1438</v>
      </c>
      <c r="F4921" t="s">
        <v>1438</v>
      </c>
      <c r="H4921">
        <v>15</v>
      </c>
      <c r="I4921">
        <f>VLOOKUP(B4921,BRAND!B:D,3,FALSE)</f>
        <v>3</v>
      </c>
      <c r="J4921">
        <v>4</v>
      </c>
      <c r="K4921" t="s">
        <v>821</v>
      </c>
      <c r="M4921">
        <v>1</v>
      </c>
    </row>
    <row r="4922" spans="1:13">
      <c r="A4922" t="s">
        <v>5035</v>
      </c>
      <c r="B4922" t="s">
        <v>1929</v>
      </c>
      <c r="C4922" s="34" t="s">
        <v>1438</v>
      </c>
      <c r="F4922" t="s">
        <v>1438</v>
      </c>
      <c r="G4922" t="s">
        <v>801</v>
      </c>
      <c r="H4922">
        <v>6</v>
      </c>
      <c r="I4922">
        <f>VLOOKUP(B4922,BRAND!B:D,3,FALSE)</f>
        <v>5.5</v>
      </c>
      <c r="J4922">
        <v>4</v>
      </c>
      <c r="K4922" t="e">
        <v>#N/A</v>
      </c>
      <c r="L4922">
        <v>0</v>
      </c>
      <c r="M4922">
        <v>0</v>
      </c>
    </row>
    <row r="4923" spans="1:13">
      <c r="A4923" t="s">
        <v>4272</v>
      </c>
      <c r="B4923" t="s">
        <v>1929</v>
      </c>
      <c r="C4923" s="34" t="s">
        <v>1438</v>
      </c>
      <c r="F4923" t="s">
        <v>1438</v>
      </c>
      <c r="H4923">
        <v>15</v>
      </c>
      <c r="I4923">
        <f>VLOOKUP(B4923,BRAND!B:D,3,FALSE)</f>
        <v>5.5</v>
      </c>
      <c r="J4923">
        <v>4</v>
      </c>
      <c r="K4923" t="e">
        <v>#N/A</v>
      </c>
      <c r="L4923">
        <v>0</v>
      </c>
      <c r="M4923">
        <v>0</v>
      </c>
    </row>
    <row r="4924" spans="1:13">
      <c r="A4924" t="s">
        <v>14937</v>
      </c>
      <c r="B4924" t="s">
        <v>14938</v>
      </c>
      <c r="C4924" s="34" t="s">
        <v>776</v>
      </c>
      <c r="F4924" t="s">
        <v>776</v>
      </c>
      <c r="G4924" t="s">
        <v>6932</v>
      </c>
      <c r="H4924">
        <v>5</v>
      </c>
      <c r="I4924">
        <f>VLOOKUP(B4924,BRAND!B:D,3,FALSE)</f>
        <v>5</v>
      </c>
      <c r="J4924">
        <v>0</v>
      </c>
      <c r="K4924" t="s">
        <v>821</v>
      </c>
      <c r="L4924">
        <v>0</v>
      </c>
      <c r="M4924">
        <v>0</v>
      </c>
    </row>
    <row r="4925" spans="1:13">
      <c r="A4925" t="s">
        <v>14939</v>
      </c>
      <c r="B4925" t="s">
        <v>14938</v>
      </c>
      <c r="C4925" s="34" t="s">
        <v>881</v>
      </c>
      <c r="F4925" t="s">
        <v>881</v>
      </c>
      <c r="G4925" t="s">
        <v>6932</v>
      </c>
      <c r="H4925">
        <v>5</v>
      </c>
      <c r="I4925">
        <f>VLOOKUP(B4925,BRAND!B:D,3,FALSE)</f>
        <v>5</v>
      </c>
      <c r="J4925">
        <v>0</v>
      </c>
      <c r="K4925" t="s">
        <v>821</v>
      </c>
      <c r="L4925">
        <v>0</v>
      </c>
      <c r="M4925">
        <v>0</v>
      </c>
    </row>
    <row r="4926" spans="1:13">
      <c r="A4926" t="s">
        <v>14940</v>
      </c>
      <c r="B4926" t="s">
        <v>14938</v>
      </c>
      <c r="C4926" s="34" t="s">
        <v>1274</v>
      </c>
      <c r="F4926" t="s">
        <v>1274</v>
      </c>
      <c r="G4926" t="s">
        <v>6932</v>
      </c>
      <c r="H4926">
        <v>5</v>
      </c>
      <c r="I4926">
        <f>VLOOKUP(B4926,BRAND!B:D,3,FALSE)</f>
        <v>5</v>
      </c>
      <c r="J4926">
        <v>0</v>
      </c>
      <c r="K4926" t="s">
        <v>821</v>
      </c>
      <c r="L4926">
        <v>0</v>
      </c>
      <c r="M4926">
        <v>0</v>
      </c>
    </row>
    <row r="4927" spans="1:13">
      <c r="A4927" t="s">
        <v>14909</v>
      </c>
      <c r="B4927" t="s">
        <v>14910</v>
      </c>
      <c r="C4927" s="34" t="s">
        <v>14911</v>
      </c>
      <c r="F4927" t="s">
        <v>900</v>
      </c>
      <c r="G4927" t="s">
        <v>6932</v>
      </c>
      <c r="H4927">
        <v>5</v>
      </c>
      <c r="I4927">
        <f>VLOOKUP(B4927,BRAND!B:D,3,FALSE)</f>
        <v>5</v>
      </c>
      <c r="J4927">
        <v>0</v>
      </c>
      <c r="K4927" t="s">
        <v>821</v>
      </c>
      <c r="L4927">
        <v>0</v>
      </c>
      <c r="M4927">
        <v>0</v>
      </c>
    </row>
    <row r="4928" spans="1:13">
      <c r="A4928" t="s">
        <v>14912</v>
      </c>
      <c r="B4928" t="s">
        <v>14910</v>
      </c>
      <c r="C4928" s="34" t="s">
        <v>952</v>
      </c>
      <c r="F4928" t="s">
        <v>952</v>
      </c>
      <c r="G4928" t="s">
        <v>6932</v>
      </c>
      <c r="H4928">
        <v>5</v>
      </c>
      <c r="I4928">
        <f>VLOOKUP(B4928,BRAND!B:D,3,FALSE)</f>
        <v>5</v>
      </c>
      <c r="J4928">
        <v>0</v>
      </c>
      <c r="K4928" t="s">
        <v>821</v>
      </c>
      <c r="L4928">
        <v>0</v>
      </c>
      <c r="M4928">
        <v>0</v>
      </c>
    </row>
    <row r="4929" spans="1:13">
      <c r="A4929" t="s">
        <v>14913</v>
      </c>
      <c r="B4929" t="s">
        <v>14910</v>
      </c>
      <c r="C4929" s="34" t="s">
        <v>14914</v>
      </c>
      <c r="F4929" t="s">
        <v>14914</v>
      </c>
      <c r="G4929" t="s">
        <v>6932</v>
      </c>
      <c r="H4929">
        <v>5</v>
      </c>
      <c r="I4929">
        <f>VLOOKUP(B4929,BRAND!B:D,3,FALSE)</f>
        <v>5</v>
      </c>
      <c r="J4929">
        <v>0</v>
      </c>
      <c r="K4929" t="s">
        <v>821</v>
      </c>
      <c r="L4929">
        <v>0</v>
      </c>
      <c r="M4929">
        <v>0</v>
      </c>
    </row>
    <row r="4930" spans="1:13">
      <c r="A4930" t="s">
        <v>14915</v>
      </c>
      <c r="B4930" t="s">
        <v>14910</v>
      </c>
      <c r="C4930" s="34" t="s">
        <v>6650</v>
      </c>
      <c r="F4930" t="s">
        <v>6650</v>
      </c>
      <c r="G4930" t="s">
        <v>6932</v>
      </c>
      <c r="H4930">
        <v>5</v>
      </c>
      <c r="I4930">
        <f>VLOOKUP(B4930,BRAND!B:D,3,FALSE)</f>
        <v>5</v>
      </c>
      <c r="J4930">
        <v>0</v>
      </c>
      <c r="K4930" t="s">
        <v>821</v>
      </c>
      <c r="L4930">
        <v>0</v>
      </c>
      <c r="M4930">
        <v>0</v>
      </c>
    </row>
    <row r="4931" spans="1:13">
      <c r="A4931" t="s">
        <v>2634</v>
      </c>
      <c r="B4931" t="s">
        <v>269</v>
      </c>
      <c r="C4931" s="34" t="s">
        <v>5401</v>
      </c>
      <c r="F4931" t="s">
        <v>746</v>
      </c>
      <c r="H4931">
        <v>5</v>
      </c>
      <c r="I4931">
        <f>VLOOKUP(B4931,BRAND!B:D,3,FALSE)</f>
        <v>3</v>
      </c>
      <c r="J4931">
        <v>6</v>
      </c>
      <c r="K4931" t="s">
        <v>821</v>
      </c>
      <c r="M4931">
        <v>1</v>
      </c>
    </row>
    <row r="4932" spans="1:13">
      <c r="A4932" t="s">
        <v>8571</v>
      </c>
      <c r="B4932" t="s">
        <v>269</v>
      </c>
      <c r="C4932" s="34" t="s">
        <v>751</v>
      </c>
      <c r="F4932" t="s">
        <v>751</v>
      </c>
      <c r="G4932" t="s">
        <v>6932</v>
      </c>
      <c r="H4932">
        <v>5</v>
      </c>
      <c r="I4932">
        <f>VLOOKUP(B4932,BRAND!B:D,3,FALSE)</f>
        <v>3</v>
      </c>
      <c r="J4932">
        <v>5</v>
      </c>
      <c r="L4932">
        <v>0</v>
      </c>
      <c r="M4932">
        <v>0</v>
      </c>
    </row>
    <row r="4933" spans="1:13">
      <c r="A4933" t="s">
        <v>3491</v>
      </c>
      <c r="B4933" t="s">
        <v>269</v>
      </c>
      <c r="C4933" s="34" t="s">
        <v>751</v>
      </c>
      <c r="F4933" t="s">
        <v>751</v>
      </c>
      <c r="H4933">
        <v>5</v>
      </c>
      <c r="I4933">
        <f>VLOOKUP(B4933,BRAND!B:D,3,FALSE)</f>
        <v>3</v>
      </c>
      <c r="J4933">
        <v>5</v>
      </c>
      <c r="K4933" t="s">
        <v>821</v>
      </c>
      <c r="M4933">
        <v>1</v>
      </c>
    </row>
    <row r="4934" spans="1:13">
      <c r="A4934" t="s">
        <v>3412</v>
      </c>
      <c r="B4934" t="s">
        <v>269</v>
      </c>
      <c r="C4934" s="34" t="s">
        <v>5406</v>
      </c>
      <c r="F4934" t="s">
        <v>536</v>
      </c>
      <c r="H4934">
        <v>5</v>
      </c>
      <c r="I4934">
        <f>VLOOKUP(B4934,BRAND!B:D,3,FALSE)</f>
        <v>3</v>
      </c>
      <c r="J4934">
        <v>5</v>
      </c>
      <c r="K4934" t="s">
        <v>821</v>
      </c>
      <c r="M4934">
        <v>1</v>
      </c>
    </row>
    <row r="4935" spans="1:13">
      <c r="A4935" t="s">
        <v>8572</v>
      </c>
      <c r="B4935" t="s">
        <v>269</v>
      </c>
      <c r="C4935" s="34" t="s">
        <v>775</v>
      </c>
      <c r="F4935" t="s">
        <v>775</v>
      </c>
      <c r="G4935" t="s">
        <v>6932</v>
      </c>
      <c r="H4935">
        <v>5</v>
      </c>
      <c r="I4935">
        <f>VLOOKUP(B4935,BRAND!B:D,3,FALSE)</f>
        <v>3</v>
      </c>
      <c r="J4935">
        <v>3</v>
      </c>
      <c r="L4935">
        <v>0</v>
      </c>
      <c r="M4935">
        <v>0</v>
      </c>
    </row>
    <row r="4936" spans="1:13">
      <c r="A4936" t="s">
        <v>3904</v>
      </c>
      <c r="B4936" t="s">
        <v>111</v>
      </c>
      <c r="C4936" s="34" t="s">
        <v>842</v>
      </c>
      <c r="F4936" t="s">
        <v>842</v>
      </c>
      <c r="H4936">
        <v>5</v>
      </c>
      <c r="I4936">
        <f>VLOOKUP(B4936,BRAND!B:D,3,FALSE)</f>
        <v>3</v>
      </c>
      <c r="J4936">
        <v>5</v>
      </c>
      <c r="K4936" t="s">
        <v>821</v>
      </c>
      <c r="L4936">
        <v>0</v>
      </c>
      <c r="M4936">
        <v>0</v>
      </c>
    </row>
    <row r="4937" spans="1:13">
      <c r="A4937" t="s">
        <v>3377</v>
      </c>
      <c r="B4937" t="s">
        <v>111</v>
      </c>
      <c r="C4937" s="34" t="s">
        <v>5406</v>
      </c>
      <c r="F4937" t="s">
        <v>536</v>
      </c>
      <c r="H4937">
        <v>5</v>
      </c>
      <c r="I4937">
        <f>VLOOKUP(B4937,BRAND!B:D,3,FALSE)</f>
        <v>3</v>
      </c>
      <c r="J4937">
        <v>5</v>
      </c>
      <c r="K4937" t="s">
        <v>821</v>
      </c>
      <c r="M4937">
        <v>1</v>
      </c>
    </row>
    <row r="4938" spans="1:13">
      <c r="A4938" t="s">
        <v>7246</v>
      </c>
      <c r="B4938" t="s">
        <v>111</v>
      </c>
      <c r="C4938" s="34" t="s">
        <v>1438</v>
      </c>
      <c r="F4938" t="s">
        <v>1438</v>
      </c>
      <c r="G4938" t="s">
        <v>801</v>
      </c>
      <c r="H4938">
        <v>5</v>
      </c>
      <c r="I4938">
        <f>VLOOKUP(B4938,BRAND!B:D,3,FALSE)</f>
        <v>3</v>
      </c>
      <c r="L4938">
        <v>0</v>
      </c>
      <c r="M4938">
        <v>0</v>
      </c>
    </row>
    <row r="4939" spans="1:13">
      <c r="A4939" t="s">
        <v>5276</v>
      </c>
      <c r="B4939" t="s">
        <v>111</v>
      </c>
      <c r="C4939" s="34" t="s">
        <v>5402</v>
      </c>
      <c r="F4939" t="s">
        <v>1438</v>
      </c>
      <c r="G4939" t="s">
        <v>801</v>
      </c>
      <c r="H4939">
        <v>6</v>
      </c>
      <c r="I4939">
        <f>VLOOKUP(B4939,BRAND!B:D,3,FALSE)</f>
        <v>3</v>
      </c>
      <c r="J4939">
        <v>4</v>
      </c>
      <c r="K4939" t="s">
        <v>821</v>
      </c>
      <c r="M4939">
        <v>1</v>
      </c>
    </row>
    <row r="4940" spans="1:13">
      <c r="A4940" t="s">
        <v>3894</v>
      </c>
      <c r="B4940" t="s">
        <v>556</v>
      </c>
      <c r="C4940" s="34" t="s">
        <v>772</v>
      </c>
      <c r="F4940" t="s">
        <v>772</v>
      </c>
      <c r="H4940">
        <v>5</v>
      </c>
      <c r="I4940">
        <f>VLOOKUP(B4940,BRAND!B:D,3,FALSE)</f>
        <v>3</v>
      </c>
      <c r="J4940">
        <v>6</v>
      </c>
      <c r="K4940" t="s">
        <v>821</v>
      </c>
      <c r="L4940">
        <v>0</v>
      </c>
      <c r="M4940">
        <v>0</v>
      </c>
    </row>
    <row r="4941" spans="1:13">
      <c r="A4941" t="s">
        <v>2162</v>
      </c>
      <c r="B4941" t="s">
        <v>556</v>
      </c>
      <c r="C4941" s="34" t="s">
        <v>534</v>
      </c>
      <c r="F4941" t="s">
        <v>534</v>
      </c>
      <c r="H4941">
        <v>5</v>
      </c>
      <c r="I4941">
        <f>VLOOKUP(B4941,BRAND!B:D,3,FALSE)</f>
        <v>3</v>
      </c>
      <c r="J4941">
        <v>6</v>
      </c>
      <c r="K4941" t="s">
        <v>821</v>
      </c>
      <c r="L4941">
        <v>0</v>
      </c>
      <c r="M4941">
        <v>0</v>
      </c>
    </row>
    <row r="4942" spans="1:13">
      <c r="A4942" t="s">
        <v>3893</v>
      </c>
      <c r="B4942" t="s">
        <v>556</v>
      </c>
      <c r="C4942" s="34" t="s">
        <v>536</v>
      </c>
      <c r="F4942" t="s">
        <v>536</v>
      </c>
      <c r="H4942">
        <v>5</v>
      </c>
      <c r="I4942">
        <f>VLOOKUP(B4942,BRAND!B:D,3,FALSE)</f>
        <v>3</v>
      </c>
      <c r="J4942">
        <v>5</v>
      </c>
      <c r="K4942" t="s">
        <v>821</v>
      </c>
      <c r="M4942">
        <v>1</v>
      </c>
    </row>
    <row r="4943" spans="1:13">
      <c r="A4943" t="s">
        <v>2301</v>
      </c>
      <c r="B4943" t="s">
        <v>556</v>
      </c>
      <c r="C4943" s="34" t="s">
        <v>1438</v>
      </c>
      <c r="F4943" t="s">
        <v>1438</v>
      </c>
      <c r="H4943">
        <v>15</v>
      </c>
      <c r="I4943">
        <f>VLOOKUP(B4943,BRAND!B:D,3,FALSE)</f>
        <v>3</v>
      </c>
      <c r="J4943">
        <v>4</v>
      </c>
      <c r="K4943" t="s">
        <v>821</v>
      </c>
      <c r="L4943">
        <v>0</v>
      </c>
      <c r="M4943">
        <v>0</v>
      </c>
    </row>
    <row r="4944" spans="1:13">
      <c r="A4944" t="s">
        <v>4243</v>
      </c>
      <c r="B4944" t="s">
        <v>1290</v>
      </c>
      <c r="C4944" s="34" t="s">
        <v>1438</v>
      </c>
      <c r="F4944" t="s">
        <v>1438</v>
      </c>
      <c r="H4944">
        <v>15</v>
      </c>
      <c r="I4944">
        <f>VLOOKUP(B4944,BRAND!B:D,3,FALSE)</f>
        <v>5</v>
      </c>
      <c r="J4944">
        <v>4</v>
      </c>
      <c r="K4944" t="s">
        <v>821</v>
      </c>
      <c r="L4944">
        <v>0</v>
      </c>
      <c r="M4944">
        <v>0</v>
      </c>
    </row>
    <row r="4945" spans="1:13">
      <c r="A4945" t="s">
        <v>8573</v>
      </c>
      <c r="B4945" t="s">
        <v>8574</v>
      </c>
      <c r="C4945" s="34" t="s">
        <v>1438</v>
      </c>
      <c r="F4945" t="s">
        <v>1438</v>
      </c>
      <c r="G4945" t="s">
        <v>6932</v>
      </c>
      <c r="H4945">
        <v>5</v>
      </c>
      <c r="I4945">
        <f>VLOOKUP(B4945,BRAND!B:D,3,FALSE)</f>
        <v>5.5</v>
      </c>
      <c r="J4945">
        <v>4</v>
      </c>
      <c r="M4945">
        <v>1</v>
      </c>
    </row>
    <row r="4946" spans="1:13">
      <c r="A4946" t="s">
        <v>8771</v>
      </c>
      <c r="B4946" t="s">
        <v>8772</v>
      </c>
      <c r="C4946" s="34" t="s">
        <v>1438</v>
      </c>
      <c r="F4946" t="s">
        <v>1438</v>
      </c>
      <c r="G4946" t="s">
        <v>6932</v>
      </c>
      <c r="H4946">
        <v>5</v>
      </c>
      <c r="I4946">
        <f>VLOOKUP(B4946,BRAND!B:D,3,FALSE)</f>
        <v>5.5</v>
      </c>
      <c r="J4946">
        <v>4</v>
      </c>
      <c r="M4946">
        <v>1</v>
      </c>
    </row>
    <row r="4947" spans="1:13">
      <c r="A4947" t="s">
        <v>4302</v>
      </c>
      <c r="B4947" t="s">
        <v>1015</v>
      </c>
      <c r="C4947" s="34" t="s">
        <v>751</v>
      </c>
      <c r="F4947" t="s">
        <v>751</v>
      </c>
      <c r="H4947">
        <v>5</v>
      </c>
      <c r="I4947">
        <f>VLOOKUP(B4947,BRAND!B:D,3,FALSE)</f>
        <v>3</v>
      </c>
      <c r="J4947">
        <v>5</v>
      </c>
      <c r="K4947" t="s">
        <v>821</v>
      </c>
      <c r="M4947">
        <v>1</v>
      </c>
    </row>
    <row r="4948" spans="1:13">
      <c r="A4948" t="s">
        <v>2596</v>
      </c>
      <c r="B4948" t="s">
        <v>1015</v>
      </c>
      <c r="C4948" s="34" t="s">
        <v>1438</v>
      </c>
      <c r="F4948" t="s">
        <v>1438</v>
      </c>
      <c r="H4948">
        <v>15</v>
      </c>
      <c r="I4948">
        <f>VLOOKUP(B4948,BRAND!B:D,3,FALSE)</f>
        <v>3</v>
      </c>
      <c r="J4948">
        <v>4</v>
      </c>
      <c r="K4948" t="s">
        <v>821</v>
      </c>
      <c r="L4948">
        <v>0</v>
      </c>
      <c r="M4948">
        <v>0</v>
      </c>
    </row>
    <row r="4949" spans="1:13">
      <c r="A4949" t="s">
        <v>8575</v>
      </c>
      <c r="B4949" t="s">
        <v>8576</v>
      </c>
      <c r="C4949" s="34" t="s">
        <v>536</v>
      </c>
      <c r="F4949" t="s">
        <v>536</v>
      </c>
      <c r="G4949" t="s">
        <v>6932</v>
      </c>
      <c r="H4949">
        <v>5</v>
      </c>
      <c r="I4949">
        <f>VLOOKUP(B4949,BRAND!B:D,3,FALSE)</f>
        <v>5</v>
      </c>
      <c r="J4949">
        <v>5</v>
      </c>
      <c r="M4949">
        <v>1</v>
      </c>
    </row>
    <row r="4950" spans="1:13">
      <c r="A4950" t="s">
        <v>15022</v>
      </c>
      <c r="B4950" t="s">
        <v>8576</v>
      </c>
      <c r="C4950" s="34" t="s">
        <v>534</v>
      </c>
      <c r="D4950" t="s">
        <v>786</v>
      </c>
      <c r="F4950" t="s">
        <v>939</v>
      </c>
      <c r="G4950" t="s">
        <v>6932</v>
      </c>
      <c r="H4950">
        <v>5</v>
      </c>
      <c r="I4950">
        <f>VLOOKUP(B4950,BRAND!B:D,3,FALSE)</f>
        <v>5</v>
      </c>
      <c r="J4950">
        <v>0</v>
      </c>
      <c r="K4950" t="s">
        <v>821</v>
      </c>
      <c r="L4950">
        <v>0</v>
      </c>
      <c r="M4950">
        <v>0</v>
      </c>
    </row>
    <row r="4951" spans="1:13">
      <c r="A4951" t="s">
        <v>15023</v>
      </c>
      <c r="B4951" t="s">
        <v>8576</v>
      </c>
      <c r="C4951" s="34" t="s">
        <v>534</v>
      </c>
      <c r="F4951" t="s">
        <v>534</v>
      </c>
      <c r="G4951" t="s">
        <v>6932</v>
      </c>
      <c r="H4951">
        <v>5</v>
      </c>
      <c r="I4951">
        <f>VLOOKUP(B4951,BRAND!B:D,3,FALSE)</f>
        <v>5</v>
      </c>
      <c r="J4951">
        <v>0</v>
      </c>
      <c r="K4951" t="s">
        <v>821</v>
      </c>
      <c r="L4951">
        <v>0</v>
      </c>
      <c r="M4951">
        <v>0</v>
      </c>
    </row>
    <row r="4952" spans="1:13">
      <c r="A4952" t="s">
        <v>8581</v>
      </c>
      <c r="B4952" t="s">
        <v>8578</v>
      </c>
      <c r="C4952" s="34" t="s">
        <v>536</v>
      </c>
      <c r="F4952" t="s">
        <v>536</v>
      </c>
      <c r="G4952" t="s">
        <v>6932</v>
      </c>
      <c r="H4952">
        <v>5</v>
      </c>
      <c r="I4952">
        <f>VLOOKUP(B4952,BRAND!B:D,3,FALSE)</f>
        <v>5.5</v>
      </c>
      <c r="J4952">
        <v>5</v>
      </c>
      <c r="M4952">
        <v>1</v>
      </c>
    </row>
    <row r="4953" spans="1:13">
      <c r="A4953" t="s">
        <v>8786</v>
      </c>
      <c r="B4953" t="s">
        <v>8578</v>
      </c>
      <c r="C4953" s="34" t="s">
        <v>8787</v>
      </c>
      <c r="F4953" t="s">
        <v>8787</v>
      </c>
      <c r="G4953" t="s">
        <v>6932</v>
      </c>
      <c r="H4953">
        <v>5</v>
      </c>
      <c r="I4953">
        <f>VLOOKUP(B4953,BRAND!B:D,3,FALSE)</f>
        <v>5.5</v>
      </c>
      <c r="J4953">
        <v>5</v>
      </c>
      <c r="M4953">
        <v>1</v>
      </c>
    </row>
    <row r="4954" spans="1:13">
      <c r="A4954" t="s">
        <v>8577</v>
      </c>
      <c r="B4954" t="s">
        <v>8578</v>
      </c>
      <c r="C4954" s="34" t="s">
        <v>8579</v>
      </c>
      <c r="F4954" t="s">
        <v>8579</v>
      </c>
      <c r="G4954" t="s">
        <v>6932</v>
      </c>
      <c r="H4954">
        <v>5</v>
      </c>
      <c r="I4954">
        <f>VLOOKUP(B4954,BRAND!B:D,3,FALSE)</f>
        <v>5.5</v>
      </c>
      <c r="J4954">
        <v>5</v>
      </c>
      <c r="M4954">
        <v>1</v>
      </c>
    </row>
    <row r="4955" spans="1:13">
      <c r="A4955" t="s">
        <v>8785</v>
      </c>
      <c r="B4955" t="s">
        <v>8578</v>
      </c>
      <c r="C4955" s="34" t="s">
        <v>763</v>
      </c>
      <c r="F4955" t="s">
        <v>763</v>
      </c>
      <c r="G4955" t="s">
        <v>6932</v>
      </c>
      <c r="H4955">
        <v>5</v>
      </c>
      <c r="I4955">
        <f>VLOOKUP(B4955,BRAND!B:D,3,FALSE)</f>
        <v>5.5</v>
      </c>
      <c r="J4955">
        <v>5</v>
      </c>
      <c r="M4955">
        <v>1</v>
      </c>
    </row>
    <row r="4956" spans="1:13">
      <c r="A4956" t="s">
        <v>8580</v>
      </c>
      <c r="B4956" t="s">
        <v>8578</v>
      </c>
      <c r="C4956" s="34" t="s">
        <v>1438</v>
      </c>
      <c r="F4956" t="s">
        <v>1438</v>
      </c>
      <c r="G4956" t="s">
        <v>6932</v>
      </c>
      <c r="H4956">
        <v>5</v>
      </c>
      <c r="I4956">
        <f>VLOOKUP(B4956,BRAND!B:D,3,FALSE)</f>
        <v>5.5</v>
      </c>
      <c r="J4956">
        <v>4</v>
      </c>
      <c r="L4956">
        <v>0</v>
      </c>
      <c r="M4956">
        <v>0</v>
      </c>
    </row>
    <row r="4957" spans="1:13">
      <c r="A4957" t="s">
        <v>3227</v>
      </c>
      <c r="B4957" t="s">
        <v>270</v>
      </c>
      <c r="C4957" s="34" t="s">
        <v>933</v>
      </c>
      <c r="F4957" t="s">
        <v>933</v>
      </c>
      <c r="H4957">
        <v>5</v>
      </c>
      <c r="I4957">
        <f>VLOOKUP(B4957,BRAND!B:D,3,FALSE)</f>
        <v>3</v>
      </c>
      <c r="J4957">
        <v>8</v>
      </c>
      <c r="K4957" t="s">
        <v>821</v>
      </c>
      <c r="L4957">
        <v>0</v>
      </c>
      <c r="M4957">
        <v>0</v>
      </c>
    </row>
    <row r="4958" spans="1:13">
      <c r="A4958" t="s">
        <v>4832</v>
      </c>
      <c r="B4958" t="s">
        <v>270</v>
      </c>
      <c r="C4958" s="34" t="s">
        <v>536</v>
      </c>
      <c r="F4958" t="s">
        <v>536</v>
      </c>
      <c r="H4958">
        <v>5</v>
      </c>
      <c r="I4958">
        <f>VLOOKUP(B4958,BRAND!B:D,3,FALSE)</f>
        <v>3</v>
      </c>
      <c r="J4958">
        <v>5</v>
      </c>
      <c r="K4958" t="s">
        <v>821</v>
      </c>
      <c r="M4958">
        <v>1</v>
      </c>
    </row>
    <row r="4959" spans="1:13">
      <c r="A4959" t="s">
        <v>8788</v>
      </c>
      <c r="B4959" t="s">
        <v>270</v>
      </c>
      <c r="C4959" s="34" t="s">
        <v>1438</v>
      </c>
      <c r="F4959" t="s">
        <v>1438</v>
      </c>
      <c r="G4959" t="s">
        <v>6932</v>
      </c>
      <c r="H4959">
        <v>5</v>
      </c>
      <c r="I4959">
        <f>VLOOKUP(B4959,BRAND!B:D,3,FALSE)</f>
        <v>3</v>
      </c>
      <c r="J4959">
        <v>4</v>
      </c>
      <c r="M4959">
        <v>1</v>
      </c>
    </row>
    <row r="4960" spans="1:13">
      <c r="A4960" t="s">
        <v>2294</v>
      </c>
      <c r="B4960" t="s">
        <v>270</v>
      </c>
      <c r="C4960" s="34" t="s">
        <v>1438</v>
      </c>
      <c r="F4960" t="s">
        <v>1438</v>
      </c>
      <c r="H4960">
        <v>15</v>
      </c>
      <c r="I4960">
        <f>VLOOKUP(B4960,BRAND!B:D,3,FALSE)</f>
        <v>3</v>
      </c>
      <c r="J4960">
        <v>4</v>
      </c>
      <c r="K4960" t="s">
        <v>821</v>
      </c>
      <c r="L4960">
        <v>0</v>
      </c>
      <c r="M4960">
        <v>0</v>
      </c>
    </row>
    <row r="4961" spans="1:13">
      <c r="A4961" t="s">
        <v>8789</v>
      </c>
      <c r="B4961" t="s">
        <v>8790</v>
      </c>
      <c r="C4961" s="34" t="s">
        <v>1438</v>
      </c>
      <c r="F4961" t="s">
        <v>1438</v>
      </c>
      <c r="G4961" t="s">
        <v>6932</v>
      </c>
      <c r="H4961">
        <v>5</v>
      </c>
      <c r="I4961">
        <f>VLOOKUP(B4961,BRAND!B:D,3,FALSE)</f>
        <v>5.5</v>
      </c>
      <c r="J4961">
        <v>4</v>
      </c>
      <c r="M4961">
        <v>1</v>
      </c>
    </row>
    <row r="4962" spans="1:13">
      <c r="A4962" t="s">
        <v>8791</v>
      </c>
      <c r="B4962" t="s">
        <v>8792</v>
      </c>
      <c r="C4962" s="34" t="s">
        <v>1438</v>
      </c>
      <c r="F4962" t="s">
        <v>1438</v>
      </c>
      <c r="G4962" t="s">
        <v>6932</v>
      </c>
      <c r="H4962">
        <v>5</v>
      </c>
      <c r="I4962">
        <f>VLOOKUP(B4962,BRAND!B:D,3,FALSE)</f>
        <v>5.5</v>
      </c>
      <c r="J4962">
        <v>4</v>
      </c>
      <c r="M4962">
        <v>1</v>
      </c>
    </row>
    <row r="4963" spans="1:13">
      <c r="A4963" t="s">
        <v>8809</v>
      </c>
      <c r="B4963" t="s">
        <v>8810</v>
      </c>
      <c r="C4963" s="34" t="s">
        <v>1438</v>
      </c>
      <c r="F4963" t="s">
        <v>1438</v>
      </c>
      <c r="G4963" t="s">
        <v>6932</v>
      </c>
      <c r="H4963">
        <v>5</v>
      </c>
      <c r="I4963">
        <f>VLOOKUP(B4963,BRAND!B:D,3,FALSE)</f>
        <v>5.5</v>
      </c>
      <c r="J4963">
        <v>4</v>
      </c>
      <c r="M4963">
        <v>1</v>
      </c>
    </row>
    <row r="4964" spans="1:13">
      <c r="A4964" t="s">
        <v>8815</v>
      </c>
      <c r="B4964" t="s">
        <v>8816</v>
      </c>
      <c r="C4964" s="34" t="s">
        <v>8817</v>
      </c>
      <c r="F4964" t="s">
        <v>8817</v>
      </c>
      <c r="G4964" t="s">
        <v>6932</v>
      </c>
      <c r="H4964">
        <v>5</v>
      </c>
      <c r="I4964">
        <f>VLOOKUP(B4964,BRAND!B:D,3,FALSE)</f>
        <v>5.5</v>
      </c>
      <c r="J4964">
        <v>8</v>
      </c>
      <c r="M4964">
        <v>1</v>
      </c>
    </row>
    <row r="4965" spans="1:13">
      <c r="A4965" t="s">
        <v>8818</v>
      </c>
      <c r="B4965" t="s">
        <v>8816</v>
      </c>
      <c r="C4965" s="34" t="s">
        <v>8819</v>
      </c>
      <c r="F4965" t="s">
        <v>8819</v>
      </c>
      <c r="G4965" t="s">
        <v>6932</v>
      </c>
      <c r="H4965">
        <v>5</v>
      </c>
      <c r="I4965">
        <f>VLOOKUP(B4965,BRAND!B:D,3,FALSE)</f>
        <v>5.5</v>
      </c>
      <c r="J4965">
        <v>8</v>
      </c>
      <c r="M4965">
        <v>1</v>
      </c>
    </row>
    <row r="4966" spans="1:13">
      <c r="A4966" t="s">
        <v>8820</v>
      </c>
      <c r="B4966" t="s">
        <v>8816</v>
      </c>
      <c r="C4966" s="34" t="s">
        <v>1987</v>
      </c>
      <c r="F4966" t="s">
        <v>1987</v>
      </c>
      <c r="G4966" t="s">
        <v>6932</v>
      </c>
      <c r="H4966">
        <v>5</v>
      </c>
      <c r="I4966">
        <f>VLOOKUP(B4966,BRAND!B:D,3,FALSE)</f>
        <v>5.5</v>
      </c>
      <c r="J4966">
        <v>3</v>
      </c>
      <c r="M4966">
        <v>1</v>
      </c>
    </row>
    <row r="4967" spans="1:13">
      <c r="A4967" t="s">
        <v>8582</v>
      </c>
      <c r="B4967" t="s">
        <v>8583</v>
      </c>
      <c r="C4967" s="34" t="s">
        <v>534</v>
      </c>
      <c r="F4967" t="s">
        <v>534</v>
      </c>
      <c r="G4967" t="s">
        <v>6932</v>
      </c>
      <c r="H4967">
        <v>5</v>
      </c>
      <c r="I4967">
        <f>VLOOKUP(B4967,BRAND!B:D,3,FALSE)</f>
        <v>5.5</v>
      </c>
      <c r="J4967">
        <v>6</v>
      </c>
      <c r="M4967">
        <v>1</v>
      </c>
    </row>
    <row r="4968" spans="1:13">
      <c r="A4968" t="s">
        <v>8823</v>
      </c>
      <c r="B4968" t="s">
        <v>8583</v>
      </c>
      <c r="C4968" s="34" t="s">
        <v>1438</v>
      </c>
      <c r="F4968" t="s">
        <v>1438</v>
      </c>
      <c r="G4968" t="s">
        <v>6932</v>
      </c>
      <c r="H4968">
        <v>5</v>
      </c>
      <c r="I4968">
        <f>VLOOKUP(B4968,BRAND!B:D,3,FALSE)</f>
        <v>5.5</v>
      </c>
      <c r="J4968">
        <v>4</v>
      </c>
      <c r="M4968">
        <v>1</v>
      </c>
    </row>
    <row r="4969" spans="1:13">
      <c r="A4969" t="s">
        <v>8584</v>
      </c>
      <c r="B4969" t="s">
        <v>557</v>
      </c>
      <c r="C4969" s="34" t="s">
        <v>534</v>
      </c>
      <c r="F4969" t="s">
        <v>534</v>
      </c>
      <c r="G4969" t="s">
        <v>6932</v>
      </c>
      <c r="H4969">
        <v>5</v>
      </c>
      <c r="I4969">
        <f>VLOOKUP(B4969,BRAND!B:D,3,FALSE)</f>
        <v>3</v>
      </c>
      <c r="J4969">
        <v>6</v>
      </c>
      <c r="L4969">
        <v>0</v>
      </c>
      <c r="M4969">
        <v>0</v>
      </c>
    </row>
    <row r="4970" spans="1:13">
      <c r="A4970" s="29" t="s">
        <v>4430</v>
      </c>
      <c r="B4970" s="29" t="s">
        <v>557</v>
      </c>
      <c r="C4970" s="36" t="s">
        <v>534</v>
      </c>
      <c r="D4970" s="29"/>
      <c r="E4970" s="29"/>
      <c r="F4970" s="29" t="s">
        <v>534</v>
      </c>
      <c r="G4970" s="29"/>
      <c r="H4970" s="29">
        <v>5</v>
      </c>
      <c r="I4970">
        <f>VLOOKUP(B4970,BRAND!B:D,3,FALSE)</f>
        <v>3</v>
      </c>
      <c r="J4970">
        <v>6</v>
      </c>
      <c r="K4970" t="s">
        <v>821</v>
      </c>
      <c r="M4970">
        <v>1</v>
      </c>
    </row>
    <row r="4971" spans="1:13">
      <c r="A4971" t="s">
        <v>3842</v>
      </c>
      <c r="B4971" t="s">
        <v>557</v>
      </c>
      <c r="C4971" s="34" t="s">
        <v>536</v>
      </c>
      <c r="F4971" t="s">
        <v>536</v>
      </c>
      <c r="H4971">
        <v>5</v>
      </c>
      <c r="I4971">
        <f>VLOOKUP(B4971,BRAND!B:D,3,FALSE)</f>
        <v>3</v>
      </c>
      <c r="J4971">
        <v>5</v>
      </c>
      <c r="K4971" t="s">
        <v>821</v>
      </c>
      <c r="L4971">
        <v>0</v>
      </c>
      <c r="M4971">
        <v>0</v>
      </c>
    </row>
    <row r="4972" spans="1:13">
      <c r="A4972" t="s">
        <v>2302</v>
      </c>
      <c r="B4972" t="s">
        <v>557</v>
      </c>
      <c r="C4972" s="34" t="s">
        <v>1438</v>
      </c>
      <c r="F4972" t="s">
        <v>1438</v>
      </c>
      <c r="H4972">
        <v>15</v>
      </c>
      <c r="I4972">
        <f>VLOOKUP(B4972,BRAND!B:D,3,FALSE)</f>
        <v>3</v>
      </c>
      <c r="J4972">
        <v>4</v>
      </c>
      <c r="K4972" t="s">
        <v>821</v>
      </c>
      <c r="L4972">
        <v>0</v>
      </c>
      <c r="M4972">
        <v>0</v>
      </c>
    </row>
    <row r="4973" spans="1:13">
      <c r="A4973" t="s">
        <v>15287</v>
      </c>
      <c r="B4973" t="s">
        <v>15288</v>
      </c>
      <c r="C4973" s="34" t="s">
        <v>536</v>
      </c>
      <c r="F4973" t="s">
        <v>536</v>
      </c>
      <c r="G4973" t="s">
        <v>6932</v>
      </c>
      <c r="H4973">
        <v>5</v>
      </c>
      <c r="I4973">
        <f>VLOOKUP(B4973,BRAND!B:D,3,FALSE)</f>
        <v>5</v>
      </c>
      <c r="J4973">
        <v>0</v>
      </c>
      <c r="K4973" t="s">
        <v>821</v>
      </c>
      <c r="L4973">
        <v>0</v>
      </c>
      <c r="M4973">
        <v>0</v>
      </c>
    </row>
    <row r="4974" spans="1:13">
      <c r="A4974" t="s">
        <v>15289</v>
      </c>
      <c r="B4974" t="s">
        <v>15288</v>
      </c>
      <c r="C4974" s="34" t="s">
        <v>561</v>
      </c>
      <c r="F4974" t="s">
        <v>561</v>
      </c>
      <c r="G4974" t="s">
        <v>6932</v>
      </c>
      <c r="H4974">
        <v>5</v>
      </c>
      <c r="I4974">
        <f>VLOOKUP(B4974,BRAND!B:D,3,FALSE)</f>
        <v>5</v>
      </c>
      <c r="J4974">
        <v>0</v>
      </c>
      <c r="K4974" t="s">
        <v>821</v>
      </c>
      <c r="L4974">
        <v>0</v>
      </c>
      <c r="M4974">
        <v>0</v>
      </c>
    </row>
    <row r="4975" spans="1:13">
      <c r="A4975" t="s">
        <v>15290</v>
      </c>
      <c r="B4975" t="s">
        <v>15288</v>
      </c>
      <c r="C4975" s="34" t="s">
        <v>776</v>
      </c>
      <c r="F4975" t="s">
        <v>776</v>
      </c>
      <c r="G4975" t="s">
        <v>6932</v>
      </c>
      <c r="H4975">
        <v>5</v>
      </c>
      <c r="I4975">
        <f>VLOOKUP(B4975,BRAND!B:D,3,FALSE)</f>
        <v>5</v>
      </c>
      <c r="J4975">
        <v>0</v>
      </c>
      <c r="K4975" t="s">
        <v>821</v>
      </c>
      <c r="L4975">
        <v>0</v>
      </c>
      <c r="M4975">
        <v>0</v>
      </c>
    </row>
    <row r="4976" spans="1:13">
      <c r="A4976" t="s">
        <v>15291</v>
      </c>
      <c r="B4976" t="s">
        <v>15288</v>
      </c>
      <c r="C4976" s="34" t="s">
        <v>933</v>
      </c>
      <c r="F4976" t="s">
        <v>933</v>
      </c>
      <c r="G4976" t="s">
        <v>6932</v>
      </c>
      <c r="H4976">
        <v>5</v>
      </c>
      <c r="I4976">
        <f>VLOOKUP(B4976,BRAND!B:D,3,FALSE)</f>
        <v>5</v>
      </c>
      <c r="J4976">
        <v>0</v>
      </c>
      <c r="K4976" t="s">
        <v>821</v>
      </c>
      <c r="L4976">
        <v>0</v>
      </c>
      <c r="M4976">
        <v>0</v>
      </c>
    </row>
    <row r="4977" spans="1:13">
      <c r="A4977" t="s">
        <v>8585</v>
      </c>
      <c r="B4977" t="s">
        <v>8586</v>
      </c>
      <c r="C4977" s="34" t="s">
        <v>534</v>
      </c>
      <c r="F4977" t="s">
        <v>534</v>
      </c>
      <c r="G4977" t="s">
        <v>6932</v>
      </c>
      <c r="H4977">
        <v>5</v>
      </c>
      <c r="I4977">
        <f>VLOOKUP(B4977,BRAND!B:D,3,FALSE)</f>
        <v>5.5</v>
      </c>
      <c r="J4977">
        <v>6</v>
      </c>
      <c r="M4977">
        <v>1</v>
      </c>
    </row>
    <row r="4978" spans="1:13">
      <c r="A4978" t="s">
        <v>9731</v>
      </c>
      <c r="B4978" t="s">
        <v>1016</v>
      </c>
      <c r="C4978" s="34" t="s">
        <v>534</v>
      </c>
      <c r="G4978" t="s">
        <v>6932</v>
      </c>
      <c r="H4978">
        <v>5</v>
      </c>
      <c r="I4978">
        <f>VLOOKUP(B4978,BRAND!B:D,3,FALSE)</f>
        <v>3</v>
      </c>
      <c r="J4978">
        <v>0</v>
      </c>
      <c r="M4978">
        <v>1</v>
      </c>
    </row>
    <row r="4979" spans="1:13">
      <c r="A4979" t="s">
        <v>8587</v>
      </c>
      <c r="B4979" t="s">
        <v>8588</v>
      </c>
      <c r="C4979" s="34" t="s">
        <v>1438</v>
      </c>
      <c r="F4979" t="s">
        <v>1438</v>
      </c>
      <c r="G4979" t="s">
        <v>6932</v>
      </c>
      <c r="H4979">
        <v>5</v>
      </c>
      <c r="I4979">
        <f>VLOOKUP(B4979,BRAND!B:D,3,FALSE)</f>
        <v>5.5</v>
      </c>
      <c r="J4979">
        <v>4</v>
      </c>
      <c r="M4979">
        <v>1</v>
      </c>
    </row>
    <row r="4980" spans="1:13">
      <c r="A4980" t="s">
        <v>8589</v>
      </c>
      <c r="B4980" t="s">
        <v>8590</v>
      </c>
      <c r="C4980" s="34" t="s">
        <v>1438</v>
      </c>
      <c r="F4980" t="s">
        <v>1438</v>
      </c>
      <c r="G4980" t="s">
        <v>6932</v>
      </c>
      <c r="H4980">
        <v>5</v>
      </c>
      <c r="I4980">
        <f>VLOOKUP(B4980,BRAND!B:D,3,FALSE)</f>
        <v>5.5</v>
      </c>
      <c r="J4980">
        <v>4</v>
      </c>
      <c r="M4980">
        <v>1</v>
      </c>
    </row>
    <row r="4981" spans="1:13">
      <c r="A4981" t="s">
        <v>8591</v>
      </c>
      <c r="B4981" t="s">
        <v>8592</v>
      </c>
      <c r="C4981" s="34" t="s">
        <v>8593</v>
      </c>
      <c r="F4981" t="s">
        <v>8593</v>
      </c>
      <c r="G4981" t="s">
        <v>6932</v>
      </c>
      <c r="H4981">
        <v>5</v>
      </c>
      <c r="I4981">
        <f>VLOOKUP(B4981,BRAND!B:D,3,FALSE)</f>
        <v>5.5</v>
      </c>
      <c r="J4981">
        <v>5</v>
      </c>
      <c r="M4981">
        <v>1</v>
      </c>
    </row>
    <row r="4982" spans="1:13">
      <c r="A4982" t="s">
        <v>8698</v>
      </c>
      <c r="B4982" t="s">
        <v>426</v>
      </c>
      <c r="C4982" s="34" t="s">
        <v>786</v>
      </c>
      <c r="F4982" t="s">
        <v>786</v>
      </c>
      <c r="G4982" t="s">
        <v>6932</v>
      </c>
      <c r="H4982">
        <v>5</v>
      </c>
      <c r="I4982">
        <f>VLOOKUP(B4982,BRAND!B:D,3,FALSE)</f>
        <v>3</v>
      </c>
      <c r="J4982">
        <v>3</v>
      </c>
      <c r="M4982">
        <v>1</v>
      </c>
    </row>
    <row r="4983" spans="1:13">
      <c r="A4983" t="s">
        <v>3104</v>
      </c>
      <c r="B4983" t="s">
        <v>426</v>
      </c>
      <c r="C4983" s="34" t="s">
        <v>1438</v>
      </c>
      <c r="F4983" t="s">
        <v>1438</v>
      </c>
      <c r="H4983">
        <v>15</v>
      </c>
      <c r="I4983">
        <f>VLOOKUP(B4983,BRAND!B:D,3,FALSE)</f>
        <v>3</v>
      </c>
      <c r="J4983">
        <v>4</v>
      </c>
      <c r="K4983" t="s">
        <v>821</v>
      </c>
      <c r="M4983">
        <v>1</v>
      </c>
    </row>
    <row r="4984" spans="1:13">
      <c r="A4984" t="s">
        <v>2856</v>
      </c>
      <c r="B4984" t="s">
        <v>1291</v>
      </c>
      <c r="C4984" s="34" t="s">
        <v>1438</v>
      </c>
      <c r="F4984" t="s">
        <v>1438</v>
      </c>
      <c r="H4984">
        <v>15</v>
      </c>
      <c r="I4984">
        <f>VLOOKUP(B4984,BRAND!B:D,3,FALSE)</f>
        <v>3</v>
      </c>
      <c r="J4984">
        <v>4</v>
      </c>
      <c r="K4984" t="s">
        <v>821</v>
      </c>
      <c r="L4984">
        <v>0</v>
      </c>
      <c r="M4984">
        <v>0</v>
      </c>
    </row>
    <row r="4985" spans="1:13">
      <c r="A4985" t="s">
        <v>15079</v>
      </c>
      <c r="B4985" t="s">
        <v>15080</v>
      </c>
      <c r="C4985" s="34" t="s">
        <v>15081</v>
      </c>
      <c r="F4985" t="s">
        <v>15082</v>
      </c>
      <c r="G4985" t="s">
        <v>6932</v>
      </c>
      <c r="H4985">
        <v>5</v>
      </c>
      <c r="I4985">
        <f>VLOOKUP(B4985,BRAND!B:D,3,FALSE)</f>
        <v>5</v>
      </c>
      <c r="J4985">
        <v>0</v>
      </c>
      <c r="K4985" t="s">
        <v>821</v>
      </c>
      <c r="L4985">
        <v>0</v>
      </c>
      <c r="M4985">
        <v>0</v>
      </c>
    </row>
    <row r="4986" spans="1:13">
      <c r="A4986" t="s">
        <v>15083</v>
      </c>
      <c r="B4986" t="s">
        <v>15080</v>
      </c>
      <c r="C4986" s="34" t="s">
        <v>15084</v>
      </c>
      <c r="F4986" t="s">
        <v>15085</v>
      </c>
      <c r="G4986" t="s">
        <v>6932</v>
      </c>
      <c r="H4986">
        <v>5</v>
      </c>
      <c r="I4986">
        <f>VLOOKUP(B4986,BRAND!B:D,3,FALSE)</f>
        <v>5</v>
      </c>
      <c r="J4986">
        <v>0</v>
      </c>
      <c r="K4986" t="s">
        <v>821</v>
      </c>
      <c r="L4986">
        <v>0</v>
      </c>
      <c r="M4986">
        <v>0</v>
      </c>
    </row>
    <row r="4987" spans="1:13">
      <c r="A4987" t="s">
        <v>15086</v>
      </c>
      <c r="B4987" t="s">
        <v>15080</v>
      </c>
      <c r="C4987" s="34" t="s">
        <v>15087</v>
      </c>
      <c r="F4987" t="s">
        <v>15088</v>
      </c>
      <c r="G4987" t="s">
        <v>6932</v>
      </c>
      <c r="H4987">
        <v>5</v>
      </c>
      <c r="I4987">
        <f>VLOOKUP(B4987,BRAND!B:D,3,FALSE)</f>
        <v>5</v>
      </c>
      <c r="J4987">
        <v>0</v>
      </c>
      <c r="K4987" t="s">
        <v>821</v>
      </c>
      <c r="L4987">
        <v>0</v>
      </c>
      <c r="M4987">
        <v>0</v>
      </c>
    </row>
    <row r="4988" spans="1:13">
      <c r="A4988" t="s">
        <v>15089</v>
      </c>
      <c r="B4988" t="s">
        <v>15080</v>
      </c>
      <c r="C4988" s="34" t="s">
        <v>15090</v>
      </c>
      <c r="F4988" t="s">
        <v>15091</v>
      </c>
      <c r="G4988" t="s">
        <v>6932</v>
      </c>
      <c r="H4988">
        <v>5</v>
      </c>
      <c r="I4988">
        <f>VLOOKUP(B4988,BRAND!B:D,3,FALSE)</f>
        <v>5</v>
      </c>
      <c r="J4988">
        <v>0</v>
      </c>
      <c r="K4988" t="s">
        <v>821</v>
      </c>
      <c r="L4988">
        <v>0</v>
      </c>
      <c r="M4988">
        <v>0</v>
      </c>
    </row>
    <row r="4989" spans="1:13">
      <c r="A4989" t="s">
        <v>15092</v>
      </c>
      <c r="B4989" t="s">
        <v>15080</v>
      </c>
      <c r="C4989" s="34" t="s">
        <v>15093</v>
      </c>
      <c r="F4989" t="s">
        <v>15094</v>
      </c>
      <c r="G4989" t="s">
        <v>6932</v>
      </c>
      <c r="H4989">
        <v>5</v>
      </c>
      <c r="I4989">
        <f>VLOOKUP(B4989,BRAND!B:D,3,FALSE)</f>
        <v>5</v>
      </c>
      <c r="J4989">
        <v>0</v>
      </c>
      <c r="K4989" t="s">
        <v>821</v>
      </c>
      <c r="L4989">
        <v>0</v>
      </c>
      <c r="M4989">
        <v>0</v>
      </c>
    </row>
    <row r="4990" spans="1:13">
      <c r="A4990" t="s">
        <v>8594</v>
      </c>
      <c r="B4990" t="s">
        <v>8595</v>
      </c>
      <c r="C4990" s="34" t="s">
        <v>1438</v>
      </c>
      <c r="F4990" t="s">
        <v>1438</v>
      </c>
      <c r="G4990" t="s">
        <v>6932</v>
      </c>
      <c r="H4990">
        <v>5</v>
      </c>
      <c r="I4990">
        <f>VLOOKUP(B4990,BRAND!B:D,3,FALSE)</f>
        <v>5.5</v>
      </c>
      <c r="J4990">
        <v>4</v>
      </c>
      <c r="M4990">
        <v>1</v>
      </c>
    </row>
    <row r="4991" spans="1:13">
      <c r="A4991" t="s">
        <v>8699</v>
      </c>
      <c r="B4991" t="s">
        <v>8700</v>
      </c>
      <c r="C4991" s="34" t="s">
        <v>786</v>
      </c>
      <c r="F4991" t="s">
        <v>786</v>
      </c>
      <c r="G4991" t="s">
        <v>6932</v>
      </c>
      <c r="H4991">
        <v>5</v>
      </c>
      <c r="I4991">
        <f>VLOOKUP(B4991,BRAND!B:D,3,FALSE)</f>
        <v>5.5</v>
      </c>
      <c r="J4991">
        <v>3</v>
      </c>
      <c r="M4991">
        <v>1</v>
      </c>
    </row>
    <row r="4992" spans="1:13">
      <c r="A4992" t="s">
        <v>8596</v>
      </c>
      <c r="B4992" t="s">
        <v>8597</v>
      </c>
      <c r="C4992" s="34" t="s">
        <v>1438</v>
      </c>
      <c r="F4992" t="s">
        <v>1438</v>
      </c>
      <c r="G4992" t="s">
        <v>6932</v>
      </c>
      <c r="H4992">
        <v>5</v>
      </c>
      <c r="I4992">
        <f>VLOOKUP(B4992,BRAND!B:D,3,FALSE)</f>
        <v>5.5</v>
      </c>
      <c r="J4992">
        <v>4</v>
      </c>
      <c r="M4992">
        <v>1</v>
      </c>
    </row>
    <row r="4993" spans="1:13">
      <c r="A4993" t="s">
        <v>14690</v>
      </c>
      <c r="B4993" t="s">
        <v>14685</v>
      </c>
      <c r="C4993" s="34" t="s">
        <v>10023</v>
      </c>
      <c r="F4993" t="s">
        <v>10023</v>
      </c>
      <c r="G4993" t="s">
        <v>6932</v>
      </c>
      <c r="H4993">
        <v>5</v>
      </c>
      <c r="I4993">
        <f>VLOOKUP(B4993,BRAND!B:D,3,FALSE)</f>
        <v>0</v>
      </c>
      <c r="J4993">
        <f t="shared" ref="J4993:J4999" si="49">LEN(F4993)</f>
        <v>6</v>
      </c>
      <c r="K4993" t="s">
        <v>821</v>
      </c>
      <c r="L4993">
        <v>0</v>
      </c>
      <c r="M4993">
        <v>1</v>
      </c>
    </row>
    <row r="4994" spans="1:13">
      <c r="A4994" t="s">
        <v>14687</v>
      </c>
      <c r="B4994" t="s">
        <v>14685</v>
      </c>
      <c r="C4994" s="34" t="s">
        <v>14688</v>
      </c>
      <c r="F4994" t="s">
        <v>14688</v>
      </c>
      <c r="G4994" t="s">
        <v>6932</v>
      </c>
      <c r="H4994">
        <v>5</v>
      </c>
      <c r="I4994">
        <f>VLOOKUP(B4994,BRAND!B:D,3,FALSE)</f>
        <v>0</v>
      </c>
      <c r="J4994">
        <f t="shared" si="49"/>
        <v>6</v>
      </c>
      <c r="K4994" t="s">
        <v>821</v>
      </c>
      <c r="L4994">
        <v>0</v>
      </c>
      <c r="M4994">
        <v>1</v>
      </c>
    </row>
    <row r="4995" spans="1:13">
      <c r="A4995" t="s">
        <v>14684</v>
      </c>
      <c r="B4995" t="s">
        <v>14685</v>
      </c>
      <c r="C4995" s="34" t="s">
        <v>536</v>
      </c>
      <c r="F4995" t="s">
        <v>536</v>
      </c>
      <c r="G4995" t="s">
        <v>6932</v>
      </c>
      <c r="H4995">
        <v>5</v>
      </c>
      <c r="I4995">
        <f>VLOOKUP(B4995,BRAND!B:D,3,FALSE)</f>
        <v>0</v>
      </c>
      <c r="J4995">
        <f t="shared" si="49"/>
        <v>5</v>
      </c>
      <c r="K4995" t="s">
        <v>821</v>
      </c>
      <c r="L4995">
        <v>0</v>
      </c>
      <c r="M4995">
        <v>1</v>
      </c>
    </row>
    <row r="4996" spans="1:13">
      <c r="A4996" t="s">
        <v>14686</v>
      </c>
      <c r="B4996" t="s">
        <v>14685</v>
      </c>
      <c r="C4996" s="34" t="s">
        <v>776</v>
      </c>
      <c r="F4996" t="s">
        <v>776</v>
      </c>
      <c r="G4996" t="s">
        <v>6932</v>
      </c>
      <c r="H4996">
        <v>5</v>
      </c>
      <c r="I4996">
        <f>VLOOKUP(B4996,BRAND!B:D,3,FALSE)</f>
        <v>0</v>
      </c>
      <c r="J4996">
        <f t="shared" si="49"/>
        <v>5</v>
      </c>
      <c r="K4996" t="s">
        <v>821</v>
      </c>
      <c r="L4996">
        <v>0</v>
      </c>
      <c r="M4996">
        <v>1</v>
      </c>
    </row>
    <row r="4997" spans="1:13">
      <c r="A4997" t="s">
        <v>14692</v>
      </c>
      <c r="B4997" t="s">
        <v>14685</v>
      </c>
      <c r="C4997" s="34" t="s">
        <v>788</v>
      </c>
      <c r="F4997" t="s">
        <v>788</v>
      </c>
      <c r="G4997" t="s">
        <v>6932</v>
      </c>
      <c r="H4997">
        <v>5</v>
      </c>
      <c r="I4997">
        <f>VLOOKUP(B4997,BRAND!B:D,3,FALSE)</f>
        <v>0</v>
      </c>
      <c r="J4997">
        <f t="shared" si="49"/>
        <v>4</v>
      </c>
      <c r="K4997" t="s">
        <v>821</v>
      </c>
      <c r="L4997">
        <v>0</v>
      </c>
      <c r="M4997">
        <v>1</v>
      </c>
    </row>
    <row r="4998" spans="1:13">
      <c r="A4998" t="s">
        <v>14689</v>
      </c>
      <c r="B4998" t="s">
        <v>14685</v>
      </c>
      <c r="C4998" s="34" t="s">
        <v>775</v>
      </c>
      <c r="F4998" t="s">
        <v>775</v>
      </c>
      <c r="G4998" t="s">
        <v>6932</v>
      </c>
      <c r="H4998">
        <v>5</v>
      </c>
      <c r="I4998">
        <f>VLOOKUP(B4998,BRAND!B:D,3,FALSE)</f>
        <v>0</v>
      </c>
      <c r="J4998">
        <f t="shared" si="49"/>
        <v>3</v>
      </c>
      <c r="K4998" t="s">
        <v>821</v>
      </c>
      <c r="L4998">
        <v>0</v>
      </c>
      <c r="M4998">
        <v>1</v>
      </c>
    </row>
    <row r="4999" spans="1:13">
      <c r="A4999" t="s">
        <v>14691</v>
      </c>
      <c r="B4999" t="s">
        <v>14685</v>
      </c>
      <c r="C4999" s="34" t="s">
        <v>561</v>
      </c>
      <c r="F4999" t="s">
        <v>561</v>
      </c>
      <c r="G4999" t="s">
        <v>6932</v>
      </c>
      <c r="H4999">
        <v>5</v>
      </c>
      <c r="I4999">
        <f>VLOOKUP(B4999,BRAND!B:D,3,FALSE)</f>
        <v>0</v>
      </c>
      <c r="J4999">
        <f t="shared" si="49"/>
        <v>3</v>
      </c>
      <c r="K4999" t="s">
        <v>821</v>
      </c>
      <c r="L4999">
        <v>0</v>
      </c>
      <c r="M4999">
        <v>1</v>
      </c>
    </row>
    <row r="5000" spans="1:13">
      <c r="A5000" t="s">
        <v>15018</v>
      </c>
      <c r="B5000" t="s">
        <v>15019</v>
      </c>
      <c r="C5000" s="34" t="s">
        <v>1438</v>
      </c>
      <c r="F5000" t="s">
        <v>1438</v>
      </c>
      <c r="G5000" t="s">
        <v>6932</v>
      </c>
      <c r="H5000">
        <v>5</v>
      </c>
      <c r="I5000">
        <f>VLOOKUP(B5000,BRAND!B:D,3,FALSE)</f>
        <v>5</v>
      </c>
      <c r="J5000">
        <v>0</v>
      </c>
      <c r="K5000" t="s">
        <v>821</v>
      </c>
      <c r="L5000">
        <v>0</v>
      </c>
      <c r="M5000">
        <v>0</v>
      </c>
    </row>
    <row r="5001" spans="1:13">
      <c r="A5001" t="s">
        <v>15194</v>
      </c>
      <c r="B5001" t="s">
        <v>15019</v>
      </c>
      <c r="C5001" s="34" t="s">
        <v>15019</v>
      </c>
      <c r="F5001" t="s">
        <v>15019</v>
      </c>
      <c r="G5001" t="s">
        <v>6932</v>
      </c>
      <c r="H5001">
        <v>5</v>
      </c>
      <c r="I5001">
        <f>VLOOKUP(B5001,BRAND!B:D,3,FALSE)</f>
        <v>5</v>
      </c>
      <c r="J5001">
        <v>0</v>
      </c>
      <c r="K5001" t="s">
        <v>821</v>
      </c>
      <c r="L5001">
        <v>0</v>
      </c>
      <c r="M5001">
        <v>0</v>
      </c>
    </row>
    <row r="5002" spans="1:13">
      <c r="A5002" t="s">
        <v>8701</v>
      </c>
      <c r="B5002" t="s">
        <v>8702</v>
      </c>
      <c r="C5002" s="34" t="s">
        <v>1438</v>
      </c>
      <c r="F5002" t="s">
        <v>1438</v>
      </c>
      <c r="G5002" t="s">
        <v>6932</v>
      </c>
      <c r="H5002">
        <v>5</v>
      </c>
      <c r="I5002">
        <f>VLOOKUP(B5002,BRAND!B:D,3,FALSE)</f>
        <v>43</v>
      </c>
      <c r="J5002">
        <v>4</v>
      </c>
      <c r="M5002">
        <v>1</v>
      </c>
    </row>
    <row r="5003" spans="1:13">
      <c r="A5003" t="s">
        <v>8701</v>
      </c>
      <c r="B5003" t="s">
        <v>8702</v>
      </c>
      <c r="C5003" s="34" t="s">
        <v>1438</v>
      </c>
      <c r="F5003" t="s">
        <v>1438</v>
      </c>
      <c r="G5003" t="s">
        <v>6932</v>
      </c>
      <c r="H5003">
        <v>6</v>
      </c>
    </row>
    <row r="5004" spans="1:13">
      <c r="A5004" t="s">
        <v>8703</v>
      </c>
      <c r="B5004" t="s">
        <v>8704</v>
      </c>
      <c r="C5004" s="34" t="s">
        <v>1438</v>
      </c>
      <c r="F5004" t="s">
        <v>1438</v>
      </c>
      <c r="G5004" t="s">
        <v>6932</v>
      </c>
      <c r="H5004">
        <v>5</v>
      </c>
      <c r="I5004">
        <f>VLOOKUP(B5004,BRAND!B:D,3,FALSE)</f>
        <v>5.5</v>
      </c>
      <c r="J5004">
        <v>4</v>
      </c>
      <c r="M5004">
        <v>1</v>
      </c>
    </row>
    <row r="5005" spans="1:13">
      <c r="A5005" t="s">
        <v>8598</v>
      </c>
      <c r="B5005" t="s">
        <v>8599</v>
      </c>
      <c r="C5005" s="34" t="s">
        <v>1438</v>
      </c>
      <c r="F5005" t="s">
        <v>1438</v>
      </c>
      <c r="G5005" t="s">
        <v>6932</v>
      </c>
      <c r="H5005">
        <v>5</v>
      </c>
      <c r="I5005">
        <f>VLOOKUP(B5005,BRAND!B:D,3,FALSE)</f>
        <v>5.5</v>
      </c>
      <c r="J5005">
        <v>4</v>
      </c>
      <c r="M5005">
        <v>1</v>
      </c>
    </row>
    <row r="5006" spans="1:13">
      <c r="A5006" t="s">
        <v>9732</v>
      </c>
      <c r="B5006" t="s">
        <v>8599</v>
      </c>
      <c r="C5006" s="34" t="s">
        <v>536</v>
      </c>
      <c r="G5006" t="s">
        <v>6932</v>
      </c>
      <c r="H5006">
        <v>5</v>
      </c>
      <c r="I5006">
        <f>VLOOKUP(B5006,BRAND!B:D,3,FALSE)</f>
        <v>5.5</v>
      </c>
      <c r="J5006">
        <v>0</v>
      </c>
      <c r="M5006">
        <v>1</v>
      </c>
    </row>
    <row r="5007" spans="1:13">
      <c r="A5007" t="s">
        <v>8600</v>
      </c>
      <c r="B5007" t="s">
        <v>8601</v>
      </c>
      <c r="C5007" s="34" t="s">
        <v>1438</v>
      </c>
      <c r="F5007" t="s">
        <v>1438</v>
      </c>
      <c r="G5007" t="s">
        <v>6932</v>
      </c>
      <c r="H5007">
        <v>5</v>
      </c>
      <c r="I5007">
        <f>VLOOKUP(B5007,BRAND!B:D,3,FALSE)</f>
        <v>5.5</v>
      </c>
      <c r="J5007">
        <v>4</v>
      </c>
      <c r="L5007">
        <v>0</v>
      </c>
      <c r="M5007">
        <v>0</v>
      </c>
    </row>
    <row r="5008" spans="1:13">
      <c r="A5008" t="s">
        <v>9734</v>
      </c>
      <c r="B5008" t="s">
        <v>8601</v>
      </c>
      <c r="C5008" s="34" t="s">
        <v>8035</v>
      </c>
      <c r="G5008" t="s">
        <v>6932</v>
      </c>
      <c r="H5008">
        <v>5</v>
      </c>
      <c r="I5008">
        <f>VLOOKUP(B5008,BRAND!B:D,3,FALSE)</f>
        <v>5.5</v>
      </c>
      <c r="J5008">
        <v>0</v>
      </c>
      <c r="M5008">
        <v>1</v>
      </c>
    </row>
    <row r="5009" spans="1:13">
      <c r="A5009" t="s">
        <v>9733</v>
      </c>
      <c r="B5009" t="s">
        <v>8601</v>
      </c>
      <c r="C5009" s="34" t="s">
        <v>9997</v>
      </c>
      <c r="G5009" t="s">
        <v>6932</v>
      </c>
      <c r="H5009">
        <v>5</v>
      </c>
      <c r="I5009">
        <f>VLOOKUP(B5009,BRAND!B:D,3,FALSE)</f>
        <v>5.5</v>
      </c>
      <c r="J5009">
        <v>0</v>
      </c>
      <c r="M5009">
        <v>1</v>
      </c>
    </row>
    <row r="5010" spans="1:13">
      <c r="A5010" t="s">
        <v>8602</v>
      </c>
      <c r="B5010" t="s">
        <v>8603</v>
      </c>
      <c r="C5010" s="34" t="s">
        <v>1438</v>
      </c>
      <c r="F5010" t="s">
        <v>1438</v>
      </c>
      <c r="G5010" t="s">
        <v>6932</v>
      </c>
      <c r="H5010">
        <v>5</v>
      </c>
      <c r="I5010">
        <f>VLOOKUP(B5010,BRAND!B:D,3,FALSE)</f>
        <v>5.5</v>
      </c>
      <c r="J5010">
        <v>4</v>
      </c>
      <c r="M5010">
        <v>1</v>
      </c>
    </row>
    <row r="5011" spans="1:13">
      <c r="A5011" t="s">
        <v>8705</v>
      </c>
      <c r="B5011" t="s">
        <v>8706</v>
      </c>
      <c r="C5011" s="34" t="s">
        <v>1438</v>
      </c>
      <c r="F5011" t="s">
        <v>1438</v>
      </c>
      <c r="G5011" t="s">
        <v>6932</v>
      </c>
      <c r="H5011">
        <v>5</v>
      </c>
      <c r="I5011">
        <f>VLOOKUP(B5011,BRAND!B:D,3,FALSE)</f>
        <v>5.5</v>
      </c>
      <c r="J5011">
        <v>4</v>
      </c>
      <c r="M5011">
        <v>1</v>
      </c>
    </row>
    <row r="5012" spans="1:13">
      <c r="A5012" t="s">
        <v>8604</v>
      </c>
      <c r="B5012" t="s">
        <v>8605</v>
      </c>
      <c r="C5012" s="34" t="s">
        <v>776</v>
      </c>
      <c r="F5012" t="s">
        <v>776</v>
      </c>
      <c r="G5012" t="s">
        <v>6932</v>
      </c>
      <c r="H5012">
        <v>5</v>
      </c>
      <c r="I5012">
        <f>VLOOKUP(B5012,BRAND!B:D,3,FALSE)</f>
        <v>5.5</v>
      </c>
      <c r="J5012">
        <v>5</v>
      </c>
      <c r="M5012">
        <v>1</v>
      </c>
    </row>
    <row r="5013" spans="1:13">
      <c r="A5013" t="s">
        <v>8707</v>
      </c>
      <c r="B5013" t="s">
        <v>8605</v>
      </c>
      <c r="C5013" s="34" t="s">
        <v>1438</v>
      </c>
      <c r="F5013" t="s">
        <v>1438</v>
      </c>
      <c r="G5013" t="s">
        <v>6932</v>
      </c>
      <c r="H5013">
        <v>5</v>
      </c>
      <c r="I5013">
        <f>VLOOKUP(B5013,BRAND!B:D,3,FALSE)</f>
        <v>5.5</v>
      </c>
      <c r="J5013">
        <v>4</v>
      </c>
      <c r="L5013">
        <v>0</v>
      </c>
      <c r="M5013">
        <v>0</v>
      </c>
    </row>
    <row r="5014" spans="1:13">
      <c r="A5014" t="s">
        <v>8606</v>
      </c>
      <c r="B5014" t="s">
        <v>8605</v>
      </c>
      <c r="C5014" s="34" t="s">
        <v>788</v>
      </c>
      <c r="F5014" t="s">
        <v>788</v>
      </c>
      <c r="G5014" t="s">
        <v>6932</v>
      </c>
      <c r="H5014">
        <v>5</v>
      </c>
      <c r="I5014">
        <f>VLOOKUP(B5014,BRAND!B:D,3,FALSE)</f>
        <v>5.5</v>
      </c>
      <c r="J5014">
        <v>4</v>
      </c>
      <c r="M5014">
        <v>1</v>
      </c>
    </row>
    <row r="5015" spans="1:13">
      <c r="A5015" t="s">
        <v>9735</v>
      </c>
      <c r="B5015" t="s">
        <v>8605</v>
      </c>
      <c r="C5015" s="34" t="s">
        <v>751</v>
      </c>
      <c r="G5015" t="s">
        <v>6932</v>
      </c>
      <c r="H5015">
        <v>5</v>
      </c>
      <c r="I5015">
        <f>VLOOKUP(B5015,BRAND!B:D,3,FALSE)</f>
        <v>5.5</v>
      </c>
      <c r="J5015">
        <v>0</v>
      </c>
      <c r="M5015">
        <v>1</v>
      </c>
    </row>
    <row r="5016" spans="1:13">
      <c r="A5016" t="s">
        <v>8607</v>
      </c>
      <c r="B5016" t="s">
        <v>8608</v>
      </c>
      <c r="C5016" s="34" t="s">
        <v>842</v>
      </c>
      <c r="F5016" t="s">
        <v>842</v>
      </c>
      <c r="G5016" t="s">
        <v>6932</v>
      </c>
      <c r="H5016">
        <v>5</v>
      </c>
      <c r="I5016">
        <f>VLOOKUP(B5016,BRAND!B:D,3,FALSE)</f>
        <v>5.5</v>
      </c>
      <c r="J5016">
        <v>5</v>
      </c>
      <c r="M5016">
        <v>1</v>
      </c>
    </row>
    <row r="5017" spans="1:13">
      <c r="A5017" t="s">
        <v>8609</v>
      </c>
      <c r="B5017" t="s">
        <v>8610</v>
      </c>
      <c r="C5017" s="34" t="s">
        <v>842</v>
      </c>
      <c r="F5017" t="s">
        <v>842</v>
      </c>
      <c r="G5017" t="s">
        <v>6932</v>
      </c>
      <c r="H5017">
        <v>5</v>
      </c>
      <c r="I5017">
        <f>VLOOKUP(B5017,BRAND!B:D,3,FALSE)</f>
        <v>5.5</v>
      </c>
      <c r="J5017">
        <v>5</v>
      </c>
      <c r="M5017">
        <v>1</v>
      </c>
    </row>
    <row r="5018" spans="1:13">
      <c r="A5018" t="s">
        <v>3802</v>
      </c>
      <c r="B5018" t="s">
        <v>307</v>
      </c>
      <c r="C5018" s="34" t="s">
        <v>536</v>
      </c>
      <c r="F5018" t="s">
        <v>536</v>
      </c>
      <c r="H5018">
        <v>5</v>
      </c>
      <c r="I5018">
        <f>VLOOKUP(B5018,BRAND!B:D,3,FALSE)</f>
        <v>3</v>
      </c>
      <c r="J5018">
        <v>5</v>
      </c>
      <c r="K5018" t="s">
        <v>821</v>
      </c>
      <c r="L5018">
        <v>0</v>
      </c>
      <c r="M5018">
        <v>0</v>
      </c>
    </row>
    <row r="5019" spans="1:13">
      <c r="A5019" t="s">
        <v>4342</v>
      </c>
      <c r="B5019" t="s">
        <v>307</v>
      </c>
      <c r="C5019" s="34" t="s">
        <v>751</v>
      </c>
      <c r="F5019" t="s">
        <v>751</v>
      </c>
      <c r="H5019">
        <v>5</v>
      </c>
      <c r="I5019">
        <f>VLOOKUP(B5019,BRAND!B:D,3,FALSE)</f>
        <v>3</v>
      </c>
      <c r="J5019">
        <v>5</v>
      </c>
      <c r="K5019" t="s">
        <v>821</v>
      </c>
      <c r="M5019">
        <v>1</v>
      </c>
    </row>
    <row r="5020" spans="1:13">
      <c r="A5020" t="s">
        <v>8708</v>
      </c>
      <c r="B5020" t="s">
        <v>307</v>
      </c>
      <c r="C5020" s="34" t="s">
        <v>536</v>
      </c>
      <c r="F5020" t="s">
        <v>536</v>
      </c>
      <c r="G5020" t="s">
        <v>6932</v>
      </c>
      <c r="H5020">
        <v>5</v>
      </c>
      <c r="I5020">
        <f>VLOOKUP(B5020,BRAND!B:D,3,FALSE)</f>
        <v>3</v>
      </c>
      <c r="J5020">
        <v>5</v>
      </c>
      <c r="M5020">
        <v>1</v>
      </c>
    </row>
    <row r="5021" spans="1:13">
      <c r="A5021" t="s">
        <v>3679</v>
      </c>
      <c r="B5021" t="s">
        <v>307</v>
      </c>
      <c r="C5021" s="34" t="s">
        <v>561</v>
      </c>
      <c r="F5021" t="s">
        <v>561</v>
      </c>
      <c r="H5021">
        <v>5</v>
      </c>
      <c r="I5021">
        <f>VLOOKUP(B5021,BRAND!B:D,3,FALSE)</f>
        <v>3</v>
      </c>
      <c r="J5021">
        <v>3</v>
      </c>
      <c r="K5021" t="s">
        <v>821</v>
      </c>
      <c r="L5021">
        <v>0</v>
      </c>
      <c r="M5021">
        <v>0</v>
      </c>
    </row>
    <row r="5022" spans="1:13">
      <c r="A5022" t="s">
        <v>8709</v>
      </c>
      <c r="B5022" t="s">
        <v>307</v>
      </c>
      <c r="C5022" s="34" t="s">
        <v>561</v>
      </c>
      <c r="F5022" t="s">
        <v>561</v>
      </c>
      <c r="G5022" t="s">
        <v>6932</v>
      </c>
      <c r="H5022">
        <v>5</v>
      </c>
      <c r="I5022">
        <f>VLOOKUP(B5022,BRAND!B:D,3,FALSE)</f>
        <v>3</v>
      </c>
      <c r="J5022">
        <v>3</v>
      </c>
      <c r="M5022">
        <v>1</v>
      </c>
    </row>
    <row r="5023" spans="1:13">
      <c r="A5023" t="s">
        <v>2691</v>
      </c>
      <c r="B5023" t="s">
        <v>307</v>
      </c>
      <c r="C5023" s="34" t="s">
        <v>1438</v>
      </c>
      <c r="F5023" t="s">
        <v>1438</v>
      </c>
      <c r="H5023">
        <v>15</v>
      </c>
      <c r="I5023">
        <f>VLOOKUP(B5023,BRAND!B:D,3,FALSE)</f>
        <v>3</v>
      </c>
      <c r="J5023">
        <v>4</v>
      </c>
      <c r="K5023" t="s">
        <v>821</v>
      </c>
      <c r="L5023">
        <v>0</v>
      </c>
      <c r="M5023">
        <v>0</v>
      </c>
    </row>
    <row r="5024" spans="1:13">
      <c r="A5024" t="s">
        <v>8710</v>
      </c>
      <c r="B5024" t="s">
        <v>8711</v>
      </c>
      <c r="C5024" s="34" t="s">
        <v>1438</v>
      </c>
      <c r="F5024" t="s">
        <v>1438</v>
      </c>
      <c r="G5024" t="s">
        <v>6932</v>
      </c>
      <c r="H5024">
        <v>5</v>
      </c>
      <c r="I5024">
        <f>VLOOKUP(B5024,BRAND!B:D,3,FALSE)</f>
        <v>5</v>
      </c>
      <c r="J5024">
        <v>4</v>
      </c>
      <c r="M5024">
        <v>1</v>
      </c>
    </row>
    <row r="5025" spans="1:13">
      <c r="A5025" t="s">
        <v>8710</v>
      </c>
      <c r="B5025" t="s">
        <v>8711</v>
      </c>
      <c r="C5025" s="34" t="s">
        <v>1438</v>
      </c>
      <c r="F5025" t="s">
        <v>1438</v>
      </c>
      <c r="G5025" t="s">
        <v>6932</v>
      </c>
      <c r="H5025">
        <v>5</v>
      </c>
      <c r="I5025">
        <f>VLOOKUP(B5025,BRAND!B:D,3,FALSE)</f>
        <v>5</v>
      </c>
      <c r="J5025">
        <v>0</v>
      </c>
      <c r="K5025" t="s">
        <v>821</v>
      </c>
      <c r="L5025">
        <v>0</v>
      </c>
      <c r="M5025">
        <v>0</v>
      </c>
    </row>
    <row r="5026" spans="1:13">
      <c r="A5026" t="s">
        <v>8712</v>
      </c>
      <c r="B5026" t="s">
        <v>8612</v>
      </c>
      <c r="C5026" s="34" t="s">
        <v>534</v>
      </c>
      <c r="F5026" t="s">
        <v>534</v>
      </c>
      <c r="G5026" t="s">
        <v>6932</v>
      </c>
      <c r="H5026">
        <v>5</v>
      </c>
      <c r="I5026">
        <f>VLOOKUP(B5026,BRAND!B:D,3,FALSE)</f>
        <v>5.5</v>
      </c>
      <c r="J5026">
        <v>6</v>
      </c>
      <c r="M5026">
        <v>1</v>
      </c>
    </row>
    <row r="5027" spans="1:13">
      <c r="A5027" t="s">
        <v>8713</v>
      </c>
      <c r="B5027" t="s">
        <v>8612</v>
      </c>
      <c r="C5027" s="34" t="s">
        <v>751</v>
      </c>
      <c r="F5027" t="s">
        <v>751</v>
      </c>
      <c r="G5027" t="s">
        <v>6932</v>
      </c>
      <c r="H5027">
        <v>5</v>
      </c>
      <c r="I5027">
        <f>VLOOKUP(B5027,BRAND!B:D,3,FALSE)</f>
        <v>5.5</v>
      </c>
      <c r="J5027">
        <v>5</v>
      </c>
      <c r="M5027">
        <v>1</v>
      </c>
    </row>
    <row r="5028" spans="1:13">
      <c r="A5028" t="s">
        <v>8611</v>
      </c>
      <c r="B5028" t="s">
        <v>8612</v>
      </c>
      <c r="C5028" s="34" t="s">
        <v>1438</v>
      </c>
      <c r="F5028" t="s">
        <v>1438</v>
      </c>
      <c r="G5028" t="s">
        <v>6932</v>
      </c>
      <c r="H5028">
        <v>5</v>
      </c>
      <c r="I5028">
        <f>VLOOKUP(B5028,BRAND!B:D,3,FALSE)</f>
        <v>5.5</v>
      </c>
      <c r="J5028">
        <v>4</v>
      </c>
      <c r="M5028">
        <v>1</v>
      </c>
    </row>
    <row r="5029" spans="1:13">
      <c r="A5029" t="s">
        <v>4739</v>
      </c>
      <c r="B5029" t="s">
        <v>558</v>
      </c>
      <c r="C5029" s="34" t="s">
        <v>772</v>
      </c>
      <c r="F5029" t="s">
        <v>772</v>
      </c>
      <c r="H5029">
        <v>5</v>
      </c>
      <c r="I5029">
        <f>VLOOKUP(B5029,BRAND!B:D,3,FALSE)</f>
        <v>3</v>
      </c>
      <c r="J5029">
        <v>6</v>
      </c>
      <c r="K5029" t="s">
        <v>821</v>
      </c>
      <c r="L5029">
        <v>0</v>
      </c>
      <c r="M5029">
        <v>0</v>
      </c>
    </row>
    <row r="5030" spans="1:13">
      <c r="A5030" t="s">
        <v>2940</v>
      </c>
      <c r="B5030" t="s">
        <v>558</v>
      </c>
      <c r="C5030" s="34" t="s">
        <v>536</v>
      </c>
      <c r="F5030" t="s">
        <v>536</v>
      </c>
      <c r="H5030">
        <v>5</v>
      </c>
      <c r="I5030">
        <f>VLOOKUP(B5030,BRAND!B:D,3,FALSE)</f>
        <v>3</v>
      </c>
      <c r="J5030">
        <v>5</v>
      </c>
      <c r="K5030" t="s">
        <v>821</v>
      </c>
      <c r="M5030">
        <v>1</v>
      </c>
    </row>
    <row r="5031" spans="1:13">
      <c r="A5031" t="s">
        <v>8614</v>
      </c>
      <c r="B5031" t="s">
        <v>558</v>
      </c>
      <c r="C5031" s="34" t="s">
        <v>842</v>
      </c>
      <c r="F5031" t="s">
        <v>842</v>
      </c>
      <c r="G5031" t="s">
        <v>6932</v>
      </c>
      <c r="H5031">
        <v>5</v>
      </c>
      <c r="I5031">
        <f>VLOOKUP(B5031,BRAND!B:D,3,FALSE)</f>
        <v>3</v>
      </c>
      <c r="J5031">
        <v>5</v>
      </c>
      <c r="M5031">
        <v>1</v>
      </c>
    </row>
    <row r="5032" spans="1:13">
      <c r="A5032" t="s">
        <v>8615</v>
      </c>
      <c r="B5032" t="s">
        <v>558</v>
      </c>
      <c r="C5032" s="34" t="s">
        <v>6500</v>
      </c>
      <c r="F5032" t="s">
        <v>6500</v>
      </c>
      <c r="G5032" t="s">
        <v>6932</v>
      </c>
      <c r="H5032">
        <v>5</v>
      </c>
      <c r="I5032">
        <f>VLOOKUP(B5032,BRAND!B:D,3,FALSE)</f>
        <v>3</v>
      </c>
      <c r="J5032">
        <v>5</v>
      </c>
      <c r="M5032">
        <v>1</v>
      </c>
    </row>
    <row r="5033" spans="1:13">
      <c r="A5033" t="s">
        <v>8613</v>
      </c>
      <c r="B5033" t="s">
        <v>558</v>
      </c>
      <c r="C5033" s="34" t="s">
        <v>776</v>
      </c>
      <c r="F5033" t="s">
        <v>776</v>
      </c>
      <c r="G5033" t="s">
        <v>6932</v>
      </c>
      <c r="H5033">
        <v>5</v>
      </c>
      <c r="I5033">
        <f>VLOOKUP(B5033,BRAND!B:D,3,FALSE)</f>
        <v>3</v>
      </c>
      <c r="J5033">
        <v>5</v>
      </c>
      <c r="M5033">
        <v>1</v>
      </c>
    </row>
    <row r="5034" spans="1:13">
      <c r="A5034" t="s">
        <v>8714</v>
      </c>
      <c r="B5034" t="s">
        <v>558</v>
      </c>
      <c r="C5034" s="34" t="s">
        <v>1438</v>
      </c>
      <c r="F5034" t="s">
        <v>1438</v>
      </c>
      <c r="G5034" t="s">
        <v>6932</v>
      </c>
      <c r="H5034">
        <v>5</v>
      </c>
      <c r="I5034">
        <f>VLOOKUP(B5034,BRAND!B:D,3,FALSE)</f>
        <v>3</v>
      </c>
      <c r="J5034">
        <v>4</v>
      </c>
      <c r="M5034">
        <v>1</v>
      </c>
    </row>
    <row r="5035" spans="1:13">
      <c r="A5035" t="s">
        <v>9736</v>
      </c>
      <c r="B5035" t="s">
        <v>558</v>
      </c>
      <c r="C5035" s="34" t="s">
        <v>763</v>
      </c>
      <c r="H5035">
        <v>5</v>
      </c>
      <c r="I5035">
        <f>VLOOKUP(B5035,BRAND!B:D,3,FALSE)</f>
        <v>3</v>
      </c>
      <c r="J5035">
        <v>0</v>
      </c>
      <c r="M5035">
        <v>1</v>
      </c>
    </row>
    <row r="5036" spans="1:13">
      <c r="A5036" t="s">
        <v>3152</v>
      </c>
      <c r="B5036" t="s">
        <v>558</v>
      </c>
      <c r="C5036" s="34" t="s">
        <v>1438</v>
      </c>
      <c r="F5036" t="s">
        <v>1438</v>
      </c>
      <c r="H5036">
        <v>15</v>
      </c>
      <c r="I5036">
        <f>VLOOKUP(B5036,BRAND!B:D,3,FALSE)</f>
        <v>3</v>
      </c>
      <c r="J5036">
        <v>4</v>
      </c>
      <c r="K5036" t="s">
        <v>821</v>
      </c>
      <c r="L5036">
        <v>0</v>
      </c>
      <c r="M5036">
        <v>0</v>
      </c>
    </row>
    <row r="5037" spans="1:13">
      <c r="A5037" t="s">
        <v>2947</v>
      </c>
      <c r="B5037" t="s">
        <v>649</v>
      </c>
      <c r="C5037" s="34" t="s">
        <v>1438</v>
      </c>
      <c r="F5037" t="s">
        <v>1438</v>
      </c>
      <c r="H5037">
        <v>15</v>
      </c>
      <c r="I5037">
        <f>VLOOKUP(B5037,BRAND!B:D,3,FALSE)</f>
        <v>3</v>
      </c>
      <c r="J5037">
        <v>4</v>
      </c>
      <c r="K5037" t="s">
        <v>821</v>
      </c>
      <c r="M5037">
        <v>1</v>
      </c>
    </row>
    <row r="5038" spans="1:13">
      <c r="A5038" t="s">
        <v>8715</v>
      </c>
      <c r="B5038" t="s">
        <v>8716</v>
      </c>
      <c r="C5038" s="34" t="s">
        <v>1438</v>
      </c>
      <c r="F5038" t="s">
        <v>1438</v>
      </c>
      <c r="G5038" t="s">
        <v>6932</v>
      </c>
      <c r="H5038">
        <v>5</v>
      </c>
      <c r="I5038">
        <f>VLOOKUP(B5038,BRAND!B:D,3,FALSE)</f>
        <v>5.5</v>
      </c>
      <c r="J5038">
        <v>4</v>
      </c>
      <c r="M5038">
        <v>1</v>
      </c>
    </row>
    <row r="5039" spans="1:13" s="4" customFormat="1">
      <c r="A5039" t="s">
        <v>14549</v>
      </c>
      <c r="B5039" t="s">
        <v>14544</v>
      </c>
      <c r="C5039" s="34" t="s">
        <v>798</v>
      </c>
      <c r="D5039"/>
      <c r="E5039"/>
      <c r="F5039" t="s">
        <v>14550</v>
      </c>
      <c r="G5039" t="s">
        <v>6932</v>
      </c>
      <c r="H5039">
        <v>5</v>
      </c>
      <c r="I5039">
        <f>VLOOKUP(B5039,BRAND!B:D,3,FALSE)</f>
        <v>0</v>
      </c>
      <c r="J5039">
        <f t="shared" ref="J5039:J5047" si="50">LEN(F5039)</f>
        <v>9</v>
      </c>
      <c r="K5039" t="s">
        <v>821</v>
      </c>
      <c r="L5039">
        <v>0</v>
      </c>
      <c r="M5039">
        <v>1</v>
      </c>
    </row>
    <row r="5040" spans="1:13">
      <c r="A5040" t="s">
        <v>14556</v>
      </c>
      <c r="B5040" t="s">
        <v>14544</v>
      </c>
      <c r="C5040" s="34" t="s">
        <v>746</v>
      </c>
      <c r="F5040" t="s">
        <v>746</v>
      </c>
      <c r="G5040" t="s">
        <v>6932</v>
      </c>
      <c r="H5040">
        <v>5</v>
      </c>
      <c r="I5040">
        <f>VLOOKUP(B5040,BRAND!B:D,3,FALSE)</f>
        <v>0</v>
      </c>
      <c r="J5040">
        <f t="shared" si="50"/>
        <v>6</v>
      </c>
      <c r="K5040" t="s">
        <v>821</v>
      </c>
      <c r="L5040">
        <v>0</v>
      </c>
      <c r="M5040">
        <v>1</v>
      </c>
    </row>
    <row r="5041" spans="1:13">
      <c r="A5041" t="s">
        <v>14554</v>
      </c>
      <c r="B5041" t="s">
        <v>14544</v>
      </c>
      <c r="C5041" s="34" t="s">
        <v>534</v>
      </c>
      <c r="F5041" t="s">
        <v>534</v>
      </c>
      <c r="G5041" t="s">
        <v>6932</v>
      </c>
      <c r="H5041">
        <v>5</v>
      </c>
      <c r="I5041">
        <f>VLOOKUP(B5041,BRAND!B:D,3,FALSE)</f>
        <v>0</v>
      </c>
      <c r="J5041">
        <f t="shared" si="50"/>
        <v>6</v>
      </c>
      <c r="K5041" t="s">
        <v>821</v>
      </c>
      <c r="L5041">
        <v>0</v>
      </c>
      <c r="M5041">
        <v>1</v>
      </c>
    </row>
    <row r="5042" spans="1:13">
      <c r="A5042" t="s">
        <v>14543</v>
      </c>
      <c r="B5042" t="s">
        <v>14544</v>
      </c>
      <c r="C5042" s="34" t="s">
        <v>10023</v>
      </c>
      <c r="F5042" t="s">
        <v>10023</v>
      </c>
      <c r="G5042" t="s">
        <v>6932</v>
      </c>
      <c r="H5042">
        <v>5</v>
      </c>
      <c r="I5042">
        <f>VLOOKUP(B5042,BRAND!B:D,3,FALSE)</f>
        <v>0</v>
      </c>
      <c r="J5042">
        <f t="shared" si="50"/>
        <v>6</v>
      </c>
      <c r="K5042" t="s">
        <v>821</v>
      </c>
      <c r="L5042">
        <v>0</v>
      </c>
      <c r="M5042">
        <v>1</v>
      </c>
    </row>
    <row r="5043" spans="1:13">
      <c r="A5043" t="s">
        <v>14555</v>
      </c>
      <c r="B5043" t="s">
        <v>14544</v>
      </c>
      <c r="C5043" s="34" t="s">
        <v>6948</v>
      </c>
      <c r="F5043" t="s">
        <v>6948</v>
      </c>
      <c r="G5043" t="s">
        <v>6932</v>
      </c>
      <c r="H5043">
        <v>5</v>
      </c>
      <c r="I5043">
        <f>VLOOKUP(B5043,BRAND!B:D,3,FALSE)</f>
        <v>0</v>
      </c>
      <c r="J5043">
        <f t="shared" si="50"/>
        <v>6</v>
      </c>
      <c r="K5043" t="s">
        <v>821</v>
      </c>
      <c r="L5043">
        <v>0</v>
      </c>
      <c r="M5043">
        <v>1</v>
      </c>
    </row>
    <row r="5044" spans="1:13">
      <c r="A5044" t="s">
        <v>14545</v>
      </c>
      <c r="B5044" t="s">
        <v>14544</v>
      </c>
      <c r="C5044" s="34" t="s">
        <v>536</v>
      </c>
      <c r="F5044" t="s">
        <v>536</v>
      </c>
      <c r="G5044" t="s">
        <v>6932</v>
      </c>
      <c r="H5044">
        <v>5</v>
      </c>
      <c r="I5044">
        <f>VLOOKUP(B5044,BRAND!B:D,3,FALSE)</f>
        <v>0</v>
      </c>
      <c r="J5044">
        <f t="shared" si="50"/>
        <v>5</v>
      </c>
      <c r="K5044" t="s">
        <v>821</v>
      </c>
      <c r="L5044">
        <v>0</v>
      </c>
      <c r="M5044">
        <v>1</v>
      </c>
    </row>
    <row r="5045" spans="1:13">
      <c r="A5045" t="s">
        <v>14557</v>
      </c>
      <c r="B5045" t="s">
        <v>14544</v>
      </c>
      <c r="C5045" s="34" t="s">
        <v>14128</v>
      </c>
      <c r="F5045" t="s">
        <v>14128</v>
      </c>
      <c r="G5045" t="s">
        <v>6932</v>
      </c>
      <c r="H5045">
        <v>5</v>
      </c>
      <c r="I5045">
        <f>VLOOKUP(B5045,BRAND!B:D,3,FALSE)</f>
        <v>0</v>
      </c>
      <c r="J5045">
        <f t="shared" si="50"/>
        <v>5</v>
      </c>
      <c r="K5045" t="s">
        <v>821</v>
      </c>
      <c r="L5045">
        <v>0</v>
      </c>
      <c r="M5045">
        <v>1</v>
      </c>
    </row>
    <row r="5046" spans="1:13">
      <c r="A5046" t="s">
        <v>14551</v>
      </c>
      <c r="B5046" t="s">
        <v>14544</v>
      </c>
      <c r="C5046" s="34" t="s">
        <v>788</v>
      </c>
      <c r="F5046" t="s">
        <v>788</v>
      </c>
      <c r="G5046" t="s">
        <v>6932</v>
      </c>
      <c r="H5046">
        <v>5</v>
      </c>
      <c r="I5046">
        <f>VLOOKUP(B5046,BRAND!B:D,3,FALSE)</f>
        <v>0</v>
      </c>
      <c r="J5046">
        <f t="shared" si="50"/>
        <v>4</v>
      </c>
      <c r="K5046" t="s">
        <v>821</v>
      </c>
      <c r="L5046">
        <v>0</v>
      </c>
      <c r="M5046">
        <v>1</v>
      </c>
    </row>
    <row r="5047" spans="1:13">
      <c r="A5047" t="s">
        <v>14548</v>
      </c>
      <c r="B5047" t="s">
        <v>14544</v>
      </c>
      <c r="C5047" s="34" t="s">
        <v>1438</v>
      </c>
      <c r="F5047" t="s">
        <v>1438</v>
      </c>
      <c r="G5047" t="s">
        <v>6932</v>
      </c>
      <c r="H5047">
        <v>5</v>
      </c>
      <c r="I5047">
        <f>VLOOKUP(B5047,BRAND!B:D,3,FALSE)</f>
        <v>0</v>
      </c>
      <c r="J5047">
        <f t="shared" si="50"/>
        <v>4</v>
      </c>
      <c r="K5047" t="s">
        <v>821</v>
      </c>
      <c r="L5047">
        <v>0</v>
      </c>
      <c r="M5047">
        <v>1</v>
      </c>
    </row>
    <row r="5048" spans="1:13">
      <c r="A5048" t="s">
        <v>8717</v>
      </c>
      <c r="B5048" t="s">
        <v>8718</v>
      </c>
      <c r="C5048" s="34" t="s">
        <v>1438</v>
      </c>
      <c r="F5048" t="s">
        <v>1438</v>
      </c>
      <c r="G5048" t="s">
        <v>6932</v>
      </c>
      <c r="H5048">
        <v>5</v>
      </c>
      <c r="I5048">
        <f>VLOOKUP(B5048,BRAND!B:D,3,FALSE)</f>
        <v>5.5</v>
      </c>
      <c r="J5048">
        <v>4</v>
      </c>
      <c r="M5048">
        <v>1</v>
      </c>
    </row>
    <row r="5049" spans="1:13">
      <c r="A5049" t="s">
        <v>2929</v>
      </c>
      <c r="B5049" t="s">
        <v>1292</v>
      </c>
      <c r="C5049" s="34" t="s">
        <v>1438</v>
      </c>
      <c r="F5049" t="s">
        <v>1438</v>
      </c>
      <c r="H5049">
        <v>15</v>
      </c>
      <c r="I5049">
        <f>VLOOKUP(B5049,BRAND!B:D,3,FALSE)</f>
        <v>3</v>
      </c>
      <c r="J5049">
        <v>4</v>
      </c>
      <c r="K5049" t="s">
        <v>821</v>
      </c>
      <c r="L5049">
        <v>0</v>
      </c>
      <c r="M5049">
        <v>0</v>
      </c>
    </row>
    <row r="5050" spans="1:13">
      <c r="A5050" t="s">
        <v>2858</v>
      </c>
      <c r="B5050" t="s">
        <v>1293</v>
      </c>
      <c r="C5050" s="34" t="s">
        <v>1438</v>
      </c>
      <c r="F5050" t="s">
        <v>1438</v>
      </c>
      <c r="H5050">
        <v>15</v>
      </c>
      <c r="I5050">
        <f>VLOOKUP(B5050,BRAND!B:D,3,FALSE)</f>
        <v>3</v>
      </c>
      <c r="J5050">
        <v>4</v>
      </c>
      <c r="K5050" t="s">
        <v>821</v>
      </c>
      <c r="L5050">
        <v>0</v>
      </c>
      <c r="M5050">
        <v>0</v>
      </c>
    </row>
    <row r="5051" spans="1:13">
      <c r="A5051" t="s">
        <v>2305</v>
      </c>
      <c r="B5051" t="s">
        <v>1294</v>
      </c>
      <c r="C5051" s="34" t="s">
        <v>840</v>
      </c>
      <c r="F5051" t="s">
        <v>840</v>
      </c>
      <c r="H5051">
        <v>5</v>
      </c>
      <c r="I5051">
        <f>VLOOKUP(B5051,BRAND!B:D,3,FALSE)</f>
        <v>4</v>
      </c>
      <c r="J5051">
        <v>9</v>
      </c>
      <c r="K5051" t="s">
        <v>821</v>
      </c>
      <c r="L5051">
        <v>0</v>
      </c>
      <c r="M5051">
        <v>0</v>
      </c>
    </row>
    <row r="5052" spans="1:13">
      <c r="A5052" t="s">
        <v>3416</v>
      </c>
      <c r="B5052" t="s">
        <v>1294</v>
      </c>
      <c r="C5052" s="34" t="s">
        <v>534</v>
      </c>
      <c r="F5052" t="s">
        <v>534</v>
      </c>
      <c r="H5052">
        <v>5</v>
      </c>
      <c r="I5052">
        <f>VLOOKUP(B5052,BRAND!B:D,3,FALSE)</f>
        <v>4</v>
      </c>
      <c r="J5052">
        <v>6</v>
      </c>
      <c r="K5052" t="s">
        <v>821</v>
      </c>
      <c r="L5052">
        <v>0</v>
      </c>
      <c r="M5052">
        <v>0</v>
      </c>
    </row>
    <row r="5053" spans="1:13">
      <c r="A5053" t="s">
        <v>2824</v>
      </c>
      <c r="B5053" t="s">
        <v>1294</v>
      </c>
      <c r="C5053" s="34" t="s">
        <v>763</v>
      </c>
      <c r="F5053" t="s">
        <v>763</v>
      </c>
      <c r="H5053">
        <v>5</v>
      </c>
      <c r="I5053">
        <f>VLOOKUP(B5053,BRAND!B:D,3,FALSE)</f>
        <v>4</v>
      </c>
      <c r="J5053">
        <v>5</v>
      </c>
      <c r="K5053" t="s">
        <v>821</v>
      </c>
      <c r="L5053">
        <v>0</v>
      </c>
      <c r="M5053">
        <v>0</v>
      </c>
    </row>
    <row r="5054" spans="1:13">
      <c r="A5054" t="s">
        <v>3498</v>
      </c>
      <c r="B5054" t="s">
        <v>1294</v>
      </c>
      <c r="C5054" s="34" t="s">
        <v>5406</v>
      </c>
      <c r="F5054" t="s">
        <v>536</v>
      </c>
      <c r="H5054">
        <v>5</v>
      </c>
      <c r="I5054">
        <f>VLOOKUP(B5054,BRAND!B:D,3,FALSE)</f>
        <v>4</v>
      </c>
      <c r="J5054">
        <v>5</v>
      </c>
      <c r="K5054" t="s">
        <v>821</v>
      </c>
      <c r="L5054">
        <v>0</v>
      </c>
      <c r="M5054">
        <v>0</v>
      </c>
    </row>
    <row r="5055" spans="1:13">
      <c r="A5055" t="s">
        <v>3886</v>
      </c>
      <c r="B5055" t="s">
        <v>1294</v>
      </c>
      <c r="C5055" s="34" t="s">
        <v>842</v>
      </c>
      <c r="F5055" t="s">
        <v>842</v>
      </c>
      <c r="H5055">
        <v>5</v>
      </c>
      <c r="I5055">
        <f>VLOOKUP(B5055,BRAND!B:D,3,FALSE)</f>
        <v>4</v>
      </c>
      <c r="J5055">
        <v>5</v>
      </c>
      <c r="K5055" t="s">
        <v>821</v>
      </c>
      <c r="L5055">
        <v>0</v>
      </c>
      <c r="M5055">
        <v>0</v>
      </c>
    </row>
    <row r="5056" spans="1:13">
      <c r="A5056" t="s">
        <v>2255</v>
      </c>
      <c r="B5056" t="s">
        <v>559</v>
      </c>
      <c r="C5056" s="34" t="s">
        <v>840</v>
      </c>
      <c r="F5056" t="s">
        <v>840</v>
      </c>
      <c r="H5056">
        <v>5</v>
      </c>
      <c r="I5056">
        <f>VLOOKUP(B5056,BRAND!B:D,3,FALSE)</f>
        <v>3</v>
      </c>
      <c r="J5056">
        <v>9</v>
      </c>
      <c r="K5056" t="s">
        <v>821</v>
      </c>
      <c r="L5056">
        <v>0</v>
      </c>
      <c r="M5056">
        <v>0</v>
      </c>
    </row>
    <row r="5057" spans="1:13">
      <c r="A5057" t="s">
        <v>2195</v>
      </c>
      <c r="B5057" t="s">
        <v>559</v>
      </c>
      <c r="C5057" s="34" t="s">
        <v>772</v>
      </c>
      <c r="F5057" t="s">
        <v>772</v>
      </c>
      <c r="H5057">
        <v>5</v>
      </c>
      <c r="I5057">
        <f>VLOOKUP(B5057,BRAND!B:D,3,FALSE)</f>
        <v>3</v>
      </c>
      <c r="J5057">
        <v>6</v>
      </c>
      <c r="K5057" t="s">
        <v>821</v>
      </c>
      <c r="L5057">
        <v>0</v>
      </c>
      <c r="M5057">
        <v>0</v>
      </c>
    </row>
    <row r="5058" spans="1:13">
      <c r="A5058" t="s">
        <v>3558</v>
      </c>
      <c r="B5058" t="s">
        <v>559</v>
      </c>
      <c r="C5058" s="34" t="s">
        <v>534</v>
      </c>
      <c r="F5058" t="s">
        <v>534</v>
      </c>
      <c r="H5058">
        <v>5</v>
      </c>
      <c r="I5058">
        <f>VLOOKUP(B5058,BRAND!B:D,3,FALSE)</f>
        <v>3</v>
      </c>
      <c r="J5058">
        <v>6</v>
      </c>
      <c r="K5058" t="s">
        <v>821</v>
      </c>
      <c r="M5058">
        <v>1</v>
      </c>
    </row>
    <row r="5059" spans="1:13">
      <c r="A5059" t="s">
        <v>8617</v>
      </c>
      <c r="B5059" t="s">
        <v>559</v>
      </c>
      <c r="C5059" s="34" t="s">
        <v>6364</v>
      </c>
      <c r="F5059" t="s">
        <v>6364</v>
      </c>
      <c r="G5059" t="s">
        <v>6932</v>
      </c>
      <c r="H5059">
        <v>5</v>
      </c>
      <c r="I5059">
        <f>VLOOKUP(B5059,BRAND!B:D,3,FALSE)</f>
        <v>3</v>
      </c>
      <c r="J5059">
        <v>6</v>
      </c>
      <c r="M5059">
        <v>1</v>
      </c>
    </row>
    <row r="5060" spans="1:13">
      <c r="A5060" t="s">
        <v>2948</v>
      </c>
      <c r="B5060" t="s">
        <v>559</v>
      </c>
      <c r="C5060" s="34" t="s">
        <v>536</v>
      </c>
      <c r="F5060" t="s">
        <v>536</v>
      </c>
      <c r="H5060">
        <v>5</v>
      </c>
      <c r="I5060">
        <f>VLOOKUP(B5060,BRAND!B:D,3,FALSE)</f>
        <v>3</v>
      </c>
      <c r="J5060">
        <v>5</v>
      </c>
      <c r="K5060" t="s">
        <v>821</v>
      </c>
      <c r="M5060">
        <v>1</v>
      </c>
    </row>
    <row r="5061" spans="1:13">
      <c r="A5061" t="s">
        <v>8616</v>
      </c>
      <c r="B5061" t="s">
        <v>559</v>
      </c>
      <c r="C5061" s="34" t="s">
        <v>763</v>
      </c>
      <c r="F5061" t="s">
        <v>763</v>
      </c>
      <c r="G5061" t="s">
        <v>6932</v>
      </c>
      <c r="H5061">
        <v>5</v>
      </c>
      <c r="I5061">
        <f>VLOOKUP(B5061,BRAND!B:D,3,FALSE)</f>
        <v>3</v>
      </c>
      <c r="J5061">
        <v>5</v>
      </c>
      <c r="M5061">
        <v>1</v>
      </c>
    </row>
    <row r="5062" spans="1:13">
      <c r="A5062" t="s">
        <v>2194</v>
      </c>
      <c r="B5062" t="s">
        <v>559</v>
      </c>
      <c r="C5062" s="34" t="s">
        <v>1438</v>
      </c>
      <c r="F5062" t="s">
        <v>1438</v>
      </c>
      <c r="H5062">
        <v>15</v>
      </c>
      <c r="I5062">
        <f>VLOOKUP(B5062,BRAND!B:D,3,FALSE)</f>
        <v>3</v>
      </c>
      <c r="J5062">
        <v>4</v>
      </c>
      <c r="K5062" t="s">
        <v>821</v>
      </c>
      <c r="L5062">
        <v>0</v>
      </c>
      <c r="M5062">
        <v>0</v>
      </c>
    </row>
    <row r="5063" spans="1:13">
      <c r="A5063" t="s">
        <v>8195</v>
      </c>
      <c r="B5063" t="s">
        <v>8196</v>
      </c>
      <c r="C5063" s="34" t="s">
        <v>1438</v>
      </c>
      <c r="F5063" t="s">
        <v>1438</v>
      </c>
      <c r="G5063" t="s">
        <v>6932</v>
      </c>
      <c r="H5063">
        <v>5</v>
      </c>
      <c r="I5063">
        <f>VLOOKUP(B5063,BRAND!B:D,3,FALSE)</f>
        <v>5.5</v>
      </c>
      <c r="J5063">
        <v>4</v>
      </c>
      <c r="M5063">
        <v>1</v>
      </c>
    </row>
    <row r="5064" spans="1:13" s="5" customFormat="1">
      <c r="A5064" t="s">
        <v>8618</v>
      </c>
      <c r="B5064" t="s">
        <v>8619</v>
      </c>
      <c r="C5064" s="34" t="s">
        <v>1438</v>
      </c>
      <c r="D5064"/>
      <c r="E5064"/>
      <c r="F5064" t="s">
        <v>1438</v>
      </c>
      <c r="G5064" t="s">
        <v>6932</v>
      </c>
      <c r="H5064">
        <v>5</v>
      </c>
      <c r="I5064">
        <f>VLOOKUP(B5064,BRAND!B:D,3,FALSE)</f>
        <v>5.5</v>
      </c>
      <c r="J5064">
        <v>4</v>
      </c>
      <c r="K5064"/>
      <c r="L5064">
        <v>1</v>
      </c>
      <c r="M5064">
        <v>1</v>
      </c>
    </row>
    <row r="5065" spans="1:13">
      <c r="A5065" t="s">
        <v>2777</v>
      </c>
      <c r="B5065" t="s">
        <v>1295</v>
      </c>
      <c r="C5065" s="34" t="s">
        <v>1438</v>
      </c>
      <c r="F5065" t="s">
        <v>1438</v>
      </c>
      <c r="H5065">
        <v>15</v>
      </c>
      <c r="I5065">
        <f>VLOOKUP(B5065,BRAND!B:D,3,FALSE)</f>
        <v>3</v>
      </c>
      <c r="J5065">
        <v>4</v>
      </c>
      <c r="K5065" t="s">
        <v>821</v>
      </c>
      <c r="L5065">
        <v>0</v>
      </c>
      <c r="M5065">
        <v>0</v>
      </c>
    </row>
    <row r="5066" spans="1:13">
      <c r="A5066" t="s">
        <v>8620</v>
      </c>
      <c r="B5066" t="s">
        <v>8621</v>
      </c>
      <c r="C5066" s="34" t="s">
        <v>776</v>
      </c>
      <c r="F5066" t="s">
        <v>776</v>
      </c>
      <c r="G5066" t="s">
        <v>6932</v>
      </c>
      <c r="H5066">
        <v>5</v>
      </c>
      <c r="I5066">
        <f>VLOOKUP(B5066,BRAND!B:D,3,FALSE)</f>
        <v>5.5</v>
      </c>
      <c r="J5066">
        <v>5</v>
      </c>
      <c r="M5066">
        <v>1</v>
      </c>
    </row>
    <row r="5067" spans="1:13">
      <c r="A5067" t="s">
        <v>8719</v>
      </c>
      <c r="B5067" t="s">
        <v>8720</v>
      </c>
      <c r="C5067" s="34" t="s">
        <v>1438</v>
      </c>
      <c r="F5067" t="s">
        <v>1438</v>
      </c>
      <c r="G5067" t="s">
        <v>6932</v>
      </c>
      <c r="H5067">
        <v>5</v>
      </c>
      <c r="I5067">
        <f>VLOOKUP(B5067,BRAND!B:D,3,FALSE)</f>
        <v>5.5</v>
      </c>
      <c r="J5067">
        <v>4</v>
      </c>
      <c r="M5067">
        <v>1</v>
      </c>
    </row>
    <row r="5068" spans="1:13">
      <c r="A5068" t="s">
        <v>3139</v>
      </c>
      <c r="B5068" t="s">
        <v>669</v>
      </c>
      <c r="C5068" s="34" t="s">
        <v>1438</v>
      </c>
      <c r="F5068" t="s">
        <v>1438</v>
      </c>
      <c r="H5068">
        <v>15</v>
      </c>
      <c r="I5068">
        <f>VLOOKUP(B5068,BRAND!B:D,3,FALSE)</f>
        <v>3</v>
      </c>
      <c r="J5068">
        <v>4</v>
      </c>
      <c r="K5068" t="s">
        <v>821</v>
      </c>
      <c r="M5068">
        <v>1</v>
      </c>
    </row>
    <row r="5069" spans="1:13">
      <c r="A5069" t="s">
        <v>8622</v>
      </c>
      <c r="B5069" t="s">
        <v>8623</v>
      </c>
      <c r="C5069" s="34" t="s">
        <v>776</v>
      </c>
      <c r="F5069" t="s">
        <v>776</v>
      </c>
      <c r="G5069" t="s">
        <v>6932</v>
      </c>
      <c r="H5069">
        <v>5</v>
      </c>
      <c r="I5069">
        <f>VLOOKUP(B5069,BRAND!B:D,3,FALSE)</f>
        <v>5.5</v>
      </c>
      <c r="J5069">
        <v>5</v>
      </c>
      <c r="M5069">
        <v>1</v>
      </c>
    </row>
    <row r="5070" spans="1:13">
      <c r="A5070" t="s">
        <v>8997</v>
      </c>
      <c r="B5070" t="s">
        <v>8623</v>
      </c>
      <c r="C5070" s="34" t="s">
        <v>1438</v>
      </c>
      <c r="F5070" t="s">
        <v>1438</v>
      </c>
      <c r="G5070" t="s">
        <v>6932</v>
      </c>
      <c r="H5070">
        <v>5</v>
      </c>
      <c r="I5070">
        <f>VLOOKUP(B5070,BRAND!B:D,3,FALSE)</f>
        <v>5.5</v>
      </c>
      <c r="J5070">
        <v>4</v>
      </c>
      <c r="L5070">
        <v>1</v>
      </c>
      <c r="M5070">
        <v>1</v>
      </c>
    </row>
    <row r="5071" spans="1:13">
      <c r="A5071" t="s">
        <v>8624</v>
      </c>
      <c r="B5071" t="s">
        <v>8625</v>
      </c>
      <c r="C5071" s="34" t="s">
        <v>1438</v>
      </c>
      <c r="F5071" t="s">
        <v>1438</v>
      </c>
      <c r="G5071" t="s">
        <v>6932</v>
      </c>
      <c r="H5071">
        <v>5</v>
      </c>
      <c r="I5071">
        <f>VLOOKUP(B5071,BRAND!B:D,3,FALSE)</f>
        <v>5.5</v>
      </c>
      <c r="J5071">
        <v>4</v>
      </c>
      <c r="M5071">
        <v>1</v>
      </c>
    </row>
    <row r="5072" spans="1:13">
      <c r="A5072" t="s">
        <v>8721</v>
      </c>
      <c r="B5072" t="s">
        <v>8722</v>
      </c>
      <c r="C5072" s="34" t="s">
        <v>1438</v>
      </c>
      <c r="F5072" t="s">
        <v>1438</v>
      </c>
      <c r="G5072" t="s">
        <v>6932</v>
      </c>
      <c r="H5072">
        <v>5</v>
      </c>
      <c r="I5072">
        <f>VLOOKUP(B5072,BRAND!B:D,3,FALSE)</f>
        <v>5.5</v>
      </c>
      <c r="J5072">
        <v>4</v>
      </c>
      <c r="M5072">
        <v>1</v>
      </c>
    </row>
    <row r="5073" spans="1:13">
      <c r="A5073" t="s">
        <v>8628</v>
      </c>
      <c r="B5073" t="s">
        <v>8627</v>
      </c>
      <c r="C5073" s="34" t="s">
        <v>535</v>
      </c>
      <c r="F5073" t="s">
        <v>535</v>
      </c>
      <c r="G5073" t="s">
        <v>6932</v>
      </c>
      <c r="H5073">
        <v>5</v>
      </c>
      <c r="I5073">
        <f>VLOOKUP(B5073,BRAND!B:D,3,FALSE)</f>
        <v>5.5</v>
      </c>
      <c r="J5073">
        <v>6</v>
      </c>
      <c r="M5073">
        <v>1</v>
      </c>
    </row>
    <row r="5074" spans="1:13">
      <c r="A5074" t="s">
        <v>8626</v>
      </c>
      <c r="B5074" t="s">
        <v>8627</v>
      </c>
      <c r="C5074" s="34" t="s">
        <v>776</v>
      </c>
      <c r="F5074" t="s">
        <v>776</v>
      </c>
      <c r="G5074" t="s">
        <v>6932</v>
      </c>
      <c r="H5074">
        <v>5</v>
      </c>
      <c r="I5074">
        <f>VLOOKUP(B5074,BRAND!B:D,3,FALSE)</f>
        <v>5.5</v>
      </c>
      <c r="J5074">
        <v>5</v>
      </c>
      <c r="M5074">
        <v>1</v>
      </c>
    </row>
    <row r="5075" spans="1:13">
      <c r="A5075" t="s">
        <v>8631</v>
      </c>
      <c r="B5075" t="s">
        <v>8627</v>
      </c>
      <c r="C5075" s="34" t="s">
        <v>781</v>
      </c>
      <c r="F5075" t="s">
        <v>781</v>
      </c>
      <c r="G5075" t="s">
        <v>6932</v>
      </c>
      <c r="H5075">
        <v>5</v>
      </c>
      <c r="I5075">
        <f>VLOOKUP(B5075,BRAND!B:D,3,FALSE)</f>
        <v>5.5</v>
      </c>
      <c r="J5075">
        <v>4</v>
      </c>
      <c r="L5075">
        <v>1</v>
      </c>
      <c r="M5075">
        <v>1</v>
      </c>
    </row>
    <row r="5076" spans="1:13">
      <c r="A5076" t="s">
        <v>8630</v>
      </c>
      <c r="B5076" t="s">
        <v>8627</v>
      </c>
      <c r="C5076" s="34" t="s">
        <v>903</v>
      </c>
      <c r="F5076" t="s">
        <v>903</v>
      </c>
      <c r="G5076" t="s">
        <v>6932</v>
      </c>
      <c r="H5076">
        <v>5</v>
      </c>
      <c r="I5076">
        <f>VLOOKUP(B5076,BRAND!B:D,3,FALSE)</f>
        <v>5.5</v>
      </c>
      <c r="J5076">
        <v>4</v>
      </c>
      <c r="M5076">
        <v>1</v>
      </c>
    </row>
    <row r="5077" spans="1:13">
      <c r="A5077" t="s">
        <v>9462</v>
      </c>
      <c r="B5077" t="s">
        <v>8627</v>
      </c>
      <c r="C5077" s="34" t="s">
        <v>1438</v>
      </c>
      <c r="F5077" t="s">
        <v>1438</v>
      </c>
      <c r="G5077" t="s">
        <v>6932</v>
      </c>
      <c r="H5077">
        <v>5</v>
      </c>
      <c r="I5077">
        <f>VLOOKUP(B5077,BRAND!B:D,3,FALSE)</f>
        <v>5.5</v>
      </c>
      <c r="J5077">
        <v>4</v>
      </c>
      <c r="M5077">
        <v>1</v>
      </c>
    </row>
    <row r="5078" spans="1:13">
      <c r="A5078" t="s">
        <v>8632</v>
      </c>
      <c r="B5078" t="s">
        <v>8627</v>
      </c>
      <c r="C5078" s="34" t="s">
        <v>775</v>
      </c>
      <c r="F5078" t="s">
        <v>775</v>
      </c>
      <c r="G5078" t="s">
        <v>6932</v>
      </c>
      <c r="H5078">
        <v>5</v>
      </c>
      <c r="I5078">
        <f>VLOOKUP(B5078,BRAND!B:D,3,FALSE)</f>
        <v>5.5</v>
      </c>
      <c r="J5078">
        <v>3</v>
      </c>
      <c r="M5078">
        <v>1</v>
      </c>
    </row>
    <row r="5079" spans="1:13">
      <c r="A5079" t="s">
        <v>8629</v>
      </c>
      <c r="B5079" t="s">
        <v>8627</v>
      </c>
      <c r="C5079" s="34" t="s">
        <v>561</v>
      </c>
      <c r="F5079" t="s">
        <v>561</v>
      </c>
      <c r="G5079" t="s">
        <v>6932</v>
      </c>
      <c r="H5079">
        <v>5</v>
      </c>
      <c r="I5079">
        <f>VLOOKUP(B5079,BRAND!B:D,3,FALSE)</f>
        <v>5.5</v>
      </c>
      <c r="J5079">
        <v>3</v>
      </c>
      <c r="M5079">
        <v>1</v>
      </c>
    </row>
    <row r="5080" spans="1:13">
      <c r="A5080" t="s">
        <v>9463</v>
      </c>
      <c r="B5080" t="s">
        <v>9464</v>
      </c>
      <c r="C5080" s="34" t="s">
        <v>1438</v>
      </c>
      <c r="F5080" t="s">
        <v>1438</v>
      </c>
      <c r="G5080" t="s">
        <v>6932</v>
      </c>
      <c r="H5080">
        <v>5</v>
      </c>
      <c r="I5080">
        <f>VLOOKUP(B5080,BRAND!B:D,3,FALSE)</f>
        <v>5.5</v>
      </c>
      <c r="J5080">
        <v>4</v>
      </c>
      <c r="M5080">
        <v>1</v>
      </c>
    </row>
    <row r="5081" spans="1:13">
      <c r="A5081" t="s">
        <v>8633</v>
      </c>
      <c r="B5081" t="s">
        <v>8634</v>
      </c>
      <c r="C5081" s="34" t="s">
        <v>842</v>
      </c>
      <c r="F5081" t="s">
        <v>842</v>
      </c>
      <c r="G5081" t="s">
        <v>6932</v>
      </c>
      <c r="H5081">
        <v>5</v>
      </c>
      <c r="I5081">
        <f>VLOOKUP(B5081,BRAND!B:D,3,FALSE)</f>
        <v>5.5</v>
      </c>
      <c r="J5081">
        <v>5</v>
      </c>
      <c r="M5081">
        <v>1</v>
      </c>
    </row>
    <row r="5082" spans="1:13">
      <c r="A5082" t="s">
        <v>9454</v>
      </c>
      <c r="B5082" t="s">
        <v>8634</v>
      </c>
      <c r="C5082" s="34" t="s">
        <v>9455</v>
      </c>
      <c r="F5082" t="s">
        <v>9455</v>
      </c>
      <c r="G5082" t="s">
        <v>6932</v>
      </c>
      <c r="H5082">
        <v>5</v>
      </c>
      <c r="I5082">
        <f>VLOOKUP(B5082,BRAND!B:D,3,FALSE)</f>
        <v>5.5</v>
      </c>
      <c r="J5082">
        <v>3</v>
      </c>
      <c r="M5082">
        <v>1</v>
      </c>
    </row>
    <row r="5083" spans="1:13">
      <c r="A5083" t="s">
        <v>8635</v>
      </c>
      <c r="B5083" t="s">
        <v>8634</v>
      </c>
      <c r="C5083" s="34" t="s">
        <v>786</v>
      </c>
      <c r="F5083" t="s">
        <v>786</v>
      </c>
      <c r="G5083" t="s">
        <v>6932</v>
      </c>
      <c r="H5083">
        <v>5</v>
      </c>
      <c r="I5083">
        <f>VLOOKUP(B5083,BRAND!B:D,3,FALSE)</f>
        <v>5.5</v>
      </c>
      <c r="J5083">
        <v>3</v>
      </c>
      <c r="M5083">
        <v>1</v>
      </c>
    </row>
    <row r="5084" spans="1:13">
      <c r="A5084" t="s">
        <v>8636</v>
      </c>
      <c r="B5084" t="s">
        <v>8637</v>
      </c>
      <c r="C5084" s="34" t="s">
        <v>1438</v>
      </c>
      <c r="F5084" t="s">
        <v>1438</v>
      </c>
      <c r="G5084" t="s">
        <v>6932</v>
      </c>
      <c r="H5084">
        <v>5</v>
      </c>
      <c r="I5084">
        <f>VLOOKUP(B5084,BRAND!B:D,3,FALSE)</f>
        <v>5.5</v>
      </c>
      <c r="J5084">
        <v>4</v>
      </c>
      <c r="M5084">
        <v>1</v>
      </c>
    </row>
    <row r="5085" spans="1:13">
      <c r="A5085" t="s">
        <v>8723</v>
      </c>
      <c r="B5085" t="s">
        <v>8724</v>
      </c>
      <c r="C5085" s="34" t="s">
        <v>1438</v>
      </c>
      <c r="F5085" t="s">
        <v>1438</v>
      </c>
      <c r="G5085" t="s">
        <v>6932</v>
      </c>
      <c r="H5085">
        <v>5</v>
      </c>
      <c r="I5085">
        <f>VLOOKUP(B5085,BRAND!B:D,3,FALSE)</f>
        <v>5.5</v>
      </c>
      <c r="J5085">
        <v>4</v>
      </c>
      <c r="M5085">
        <v>1</v>
      </c>
    </row>
    <row r="5086" spans="1:13">
      <c r="A5086" t="s">
        <v>3796</v>
      </c>
      <c r="B5086" t="s">
        <v>331</v>
      </c>
      <c r="C5086" s="34" t="s">
        <v>534</v>
      </c>
      <c r="F5086" t="s">
        <v>534</v>
      </c>
      <c r="H5086">
        <v>5</v>
      </c>
      <c r="I5086">
        <f>VLOOKUP(B5086,BRAND!B:D,3,FALSE)</f>
        <v>3</v>
      </c>
      <c r="J5086">
        <v>6</v>
      </c>
      <c r="K5086" t="s">
        <v>821</v>
      </c>
      <c r="M5086">
        <v>1</v>
      </c>
    </row>
    <row r="5087" spans="1:13">
      <c r="A5087" t="s">
        <v>4676</v>
      </c>
      <c r="B5087" t="s">
        <v>331</v>
      </c>
      <c r="C5087" s="34" t="s">
        <v>772</v>
      </c>
      <c r="F5087" t="s">
        <v>772</v>
      </c>
      <c r="H5087">
        <v>5</v>
      </c>
      <c r="I5087">
        <f>VLOOKUP(B5087,BRAND!B:D,3,FALSE)</f>
        <v>3</v>
      </c>
      <c r="J5087">
        <v>6</v>
      </c>
      <c r="K5087" t="s">
        <v>821</v>
      </c>
      <c r="M5087">
        <v>1</v>
      </c>
    </row>
    <row r="5088" spans="1:13">
      <c r="A5088" t="s">
        <v>3093</v>
      </c>
      <c r="B5088" t="s">
        <v>331</v>
      </c>
      <c r="C5088" s="34" t="s">
        <v>1438</v>
      </c>
      <c r="F5088" t="s">
        <v>1438</v>
      </c>
      <c r="H5088">
        <v>15</v>
      </c>
      <c r="I5088">
        <f>VLOOKUP(B5088,BRAND!B:D,3,FALSE)</f>
        <v>3</v>
      </c>
      <c r="J5088">
        <v>4</v>
      </c>
      <c r="K5088" t="s">
        <v>821</v>
      </c>
      <c r="M5088">
        <v>1</v>
      </c>
    </row>
    <row r="5089" spans="1:13">
      <c r="A5089" t="s">
        <v>8725</v>
      </c>
      <c r="B5089" t="s">
        <v>8726</v>
      </c>
      <c r="C5089" s="34" t="s">
        <v>1438</v>
      </c>
      <c r="F5089" t="s">
        <v>1438</v>
      </c>
      <c r="G5089" t="s">
        <v>6932</v>
      </c>
      <c r="H5089">
        <v>5</v>
      </c>
      <c r="I5089">
        <f>VLOOKUP(B5089,BRAND!B:D,3,FALSE)</f>
        <v>5.5</v>
      </c>
      <c r="J5089">
        <v>4</v>
      </c>
      <c r="M5089">
        <v>1</v>
      </c>
    </row>
    <row r="5090" spans="1:13">
      <c r="A5090" t="s">
        <v>8638</v>
      </c>
      <c r="B5090" t="s">
        <v>8639</v>
      </c>
      <c r="C5090" s="34" t="s">
        <v>1438</v>
      </c>
      <c r="F5090" t="s">
        <v>1438</v>
      </c>
      <c r="G5090" t="s">
        <v>6932</v>
      </c>
      <c r="H5090">
        <v>5</v>
      </c>
      <c r="I5090">
        <f>VLOOKUP(B5090,BRAND!B:D,3,FALSE)</f>
        <v>5.5</v>
      </c>
      <c r="J5090">
        <v>4</v>
      </c>
      <c r="M5090">
        <v>1</v>
      </c>
    </row>
    <row r="5091" spans="1:13">
      <c r="A5091" t="s">
        <v>8727</v>
      </c>
      <c r="B5091" t="s">
        <v>8728</v>
      </c>
      <c r="C5091" s="34" t="s">
        <v>1438</v>
      </c>
      <c r="F5091" t="s">
        <v>1438</v>
      </c>
      <c r="G5091" t="s">
        <v>6932</v>
      </c>
      <c r="H5091">
        <v>5</v>
      </c>
      <c r="I5091">
        <f>VLOOKUP(B5091,BRAND!B:D,3,FALSE)</f>
        <v>5.5</v>
      </c>
      <c r="J5091">
        <v>4</v>
      </c>
      <c r="L5091">
        <v>0</v>
      </c>
      <c r="M5091">
        <v>0</v>
      </c>
    </row>
    <row r="5092" spans="1:13">
      <c r="A5092" t="s">
        <v>9738</v>
      </c>
      <c r="B5092" t="s">
        <v>8728</v>
      </c>
      <c r="C5092" s="34" t="s">
        <v>534</v>
      </c>
      <c r="G5092" t="s">
        <v>6932</v>
      </c>
      <c r="H5092">
        <v>5</v>
      </c>
      <c r="I5092">
        <f>VLOOKUP(B5092,BRAND!B:D,3,FALSE)</f>
        <v>5.5</v>
      </c>
      <c r="J5092">
        <v>0</v>
      </c>
      <c r="M5092">
        <v>1</v>
      </c>
    </row>
    <row r="5093" spans="1:13">
      <c r="A5093" t="s">
        <v>9737</v>
      </c>
      <c r="B5093" t="s">
        <v>8728</v>
      </c>
      <c r="C5093" s="34" t="s">
        <v>751</v>
      </c>
      <c r="G5093" t="s">
        <v>6932</v>
      </c>
      <c r="H5093">
        <v>5</v>
      </c>
      <c r="I5093">
        <f>VLOOKUP(B5093,BRAND!B:D,3,FALSE)</f>
        <v>5.5</v>
      </c>
      <c r="J5093">
        <v>0</v>
      </c>
      <c r="M5093">
        <v>1</v>
      </c>
    </row>
    <row r="5094" spans="1:13">
      <c r="A5094" t="s">
        <v>9739</v>
      </c>
      <c r="B5094" t="s">
        <v>8728</v>
      </c>
      <c r="C5094" s="34" t="s">
        <v>946</v>
      </c>
      <c r="G5094" t="s">
        <v>6932</v>
      </c>
      <c r="H5094">
        <v>5</v>
      </c>
      <c r="I5094">
        <f>VLOOKUP(B5094,BRAND!B:D,3,FALSE)</f>
        <v>5.5</v>
      </c>
      <c r="J5094">
        <v>0</v>
      </c>
      <c r="M5094">
        <v>1</v>
      </c>
    </row>
    <row r="5095" spans="1:13">
      <c r="A5095" t="s">
        <v>8640</v>
      </c>
      <c r="B5095" t="s">
        <v>8641</v>
      </c>
      <c r="C5095" s="34" t="s">
        <v>1438</v>
      </c>
      <c r="F5095" t="s">
        <v>1438</v>
      </c>
      <c r="G5095" t="s">
        <v>6932</v>
      </c>
      <c r="H5095">
        <v>5</v>
      </c>
      <c r="I5095">
        <f>VLOOKUP(B5095,BRAND!B:D,3,FALSE)</f>
        <v>5.5</v>
      </c>
      <c r="J5095">
        <v>4</v>
      </c>
      <c r="L5095">
        <v>0</v>
      </c>
      <c r="M5095">
        <v>0</v>
      </c>
    </row>
    <row r="5096" spans="1:13">
      <c r="A5096" t="s">
        <v>3033</v>
      </c>
      <c r="B5096" t="s">
        <v>662</v>
      </c>
      <c r="C5096" s="34" t="s">
        <v>774</v>
      </c>
      <c r="F5096" t="s">
        <v>774</v>
      </c>
      <c r="H5096">
        <v>5</v>
      </c>
      <c r="I5096" t="e">
        <f>VLOOKUP(B5096,BRAND!B:D,3,FALSE)</f>
        <v>#N/A</v>
      </c>
      <c r="J5096">
        <v>9</v>
      </c>
      <c r="K5096" t="s">
        <v>821</v>
      </c>
      <c r="L5096">
        <v>0</v>
      </c>
      <c r="M5096">
        <v>0</v>
      </c>
    </row>
    <row r="5097" spans="1:13">
      <c r="A5097" t="s">
        <v>3032</v>
      </c>
      <c r="B5097" t="s">
        <v>662</v>
      </c>
      <c r="C5097" s="34" t="s">
        <v>536</v>
      </c>
      <c r="F5097" t="s">
        <v>536</v>
      </c>
      <c r="H5097">
        <v>5</v>
      </c>
      <c r="I5097" t="e">
        <f>VLOOKUP(B5097,BRAND!B:D,3,FALSE)</f>
        <v>#N/A</v>
      </c>
      <c r="J5097">
        <v>5</v>
      </c>
      <c r="K5097" t="s">
        <v>821</v>
      </c>
      <c r="M5097">
        <v>1</v>
      </c>
    </row>
    <row r="5098" spans="1:13">
      <c r="A5098" t="s">
        <v>9740</v>
      </c>
      <c r="B5098" t="s">
        <v>662</v>
      </c>
      <c r="C5098" s="34" t="s">
        <v>561</v>
      </c>
      <c r="H5098">
        <v>5</v>
      </c>
      <c r="I5098" t="e">
        <f>VLOOKUP(B5098,BRAND!B:D,3,FALSE)</f>
        <v>#N/A</v>
      </c>
      <c r="J5098">
        <v>0</v>
      </c>
      <c r="M5098">
        <v>1</v>
      </c>
    </row>
    <row r="5099" spans="1:13">
      <c r="A5099" t="s">
        <v>8729</v>
      </c>
      <c r="B5099" t="s">
        <v>8730</v>
      </c>
      <c r="C5099" s="34" t="s">
        <v>1438</v>
      </c>
      <c r="F5099" t="s">
        <v>1438</v>
      </c>
      <c r="G5099" t="s">
        <v>6932</v>
      </c>
      <c r="H5099">
        <v>5</v>
      </c>
      <c r="I5099">
        <f>VLOOKUP(B5099,BRAND!B:D,3,FALSE)</f>
        <v>5.5</v>
      </c>
      <c r="J5099">
        <v>4</v>
      </c>
      <c r="M5099">
        <v>1</v>
      </c>
    </row>
    <row r="5100" spans="1:13">
      <c r="A5100" t="s">
        <v>8731</v>
      </c>
      <c r="B5100" t="s">
        <v>981</v>
      </c>
      <c r="C5100" s="34" t="s">
        <v>1438</v>
      </c>
      <c r="F5100" t="s">
        <v>1438</v>
      </c>
      <c r="G5100" t="s">
        <v>6932</v>
      </c>
      <c r="H5100">
        <v>5</v>
      </c>
      <c r="I5100">
        <f>VLOOKUP(B5100,BRAND!B:D,3,FALSE)</f>
        <v>5.5</v>
      </c>
      <c r="J5100">
        <v>4</v>
      </c>
      <c r="L5100">
        <v>0</v>
      </c>
      <c r="M5100">
        <v>0</v>
      </c>
    </row>
    <row r="5101" spans="1:13">
      <c r="A5101" t="s">
        <v>8642</v>
      </c>
      <c r="B5101" t="s">
        <v>8643</v>
      </c>
      <c r="C5101" s="34" t="s">
        <v>1438</v>
      </c>
      <c r="F5101" t="s">
        <v>1438</v>
      </c>
      <c r="G5101" t="s">
        <v>6932</v>
      </c>
      <c r="H5101">
        <v>5</v>
      </c>
      <c r="I5101">
        <f>VLOOKUP(B5101,BRAND!B:D,3,FALSE)</f>
        <v>5.5</v>
      </c>
      <c r="J5101">
        <v>4</v>
      </c>
      <c r="M5101">
        <v>1</v>
      </c>
    </row>
    <row r="5102" spans="1:13">
      <c r="A5102" t="s">
        <v>8644</v>
      </c>
      <c r="B5102" t="s">
        <v>8645</v>
      </c>
      <c r="C5102" s="34" t="s">
        <v>1438</v>
      </c>
      <c r="F5102" t="s">
        <v>1438</v>
      </c>
      <c r="G5102" t="s">
        <v>6932</v>
      </c>
      <c r="H5102">
        <v>5</v>
      </c>
      <c r="I5102">
        <f>VLOOKUP(B5102,BRAND!B:D,3,FALSE)</f>
        <v>5.5</v>
      </c>
      <c r="J5102">
        <v>4</v>
      </c>
      <c r="M5102">
        <v>1</v>
      </c>
    </row>
    <row r="5103" spans="1:13">
      <c r="A5103" t="s">
        <v>3239</v>
      </c>
      <c r="B5103" t="s">
        <v>112</v>
      </c>
      <c r="C5103" s="34" t="s">
        <v>746</v>
      </c>
      <c r="F5103" t="s">
        <v>746</v>
      </c>
      <c r="H5103">
        <v>5</v>
      </c>
      <c r="I5103">
        <f>VLOOKUP(B5103,BRAND!B:D,3,FALSE)</f>
        <v>3</v>
      </c>
      <c r="J5103">
        <v>6</v>
      </c>
      <c r="K5103" t="s">
        <v>821</v>
      </c>
      <c r="L5103">
        <v>0</v>
      </c>
      <c r="M5103">
        <v>0</v>
      </c>
    </row>
    <row r="5104" spans="1:13">
      <c r="A5104" t="s">
        <v>3660</v>
      </c>
      <c r="B5104" t="s">
        <v>112</v>
      </c>
      <c r="C5104" s="34" t="s">
        <v>534</v>
      </c>
      <c r="F5104" t="s">
        <v>534</v>
      </c>
      <c r="H5104">
        <v>5</v>
      </c>
      <c r="I5104">
        <f>VLOOKUP(B5104,BRAND!B:D,3,FALSE)</f>
        <v>3</v>
      </c>
      <c r="J5104">
        <v>6</v>
      </c>
      <c r="K5104" t="s">
        <v>821</v>
      </c>
      <c r="L5104">
        <v>0</v>
      </c>
      <c r="M5104">
        <v>0</v>
      </c>
    </row>
    <row r="5105" spans="1:13">
      <c r="A5105" t="s">
        <v>3240</v>
      </c>
      <c r="B5105" t="s">
        <v>112</v>
      </c>
      <c r="C5105" s="34" t="s">
        <v>536</v>
      </c>
      <c r="F5105" t="s">
        <v>536</v>
      </c>
      <c r="H5105">
        <v>5</v>
      </c>
      <c r="I5105">
        <f>VLOOKUP(B5105,BRAND!B:D,3,FALSE)</f>
        <v>3</v>
      </c>
      <c r="J5105">
        <v>5</v>
      </c>
      <c r="K5105" t="s">
        <v>821</v>
      </c>
      <c r="M5105">
        <v>1</v>
      </c>
    </row>
    <row r="5106" spans="1:13">
      <c r="A5106" t="s">
        <v>8646</v>
      </c>
      <c r="B5106" t="s">
        <v>112</v>
      </c>
      <c r="C5106" s="34" t="s">
        <v>1438</v>
      </c>
      <c r="F5106" t="s">
        <v>1438</v>
      </c>
      <c r="G5106" t="s">
        <v>6932</v>
      </c>
      <c r="H5106">
        <v>5</v>
      </c>
      <c r="I5106">
        <f>VLOOKUP(B5106,BRAND!B:D,3,FALSE)</f>
        <v>3</v>
      </c>
      <c r="J5106">
        <v>4</v>
      </c>
      <c r="M5106">
        <v>1</v>
      </c>
    </row>
    <row r="5107" spans="1:13">
      <c r="A5107" t="s">
        <v>2134</v>
      </c>
      <c r="B5107" t="s">
        <v>112</v>
      </c>
      <c r="C5107" s="34" t="s">
        <v>1438</v>
      </c>
      <c r="F5107" t="s">
        <v>1438</v>
      </c>
      <c r="H5107">
        <v>15</v>
      </c>
      <c r="I5107">
        <f>VLOOKUP(B5107,BRAND!B:D,3,FALSE)</f>
        <v>3</v>
      </c>
      <c r="J5107">
        <v>4</v>
      </c>
      <c r="K5107" t="s">
        <v>821</v>
      </c>
      <c r="L5107">
        <v>0</v>
      </c>
      <c r="M5107">
        <v>0</v>
      </c>
    </row>
    <row r="5108" spans="1:13">
      <c r="A5108" t="s">
        <v>2837</v>
      </c>
      <c r="B5108" t="s">
        <v>1296</v>
      </c>
      <c r="C5108" s="34" t="s">
        <v>1438</v>
      </c>
      <c r="F5108" t="s">
        <v>1438</v>
      </c>
      <c r="H5108">
        <v>15</v>
      </c>
      <c r="I5108">
        <f>VLOOKUP(B5108,BRAND!B:D,3,FALSE)</f>
        <v>3</v>
      </c>
      <c r="J5108">
        <v>4</v>
      </c>
      <c r="K5108" t="s">
        <v>821</v>
      </c>
      <c r="L5108">
        <v>0</v>
      </c>
      <c r="M5108">
        <v>0</v>
      </c>
    </row>
    <row r="5109" spans="1:13">
      <c r="A5109" t="s">
        <v>2857</v>
      </c>
      <c r="B5109" t="s">
        <v>1297</v>
      </c>
      <c r="C5109" s="34" t="s">
        <v>1438</v>
      </c>
      <c r="F5109" t="s">
        <v>1438</v>
      </c>
      <c r="H5109">
        <v>15</v>
      </c>
      <c r="I5109">
        <f>VLOOKUP(B5109,BRAND!B:D,3,FALSE)</f>
        <v>3</v>
      </c>
      <c r="J5109">
        <v>4</v>
      </c>
      <c r="K5109" t="s">
        <v>821</v>
      </c>
      <c r="L5109">
        <v>0</v>
      </c>
      <c r="M5109">
        <v>0</v>
      </c>
    </row>
    <row r="5110" spans="1:13">
      <c r="A5110" t="s">
        <v>8732</v>
      </c>
      <c r="B5110" t="s">
        <v>8733</v>
      </c>
      <c r="C5110" s="34" t="s">
        <v>776</v>
      </c>
      <c r="F5110" t="s">
        <v>776</v>
      </c>
      <c r="G5110" t="s">
        <v>6932</v>
      </c>
      <c r="H5110">
        <v>5</v>
      </c>
      <c r="I5110">
        <f>VLOOKUP(B5110,BRAND!B:D,3,FALSE)</f>
        <v>5.5</v>
      </c>
      <c r="J5110">
        <v>5</v>
      </c>
      <c r="M5110">
        <v>1</v>
      </c>
    </row>
    <row r="5111" spans="1:13">
      <c r="A5111" t="s">
        <v>8734</v>
      </c>
      <c r="B5111" t="s">
        <v>8733</v>
      </c>
      <c r="C5111" s="34" t="s">
        <v>751</v>
      </c>
      <c r="F5111" t="s">
        <v>751</v>
      </c>
      <c r="G5111" t="s">
        <v>7515</v>
      </c>
      <c r="H5111">
        <v>5</v>
      </c>
      <c r="I5111">
        <f>VLOOKUP(B5111,BRAND!B:D,3,FALSE)</f>
        <v>5.5</v>
      </c>
      <c r="J5111">
        <v>5</v>
      </c>
      <c r="M5111">
        <v>1</v>
      </c>
    </row>
    <row r="5112" spans="1:13">
      <c r="A5112" t="s">
        <v>8736</v>
      </c>
      <c r="B5112" t="s">
        <v>8733</v>
      </c>
      <c r="C5112" s="34" t="s">
        <v>751</v>
      </c>
      <c r="F5112" t="s">
        <v>751</v>
      </c>
      <c r="G5112" t="s">
        <v>6932</v>
      </c>
      <c r="H5112">
        <v>5</v>
      </c>
      <c r="I5112">
        <f>VLOOKUP(B5112,BRAND!B:D,3,FALSE)</f>
        <v>5.5</v>
      </c>
      <c r="J5112">
        <v>5</v>
      </c>
      <c r="M5112">
        <v>1</v>
      </c>
    </row>
    <row r="5113" spans="1:13">
      <c r="A5113" t="s">
        <v>8737</v>
      </c>
      <c r="B5113" t="s">
        <v>8733</v>
      </c>
      <c r="C5113" s="34" t="s">
        <v>1438</v>
      </c>
      <c r="F5113" t="s">
        <v>1438</v>
      </c>
      <c r="G5113" t="s">
        <v>6932</v>
      </c>
      <c r="H5113">
        <v>5</v>
      </c>
      <c r="I5113">
        <f>VLOOKUP(B5113,BRAND!B:D,3,FALSE)</f>
        <v>5.5</v>
      </c>
      <c r="J5113">
        <v>4</v>
      </c>
      <c r="M5113">
        <v>1</v>
      </c>
    </row>
    <row r="5114" spans="1:13">
      <c r="A5114" t="s">
        <v>8735</v>
      </c>
      <c r="B5114" t="s">
        <v>8733</v>
      </c>
      <c r="C5114" s="34" t="s">
        <v>561</v>
      </c>
      <c r="F5114" t="s">
        <v>561</v>
      </c>
      <c r="G5114" t="s">
        <v>6932</v>
      </c>
      <c r="H5114">
        <v>5</v>
      </c>
      <c r="I5114">
        <f>VLOOKUP(B5114,BRAND!B:D,3,FALSE)</f>
        <v>5.5</v>
      </c>
      <c r="J5114">
        <v>3</v>
      </c>
      <c r="M5114">
        <v>1</v>
      </c>
    </row>
    <row r="5115" spans="1:13">
      <c r="A5115" t="s">
        <v>8647</v>
      </c>
      <c r="B5115" t="s">
        <v>8648</v>
      </c>
      <c r="C5115" s="34" t="s">
        <v>1438</v>
      </c>
      <c r="F5115" t="s">
        <v>1438</v>
      </c>
      <c r="G5115" t="s">
        <v>6932</v>
      </c>
      <c r="H5115">
        <v>5</v>
      </c>
      <c r="I5115">
        <f>VLOOKUP(B5115,BRAND!B:D,3,FALSE)</f>
        <v>5.5</v>
      </c>
      <c r="J5115">
        <v>4</v>
      </c>
      <c r="M5115">
        <v>1</v>
      </c>
    </row>
    <row r="5116" spans="1:13">
      <c r="A5116" t="s">
        <v>8738</v>
      </c>
      <c r="B5116" t="s">
        <v>8739</v>
      </c>
      <c r="C5116" s="34" t="s">
        <v>1438</v>
      </c>
      <c r="F5116" t="s">
        <v>1438</v>
      </c>
      <c r="G5116" t="s">
        <v>6932</v>
      </c>
      <c r="H5116">
        <v>5</v>
      </c>
      <c r="I5116">
        <f>VLOOKUP(B5116,BRAND!B:D,3,FALSE)</f>
        <v>5.5</v>
      </c>
      <c r="J5116">
        <v>4</v>
      </c>
      <c r="M5116">
        <v>1</v>
      </c>
    </row>
    <row r="5117" spans="1:13">
      <c r="A5117" t="s">
        <v>9460</v>
      </c>
      <c r="B5117" t="s">
        <v>9461</v>
      </c>
      <c r="C5117" s="34" t="s">
        <v>1438</v>
      </c>
      <c r="F5117" t="s">
        <v>1438</v>
      </c>
      <c r="G5117" t="s">
        <v>6932</v>
      </c>
      <c r="H5117">
        <v>5</v>
      </c>
      <c r="I5117">
        <f>VLOOKUP(B5117,BRAND!B:D,3,FALSE)</f>
        <v>5.5</v>
      </c>
      <c r="J5117">
        <v>4</v>
      </c>
      <c r="M5117">
        <v>1</v>
      </c>
    </row>
    <row r="5118" spans="1:13">
      <c r="A5118" t="s">
        <v>4429</v>
      </c>
      <c r="B5118" t="s">
        <v>635</v>
      </c>
      <c r="C5118" s="34" t="s">
        <v>798</v>
      </c>
      <c r="F5118" t="s">
        <v>798</v>
      </c>
      <c r="H5118">
        <v>5</v>
      </c>
      <c r="I5118">
        <f>VLOOKUP(B5118,BRAND!B:D,3,FALSE)</f>
        <v>3</v>
      </c>
      <c r="J5118">
        <v>9</v>
      </c>
      <c r="K5118" t="s">
        <v>821</v>
      </c>
      <c r="M5118">
        <v>1</v>
      </c>
    </row>
    <row r="5119" spans="1:13">
      <c r="A5119" t="s">
        <v>8649</v>
      </c>
      <c r="B5119" t="s">
        <v>635</v>
      </c>
      <c r="C5119" s="34" t="s">
        <v>1438</v>
      </c>
      <c r="F5119" t="s">
        <v>1438</v>
      </c>
      <c r="G5119" t="s">
        <v>6932</v>
      </c>
      <c r="H5119">
        <v>5</v>
      </c>
      <c r="I5119">
        <f>VLOOKUP(B5119,BRAND!B:D,3,FALSE)</f>
        <v>3</v>
      </c>
      <c r="J5119">
        <v>4</v>
      </c>
      <c r="M5119">
        <v>1</v>
      </c>
    </row>
    <row r="5120" spans="1:13">
      <c r="A5120" t="s">
        <v>2980</v>
      </c>
      <c r="B5120" t="s">
        <v>635</v>
      </c>
      <c r="C5120" s="34" t="s">
        <v>775</v>
      </c>
      <c r="F5120" t="s">
        <v>775</v>
      </c>
      <c r="H5120">
        <v>5</v>
      </c>
      <c r="I5120">
        <f>VLOOKUP(B5120,BRAND!B:D,3,FALSE)</f>
        <v>3</v>
      </c>
      <c r="J5120">
        <v>3</v>
      </c>
      <c r="K5120" t="s">
        <v>821</v>
      </c>
      <c r="L5120">
        <v>0</v>
      </c>
      <c r="M5120">
        <v>0</v>
      </c>
    </row>
    <row r="5121" spans="1:13">
      <c r="A5121" t="s">
        <v>2789</v>
      </c>
      <c r="B5121" t="s">
        <v>635</v>
      </c>
      <c r="C5121" s="34" t="s">
        <v>1438</v>
      </c>
      <c r="F5121" t="s">
        <v>1438</v>
      </c>
      <c r="H5121">
        <v>15</v>
      </c>
      <c r="I5121">
        <f>VLOOKUP(B5121,BRAND!B:D,3,FALSE)</f>
        <v>3</v>
      </c>
      <c r="J5121">
        <v>4</v>
      </c>
      <c r="K5121" t="s">
        <v>821</v>
      </c>
      <c r="L5121">
        <v>0</v>
      </c>
      <c r="M5121">
        <v>0</v>
      </c>
    </row>
    <row r="5122" spans="1:13">
      <c r="A5122" t="s">
        <v>8740</v>
      </c>
      <c r="B5122" t="s">
        <v>8741</v>
      </c>
      <c r="C5122" s="34" t="s">
        <v>1438</v>
      </c>
      <c r="F5122" t="s">
        <v>1438</v>
      </c>
      <c r="G5122" t="s">
        <v>6932</v>
      </c>
      <c r="H5122">
        <v>5</v>
      </c>
      <c r="I5122">
        <f>VLOOKUP(B5122,BRAND!B:D,3,FALSE)</f>
        <v>5.5</v>
      </c>
      <c r="J5122">
        <v>4</v>
      </c>
      <c r="M5122">
        <v>1</v>
      </c>
    </row>
    <row r="5123" spans="1:13">
      <c r="A5123" t="s">
        <v>8742</v>
      </c>
      <c r="B5123" t="s">
        <v>8743</v>
      </c>
      <c r="C5123" s="34" t="s">
        <v>1438</v>
      </c>
      <c r="F5123" t="s">
        <v>1438</v>
      </c>
      <c r="G5123" t="s">
        <v>6932</v>
      </c>
      <c r="H5123">
        <v>5</v>
      </c>
      <c r="I5123">
        <f>VLOOKUP(B5123,BRAND!B:D,3,FALSE)</f>
        <v>27</v>
      </c>
      <c r="J5123">
        <v>4</v>
      </c>
      <c r="M5123">
        <v>1</v>
      </c>
    </row>
    <row r="5124" spans="1:13">
      <c r="A5124" t="s">
        <v>12482</v>
      </c>
      <c r="B5124" t="s">
        <v>8743</v>
      </c>
      <c r="C5124" s="34" t="s">
        <v>536</v>
      </c>
      <c r="F5124" t="s">
        <v>536</v>
      </c>
      <c r="G5124" t="s">
        <v>6932</v>
      </c>
      <c r="H5124">
        <v>5</v>
      </c>
    </row>
    <row r="5125" spans="1:13">
      <c r="A5125" t="s">
        <v>7578</v>
      </c>
      <c r="B5125" t="s">
        <v>7579</v>
      </c>
      <c r="C5125" s="34" t="s">
        <v>1438</v>
      </c>
      <c r="F5125" t="s">
        <v>1438</v>
      </c>
      <c r="G5125" t="s">
        <v>6932</v>
      </c>
      <c r="H5125">
        <v>5</v>
      </c>
      <c r="I5125">
        <f>VLOOKUP(B5125,BRAND!B:D,3,FALSE)</f>
        <v>5.5</v>
      </c>
      <c r="J5125">
        <v>4</v>
      </c>
      <c r="M5125">
        <v>1</v>
      </c>
    </row>
    <row r="5126" spans="1:13">
      <c r="A5126" t="s">
        <v>9465</v>
      </c>
      <c r="B5126" t="s">
        <v>8651</v>
      </c>
      <c r="C5126" s="34" t="s">
        <v>534</v>
      </c>
      <c r="F5126" t="s">
        <v>534</v>
      </c>
      <c r="G5126" t="s">
        <v>6932</v>
      </c>
      <c r="H5126">
        <v>5</v>
      </c>
      <c r="I5126">
        <f>VLOOKUP(B5126,BRAND!B:D,3,FALSE)</f>
        <v>5.5</v>
      </c>
      <c r="J5126">
        <v>6</v>
      </c>
      <c r="M5126">
        <v>1</v>
      </c>
    </row>
    <row r="5127" spans="1:13">
      <c r="A5127" t="s">
        <v>8650</v>
      </c>
      <c r="B5127" t="s">
        <v>8651</v>
      </c>
      <c r="C5127" s="34" t="s">
        <v>1438</v>
      </c>
      <c r="F5127" t="s">
        <v>1438</v>
      </c>
      <c r="G5127" t="s">
        <v>6932</v>
      </c>
      <c r="H5127">
        <v>5</v>
      </c>
      <c r="I5127">
        <f>VLOOKUP(B5127,BRAND!B:D,3,FALSE)</f>
        <v>5.5</v>
      </c>
      <c r="J5127">
        <v>4</v>
      </c>
      <c r="M5127">
        <v>1</v>
      </c>
    </row>
    <row r="5128" spans="1:13">
      <c r="A5128" t="s">
        <v>8746</v>
      </c>
      <c r="B5128" t="s">
        <v>8745</v>
      </c>
      <c r="C5128" s="34" t="s">
        <v>536</v>
      </c>
      <c r="F5128" t="s">
        <v>536</v>
      </c>
      <c r="G5128" t="s">
        <v>6932</v>
      </c>
      <c r="H5128">
        <v>5</v>
      </c>
      <c r="I5128">
        <f>VLOOKUP(B5128,BRAND!B:D,3,FALSE)</f>
        <v>5.5</v>
      </c>
      <c r="J5128">
        <v>5</v>
      </c>
      <c r="M5128">
        <v>1</v>
      </c>
    </row>
    <row r="5129" spans="1:13">
      <c r="A5129" t="s">
        <v>8744</v>
      </c>
      <c r="B5129" t="s">
        <v>8745</v>
      </c>
      <c r="C5129" s="34" t="s">
        <v>788</v>
      </c>
      <c r="F5129" t="s">
        <v>788</v>
      </c>
      <c r="G5129" t="s">
        <v>6932</v>
      </c>
      <c r="H5129">
        <v>5</v>
      </c>
      <c r="I5129">
        <f>VLOOKUP(B5129,BRAND!B:D,3,FALSE)</f>
        <v>5.5</v>
      </c>
      <c r="J5129">
        <v>4</v>
      </c>
      <c r="M5129">
        <v>1</v>
      </c>
    </row>
    <row r="5130" spans="1:13">
      <c r="A5130" t="s">
        <v>9468</v>
      </c>
      <c r="B5130" t="s">
        <v>8745</v>
      </c>
      <c r="C5130" s="34" t="s">
        <v>1438</v>
      </c>
      <c r="F5130" t="s">
        <v>1438</v>
      </c>
      <c r="G5130" t="s">
        <v>6932</v>
      </c>
      <c r="H5130">
        <v>5</v>
      </c>
      <c r="I5130">
        <f>VLOOKUP(B5130,BRAND!B:D,3,FALSE)</f>
        <v>5.5</v>
      </c>
      <c r="J5130">
        <v>4</v>
      </c>
      <c r="M5130">
        <v>1</v>
      </c>
    </row>
    <row r="5131" spans="1:13">
      <c r="A5131" t="s">
        <v>8747</v>
      </c>
      <c r="B5131" t="s">
        <v>8748</v>
      </c>
      <c r="C5131" s="34" t="s">
        <v>1438</v>
      </c>
      <c r="F5131" t="s">
        <v>1438</v>
      </c>
      <c r="G5131" t="s">
        <v>6932</v>
      </c>
      <c r="H5131">
        <v>5</v>
      </c>
      <c r="I5131">
        <f>VLOOKUP(B5131,BRAND!B:D,3,FALSE)</f>
        <v>5.5</v>
      </c>
      <c r="J5131">
        <v>4</v>
      </c>
      <c r="M5131">
        <v>1</v>
      </c>
    </row>
    <row r="5132" spans="1:13">
      <c r="A5132" t="s">
        <v>8654</v>
      </c>
      <c r="B5132" t="s">
        <v>8653</v>
      </c>
      <c r="C5132" s="34" t="s">
        <v>6364</v>
      </c>
      <c r="F5132" t="s">
        <v>6364</v>
      </c>
      <c r="G5132" t="s">
        <v>6932</v>
      </c>
      <c r="H5132">
        <v>5</v>
      </c>
      <c r="I5132">
        <f>VLOOKUP(B5132,BRAND!B:D,3,FALSE)</f>
        <v>5.5</v>
      </c>
      <c r="J5132">
        <v>6</v>
      </c>
      <c r="M5132">
        <v>1</v>
      </c>
    </row>
    <row r="5133" spans="1:13">
      <c r="A5133" t="s">
        <v>8652</v>
      </c>
      <c r="B5133" t="s">
        <v>8653</v>
      </c>
      <c r="C5133" s="34" t="s">
        <v>775</v>
      </c>
      <c r="F5133" t="s">
        <v>775</v>
      </c>
      <c r="G5133" t="s">
        <v>6932</v>
      </c>
      <c r="H5133">
        <v>5</v>
      </c>
      <c r="I5133">
        <f>VLOOKUP(B5133,BRAND!B:D,3,FALSE)</f>
        <v>5.5</v>
      </c>
      <c r="J5133">
        <v>3</v>
      </c>
      <c r="M5133">
        <v>1</v>
      </c>
    </row>
    <row r="5134" spans="1:13">
      <c r="A5134" t="s">
        <v>8655</v>
      </c>
      <c r="B5134" t="s">
        <v>8656</v>
      </c>
      <c r="C5134" s="34" t="s">
        <v>6868</v>
      </c>
      <c r="F5134" t="s">
        <v>6868</v>
      </c>
      <c r="G5134" t="s">
        <v>6932</v>
      </c>
      <c r="H5134">
        <v>5</v>
      </c>
      <c r="I5134">
        <f>VLOOKUP(B5134,BRAND!B:D,3,FALSE)</f>
        <v>5.5</v>
      </c>
      <c r="J5134">
        <v>7</v>
      </c>
      <c r="M5134">
        <v>1</v>
      </c>
    </row>
    <row r="5135" spans="1:13">
      <c r="A5135" t="s">
        <v>8749</v>
      </c>
      <c r="B5135" t="s">
        <v>8656</v>
      </c>
      <c r="C5135" s="34" t="s">
        <v>1438</v>
      </c>
      <c r="F5135" t="s">
        <v>1438</v>
      </c>
      <c r="G5135" t="s">
        <v>6932</v>
      </c>
      <c r="H5135">
        <v>5</v>
      </c>
      <c r="I5135">
        <f>VLOOKUP(B5135,BRAND!B:D,3,FALSE)</f>
        <v>5.5</v>
      </c>
      <c r="J5135">
        <v>4</v>
      </c>
      <c r="M5135">
        <v>1</v>
      </c>
    </row>
    <row r="5136" spans="1:13">
      <c r="A5136" t="s">
        <v>8657</v>
      </c>
      <c r="B5136" t="s">
        <v>8658</v>
      </c>
      <c r="C5136" s="34" t="s">
        <v>1438</v>
      </c>
      <c r="F5136" t="s">
        <v>1438</v>
      </c>
      <c r="G5136" t="s">
        <v>6932</v>
      </c>
      <c r="H5136">
        <v>5</v>
      </c>
      <c r="I5136">
        <f>VLOOKUP(B5136,BRAND!B:D,3,FALSE)</f>
        <v>5.5</v>
      </c>
      <c r="J5136">
        <v>4</v>
      </c>
      <c r="M5136">
        <v>1</v>
      </c>
    </row>
    <row r="5137" spans="1:13">
      <c r="A5137" t="s">
        <v>8659</v>
      </c>
      <c r="B5137" t="s">
        <v>8660</v>
      </c>
      <c r="C5137" s="34" t="s">
        <v>897</v>
      </c>
      <c r="F5137" t="s">
        <v>897</v>
      </c>
      <c r="G5137" t="s">
        <v>6932</v>
      </c>
      <c r="H5137">
        <v>5</v>
      </c>
      <c r="I5137">
        <f>VLOOKUP(B5137,BRAND!B:D,3,FALSE)</f>
        <v>5.5</v>
      </c>
      <c r="J5137">
        <v>4</v>
      </c>
      <c r="M5137">
        <v>1</v>
      </c>
    </row>
    <row r="5138" spans="1:13">
      <c r="A5138" t="s">
        <v>8750</v>
      </c>
      <c r="B5138" t="s">
        <v>8751</v>
      </c>
      <c r="C5138" s="34" t="s">
        <v>1438</v>
      </c>
      <c r="F5138" t="s">
        <v>1438</v>
      </c>
      <c r="G5138" t="s">
        <v>6932</v>
      </c>
      <c r="H5138">
        <v>5</v>
      </c>
      <c r="I5138">
        <f>VLOOKUP(B5138,BRAND!B:D,3,FALSE)</f>
        <v>5.5</v>
      </c>
      <c r="J5138">
        <v>4</v>
      </c>
      <c r="M5138">
        <v>1</v>
      </c>
    </row>
    <row r="5139" spans="1:13">
      <c r="A5139" t="s">
        <v>8661</v>
      </c>
      <c r="B5139" t="s">
        <v>8662</v>
      </c>
      <c r="C5139" s="34" t="s">
        <v>1438</v>
      </c>
      <c r="F5139" t="s">
        <v>1438</v>
      </c>
      <c r="G5139" t="s">
        <v>6932</v>
      </c>
      <c r="H5139">
        <v>5</v>
      </c>
      <c r="I5139">
        <f>VLOOKUP(B5139,BRAND!B:D,3,FALSE)</f>
        <v>5.5</v>
      </c>
      <c r="J5139">
        <v>4</v>
      </c>
      <c r="M5139">
        <v>1</v>
      </c>
    </row>
    <row r="5140" spans="1:13">
      <c r="A5140" t="s">
        <v>8663</v>
      </c>
      <c r="B5140" t="s">
        <v>8664</v>
      </c>
      <c r="C5140" s="34" t="s">
        <v>1438</v>
      </c>
      <c r="F5140" t="s">
        <v>1438</v>
      </c>
      <c r="G5140" t="s">
        <v>6932</v>
      </c>
      <c r="H5140">
        <v>5</v>
      </c>
      <c r="I5140">
        <f>VLOOKUP(B5140,BRAND!B:D,3,FALSE)</f>
        <v>5.5</v>
      </c>
      <c r="J5140">
        <v>4</v>
      </c>
      <c r="M5140">
        <v>1</v>
      </c>
    </row>
    <row r="5141" spans="1:13">
      <c r="A5141" t="s">
        <v>8665</v>
      </c>
      <c r="B5141" t="s">
        <v>8666</v>
      </c>
      <c r="C5141" s="34" t="s">
        <v>1438</v>
      </c>
      <c r="F5141" t="s">
        <v>1438</v>
      </c>
      <c r="G5141" t="s">
        <v>6932</v>
      </c>
      <c r="H5141">
        <v>5</v>
      </c>
      <c r="I5141">
        <f>VLOOKUP(B5141,BRAND!B:D,3,FALSE)</f>
        <v>5.5</v>
      </c>
      <c r="J5141">
        <v>4</v>
      </c>
      <c r="M5141">
        <v>1</v>
      </c>
    </row>
    <row r="5142" spans="1:13">
      <c r="A5142" t="s">
        <v>8667</v>
      </c>
      <c r="B5142" t="s">
        <v>8668</v>
      </c>
      <c r="C5142" s="34" t="s">
        <v>1438</v>
      </c>
      <c r="F5142" t="s">
        <v>1438</v>
      </c>
      <c r="G5142" t="s">
        <v>6932</v>
      </c>
      <c r="H5142">
        <v>5</v>
      </c>
      <c r="I5142">
        <f>VLOOKUP(B5142,BRAND!B:D,3,FALSE)</f>
        <v>5.5</v>
      </c>
      <c r="J5142">
        <v>4</v>
      </c>
      <c r="M5142">
        <v>1</v>
      </c>
    </row>
    <row r="5143" spans="1:13">
      <c r="A5143" t="s">
        <v>8752</v>
      </c>
      <c r="B5143" t="s">
        <v>8753</v>
      </c>
      <c r="C5143" s="34" t="s">
        <v>1438</v>
      </c>
      <c r="F5143" t="s">
        <v>1438</v>
      </c>
      <c r="G5143" t="s">
        <v>6932</v>
      </c>
      <c r="H5143">
        <v>5</v>
      </c>
      <c r="I5143">
        <f>VLOOKUP(B5143,BRAND!B:D,3,FALSE)</f>
        <v>5.5</v>
      </c>
      <c r="J5143">
        <v>4</v>
      </c>
      <c r="M5143">
        <v>1</v>
      </c>
    </row>
    <row r="5144" spans="1:13">
      <c r="A5144" t="s">
        <v>3302</v>
      </c>
      <c r="B5144" t="s">
        <v>308</v>
      </c>
      <c r="C5144" s="34" t="s">
        <v>751</v>
      </c>
      <c r="F5144" t="s">
        <v>751</v>
      </c>
      <c r="H5144">
        <v>5</v>
      </c>
      <c r="I5144">
        <f>VLOOKUP(B5144,BRAND!B:D,3,FALSE)</f>
        <v>3</v>
      </c>
      <c r="J5144">
        <v>5</v>
      </c>
      <c r="K5144" t="s">
        <v>821</v>
      </c>
      <c r="M5144">
        <v>1</v>
      </c>
    </row>
    <row r="5145" spans="1:13">
      <c r="A5145" t="s">
        <v>8754</v>
      </c>
      <c r="B5145" t="s">
        <v>308</v>
      </c>
      <c r="C5145" s="34" t="s">
        <v>1438</v>
      </c>
      <c r="F5145" t="s">
        <v>1438</v>
      </c>
      <c r="G5145" t="s">
        <v>6932</v>
      </c>
      <c r="H5145">
        <v>5</v>
      </c>
      <c r="I5145">
        <f>VLOOKUP(B5145,BRAND!B:D,3,FALSE)</f>
        <v>3</v>
      </c>
      <c r="J5145">
        <v>4</v>
      </c>
      <c r="L5145">
        <v>0</v>
      </c>
      <c r="M5145">
        <v>0</v>
      </c>
    </row>
    <row r="5146" spans="1:13">
      <c r="A5146" t="s">
        <v>9742</v>
      </c>
      <c r="B5146" t="s">
        <v>308</v>
      </c>
      <c r="C5146" s="34" t="s">
        <v>846</v>
      </c>
      <c r="G5146" t="s">
        <v>6932</v>
      </c>
      <c r="H5146">
        <v>5</v>
      </c>
      <c r="I5146">
        <f>VLOOKUP(B5146,BRAND!B:D,3,FALSE)</f>
        <v>3</v>
      </c>
      <c r="J5146">
        <v>0</v>
      </c>
      <c r="M5146">
        <v>1</v>
      </c>
    </row>
    <row r="5147" spans="1:13">
      <c r="A5147" t="s">
        <v>9741</v>
      </c>
      <c r="B5147" t="s">
        <v>308</v>
      </c>
      <c r="C5147" s="34" t="s">
        <v>534</v>
      </c>
      <c r="H5147">
        <v>5</v>
      </c>
      <c r="I5147">
        <f>VLOOKUP(B5147,BRAND!B:D,3,FALSE)</f>
        <v>3</v>
      </c>
      <c r="J5147">
        <v>0</v>
      </c>
      <c r="M5147">
        <v>1</v>
      </c>
    </row>
    <row r="5148" spans="1:13">
      <c r="A5148" s="29" t="s">
        <v>9743</v>
      </c>
      <c r="B5148" s="29" t="s">
        <v>9998</v>
      </c>
      <c r="C5148" s="36" t="s">
        <v>561</v>
      </c>
      <c r="D5148" s="29"/>
      <c r="E5148" s="29"/>
      <c r="F5148" s="29"/>
      <c r="G5148" s="29" t="s">
        <v>6932</v>
      </c>
      <c r="H5148" s="29">
        <v>5</v>
      </c>
      <c r="I5148">
        <f>VLOOKUP(B5148,BRAND!B:D,3,FALSE)</f>
        <v>5.5</v>
      </c>
      <c r="J5148">
        <v>0</v>
      </c>
      <c r="M5148">
        <v>1</v>
      </c>
    </row>
    <row r="5149" spans="1:13">
      <c r="A5149" t="s">
        <v>9744</v>
      </c>
      <c r="B5149" t="s">
        <v>9998</v>
      </c>
      <c r="C5149" s="34" t="s">
        <v>913</v>
      </c>
      <c r="G5149" t="s">
        <v>6932</v>
      </c>
      <c r="H5149">
        <v>5</v>
      </c>
      <c r="I5149">
        <f>VLOOKUP(B5149,BRAND!B:D,3,FALSE)</f>
        <v>5.5</v>
      </c>
      <c r="J5149">
        <v>0</v>
      </c>
      <c r="M5149">
        <v>1</v>
      </c>
    </row>
    <row r="5150" spans="1:13">
      <c r="A5150" t="s">
        <v>8669</v>
      </c>
      <c r="B5150" t="s">
        <v>8670</v>
      </c>
      <c r="C5150" s="34" t="s">
        <v>1438</v>
      </c>
      <c r="F5150" t="s">
        <v>1438</v>
      </c>
      <c r="G5150" t="s">
        <v>6932</v>
      </c>
      <c r="H5150">
        <v>5</v>
      </c>
      <c r="I5150">
        <f>VLOOKUP(B5150,BRAND!B:D,3,FALSE)</f>
        <v>5.5</v>
      </c>
      <c r="J5150">
        <v>4</v>
      </c>
      <c r="L5150">
        <v>0</v>
      </c>
      <c r="M5150">
        <v>0</v>
      </c>
    </row>
    <row r="5151" spans="1:13">
      <c r="A5151" t="s">
        <v>3919</v>
      </c>
      <c r="B5151" t="s">
        <v>634</v>
      </c>
      <c r="C5151" s="34" t="s">
        <v>534</v>
      </c>
      <c r="F5151" t="s">
        <v>534</v>
      </c>
      <c r="H5151">
        <v>5</v>
      </c>
      <c r="I5151">
        <f>VLOOKUP(B5151,BRAND!B:D,3,FALSE)</f>
        <v>3</v>
      </c>
      <c r="J5151">
        <v>6</v>
      </c>
      <c r="K5151" t="s">
        <v>821</v>
      </c>
      <c r="L5151">
        <v>0</v>
      </c>
      <c r="M5151">
        <v>0</v>
      </c>
    </row>
    <row r="5152" spans="1:13">
      <c r="A5152" t="s">
        <v>8481</v>
      </c>
      <c r="B5152" t="s">
        <v>634</v>
      </c>
      <c r="C5152" s="34" t="s">
        <v>1438</v>
      </c>
      <c r="F5152" t="s">
        <v>1438</v>
      </c>
      <c r="G5152" t="s">
        <v>6932</v>
      </c>
      <c r="H5152">
        <v>5</v>
      </c>
      <c r="I5152">
        <f>VLOOKUP(B5152,BRAND!B:D,3,FALSE)</f>
        <v>3</v>
      </c>
      <c r="J5152">
        <v>4</v>
      </c>
      <c r="L5152">
        <v>0</v>
      </c>
      <c r="M5152">
        <v>0</v>
      </c>
    </row>
    <row r="5153" spans="1:13">
      <c r="A5153" t="s">
        <v>4181</v>
      </c>
      <c r="B5153" t="s">
        <v>634</v>
      </c>
      <c r="C5153" s="34" t="s">
        <v>775</v>
      </c>
      <c r="F5153" t="s">
        <v>775</v>
      </c>
      <c r="H5153">
        <v>5</v>
      </c>
      <c r="I5153">
        <f>VLOOKUP(B5153,BRAND!B:D,3,FALSE)</f>
        <v>3</v>
      </c>
      <c r="J5153">
        <v>3</v>
      </c>
      <c r="K5153" t="s">
        <v>821</v>
      </c>
      <c r="M5153">
        <v>1</v>
      </c>
    </row>
    <row r="5154" spans="1:13">
      <c r="A5154" t="s">
        <v>9746</v>
      </c>
      <c r="B5154" t="s">
        <v>634</v>
      </c>
      <c r="C5154" s="34" t="s">
        <v>846</v>
      </c>
      <c r="G5154" t="s">
        <v>6932</v>
      </c>
      <c r="H5154">
        <v>5</v>
      </c>
      <c r="I5154">
        <f>VLOOKUP(B5154,BRAND!B:D,3,FALSE)</f>
        <v>3</v>
      </c>
      <c r="J5154">
        <v>0</v>
      </c>
      <c r="M5154">
        <v>1</v>
      </c>
    </row>
    <row r="5155" spans="1:13">
      <c r="A5155" t="s">
        <v>9747</v>
      </c>
      <c r="B5155" t="s">
        <v>634</v>
      </c>
      <c r="C5155" s="34" t="s">
        <v>7388</v>
      </c>
      <c r="H5155">
        <v>5</v>
      </c>
      <c r="I5155">
        <f>VLOOKUP(B5155,BRAND!B:D,3,FALSE)</f>
        <v>3</v>
      </c>
      <c r="J5155">
        <v>0</v>
      </c>
      <c r="M5155">
        <v>1</v>
      </c>
    </row>
    <row r="5156" spans="1:13">
      <c r="A5156" t="s">
        <v>9745</v>
      </c>
      <c r="B5156" t="s">
        <v>634</v>
      </c>
      <c r="C5156" s="34" t="s">
        <v>561</v>
      </c>
      <c r="G5156" t="s">
        <v>6932</v>
      </c>
      <c r="H5156">
        <v>5</v>
      </c>
      <c r="I5156">
        <f>VLOOKUP(B5156,BRAND!B:D,3,FALSE)</f>
        <v>3</v>
      </c>
      <c r="J5156">
        <v>0</v>
      </c>
      <c r="M5156">
        <v>1</v>
      </c>
    </row>
    <row r="5157" spans="1:13">
      <c r="A5157" t="s">
        <v>2107</v>
      </c>
      <c r="B5157" t="s">
        <v>634</v>
      </c>
      <c r="C5157" s="34" t="s">
        <v>1438</v>
      </c>
      <c r="F5157" t="s">
        <v>1438</v>
      </c>
      <c r="H5157">
        <v>15</v>
      </c>
      <c r="I5157">
        <f>VLOOKUP(B5157,BRAND!B:D,3,FALSE)</f>
        <v>3</v>
      </c>
      <c r="J5157">
        <v>4</v>
      </c>
      <c r="K5157" t="s">
        <v>821</v>
      </c>
      <c r="L5157">
        <v>0</v>
      </c>
      <c r="M5157">
        <v>0</v>
      </c>
    </row>
    <row r="5158" spans="1:13">
      <c r="A5158" t="s">
        <v>8755</v>
      </c>
      <c r="B5158" t="s">
        <v>8756</v>
      </c>
      <c r="C5158" s="34" t="s">
        <v>1438</v>
      </c>
      <c r="F5158" t="s">
        <v>1438</v>
      </c>
      <c r="G5158" t="s">
        <v>6932</v>
      </c>
      <c r="H5158">
        <v>5</v>
      </c>
      <c r="I5158">
        <f>VLOOKUP(B5158,BRAND!B:D,3,FALSE)</f>
        <v>5.5</v>
      </c>
      <c r="J5158">
        <v>4</v>
      </c>
      <c r="L5158">
        <v>0</v>
      </c>
      <c r="M5158">
        <v>0</v>
      </c>
    </row>
    <row r="5159" spans="1:13">
      <c r="A5159" t="s">
        <v>8757</v>
      </c>
      <c r="B5159" t="s">
        <v>8758</v>
      </c>
      <c r="C5159" s="34" t="s">
        <v>1438</v>
      </c>
      <c r="F5159" t="s">
        <v>1438</v>
      </c>
      <c r="G5159" t="s">
        <v>6932</v>
      </c>
      <c r="H5159">
        <v>5</v>
      </c>
      <c r="I5159">
        <f>VLOOKUP(B5159,BRAND!B:D,3,FALSE)</f>
        <v>5.5</v>
      </c>
      <c r="J5159">
        <v>4</v>
      </c>
      <c r="M5159">
        <v>1</v>
      </c>
    </row>
    <row r="5160" spans="1:13">
      <c r="A5160" t="s">
        <v>8671</v>
      </c>
      <c r="B5160" t="s">
        <v>8672</v>
      </c>
      <c r="C5160" s="34" t="s">
        <v>1438</v>
      </c>
      <c r="F5160" t="s">
        <v>1438</v>
      </c>
      <c r="G5160" t="s">
        <v>6932</v>
      </c>
      <c r="H5160">
        <v>5</v>
      </c>
      <c r="I5160">
        <f>VLOOKUP(B5160,BRAND!B:D,3,FALSE)</f>
        <v>5.5</v>
      </c>
      <c r="J5160">
        <v>4</v>
      </c>
      <c r="M5160">
        <v>1</v>
      </c>
    </row>
    <row r="5161" spans="1:13">
      <c r="A5161" t="s">
        <v>8962</v>
      </c>
      <c r="B5161" t="s">
        <v>8963</v>
      </c>
      <c r="C5161" s="34" t="s">
        <v>1438</v>
      </c>
      <c r="F5161" t="s">
        <v>1438</v>
      </c>
      <c r="G5161" t="s">
        <v>6932</v>
      </c>
      <c r="H5161">
        <v>5</v>
      </c>
      <c r="I5161">
        <f>VLOOKUP(B5161,BRAND!B:D,3,FALSE)</f>
        <v>5.5</v>
      </c>
      <c r="J5161">
        <v>4</v>
      </c>
      <c r="M5161">
        <v>1</v>
      </c>
    </row>
    <row r="5162" spans="1:13">
      <c r="A5162" t="s">
        <v>8762</v>
      </c>
      <c r="B5162" t="s">
        <v>8674</v>
      </c>
      <c r="C5162" s="34" t="s">
        <v>8148</v>
      </c>
      <c r="F5162" t="s">
        <v>8148</v>
      </c>
      <c r="G5162" t="s">
        <v>6932</v>
      </c>
      <c r="H5162">
        <v>4</v>
      </c>
      <c r="I5162">
        <f>VLOOKUP(B5162,BRAND!B:D,3,FALSE)</f>
        <v>5.5</v>
      </c>
      <c r="J5162">
        <v>4</v>
      </c>
      <c r="M5162">
        <v>1</v>
      </c>
    </row>
    <row r="5163" spans="1:13">
      <c r="A5163" t="s">
        <v>8763</v>
      </c>
      <c r="B5163" t="s">
        <v>8674</v>
      </c>
      <c r="C5163" s="34" t="s">
        <v>8764</v>
      </c>
      <c r="F5163" t="s">
        <v>8764</v>
      </c>
      <c r="G5163" t="s">
        <v>6932</v>
      </c>
      <c r="H5163">
        <v>5</v>
      </c>
      <c r="I5163">
        <f>VLOOKUP(B5163,BRAND!B:D,3,FALSE)</f>
        <v>5.5</v>
      </c>
      <c r="J5163">
        <v>7</v>
      </c>
      <c r="M5163">
        <v>1</v>
      </c>
    </row>
    <row r="5164" spans="1:13">
      <c r="A5164" t="s">
        <v>8761</v>
      </c>
      <c r="B5164" t="s">
        <v>8674</v>
      </c>
      <c r="C5164" s="34" t="s">
        <v>534</v>
      </c>
      <c r="F5164" t="s">
        <v>534</v>
      </c>
      <c r="G5164" t="s">
        <v>6932</v>
      </c>
      <c r="H5164">
        <v>5</v>
      </c>
      <c r="I5164">
        <f>VLOOKUP(B5164,BRAND!B:D,3,FALSE)</f>
        <v>5.5</v>
      </c>
      <c r="J5164">
        <v>6</v>
      </c>
      <c r="M5164">
        <v>1</v>
      </c>
    </row>
    <row r="5165" spans="1:13">
      <c r="A5165" t="s">
        <v>8759</v>
      </c>
      <c r="B5165" t="s">
        <v>8674</v>
      </c>
      <c r="C5165" s="34" t="s">
        <v>536</v>
      </c>
      <c r="F5165" t="s">
        <v>536</v>
      </c>
      <c r="G5165" t="s">
        <v>6932</v>
      </c>
      <c r="H5165">
        <v>5</v>
      </c>
      <c r="I5165">
        <f>VLOOKUP(B5165,BRAND!B:D,3,FALSE)</f>
        <v>5.5</v>
      </c>
      <c r="J5165">
        <v>5</v>
      </c>
      <c r="M5165">
        <v>1</v>
      </c>
    </row>
    <row r="5166" spans="1:13">
      <c r="A5166" t="s">
        <v>8760</v>
      </c>
      <c r="B5166" t="s">
        <v>8674</v>
      </c>
      <c r="C5166" s="34" t="s">
        <v>872</v>
      </c>
      <c r="F5166" t="s">
        <v>872</v>
      </c>
      <c r="G5166" t="s">
        <v>6932</v>
      </c>
      <c r="H5166">
        <v>5</v>
      </c>
      <c r="I5166">
        <f>VLOOKUP(B5166,BRAND!B:D,3,FALSE)</f>
        <v>5.5</v>
      </c>
      <c r="J5166">
        <v>5</v>
      </c>
      <c r="M5166">
        <v>1</v>
      </c>
    </row>
    <row r="5167" spans="1:13">
      <c r="A5167" t="s">
        <v>8673</v>
      </c>
      <c r="B5167" t="s">
        <v>8674</v>
      </c>
      <c r="C5167" s="34" t="s">
        <v>1438</v>
      </c>
      <c r="F5167" t="s">
        <v>1438</v>
      </c>
      <c r="G5167" t="s">
        <v>6932</v>
      </c>
      <c r="H5167">
        <v>5</v>
      </c>
      <c r="I5167">
        <f>VLOOKUP(B5167,BRAND!B:D,3,FALSE)</f>
        <v>5.5</v>
      </c>
      <c r="J5167">
        <v>4</v>
      </c>
      <c r="L5167">
        <v>0</v>
      </c>
      <c r="M5167">
        <v>0</v>
      </c>
    </row>
    <row r="5168" spans="1:13">
      <c r="A5168" t="s">
        <v>9750</v>
      </c>
      <c r="B5168" t="s">
        <v>8674</v>
      </c>
      <c r="C5168" s="34" t="s">
        <v>9999</v>
      </c>
      <c r="G5168" t="s">
        <v>6932</v>
      </c>
      <c r="H5168">
        <v>5</v>
      </c>
      <c r="I5168">
        <f>VLOOKUP(B5168,BRAND!B:D,3,FALSE)</f>
        <v>5.5</v>
      </c>
      <c r="J5168">
        <v>0</v>
      </c>
      <c r="M5168">
        <v>1</v>
      </c>
    </row>
    <row r="5169" spans="1:13">
      <c r="A5169" t="s">
        <v>9749</v>
      </c>
      <c r="B5169" t="s">
        <v>8674</v>
      </c>
      <c r="C5169" s="34" t="s">
        <v>777</v>
      </c>
      <c r="G5169" t="s">
        <v>6932</v>
      </c>
      <c r="H5169">
        <v>5</v>
      </c>
      <c r="I5169">
        <f>VLOOKUP(B5169,BRAND!B:D,3,FALSE)</f>
        <v>5.5</v>
      </c>
      <c r="J5169">
        <v>0</v>
      </c>
      <c r="M5169">
        <v>1</v>
      </c>
    </row>
    <row r="5170" spans="1:13">
      <c r="A5170" t="s">
        <v>2838</v>
      </c>
      <c r="B5170" t="s">
        <v>1298</v>
      </c>
      <c r="C5170" s="34" t="s">
        <v>1438</v>
      </c>
      <c r="F5170" t="s">
        <v>1438</v>
      </c>
      <c r="H5170">
        <v>15</v>
      </c>
      <c r="I5170">
        <f>VLOOKUP(B5170,BRAND!B:D,3,FALSE)</f>
        <v>3</v>
      </c>
      <c r="J5170">
        <v>4</v>
      </c>
      <c r="K5170" t="s">
        <v>821</v>
      </c>
      <c r="L5170">
        <v>0</v>
      </c>
      <c r="M5170">
        <v>0</v>
      </c>
    </row>
    <row r="5171" spans="1:13">
      <c r="A5171" t="s">
        <v>8675</v>
      </c>
      <c r="B5171" t="s">
        <v>8676</v>
      </c>
      <c r="C5171" s="34" t="s">
        <v>1438</v>
      </c>
      <c r="F5171" t="s">
        <v>1438</v>
      </c>
      <c r="G5171" t="s">
        <v>6932</v>
      </c>
      <c r="H5171">
        <v>5</v>
      </c>
      <c r="I5171">
        <f>VLOOKUP(B5171,BRAND!B:D,3,FALSE)</f>
        <v>5.5</v>
      </c>
      <c r="J5171">
        <v>4</v>
      </c>
      <c r="M5171">
        <v>1</v>
      </c>
    </row>
    <row r="5172" spans="1:13">
      <c r="A5172" t="s">
        <v>8677</v>
      </c>
      <c r="B5172" t="s">
        <v>8678</v>
      </c>
      <c r="C5172" s="34" t="s">
        <v>1438</v>
      </c>
      <c r="F5172" t="s">
        <v>1438</v>
      </c>
      <c r="G5172" t="s">
        <v>6932</v>
      </c>
      <c r="H5172">
        <v>5</v>
      </c>
      <c r="I5172">
        <f>VLOOKUP(B5172,BRAND!B:D,3,FALSE)</f>
        <v>5.5</v>
      </c>
      <c r="J5172">
        <v>4</v>
      </c>
      <c r="M5172">
        <v>1</v>
      </c>
    </row>
    <row r="5173" spans="1:13">
      <c r="A5173" t="s">
        <v>3214</v>
      </c>
      <c r="B5173" t="s">
        <v>1299</v>
      </c>
      <c r="C5173" s="34" t="s">
        <v>1438</v>
      </c>
      <c r="F5173" t="s">
        <v>1438</v>
      </c>
      <c r="H5173">
        <v>15</v>
      </c>
      <c r="I5173">
        <f>VLOOKUP(B5173,BRAND!B:D,3,FALSE)</f>
        <v>3</v>
      </c>
      <c r="J5173">
        <v>4</v>
      </c>
      <c r="K5173" t="s">
        <v>821</v>
      </c>
      <c r="L5173">
        <v>0</v>
      </c>
      <c r="M5173">
        <v>0</v>
      </c>
    </row>
    <row r="5174" spans="1:13">
      <c r="A5174" t="s">
        <v>8679</v>
      </c>
      <c r="B5174" t="s">
        <v>653</v>
      </c>
      <c r="C5174" s="34" t="s">
        <v>1438</v>
      </c>
      <c r="F5174" t="s">
        <v>1438</v>
      </c>
      <c r="G5174" t="s">
        <v>6932</v>
      </c>
      <c r="H5174">
        <v>5</v>
      </c>
      <c r="I5174">
        <f>VLOOKUP(B5174,BRAND!B:D,3,FALSE)</f>
        <v>3</v>
      </c>
      <c r="J5174">
        <v>4</v>
      </c>
      <c r="L5174">
        <v>0</v>
      </c>
      <c r="M5174">
        <v>0</v>
      </c>
    </row>
    <row r="5175" spans="1:13">
      <c r="A5175" t="s">
        <v>9751</v>
      </c>
      <c r="B5175" t="s">
        <v>653</v>
      </c>
      <c r="C5175" s="34" t="s">
        <v>842</v>
      </c>
      <c r="G5175" t="s">
        <v>6932</v>
      </c>
      <c r="H5175">
        <v>5</v>
      </c>
      <c r="I5175">
        <f>VLOOKUP(B5175,BRAND!B:D,3,FALSE)</f>
        <v>3</v>
      </c>
      <c r="J5175">
        <v>0</v>
      </c>
      <c r="M5175">
        <v>1</v>
      </c>
    </row>
    <row r="5176" spans="1:13">
      <c r="A5176" t="s">
        <v>2421</v>
      </c>
      <c r="B5176" t="s">
        <v>653</v>
      </c>
      <c r="C5176" s="34" t="s">
        <v>1438</v>
      </c>
      <c r="F5176" t="s">
        <v>1438</v>
      </c>
      <c r="H5176">
        <v>15</v>
      </c>
      <c r="I5176">
        <f>VLOOKUP(B5176,BRAND!B:D,3,FALSE)</f>
        <v>3</v>
      </c>
      <c r="J5176">
        <v>4</v>
      </c>
      <c r="K5176" t="s">
        <v>821</v>
      </c>
      <c r="M5176">
        <v>1</v>
      </c>
    </row>
    <row r="5177" spans="1:13">
      <c r="A5177" t="s">
        <v>8685</v>
      </c>
      <c r="B5177" t="s">
        <v>332</v>
      </c>
      <c r="C5177" s="34" t="s">
        <v>7855</v>
      </c>
      <c r="F5177" t="s">
        <v>7855</v>
      </c>
      <c r="G5177" t="s">
        <v>6932</v>
      </c>
      <c r="H5177">
        <v>4</v>
      </c>
      <c r="I5177">
        <f>VLOOKUP(B5177,BRAND!B:D,3,FALSE)</f>
        <v>3</v>
      </c>
      <c r="J5177">
        <f>LEN(F5177)</f>
        <v>11</v>
      </c>
      <c r="M5177">
        <v>1</v>
      </c>
    </row>
    <row r="5178" spans="1:13">
      <c r="A5178" t="s">
        <v>8684</v>
      </c>
      <c r="B5178" t="s">
        <v>332</v>
      </c>
      <c r="C5178" s="34" t="s">
        <v>745</v>
      </c>
      <c r="F5178" t="s">
        <v>745</v>
      </c>
      <c r="G5178" t="s">
        <v>6932</v>
      </c>
      <c r="H5178">
        <v>4</v>
      </c>
      <c r="I5178">
        <f>VLOOKUP(B5178,BRAND!B:D,3,FALSE)</f>
        <v>3</v>
      </c>
      <c r="J5178">
        <v>5</v>
      </c>
      <c r="M5178">
        <v>1</v>
      </c>
    </row>
    <row r="5179" spans="1:13">
      <c r="A5179" t="s">
        <v>8682</v>
      </c>
      <c r="B5179" t="s">
        <v>332</v>
      </c>
      <c r="C5179" s="34" t="s">
        <v>994</v>
      </c>
      <c r="F5179" t="s">
        <v>994</v>
      </c>
      <c r="G5179" t="s">
        <v>6932</v>
      </c>
      <c r="H5179">
        <v>5</v>
      </c>
      <c r="I5179">
        <f>VLOOKUP(B5179,BRAND!B:D,3,FALSE)</f>
        <v>3</v>
      </c>
      <c r="J5179">
        <f>LEN(F5179)</f>
        <v>10</v>
      </c>
      <c r="M5179">
        <v>1</v>
      </c>
    </row>
    <row r="5180" spans="1:13">
      <c r="A5180" t="s">
        <v>8680</v>
      </c>
      <c r="B5180" t="s">
        <v>332</v>
      </c>
      <c r="C5180" s="34" t="s">
        <v>2000</v>
      </c>
      <c r="F5180" t="s">
        <v>2000</v>
      </c>
      <c r="G5180" t="s">
        <v>6932</v>
      </c>
      <c r="H5180">
        <v>5</v>
      </c>
      <c r="I5180">
        <f>VLOOKUP(B5180,BRAND!B:D,3,FALSE)</f>
        <v>3</v>
      </c>
      <c r="J5180">
        <v>5</v>
      </c>
      <c r="L5180">
        <v>0</v>
      </c>
      <c r="M5180">
        <v>0</v>
      </c>
    </row>
    <row r="5181" spans="1:13">
      <c r="A5181" t="s">
        <v>8765</v>
      </c>
      <c r="B5181" t="s">
        <v>332</v>
      </c>
      <c r="C5181" s="34" t="s">
        <v>751</v>
      </c>
      <c r="F5181" t="s">
        <v>751</v>
      </c>
      <c r="G5181" t="s">
        <v>6932</v>
      </c>
      <c r="H5181">
        <v>5</v>
      </c>
      <c r="I5181">
        <f>VLOOKUP(B5181,BRAND!B:D,3,FALSE)</f>
        <v>3</v>
      </c>
      <c r="J5181">
        <v>5</v>
      </c>
      <c r="M5181">
        <v>1</v>
      </c>
    </row>
    <row r="5182" spans="1:13">
      <c r="A5182" t="s">
        <v>8681</v>
      </c>
      <c r="B5182" t="s">
        <v>332</v>
      </c>
      <c r="C5182" s="34" t="s">
        <v>998</v>
      </c>
      <c r="F5182" t="s">
        <v>998</v>
      </c>
      <c r="G5182" t="s">
        <v>6932</v>
      </c>
      <c r="H5182">
        <v>5</v>
      </c>
      <c r="I5182">
        <f>VLOOKUP(B5182,BRAND!B:D,3,FALSE)</f>
        <v>3</v>
      </c>
      <c r="J5182">
        <v>4</v>
      </c>
      <c r="M5182">
        <v>1</v>
      </c>
    </row>
    <row r="5183" spans="1:13">
      <c r="A5183" t="s">
        <v>8683</v>
      </c>
      <c r="B5183" t="s">
        <v>332</v>
      </c>
      <c r="C5183" s="34" t="s">
        <v>561</v>
      </c>
      <c r="F5183" t="s">
        <v>561</v>
      </c>
      <c r="G5183" t="s">
        <v>6932</v>
      </c>
      <c r="H5183">
        <v>5</v>
      </c>
      <c r="I5183">
        <f>VLOOKUP(B5183,BRAND!B:D,3,FALSE)</f>
        <v>3</v>
      </c>
      <c r="J5183">
        <v>3</v>
      </c>
      <c r="M5183">
        <v>1</v>
      </c>
    </row>
    <row r="5184" spans="1:13">
      <c r="A5184" t="s">
        <v>9752</v>
      </c>
      <c r="B5184" t="s">
        <v>332</v>
      </c>
      <c r="C5184" s="34" t="s">
        <v>1438</v>
      </c>
      <c r="G5184" t="s">
        <v>2000</v>
      </c>
      <c r="H5184">
        <v>5</v>
      </c>
      <c r="I5184">
        <f>VLOOKUP(B5184,BRAND!B:D,3,FALSE)</f>
        <v>3</v>
      </c>
      <c r="J5184">
        <v>0</v>
      </c>
      <c r="M5184">
        <v>1</v>
      </c>
    </row>
    <row r="5185" spans="1:13">
      <c r="A5185" t="s">
        <v>2715</v>
      </c>
      <c r="B5185" t="s">
        <v>332</v>
      </c>
      <c r="C5185" s="34" t="s">
        <v>1438</v>
      </c>
      <c r="F5185" t="s">
        <v>1438</v>
      </c>
      <c r="H5185">
        <v>15</v>
      </c>
      <c r="I5185">
        <f>VLOOKUP(B5185,BRAND!B:D,3,FALSE)</f>
        <v>3</v>
      </c>
      <c r="J5185">
        <v>4</v>
      </c>
      <c r="K5185" t="s">
        <v>821</v>
      </c>
      <c r="M5185">
        <v>1</v>
      </c>
    </row>
    <row r="5186" spans="1:13">
      <c r="A5186" t="s">
        <v>8686</v>
      </c>
      <c r="B5186" t="s">
        <v>8687</v>
      </c>
      <c r="C5186" s="34" t="s">
        <v>1438</v>
      </c>
      <c r="F5186" t="s">
        <v>1438</v>
      </c>
      <c r="G5186" t="s">
        <v>6932</v>
      </c>
      <c r="H5186">
        <v>5</v>
      </c>
      <c r="I5186">
        <f>VLOOKUP(B5186,BRAND!B:D,3,FALSE)</f>
        <v>5.5</v>
      </c>
      <c r="J5186">
        <v>4</v>
      </c>
      <c r="M5186">
        <v>1</v>
      </c>
    </row>
    <row r="5187" spans="1:13">
      <c r="A5187" t="s">
        <v>8688</v>
      </c>
      <c r="B5187" t="s">
        <v>8689</v>
      </c>
      <c r="C5187" s="34" t="s">
        <v>1438</v>
      </c>
      <c r="F5187" t="s">
        <v>1438</v>
      </c>
      <c r="G5187" t="s">
        <v>6932</v>
      </c>
      <c r="H5187">
        <v>5</v>
      </c>
      <c r="I5187">
        <f>VLOOKUP(B5187,BRAND!B:D,3,FALSE)</f>
        <v>5.5</v>
      </c>
      <c r="J5187">
        <v>4</v>
      </c>
      <c r="M5187">
        <v>1</v>
      </c>
    </row>
    <row r="5188" spans="1:13">
      <c r="A5188" t="s">
        <v>8766</v>
      </c>
      <c r="B5188" t="s">
        <v>8767</v>
      </c>
      <c r="C5188" s="34" t="s">
        <v>1438</v>
      </c>
      <c r="F5188" t="s">
        <v>1438</v>
      </c>
      <c r="G5188" t="s">
        <v>6932</v>
      </c>
      <c r="H5188">
        <v>5</v>
      </c>
      <c r="I5188">
        <f>VLOOKUP(B5188,BRAND!B:D,3,FALSE)</f>
        <v>5.5</v>
      </c>
      <c r="J5188">
        <v>4</v>
      </c>
      <c r="M5188">
        <v>1</v>
      </c>
    </row>
    <row r="5189" spans="1:13">
      <c r="A5189" t="s">
        <v>7332</v>
      </c>
      <c r="B5189" t="s">
        <v>309</v>
      </c>
      <c r="C5189" s="34" t="s">
        <v>953</v>
      </c>
      <c r="F5189" t="s">
        <v>953</v>
      </c>
      <c r="H5189">
        <v>4</v>
      </c>
      <c r="I5189">
        <f>VLOOKUP(B5189,BRAND!B:D,3,FALSE)</f>
        <v>5</v>
      </c>
      <c r="J5189">
        <v>6</v>
      </c>
      <c r="K5189" t="s">
        <v>821</v>
      </c>
      <c r="L5189">
        <v>0</v>
      </c>
      <c r="M5189">
        <v>0</v>
      </c>
    </row>
    <row r="5190" spans="1:13">
      <c r="A5190" t="s">
        <v>4000</v>
      </c>
      <c r="B5190" t="s">
        <v>309</v>
      </c>
      <c r="C5190" s="34" t="s">
        <v>840</v>
      </c>
      <c r="F5190" t="s">
        <v>840</v>
      </c>
      <c r="H5190">
        <v>5</v>
      </c>
      <c r="I5190">
        <f>VLOOKUP(B5190,BRAND!B:D,3,FALSE)</f>
        <v>5</v>
      </c>
      <c r="J5190">
        <v>9</v>
      </c>
      <c r="K5190" t="s">
        <v>821</v>
      </c>
      <c r="M5190">
        <v>1</v>
      </c>
    </row>
    <row r="5191" spans="1:13">
      <c r="A5191" t="s">
        <v>7331</v>
      </c>
      <c r="B5191" t="s">
        <v>309</v>
      </c>
      <c r="C5191" s="34" t="s">
        <v>847</v>
      </c>
      <c r="F5191" t="s">
        <v>847</v>
      </c>
      <c r="H5191">
        <v>5</v>
      </c>
      <c r="I5191">
        <f>VLOOKUP(B5191,BRAND!B:D,3,FALSE)</f>
        <v>5</v>
      </c>
      <c r="J5191">
        <v>8</v>
      </c>
      <c r="K5191" t="s">
        <v>821</v>
      </c>
      <c r="L5191">
        <v>0</v>
      </c>
      <c r="M5191">
        <v>0</v>
      </c>
    </row>
    <row r="5192" spans="1:13">
      <c r="A5192" t="s">
        <v>3356</v>
      </c>
      <c r="B5192" t="s">
        <v>309</v>
      </c>
      <c r="C5192" s="34" t="s">
        <v>772</v>
      </c>
      <c r="F5192" t="s">
        <v>772</v>
      </c>
      <c r="H5192">
        <v>5</v>
      </c>
      <c r="I5192">
        <f>VLOOKUP(B5192,BRAND!B:D,3,FALSE)</f>
        <v>5</v>
      </c>
      <c r="J5192">
        <v>6</v>
      </c>
      <c r="K5192" t="s">
        <v>821</v>
      </c>
      <c r="M5192">
        <v>1</v>
      </c>
    </row>
    <row r="5193" spans="1:13">
      <c r="A5193" t="s">
        <v>3999</v>
      </c>
      <c r="B5193" t="s">
        <v>309</v>
      </c>
      <c r="C5193" s="34" t="s">
        <v>534</v>
      </c>
      <c r="F5193" t="s">
        <v>534</v>
      </c>
      <c r="H5193">
        <v>5</v>
      </c>
      <c r="I5193">
        <f>VLOOKUP(B5193,BRAND!B:D,3,FALSE)</f>
        <v>5</v>
      </c>
      <c r="J5193">
        <v>6</v>
      </c>
      <c r="K5193" t="s">
        <v>821</v>
      </c>
      <c r="M5193">
        <v>1</v>
      </c>
    </row>
    <row r="5194" spans="1:13">
      <c r="A5194" t="s">
        <v>3499</v>
      </c>
      <c r="B5194" t="s">
        <v>309</v>
      </c>
      <c r="C5194" s="34" t="s">
        <v>776</v>
      </c>
      <c r="F5194" t="s">
        <v>776</v>
      </c>
      <c r="H5194">
        <v>5</v>
      </c>
      <c r="I5194">
        <f>VLOOKUP(B5194,BRAND!B:D,3,FALSE)</f>
        <v>5</v>
      </c>
      <c r="J5194">
        <v>5</v>
      </c>
      <c r="K5194" t="s">
        <v>821</v>
      </c>
      <c r="L5194">
        <v>0</v>
      </c>
      <c r="M5194">
        <v>0</v>
      </c>
    </row>
    <row r="5195" spans="1:13">
      <c r="A5195" t="s">
        <v>3998</v>
      </c>
      <c r="B5195" t="s">
        <v>309</v>
      </c>
      <c r="C5195" s="34" t="s">
        <v>5406</v>
      </c>
      <c r="F5195" t="s">
        <v>536</v>
      </c>
      <c r="H5195">
        <v>5</v>
      </c>
      <c r="I5195">
        <f>VLOOKUP(B5195,BRAND!B:D,3,FALSE)</f>
        <v>5</v>
      </c>
      <c r="J5195">
        <v>5</v>
      </c>
      <c r="K5195" t="s">
        <v>821</v>
      </c>
      <c r="M5195">
        <v>1</v>
      </c>
    </row>
    <row r="5196" spans="1:13" s="4" customFormat="1">
      <c r="A5196" t="s">
        <v>12001</v>
      </c>
      <c r="B5196" t="s">
        <v>309</v>
      </c>
      <c r="C5196" s="34" t="s">
        <v>5407</v>
      </c>
      <c r="D5196"/>
      <c r="E5196"/>
      <c r="F5196" t="s">
        <v>751</v>
      </c>
      <c r="G5196"/>
      <c r="H5196">
        <v>5</v>
      </c>
      <c r="I5196">
        <f>VLOOKUP(B5196,BRAND!B:D,3,FALSE)</f>
        <v>5</v>
      </c>
      <c r="J5196">
        <v>5</v>
      </c>
      <c r="K5196" t="s">
        <v>821</v>
      </c>
      <c r="L5196"/>
      <c r="M5196">
        <v>1</v>
      </c>
    </row>
    <row r="5197" spans="1:13">
      <c r="A5197" t="s">
        <v>7083</v>
      </c>
      <c r="B5197" t="s">
        <v>309</v>
      </c>
      <c r="C5197" s="34" t="s">
        <v>1990</v>
      </c>
      <c r="F5197" t="s">
        <v>1990</v>
      </c>
      <c r="H5197">
        <v>5</v>
      </c>
      <c r="I5197">
        <f>VLOOKUP(B5197,BRAND!B:D,3,FALSE)</f>
        <v>5</v>
      </c>
      <c r="J5197">
        <v>5</v>
      </c>
      <c r="M5197">
        <v>1</v>
      </c>
    </row>
    <row r="5198" spans="1:13">
      <c r="A5198" t="s">
        <v>10282</v>
      </c>
      <c r="B5198" t="s">
        <v>309</v>
      </c>
      <c r="C5198" s="34" t="s">
        <v>1898</v>
      </c>
      <c r="F5198" t="s">
        <v>1898</v>
      </c>
      <c r="H5198">
        <v>5</v>
      </c>
      <c r="I5198">
        <f>VLOOKUP(B5198,BRAND!B:D,3,FALSE)</f>
        <v>5</v>
      </c>
      <c r="J5198">
        <f>LEN(F5198)</f>
        <v>4</v>
      </c>
      <c r="M5198">
        <v>1</v>
      </c>
    </row>
    <row r="5199" spans="1:13">
      <c r="A5199" t="s">
        <v>7333</v>
      </c>
      <c r="B5199" t="s">
        <v>309</v>
      </c>
      <c r="C5199" s="34" t="s">
        <v>848</v>
      </c>
      <c r="F5199" t="s">
        <v>848</v>
      </c>
      <c r="H5199">
        <v>5</v>
      </c>
      <c r="I5199">
        <f>VLOOKUP(B5199,BRAND!B:D,3,FALSE)</f>
        <v>5</v>
      </c>
      <c r="J5199">
        <v>4</v>
      </c>
      <c r="K5199" t="s">
        <v>821</v>
      </c>
      <c r="L5199">
        <v>0</v>
      </c>
      <c r="M5199">
        <v>0</v>
      </c>
    </row>
    <row r="5200" spans="1:13">
      <c r="A5200" t="s">
        <v>7084</v>
      </c>
      <c r="B5200" t="s">
        <v>309</v>
      </c>
      <c r="C5200" s="34" t="s">
        <v>778</v>
      </c>
      <c r="F5200" t="s">
        <v>778</v>
      </c>
      <c r="H5200">
        <v>5</v>
      </c>
      <c r="I5200">
        <f>VLOOKUP(B5200,BRAND!B:D,3,FALSE)</f>
        <v>5</v>
      </c>
      <c r="J5200">
        <v>4</v>
      </c>
      <c r="M5200">
        <v>1</v>
      </c>
    </row>
    <row r="5201" spans="1:13">
      <c r="A5201" t="s">
        <v>7085</v>
      </c>
      <c r="B5201" t="s">
        <v>309</v>
      </c>
      <c r="C5201" s="34" t="s">
        <v>848</v>
      </c>
      <c r="F5201" t="s">
        <v>848</v>
      </c>
      <c r="H5201">
        <v>5</v>
      </c>
      <c r="I5201">
        <f>VLOOKUP(B5201,BRAND!B:D,3,FALSE)</f>
        <v>5</v>
      </c>
      <c r="J5201">
        <v>4</v>
      </c>
      <c r="M5201">
        <v>1</v>
      </c>
    </row>
    <row r="5202" spans="1:13">
      <c r="A5202" t="s">
        <v>5019</v>
      </c>
      <c r="B5202" t="s">
        <v>309</v>
      </c>
      <c r="C5202" s="34" t="s">
        <v>1898</v>
      </c>
      <c r="F5202" t="s">
        <v>1898</v>
      </c>
      <c r="G5202" t="s">
        <v>801</v>
      </c>
      <c r="H5202">
        <v>6</v>
      </c>
      <c r="I5202">
        <f>VLOOKUP(B5202,BRAND!B:D,3,FALSE)</f>
        <v>5</v>
      </c>
      <c r="J5202">
        <v>4</v>
      </c>
      <c r="K5202" t="s">
        <v>821</v>
      </c>
      <c r="L5202">
        <v>0</v>
      </c>
      <c r="M5202">
        <v>0</v>
      </c>
    </row>
    <row r="5203" spans="1:13">
      <c r="A5203" t="s">
        <v>4927</v>
      </c>
      <c r="B5203" t="s">
        <v>309</v>
      </c>
      <c r="C5203" s="34" t="s">
        <v>1438</v>
      </c>
      <c r="F5203" t="s">
        <v>1438</v>
      </c>
      <c r="G5203" t="s">
        <v>801</v>
      </c>
      <c r="H5203">
        <v>6</v>
      </c>
      <c r="I5203">
        <f>VLOOKUP(B5203,BRAND!B:D,3,FALSE)</f>
        <v>5</v>
      </c>
      <c r="J5203">
        <v>4</v>
      </c>
      <c r="K5203" t="s">
        <v>821</v>
      </c>
      <c r="M5203">
        <v>1</v>
      </c>
    </row>
    <row r="5204" spans="1:13">
      <c r="A5204" t="s">
        <v>2072</v>
      </c>
      <c r="B5204" t="s">
        <v>309</v>
      </c>
      <c r="C5204" s="34" t="s">
        <v>1438</v>
      </c>
      <c r="F5204" t="s">
        <v>1438</v>
      </c>
      <c r="H5204">
        <v>15</v>
      </c>
      <c r="I5204">
        <f>VLOOKUP(B5204,BRAND!B:D,3,FALSE)</f>
        <v>5</v>
      </c>
      <c r="J5204">
        <v>4</v>
      </c>
      <c r="K5204" t="s">
        <v>821</v>
      </c>
      <c r="L5204">
        <v>0</v>
      </c>
      <c r="M5204">
        <v>0</v>
      </c>
    </row>
    <row r="5205" spans="1:13">
      <c r="A5205" t="s">
        <v>3741</v>
      </c>
      <c r="B5205" t="s">
        <v>960</v>
      </c>
      <c r="C5205" s="34" t="s">
        <v>534</v>
      </c>
      <c r="F5205" t="s">
        <v>534</v>
      </c>
      <c r="H5205">
        <v>5</v>
      </c>
      <c r="I5205">
        <f>VLOOKUP(B5205,BRAND!B:D,3,FALSE)</f>
        <v>3</v>
      </c>
      <c r="J5205">
        <v>6</v>
      </c>
      <c r="K5205" t="s">
        <v>821</v>
      </c>
      <c r="L5205">
        <v>0</v>
      </c>
      <c r="M5205">
        <v>0</v>
      </c>
    </row>
    <row r="5206" spans="1:13">
      <c r="A5206" t="s">
        <v>8768</v>
      </c>
      <c r="B5206" t="s">
        <v>960</v>
      </c>
      <c r="C5206" s="34" t="s">
        <v>1438</v>
      </c>
      <c r="F5206" t="s">
        <v>1438</v>
      </c>
      <c r="G5206" t="s">
        <v>6932</v>
      </c>
      <c r="H5206">
        <v>5</v>
      </c>
      <c r="I5206">
        <f>VLOOKUP(B5206,BRAND!B:D,3,FALSE)</f>
        <v>3</v>
      </c>
      <c r="J5206">
        <v>4</v>
      </c>
      <c r="M5206">
        <v>1</v>
      </c>
    </row>
    <row r="5207" spans="1:13">
      <c r="A5207" t="s">
        <v>8690</v>
      </c>
      <c r="B5207" t="s">
        <v>8691</v>
      </c>
      <c r="C5207" s="34" t="s">
        <v>755</v>
      </c>
      <c r="F5207" t="s">
        <v>755</v>
      </c>
      <c r="G5207" t="s">
        <v>6932</v>
      </c>
      <c r="H5207">
        <v>5</v>
      </c>
      <c r="I5207">
        <f>VLOOKUP(B5207,BRAND!B:D,3,FALSE)</f>
        <v>5.5</v>
      </c>
      <c r="J5207">
        <v>6</v>
      </c>
      <c r="M5207">
        <v>1</v>
      </c>
    </row>
    <row r="5208" spans="1:13">
      <c r="A5208" t="s">
        <v>15459</v>
      </c>
      <c r="B5208" t="s">
        <v>15460</v>
      </c>
      <c r="C5208" s="34" t="s">
        <v>1438</v>
      </c>
      <c r="F5208" t="s">
        <v>1438</v>
      </c>
      <c r="G5208" t="s">
        <v>6932</v>
      </c>
      <c r="H5208">
        <v>5</v>
      </c>
      <c r="I5208">
        <f>VLOOKUP(B5208,BRAND!B:D,3,FALSE)</f>
        <v>5</v>
      </c>
      <c r="J5208">
        <v>0</v>
      </c>
      <c r="K5208" t="s">
        <v>821</v>
      </c>
      <c r="L5208">
        <v>0</v>
      </c>
      <c r="M5208">
        <v>0</v>
      </c>
    </row>
    <row r="5209" spans="1:13">
      <c r="A5209" t="s">
        <v>8692</v>
      </c>
      <c r="B5209" t="s">
        <v>650</v>
      </c>
      <c r="C5209" s="34" t="s">
        <v>1438</v>
      </c>
      <c r="F5209" t="s">
        <v>1438</v>
      </c>
      <c r="G5209" t="s">
        <v>6932</v>
      </c>
      <c r="H5209">
        <v>5</v>
      </c>
      <c r="I5209">
        <f>VLOOKUP(B5209,BRAND!B:D,3,FALSE)</f>
        <v>3</v>
      </c>
      <c r="J5209">
        <v>4</v>
      </c>
      <c r="L5209">
        <v>0</v>
      </c>
      <c r="M5209">
        <v>0</v>
      </c>
    </row>
    <row r="5210" spans="1:13">
      <c r="A5210" t="s">
        <v>3254</v>
      </c>
      <c r="B5210" t="s">
        <v>650</v>
      </c>
      <c r="C5210" s="34" t="s">
        <v>1438</v>
      </c>
      <c r="F5210" t="s">
        <v>1438</v>
      </c>
      <c r="H5210">
        <v>15</v>
      </c>
      <c r="I5210">
        <f>VLOOKUP(B5210,BRAND!B:D,3,FALSE)</f>
        <v>3</v>
      </c>
      <c r="J5210">
        <v>4</v>
      </c>
      <c r="K5210" t="s">
        <v>821</v>
      </c>
      <c r="M5210">
        <v>1</v>
      </c>
    </row>
    <row r="5211" spans="1:13">
      <c r="A5211" t="s">
        <v>15461</v>
      </c>
      <c r="B5211" t="s">
        <v>15462</v>
      </c>
      <c r="C5211" s="34" t="s">
        <v>536</v>
      </c>
      <c r="F5211" t="s">
        <v>536</v>
      </c>
      <c r="G5211" t="s">
        <v>6932</v>
      </c>
      <c r="H5211">
        <v>5</v>
      </c>
      <c r="I5211">
        <f>VLOOKUP(B5211,BRAND!B:D,3,FALSE)</f>
        <v>5</v>
      </c>
      <c r="J5211">
        <v>0</v>
      </c>
      <c r="K5211" t="s">
        <v>821</v>
      </c>
      <c r="L5211">
        <v>0</v>
      </c>
      <c r="M5211">
        <v>0</v>
      </c>
    </row>
    <row r="5212" spans="1:13">
      <c r="A5212" t="s">
        <v>15463</v>
      </c>
      <c r="B5212" t="s">
        <v>15462</v>
      </c>
      <c r="C5212" s="34" t="s">
        <v>10023</v>
      </c>
      <c r="F5212" t="s">
        <v>10023</v>
      </c>
      <c r="G5212" t="s">
        <v>6932</v>
      </c>
      <c r="H5212">
        <v>5</v>
      </c>
      <c r="I5212">
        <f>VLOOKUP(B5212,BRAND!B:D,3,FALSE)</f>
        <v>5</v>
      </c>
      <c r="J5212">
        <v>0</v>
      </c>
      <c r="K5212" t="s">
        <v>821</v>
      </c>
      <c r="L5212">
        <v>0</v>
      </c>
      <c r="M5212">
        <v>0</v>
      </c>
    </row>
    <row r="5213" spans="1:13">
      <c r="A5213" t="s">
        <v>15464</v>
      </c>
      <c r="B5213" t="s">
        <v>15462</v>
      </c>
      <c r="C5213" s="34" t="s">
        <v>776</v>
      </c>
      <c r="F5213" t="s">
        <v>776</v>
      </c>
      <c r="G5213" t="s">
        <v>6932</v>
      </c>
      <c r="H5213">
        <v>5</v>
      </c>
      <c r="I5213">
        <f>VLOOKUP(B5213,BRAND!B:D,3,FALSE)</f>
        <v>5</v>
      </c>
      <c r="J5213">
        <v>0</v>
      </c>
      <c r="K5213" t="s">
        <v>821</v>
      </c>
      <c r="L5213">
        <v>0</v>
      </c>
      <c r="M5213">
        <v>0</v>
      </c>
    </row>
    <row r="5214" spans="1:13">
      <c r="A5214" t="s">
        <v>8769</v>
      </c>
      <c r="B5214" t="s">
        <v>8770</v>
      </c>
      <c r="C5214" s="34" t="s">
        <v>1438</v>
      </c>
      <c r="F5214" t="s">
        <v>1438</v>
      </c>
      <c r="G5214" t="s">
        <v>6932</v>
      </c>
      <c r="H5214">
        <v>5</v>
      </c>
      <c r="I5214">
        <f>VLOOKUP(B5214,BRAND!B:D,3,FALSE)</f>
        <v>5.5</v>
      </c>
      <c r="J5214">
        <v>4</v>
      </c>
      <c r="L5214">
        <v>0</v>
      </c>
      <c r="M5214">
        <v>0</v>
      </c>
    </row>
    <row r="5215" spans="1:13">
      <c r="A5215" t="s">
        <v>9753</v>
      </c>
      <c r="B5215" t="s">
        <v>8770</v>
      </c>
      <c r="C5215" s="34" t="s">
        <v>842</v>
      </c>
      <c r="G5215" t="s">
        <v>6932</v>
      </c>
      <c r="H5215">
        <v>5</v>
      </c>
      <c r="I5215">
        <f>VLOOKUP(B5215,BRAND!B:D,3,FALSE)</f>
        <v>5.5</v>
      </c>
      <c r="J5215">
        <v>0</v>
      </c>
      <c r="M5215">
        <v>1</v>
      </c>
    </row>
    <row r="5216" spans="1:13">
      <c r="A5216" t="s">
        <v>9754</v>
      </c>
      <c r="B5216" t="s">
        <v>8770</v>
      </c>
      <c r="C5216" s="34" t="s">
        <v>536</v>
      </c>
      <c r="G5216" t="s">
        <v>6932</v>
      </c>
      <c r="H5216">
        <v>5</v>
      </c>
      <c r="I5216">
        <f>VLOOKUP(B5216,BRAND!B:D,3,FALSE)</f>
        <v>5.5</v>
      </c>
      <c r="J5216">
        <v>0</v>
      </c>
      <c r="M5216">
        <v>1</v>
      </c>
    </row>
    <row r="5217" spans="1:13">
      <c r="A5217" t="s">
        <v>2601</v>
      </c>
      <c r="B5217" t="s">
        <v>651</v>
      </c>
      <c r="C5217" s="34" t="s">
        <v>534</v>
      </c>
      <c r="F5217" t="s">
        <v>534</v>
      </c>
      <c r="H5217">
        <v>5</v>
      </c>
      <c r="I5217">
        <f>VLOOKUP(B5217,BRAND!B:D,3,FALSE)</f>
        <v>3</v>
      </c>
      <c r="J5217">
        <v>6</v>
      </c>
      <c r="K5217" t="s">
        <v>821</v>
      </c>
      <c r="L5217">
        <v>0</v>
      </c>
      <c r="M5217">
        <v>0</v>
      </c>
    </row>
    <row r="5218" spans="1:13">
      <c r="A5218" t="s">
        <v>2716</v>
      </c>
      <c r="B5218" t="s">
        <v>651</v>
      </c>
      <c r="C5218" s="34" t="s">
        <v>1438</v>
      </c>
      <c r="F5218" t="s">
        <v>1438</v>
      </c>
      <c r="H5218">
        <v>15</v>
      </c>
      <c r="I5218">
        <f>VLOOKUP(B5218,BRAND!B:D,3,FALSE)</f>
        <v>3</v>
      </c>
      <c r="J5218">
        <v>4</v>
      </c>
      <c r="K5218" t="s">
        <v>821</v>
      </c>
      <c r="L5218">
        <v>0</v>
      </c>
      <c r="M5218">
        <v>0</v>
      </c>
    </row>
    <row r="5219" spans="1:13">
      <c r="A5219" t="s">
        <v>8980</v>
      </c>
      <c r="B5219" t="s">
        <v>8981</v>
      </c>
      <c r="C5219" s="34" t="s">
        <v>1438</v>
      </c>
      <c r="F5219" t="s">
        <v>1438</v>
      </c>
      <c r="G5219" t="s">
        <v>6932</v>
      </c>
      <c r="H5219">
        <v>5</v>
      </c>
      <c r="I5219">
        <f>VLOOKUP(B5219,BRAND!B:D,3,FALSE)</f>
        <v>5.5</v>
      </c>
      <c r="J5219">
        <v>4</v>
      </c>
      <c r="M5219">
        <v>1</v>
      </c>
    </row>
    <row r="5220" spans="1:13">
      <c r="A5220" t="s">
        <v>8479</v>
      </c>
      <c r="B5220" t="s">
        <v>8480</v>
      </c>
      <c r="C5220" s="34" t="s">
        <v>1438</v>
      </c>
      <c r="F5220" t="s">
        <v>1438</v>
      </c>
      <c r="G5220" t="s">
        <v>6932</v>
      </c>
      <c r="H5220">
        <v>5</v>
      </c>
      <c r="I5220">
        <f>VLOOKUP(B5220,BRAND!B:D,3,FALSE)</f>
        <v>5.5</v>
      </c>
      <c r="J5220">
        <v>4</v>
      </c>
      <c r="M5220">
        <v>1</v>
      </c>
    </row>
    <row r="5221" spans="1:13">
      <c r="A5221" t="s">
        <v>9755</v>
      </c>
      <c r="B5221" t="s">
        <v>8480</v>
      </c>
      <c r="C5221" s="34" t="s">
        <v>6500</v>
      </c>
      <c r="G5221" t="s">
        <v>6932</v>
      </c>
      <c r="H5221">
        <v>5</v>
      </c>
      <c r="I5221">
        <f>VLOOKUP(B5221,BRAND!B:D,3,FALSE)</f>
        <v>5.5</v>
      </c>
      <c r="J5221">
        <f>LEN(F5221)</f>
        <v>0</v>
      </c>
      <c r="L5221">
        <v>0</v>
      </c>
      <c r="M5221">
        <v>0</v>
      </c>
    </row>
    <row r="5222" spans="1:13">
      <c r="A5222" t="s">
        <v>9756</v>
      </c>
      <c r="B5222" t="s">
        <v>8480</v>
      </c>
      <c r="C5222" s="34" t="s">
        <v>534</v>
      </c>
      <c r="G5222" t="s">
        <v>6932</v>
      </c>
      <c r="H5222">
        <v>5</v>
      </c>
      <c r="I5222">
        <f>VLOOKUP(B5222,BRAND!B:D,3,FALSE)</f>
        <v>5.5</v>
      </c>
      <c r="J5222">
        <f>LEN(F5222)</f>
        <v>0</v>
      </c>
      <c r="L5222">
        <v>0</v>
      </c>
      <c r="M5222">
        <v>0</v>
      </c>
    </row>
    <row r="5223" spans="1:13">
      <c r="A5223" t="s">
        <v>9756</v>
      </c>
      <c r="B5223" t="s">
        <v>8480</v>
      </c>
      <c r="C5223" s="34" t="s">
        <v>534</v>
      </c>
      <c r="G5223" t="s">
        <v>6932</v>
      </c>
      <c r="H5223">
        <v>5</v>
      </c>
      <c r="I5223">
        <f>VLOOKUP(B5223,BRAND!B:D,3,FALSE)</f>
        <v>5.5</v>
      </c>
      <c r="J5223">
        <v>0</v>
      </c>
      <c r="M5223">
        <v>1</v>
      </c>
    </row>
    <row r="5224" spans="1:13">
      <c r="A5224" t="s">
        <v>9755</v>
      </c>
      <c r="B5224" t="s">
        <v>8480</v>
      </c>
      <c r="C5224" s="34" t="s">
        <v>6500</v>
      </c>
      <c r="G5224" t="s">
        <v>6932</v>
      </c>
      <c r="H5224">
        <v>5</v>
      </c>
      <c r="I5224">
        <f>VLOOKUP(B5224,BRAND!B:D,3,FALSE)</f>
        <v>5.5</v>
      </c>
      <c r="J5224">
        <v>0</v>
      </c>
      <c r="M5224">
        <v>1</v>
      </c>
    </row>
    <row r="5225" spans="1:13">
      <c r="A5225" t="s">
        <v>8695</v>
      </c>
      <c r="B5225" t="s">
        <v>8694</v>
      </c>
      <c r="C5225" s="34" t="s">
        <v>534</v>
      </c>
      <c r="F5225" t="s">
        <v>534</v>
      </c>
      <c r="G5225" t="s">
        <v>6932</v>
      </c>
      <c r="H5225">
        <v>5</v>
      </c>
      <c r="I5225">
        <f>VLOOKUP(B5225,BRAND!B:D,3,FALSE)</f>
        <v>5.5</v>
      </c>
      <c r="J5225">
        <v>6</v>
      </c>
      <c r="L5225">
        <v>0</v>
      </c>
      <c r="M5225">
        <v>0</v>
      </c>
    </row>
    <row r="5226" spans="1:13">
      <c r="A5226" t="s">
        <v>8693</v>
      </c>
      <c r="B5226" t="s">
        <v>8694</v>
      </c>
      <c r="C5226" s="34" t="s">
        <v>6500</v>
      </c>
      <c r="F5226" t="s">
        <v>6500</v>
      </c>
      <c r="G5226" t="s">
        <v>6932</v>
      </c>
      <c r="H5226">
        <v>5</v>
      </c>
      <c r="I5226">
        <f>VLOOKUP(B5226,BRAND!B:D,3,FALSE)</f>
        <v>5.5</v>
      </c>
      <c r="J5226">
        <v>5</v>
      </c>
      <c r="L5226">
        <v>0</v>
      </c>
      <c r="M5226">
        <v>0</v>
      </c>
    </row>
    <row r="5227" spans="1:13">
      <c r="A5227" t="s">
        <v>9017</v>
      </c>
      <c r="B5227" t="s">
        <v>9018</v>
      </c>
      <c r="C5227" s="34" t="s">
        <v>1438</v>
      </c>
      <c r="F5227" t="s">
        <v>1438</v>
      </c>
      <c r="G5227" t="s">
        <v>6932</v>
      </c>
      <c r="H5227">
        <v>5</v>
      </c>
      <c r="I5227">
        <f>VLOOKUP(B5227,BRAND!B:D,3,FALSE)</f>
        <v>5.5</v>
      </c>
      <c r="J5227">
        <v>4</v>
      </c>
      <c r="M5227">
        <v>1</v>
      </c>
    </row>
    <row r="5228" spans="1:13">
      <c r="A5228" t="s">
        <v>8696</v>
      </c>
      <c r="B5228" t="s">
        <v>8697</v>
      </c>
      <c r="C5228" s="34" t="s">
        <v>1438</v>
      </c>
      <c r="F5228" t="s">
        <v>1438</v>
      </c>
      <c r="G5228" t="s">
        <v>6932</v>
      </c>
      <c r="H5228">
        <v>5</v>
      </c>
      <c r="I5228">
        <f>VLOOKUP(B5228,BRAND!B:D,3,FALSE)</f>
        <v>5.5</v>
      </c>
      <c r="J5228">
        <v>4</v>
      </c>
      <c r="M5228">
        <v>1</v>
      </c>
    </row>
    <row r="5229" spans="1:13">
      <c r="A5229" t="s">
        <v>8779</v>
      </c>
      <c r="B5229" t="s">
        <v>113</v>
      </c>
      <c r="C5229" s="34" t="s">
        <v>8780</v>
      </c>
      <c r="F5229" t="s">
        <v>8780</v>
      </c>
      <c r="G5229" t="s">
        <v>6932</v>
      </c>
      <c r="H5229">
        <v>5</v>
      </c>
      <c r="I5229">
        <f>VLOOKUP(B5229,BRAND!B:D,3,FALSE)</f>
        <v>3</v>
      </c>
      <c r="J5229">
        <v>7</v>
      </c>
      <c r="M5229">
        <v>1</v>
      </c>
    </row>
    <row r="5230" spans="1:13">
      <c r="A5230" t="s">
        <v>8773</v>
      </c>
      <c r="B5230" t="s">
        <v>113</v>
      </c>
      <c r="C5230" s="34" t="s">
        <v>8774</v>
      </c>
      <c r="F5230" t="s">
        <v>8774</v>
      </c>
      <c r="G5230" t="s">
        <v>6932</v>
      </c>
      <c r="H5230">
        <v>5</v>
      </c>
      <c r="I5230">
        <f>VLOOKUP(B5230,BRAND!B:D,3,FALSE)</f>
        <v>3</v>
      </c>
      <c r="J5230">
        <v>7</v>
      </c>
      <c r="M5230">
        <v>1</v>
      </c>
    </row>
    <row r="5231" spans="1:13">
      <c r="A5231" t="s">
        <v>8777</v>
      </c>
      <c r="B5231" t="s">
        <v>113</v>
      </c>
      <c r="C5231" s="34" t="s">
        <v>777</v>
      </c>
      <c r="F5231" t="s">
        <v>777</v>
      </c>
      <c r="G5231" t="s">
        <v>6932</v>
      </c>
      <c r="H5231">
        <v>5</v>
      </c>
      <c r="I5231">
        <f>VLOOKUP(B5231,BRAND!B:D,3,FALSE)</f>
        <v>3</v>
      </c>
      <c r="J5231">
        <v>7</v>
      </c>
      <c r="M5231">
        <v>1</v>
      </c>
    </row>
    <row r="5232" spans="1:13">
      <c r="A5232" t="s">
        <v>8775</v>
      </c>
      <c r="B5232" t="s">
        <v>113</v>
      </c>
      <c r="C5232" s="34" t="s">
        <v>8776</v>
      </c>
      <c r="F5232" t="s">
        <v>8776</v>
      </c>
      <c r="G5232" t="s">
        <v>6932</v>
      </c>
      <c r="H5232">
        <v>5</v>
      </c>
      <c r="I5232">
        <f>VLOOKUP(B5232,BRAND!B:D,3,FALSE)</f>
        <v>3</v>
      </c>
      <c r="J5232">
        <v>6</v>
      </c>
      <c r="M5232">
        <v>1</v>
      </c>
    </row>
    <row r="5233" spans="1:13">
      <c r="A5233" t="s">
        <v>8781</v>
      </c>
      <c r="B5233" t="s">
        <v>113</v>
      </c>
      <c r="C5233" s="34" t="s">
        <v>8782</v>
      </c>
      <c r="F5233" t="s">
        <v>8782</v>
      </c>
      <c r="G5233" t="s">
        <v>6932</v>
      </c>
      <c r="H5233">
        <v>5</v>
      </c>
      <c r="I5233">
        <f>VLOOKUP(B5233,BRAND!B:D,3,FALSE)</f>
        <v>3</v>
      </c>
      <c r="J5233">
        <v>5</v>
      </c>
      <c r="M5233">
        <v>1</v>
      </c>
    </row>
    <row r="5234" spans="1:13">
      <c r="A5234" t="s">
        <v>8783</v>
      </c>
      <c r="B5234" t="s">
        <v>113</v>
      </c>
      <c r="C5234" s="34" t="s">
        <v>8784</v>
      </c>
      <c r="F5234" t="s">
        <v>8784</v>
      </c>
      <c r="G5234" t="s">
        <v>6932</v>
      </c>
      <c r="H5234">
        <v>5</v>
      </c>
      <c r="I5234">
        <f>VLOOKUP(B5234,BRAND!B:D,3,FALSE)</f>
        <v>3</v>
      </c>
      <c r="J5234">
        <v>5</v>
      </c>
      <c r="M5234">
        <v>1</v>
      </c>
    </row>
    <row r="5235" spans="1:13">
      <c r="A5235" t="s">
        <v>3676</v>
      </c>
      <c r="B5235" t="s">
        <v>113</v>
      </c>
      <c r="C5235" s="34" t="s">
        <v>561</v>
      </c>
      <c r="F5235" t="s">
        <v>561</v>
      </c>
      <c r="H5235">
        <v>5</v>
      </c>
      <c r="I5235">
        <f>VLOOKUP(B5235,BRAND!B:D,3,FALSE)</f>
        <v>3</v>
      </c>
      <c r="J5235">
        <v>3</v>
      </c>
      <c r="K5235" t="s">
        <v>821</v>
      </c>
      <c r="M5235">
        <v>1</v>
      </c>
    </row>
    <row r="5236" spans="1:13">
      <c r="A5236" t="s">
        <v>8778</v>
      </c>
      <c r="B5236" t="s">
        <v>113</v>
      </c>
      <c r="C5236" s="34" t="s">
        <v>786</v>
      </c>
      <c r="F5236" t="s">
        <v>786</v>
      </c>
      <c r="G5236" t="s">
        <v>6932</v>
      </c>
      <c r="H5236">
        <v>5</v>
      </c>
      <c r="I5236">
        <f>VLOOKUP(B5236,BRAND!B:D,3,FALSE)</f>
        <v>3</v>
      </c>
      <c r="J5236">
        <v>3</v>
      </c>
      <c r="M5236">
        <v>1</v>
      </c>
    </row>
    <row r="5237" spans="1:13">
      <c r="A5237" t="s">
        <v>9757</v>
      </c>
      <c r="B5237" t="s">
        <v>113</v>
      </c>
      <c r="C5237" s="34" t="s">
        <v>5366</v>
      </c>
      <c r="H5237">
        <v>5</v>
      </c>
      <c r="I5237">
        <f>VLOOKUP(B5237,BRAND!B:D,3,FALSE)</f>
        <v>3</v>
      </c>
      <c r="J5237">
        <f>LEN(F5237)</f>
        <v>0</v>
      </c>
      <c r="L5237">
        <v>0</v>
      </c>
      <c r="M5237">
        <v>0</v>
      </c>
    </row>
    <row r="5238" spans="1:13">
      <c r="A5238" t="s">
        <v>9757</v>
      </c>
      <c r="B5238" t="s">
        <v>113</v>
      </c>
      <c r="C5238" s="34" t="s">
        <v>5366</v>
      </c>
      <c r="H5238">
        <v>5</v>
      </c>
      <c r="I5238">
        <f>VLOOKUP(B5238,BRAND!B:D,3,FALSE)</f>
        <v>3</v>
      </c>
      <c r="J5238">
        <v>0</v>
      </c>
      <c r="M5238">
        <v>1</v>
      </c>
    </row>
    <row r="5239" spans="1:13">
      <c r="A5239" t="s">
        <v>2552</v>
      </c>
      <c r="B5239" t="s">
        <v>113</v>
      </c>
      <c r="C5239" s="34" t="s">
        <v>1438</v>
      </c>
      <c r="F5239" t="s">
        <v>1438</v>
      </c>
      <c r="H5239">
        <v>15</v>
      </c>
      <c r="I5239">
        <f>VLOOKUP(B5239,BRAND!B:D,3,FALSE)</f>
        <v>3</v>
      </c>
      <c r="J5239">
        <v>4</v>
      </c>
      <c r="K5239" t="s">
        <v>821</v>
      </c>
      <c r="L5239">
        <v>0</v>
      </c>
      <c r="M5239">
        <v>0</v>
      </c>
    </row>
    <row r="5240" spans="1:13">
      <c r="A5240" t="s">
        <v>11483</v>
      </c>
      <c r="B5240" t="s">
        <v>10907</v>
      </c>
      <c r="C5240" s="34" t="s">
        <v>1438</v>
      </c>
      <c r="F5240" t="s">
        <v>1438</v>
      </c>
      <c r="G5240" t="s">
        <v>6932</v>
      </c>
      <c r="H5240">
        <v>5</v>
      </c>
    </row>
    <row r="5241" spans="1:13">
      <c r="A5241" t="s">
        <v>2415</v>
      </c>
      <c r="B5241" t="s">
        <v>685</v>
      </c>
      <c r="C5241" s="34" t="s">
        <v>1438</v>
      </c>
      <c r="F5241" t="s">
        <v>1438</v>
      </c>
      <c r="H5241">
        <v>15</v>
      </c>
      <c r="I5241">
        <f>VLOOKUP(B5241,BRAND!B:D,3,FALSE)</f>
        <v>3</v>
      </c>
      <c r="J5241">
        <v>4</v>
      </c>
      <c r="K5241" t="s">
        <v>821</v>
      </c>
      <c r="M5241">
        <v>1</v>
      </c>
    </row>
    <row r="5242" spans="1:13">
      <c r="A5242" t="s">
        <v>3591</v>
      </c>
      <c r="B5242" t="s">
        <v>686</v>
      </c>
      <c r="C5242" s="34" t="s">
        <v>534</v>
      </c>
      <c r="F5242" t="s">
        <v>534</v>
      </c>
      <c r="H5242">
        <v>5</v>
      </c>
      <c r="I5242">
        <f>VLOOKUP(B5242,BRAND!B:D,3,FALSE)</f>
        <v>3</v>
      </c>
      <c r="J5242">
        <v>6</v>
      </c>
      <c r="K5242" t="s">
        <v>821</v>
      </c>
      <c r="M5242">
        <v>1</v>
      </c>
    </row>
    <row r="5243" spans="1:13">
      <c r="A5243" t="s">
        <v>2163</v>
      </c>
      <c r="B5243" t="s">
        <v>686</v>
      </c>
      <c r="C5243" s="34" t="s">
        <v>1438</v>
      </c>
      <c r="F5243" t="s">
        <v>1438</v>
      </c>
      <c r="H5243">
        <v>15</v>
      </c>
      <c r="I5243">
        <f>VLOOKUP(B5243,BRAND!B:D,3,FALSE)</f>
        <v>3</v>
      </c>
      <c r="J5243">
        <v>4</v>
      </c>
      <c r="K5243" t="s">
        <v>821</v>
      </c>
      <c r="M5243">
        <v>1</v>
      </c>
    </row>
    <row r="5244" spans="1:13">
      <c r="A5244" t="s">
        <v>14680</v>
      </c>
      <c r="B5244" t="s">
        <v>14679</v>
      </c>
      <c r="C5244" s="34" t="s">
        <v>536</v>
      </c>
      <c r="F5244" t="s">
        <v>536</v>
      </c>
      <c r="G5244" t="s">
        <v>6932</v>
      </c>
      <c r="H5244">
        <v>5</v>
      </c>
      <c r="I5244">
        <f>VLOOKUP(B5244,BRAND!B:D,3,FALSE)</f>
        <v>0</v>
      </c>
      <c r="J5244">
        <f>LEN(F5244)</f>
        <v>5</v>
      </c>
      <c r="K5244" t="s">
        <v>821</v>
      </c>
      <c r="L5244">
        <v>0</v>
      </c>
      <c r="M5244">
        <v>1</v>
      </c>
    </row>
    <row r="5245" spans="1:13" s="6" customFormat="1">
      <c r="A5245" t="s">
        <v>14678</v>
      </c>
      <c r="B5245" t="s">
        <v>14679</v>
      </c>
      <c r="C5245" s="34" t="s">
        <v>561</v>
      </c>
      <c r="D5245"/>
      <c r="E5245"/>
      <c r="F5245" t="s">
        <v>561</v>
      </c>
      <c r="G5245" t="s">
        <v>6932</v>
      </c>
      <c r="H5245">
        <v>5</v>
      </c>
      <c r="I5245">
        <f>VLOOKUP(B5245,BRAND!B:D,3,FALSE)</f>
        <v>0</v>
      </c>
      <c r="J5245">
        <f>LEN(F5245)</f>
        <v>3</v>
      </c>
      <c r="K5245" t="s">
        <v>821</v>
      </c>
      <c r="L5245">
        <v>0</v>
      </c>
      <c r="M5245">
        <v>1</v>
      </c>
    </row>
    <row r="5246" spans="1:13">
      <c r="A5246" t="s">
        <v>10787</v>
      </c>
      <c r="B5246" t="s">
        <v>10786</v>
      </c>
      <c r="C5246" s="34" t="s">
        <v>10788</v>
      </c>
      <c r="F5246" t="s">
        <v>10788</v>
      </c>
      <c r="H5246">
        <v>5</v>
      </c>
    </row>
    <row r="5247" spans="1:13">
      <c r="A5247" t="s">
        <v>10785</v>
      </c>
      <c r="B5247" t="s">
        <v>10786</v>
      </c>
      <c r="C5247" s="34" t="s">
        <v>930</v>
      </c>
      <c r="F5247" t="s">
        <v>930</v>
      </c>
      <c r="H5247">
        <v>6</v>
      </c>
    </row>
    <row r="5248" spans="1:13">
      <c r="A5248" t="s">
        <v>2220</v>
      </c>
      <c r="B5248" t="s">
        <v>1074</v>
      </c>
      <c r="C5248" s="34" t="s">
        <v>1438</v>
      </c>
      <c r="F5248" t="s">
        <v>1438</v>
      </c>
      <c r="H5248">
        <v>15</v>
      </c>
      <c r="I5248">
        <f>VLOOKUP(B5248,BRAND!B:D,3,FALSE)</f>
        <v>3</v>
      </c>
      <c r="J5248">
        <v>4</v>
      </c>
      <c r="K5248" t="s">
        <v>821</v>
      </c>
      <c r="L5248">
        <v>0</v>
      </c>
      <c r="M5248">
        <v>0</v>
      </c>
    </row>
    <row r="5249" spans="1:13">
      <c r="A5249" t="s">
        <v>2216</v>
      </c>
      <c r="B5249" t="s">
        <v>652</v>
      </c>
      <c r="C5249" s="34" t="s">
        <v>1438</v>
      </c>
      <c r="F5249" t="s">
        <v>1438</v>
      </c>
      <c r="H5249">
        <v>15</v>
      </c>
      <c r="I5249" t="e">
        <f>VLOOKUP(B5249,BRAND!B:D,3,FALSE)</f>
        <v>#N/A</v>
      </c>
      <c r="J5249">
        <v>4</v>
      </c>
      <c r="K5249" t="s">
        <v>821</v>
      </c>
      <c r="M5249">
        <v>1</v>
      </c>
    </row>
    <row r="5250" spans="1:13">
      <c r="A5250" t="s">
        <v>9456</v>
      </c>
      <c r="B5250" t="s">
        <v>9457</v>
      </c>
      <c r="C5250" s="34" t="s">
        <v>1438</v>
      </c>
      <c r="F5250" t="s">
        <v>1438</v>
      </c>
      <c r="G5250" t="s">
        <v>6932</v>
      </c>
      <c r="H5250">
        <v>5</v>
      </c>
      <c r="I5250">
        <f>VLOOKUP(B5250,BRAND!B:D,3,FALSE)</f>
        <v>5.5</v>
      </c>
      <c r="J5250">
        <v>4</v>
      </c>
      <c r="M5250">
        <v>1</v>
      </c>
    </row>
    <row r="5251" spans="1:13">
      <c r="A5251" t="s">
        <v>10349</v>
      </c>
      <c r="B5251" t="s">
        <v>333</v>
      </c>
      <c r="C5251" s="34" t="s">
        <v>1967</v>
      </c>
      <c r="D5251" t="s">
        <v>1992</v>
      </c>
      <c r="F5251" t="s">
        <v>1967</v>
      </c>
      <c r="H5251">
        <v>4</v>
      </c>
      <c r="I5251">
        <f>VLOOKUP(B5251,BRAND!B:D,3,FALSE)</f>
        <v>3</v>
      </c>
      <c r="J5251">
        <f>LEN(F5251)</f>
        <v>15</v>
      </c>
      <c r="K5251" t="s">
        <v>821</v>
      </c>
      <c r="L5251">
        <v>0</v>
      </c>
      <c r="M5251">
        <v>0</v>
      </c>
    </row>
    <row r="5252" spans="1:13">
      <c r="A5252" t="s">
        <v>3680</v>
      </c>
      <c r="B5252" t="s">
        <v>333</v>
      </c>
      <c r="C5252" s="34" t="s">
        <v>1967</v>
      </c>
      <c r="F5252" t="s">
        <v>1967</v>
      </c>
      <c r="H5252">
        <v>4</v>
      </c>
      <c r="I5252">
        <f>VLOOKUP(B5252,BRAND!B:D,3,FALSE)</f>
        <v>3</v>
      </c>
      <c r="J5252">
        <f>LEN(F5252)</f>
        <v>15</v>
      </c>
      <c r="K5252" t="s">
        <v>821</v>
      </c>
      <c r="L5252">
        <v>0</v>
      </c>
      <c r="M5252">
        <v>0</v>
      </c>
    </row>
    <row r="5253" spans="1:13">
      <c r="A5253" t="s">
        <v>8794</v>
      </c>
      <c r="B5253" t="s">
        <v>333</v>
      </c>
      <c r="C5253" s="34" t="s">
        <v>921</v>
      </c>
      <c r="F5253" t="s">
        <v>921</v>
      </c>
      <c r="G5253" t="s">
        <v>6932</v>
      </c>
      <c r="H5253">
        <v>5</v>
      </c>
      <c r="I5253">
        <f>VLOOKUP(B5253,BRAND!B:D,3,FALSE)</f>
        <v>3</v>
      </c>
      <c r="J5253">
        <v>8</v>
      </c>
      <c r="M5253">
        <v>1</v>
      </c>
    </row>
    <row r="5254" spans="1:13">
      <c r="A5254" t="s">
        <v>8797</v>
      </c>
      <c r="B5254" t="s">
        <v>333</v>
      </c>
      <c r="C5254" s="34" t="s">
        <v>8798</v>
      </c>
      <c r="F5254" t="s">
        <v>8798</v>
      </c>
      <c r="G5254" t="s">
        <v>6932</v>
      </c>
      <c r="H5254">
        <v>5</v>
      </c>
      <c r="I5254">
        <f>VLOOKUP(B5254,BRAND!B:D,3,FALSE)</f>
        <v>3</v>
      </c>
      <c r="J5254">
        <v>8</v>
      </c>
      <c r="M5254">
        <v>1</v>
      </c>
    </row>
    <row r="5255" spans="1:13">
      <c r="A5255" t="s">
        <v>8793</v>
      </c>
      <c r="B5255" t="s">
        <v>333</v>
      </c>
      <c r="C5255" s="34" t="s">
        <v>6660</v>
      </c>
      <c r="F5255" t="s">
        <v>6660</v>
      </c>
      <c r="G5255" t="s">
        <v>6932</v>
      </c>
      <c r="H5255">
        <v>5</v>
      </c>
      <c r="I5255">
        <f>VLOOKUP(B5255,BRAND!B:D,3,FALSE)</f>
        <v>3</v>
      </c>
      <c r="J5255">
        <v>7</v>
      </c>
      <c r="M5255">
        <v>1</v>
      </c>
    </row>
    <row r="5256" spans="1:13">
      <c r="A5256" t="s">
        <v>8795</v>
      </c>
      <c r="B5256" t="s">
        <v>333</v>
      </c>
      <c r="C5256" s="34" t="s">
        <v>8796</v>
      </c>
      <c r="F5256" t="s">
        <v>8796</v>
      </c>
      <c r="G5256" t="s">
        <v>6932</v>
      </c>
      <c r="H5256">
        <v>5</v>
      </c>
      <c r="I5256">
        <f>VLOOKUP(B5256,BRAND!B:D,3,FALSE)</f>
        <v>3</v>
      </c>
      <c r="J5256">
        <v>6</v>
      </c>
      <c r="M5256">
        <v>1</v>
      </c>
    </row>
    <row r="5257" spans="1:13">
      <c r="A5257" t="s">
        <v>8799</v>
      </c>
      <c r="B5257" t="s">
        <v>333</v>
      </c>
      <c r="C5257" s="34" t="s">
        <v>8139</v>
      </c>
      <c r="F5257" t="s">
        <v>8139</v>
      </c>
      <c r="G5257" t="s">
        <v>6932</v>
      </c>
      <c r="H5257">
        <v>5</v>
      </c>
      <c r="I5257">
        <f>VLOOKUP(B5257,BRAND!B:D,3,FALSE)</f>
        <v>3</v>
      </c>
      <c r="J5257">
        <v>3</v>
      </c>
      <c r="M5257">
        <v>1</v>
      </c>
    </row>
    <row r="5258" spans="1:13">
      <c r="A5258" t="s">
        <v>2196</v>
      </c>
      <c r="B5258" t="s">
        <v>333</v>
      </c>
      <c r="C5258" s="34" t="s">
        <v>1438</v>
      </c>
      <c r="F5258" t="s">
        <v>1438</v>
      </c>
      <c r="H5258">
        <v>15</v>
      </c>
      <c r="I5258">
        <f>VLOOKUP(B5258,BRAND!B:D,3,FALSE)</f>
        <v>3</v>
      </c>
      <c r="J5258">
        <v>4</v>
      </c>
      <c r="K5258" t="s">
        <v>821</v>
      </c>
      <c r="L5258">
        <v>0</v>
      </c>
      <c r="M5258">
        <v>0</v>
      </c>
    </row>
    <row r="5259" spans="1:13">
      <c r="A5259" t="s">
        <v>7197</v>
      </c>
      <c r="B5259" t="s">
        <v>7198</v>
      </c>
      <c r="C5259" s="34" t="s">
        <v>1438</v>
      </c>
      <c r="F5259" t="s">
        <v>1438</v>
      </c>
      <c r="H5259">
        <v>5</v>
      </c>
      <c r="I5259">
        <f>VLOOKUP(B5259,BRAND!B:D,3,FALSE)</f>
        <v>5.5</v>
      </c>
      <c r="M5259">
        <v>1</v>
      </c>
    </row>
    <row r="5260" spans="1:13">
      <c r="A5260" t="s">
        <v>8800</v>
      </c>
      <c r="B5260" t="s">
        <v>8801</v>
      </c>
      <c r="C5260" s="34" t="s">
        <v>1438</v>
      </c>
      <c r="F5260" t="s">
        <v>1438</v>
      </c>
      <c r="G5260" t="s">
        <v>6932</v>
      </c>
      <c r="H5260">
        <v>5</v>
      </c>
      <c r="I5260">
        <f>VLOOKUP(B5260,BRAND!B:D,3,FALSE)</f>
        <v>5.5</v>
      </c>
      <c r="J5260">
        <v>4</v>
      </c>
      <c r="M5260">
        <v>1</v>
      </c>
    </row>
    <row r="5261" spans="1:13">
      <c r="A5261" t="s">
        <v>15005</v>
      </c>
      <c r="B5261" t="s">
        <v>15006</v>
      </c>
      <c r="C5261" s="34" t="s">
        <v>7855</v>
      </c>
      <c r="F5261" t="s">
        <v>7855</v>
      </c>
      <c r="G5261" t="s">
        <v>6932</v>
      </c>
      <c r="H5261">
        <v>5</v>
      </c>
      <c r="I5261">
        <f>VLOOKUP(B5261,BRAND!B:D,3,FALSE)</f>
        <v>5</v>
      </c>
      <c r="J5261">
        <v>0</v>
      </c>
      <c r="K5261" t="s">
        <v>821</v>
      </c>
      <c r="L5261">
        <v>0</v>
      </c>
      <c r="M5261">
        <v>0</v>
      </c>
    </row>
    <row r="5262" spans="1:13">
      <c r="A5262" t="s">
        <v>15007</v>
      </c>
      <c r="B5262" t="s">
        <v>15006</v>
      </c>
      <c r="C5262" s="34" t="s">
        <v>536</v>
      </c>
      <c r="F5262" t="s">
        <v>536</v>
      </c>
      <c r="G5262" t="s">
        <v>6932</v>
      </c>
      <c r="H5262">
        <v>5</v>
      </c>
      <c r="I5262">
        <f>VLOOKUP(B5262,BRAND!B:D,3,FALSE)</f>
        <v>5</v>
      </c>
      <c r="J5262">
        <v>0</v>
      </c>
      <c r="K5262" t="s">
        <v>821</v>
      </c>
      <c r="L5262">
        <v>0</v>
      </c>
      <c r="M5262">
        <v>0</v>
      </c>
    </row>
    <row r="5263" spans="1:13">
      <c r="A5263" t="s">
        <v>15008</v>
      </c>
      <c r="B5263" t="s">
        <v>15006</v>
      </c>
      <c r="C5263" s="34" t="s">
        <v>745</v>
      </c>
      <c r="F5263" t="s">
        <v>745</v>
      </c>
      <c r="G5263" t="s">
        <v>6932</v>
      </c>
      <c r="H5263">
        <v>5</v>
      </c>
      <c r="I5263">
        <f>VLOOKUP(B5263,BRAND!B:D,3,FALSE)</f>
        <v>5</v>
      </c>
      <c r="J5263">
        <v>0</v>
      </c>
      <c r="K5263" t="s">
        <v>821</v>
      </c>
      <c r="L5263">
        <v>0</v>
      </c>
      <c r="M5263">
        <v>0</v>
      </c>
    </row>
    <row r="5264" spans="1:13">
      <c r="A5264" t="s">
        <v>15009</v>
      </c>
      <c r="B5264" t="s">
        <v>15006</v>
      </c>
      <c r="C5264" s="34" t="s">
        <v>933</v>
      </c>
      <c r="F5264" t="s">
        <v>933</v>
      </c>
      <c r="G5264" t="s">
        <v>6932</v>
      </c>
      <c r="H5264">
        <v>5</v>
      </c>
      <c r="I5264">
        <f>VLOOKUP(B5264,BRAND!B:D,3,FALSE)</f>
        <v>5</v>
      </c>
      <c r="J5264">
        <v>0</v>
      </c>
      <c r="K5264" t="s">
        <v>821</v>
      </c>
      <c r="L5264">
        <v>0</v>
      </c>
      <c r="M5264">
        <v>0</v>
      </c>
    </row>
    <row r="5265" spans="1:13">
      <c r="A5265" t="s">
        <v>15010</v>
      </c>
      <c r="B5265" t="s">
        <v>15006</v>
      </c>
      <c r="C5265" s="34" t="s">
        <v>12474</v>
      </c>
      <c r="F5265" t="s">
        <v>12474</v>
      </c>
      <c r="G5265" t="s">
        <v>6932</v>
      </c>
      <c r="H5265">
        <v>5</v>
      </c>
      <c r="I5265">
        <f>VLOOKUP(B5265,BRAND!B:D,3,FALSE)</f>
        <v>5</v>
      </c>
      <c r="J5265">
        <v>0</v>
      </c>
      <c r="K5265" t="s">
        <v>821</v>
      </c>
      <c r="L5265">
        <v>0</v>
      </c>
      <c r="M5265">
        <v>0</v>
      </c>
    </row>
    <row r="5266" spans="1:13">
      <c r="A5266" t="s">
        <v>15011</v>
      </c>
      <c r="B5266" t="s">
        <v>15006</v>
      </c>
      <c r="C5266" s="34" t="s">
        <v>534</v>
      </c>
      <c r="F5266" t="s">
        <v>534</v>
      </c>
      <c r="G5266" t="s">
        <v>6932</v>
      </c>
      <c r="H5266">
        <v>5</v>
      </c>
      <c r="I5266">
        <f>VLOOKUP(B5266,BRAND!B:D,3,FALSE)</f>
        <v>5</v>
      </c>
      <c r="J5266">
        <v>0</v>
      </c>
      <c r="K5266" t="s">
        <v>821</v>
      </c>
      <c r="L5266">
        <v>0</v>
      </c>
      <c r="M5266">
        <v>0</v>
      </c>
    </row>
    <row r="5267" spans="1:13">
      <c r="A5267" t="s">
        <v>15012</v>
      </c>
      <c r="B5267" t="s">
        <v>15006</v>
      </c>
      <c r="C5267" s="34" t="s">
        <v>561</v>
      </c>
      <c r="D5267" t="s">
        <v>6931</v>
      </c>
      <c r="F5267" t="s">
        <v>561</v>
      </c>
      <c r="G5267" t="s">
        <v>6932</v>
      </c>
      <c r="H5267">
        <v>5</v>
      </c>
      <c r="I5267">
        <f>VLOOKUP(B5267,BRAND!B:D,3,FALSE)</f>
        <v>5</v>
      </c>
      <c r="J5267">
        <v>0</v>
      </c>
      <c r="K5267" t="s">
        <v>821</v>
      </c>
      <c r="L5267">
        <v>0</v>
      </c>
      <c r="M5267">
        <v>0</v>
      </c>
    </row>
    <row r="5268" spans="1:13">
      <c r="A5268" t="s">
        <v>15013</v>
      </c>
      <c r="B5268" t="s">
        <v>15006</v>
      </c>
      <c r="C5268" s="34" t="s">
        <v>772</v>
      </c>
      <c r="F5268" t="s">
        <v>772</v>
      </c>
      <c r="G5268" t="s">
        <v>6932</v>
      </c>
      <c r="H5268">
        <v>5</v>
      </c>
      <c r="I5268">
        <f>VLOOKUP(B5268,BRAND!B:D,3,FALSE)</f>
        <v>5</v>
      </c>
      <c r="J5268">
        <v>0</v>
      </c>
      <c r="K5268" t="s">
        <v>821</v>
      </c>
      <c r="L5268">
        <v>0</v>
      </c>
      <c r="M5268">
        <v>0</v>
      </c>
    </row>
    <row r="5269" spans="1:13">
      <c r="A5269" t="s">
        <v>15014</v>
      </c>
      <c r="B5269" t="s">
        <v>15006</v>
      </c>
      <c r="C5269" s="34" t="s">
        <v>786</v>
      </c>
      <c r="D5269" t="s">
        <v>900</v>
      </c>
      <c r="F5269" t="s">
        <v>786</v>
      </c>
      <c r="G5269" t="s">
        <v>6932</v>
      </c>
      <c r="H5269">
        <v>5</v>
      </c>
      <c r="I5269">
        <f>VLOOKUP(B5269,BRAND!B:D,3,FALSE)</f>
        <v>5</v>
      </c>
      <c r="J5269">
        <v>0</v>
      </c>
      <c r="K5269" t="s">
        <v>821</v>
      </c>
      <c r="L5269">
        <v>0</v>
      </c>
      <c r="M5269">
        <v>0</v>
      </c>
    </row>
    <row r="5270" spans="1:13">
      <c r="A5270" t="s">
        <v>15015</v>
      </c>
      <c r="B5270" t="s">
        <v>15006</v>
      </c>
      <c r="C5270" s="34" t="s">
        <v>14638</v>
      </c>
      <c r="F5270" t="s">
        <v>14638</v>
      </c>
      <c r="G5270" t="s">
        <v>6932</v>
      </c>
      <c r="H5270">
        <v>5</v>
      </c>
      <c r="I5270">
        <f>VLOOKUP(B5270,BRAND!B:D,3,FALSE)</f>
        <v>5</v>
      </c>
      <c r="J5270">
        <v>0</v>
      </c>
      <c r="K5270" t="s">
        <v>821</v>
      </c>
      <c r="L5270">
        <v>0</v>
      </c>
      <c r="M5270">
        <v>0</v>
      </c>
    </row>
    <row r="5271" spans="1:13">
      <c r="A5271" t="s">
        <v>15016</v>
      </c>
      <c r="B5271" t="s">
        <v>15006</v>
      </c>
      <c r="C5271" s="34" t="s">
        <v>15017</v>
      </c>
      <c r="F5271" t="s">
        <v>15017</v>
      </c>
      <c r="G5271" t="s">
        <v>6932</v>
      </c>
      <c r="H5271">
        <v>5</v>
      </c>
      <c r="I5271">
        <f>VLOOKUP(B5271,BRAND!B:D,3,FALSE)</f>
        <v>5</v>
      </c>
      <c r="J5271">
        <v>0</v>
      </c>
      <c r="K5271" t="s">
        <v>821</v>
      </c>
      <c r="L5271">
        <v>0</v>
      </c>
      <c r="M5271">
        <v>0</v>
      </c>
    </row>
    <row r="5272" spans="1:13">
      <c r="A5272" t="s">
        <v>8802</v>
      </c>
      <c r="B5272" t="s">
        <v>8803</v>
      </c>
      <c r="C5272" s="34" t="s">
        <v>1438</v>
      </c>
      <c r="F5272" t="s">
        <v>1438</v>
      </c>
      <c r="G5272" t="s">
        <v>6932</v>
      </c>
      <c r="H5272">
        <v>5</v>
      </c>
      <c r="I5272">
        <f>VLOOKUP(B5272,BRAND!B:D,3,FALSE)</f>
        <v>5.5</v>
      </c>
      <c r="J5272">
        <v>4</v>
      </c>
      <c r="M5272">
        <v>1</v>
      </c>
    </row>
    <row r="5273" spans="1:13">
      <c r="A5273" t="s">
        <v>3962</v>
      </c>
      <c r="B5273" t="s">
        <v>627</v>
      </c>
      <c r="C5273" s="34" t="s">
        <v>5438</v>
      </c>
      <c r="F5273" t="s">
        <v>534</v>
      </c>
      <c r="H5273">
        <v>5</v>
      </c>
      <c r="I5273">
        <f>VLOOKUP(B5273,BRAND!B:D,3,FALSE)</f>
        <v>3</v>
      </c>
      <c r="J5273">
        <v>6</v>
      </c>
      <c r="K5273" t="s">
        <v>821</v>
      </c>
      <c r="M5273">
        <v>1</v>
      </c>
    </row>
    <row r="5274" spans="1:13">
      <c r="A5274" t="s">
        <v>6502</v>
      </c>
      <c r="B5274" t="s">
        <v>627</v>
      </c>
      <c r="C5274" s="34" t="s">
        <v>6503</v>
      </c>
      <c r="F5274" t="s">
        <v>842</v>
      </c>
      <c r="H5274">
        <v>5</v>
      </c>
      <c r="I5274">
        <f>VLOOKUP(B5274,BRAND!B:D,3,FALSE)</f>
        <v>3</v>
      </c>
      <c r="J5274">
        <v>5</v>
      </c>
      <c r="K5274" t="s">
        <v>821</v>
      </c>
      <c r="M5274">
        <v>1</v>
      </c>
    </row>
    <row r="5275" spans="1:13">
      <c r="A5275" t="s">
        <v>9758</v>
      </c>
      <c r="B5275" t="s">
        <v>627</v>
      </c>
      <c r="C5275" s="34" t="s">
        <v>8070</v>
      </c>
      <c r="H5275">
        <v>5</v>
      </c>
      <c r="I5275">
        <f>VLOOKUP(B5275,BRAND!B:D,3,FALSE)</f>
        <v>3</v>
      </c>
      <c r="J5275">
        <f>LEN(F5275)</f>
        <v>0</v>
      </c>
      <c r="L5275">
        <v>0</v>
      </c>
      <c r="M5275">
        <v>0</v>
      </c>
    </row>
    <row r="5276" spans="1:13">
      <c r="A5276" t="s">
        <v>9759</v>
      </c>
      <c r="B5276" t="s">
        <v>627</v>
      </c>
      <c r="C5276" s="34" t="s">
        <v>536</v>
      </c>
      <c r="H5276">
        <v>5</v>
      </c>
      <c r="I5276">
        <f>VLOOKUP(B5276,BRAND!B:D,3,FALSE)</f>
        <v>3</v>
      </c>
      <c r="J5276">
        <f>LEN(F5276)</f>
        <v>0</v>
      </c>
      <c r="L5276">
        <v>0</v>
      </c>
      <c r="M5276">
        <v>0</v>
      </c>
    </row>
    <row r="5277" spans="1:13">
      <c r="A5277" t="s">
        <v>9758</v>
      </c>
      <c r="B5277" t="s">
        <v>627</v>
      </c>
      <c r="C5277" s="34" t="s">
        <v>8070</v>
      </c>
      <c r="H5277">
        <v>5</v>
      </c>
      <c r="I5277">
        <f>VLOOKUP(B5277,BRAND!B:D,3,FALSE)</f>
        <v>3</v>
      </c>
      <c r="J5277">
        <v>0</v>
      </c>
      <c r="M5277">
        <v>1</v>
      </c>
    </row>
    <row r="5278" spans="1:13">
      <c r="A5278" t="s">
        <v>9759</v>
      </c>
      <c r="B5278" t="s">
        <v>627</v>
      </c>
      <c r="C5278" s="34" t="s">
        <v>536</v>
      </c>
      <c r="H5278">
        <v>5</v>
      </c>
      <c r="I5278">
        <f>VLOOKUP(B5278,BRAND!B:D,3,FALSE)</f>
        <v>3</v>
      </c>
      <c r="J5278">
        <v>0</v>
      </c>
      <c r="M5278">
        <v>1</v>
      </c>
    </row>
    <row r="5279" spans="1:13">
      <c r="A5279" t="s">
        <v>9466</v>
      </c>
      <c r="B5279" t="s">
        <v>9467</v>
      </c>
      <c r="C5279" s="34" t="s">
        <v>1438</v>
      </c>
      <c r="F5279" t="s">
        <v>1438</v>
      </c>
      <c r="G5279" t="s">
        <v>6932</v>
      </c>
      <c r="H5279">
        <v>5</v>
      </c>
      <c r="I5279">
        <f>VLOOKUP(B5279,BRAND!B:D,3,FALSE)</f>
        <v>5.5</v>
      </c>
      <c r="J5279">
        <v>4</v>
      </c>
      <c r="M5279">
        <v>1</v>
      </c>
    </row>
    <row r="5280" spans="1:13">
      <c r="A5280" t="s">
        <v>8804</v>
      </c>
      <c r="B5280" t="s">
        <v>8805</v>
      </c>
      <c r="C5280" s="34" t="s">
        <v>1438</v>
      </c>
      <c r="F5280" t="s">
        <v>1438</v>
      </c>
      <c r="G5280" t="s">
        <v>6932</v>
      </c>
      <c r="H5280">
        <v>5</v>
      </c>
      <c r="I5280">
        <f>VLOOKUP(B5280,BRAND!B:D,3,FALSE)</f>
        <v>5.5</v>
      </c>
      <c r="J5280">
        <v>4</v>
      </c>
      <c r="M5280">
        <v>1</v>
      </c>
    </row>
    <row r="5281" spans="1:13">
      <c r="A5281" t="s">
        <v>2844</v>
      </c>
      <c r="B5281" t="s">
        <v>1301</v>
      </c>
      <c r="C5281" s="34" t="s">
        <v>1438</v>
      </c>
      <c r="F5281" t="s">
        <v>1438</v>
      </c>
      <c r="H5281">
        <v>15</v>
      </c>
      <c r="I5281">
        <f>VLOOKUP(B5281,BRAND!B:D,3,FALSE)</f>
        <v>3</v>
      </c>
      <c r="J5281">
        <v>4</v>
      </c>
      <c r="K5281" t="s">
        <v>821</v>
      </c>
      <c r="L5281">
        <v>0</v>
      </c>
      <c r="M5281">
        <v>0</v>
      </c>
    </row>
    <row r="5282" spans="1:13">
      <c r="A5282" t="s">
        <v>8430</v>
      </c>
      <c r="B5282" t="s">
        <v>8431</v>
      </c>
      <c r="C5282" s="34" t="s">
        <v>1438</v>
      </c>
      <c r="F5282" t="s">
        <v>1438</v>
      </c>
      <c r="G5282" t="s">
        <v>6932</v>
      </c>
      <c r="H5282">
        <v>5</v>
      </c>
      <c r="I5282">
        <f>VLOOKUP(B5282,BRAND!B:D,3,FALSE)</f>
        <v>5.5</v>
      </c>
      <c r="J5282">
        <v>4</v>
      </c>
      <c r="M5282">
        <v>1</v>
      </c>
    </row>
    <row r="5283" spans="1:13">
      <c r="A5283" t="s">
        <v>5175</v>
      </c>
      <c r="B5283" t="s">
        <v>5168</v>
      </c>
      <c r="C5283" s="34" t="s">
        <v>534</v>
      </c>
      <c r="F5283" t="s">
        <v>534</v>
      </c>
      <c r="H5283">
        <v>5</v>
      </c>
      <c r="I5283">
        <f>VLOOKUP(B5283,BRAND!B:D,3,FALSE)</f>
        <v>3</v>
      </c>
      <c r="J5283">
        <v>6</v>
      </c>
      <c r="K5283" t="s">
        <v>821</v>
      </c>
      <c r="L5283">
        <v>0</v>
      </c>
      <c r="M5283">
        <v>0</v>
      </c>
    </row>
    <row r="5284" spans="1:13">
      <c r="A5284" t="s">
        <v>5169</v>
      </c>
      <c r="B5284" t="s">
        <v>5168</v>
      </c>
      <c r="C5284" s="34" t="s">
        <v>561</v>
      </c>
      <c r="F5284" t="s">
        <v>561</v>
      </c>
      <c r="H5284">
        <v>5</v>
      </c>
      <c r="I5284">
        <f>VLOOKUP(B5284,BRAND!B:D,3,FALSE)</f>
        <v>3</v>
      </c>
      <c r="J5284">
        <v>3</v>
      </c>
      <c r="K5284" t="s">
        <v>821</v>
      </c>
      <c r="L5284">
        <v>0</v>
      </c>
      <c r="M5284">
        <v>0</v>
      </c>
    </row>
    <row r="5285" spans="1:13">
      <c r="A5285" t="s">
        <v>7103</v>
      </c>
      <c r="B5285" t="s">
        <v>6633</v>
      </c>
      <c r="C5285" s="34" t="s">
        <v>777</v>
      </c>
      <c r="F5285" t="s">
        <v>777</v>
      </c>
      <c r="H5285">
        <v>5</v>
      </c>
      <c r="I5285">
        <f>VLOOKUP(B5285,BRAND!B:D,3,FALSE)</f>
        <v>5</v>
      </c>
      <c r="J5285">
        <v>7</v>
      </c>
      <c r="M5285">
        <v>1</v>
      </c>
    </row>
    <row r="5286" spans="1:13">
      <c r="A5286" t="s">
        <v>7103</v>
      </c>
      <c r="B5286" t="s">
        <v>6633</v>
      </c>
      <c r="C5286" s="34" t="s">
        <v>777</v>
      </c>
      <c r="F5286" t="s">
        <v>777</v>
      </c>
      <c r="H5286">
        <v>5</v>
      </c>
      <c r="I5286">
        <f>VLOOKUP(B5286,BRAND!B:D,3,FALSE)</f>
        <v>5</v>
      </c>
      <c r="J5286">
        <v>7</v>
      </c>
      <c r="M5286">
        <v>1</v>
      </c>
    </row>
    <row r="5287" spans="1:13">
      <c r="A5287" t="s">
        <v>7102</v>
      </c>
      <c r="B5287" t="s">
        <v>6633</v>
      </c>
      <c r="C5287" s="34" t="s">
        <v>1438</v>
      </c>
      <c r="F5287" t="s">
        <v>1438</v>
      </c>
      <c r="H5287">
        <v>5</v>
      </c>
      <c r="I5287">
        <f>VLOOKUP(B5287,BRAND!B:D,3,FALSE)</f>
        <v>5</v>
      </c>
      <c r="J5287">
        <v>4</v>
      </c>
      <c r="L5287">
        <v>1</v>
      </c>
      <c r="M5287">
        <v>1</v>
      </c>
    </row>
    <row r="5288" spans="1:13">
      <c r="A5288" t="s">
        <v>7102</v>
      </c>
      <c r="B5288" t="s">
        <v>6633</v>
      </c>
      <c r="C5288" s="34" t="s">
        <v>1438</v>
      </c>
      <c r="F5288" t="s">
        <v>1438</v>
      </c>
      <c r="H5288">
        <v>5</v>
      </c>
      <c r="I5288">
        <f>VLOOKUP(B5288,BRAND!B:D,3,FALSE)</f>
        <v>5</v>
      </c>
      <c r="J5288">
        <v>4</v>
      </c>
      <c r="L5288">
        <v>1</v>
      </c>
      <c r="M5288">
        <v>1</v>
      </c>
    </row>
    <row r="5289" spans="1:13">
      <c r="A5289" t="s">
        <v>7102</v>
      </c>
      <c r="B5289" t="s">
        <v>6633</v>
      </c>
      <c r="C5289" s="34" t="s">
        <v>1438</v>
      </c>
      <c r="F5289" t="s">
        <v>1438</v>
      </c>
      <c r="G5289" t="s">
        <v>6932</v>
      </c>
      <c r="H5289">
        <v>5</v>
      </c>
      <c r="I5289">
        <f>VLOOKUP(B5289,BRAND!B:D,3,FALSE)</f>
        <v>5</v>
      </c>
      <c r="J5289">
        <v>4</v>
      </c>
      <c r="L5289">
        <v>1</v>
      </c>
      <c r="M5289">
        <v>1</v>
      </c>
    </row>
    <row r="5290" spans="1:13">
      <c r="A5290" t="s">
        <v>3042</v>
      </c>
      <c r="B5290" t="s">
        <v>271</v>
      </c>
      <c r="C5290" s="34" t="s">
        <v>794</v>
      </c>
      <c r="F5290" t="s">
        <v>794</v>
      </c>
      <c r="H5290">
        <v>5</v>
      </c>
      <c r="I5290">
        <f>VLOOKUP(B5290,BRAND!B:D,3,FALSE)</f>
        <v>3</v>
      </c>
      <c r="J5290">
        <f>LEN(F5290)</f>
        <v>10</v>
      </c>
      <c r="K5290" t="s">
        <v>821</v>
      </c>
      <c r="M5290">
        <v>1</v>
      </c>
    </row>
    <row r="5291" spans="1:13">
      <c r="A5291" t="s">
        <v>7138</v>
      </c>
      <c r="B5291" t="s">
        <v>271</v>
      </c>
      <c r="C5291" s="34" t="s">
        <v>992</v>
      </c>
      <c r="F5291" t="s">
        <v>5282</v>
      </c>
      <c r="H5291">
        <v>5</v>
      </c>
      <c r="I5291">
        <f>VLOOKUP(B5291,BRAND!B:D,3,FALSE)</f>
        <v>3</v>
      </c>
      <c r="J5291">
        <v>8</v>
      </c>
      <c r="K5291" t="s">
        <v>821</v>
      </c>
      <c r="L5291">
        <v>0</v>
      </c>
      <c r="M5291">
        <v>0</v>
      </c>
    </row>
    <row r="5292" spans="1:13">
      <c r="A5292" t="s">
        <v>5482</v>
      </c>
      <c r="B5292" t="s">
        <v>271</v>
      </c>
      <c r="C5292" s="34" t="s">
        <v>755</v>
      </c>
      <c r="F5292" t="s">
        <v>755</v>
      </c>
      <c r="H5292">
        <v>5</v>
      </c>
      <c r="I5292">
        <f>VLOOKUP(B5292,BRAND!B:D,3,FALSE)</f>
        <v>3</v>
      </c>
      <c r="J5292">
        <v>6</v>
      </c>
      <c r="K5292" t="s">
        <v>821</v>
      </c>
      <c r="L5292">
        <v>0</v>
      </c>
      <c r="M5292">
        <v>0</v>
      </c>
    </row>
    <row r="5293" spans="1:13">
      <c r="A5293" t="s">
        <v>3993</v>
      </c>
      <c r="B5293" t="s">
        <v>271</v>
      </c>
      <c r="C5293" s="34" t="s">
        <v>534</v>
      </c>
      <c r="F5293" t="s">
        <v>534</v>
      </c>
      <c r="H5293">
        <v>5</v>
      </c>
      <c r="I5293">
        <f>VLOOKUP(B5293,BRAND!B:D,3,FALSE)</f>
        <v>3</v>
      </c>
      <c r="J5293">
        <v>6</v>
      </c>
      <c r="K5293" t="s">
        <v>821</v>
      </c>
      <c r="M5293">
        <v>1</v>
      </c>
    </row>
    <row r="5294" spans="1:13">
      <c r="A5294" t="s">
        <v>3914</v>
      </c>
      <c r="B5294" t="s">
        <v>271</v>
      </c>
      <c r="C5294" s="34" t="s">
        <v>900</v>
      </c>
      <c r="F5294" t="s">
        <v>900</v>
      </c>
      <c r="H5294">
        <v>5</v>
      </c>
      <c r="I5294">
        <f>VLOOKUP(B5294,BRAND!B:D,3,FALSE)</f>
        <v>3</v>
      </c>
      <c r="J5294">
        <v>5</v>
      </c>
      <c r="K5294" t="s">
        <v>821</v>
      </c>
      <c r="L5294">
        <v>0</v>
      </c>
      <c r="M5294">
        <v>0</v>
      </c>
    </row>
    <row r="5295" spans="1:13">
      <c r="A5295" t="s">
        <v>3959</v>
      </c>
      <c r="B5295" t="s">
        <v>271</v>
      </c>
      <c r="C5295" s="34" t="s">
        <v>6503</v>
      </c>
      <c r="F5295" t="s">
        <v>842</v>
      </c>
      <c r="H5295">
        <v>5</v>
      </c>
      <c r="I5295">
        <f>VLOOKUP(B5295,BRAND!B:D,3,FALSE)</f>
        <v>3</v>
      </c>
      <c r="J5295">
        <v>5</v>
      </c>
      <c r="K5295" t="s">
        <v>821</v>
      </c>
      <c r="M5295">
        <v>1</v>
      </c>
    </row>
    <row r="5296" spans="1:13">
      <c r="A5296" t="s">
        <v>3988</v>
      </c>
      <c r="B5296" t="s">
        <v>271</v>
      </c>
      <c r="C5296" s="34" t="s">
        <v>792</v>
      </c>
      <c r="F5296" t="s">
        <v>792</v>
      </c>
      <c r="H5296">
        <v>5</v>
      </c>
      <c r="I5296">
        <f>VLOOKUP(B5296,BRAND!B:D,3,FALSE)</f>
        <v>3</v>
      </c>
      <c r="J5296">
        <v>4</v>
      </c>
      <c r="K5296" t="s">
        <v>821</v>
      </c>
      <c r="M5296">
        <v>1</v>
      </c>
    </row>
    <row r="5297" spans="1:13">
      <c r="A5297" t="s">
        <v>3809</v>
      </c>
      <c r="B5297" t="s">
        <v>271</v>
      </c>
      <c r="C5297" s="34" t="s">
        <v>788</v>
      </c>
      <c r="F5297" t="s">
        <v>788</v>
      </c>
      <c r="H5297">
        <v>5</v>
      </c>
      <c r="I5297">
        <f>VLOOKUP(B5297,BRAND!B:D,3,FALSE)</f>
        <v>3</v>
      </c>
      <c r="J5297">
        <v>4</v>
      </c>
      <c r="K5297" t="s">
        <v>821</v>
      </c>
      <c r="M5297">
        <v>1</v>
      </c>
    </row>
    <row r="5298" spans="1:13">
      <c r="A5298" t="s">
        <v>4592</v>
      </c>
      <c r="B5298" t="s">
        <v>271</v>
      </c>
      <c r="C5298" s="34" t="s">
        <v>5481</v>
      </c>
      <c r="F5298" t="s">
        <v>1992</v>
      </c>
      <c r="H5298">
        <v>5</v>
      </c>
      <c r="I5298">
        <f>VLOOKUP(B5298,BRAND!B:D,3,FALSE)</f>
        <v>3</v>
      </c>
      <c r="J5298">
        <v>3</v>
      </c>
      <c r="K5298" t="s">
        <v>821</v>
      </c>
      <c r="M5298">
        <v>1</v>
      </c>
    </row>
    <row r="5299" spans="1:13">
      <c r="A5299" t="s">
        <v>5286</v>
      </c>
      <c r="B5299" t="s">
        <v>271</v>
      </c>
      <c r="C5299" s="34" t="s">
        <v>992</v>
      </c>
      <c r="H5299">
        <v>5</v>
      </c>
      <c r="I5299">
        <f>VLOOKUP(B5299,BRAND!B:D,3,FALSE)</f>
        <v>3</v>
      </c>
      <c r="J5299">
        <f>LEN(F5299)</f>
        <v>0</v>
      </c>
      <c r="L5299">
        <v>0</v>
      </c>
      <c r="M5299">
        <v>0</v>
      </c>
    </row>
    <row r="5300" spans="1:13">
      <c r="A5300" t="s">
        <v>5286</v>
      </c>
      <c r="B5300" t="s">
        <v>271</v>
      </c>
      <c r="C5300" s="34" t="s">
        <v>992</v>
      </c>
      <c r="H5300">
        <v>5</v>
      </c>
      <c r="I5300">
        <f>VLOOKUP(B5300,BRAND!B:D,3,FALSE)</f>
        <v>3</v>
      </c>
      <c r="J5300">
        <v>0</v>
      </c>
      <c r="M5300">
        <v>1</v>
      </c>
    </row>
    <row r="5301" spans="1:13">
      <c r="A5301" t="s">
        <v>14895</v>
      </c>
      <c r="B5301" t="s">
        <v>271</v>
      </c>
      <c r="C5301" s="34" t="s">
        <v>10023</v>
      </c>
      <c r="F5301" t="s">
        <v>10023</v>
      </c>
      <c r="G5301" t="s">
        <v>6932</v>
      </c>
      <c r="H5301">
        <v>5</v>
      </c>
      <c r="I5301">
        <f>VLOOKUP(B5301,BRAND!B:D,3,FALSE)</f>
        <v>3</v>
      </c>
      <c r="J5301">
        <v>0</v>
      </c>
      <c r="K5301" t="s">
        <v>821</v>
      </c>
      <c r="L5301">
        <v>0</v>
      </c>
      <c r="M5301">
        <v>0</v>
      </c>
    </row>
    <row r="5302" spans="1:13">
      <c r="A5302" t="s">
        <v>7217</v>
      </c>
      <c r="B5302" t="s">
        <v>271</v>
      </c>
      <c r="C5302" s="34" t="s">
        <v>755</v>
      </c>
      <c r="F5302" t="s">
        <v>755</v>
      </c>
      <c r="H5302">
        <v>5</v>
      </c>
      <c r="I5302">
        <f>VLOOKUP(B5302,BRAND!B:D,3,FALSE)</f>
        <v>3</v>
      </c>
      <c r="M5302">
        <v>1</v>
      </c>
    </row>
    <row r="5303" spans="1:13">
      <c r="A5303" t="s">
        <v>3946</v>
      </c>
      <c r="B5303" t="s">
        <v>271</v>
      </c>
      <c r="C5303" s="34" t="s">
        <v>14885</v>
      </c>
      <c r="F5303" t="s">
        <v>536</v>
      </c>
      <c r="H5303">
        <v>6</v>
      </c>
      <c r="I5303">
        <f>VLOOKUP(B5303,BRAND!B:D,3,FALSE)</f>
        <v>3</v>
      </c>
      <c r="J5303">
        <v>5</v>
      </c>
      <c r="K5303" t="s">
        <v>821</v>
      </c>
      <c r="M5303">
        <v>1</v>
      </c>
    </row>
    <row r="5304" spans="1:13">
      <c r="A5304" t="s">
        <v>5010</v>
      </c>
      <c r="B5304" t="s">
        <v>271</v>
      </c>
      <c r="C5304" s="34" t="s">
        <v>14885</v>
      </c>
      <c r="F5304" t="s">
        <v>536</v>
      </c>
      <c r="G5304" t="s">
        <v>801</v>
      </c>
      <c r="H5304">
        <v>6</v>
      </c>
      <c r="I5304">
        <f>VLOOKUP(B5304,BRAND!B:D,3,FALSE)</f>
        <v>3</v>
      </c>
      <c r="J5304">
        <v>5</v>
      </c>
      <c r="K5304" t="s">
        <v>821</v>
      </c>
      <c r="M5304">
        <v>1</v>
      </c>
    </row>
    <row r="5305" spans="1:13">
      <c r="A5305" t="s">
        <v>5011</v>
      </c>
      <c r="B5305" t="s">
        <v>271</v>
      </c>
      <c r="C5305" s="34" t="s">
        <v>6503</v>
      </c>
      <c r="F5305" t="s">
        <v>842</v>
      </c>
      <c r="G5305" t="s">
        <v>801</v>
      </c>
      <c r="H5305">
        <v>6</v>
      </c>
      <c r="I5305">
        <f>VLOOKUP(B5305,BRAND!B:D,3,FALSE)</f>
        <v>3</v>
      </c>
      <c r="J5305">
        <v>5</v>
      </c>
      <c r="K5305" t="s">
        <v>821</v>
      </c>
      <c r="M5305">
        <v>1</v>
      </c>
    </row>
    <row r="5306" spans="1:13">
      <c r="A5306" t="s">
        <v>4485</v>
      </c>
      <c r="B5306" t="s">
        <v>115</v>
      </c>
      <c r="C5306" s="34" t="s">
        <v>794</v>
      </c>
      <c r="F5306" t="s">
        <v>794</v>
      </c>
      <c r="H5306">
        <v>5</v>
      </c>
      <c r="I5306">
        <f>VLOOKUP(B5306,BRAND!B:D,3,FALSE)</f>
        <v>9</v>
      </c>
      <c r="J5306">
        <f>LEN(F5306)</f>
        <v>10</v>
      </c>
      <c r="K5306" t="s">
        <v>821</v>
      </c>
      <c r="L5306">
        <v>0</v>
      </c>
      <c r="M5306">
        <v>0</v>
      </c>
    </row>
    <row r="5307" spans="1:13">
      <c r="A5307" t="s">
        <v>8806</v>
      </c>
      <c r="B5307" t="s">
        <v>334</v>
      </c>
      <c r="C5307" s="34" t="s">
        <v>751</v>
      </c>
      <c r="F5307" t="s">
        <v>751</v>
      </c>
      <c r="G5307" t="s">
        <v>6932</v>
      </c>
      <c r="H5307">
        <v>5</v>
      </c>
      <c r="I5307">
        <f>VLOOKUP(B5307,BRAND!B:D,3,FALSE)</f>
        <v>3</v>
      </c>
      <c r="J5307">
        <v>5</v>
      </c>
      <c r="M5307">
        <v>1</v>
      </c>
    </row>
    <row r="5308" spans="1:13">
      <c r="A5308" t="s">
        <v>8807</v>
      </c>
      <c r="B5308" t="s">
        <v>334</v>
      </c>
      <c r="C5308" s="34" t="s">
        <v>6500</v>
      </c>
      <c r="F5308" t="s">
        <v>6500</v>
      </c>
      <c r="G5308" t="s">
        <v>6932</v>
      </c>
      <c r="H5308">
        <v>5</v>
      </c>
      <c r="I5308">
        <f>VLOOKUP(B5308,BRAND!B:D,3,FALSE)</f>
        <v>3</v>
      </c>
      <c r="J5308">
        <v>5</v>
      </c>
      <c r="M5308">
        <v>1</v>
      </c>
    </row>
    <row r="5309" spans="1:13">
      <c r="A5309" t="s">
        <v>8808</v>
      </c>
      <c r="B5309" t="s">
        <v>334</v>
      </c>
      <c r="C5309" s="34" t="s">
        <v>561</v>
      </c>
      <c r="F5309" t="s">
        <v>561</v>
      </c>
      <c r="G5309" t="s">
        <v>6932</v>
      </c>
      <c r="H5309">
        <v>5</v>
      </c>
      <c r="I5309">
        <f>VLOOKUP(B5309,BRAND!B:D,3,FALSE)</f>
        <v>3</v>
      </c>
      <c r="J5309">
        <v>3</v>
      </c>
      <c r="M5309">
        <v>1</v>
      </c>
    </row>
    <row r="5310" spans="1:13">
      <c r="A5310" t="s">
        <v>9760</v>
      </c>
      <c r="B5310" t="s">
        <v>334</v>
      </c>
      <c r="C5310" s="34" t="s">
        <v>777</v>
      </c>
      <c r="H5310">
        <v>5</v>
      </c>
      <c r="I5310">
        <f>VLOOKUP(B5310,BRAND!B:D,3,FALSE)</f>
        <v>3</v>
      </c>
      <c r="J5310">
        <f>LEN(F5310)</f>
        <v>0</v>
      </c>
      <c r="L5310">
        <v>0</v>
      </c>
      <c r="M5310">
        <v>0</v>
      </c>
    </row>
    <row r="5311" spans="1:13">
      <c r="A5311" t="s">
        <v>9760</v>
      </c>
      <c r="B5311" t="s">
        <v>334</v>
      </c>
      <c r="C5311" s="34" t="s">
        <v>777</v>
      </c>
      <c r="H5311">
        <v>5</v>
      </c>
      <c r="I5311">
        <f>VLOOKUP(B5311,BRAND!B:D,3,FALSE)</f>
        <v>3</v>
      </c>
      <c r="J5311">
        <v>0</v>
      </c>
      <c r="M5311">
        <v>1</v>
      </c>
    </row>
    <row r="5312" spans="1:13">
      <c r="A5312" t="s">
        <v>2829</v>
      </c>
      <c r="B5312" t="s">
        <v>334</v>
      </c>
      <c r="C5312" s="34" t="s">
        <v>1438</v>
      </c>
      <c r="F5312" t="s">
        <v>1438</v>
      </c>
      <c r="H5312">
        <v>15</v>
      </c>
      <c r="I5312">
        <f>VLOOKUP(B5312,BRAND!B:D,3,FALSE)</f>
        <v>3</v>
      </c>
      <c r="J5312">
        <v>4</v>
      </c>
      <c r="K5312" t="s">
        <v>821</v>
      </c>
      <c r="L5312">
        <v>0</v>
      </c>
      <c r="M5312">
        <v>0</v>
      </c>
    </row>
    <row r="5313" spans="1:13">
      <c r="A5313" t="s">
        <v>3079</v>
      </c>
      <c r="B5313" t="s">
        <v>335</v>
      </c>
      <c r="C5313" s="34" t="s">
        <v>777</v>
      </c>
      <c r="F5313" t="s">
        <v>777</v>
      </c>
      <c r="H5313">
        <v>5</v>
      </c>
      <c r="I5313">
        <f>VLOOKUP(B5313,BRAND!B:D,3,FALSE)</f>
        <v>3</v>
      </c>
      <c r="J5313">
        <v>7</v>
      </c>
      <c r="K5313" t="s">
        <v>821</v>
      </c>
      <c r="M5313">
        <v>1</v>
      </c>
    </row>
    <row r="5314" spans="1:13">
      <c r="A5314" t="s">
        <v>4724</v>
      </c>
      <c r="B5314" t="s">
        <v>335</v>
      </c>
      <c r="C5314" s="34" t="s">
        <v>751</v>
      </c>
      <c r="F5314" t="s">
        <v>751</v>
      </c>
      <c r="H5314">
        <v>5</v>
      </c>
      <c r="I5314">
        <f>VLOOKUP(B5314,BRAND!B:D,3,FALSE)</f>
        <v>3</v>
      </c>
      <c r="J5314">
        <v>5</v>
      </c>
      <c r="K5314" t="s">
        <v>821</v>
      </c>
      <c r="M5314">
        <v>1</v>
      </c>
    </row>
    <row r="5315" spans="1:13">
      <c r="A5315" t="s">
        <v>3080</v>
      </c>
      <c r="B5315" t="s">
        <v>335</v>
      </c>
      <c r="C5315" s="34" t="s">
        <v>536</v>
      </c>
      <c r="F5315" t="s">
        <v>536</v>
      </c>
      <c r="H5315">
        <v>5</v>
      </c>
      <c r="I5315">
        <f>VLOOKUP(B5315,BRAND!B:D,3,FALSE)</f>
        <v>3</v>
      </c>
      <c r="J5315">
        <v>5</v>
      </c>
      <c r="K5315" t="s">
        <v>821</v>
      </c>
      <c r="M5315">
        <v>1</v>
      </c>
    </row>
    <row r="5316" spans="1:13">
      <c r="A5316" t="s">
        <v>3078</v>
      </c>
      <c r="B5316" t="s">
        <v>335</v>
      </c>
      <c r="C5316" s="34" t="s">
        <v>561</v>
      </c>
      <c r="F5316" t="s">
        <v>561</v>
      </c>
      <c r="H5316">
        <v>5</v>
      </c>
      <c r="I5316">
        <f>VLOOKUP(B5316,BRAND!B:D,3,FALSE)</f>
        <v>3</v>
      </c>
      <c r="J5316">
        <v>3</v>
      </c>
      <c r="K5316" t="s">
        <v>821</v>
      </c>
      <c r="M5316">
        <v>1</v>
      </c>
    </row>
    <row r="5317" spans="1:13">
      <c r="A5317" t="s">
        <v>2818</v>
      </c>
      <c r="B5317" t="s">
        <v>335</v>
      </c>
      <c r="C5317" s="34" t="s">
        <v>1438</v>
      </c>
      <c r="F5317" t="s">
        <v>1438</v>
      </c>
      <c r="H5317">
        <v>15</v>
      </c>
      <c r="I5317">
        <f>VLOOKUP(B5317,BRAND!B:D,3,FALSE)</f>
        <v>3</v>
      </c>
      <c r="J5317">
        <v>4</v>
      </c>
      <c r="K5317" t="s">
        <v>821</v>
      </c>
      <c r="M5317">
        <v>1</v>
      </c>
    </row>
    <row r="5318" spans="1:13">
      <c r="A5318" t="s">
        <v>2181</v>
      </c>
      <c r="B5318" t="s">
        <v>1055</v>
      </c>
      <c r="C5318" s="34" t="s">
        <v>1438</v>
      </c>
      <c r="F5318" t="s">
        <v>1438</v>
      </c>
      <c r="H5318">
        <v>15</v>
      </c>
      <c r="I5318">
        <f>VLOOKUP(B5318,BRAND!B:D,3,FALSE)</f>
        <v>3</v>
      </c>
      <c r="J5318">
        <v>4</v>
      </c>
      <c r="K5318" t="s">
        <v>821</v>
      </c>
      <c r="L5318">
        <v>0</v>
      </c>
      <c r="M5318">
        <v>0</v>
      </c>
    </row>
    <row r="5319" spans="1:13">
      <c r="A5319" t="s">
        <v>2736</v>
      </c>
      <c r="B5319" t="s">
        <v>1174</v>
      </c>
      <c r="C5319" s="34" t="s">
        <v>1438</v>
      </c>
      <c r="F5319" t="s">
        <v>1438</v>
      </c>
      <c r="H5319">
        <v>15</v>
      </c>
      <c r="I5319">
        <f>VLOOKUP(B5319,BRAND!B:D,3,FALSE)</f>
        <v>3</v>
      </c>
      <c r="J5319">
        <v>4</v>
      </c>
      <c r="K5319" t="s">
        <v>821</v>
      </c>
      <c r="L5319">
        <v>0</v>
      </c>
      <c r="M5319">
        <v>0</v>
      </c>
    </row>
    <row r="5320" spans="1:13">
      <c r="A5320" t="s">
        <v>2167</v>
      </c>
      <c r="B5320" t="s">
        <v>116</v>
      </c>
      <c r="C5320" s="34" t="s">
        <v>1438</v>
      </c>
      <c r="F5320" t="s">
        <v>1438</v>
      </c>
      <c r="H5320">
        <v>15</v>
      </c>
      <c r="I5320">
        <f>VLOOKUP(B5320,BRAND!B:D,3,FALSE)</f>
        <v>3</v>
      </c>
      <c r="J5320">
        <v>4</v>
      </c>
      <c r="K5320" t="s">
        <v>821</v>
      </c>
      <c r="M5320">
        <v>1</v>
      </c>
    </row>
    <row r="5321" spans="1:13">
      <c r="A5321" t="s">
        <v>4172</v>
      </c>
      <c r="B5321" t="s">
        <v>1927</v>
      </c>
      <c r="C5321" s="34" t="s">
        <v>1513</v>
      </c>
      <c r="F5321" t="s">
        <v>1513</v>
      </c>
      <c r="H5321">
        <v>5</v>
      </c>
      <c r="I5321" t="e">
        <f>VLOOKUP(B5321,BRAND!B:D,3,FALSE)</f>
        <v>#N/A</v>
      </c>
      <c r="J5321">
        <v>5</v>
      </c>
      <c r="K5321" t="e">
        <v>#N/A</v>
      </c>
      <c r="M5321">
        <v>1</v>
      </c>
    </row>
    <row r="5322" spans="1:13">
      <c r="A5322" t="s">
        <v>4829</v>
      </c>
      <c r="B5322" t="s">
        <v>1452</v>
      </c>
      <c r="C5322" s="34" t="s">
        <v>1470</v>
      </c>
      <c r="F5322" t="s">
        <v>1470</v>
      </c>
      <c r="H5322">
        <v>4</v>
      </c>
      <c r="I5322">
        <f>VLOOKUP(B5322,BRAND!B:D,3,FALSE)</f>
        <v>11</v>
      </c>
      <c r="J5322">
        <f t="shared" ref="J5322:J5336" si="51">LEN(F5322)</f>
        <v>12</v>
      </c>
      <c r="K5322" t="s">
        <v>821</v>
      </c>
      <c r="M5322">
        <v>1</v>
      </c>
    </row>
    <row r="5323" spans="1:13">
      <c r="A5323" t="s">
        <v>1642</v>
      </c>
      <c r="B5323" t="s">
        <v>1452</v>
      </c>
      <c r="C5323" s="34" t="s">
        <v>1467</v>
      </c>
      <c r="F5323" t="s">
        <v>1467</v>
      </c>
      <c r="H5323">
        <v>4</v>
      </c>
      <c r="I5323">
        <f>VLOOKUP(B5323,BRAND!B:D,3,FALSE)</f>
        <v>11</v>
      </c>
      <c r="J5323">
        <f t="shared" si="51"/>
        <v>12</v>
      </c>
      <c r="K5323" t="s">
        <v>821</v>
      </c>
      <c r="M5323">
        <v>1</v>
      </c>
    </row>
    <row r="5324" spans="1:13">
      <c r="A5324" t="s">
        <v>10600</v>
      </c>
      <c r="B5324" t="s">
        <v>1452</v>
      </c>
      <c r="C5324" s="34" t="s">
        <v>10655</v>
      </c>
      <c r="D5324" t="s">
        <v>798</v>
      </c>
      <c r="F5324" t="s">
        <v>10427</v>
      </c>
      <c r="G5324" t="s">
        <v>6932</v>
      </c>
      <c r="H5324">
        <v>5</v>
      </c>
      <c r="I5324">
        <f>VLOOKUP(B5324,BRAND!B:D,3,FALSE)</f>
        <v>11</v>
      </c>
      <c r="J5324">
        <f t="shared" si="51"/>
        <v>19</v>
      </c>
      <c r="L5324">
        <v>0</v>
      </c>
    </row>
    <row r="5325" spans="1:13">
      <c r="A5325" t="s">
        <v>10599</v>
      </c>
      <c r="B5325" t="s">
        <v>1452</v>
      </c>
      <c r="C5325" s="34" t="s">
        <v>10654</v>
      </c>
      <c r="D5325" t="s">
        <v>1513</v>
      </c>
      <c r="F5325" t="s">
        <v>10426</v>
      </c>
      <c r="G5325" t="s">
        <v>2000</v>
      </c>
      <c r="H5325">
        <v>5</v>
      </c>
      <c r="I5325">
        <f>VLOOKUP(B5325,BRAND!B:D,3,FALSE)</f>
        <v>11</v>
      </c>
      <c r="J5325">
        <f t="shared" si="51"/>
        <v>12</v>
      </c>
      <c r="L5325">
        <v>0</v>
      </c>
    </row>
    <row r="5326" spans="1:13">
      <c r="A5326" t="s">
        <v>10598</v>
      </c>
      <c r="B5326" t="s">
        <v>1452</v>
      </c>
      <c r="C5326" s="34" t="s">
        <v>10653</v>
      </c>
      <c r="D5326" t="s">
        <v>764</v>
      </c>
      <c r="F5326" t="s">
        <v>10425</v>
      </c>
      <c r="G5326" t="s">
        <v>2000</v>
      </c>
      <c r="H5326">
        <v>5</v>
      </c>
      <c r="I5326">
        <f>VLOOKUP(B5326,BRAND!B:D,3,FALSE)</f>
        <v>11</v>
      </c>
      <c r="J5326">
        <f t="shared" si="51"/>
        <v>11</v>
      </c>
      <c r="L5326">
        <v>0</v>
      </c>
    </row>
    <row r="5327" spans="1:13">
      <c r="A5327" t="s">
        <v>10597</v>
      </c>
      <c r="B5327" t="s">
        <v>1452</v>
      </c>
      <c r="C5327" s="34" t="s">
        <v>10653</v>
      </c>
      <c r="D5327" t="s">
        <v>764</v>
      </c>
      <c r="F5327" t="s">
        <v>10425</v>
      </c>
      <c r="G5327" t="s">
        <v>6932</v>
      </c>
      <c r="H5327">
        <v>5</v>
      </c>
      <c r="I5327">
        <f>VLOOKUP(B5327,BRAND!B:D,3,FALSE)</f>
        <v>11</v>
      </c>
      <c r="J5327">
        <f t="shared" si="51"/>
        <v>11</v>
      </c>
      <c r="L5327">
        <v>0</v>
      </c>
    </row>
    <row r="5328" spans="1:13">
      <c r="A5328" t="s">
        <v>1621</v>
      </c>
      <c r="B5328" t="s">
        <v>1452</v>
      </c>
      <c r="C5328" s="34" t="s">
        <v>1472</v>
      </c>
      <c r="F5328" t="s">
        <v>1472</v>
      </c>
      <c r="H5328">
        <v>5</v>
      </c>
      <c r="I5328">
        <f>VLOOKUP(B5328,BRAND!B:D,3,FALSE)</f>
        <v>11</v>
      </c>
      <c r="J5328">
        <f t="shared" si="51"/>
        <v>11</v>
      </c>
      <c r="K5328" t="s">
        <v>821</v>
      </c>
      <c r="M5328">
        <v>1</v>
      </c>
    </row>
    <row r="5329" spans="1:13">
      <c r="A5329" t="s">
        <v>4598</v>
      </c>
      <c r="B5329" t="s">
        <v>1452</v>
      </c>
      <c r="C5329" s="34" t="s">
        <v>1478</v>
      </c>
      <c r="F5329" t="s">
        <v>1478</v>
      </c>
      <c r="H5329">
        <v>5</v>
      </c>
      <c r="I5329">
        <f>VLOOKUP(B5329,BRAND!B:D,3,FALSE)</f>
        <v>11</v>
      </c>
      <c r="J5329">
        <f t="shared" si="51"/>
        <v>11</v>
      </c>
      <c r="K5329" t="s">
        <v>821</v>
      </c>
      <c r="M5329">
        <v>1</v>
      </c>
    </row>
    <row r="5330" spans="1:13">
      <c r="A5330" t="s">
        <v>10611</v>
      </c>
      <c r="B5330" t="s">
        <v>1452</v>
      </c>
      <c r="C5330" s="34" t="s">
        <v>10659</v>
      </c>
      <c r="D5330" t="s">
        <v>6858</v>
      </c>
      <c r="F5330" t="s">
        <v>10430</v>
      </c>
      <c r="G5330" t="s">
        <v>6932</v>
      </c>
      <c r="H5330">
        <v>5</v>
      </c>
      <c r="I5330">
        <f>VLOOKUP(B5330,BRAND!B:D,3,FALSE)</f>
        <v>11</v>
      </c>
      <c r="J5330">
        <f t="shared" si="51"/>
        <v>10</v>
      </c>
      <c r="L5330">
        <v>0</v>
      </c>
    </row>
    <row r="5331" spans="1:13">
      <c r="A5331" t="s">
        <v>10610</v>
      </c>
      <c r="B5331" t="s">
        <v>1452</v>
      </c>
      <c r="C5331" s="34" t="s">
        <v>1513</v>
      </c>
      <c r="D5331" t="s">
        <v>876</v>
      </c>
      <c r="F5331" t="s">
        <v>6775</v>
      </c>
      <c r="G5331" t="s">
        <v>801</v>
      </c>
      <c r="H5331">
        <v>5</v>
      </c>
      <c r="I5331">
        <f>VLOOKUP(B5331,BRAND!B:D,3,FALSE)</f>
        <v>11</v>
      </c>
      <c r="J5331">
        <f t="shared" si="51"/>
        <v>10</v>
      </c>
      <c r="L5331">
        <v>0</v>
      </c>
    </row>
    <row r="5332" spans="1:13">
      <c r="A5332" t="s">
        <v>10609</v>
      </c>
      <c r="B5332" t="s">
        <v>1452</v>
      </c>
      <c r="C5332" s="34" t="s">
        <v>1513</v>
      </c>
      <c r="D5332" t="s">
        <v>876</v>
      </c>
      <c r="F5332" t="s">
        <v>6775</v>
      </c>
      <c r="G5332" t="s">
        <v>6932</v>
      </c>
      <c r="H5332">
        <v>5</v>
      </c>
      <c r="I5332">
        <f>VLOOKUP(B5332,BRAND!B:D,3,FALSE)</f>
        <v>11</v>
      </c>
      <c r="J5332">
        <f t="shared" si="51"/>
        <v>10</v>
      </c>
      <c r="L5332">
        <v>0</v>
      </c>
    </row>
    <row r="5333" spans="1:13">
      <c r="A5333" t="s">
        <v>4545</v>
      </c>
      <c r="B5333" t="s">
        <v>1452</v>
      </c>
      <c r="C5333" s="34" t="s">
        <v>1965</v>
      </c>
      <c r="F5333" t="s">
        <v>1965</v>
      </c>
      <c r="H5333">
        <v>5</v>
      </c>
      <c r="I5333">
        <f>VLOOKUP(B5333,BRAND!B:D,3,FALSE)</f>
        <v>11</v>
      </c>
      <c r="J5333">
        <f t="shared" si="51"/>
        <v>10</v>
      </c>
      <c r="K5333" t="s">
        <v>821</v>
      </c>
      <c r="M5333">
        <v>1</v>
      </c>
    </row>
    <row r="5334" spans="1:13">
      <c r="A5334" t="s">
        <v>1669</v>
      </c>
      <c r="B5334" t="s">
        <v>1452</v>
      </c>
      <c r="C5334" s="34" t="s">
        <v>994</v>
      </c>
      <c r="F5334" t="s">
        <v>994</v>
      </c>
      <c r="H5334">
        <v>5</v>
      </c>
      <c r="I5334">
        <f>VLOOKUP(B5334,BRAND!B:D,3,FALSE)</f>
        <v>11</v>
      </c>
      <c r="J5334">
        <f t="shared" si="51"/>
        <v>10</v>
      </c>
      <c r="K5334" t="s">
        <v>821</v>
      </c>
      <c r="M5334">
        <v>1</v>
      </c>
    </row>
    <row r="5335" spans="1:13">
      <c r="A5335" t="s">
        <v>1739</v>
      </c>
      <c r="B5335" t="s">
        <v>1452</v>
      </c>
      <c r="C5335" s="34" t="s">
        <v>882</v>
      </c>
      <c r="F5335" t="s">
        <v>882</v>
      </c>
      <c r="H5335">
        <v>5</v>
      </c>
      <c r="I5335">
        <f>VLOOKUP(B5335,BRAND!B:D,3,FALSE)</f>
        <v>11</v>
      </c>
      <c r="J5335">
        <f t="shared" si="51"/>
        <v>10</v>
      </c>
      <c r="K5335" t="s">
        <v>821</v>
      </c>
      <c r="M5335">
        <v>1</v>
      </c>
    </row>
    <row r="5336" spans="1:13">
      <c r="A5336" t="s">
        <v>10612</v>
      </c>
      <c r="B5336" t="s">
        <v>1452</v>
      </c>
      <c r="C5336" s="34" t="s">
        <v>798</v>
      </c>
      <c r="F5336" t="s">
        <v>798</v>
      </c>
      <c r="G5336" t="s">
        <v>6932</v>
      </c>
      <c r="H5336">
        <v>5</v>
      </c>
      <c r="I5336">
        <f>VLOOKUP(B5336,BRAND!B:D,3,FALSE)</f>
        <v>11</v>
      </c>
      <c r="J5336">
        <f t="shared" si="51"/>
        <v>9</v>
      </c>
      <c r="L5336">
        <v>0</v>
      </c>
    </row>
    <row r="5337" spans="1:13">
      <c r="A5337" t="s">
        <v>1698</v>
      </c>
      <c r="B5337" t="s">
        <v>1452</v>
      </c>
      <c r="C5337" s="34" t="s">
        <v>1482</v>
      </c>
      <c r="F5337" t="s">
        <v>1482</v>
      </c>
      <c r="H5337">
        <v>5</v>
      </c>
      <c r="I5337">
        <f>VLOOKUP(B5337,BRAND!B:D,3,FALSE)</f>
        <v>11</v>
      </c>
      <c r="J5337">
        <v>9</v>
      </c>
      <c r="K5337" t="s">
        <v>821</v>
      </c>
      <c r="M5337">
        <v>1</v>
      </c>
    </row>
    <row r="5338" spans="1:13">
      <c r="A5338" t="s">
        <v>1641</v>
      </c>
      <c r="B5338" t="s">
        <v>1452</v>
      </c>
      <c r="C5338" s="34" t="s">
        <v>1483</v>
      </c>
      <c r="F5338" t="s">
        <v>1483</v>
      </c>
      <c r="H5338">
        <v>5</v>
      </c>
      <c r="I5338">
        <f>VLOOKUP(B5338,BRAND!B:D,3,FALSE)</f>
        <v>11</v>
      </c>
      <c r="J5338">
        <v>9</v>
      </c>
      <c r="K5338" t="s">
        <v>821</v>
      </c>
      <c r="M5338">
        <v>1</v>
      </c>
    </row>
    <row r="5339" spans="1:13">
      <c r="A5339" t="s">
        <v>4109</v>
      </c>
      <c r="B5339" t="s">
        <v>1452</v>
      </c>
      <c r="C5339" s="34" t="s">
        <v>798</v>
      </c>
      <c r="F5339" t="s">
        <v>798</v>
      </c>
      <c r="H5339">
        <v>5</v>
      </c>
      <c r="I5339">
        <f>VLOOKUP(B5339,BRAND!B:D,3,FALSE)</f>
        <v>11</v>
      </c>
      <c r="J5339">
        <v>9</v>
      </c>
      <c r="K5339" t="s">
        <v>821</v>
      </c>
      <c r="M5339">
        <v>1</v>
      </c>
    </row>
    <row r="5340" spans="1:13">
      <c r="A5340" t="s">
        <v>10596</v>
      </c>
      <c r="B5340" t="s">
        <v>1452</v>
      </c>
      <c r="C5340" s="34" t="s">
        <v>769</v>
      </c>
      <c r="F5340" t="s">
        <v>769</v>
      </c>
      <c r="G5340" t="s">
        <v>6932</v>
      </c>
      <c r="H5340">
        <v>5</v>
      </c>
      <c r="I5340">
        <f>VLOOKUP(B5340,BRAND!B:D,3,FALSE)</f>
        <v>11</v>
      </c>
      <c r="J5340">
        <f>LEN(F5340)</f>
        <v>8</v>
      </c>
      <c r="L5340">
        <v>0</v>
      </c>
    </row>
    <row r="5341" spans="1:13">
      <c r="A5341" t="s">
        <v>1744</v>
      </c>
      <c r="B5341" t="s">
        <v>1452</v>
      </c>
      <c r="C5341" s="34" t="s">
        <v>1486</v>
      </c>
      <c r="F5341" t="s">
        <v>1486</v>
      </c>
      <c r="H5341">
        <v>5</v>
      </c>
      <c r="I5341">
        <f>VLOOKUP(B5341,BRAND!B:D,3,FALSE)</f>
        <v>11</v>
      </c>
      <c r="J5341">
        <v>8</v>
      </c>
      <c r="K5341" t="s">
        <v>821</v>
      </c>
      <c r="L5341">
        <v>0</v>
      </c>
      <c r="M5341">
        <v>0</v>
      </c>
    </row>
    <row r="5342" spans="1:13">
      <c r="A5342" t="s">
        <v>1627</v>
      </c>
      <c r="B5342" t="s">
        <v>1452</v>
      </c>
      <c r="C5342" s="34" t="s">
        <v>942</v>
      </c>
      <c r="F5342" t="s">
        <v>942</v>
      </c>
      <c r="H5342">
        <v>5</v>
      </c>
      <c r="I5342">
        <f>VLOOKUP(B5342,BRAND!B:D,3,FALSE)</f>
        <v>11</v>
      </c>
      <c r="J5342">
        <v>8</v>
      </c>
      <c r="K5342" t="s">
        <v>821</v>
      </c>
      <c r="M5342">
        <v>1</v>
      </c>
    </row>
    <row r="5343" spans="1:13">
      <c r="A5343" t="s">
        <v>4498</v>
      </c>
      <c r="B5343" t="s">
        <v>1452</v>
      </c>
      <c r="C5343" s="34" t="s">
        <v>1085</v>
      </c>
      <c r="F5343" t="s">
        <v>1085</v>
      </c>
      <c r="H5343">
        <v>5</v>
      </c>
      <c r="I5343">
        <f>VLOOKUP(B5343,BRAND!B:D,3,FALSE)</f>
        <v>11</v>
      </c>
      <c r="J5343">
        <v>8</v>
      </c>
      <c r="K5343" t="s">
        <v>821</v>
      </c>
      <c r="M5343">
        <v>1</v>
      </c>
    </row>
    <row r="5344" spans="1:13">
      <c r="A5344" t="s">
        <v>1736</v>
      </c>
      <c r="B5344" t="s">
        <v>1452</v>
      </c>
      <c r="C5344" s="34" t="s">
        <v>769</v>
      </c>
      <c r="F5344" t="s">
        <v>769</v>
      </c>
      <c r="H5344">
        <v>5</v>
      </c>
      <c r="I5344">
        <f>VLOOKUP(B5344,BRAND!B:D,3,FALSE)</f>
        <v>11</v>
      </c>
      <c r="J5344">
        <v>8</v>
      </c>
      <c r="K5344" t="s">
        <v>821</v>
      </c>
      <c r="M5344">
        <v>1</v>
      </c>
    </row>
    <row r="5345" spans="1:13">
      <c r="A5345" s="29" t="s">
        <v>4705</v>
      </c>
      <c r="B5345" s="29" t="s">
        <v>1452</v>
      </c>
      <c r="C5345" s="36" t="s">
        <v>1493</v>
      </c>
      <c r="D5345" s="29"/>
      <c r="E5345" s="29"/>
      <c r="F5345" s="29" t="s">
        <v>1493</v>
      </c>
      <c r="G5345" s="29"/>
      <c r="H5345">
        <v>5</v>
      </c>
      <c r="I5345">
        <f>VLOOKUP(B5345,BRAND!B:D,3,FALSE)</f>
        <v>11</v>
      </c>
      <c r="J5345">
        <v>7</v>
      </c>
      <c r="K5345" t="s">
        <v>821</v>
      </c>
      <c r="M5345">
        <v>1</v>
      </c>
    </row>
    <row r="5346" spans="1:13">
      <c r="A5346" t="s">
        <v>10622</v>
      </c>
      <c r="B5346" t="s">
        <v>1452</v>
      </c>
      <c r="C5346" s="34" t="s">
        <v>995</v>
      </c>
      <c r="F5346" t="s">
        <v>995</v>
      </c>
      <c r="G5346" t="s">
        <v>801</v>
      </c>
      <c r="H5346">
        <v>5</v>
      </c>
      <c r="I5346">
        <f>VLOOKUP(B5346,BRAND!B:D,3,FALSE)</f>
        <v>11</v>
      </c>
      <c r="J5346">
        <f>LEN(F5346)</f>
        <v>6</v>
      </c>
      <c r="L5346">
        <v>0</v>
      </c>
    </row>
    <row r="5347" spans="1:13">
      <c r="A5347" t="s">
        <v>10621</v>
      </c>
      <c r="B5347" t="s">
        <v>1452</v>
      </c>
      <c r="C5347" s="34" t="s">
        <v>995</v>
      </c>
      <c r="F5347" t="s">
        <v>995</v>
      </c>
      <c r="G5347" t="s">
        <v>6932</v>
      </c>
      <c r="H5347">
        <v>5</v>
      </c>
      <c r="I5347">
        <f>VLOOKUP(B5347,BRAND!B:D,3,FALSE)</f>
        <v>11</v>
      </c>
      <c r="J5347">
        <f>LEN(F5347)</f>
        <v>6</v>
      </c>
      <c r="L5347">
        <v>0</v>
      </c>
    </row>
    <row r="5348" spans="1:13">
      <c r="A5348" t="s">
        <v>1522</v>
      </c>
      <c r="B5348" t="s">
        <v>1452</v>
      </c>
      <c r="C5348" s="34" t="s">
        <v>898</v>
      </c>
      <c r="F5348" t="s">
        <v>898</v>
      </c>
      <c r="H5348">
        <v>5</v>
      </c>
      <c r="I5348">
        <f>VLOOKUP(B5348,BRAND!B:D,3,FALSE)</f>
        <v>11</v>
      </c>
      <c r="J5348">
        <v>6</v>
      </c>
      <c r="K5348" t="s">
        <v>821</v>
      </c>
      <c r="M5348">
        <v>1</v>
      </c>
    </row>
    <row r="5349" spans="1:13">
      <c r="A5349" t="s">
        <v>1636</v>
      </c>
      <c r="B5349" t="s">
        <v>1452</v>
      </c>
      <c r="C5349" s="34" t="s">
        <v>995</v>
      </c>
      <c r="F5349" t="s">
        <v>995</v>
      </c>
      <c r="H5349">
        <v>5</v>
      </c>
      <c r="I5349">
        <f>VLOOKUP(B5349,BRAND!B:D,3,FALSE)</f>
        <v>11</v>
      </c>
      <c r="J5349">
        <v>6</v>
      </c>
      <c r="K5349" t="s">
        <v>821</v>
      </c>
      <c r="M5349">
        <v>1</v>
      </c>
    </row>
    <row r="5350" spans="1:13">
      <c r="A5350" t="s">
        <v>4725</v>
      </c>
      <c r="B5350" t="s">
        <v>1452</v>
      </c>
      <c r="C5350" s="34" t="s">
        <v>1508</v>
      </c>
      <c r="F5350" t="s">
        <v>1508</v>
      </c>
      <c r="H5350">
        <v>5</v>
      </c>
      <c r="I5350">
        <f>VLOOKUP(B5350,BRAND!B:D,3,FALSE)</f>
        <v>11</v>
      </c>
      <c r="J5350">
        <v>6</v>
      </c>
      <c r="K5350" t="s">
        <v>821</v>
      </c>
      <c r="M5350">
        <v>1</v>
      </c>
    </row>
    <row r="5351" spans="1:13">
      <c r="A5351" t="s">
        <v>1699</v>
      </c>
      <c r="B5351" t="s">
        <v>1452</v>
      </c>
      <c r="C5351" s="34" t="s">
        <v>761</v>
      </c>
      <c r="F5351" t="s">
        <v>761</v>
      </c>
      <c r="H5351">
        <v>5</v>
      </c>
      <c r="I5351">
        <f>VLOOKUP(B5351,BRAND!B:D,3,FALSE)</f>
        <v>11</v>
      </c>
      <c r="J5351">
        <v>5</v>
      </c>
      <c r="K5351" t="s">
        <v>821</v>
      </c>
      <c r="L5351">
        <v>1</v>
      </c>
      <c r="M5351">
        <v>1</v>
      </c>
    </row>
    <row r="5352" spans="1:13">
      <c r="A5352" t="s">
        <v>4790</v>
      </c>
      <c r="B5352" t="s">
        <v>1452</v>
      </c>
      <c r="C5352" s="34" t="s">
        <v>751</v>
      </c>
      <c r="F5352" t="s">
        <v>751</v>
      </c>
      <c r="H5352">
        <v>5</v>
      </c>
      <c r="I5352">
        <f>VLOOKUP(B5352,BRAND!B:D,3,FALSE)</f>
        <v>11</v>
      </c>
      <c r="J5352">
        <v>5</v>
      </c>
      <c r="K5352" t="s">
        <v>821</v>
      </c>
      <c r="M5352">
        <v>1</v>
      </c>
    </row>
    <row r="5353" spans="1:13">
      <c r="A5353" t="s">
        <v>4810</v>
      </c>
      <c r="B5353" t="s">
        <v>1452</v>
      </c>
      <c r="C5353" s="34" t="s">
        <v>764</v>
      </c>
      <c r="F5353" t="s">
        <v>764</v>
      </c>
      <c r="H5353">
        <v>5</v>
      </c>
      <c r="I5353">
        <f>VLOOKUP(B5353,BRAND!B:D,3,FALSE)</f>
        <v>11</v>
      </c>
      <c r="J5353">
        <v>5</v>
      </c>
      <c r="K5353" t="s">
        <v>821</v>
      </c>
      <c r="M5353">
        <v>1</v>
      </c>
    </row>
    <row r="5354" spans="1:13">
      <c r="A5354" t="s">
        <v>1743</v>
      </c>
      <c r="B5354" t="s">
        <v>1452</v>
      </c>
      <c r="C5354" s="34" t="s">
        <v>799</v>
      </c>
      <c r="F5354" t="s">
        <v>799</v>
      </c>
      <c r="H5354">
        <v>5</v>
      </c>
      <c r="I5354">
        <f>VLOOKUP(B5354,BRAND!B:D,3,FALSE)</f>
        <v>11</v>
      </c>
      <c r="J5354">
        <v>5</v>
      </c>
      <c r="K5354" t="s">
        <v>821</v>
      </c>
      <c r="M5354">
        <v>1</v>
      </c>
    </row>
    <row r="5355" spans="1:13">
      <c r="A5355" t="s">
        <v>4142</v>
      </c>
      <c r="B5355" t="s">
        <v>1452</v>
      </c>
      <c r="C5355" s="34" t="s">
        <v>776</v>
      </c>
      <c r="F5355" t="s">
        <v>776</v>
      </c>
      <c r="H5355">
        <v>5</v>
      </c>
      <c r="I5355">
        <f>VLOOKUP(B5355,BRAND!B:D,3,FALSE)</f>
        <v>11</v>
      </c>
      <c r="J5355">
        <v>5</v>
      </c>
      <c r="K5355" t="s">
        <v>821</v>
      </c>
      <c r="M5355">
        <v>1</v>
      </c>
    </row>
    <row r="5356" spans="1:13">
      <c r="A5356" t="s">
        <v>1668</v>
      </c>
      <c r="B5356" t="s">
        <v>1452</v>
      </c>
      <c r="C5356" s="34" t="s">
        <v>881</v>
      </c>
      <c r="F5356" t="s">
        <v>881</v>
      </c>
      <c r="H5356">
        <v>5</v>
      </c>
      <c r="I5356">
        <f>VLOOKUP(B5356,BRAND!B:D,3,FALSE)</f>
        <v>11</v>
      </c>
      <c r="J5356">
        <v>5</v>
      </c>
      <c r="K5356" t="s">
        <v>821</v>
      </c>
      <c r="M5356">
        <v>1</v>
      </c>
    </row>
    <row r="5357" spans="1:13">
      <c r="A5357" t="s">
        <v>1632</v>
      </c>
      <c r="B5357" t="s">
        <v>1452</v>
      </c>
      <c r="C5357" s="34" t="s">
        <v>876</v>
      </c>
      <c r="F5357" t="s">
        <v>876</v>
      </c>
      <c r="H5357">
        <v>5</v>
      </c>
      <c r="I5357">
        <f>VLOOKUP(B5357,BRAND!B:D,3,FALSE)</f>
        <v>11</v>
      </c>
      <c r="J5357">
        <v>4</v>
      </c>
      <c r="K5357" t="s">
        <v>821</v>
      </c>
      <c r="M5357">
        <v>1</v>
      </c>
    </row>
    <row r="5358" spans="1:13">
      <c r="A5358" t="s">
        <v>1735</v>
      </c>
      <c r="B5358" t="s">
        <v>1452</v>
      </c>
      <c r="C5358" s="34" t="s">
        <v>1515</v>
      </c>
      <c r="F5358" t="s">
        <v>1515</v>
      </c>
      <c r="H5358">
        <v>5</v>
      </c>
      <c r="I5358">
        <f>VLOOKUP(B5358,BRAND!B:D,3,FALSE)</f>
        <v>11</v>
      </c>
      <c r="J5358">
        <v>4</v>
      </c>
      <c r="K5358" t="s">
        <v>821</v>
      </c>
      <c r="M5358">
        <v>1</v>
      </c>
    </row>
    <row r="5359" spans="1:13">
      <c r="A5359" t="s">
        <v>1637</v>
      </c>
      <c r="B5359" t="s">
        <v>1452</v>
      </c>
      <c r="C5359" s="34" t="s">
        <v>1513</v>
      </c>
      <c r="F5359" t="s">
        <v>1513</v>
      </c>
      <c r="H5359">
        <v>6</v>
      </c>
      <c r="I5359">
        <f>VLOOKUP(B5359,BRAND!B:D,3,FALSE)</f>
        <v>11</v>
      </c>
      <c r="J5359">
        <v>5</v>
      </c>
      <c r="K5359" t="s">
        <v>821</v>
      </c>
      <c r="M5359">
        <v>1</v>
      </c>
    </row>
    <row r="5360" spans="1:13">
      <c r="A5360" t="s">
        <v>6718</v>
      </c>
      <c r="B5360" t="s">
        <v>1452</v>
      </c>
      <c r="C5360" s="34" t="s">
        <v>6717</v>
      </c>
      <c r="F5360" t="s">
        <v>1513</v>
      </c>
      <c r="G5360" t="s">
        <v>5473</v>
      </c>
      <c r="H5360">
        <v>6</v>
      </c>
      <c r="I5360">
        <f>VLOOKUP(B5360,BRAND!B:D,3,FALSE)</f>
        <v>11</v>
      </c>
      <c r="J5360">
        <v>5</v>
      </c>
      <c r="K5360" t="s">
        <v>821</v>
      </c>
      <c r="M5360">
        <v>1</v>
      </c>
    </row>
    <row r="5361" spans="1:13">
      <c r="A5361" t="s">
        <v>5500</v>
      </c>
      <c r="B5361" t="s">
        <v>1452</v>
      </c>
      <c r="C5361" s="34" t="s">
        <v>1438</v>
      </c>
      <c r="F5361" t="s">
        <v>1438</v>
      </c>
      <c r="G5361" t="s">
        <v>5473</v>
      </c>
      <c r="H5361">
        <v>15</v>
      </c>
      <c r="I5361">
        <f>VLOOKUP(B5361,BRAND!B:D,3,FALSE)</f>
        <v>11</v>
      </c>
      <c r="J5361">
        <v>4</v>
      </c>
      <c r="K5361" t="s">
        <v>821</v>
      </c>
      <c r="L5361">
        <v>0</v>
      </c>
      <c r="M5361">
        <v>0</v>
      </c>
    </row>
    <row r="5362" spans="1:13">
      <c r="A5362" t="s">
        <v>1537</v>
      </c>
      <c r="B5362" t="s">
        <v>1452</v>
      </c>
      <c r="C5362" s="34" t="s">
        <v>1438</v>
      </c>
      <c r="F5362" t="s">
        <v>1438</v>
      </c>
      <c r="H5362">
        <v>15</v>
      </c>
      <c r="I5362">
        <f>VLOOKUP(B5362,BRAND!B:D,3,FALSE)</f>
        <v>11</v>
      </c>
      <c r="J5362">
        <v>4</v>
      </c>
      <c r="K5362" t="s">
        <v>821</v>
      </c>
      <c r="M5362">
        <v>1</v>
      </c>
    </row>
    <row r="5363" spans="1:13">
      <c r="A5363" t="s">
        <v>1671</v>
      </c>
      <c r="B5363" t="s">
        <v>117</v>
      </c>
      <c r="C5363" s="34" t="s">
        <v>1467</v>
      </c>
      <c r="F5363" t="s">
        <v>1467</v>
      </c>
      <c r="H5363">
        <v>4</v>
      </c>
      <c r="I5363">
        <f>VLOOKUP(B5363,BRAND!B:D,3,FALSE)</f>
        <v>3</v>
      </c>
      <c r="J5363">
        <f>LEN(F5363)</f>
        <v>12</v>
      </c>
      <c r="K5363" t="s">
        <v>821</v>
      </c>
      <c r="M5363">
        <v>1</v>
      </c>
    </row>
    <row r="5364" spans="1:13">
      <c r="A5364" t="s">
        <v>1594</v>
      </c>
      <c r="B5364" t="s">
        <v>117</v>
      </c>
      <c r="C5364" s="34" t="s">
        <v>898</v>
      </c>
      <c r="F5364" t="s">
        <v>898</v>
      </c>
      <c r="H5364">
        <v>5</v>
      </c>
      <c r="I5364">
        <f>VLOOKUP(B5364,BRAND!B:D,3,FALSE)</f>
        <v>3</v>
      </c>
      <c r="J5364">
        <v>6</v>
      </c>
      <c r="K5364" t="s">
        <v>821</v>
      </c>
      <c r="M5364">
        <v>1</v>
      </c>
    </row>
    <row r="5365" spans="1:13">
      <c r="A5365" t="s">
        <v>1729</v>
      </c>
      <c r="B5365" t="s">
        <v>117</v>
      </c>
      <c r="C5365" s="34" t="s">
        <v>995</v>
      </c>
      <c r="F5365" t="s">
        <v>995</v>
      </c>
      <c r="H5365">
        <v>5</v>
      </c>
      <c r="I5365">
        <f>VLOOKUP(B5365,BRAND!B:D,3,FALSE)</f>
        <v>3</v>
      </c>
      <c r="J5365">
        <v>6</v>
      </c>
      <c r="K5365" t="s">
        <v>821</v>
      </c>
      <c r="M5365">
        <v>1</v>
      </c>
    </row>
    <row r="5366" spans="1:13">
      <c r="A5366" t="s">
        <v>1750</v>
      </c>
      <c r="B5366" t="s">
        <v>117</v>
      </c>
      <c r="C5366" s="34" t="s">
        <v>1513</v>
      </c>
      <c r="F5366" t="s">
        <v>1513</v>
      </c>
      <c r="H5366">
        <v>5</v>
      </c>
      <c r="I5366">
        <f>VLOOKUP(B5366,BRAND!B:D,3,FALSE)</f>
        <v>3</v>
      </c>
      <c r="J5366">
        <v>5</v>
      </c>
      <c r="K5366" t="s">
        <v>821</v>
      </c>
      <c r="M5366">
        <v>1</v>
      </c>
    </row>
    <row r="5367" spans="1:13">
      <c r="A5367" t="s">
        <v>1667</v>
      </c>
      <c r="B5367" t="s">
        <v>117</v>
      </c>
      <c r="C5367" s="34" t="s">
        <v>876</v>
      </c>
      <c r="F5367" t="s">
        <v>876</v>
      </c>
      <c r="H5367">
        <v>5</v>
      </c>
      <c r="I5367">
        <f>VLOOKUP(B5367,BRAND!B:D,3,FALSE)</f>
        <v>3</v>
      </c>
      <c r="J5367">
        <v>4</v>
      </c>
      <c r="K5367" t="s">
        <v>821</v>
      </c>
      <c r="M5367">
        <v>1</v>
      </c>
    </row>
    <row r="5368" spans="1:13">
      <c r="A5368" t="s">
        <v>1657</v>
      </c>
      <c r="B5368" t="s">
        <v>117</v>
      </c>
      <c r="C5368" s="34" t="s">
        <v>1438</v>
      </c>
      <c r="F5368" t="s">
        <v>1438</v>
      </c>
      <c r="H5368">
        <v>15</v>
      </c>
      <c r="I5368">
        <f>VLOOKUP(B5368,BRAND!B:D,3,FALSE)</f>
        <v>3</v>
      </c>
      <c r="J5368">
        <v>4</v>
      </c>
      <c r="K5368" t="s">
        <v>821</v>
      </c>
      <c r="L5368">
        <v>0</v>
      </c>
      <c r="M5368">
        <v>0</v>
      </c>
    </row>
    <row r="5369" spans="1:13">
      <c r="A5369" t="s">
        <v>2910</v>
      </c>
      <c r="B5369" t="s">
        <v>1391</v>
      </c>
      <c r="C5369" s="34" t="s">
        <v>776</v>
      </c>
      <c r="F5369" t="s">
        <v>776</v>
      </c>
      <c r="H5369">
        <v>5</v>
      </c>
      <c r="I5369">
        <f>VLOOKUP(B5369,BRAND!B:D,3,FALSE)</f>
        <v>3</v>
      </c>
      <c r="J5369">
        <v>5</v>
      </c>
      <c r="K5369" t="s">
        <v>821</v>
      </c>
      <c r="L5369">
        <v>0</v>
      </c>
      <c r="M5369">
        <v>0</v>
      </c>
    </row>
    <row r="5370" spans="1:13">
      <c r="A5370" t="s">
        <v>2910</v>
      </c>
      <c r="B5370" t="s">
        <v>1391</v>
      </c>
      <c r="C5370" s="34" t="s">
        <v>776</v>
      </c>
      <c r="F5370" t="s">
        <v>776</v>
      </c>
      <c r="H5370">
        <v>5</v>
      </c>
      <c r="I5370">
        <f>VLOOKUP(B5370,BRAND!B:D,3,FALSE)</f>
        <v>3</v>
      </c>
      <c r="J5370">
        <v>5</v>
      </c>
      <c r="K5370" t="s">
        <v>821</v>
      </c>
      <c r="L5370">
        <v>0</v>
      </c>
      <c r="M5370">
        <v>0</v>
      </c>
    </row>
    <row r="5371" spans="1:13">
      <c r="A5371" t="s">
        <v>2911</v>
      </c>
      <c r="B5371" t="s">
        <v>1391</v>
      </c>
      <c r="C5371" s="34" t="s">
        <v>775</v>
      </c>
      <c r="F5371" t="s">
        <v>775</v>
      </c>
      <c r="H5371">
        <v>5</v>
      </c>
      <c r="I5371">
        <f>VLOOKUP(B5371,BRAND!B:D,3,FALSE)</f>
        <v>3</v>
      </c>
      <c r="J5371">
        <v>3</v>
      </c>
      <c r="K5371" t="s">
        <v>821</v>
      </c>
      <c r="L5371">
        <v>0</v>
      </c>
      <c r="M5371">
        <v>0</v>
      </c>
    </row>
    <row r="5372" spans="1:13">
      <c r="A5372" t="s">
        <v>2703</v>
      </c>
      <c r="B5372" t="s">
        <v>1391</v>
      </c>
      <c r="C5372" s="34" t="s">
        <v>1438</v>
      </c>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     <v>821</v>
      </c>
      <c r="L5372">
        <v>0</v>
      </c>
      <c r="M5372">
        <v>0</v>
      </c>
    </row>
    <row r="5373" spans="1:13">
      <c r="A5373" t="s">
        <v>3775</v>
      </c>
      <c r="B5373" t="s">
        <v>1076</v>
      </c>
      <c r="C5373" s="34" t="s">
        <v>534</v>
      </c>
      <c r="F5373" t="s">
        <v>534</v>
      </c>
      <c r="H5373">
        <v>5</v>
      </c>
      <c r="I5373">
        <f>VLOOKUP(B5373,BRAND!B:D,3,FALSE)</f>
        <v>3</v>
      </c>
      <c r="J5373">
        <v>6</v>
      </c>
      <c r="K5373" t="s">
        <v>821</v>
      </c>
      <c r="L5373">
        <v>0</v>
      </c>
      <c r="M5373">
        <v>0</v>
      </c>
    </row>
    <row r="5374" spans="1:13">
      <c r="A5374" t="s">
        <v>2367</v>
      </c>
      <c r="B5374" t="s">
        <v>1076</v>
      </c>
      <c r="C5374" s="34" t="s">
        <v>1438</v>
      </c>
      <c r="F5374" t="s">
        <v>1438</v>
      </c>
      <c r="H5374">
        <v>15</v>
      </c>
      <c r="I5374">
        <f>VLOOKUP(B5374,BRAND!B:D,3,FALSE)</f>
        <v>3</v>
      </c>
      <c r="J5374">
        <v>4</v>
      </c>
      <c r="K5374" t="s">
        <v>821</v>
      </c>
      <c r="L5374">
        <v>0</v>
      </c>
      <c r="M5374">
        <v>0</v>
      </c>
    </row>
    <row r="5375" spans="1:13">
      <c r="A5375" t="s">
        <v>8811</v>
      </c>
      <c r="B5375" t="s">
        <v>8812</v>
      </c>
      <c r="C5375" s="34" t="s">
        <v>8813</v>
      </c>
      <c r="F5375" t="s">
        <v>8813</v>
      </c>
      <c r="G5375" t="s">
        <v>6932</v>
      </c>
      <c r="H5375">
        <v>5</v>
      </c>
      <c r="I5375">
        <f>VLOOKUP(B5375,BRAND!B:D,3,FALSE)</f>
        <v>5.5</v>
      </c>
      <c r="J5375">
        <v>9</v>
      </c>
      <c r="M5375">
        <v>1</v>
      </c>
    </row>
    <row r="5376" spans="1:13">
      <c r="A5376" s="4" t="s">
        <v>8814</v>
      </c>
      <c r="B5376" s="4" t="s">
        <v>8812</v>
      </c>
      <c r="C5376" s="37" t="s">
        <v>997</v>
      </c>
      <c r="D5376" s="4"/>
      <c r="E5376" s="4"/>
      <c r="F5376" s="4" t="s">
        <v>997</v>
      </c>
      <c r="G5376" s="4" t="s">
        <v>6932</v>
      </c>
      <c r="H5376" s="4">
        <v>5</v>
      </c>
      <c r="I5376">
        <f>VLOOKUP(B5376,BRAND!B:D,3,FALSE)</f>
        <v>5.5</v>
      </c>
      <c r="J5376">
        <v>7</v>
      </c>
      <c r="M5376">
        <v>1</v>
      </c>
    </row>
    <row r="5377" spans="1:13">
      <c r="A5377" t="s">
        <v>2531</v>
      </c>
      <c r="B5377" t="s">
        <v>498</v>
      </c>
      <c r="C5377" s="34" t="s">
        <v>536</v>
      </c>
      <c r="F5377" t="s">
        <v>536</v>
      </c>
      <c r="H5377">
        <v>5</v>
      </c>
      <c r="I5377">
        <f>VLOOKUP(B5377,BRAND!B:D,3,FALSE)</f>
        <v>3</v>
      </c>
      <c r="J5377">
        <v>5</v>
      </c>
      <c r="K5377" t="s">
        <v>821</v>
      </c>
      <c r="L5377">
        <v>0</v>
      </c>
      <c r="M5377">
        <v>0</v>
      </c>
    </row>
    <row r="5378" spans="1:13">
      <c r="A5378" t="s">
        <v>2430</v>
      </c>
      <c r="B5378" t="s">
        <v>498</v>
      </c>
      <c r="C5378" s="34" t="s">
        <v>913</v>
      </c>
      <c r="F5378" t="s">
        <v>913</v>
      </c>
      <c r="H5378">
        <v>5</v>
      </c>
      <c r="I5378">
        <f>VLOOKUP(B5378,BRAND!B:D,3,FALSE)</f>
        <v>3</v>
      </c>
      <c r="J5378">
        <v>5</v>
      </c>
      <c r="K5378" t="s">
        <v>821</v>
      </c>
      <c r="M5378">
        <v>1</v>
      </c>
    </row>
    <row r="5379" spans="1:13">
      <c r="A5379" t="s">
        <v>2530</v>
      </c>
      <c r="B5379" t="s">
        <v>498</v>
      </c>
      <c r="C5379" s="34" t="s">
        <v>1438</v>
      </c>
      <c r="F5379" t="s">
        <v>1438</v>
      </c>
      <c r="H5379">
        <v>15</v>
      </c>
      <c r="I5379">
        <f>VLOOKUP(B5379,BRAND!B:D,3,FALSE)</f>
        <v>3</v>
      </c>
      <c r="J5379">
        <v>4</v>
      </c>
      <c r="K5379" t="s">
        <v>821</v>
      </c>
      <c r="L5379">
        <v>0</v>
      </c>
      <c r="M5379">
        <v>0</v>
      </c>
    </row>
    <row r="5380" spans="1:13">
      <c r="A5380" t="s">
        <v>12723</v>
      </c>
      <c r="B5380" t="s">
        <v>12041</v>
      </c>
      <c r="C5380" s="34" t="s">
        <v>761</v>
      </c>
      <c r="F5380" t="s">
        <v>12724</v>
      </c>
      <c r="G5380" t="s">
        <v>6932</v>
      </c>
      <c r="H5380">
        <v>4</v>
      </c>
    </row>
    <row r="5381" spans="1:13">
      <c r="A5381" t="s">
        <v>12753</v>
      </c>
      <c r="B5381" t="s">
        <v>12041</v>
      </c>
      <c r="C5381" s="34" t="s">
        <v>12754</v>
      </c>
      <c r="F5381" t="s">
        <v>12755</v>
      </c>
      <c r="G5381" t="s">
        <v>6932</v>
      </c>
      <c r="H5381">
        <v>4</v>
      </c>
    </row>
    <row r="5382" spans="1:13">
      <c r="A5382" t="s">
        <v>12668</v>
      </c>
      <c r="B5382" t="s">
        <v>12041</v>
      </c>
      <c r="C5382" s="34" t="s">
        <v>10145</v>
      </c>
      <c r="F5382" t="s">
        <v>12669</v>
      </c>
      <c r="G5382" t="s">
        <v>6932</v>
      </c>
      <c r="H5382">
        <v>5</v>
      </c>
    </row>
    <row r="5383" spans="1:13">
      <c r="A5383" t="s">
        <v>12670</v>
      </c>
      <c r="B5383" t="s">
        <v>12041</v>
      </c>
      <c r="C5383" s="34" t="s">
        <v>9305</v>
      </c>
      <c r="F5383" t="s">
        <v>12671</v>
      </c>
      <c r="G5383" t="s">
        <v>6932</v>
      </c>
      <c r="H5383">
        <v>5</v>
      </c>
    </row>
    <row r="5384" spans="1:13">
      <c r="A5384" t="s">
        <v>12672</v>
      </c>
      <c r="B5384" t="s">
        <v>12041</v>
      </c>
      <c r="C5384" s="34" t="s">
        <v>12673</v>
      </c>
      <c r="F5384" t="s">
        <v>12674</v>
      </c>
      <c r="G5384" t="s">
        <v>6932</v>
      </c>
      <c r="H5384">
        <v>5</v>
      </c>
    </row>
    <row r="5385" spans="1:13">
      <c r="A5385" t="s">
        <v>12675</v>
      </c>
      <c r="B5385" t="s">
        <v>12041</v>
      </c>
      <c r="C5385" s="34" t="s">
        <v>12676</v>
      </c>
      <c r="F5385" t="s">
        <v>12676</v>
      </c>
      <c r="G5385" t="s">
        <v>6932</v>
      </c>
      <c r="H5385">
        <v>5</v>
      </c>
    </row>
    <row r="5386" spans="1:13">
      <c r="A5386" t="s">
        <v>12677</v>
      </c>
      <c r="B5386" t="s">
        <v>12041</v>
      </c>
      <c r="C5386" s="34" t="s">
        <v>12605</v>
      </c>
      <c r="F5386" t="s">
        <v>12678</v>
      </c>
      <c r="G5386" t="s">
        <v>6932</v>
      </c>
      <c r="H5386">
        <v>5</v>
      </c>
    </row>
    <row r="5387" spans="1:13">
      <c r="A5387" t="s">
        <v>12679</v>
      </c>
      <c r="B5387" t="s">
        <v>12041</v>
      </c>
      <c r="C5387" s="34" t="s">
        <v>371</v>
      </c>
      <c r="F5387" t="s">
        <v>12680</v>
      </c>
      <c r="G5387" t="s">
        <v>6932</v>
      </c>
      <c r="H5387">
        <v>5</v>
      </c>
    </row>
    <row r="5388" spans="1:13">
      <c r="A5388" t="s">
        <v>12681</v>
      </c>
      <c r="B5388" t="s">
        <v>12041</v>
      </c>
      <c r="C5388" s="34" t="s">
        <v>12682</v>
      </c>
      <c r="F5388" t="s">
        <v>12683</v>
      </c>
      <c r="G5388" t="s">
        <v>6932</v>
      </c>
      <c r="H5388">
        <v>5</v>
      </c>
    </row>
    <row r="5389" spans="1:13">
      <c r="A5389" t="s">
        <v>12684</v>
      </c>
      <c r="B5389" t="s">
        <v>12041</v>
      </c>
      <c r="C5389" s="34" t="s">
        <v>12685</v>
      </c>
      <c r="F5389" t="s">
        <v>12686</v>
      </c>
      <c r="G5389" t="s">
        <v>6932</v>
      </c>
      <c r="H5389">
        <v>5</v>
      </c>
    </row>
    <row r="5390" spans="1:13">
      <c r="A5390" t="s">
        <v>12687</v>
      </c>
      <c r="B5390" t="s">
        <v>12041</v>
      </c>
      <c r="C5390" s="34" t="s">
        <v>12688</v>
      </c>
      <c r="F5390" t="s">
        <v>12689</v>
      </c>
      <c r="G5390" t="s">
        <v>6932</v>
      </c>
      <c r="H5390">
        <v>5</v>
      </c>
    </row>
    <row r="5391" spans="1:13">
      <c r="A5391" t="s">
        <v>12690</v>
      </c>
      <c r="B5391" t="s">
        <v>12041</v>
      </c>
      <c r="C5391" s="34" t="s">
        <v>880</v>
      </c>
      <c r="F5391" t="s">
        <v>12691</v>
      </c>
      <c r="G5391" t="s">
        <v>6932</v>
      </c>
      <c r="H5391">
        <v>5</v>
      </c>
    </row>
    <row r="5392" spans="1:13">
      <c r="A5392" t="s">
        <v>12692</v>
      </c>
      <c r="B5392" t="s">
        <v>12041</v>
      </c>
      <c r="C5392" s="34" t="s">
        <v>995</v>
      </c>
      <c r="F5392" t="s">
        <v>12693</v>
      </c>
      <c r="G5392" t="s">
        <v>6932</v>
      </c>
      <c r="H5392">
        <v>5</v>
      </c>
    </row>
    <row r="5393" spans="1:8">
      <c r="A5393" t="s">
        <v>13639</v>
      </c>
      <c r="B5393" t="s">
        <v>12041</v>
      </c>
      <c r="C5393" s="34" t="s">
        <v>12694</v>
      </c>
      <c r="F5393" t="s">
        <v>12695</v>
      </c>
      <c r="G5393" t="s">
        <v>801</v>
      </c>
      <c r="H5393">
        <v>5</v>
      </c>
    </row>
    <row r="5394" spans="1:8">
      <c r="A5394" t="s">
        <v>12696</v>
      </c>
      <c r="B5394" t="s">
        <v>12041</v>
      </c>
      <c r="C5394" s="34" t="s">
        <v>777</v>
      </c>
      <c r="F5394" t="s">
        <v>777</v>
      </c>
      <c r="G5394" t="s">
        <v>6932</v>
      </c>
      <c r="H5394">
        <v>5</v>
      </c>
    </row>
    <row r="5395" spans="1:8">
      <c r="A5395" t="s">
        <v>12697</v>
      </c>
      <c r="B5395" t="s">
        <v>12041</v>
      </c>
      <c r="C5395" s="34" t="s">
        <v>12698</v>
      </c>
      <c r="F5395" t="s">
        <v>12699</v>
      </c>
      <c r="G5395" t="s">
        <v>6932</v>
      </c>
      <c r="H5395">
        <v>5</v>
      </c>
    </row>
    <row r="5396" spans="1:8">
      <c r="A5396" t="s">
        <v>12700</v>
      </c>
      <c r="B5396" t="s">
        <v>12041</v>
      </c>
      <c r="C5396" s="34" t="s">
        <v>12701</v>
      </c>
      <c r="F5396" t="s">
        <v>12702</v>
      </c>
      <c r="G5396" t="s">
        <v>6932</v>
      </c>
      <c r="H5396">
        <v>5</v>
      </c>
    </row>
    <row r="5397" spans="1:8">
      <c r="A5397" t="s">
        <v>12703</v>
      </c>
      <c r="B5397" t="s">
        <v>12041</v>
      </c>
      <c r="C5397" s="34" t="s">
        <v>12704</v>
      </c>
      <c r="F5397" t="s">
        <v>12705</v>
      </c>
      <c r="G5397" t="s">
        <v>6932</v>
      </c>
      <c r="H5397">
        <v>5</v>
      </c>
    </row>
    <row r="5398" spans="1:8">
      <c r="A5398" t="s">
        <v>12706</v>
      </c>
      <c r="B5398" t="s">
        <v>12041</v>
      </c>
      <c r="C5398" s="34" t="s">
        <v>12707</v>
      </c>
      <c r="F5398" t="s">
        <v>12708</v>
      </c>
      <c r="G5398" t="s">
        <v>6932</v>
      </c>
      <c r="H5398">
        <v>5</v>
      </c>
    </row>
    <row r="5399" spans="1:8">
      <c r="A5399" t="s">
        <v>12709</v>
      </c>
      <c r="B5399" t="s">
        <v>12041</v>
      </c>
      <c r="C5399" s="34" t="s">
        <v>819</v>
      </c>
      <c r="F5399" t="s">
        <v>12710</v>
      </c>
      <c r="G5399" t="s">
        <v>6932</v>
      </c>
      <c r="H5399">
        <v>5</v>
      </c>
    </row>
    <row r="5400" spans="1:8">
      <c r="A5400" t="s">
        <v>12711</v>
      </c>
      <c r="B5400" t="s">
        <v>12041</v>
      </c>
      <c r="C5400" s="34" t="s">
        <v>12712</v>
      </c>
      <c r="F5400" t="s">
        <v>12713</v>
      </c>
      <c r="G5400" t="s">
        <v>6932</v>
      </c>
      <c r="H5400">
        <v>5</v>
      </c>
    </row>
    <row r="5401" spans="1:8">
      <c r="A5401" t="s">
        <v>12714</v>
      </c>
      <c r="B5401" t="s">
        <v>12041</v>
      </c>
      <c r="C5401" s="34" t="s">
        <v>12715</v>
      </c>
      <c r="F5401" t="s">
        <v>12716</v>
      </c>
      <c r="G5401" t="s">
        <v>6932</v>
      </c>
      <c r="H5401">
        <v>5</v>
      </c>
    </row>
    <row r="5402" spans="1:8">
      <c r="A5402" t="s">
        <v>12717</v>
      </c>
      <c r="B5402" t="s">
        <v>12041</v>
      </c>
      <c r="C5402" s="34" t="s">
        <v>12718</v>
      </c>
      <c r="F5402" t="s">
        <v>12719</v>
      </c>
      <c r="G5402" t="s">
        <v>6932</v>
      </c>
      <c r="H5402">
        <v>5</v>
      </c>
    </row>
    <row r="5403" spans="1:8">
      <c r="A5403" t="s">
        <v>12720</v>
      </c>
      <c r="B5403" t="s">
        <v>12041</v>
      </c>
      <c r="C5403" s="34" t="s">
        <v>12721</v>
      </c>
      <c r="F5403" t="s">
        <v>12722</v>
      </c>
      <c r="G5403" t="s">
        <v>6932</v>
      </c>
      <c r="H5403">
        <v>5</v>
      </c>
    </row>
    <row r="5404" spans="1:8">
      <c r="A5404" t="s">
        <v>12725</v>
      </c>
      <c r="B5404" t="s">
        <v>12041</v>
      </c>
      <c r="C5404" s="34" t="s">
        <v>12726</v>
      </c>
      <c r="F5404" t="s">
        <v>12726</v>
      </c>
      <c r="G5404" t="s">
        <v>6932</v>
      </c>
      <c r="H5404">
        <v>5</v>
      </c>
    </row>
    <row r="5405" spans="1:8">
      <c r="A5405" t="s">
        <v>13640</v>
      </c>
      <c r="B5405" t="s">
        <v>12041</v>
      </c>
      <c r="C5405" s="34" t="s">
        <v>1965</v>
      </c>
      <c r="F5405" t="s">
        <v>12727</v>
      </c>
      <c r="G5405" t="s">
        <v>801</v>
      </c>
      <c r="H5405">
        <v>5</v>
      </c>
    </row>
    <row r="5406" spans="1:8">
      <c r="A5406" t="s">
        <v>12728</v>
      </c>
      <c r="B5406" t="s">
        <v>12041</v>
      </c>
      <c r="C5406" s="34" t="s">
        <v>12729</v>
      </c>
      <c r="F5406" t="s">
        <v>12730</v>
      </c>
      <c r="G5406" t="s">
        <v>6932</v>
      </c>
      <c r="H5406">
        <v>5</v>
      </c>
    </row>
    <row r="5407" spans="1:8">
      <c r="A5407" t="s">
        <v>12731</v>
      </c>
      <c r="B5407" t="s">
        <v>12041</v>
      </c>
      <c r="C5407" s="34" t="s">
        <v>12732</v>
      </c>
      <c r="F5407" t="s">
        <v>12733</v>
      </c>
      <c r="G5407" t="s">
        <v>6932</v>
      </c>
      <c r="H5407">
        <v>5</v>
      </c>
    </row>
    <row r="5408" spans="1:8">
      <c r="A5408" t="s">
        <v>12734</v>
      </c>
      <c r="B5408" t="s">
        <v>12041</v>
      </c>
      <c r="C5408" s="34" t="s">
        <v>12735</v>
      </c>
      <c r="F5408" t="s">
        <v>12735</v>
      </c>
      <c r="G5408" t="s">
        <v>6932</v>
      </c>
      <c r="H5408">
        <v>5</v>
      </c>
    </row>
    <row r="5409" spans="1:13">
      <c r="A5409" t="s">
        <v>12736</v>
      </c>
      <c r="B5409" t="s">
        <v>12041</v>
      </c>
      <c r="C5409" s="34" t="s">
        <v>769</v>
      </c>
      <c r="F5409" t="s">
        <v>12737</v>
      </c>
      <c r="G5409" t="s">
        <v>6932</v>
      </c>
      <c r="H5409">
        <v>5</v>
      </c>
    </row>
    <row r="5410" spans="1:13">
      <c r="A5410" t="s">
        <v>13642</v>
      </c>
      <c r="B5410" t="s">
        <v>12041</v>
      </c>
      <c r="C5410" s="34" t="s">
        <v>761</v>
      </c>
      <c r="F5410" t="s">
        <v>12738</v>
      </c>
      <c r="G5410" t="s">
        <v>801</v>
      </c>
      <c r="H5410">
        <v>5</v>
      </c>
    </row>
    <row r="5411" spans="1:13">
      <c r="A5411" t="s">
        <v>12739</v>
      </c>
      <c r="B5411" t="s">
        <v>12041</v>
      </c>
      <c r="C5411" s="34" t="s">
        <v>1990</v>
      </c>
      <c r="F5411" t="s">
        <v>12740</v>
      </c>
      <c r="G5411" t="s">
        <v>6932</v>
      </c>
      <c r="H5411">
        <v>5</v>
      </c>
    </row>
    <row r="5412" spans="1:13">
      <c r="A5412" t="s">
        <v>13643</v>
      </c>
      <c r="B5412" t="s">
        <v>12041</v>
      </c>
      <c r="C5412" s="34" t="s">
        <v>788</v>
      </c>
      <c r="F5412" t="s">
        <v>12741</v>
      </c>
      <c r="G5412" t="s">
        <v>801</v>
      </c>
      <c r="H5412">
        <v>5</v>
      </c>
    </row>
    <row r="5413" spans="1:13">
      <c r="A5413" t="s">
        <v>12742</v>
      </c>
      <c r="B5413" t="s">
        <v>12041</v>
      </c>
      <c r="C5413" s="34" t="s">
        <v>12743</v>
      </c>
      <c r="F5413" t="s">
        <v>12743</v>
      </c>
      <c r="G5413" t="s">
        <v>6932</v>
      </c>
      <c r="H5413">
        <v>5</v>
      </c>
    </row>
    <row r="5414" spans="1:13">
      <c r="A5414" t="s">
        <v>12744</v>
      </c>
      <c r="B5414" t="s">
        <v>12041</v>
      </c>
      <c r="C5414" s="34" t="s">
        <v>12745</v>
      </c>
      <c r="F5414" t="s">
        <v>12746</v>
      </c>
      <c r="G5414" t="s">
        <v>6932</v>
      </c>
      <c r="H5414">
        <v>5</v>
      </c>
    </row>
    <row r="5415" spans="1:13">
      <c r="A5415" t="s">
        <v>12747</v>
      </c>
      <c r="B5415" t="s">
        <v>12041</v>
      </c>
      <c r="C5415" s="34" t="s">
        <v>12748</v>
      </c>
      <c r="F5415" t="s">
        <v>12749</v>
      </c>
      <c r="G5415" t="s">
        <v>6932</v>
      </c>
      <c r="H5415">
        <v>5</v>
      </c>
    </row>
    <row r="5416" spans="1:13">
      <c r="A5416" t="s">
        <v>13641</v>
      </c>
      <c r="B5416" t="s">
        <v>12041</v>
      </c>
      <c r="C5416" s="34" t="s">
        <v>891</v>
      </c>
      <c r="F5416" t="s">
        <v>12750</v>
      </c>
      <c r="G5416" t="s">
        <v>6932</v>
      </c>
      <c r="H5416">
        <v>5</v>
      </c>
    </row>
    <row r="5417" spans="1:13">
      <c r="A5417" t="s">
        <v>12751</v>
      </c>
      <c r="B5417" t="s">
        <v>12041</v>
      </c>
      <c r="C5417" s="34" t="s">
        <v>12752</v>
      </c>
      <c r="F5417" t="s">
        <v>12752</v>
      </c>
      <c r="G5417" t="s">
        <v>6932</v>
      </c>
      <c r="H5417">
        <v>5</v>
      </c>
    </row>
    <row r="5418" spans="1:13">
      <c r="A5418" t="s">
        <v>7090</v>
      </c>
      <c r="B5418" t="s">
        <v>6618</v>
      </c>
      <c r="C5418" s="34" t="s">
        <v>1438</v>
      </c>
      <c r="F5418" t="s">
        <v>1438</v>
      </c>
      <c r="H5418">
        <v>5</v>
      </c>
      <c r="I5418">
        <f>VLOOKUP(B5418,BRAND!B:D,3,FALSE)</f>
        <v>5</v>
      </c>
      <c r="J5418">
        <v>4</v>
      </c>
      <c r="M5418">
        <v>1</v>
      </c>
    </row>
    <row r="5419" spans="1:13">
      <c r="A5419" t="s">
        <v>7090</v>
      </c>
      <c r="B5419" t="s">
        <v>6618</v>
      </c>
      <c r="C5419" s="34" t="s">
        <v>1438</v>
      </c>
      <c r="F5419" t="s">
        <v>1438</v>
      </c>
      <c r="H5419">
        <v>5</v>
      </c>
      <c r="I5419">
        <f>VLOOKUP(B5419,BRAND!B:D,3,FALSE)</f>
        <v>5</v>
      </c>
      <c r="J5419">
        <v>4</v>
      </c>
      <c r="M5419">
        <v>1</v>
      </c>
    </row>
    <row r="5420" spans="1:13">
      <c r="A5420" t="s">
        <v>8821</v>
      </c>
      <c r="B5420" t="s">
        <v>8822</v>
      </c>
      <c r="C5420" s="34" t="s">
        <v>1438</v>
      </c>
      <c r="F5420" t="s">
        <v>1438</v>
      </c>
      <c r="G5420" t="s">
        <v>6932</v>
      </c>
      <c r="H5420">
        <v>5</v>
      </c>
      <c r="I5420">
        <f>VLOOKUP(B5420,BRAND!B:D,3,FALSE)</f>
        <v>5.5</v>
      </c>
      <c r="J5420">
        <v>4</v>
      </c>
      <c r="M5420">
        <v>1</v>
      </c>
    </row>
    <row r="5421" spans="1:13">
      <c r="A5421" t="s">
        <v>4796</v>
      </c>
      <c r="B5421" t="s">
        <v>1300</v>
      </c>
      <c r="C5421" s="34" t="s">
        <v>1438</v>
      </c>
      <c r="F5421" t="s">
        <v>1438</v>
      </c>
      <c r="H5421">
        <v>15</v>
      </c>
      <c r="I5421">
        <f>VLOOKUP(B5421,BRAND!B:D,3,FALSE)</f>
        <v>3</v>
      </c>
      <c r="J5421">
        <v>4</v>
      </c>
      <c r="K5421" t="s">
        <v>821</v>
      </c>
      <c r="L5421">
        <v>0</v>
      </c>
      <c r="M5421">
        <v>0</v>
      </c>
    </row>
    <row r="5422" spans="1:13">
      <c r="A5422" t="s">
        <v>8824</v>
      </c>
      <c r="B5422" t="s">
        <v>427</v>
      </c>
      <c r="C5422" s="34" t="s">
        <v>1438</v>
      </c>
      <c r="F5422" t="s">
        <v>1438</v>
      </c>
      <c r="G5422" t="s">
        <v>6932</v>
      </c>
      <c r="H5422">
        <v>5</v>
      </c>
      <c r="I5422">
        <f>VLOOKUP(B5422,BRAND!B:D,3,FALSE)</f>
        <v>3</v>
      </c>
      <c r="J5422">
        <v>4</v>
      </c>
      <c r="L5422">
        <v>0</v>
      </c>
      <c r="M5422">
        <v>0</v>
      </c>
    </row>
    <row r="5423" spans="1:13">
      <c r="A5423" t="s">
        <v>3233</v>
      </c>
      <c r="B5423" t="s">
        <v>427</v>
      </c>
      <c r="C5423" s="34" t="s">
        <v>778</v>
      </c>
      <c r="F5423" t="s">
        <v>778</v>
      </c>
      <c r="H5423">
        <v>5</v>
      </c>
      <c r="I5423">
        <f>VLOOKUP(B5423,BRAND!B:D,3,FALSE)</f>
        <v>3</v>
      </c>
      <c r="J5423">
        <v>4</v>
      </c>
      <c r="K5423" t="s">
        <v>821</v>
      </c>
      <c r="M5423">
        <v>1</v>
      </c>
    </row>
    <row r="5424" spans="1:13">
      <c r="A5424" t="s">
        <v>2718</v>
      </c>
      <c r="B5424" t="s">
        <v>427</v>
      </c>
      <c r="C5424" s="34" t="s">
        <v>1438</v>
      </c>
      <c r="F5424" t="s">
        <v>1438</v>
      </c>
      <c r="H5424">
        <v>15</v>
      </c>
      <c r="I5424">
        <f>VLOOKUP(B5424,BRAND!B:D,3,FALSE)</f>
        <v>3</v>
      </c>
      <c r="J5424">
        <v>4</v>
      </c>
      <c r="K5424" t="s">
        <v>821</v>
      </c>
      <c r="M5424">
        <v>1</v>
      </c>
    </row>
    <row r="5425" spans="1:13">
      <c r="A5425" t="s">
        <v>8825</v>
      </c>
      <c r="B5425" t="s">
        <v>8826</v>
      </c>
      <c r="C5425" s="34" t="s">
        <v>1438</v>
      </c>
      <c r="F5425" t="s">
        <v>1438</v>
      </c>
      <c r="G5425" t="s">
        <v>6932</v>
      </c>
      <c r="H5425">
        <v>5</v>
      </c>
      <c r="I5425">
        <f>VLOOKUP(B5425,BRAND!B:D,3,FALSE)</f>
        <v>5.5</v>
      </c>
      <c r="J5425">
        <v>4</v>
      </c>
      <c r="L5425">
        <v>0</v>
      </c>
      <c r="M5425">
        <v>0</v>
      </c>
    </row>
    <row r="5426" spans="1:13">
      <c r="A5426" t="s">
        <v>8827</v>
      </c>
      <c r="B5426" t="s">
        <v>8828</v>
      </c>
      <c r="C5426" s="34" t="s">
        <v>1438</v>
      </c>
      <c r="F5426" t="s">
        <v>1438</v>
      </c>
      <c r="G5426" t="s">
        <v>6932</v>
      </c>
      <c r="H5426">
        <v>5</v>
      </c>
      <c r="I5426">
        <f>VLOOKUP(B5426,BRAND!B:D,3,FALSE)</f>
        <v>5.5</v>
      </c>
      <c r="J5426">
        <v>4</v>
      </c>
      <c r="M5426">
        <v>1</v>
      </c>
    </row>
    <row r="5427" spans="1:13">
      <c r="A5427" t="s">
        <v>8829</v>
      </c>
      <c r="B5427" t="s">
        <v>8830</v>
      </c>
      <c r="C5427" s="34" t="s">
        <v>1438</v>
      </c>
      <c r="F5427" t="s">
        <v>1438</v>
      </c>
      <c r="G5427" t="s">
        <v>6932</v>
      </c>
      <c r="H5427">
        <v>5</v>
      </c>
      <c r="I5427">
        <f>VLOOKUP(B5427,BRAND!B:D,3,FALSE)</f>
        <v>5.5</v>
      </c>
      <c r="J5427">
        <v>4</v>
      </c>
      <c r="L5427">
        <v>0</v>
      </c>
      <c r="M5427">
        <v>0</v>
      </c>
    </row>
    <row r="5428" spans="1:13">
      <c r="A5428" t="s">
        <v>9761</v>
      </c>
      <c r="B5428" t="s">
        <v>8830</v>
      </c>
      <c r="C5428" s="34" t="s">
        <v>948</v>
      </c>
      <c r="G5428" t="s">
        <v>6932</v>
      </c>
      <c r="H5428">
        <v>5</v>
      </c>
      <c r="I5428">
        <f>VLOOKUP(B5428,BRAND!B:D,3,FALSE)</f>
        <v>5.5</v>
      </c>
      <c r="J5428">
        <f>LEN(F5428)</f>
        <v>0</v>
      </c>
      <c r="L5428">
        <v>0</v>
      </c>
      <c r="M5428">
        <v>0</v>
      </c>
    </row>
    <row r="5429" spans="1:13">
      <c r="A5429" t="s">
        <v>9762</v>
      </c>
      <c r="B5429" t="s">
        <v>8830</v>
      </c>
      <c r="C5429" s="34" t="s">
        <v>886</v>
      </c>
      <c r="G5429" t="s">
        <v>6932</v>
      </c>
      <c r="H5429">
        <v>5</v>
      </c>
      <c r="I5429">
        <f>VLOOKUP(B5429,BRAND!B:D,3,FALSE)</f>
        <v>5.5</v>
      </c>
      <c r="J5429">
        <f>LEN(F5429)</f>
        <v>0</v>
      </c>
      <c r="L5429">
        <v>0</v>
      </c>
      <c r="M5429">
        <v>0</v>
      </c>
    </row>
    <row r="5430" spans="1:13">
      <c r="A5430" t="s">
        <v>9762</v>
      </c>
      <c r="B5430" t="s">
        <v>8830</v>
      </c>
      <c r="C5430" s="34" t="s">
        <v>886</v>
      </c>
      <c r="G5430" t="s">
        <v>6932</v>
      </c>
      <c r="H5430">
        <v>5</v>
      </c>
      <c r="I5430">
        <f>VLOOKUP(B5430,BRAND!B:D,3,FALSE)</f>
        <v>5.5</v>
      </c>
      <c r="J5430">
        <v>0</v>
      </c>
      <c r="M5430">
        <v>1</v>
      </c>
    </row>
    <row r="5431" spans="1:13">
      <c r="A5431" t="s">
        <v>9761</v>
      </c>
      <c r="B5431" t="s">
        <v>8830</v>
      </c>
      <c r="C5431" s="34" t="s">
        <v>948</v>
      </c>
      <c r="G5431" t="s">
        <v>6932</v>
      </c>
      <c r="H5431">
        <v>5</v>
      </c>
      <c r="I5431">
        <f>VLOOKUP(B5431,BRAND!B:D,3,FALSE)</f>
        <v>5.5</v>
      </c>
      <c r="J5431">
        <v>0</v>
      </c>
      <c r="M5431">
        <v>1</v>
      </c>
    </row>
    <row r="5432" spans="1:13">
      <c r="A5432" t="s">
        <v>2380</v>
      </c>
      <c r="B5432" t="s">
        <v>1077</v>
      </c>
      <c r="C5432" s="34" t="s">
        <v>1438</v>
      </c>
      <c r="F5432" t="s">
        <v>1438</v>
      </c>
      <c r="H5432">
        <v>15</v>
      </c>
      <c r="I5432">
        <f>VLOOKUP(B5432,BRAND!B:D,3,FALSE)</f>
        <v>3</v>
      </c>
      <c r="J5432">
        <v>4</v>
      </c>
      <c r="K5432" t="s">
        <v>821</v>
      </c>
      <c r="L5432">
        <v>0</v>
      </c>
      <c r="M5432">
        <v>0</v>
      </c>
    </row>
    <row r="5433" spans="1:13">
      <c r="A5433" t="s">
        <v>15020</v>
      </c>
      <c r="B5433" t="s">
        <v>15021</v>
      </c>
      <c r="C5433" s="34" t="s">
        <v>763</v>
      </c>
      <c r="F5433" t="s">
        <v>763</v>
      </c>
      <c r="G5433" t="s">
        <v>6932</v>
      </c>
      <c r="H5433">
        <v>5</v>
      </c>
      <c r="I5433">
        <f>VLOOKUP(B5433,BRAND!B:D,3,FALSE)</f>
        <v>5</v>
      </c>
      <c r="J5433">
        <v>0</v>
      </c>
      <c r="K5433" t="s">
        <v>821</v>
      </c>
      <c r="L5433">
        <v>0</v>
      </c>
      <c r="M5433">
        <v>0</v>
      </c>
    </row>
    <row r="5434" spans="1:13">
      <c r="A5434" t="s">
        <v>4291</v>
      </c>
      <c r="B5434" t="s">
        <v>272</v>
      </c>
      <c r="C5434" s="34" t="s">
        <v>5461</v>
      </c>
      <c r="F5434" t="s">
        <v>887</v>
      </c>
      <c r="H5434">
        <v>5</v>
      </c>
      <c r="I5434">
        <f>VLOOKUP(B5434,BRAND!B:D,3,FALSE)</f>
        <v>3</v>
      </c>
      <c r="J5434">
        <v>9</v>
      </c>
      <c r="K5434" t="s">
        <v>821</v>
      </c>
      <c r="M5434">
        <v>1</v>
      </c>
    </row>
    <row r="5435" spans="1:13">
      <c r="A5435" t="s">
        <v>10830</v>
      </c>
      <c r="B5435" t="s">
        <v>272</v>
      </c>
      <c r="C5435" s="34" t="s">
        <v>5408</v>
      </c>
      <c r="F5435" t="s">
        <v>772</v>
      </c>
      <c r="H5435">
        <v>5</v>
      </c>
      <c r="I5435">
        <f>VLOOKUP(B5435,BRAND!B:D,3,FALSE)</f>
        <v>3</v>
      </c>
      <c r="J5435">
        <v>6</v>
      </c>
      <c r="K5435" t="s">
        <v>821</v>
      </c>
      <c r="L5435">
        <v>0</v>
      </c>
      <c r="M5435">
        <v>0</v>
      </c>
    </row>
    <row r="5436" spans="1:13">
      <c r="A5436" t="s">
        <v>3537</v>
      </c>
      <c r="B5436" t="s">
        <v>272</v>
      </c>
      <c r="C5436" s="34" t="s">
        <v>872</v>
      </c>
      <c r="F5436" t="s">
        <v>872</v>
      </c>
      <c r="H5436">
        <v>5</v>
      </c>
      <c r="I5436">
        <f>VLOOKUP(B5436,BRAND!B:D,3,FALSE)</f>
        <v>3</v>
      </c>
      <c r="J5436">
        <v>5</v>
      </c>
      <c r="K5436" t="s">
        <v>821</v>
      </c>
      <c r="L5436">
        <v>0</v>
      </c>
      <c r="M5436">
        <v>0</v>
      </c>
    </row>
    <row r="5437" spans="1:13">
      <c r="A5437" t="s">
        <v>10296</v>
      </c>
      <c r="B5437" t="s">
        <v>272</v>
      </c>
      <c r="C5437" s="34" t="s">
        <v>10294</v>
      </c>
      <c r="F5437" t="s">
        <v>10294</v>
      </c>
      <c r="H5437">
        <v>5</v>
      </c>
      <c r="I5437">
        <f>VLOOKUP(B5437,BRAND!B:D,3,FALSE)</f>
        <v>3</v>
      </c>
      <c r="J5437">
        <v>5</v>
      </c>
      <c r="K5437" t="s">
        <v>821</v>
      </c>
      <c r="L5437">
        <v>0</v>
      </c>
      <c r="M5437">
        <v>0</v>
      </c>
    </row>
    <row r="5438" spans="1:13">
      <c r="A5438" t="s">
        <v>10297</v>
      </c>
      <c r="B5438" t="s">
        <v>272</v>
      </c>
      <c r="C5438" s="34" t="s">
        <v>10295</v>
      </c>
      <c r="F5438" t="s">
        <v>10295</v>
      </c>
      <c r="H5438">
        <v>5</v>
      </c>
      <c r="I5438">
        <f>VLOOKUP(B5438,BRAND!B:D,3,FALSE)</f>
        <v>3</v>
      </c>
      <c r="J5438">
        <v>5</v>
      </c>
      <c r="K5438" t="s">
        <v>821</v>
      </c>
      <c r="L5438">
        <v>0</v>
      </c>
      <c r="M5438">
        <v>0</v>
      </c>
    </row>
    <row r="5439" spans="1:13">
      <c r="A5439" t="s">
        <v>3939</v>
      </c>
      <c r="B5439" t="s">
        <v>272</v>
      </c>
      <c r="C5439" s="34" t="s">
        <v>881</v>
      </c>
      <c r="F5439" t="s">
        <v>881</v>
      </c>
      <c r="H5439">
        <v>5</v>
      </c>
      <c r="I5439">
        <f>VLOOKUP(B5439,BRAND!B:D,3,FALSE)</f>
        <v>3</v>
      </c>
      <c r="J5439">
        <v>5</v>
      </c>
      <c r="K5439" t="s">
        <v>821</v>
      </c>
      <c r="M5439">
        <v>1</v>
      </c>
    </row>
    <row r="5440" spans="1:13">
      <c r="A5440" t="s">
        <v>7224</v>
      </c>
      <c r="B5440" t="s">
        <v>272</v>
      </c>
      <c r="C5440" s="34" t="s">
        <v>7225</v>
      </c>
      <c r="F5440" t="s">
        <v>781</v>
      </c>
      <c r="H5440">
        <v>5</v>
      </c>
      <c r="I5440">
        <f>VLOOKUP(B5440,BRAND!B:D,3,FALSE)</f>
        <v>3</v>
      </c>
      <c r="L5440">
        <v>0</v>
      </c>
      <c r="M5440">
        <v>0</v>
      </c>
    </row>
    <row r="5441" spans="1:13">
      <c r="A5441" t="str">
        <f>B5441&amp;" | "&amp;F5441&amp;" | "&amp;G5441</f>
        <v xml:space="preserve">LIEFMANS | OUD_BRUIN | </v>
      </c>
      <c r="B5441" t="s">
        <v>272</v>
      </c>
      <c r="C5441" t="s">
        <v>655</v>
      </c>
      <c r="F5441" t="s">
        <v>655</v>
      </c>
      <c r="H5441">
        <v>5</v>
      </c>
    </row>
    <row r="5442" spans="1:13">
      <c r="A5442" t="s">
        <v>5021</v>
      </c>
      <c r="B5442" t="s">
        <v>272</v>
      </c>
      <c r="C5442" s="34" t="s">
        <v>5461</v>
      </c>
      <c r="F5442" t="s">
        <v>887</v>
      </c>
      <c r="G5442" t="s">
        <v>801</v>
      </c>
      <c r="H5442">
        <v>6</v>
      </c>
      <c r="I5442">
        <f>VLOOKUP(B5442,BRAND!B:D,3,FALSE)</f>
        <v>3</v>
      </c>
      <c r="J5442">
        <v>9</v>
      </c>
      <c r="K5442" t="s">
        <v>821</v>
      </c>
      <c r="M5442">
        <v>1</v>
      </c>
    </row>
    <row r="5443" spans="1:13">
      <c r="A5443" t="s">
        <v>5462</v>
      </c>
      <c r="B5443" t="s">
        <v>272</v>
      </c>
      <c r="C5443" s="34" t="s">
        <v>881</v>
      </c>
      <c r="F5443" t="s">
        <v>881</v>
      </c>
      <c r="G5443" t="s">
        <v>801</v>
      </c>
      <c r="H5443">
        <v>6</v>
      </c>
      <c r="I5443">
        <f>VLOOKUP(B5443,BRAND!B:D,3,FALSE)</f>
        <v>3</v>
      </c>
      <c r="J5443">
        <v>5</v>
      </c>
      <c r="K5443" t="s">
        <v>821</v>
      </c>
      <c r="M5443">
        <v>1</v>
      </c>
    </row>
    <row r="5444" spans="1:13">
      <c r="A5444" t="s">
        <v>6504</v>
      </c>
      <c r="B5444" t="s">
        <v>272</v>
      </c>
      <c r="C5444" s="34" t="s">
        <v>781</v>
      </c>
      <c r="F5444" t="s">
        <v>781</v>
      </c>
      <c r="G5444" t="s">
        <v>801</v>
      </c>
      <c r="H5444">
        <v>6</v>
      </c>
      <c r="I5444">
        <f>VLOOKUP(B5444,BRAND!B:D,3,FALSE)</f>
        <v>3</v>
      </c>
      <c r="J5444">
        <v>4</v>
      </c>
      <c r="K5444" t="s">
        <v>821</v>
      </c>
      <c r="M5444">
        <v>1</v>
      </c>
    </row>
    <row r="5445" spans="1:13">
      <c r="A5445" t="s">
        <v>4660</v>
      </c>
      <c r="B5445" t="s">
        <v>687</v>
      </c>
      <c r="C5445" s="34" t="s">
        <v>995</v>
      </c>
      <c r="F5445" t="s">
        <v>995</v>
      </c>
      <c r="H5445">
        <v>5</v>
      </c>
      <c r="I5445">
        <f>VLOOKUP(B5445,BRAND!B:D,3,FALSE)</f>
        <v>3</v>
      </c>
      <c r="J5445">
        <v>6</v>
      </c>
      <c r="K5445" t="s">
        <v>821</v>
      </c>
      <c r="L5445">
        <v>0</v>
      </c>
      <c r="M5445">
        <v>0</v>
      </c>
    </row>
    <row r="5446" spans="1:13">
      <c r="A5446" t="s">
        <v>4416</v>
      </c>
      <c r="B5446" t="s">
        <v>687</v>
      </c>
      <c r="C5446" s="34" t="s">
        <v>1511</v>
      </c>
      <c r="F5446" t="s">
        <v>1511</v>
      </c>
      <c r="H5446">
        <v>5</v>
      </c>
      <c r="I5446">
        <f>VLOOKUP(B5446,BRAND!B:D,3,FALSE)</f>
        <v>3</v>
      </c>
      <c r="J5446">
        <v>6</v>
      </c>
      <c r="K5446" t="s">
        <v>821</v>
      </c>
      <c r="L5446">
        <v>0</v>
      </c>
      <c r="M5446">
        <v>0</v>
      </c>
    </row>
    <row r="5447" spans="1:13">
      <c r="A5447" t="s">
        <v>4605</v>
      </c>
      <c r="B5447" t="s">
        <v>687</v>
      </c>
      <c r="C5447" s="34" t="s">
        <v>764</v>
      </c>
      <c r="F5447" t="s">
        <v>764</v>
      </c>
      <c r="H5447">
        <v>5</v>
      </c>
      <c r="I5447">
        <f>VLOOKUP(B5447,BRAND!B:D,3,FALSE)</f>
        <v>3</v>
      </c>
      <c r="J5447">
        <v>5</v>
      </c>
      <c r="K5447" t="s">
        <v>821</v>
      </c>
      <c r="L5447">
        <v>0</v>
      </c>
      <c r="M5447">
        <v>0</v>
      </c>
    </row>
    <row r="5448" spans="1:13">
      <c r="A5448" t="s">
        <v>4716</v>
      </c>
      <c r="B5448" t="s">
        <v>687</v>
      </c>
      <c r="C5448" s="34" t="s">
        <v>799</v>
      </c>
      <c r="F5448" t="s">
        <v>799</v>
      </c>
      <c r="H5448">
        <v>5</v>
      </c>
      <c r="I5448">
        <f>VLOOKUP(B5448,BRAND!B:D,3,FALSE)</f>
        <v>3</v>
      </c>
      <c r="J5448">
        <v>5</v>
      </c>
      <c r="K5448" t="s">
        <v>821</v>
      </c>
      <c r="L5448">
        <v>0</v>
      </c>
      <c r="M5448">
        <v>0</v>
      </c>
    </row>
    <row r="5449" spans="1:13">
      <c r="A5449" t="s">
        <v>4678</v>
      </c>
      <c r="B5449" t="s">
        <v>687</v>
      </c>
      <c r="C5449" s="34" t="s">
        <v>781</v>
      </c>
      <c r="F5449" t="s">
        <v>781</v>
      </c>
      <c r="H5449">
        <v>5</v>
      </c>
      <c r="I5449">
        <f>VLOOKUP(B5449,BRAND!B:D,3,FALSE)</f>
        <v>3</v>
      </c>
      <c r="J5449">
        <v>4</v>
      </c>
      <c r="K5449" t="s">
        <v>821</v>
      </c>
      <c r="L5449">
        <v>0</v>
      </c>
      <c r="M5449">
        <v>0</v>
      </c>
    </row>
    <row r="5450" spans="1:13">
      <c r="A5450" t="s">
        <v>2744</v>
      </c>
      <c r="B5450" t="s">
        <v>687</v>
      </c>
      <c r="C5450" s="34" t="s">
        <v>1438</v>
      </c>
      <c r="F5450" t="s">
        <v>1438</v>
      </c>
      <c r="H5450">
        <v>15</v>
      </c>
      <c r="I5450">
        <f>VLOOKUP(B5450,BRAND!B:D,3,FALSE)</f>
        <v>3</v>
      </c>
      <c r="J5450">
        <v>4</v>
      </c>
      <c r="K5450" t="s">
        <v>821</v>
      </c>
      <c r="M5450">
        <v>1</v>
      </c>
    </row>
    <row r="5451" spans="1:13">
      <c r="A5451" t="s">
        <v>2989</v>
      </c>
      <c r="B5451" t="s">
        <v>428</v>
      </c>
      <c r="C5451" s="34" t="s">
        <v>536</v>
      </c>
      <c r="F5451" t="s">
        <v>536</v>
      </c>
      <c r="H5451">
        <v>5</v>
      </c>
      <c r="I5451">
        <f>VLOOKUP(B5451,BRAND!B:D,3,FALSE)</f>
        <v>3</v>
      </c>
      <c r="J5451">
        <v>5</v>
      </c>
      <c r="K5451" t="s">
        <v>821</v>
      </c>
      <c r="L5451">
        <v>0</v>
      </c>
      <c r="M5451">
        <v>0</v>
      </c>
    </row>
    <row r="5452" spans="1:13">
      <c r="A5452" t="s">
        <v>9763</v>
      </c>
      <c r="B5452" t="s">
        <v>428</v>
      </c>
      <c r="C5452" s="34" t="s">
        <v>763</v>
      </c>
      <c r="G5452" t="s">
        <v>6932</v>
      </c>
      <c r="H5452">
        <v>5</v>
      </c>
      <c r="I5452">
        <f>VLOOKUP(B5452,BRAND!B:D,3,FALSE)</f>
        <v>3</v>
      </c>
      <c r="J5452">
        <f>LEN(F5452)</f>
        <v>0</v>
      </c>
      <c r="L5452">
        <v>0</v>
      </c>
      <c r="M5452">
        <v>0</v>
      </c>
    </row>
    <row r="5453" spans="1:13">
      <c r="A5453" t="s">
        <v>9764</v>
      </c>
      <c r="B5453" t="s">
        <v>428</v>
      </c>
      <c r="C5453" s="34" t="s">
        <v>842</v>
      </c>
      <c r="G5453" t="s">
        <v>6932</v>
      </c>
      <c r="H5453">
        <v>5</v>
      </c>
      <c r="I5453">
        <f>VLOOKUP(B5453,BRAND!B:D,3,FALSE)</f>
        <v>3</v>
      </c>
      <c r="J5453">
        <f>LEN(F5453)</f>
        <v>0</v>
      </c>
      <c r="L5453">
        <v>0</v>
      </c>
      <c r="M5453">
        <v>0</v>
      </c>
    </row>
    <row r="5454" spans="1:13">
      <c r="A5454" t="s">
        <v>9765</v>
      </c>
      <c r="B5454" t="s">
        <v>428</v>
      </c>
      <c r="C5454" s="34" t="s">
        <v>1438</v>
      </c>
      <c r="G5454" t="s">
        <v>6932</v>
      </c>
      <c r="H5454">
        <v>5</v>
      </c>
      <c r="I5454">
        <f>VLOOKUP(B5454,BRAND!B:D,3,FALSE)</f>
        <v>3</v>
      </c>
      <c r="J5454">
        <f>LEN(F5454)</f>
        <v>0</v>
      </c>
      <c r="L5454">
        <v>0</v>
      </c>
      <c r="M5454">
        <v>0</v>
      </c>
    </row>
    <row r="5455" spans="1:13">
      <c r="A5455" t="s">
        <v>9764</v>
      </c>
      <c r="B5455" t="s">
        <v>428</v>
      </c>
      <c r="C5455" s="34" t="s">
        <v>842</v>
      </c>
      <c r="G5455" t="s">
        <v>6932</v>
      </c>
      <c r="H5455">
        <v>5</v>
      </c>
      <c r="I5455">
        <f>VLOOKUP(B5455,BRAND!B:D,3,FALSE)</f>
        <v>3</v>
      </c>
      <c r="J5455">
        <v>0</v>
      </c>
      <c r="M5455">
        <v>1</v>
      </c>
    </row>
    <row r="5456" spans="1:13">
      <c r="A5456" t="s">
        <v>9765</v>
      </c>
      <c r="B5456" t="s">
        <v>428</v>
      </c>
      <c r="C5456" s="34" t="s">
        <v>1438</v>
      </c>
      <c r="G5456" t="s">
        <v>6932</v>
      </c>
      <c r="H5456">
        <v>5</v>
      </c>
      <c r="I5456">
        <f>VLOOKUP(B5456,BRAND!B:D,3,FALSE)</f>
        <v>3</v>
      </c>
      <c r="J5456">
        <v>0</v>
      </c>
      <c r="M5456">
        <v>1</v>
      </c>
    </row>
    <row r="5457" spans="1:13">
      <c r="A5457" t="s">
        <v>9763</v>
      </c>
      <c r="B5457" t="s">
        <v>428</v>
      </c>
      <c r="C5457" s="34" t="s">
        <v>763</v>
      </c>
      <c r="G5457" t="s">
        <v>6932</v>
      </c>
      <c r="H5457">
        <v>5</v>
      </c>
      <c r="I5457">
        <f>VLOOKUP(B5457,BRAND!B:D,3,FALSE)</f>
        <v>3</v>
      </c>
      <c r="J5457">
        <v>0</v>
      </c>
      <c r="M5457">
        <v>1</v>
      </c>
    </row>
    <row r="5458" spans="1:13">
      <c r="A5458" t="s">
        <v>8831</v>
      </c>
      <c r="B5458" t="s">
        <v>8832</v>
      </c>
      <c r="C5458" s="34" t="s">
        <v>1438</v>
      </c>
      <c r="F5458" t="s">
        <v>1438</v>
      </c>
      <c r="G5458" t="s">
        <v>6932</v>
      </c>
      <c r="H5458">
        <v>5</v>
      </c>
      <c r="I5458">
        <f>VLOOKUP(B5458,BRAND!B:D,3,FALSE)</f>
        <v>5.5</v>
      </c>
      <c r="J5458">
        <v>4</v>
      </c>
      <c r="M5458">
        <v>1</v>
      </c>
    </row>
    <row r="5459" spans="1:13">
      <c r="A5459" t="s">
        <v>2182</v>
      </c>
      <c r="B5459" t="s">
        <v>1056</v>
      </c>
      <c r="C5459" s="34" t="s">
        <v>1438</v>
      </c>
      <c r="F5459" t="s">
        <v>1438</v>
      </c>
      <c r="H5459">
        <v>15</v>
      </c>
      <c r="I5459">
        <f>VLOOKUP(B5459,BRAND!B:D,3,FALSE)</f>
        <v>3</v>
      </c>
      <c r="J5459">
        <v>4</v>
      </c>
      <c r="K5459" t="s">
        <v>821</v>
      </c>
      <c r="L5459">
        <v>0</v>
      </c>
      <c r="M5459">
        <v>0</v>
      </c>
    </row>
    <row r="5460" spans="1:13">
      <c r="A5460" t="s">
        <v>4478</v>
      </c>
      <c r="B5460" t="s">
        <v>1090</v>
      </c>
      <c r="C5460" s="34" t="s">
        <v>994</v>
      </c>
      <c r="F5460" t="s">
        <v>994</v>
      </c>
      <c r="H5460">
        <v>5</v>
      </c>
      <c r="I5460">
        <f>VLOOKUP(B5460,BRAND!B:D,3,FALSE)</f>
        <v>3</v>
      </c>
      <c r="J5460">
        <f>LEN(F5460)</f>
        <v>10</v>
      </c>
      <c r="K5460" t="s">
        <v>821</v>
      </c>
      <c r="L5460">
        <v>0</v>
      </c>
      <c r="M5460">
        <v>0</v>
      </c>
    </row>
    <row r="5461" spans="1:13">
      <c r="A5461" t="s">
        <v>4748</v>
      </c>
      <c r="B5461" t="s">
        <v>1090</v>
      </c>
      <c r="C5461" s="34" t="s">
        <v>798</v>
      </c>
      <c r="F5461" t="s">
        <v>798</v>
      </c>
      <c r="H5461">
        <v>5</v>
      </c>
      <c r="I5461">
        <f>VLOOKUP(B5461,BRAND!B:D,3,FALSE)</f>
        <v>3</v>
      </c>
      <c r="J5461">
        <v>9</v>
      </c>
      <c r="K5461" t="s">
        <v>821</v>
      </c>
      <c r="L5461">
        <v>0</v>
      </c>
      <c r="M5461">
        <v>0</v>
      </c>
    </row>
    <row r="5462" spans="1:13">
      <c r="A5462" t="s">
        <v>4749</v>
      </c>
      <c r="B5462" t="s">
        <v>1090</v>
      </c>
      <c r="C5462" s="34" t="s">
        <v>764</v>
      </c>
      <c r="F5462" t="s">
        <v>764</v>
      </c>
      <c r="H5462">
        <v>5</v>
      </c>
      <c r="I5462">
        <f>VLOOKUP(B5462,BRAND!B:D,3,FALSE)</f>
        <v>3</v>
      </c>
      <c r="J5462">
        <v>5</v>
      </c>
      <c r="K5462" t="s">
        <v>821</v>
      </c>
      <c r="L5462">
        <v>0</v>
      </c>
      <c r="M5462">
        <v>0</v>
      </c>
    </row>
    <row r="5463" spans="1:13">
      <c r="A5463" t="s">
        <v>4747</v>
      </c>
      <c r="B5463" t="s">
        <v>1090</v>
      </c>
      <c r="C5463" s="34" t="s">
        <v>1513</v>
      </c>
      <c r="F5463" t="s">
        <v>1513</v>
      </c>
      <c r="H5463">
        <v>5</v>
      </c>
      <c r="I5463">
        <f>VLOOKUP(B5463,BRAND!B:D,3,FALSE)</f>
        <v>3</v>
      </c>
      <c r="J5463">
        <v>5</v>
      </c>
      <c r="K5463" t="s">
        <v>821</v>
      </c>
      <c r="L5463">
        <v>0</v>
      </c>
      <c r="M5463">
        <v>0</v>
      </c>
    </row>
    <row r="5464" spans="1:13">
      <c r="A5464" t="s">
        <v>3906</v>
      </c>
      <c r="B5464" t="s">
        <v>1090</v>
      </c>
      <c r="C5464" s="34" t="s">
        <v>881</v>
      </c>
      <c r="F5464" t="s">
        <v>881</v>
      </c>
      <c r="H5464">
        <v>5</v>
      </c>
      <c r="I5464">
        <f>VLOOKUP(B5464,BRAND!B:D,3,FALSE)</f>
        <v>3</v>
      </c>
      <c r="J5464">
        <v>5</v>
      </c>
      <c r="K5464" t="s">
        <v>821</v>
      </c>
      <c r="L5464">
        <v>0</v>
      </c>
      <c r="M5464">
        <v>0</v>
      </c>
    </row>
    <row r="5465" spans="1:13">
      <c r="A5465" t="s">
        <v>4093</v>
      </c>
      <c r="B5465" t="s">
        <v>1090</v>
      </c>
      <c r="C5465" s="34" t="s">
        <v>776</v>
      </c>
      <c r="F5465" t="s">
        <v>776</v>
      </c>
      <c r="H5465">
        <v>5</v>
      </c>
      <c r="I5465">
        <f>VLOOKUP(B5465,BRAND!B:D,3,FALSE)</f>
        <v>3</v>
      </c>
      <c r="J5465">
        <v>5</v>
      </c>
      <c r="K5465" t="s">
        <v>821</v>
      </c>
      <c r="L5465">
        <v>0</v>
      </c>
      <c r="M5465">
        <v>0</v>
      </c>
    </row>
    <row r="5466" spans="1:13">
      <c r="A5466" t="s">
        <v>2236</v>
      </c>
      <c r="B5466" t="s">
        <v>1090</v>
      </c>
      <c r="C5466" s="34" t="s">
        <v>1438</v>
      </c>
      <c r="F5466" t="s">
        <v>1438</v>
      </c>
      <c r="H5466">
        <v>15</v>
      </c>
      <c r="I5466">
        <f>VLOOKUP(B5466,BRAND!B:D,3,FALSE)</f>
        <v>3</v>
      </c>
      <c r="J5466">
        <v>4</v>
      </c>
      <c r="K5466" t="s">
        <v>821</v>
      </c>
      <c r="L5466">
        <v>0</v>
      </c>
      <c r="M5466">
        <v>0</v>
      </c>
    </row>
    <row r="5467" spans="1:13">
      <c r="A5467" t="s">
        <v>12778</v>
      </c>
      <c r="B5467" t="s">
        <v>12043</v>
      </c>
      <c r="C5467" s="34" t="s">
        <v>12779</v>
      </c>
      <c r="F5467" t="s">
        <v>12780</v>
      </c>
      <c r="G5467" t="s">
        <v>6932</v>
      </c>
      <c r="H5467">
        <v>4</v>
      </c>
    </row>
    <row r="5468" spans="1:13">
      <c r="A5468" t="s">
        <v>12781</v>
      </c>
      <c r="B5468" t="s">
        <v>12043</v>
      </c>
      <c r="C5468" s="34" t="s">
        <v>12782</v>
      </c>
      <c r="F5468" t="s">
        <v>12783</v>
      </c>
      <c r="G5468" t="s">
        <v>6932</v>
      </c>
      <c r="H5468">
        <v>4</v>
      </c>
    </row>
    <row r="5469" spans="1:13">
      <c r="A5469" t="s">
        <v>12757</v>
      </c>
      <c r="B5469" t="s">
        <v>12043</v>
      </c>
      <c r="C5469" s="34" t="s">
        <v>777</v>
      </c>
      <c r="F5469" t="s">
        <v>777</v>
      </c>
      <c r="G5469" t="s">
        <v>6932</v>
      </c>
      <c r="H5469">
        <v>5</v>
      </c>
    </row>
    <row r="5470" spans="1:13">
      <c r="A5470" t="s">
        <v>12764</v>
      </c>
      <c r="B5470" t="s">
        <v>12043</v>
      </c>
      <c r="C5470" s="34" t="s">
        <v>535</v>
      </c>
      <c r="F5470" t="s">
        <v>535</v>
      </c>
      <c r="G5470" t="s">
        <v>6932</v>
      </c>
      <c r="H5470">
        <v>5</v>
      </c>
    </row>
    <row r="5471" spans="1:13">
      <c r="A5471" t="s">
        <v>12768</v>
      </c>
      <c r="B5471" t="s">
        <v>12043</v>
      </c>
      <c r="C5471" s="34" t="s">
        <v>746</v>
      </c>
      <c r="F5471" t="s">
        <v>746</v>
      </c>
      <c r="G5471" t="s">
        <v>6932</v>
      </c>
      <c r="H5471">
        <v>5</v>
      </c>
    </row>
    <row r="5472" spans="1:13">
      <c r="A5472" t="s">
        <v>12769</v>
      </c>
      <c r="B5472" t="s">
        <v>12043</v>
      </c>
      <c r="C5472" s="34" t="s">
        <v>1513</v>
      </c>
      <c r="F5472" t="s">
        <v>1513</v>
      </c>
      <c r="G5472" t="s">
        <v>6932</v>
      </c>
      <c r="H5472">
        <v>5</v>
      </c>
    </row>
    <row r="5473" spans="1:13">
      <c r="A5473" t="s">
        <v>12771</v>
      </c>
      <c r="B5473" t="s">
        <v>12043</v>
      </c>
      <c r="C5473" s="34" t="s">
        <v>761</v>
      </c>
      <c r="F5473" t="s">
        <v>761</v>
      </c>
      <c r="G5473" t="s">
        <v>6932</v>
      </c>
      <c r="H5473">
        <v>5</v>
      </c>
    </row>
    <row r="5474" spans="1:13">
      <c r="A5474" t="s">
        <v>12772</v>
      </c>
      <c r="B5474" t="s">
        <v>12043</v>
      </c>
      <c r="C5474" s="34" t="s">
        <v>12773</v>
      </c>
      <c r="F5474" t="s">
        <v>12773</v>
      </c>
      <c r="G5474" t="s">
        <v>6932</v>
      </c>
      <c r="H5474">
        <v>5</v>
      </c>
    </row>
    <row r="5475" spans="1:13">
      <c r="A5475" t="s">
        <v>12774</v>
      </c>
      <c r="B5475" t="s">
        <v>12043</v>
      </c>
      <c r="C5475" s="34" t="s">
        <v>10164</v>
      </c>
      <c r="F5475" t="s">
        <v>10164</v>
      </c>
      <c r="G5475" t="s">
        <v>6932</v>
      </c>
      <c r="H5475">
        <v>5</v>
      </c>
    </row>
    <row r="5476" spans="1:13">
      <c r="A5476" t="s">
        <v>13644</v>
      </c>
      <c r="B5476" t="s">
        <v>12043</v>
      </c>
      <c r="C5476" s="34" t="s">
        <v>746</v>
      </c>
      <c r="F5476" t="s">
        <v>746</v>
      </c>
      <c r="G5476" t="s">
        <v>801</v>
      </c>
      <c r="H5476">
        <v>5</v>
      </c>
    </row>
    <row r="5477" spans="1:13">
      <c r="A5477" t="s">
        <v>13645</v>
      </c>
      <c r="B5477" t="s">
        <v>12043</v>
      </c>
      <c r="C5477" s="34" t="s">
        <v>1513</v>
      </c>
      <c r="F5477" t="s">
        <v>1513</v>
      </c>
      <c r="G5477" t="s">
        <v>801</v>
      </c>
      <c r="H5477">
        <v>5</v>
      </c>
    </row>
    <row r="5478" spans="1:13">
      <c r="A5478" t="s">
        <v>12776</v>
      </c>
      <c r="B5478" t="s">
        <v>12043</v>
      </c>
      <c r="C5478" s="34" t="s">
        <v>778</v>
      </c>
      <c r="F5478" t="s">
        <v>778</v>
      </c>
      <c r="G5478" t="s">
        <v>6932</v>
      </c>
      <c r="H5478">
        <v>5</v>
      </c>
    </row>
    <row r="5479" spans="1:13">
      <c r="A5479" t="s">
        <v>13646</v>
      </c>
      <c r="B5479" t="s">
        <v>12043</v>
      </c>
      <c r="C5479" s="34" t="s">
        <v>777</v>
      </c>
      <c r="F5479" t="s">
        <v>777</v>
      </c>
      <c r="G5479" t="s">
        <v>801</v>
      </c>
      <c r="H5479">
        <v>5</v>
      </c>
    </row>
    <row r="5480" spans="1:13">
      <c r="A5480" t="s">
        <v>12784</v>
      </c>
      <c r="B5480" t="s">
        <v>12043</v>
      </c>
      <c r="C5480" s="34" t="s">
        <v>12785</v>
      </c>
      <c r="F5480" t="s">
        <v>12785</v>
      </c>
      <c r="G5480" t="s">
        <v>6932</v>
      </c>
      <c r="H5480">
        <v>5</v>
      </c>
    </row>
    <row r="5481" spans="1:13">
      <c r="A5481" t="s">
        <v>12786</v>
      </c>
      <c r="B5481" t="s">
        <v>12043</v>
      </c>
      <c r="C5481" s="34" t="s">
        <v>12787</v>
      </c>
      <c r="F5481" t="s">
        <v>12788</v>
      </c>
      <c r="G5481" t="s">
        <v>6932</v>
      </c>
      <c r="H5481">
        <v>5</v>
      </c>
    </row>
    <row r="5482" spans="1:13">
      <c r="A5482" t="s">
        <v>5277</v>
      </c>
      <c r="B5482" t="s">
        <v>273</v>
      </c>
      <c r="C5482" s="34" t="s">
        <v>862</v>
      </c>
      <c r="F5482" t="s">
        <v>862</v>
      </c>
      <c r="H5482">
        <v>3</v>
      </c>
      <c r="I5482">
        <f>VLOOKUP(B5482,BRAND!B:D,3,FALSE)</f>
        <v>3</v>
      </c>
      <c r="J5482">
        <f>LEN(F5482)</f>
        <v>10</v>
      </c>
      <c r="K5482" t="s">
        <v>821</v>
      </c>
      <c r="L5482">
        <v>0</v>
      </c>
      <c r="M5482">
        <v>0</v>
      </c>
    </row>
    <row r="5483" spans="1:13">
      <c r="A5483" t="s">
        <v>5278</v>
      </c>
      <c r="B5483" t="s">
        <v>273</v>
      </c>
      <c r="C5483" s="34" t="s">
        <v>861</v>
      </c>
      <c r="F5483" t="s">
        <v>861</v>
      </c>
      <c r="H5483">
        <v>4</v>
      </c>
      <c r="I5483">
        <f>VLOOKUP(B5483,BRAND!B:D,3,FALSE)</f>
        <v>3</v>
      </c>
      <c r="J5483">
        <f>LEN(F5483)</f>
        <v>11</v>
      </c>
      <c r="K5483" t="s">
        <v>821</v>
      </c>
      <c r="L5483">
        <v>0</v>
      </c>
      <c r="M5483">
        <v>0</v>
      </c>
    </row>
    <row r="5484" spans="1:13">
      <c r="A5484" t="s">
        <v>3994</v>
      </c>
      <c r="B5484" t="s">
        <v>273</v>
      </c>
      <c r="C5484" s="34" t="s">
        <v>798</v>
      </c>
      <c r="F5484" t="s">
        <v>798</v>
      </c>
      <c r="H5484">
        <v>4</v>
      </c>
      <c r="I5484">
        <f>VLOOKUP(B5484,BRAND!B:D,3,FALSE)</f>
        <v>3</v>
      </c>
      <c r="J5484">
        <v>9</v>
      </c>
      <c r="K5484" t="s">
        <v>821</v>
      </c>
      <c r="L5484">
        <v>0</v>
      </c>
      <c r="M5484">
        <v>0</v>
      </c>
    </row>
    <row r="5485" spans="1:13">
      <c r="A5485" t="s">
        <v>7137</v>
      </c>
      <c r="B5485" t="s">
        <v>273</v>
      </c>
      <c r="C5485" s="34" t="s">
        <v>873</v>
      </c>
      <c r="F5485" t="s">
        <v>873</v>
      </c>
      <c r="H5485">
        <v>5</v>
      </c>
      <c r="I5485">
        <f>VLOOKUP(B5485,BRAND!B:D,3,FALSE)</f>
        <v>3</v>
      </c>
      <c r="J5485">
        <f>LEN(F5485)</f>
        <v>11</v>
      </c>
      <c r="K5485" t="s">
        <v>821</v>
      </c>
      <c r="L5485">
        <v>0</v>
      </c>
      <c r="M5485">
        <v>0</v>
      </c>
    </row>
    <row r="5486" spans="1:13">
      <c r="A5486" t="s">
        <v>10842</v>
      </c>
      <c r="B5486" t="s">
        <v>273</v>
      </c>
      <c r="C5486" s="34" t="s">
        <v>10712</v>
      </c>
      <c r="F5486" t="s">
        <v>5262</v>
      </c>
      <c r="H5486">
        <v>5</v>
      </c>
      <c r="I5486">
        <f>VLOOKUP(B5486,BRAND!B:D,3,FALSE)</f>
        <v>3</v>
      </c>
      <c r="J5486">
        <f>LEN(F5486)</f>
        <v>11</v>
      </c>
      <c r="K5486" t="s">
        <v>821</v>
      </c>
      <c r="L5486">
        <v>0</v>
      </c>
      <c r="M5486">
        <v>0</v>
      </c>
    </row>
    <row r="5487" spans="1:13">
      <c r="A5487" t="s">
        <v>5263</v>
      </c>
      <c r="B5487" t="s">
        <v>273</v>
      </c>
      <c r="C5487" s="34" t="s">
        <v>888</v>
      </c>
      <c r="F5487" t="s">
        <v>888</v>
      </c>
      <c r="H5487">
        <v>5</v>
      </c>
      <c r="I5487">
        <f>VLOOKUP(B5487,BRAND!B:D,3,FALSE)</f>
        <v>3</v>
      </c>
      <c r="J5487">
        <f>LEN(F5487)</f>
        <v>10</v>
      </c>
      <c r="K5487" t="s">
        <v>821</v>
      </c>
      <c r="L5487">
        <v>0</v>
      </c>
      <c r="M5487">
        <v>0</v>
      </c>
    </row>
    <row r="5488" spans="1:13">
      <c r="A5488" t="s">
        <v>3953</v>
      </c>
      <c r="B5488" t="s">
        <v>273</v>
      </c>
      <c r="C5488" s="34" t="s">
        <v>5410</v>
      </c>
      <c r="F5488" t="s">
        <v>746</v>
      </c>
      <c r="H5488">
        <v>5</v>
      </c>
      <c r="I5488">
        <f>VLOOKUP(B5488,BRAND!B:D,3,FALSE)</f>
        <v>3</v>
      </c>
      <c r="J5488">
        <v>6</v>
      </c>
      <c r="K5488" t="s">
        <v>821</v>
      </c>
      <c r="M5488">
        <v>1</v>
      </c>
    </row>
    <row r="5489" spans="1:13">
      <c r="A5489" t="s">
        <v>3979</v>
      </c>
      <c r="B5489" t="s">
        <v>273</v>
      </c>
      <c r="C5489" s="34" t="s">
        <v>780</v>
      </c>
      <c r="F5489" t="s">
        <v>780</v>
      </c>
      <c r="H5489">
        <v>5</v>
      </c>
      <c r="I5489">
        <f>VLOOKUP(B5489,BRAND!B:D,3,FALSE)</f>
        <v>3</v>
      </c>
      <c r="J5489">
        <v>6</v>
      </c>
      <c r="K5489" t="s">
        <v>821</v>
      </c>
      <c r="M5489">
        <v>1</v>
      </c>
    </row>
    <row r="5490" spans="1:13">
      <c r="A5490" t="s">
        <v>5279</v>
      </c>
      <c r="B5490" t="s">
        <v>273</v>
      </c>
      <c r="C5490" s="34" t="s">
        <v>872</v>
      </c>
      <c r="F5490" t="s">
        <v>872</v>
      </c>
      <c r="H5490">
        <v>5</v>
      </c>
      <c r="I5490">
        <f>VLOOKUP(B5490,BRAND!B:D,3,FALSE)</f>
        <v>3</v>
      </c>
      <c r="J5490">
        <v>5</v>
      </c>
      <c r="K5490" t="s">
        <v>821</v>
      </c>
      <c r="L5490">
        <v>0</v>
      </c>
      <c r="M5490">
        <v>0</v>
      </c>
    </row>
    <row r="5491" spans="1:13">
      <c r="A5491" t="s">
        <v>4056</v>
      </c>
      <c r="B5491" t="s">
        <v>273</v>
      </c>
      <c r="C5491" s="34" t="s">
        <v>764</v>
      </c>
      <c r="F5491" t="s">
        <v>764</v>
      </c>
      <c r="H5491">
        <v>5</v>
      </c>
      <c r="I5491">
        <f>VLOOKUP(B5491,BRAND!B:D,3,FALSE)</f>
        <v>3</v>
      </c>
      <c r="J5491">
        <v>5</v>
      </c>
      <c r="K5491" t="s">
        <v>821</v>
      </c>
      <c r="M5491">
        <v>1</v>
      </c>
    </row>
    <row r="5492" spans="1:13">
      <c r="A5492" t="s">
        <v>3995</v>
      </c>
      <c r="B5492" t="s">
        <v>273</v>
      </c>
      <c r="C5492" s="34" t="s">
        <v>881</v>
      </c>
      <c r="F5492" t="s">
        <v>881</v>
      </c>
      <c r="H5492">
        <v>5</v>
      </c>
      <c r="I5492">
        <f>VLOOKUP(B5492,BRAND!B:D,3,FALSE)</f>
        <v>3</v>
      </c>
      <c r="J5492">
        <v>5</v>
      </c>
      <c r="K5492" t="s">
        <v>821</v>
      </c>
      <c r="M5492">
        <v>1</v>
      </c>
    </row>
    <row r="5493" spans="1:13">
      <c r="A5493" t="s">
        <v>1017</v>
      </c>
      <c r="B5493" t="s">
        <v>273</v>
      </c>
      <c r="C5493" s="34" t="s">
        <v>873</v>
      </c>
      <c r="H5493">
        <v>5</v>
      </c>
      <c r="I5493">
        <f>VLOOKUP(B5493,BRAND!B:D,3,FALSE)</f>
        <v>3</v>
      </c>
      <c r="J5493">
        <f>LEN(F5493)</f>
        <v>0</v>
      </c>
      <c r="L5493">
        <v>0</v>
      </c>
      <c r="M5493">
        <v>0</v>
      </c>
    </row>
    <row r="5494" spans="1:13">
      <c r="A5494" t="s">
        <v>9766</v>
      </c>
      <c r="B5494" t="s">
        <v>273</v>
      </c>
      <c r="C5494" s="34" t="s">
        <v>10026</v>
      </c>
      <c r="H5494">
        <v>5</v>
      </c>
      <c r="I5494">
        <f>VLOOKUP(B5494,BRAND!B:D,3,FALSE)</f>
        <v>3</v>
      </c>
      <c r="J5494">
        <f>LEN(F5494)</f>
        <v>0</v>
      </c>
      <c r="L5494">
        <v>0</v>
      </c>
      <c r="M5494">
        <v>0</v>
      </c>
    </row>
    <row r="5495" spans="1:13">
      <c r="A5495" t="s">
        <v>9767</v>
      </c>
      <c r="B5495" t="s">
        <v>273</v>
      </c>
      <c r="C5495" s="34" t="s">
        <v>898</v>
      </c>
      <c r="H5495">
        <v>5</v>
      </c>
      <c r="I5495">
        <f>VLOOKUP(B5495,BRAND!B:D,3,FALSE)</f>
        <v>3</v>
      </c>
      <c r="J5495">
        <f>LEN(F5495)</f>
        <v>0</v>
      </c>
      <c r="L5495">
        <v>0</v>
      </c>
      <c r="M5495">
        <v>0</v>
      </c>
    </row>
    <row r="5496" spans="1:13">
      <c r="A5496" t="s">
        <v>9768</v>
      </c>
      <c r="B5496" t="s">
        <v>273</v>
      </c>
      <c r="C5496" s="34" t="s">
        <v>994</v>
      </c>
      <c r="G5496" t="s">
        <v>6932</v>
      </c>
      <c r="H5496">
        <v>5</v>
      </c>
      <c r="I5496">
        <f>VLOOKUP(B5496,BRAND!B:D,3,FALSE)</f>
        <v>3</v>
      </c>
      <c r="J5496">
        <f>LEN(F5496)</f>
        <v>0</v>
      </c>
      <c r="L5496">
        <v>0</v>
      </c>
      <c r="M5496">
        <v>0</v>
      </c>
    </row>
    <row r="5497" spans="1:13">
      <c r="A5497" t="s">
        <v>9768</v>
      </c>
      <c r="B5497" t="s">
        <v>273</v>
      </c>
      <c r="C5497" s="34" t="s">
        <v>994</v>
      </c>
      <c r="G5497" t="s">
        <v>6932</v>
      </c>
      <c r="H5497">
        <v>5</v>
      </c>
      <c r="I5497">
        <f>VLOOKUP(B5497,BRAND!B:D,3,FALSE)</f>
        <v>3</v>
      </c>
      <c r="J5497">
        <v>0</v>
      </c>
      <c r="M5497">
        <v>1</v>
      </c>
    </row>
    <row r="5498" spans="1:13">
      <c r="A5498" t="s">
        <v>1017</v>
      </c>
      <c r="B5498" t="s">
        <v>273</v>
      </c>
      <c r="C5498" s="34" t="s">
        <v>873</v>
      </c>
      <c r="H5498">
        <v>5</v>
      </c>
      <c r="I5498">
        <f>VLOOKUP(B5498,BRAND!B:D,3,FALSE)</f>
        <v>3</v>
      </c>
      <c r="J5498">
        <v>0</v>
      </c>
      <c r="M5498">
        <v>1</v>
      </c>
    </row>
    <row r="5499" spans="1:13">
      <c r="A5499" t="s">
        <v>9766</v>
      </c>
      <c r="B5499" t="s">
        <v>273</v>
      </c>
      <c r="C5499" s="34" t="s">
        <v>10026</v>
      </c>
      <c r="H5499">
        <v>5</v>
      </c>
      <c r="I5499">
        <f>VLOOKUP(B5499,BRAND!B:D,3,FALSE)</f>
        <v>3</v>
      </c>
      <c r="J5499">
        <v>0</v>
      </c>
      <c r="M5499">
        <v>1</v>
      </c>
    </row>
    <row r="5500" spans="1:13">
      <c r="A5500" t="s">
        <v>9767</v>
      </c>
      <c r="B5500" t="s">
        <v>273</v>
      </c>
      <c r="C5500" s="34" t="s">
        <v>898</v>
      </c>
      <c r="H5500">
        <v>5</v>
      </c>
      <c r="I5500">
        <f>VLOOKUP(B5500,BRAND!B:D,3,FALSE)</f>
        <v>3</v>
      </c>
      <c r="J5500">
        <v>0</v>
      </c>
      <c r="M5500">
        <v>1</v>
      </c>
    </row>
    <row r="5501" spans="1:13">
      <c r="A5501" t="s">
        <v>7184</v>
      </c>
      <c r="B5501" t="s">
        <v>273</v>
      </c>
      <c r="C5501" s="34" t="s">
        <v>1438</v>
      </c>
      <c r="F5501" t="s">
        <v>1438</v>
      </c>
      <c r="H5501">
        <v>5</v>
      </c>
      <c r="I5501">
        <f>VLOOKUP(B5501,BRAND!B:D,3,FALSE)</f>
        <v>3</v>
      </c>
      <c r="L5501">
        <v>0</v>
      </c>
      <c r="M5501">
        <v>0</v>
      </c>
    </row>
    <row r="5502" spans="1:13">
      <c r="A5502" t="s">
        <v>7185</v>
      </c>
      <c r="B5502" t="s">
        <v>273</v>
      </c>
      <c r="C5502" s="34" t="s">
        <v>755</v>
      </c>
      <c r="F5502" t="s">
        <v>755</v>
      </c>
      <c r="H5502">
        <v>5</v>
      </c>
      <c r="I5502">
        <f>VLOOKUP(B5502,BRAND!B:D,3,FALSE)</f>
        <v>3</v>
      </c>
      <c r="L5502">
        <v>0</v>
      </c>
      <c r="M5502">
        <v>0</v>
      </c>
    </row>
    <row r="5503" spans="1:13">
      <c r="A5503" t="str">
        <f>B5503&amp;" | "&amp;F5503&amp;" | "&amp;G5503</f>
        <v xml:space="preserve">LINDEMANS | RASPBERRY | </v>
      </c>
      <c r="B5503" t="s">
        <v>273</v>
      </c>
      <c r="C5503" t="s">
        <v>798</v>
      </c>
      <c r="F5503" t="s">
        <v>798</v>
      </c>
      <c r="H5503">
        <v>5</v>
      </c>
    </row>
    <row r="5504" spans="1:13">
      <c r="A5504" t="str">
        <f>B5504&amp;" | "&amp;F5504&amp;" | "&amp;G5504</f>
        <v xml:space="preserve">LINDEMANS | CUVEE_RENE | </v>
      </c>
      <c r="B5504" t="s">
        <v>273</v>
      </c>
      <c r="C5504" t="s">
        <v>10866</v>
      </c>
      <c r="F5504" t="s">
        <v>10866</v>
      </c>
      <c r="H5504">
        <v>5</v>
      </c>
    </row>
    <row r="5505" spans="1:13">
      <c r="A5505" t="str">
        <f>B5505&amp;" | "&amp;F5505&amp;" | "&amp;G5505</f>
        <v xml:space="preserve">LINDEMANS | TAROT_NOIR | </v>
      </c>
      <c r="B5505" t="s">
        <v>273</v>
      </c>
      <c r="C5505" t="s">
        <v>10872</v>
      </c>
      <c r="F5505" t="s">
        <v>10872</v>
      </c>
      <c r="H5505">
        <v>5</v>
      </c>
    </row>
    <row r="5506" spans="1:13">
      <c r="A5506" t="str">
        <f>B5506&amp;" | "&amp;F5506&amp;" | "&amp;G5506</f>
        <v xml:space="preserve">LINDEMANS | TAROT_D_OR | </v>
      </c>
      <c r="B5506" t="s">
        <v>273</v>
      </c>
      <c r="C5506" t="s">
        <v>888</v>
      </c>
      <c r="F5506" t="s">
        <v>888</v>
      </c>
      <c r="H5506">
        <v>5</v>
      </c>
    </row>
    <row r="5507" spans="1:13">
      <c r="A5507" t="s">
        <v>4076</v>
      </c>
      <c r="B5507" t="s">
        <v>273</v>
      </c>
      <c r="C5507" s="34" t="s">
        <v>5409</v>
      </c>
      <c r="F5507" t="s">
        <v>1470</v>
      </c>
      <c r="H5507">
        <v>6</v>
      </c>
      <c r="I5507">
        <f>VLOOKUP(B5507,BRAND!B:D,3,FALSE)</f>
        <v>3</v>
      </c>
      <c r="J5507">
        <f>LEN(F5507)</f>
        <v>12</v>
      </c>
      <c r="K5507" t="s">
        <v>821</v>
      </c>
      <c r="M5507">
        <v>1</v>
      </c>
    </row>
    <row r="5508" spans="1:13">
      <c r="A5508" t="str">
        <f>B5508&amp;" | "&amp;F5508&amp;" | "&amp;G5508</f>
        <v xml:space="preserve">LINDERMANS | OUDE_KRIEK | </v>
      </c>
      <c r="B5508" t="s">
        <v>10867</v>
      </c>
      <c r="C5508" t="s">
        <v>862</v>
      </c>
      <c r="F5508" t="s">
        <v>862</v>
      </c>
      <c r="H5508">
        <v>5</v>
      </c>
    </row>
    <row r="5509" spans="1:13">
      <c r="A5509" t="s">
        <v>8833</v>
      </c>
      <c r="B5509" t="s">
        <v>8834</v>
      </c>
      <c r="C5509" s="34" t="s">
        <v>1438</v>
      </c>
      <c r="F5509" t="s">
        <v>1438</v>
      </c>
      <c r="G5509" t="s">
        <v>6932</v>
      </c>
      <c r="H5509">
        <v>5</v>
      </c>
      <c r="I5509">
        <f>VLOOKUP(B5509,BRAND!B:D,3,FALSE)</f>
        <v>5.5</v>
      </c>
      <c r="J5509">
        <v>4</v>
      </c>
      <c r="M5509">
        <v>1</v>
      </c>
    </row>
    <row r="5510" spans="1:13">
      <c r="A5510" t="s">
        <v>7819</v>
      </c>
      <c r="B5510" t="s">
        <v>7820</v>
      </c>
      <c r="C5510" s="34" t="s">
        <v>1498</v>
      </c>
      <c r="F5510" t="s">
        <v>1498</v>
      </c>
      <c r="G5510" t="s">
        <v>6932</v>
      </c>
      <c r="H5510">
        <v>5</v>
      </c>
      <c r="I5510">
        <f>VLOOKUP(B5510,BRAND!B:D,3,FALSE)</f>
        <v>5.5</v>
      </c>
      <c r="J5510">
        <v>6</v>
      </c>
      <c r="M5510">
        <v>1</v>
      </c>
    </row>
    <row r="5511" spans="1:13">
      <c r="A5511" t="s">
        <v>7821</v>
      </c>
      <c r="B5511" t="s">
        <v>7820</v>
      </c>
      <c r="C5511" s="34" t="s">
        <v>788</v>
      </c>
      <c r="F5511" t="s">
        <v>788</v>
      </c>
      <c r="G5511" t="s">
        <v>6932</v>
      </c>
      <c r="H5511">
        <v>5</v>
      </c>
      <c r="I5511">
        <f>VLOOKUP(B5511,BRAND!B:D,3,FALSE)</f>
        <v>5.5</v>
      </c>
      <c r="J5511">
        <v>4</v>
      </c>
      <c r="M5511">
        <v>1</v>
      </c>
    </row>
    <row r="5512" spans="1:13">
      <c r="A5512" t="s">
        <v>7822</v>
      </c>
      <c r="B5512" t="s">
        <v>7823</v>
      </c>
      <c r="C5512" s="34" t="s">
        <v>776</v>
      </c>
      <c r="F5512" t="s">
        <v>776</v>
      </c>
      <c r="G5512" t="s">
        <v>6932</v>
      </c>
      <c r="H5512">
        <v>5</v>
      </c>
      <c r="I5512">
        <f>VLOOKUP(B5512,BRAND!B:D,3,FALSE)</f>
        <v>5.5</v>
      </c>
      <c r="J5512">
        <v>5</v>
      </c>
      <c r="M5512">
        <v>1</v>
      </c>
    </row>
    <row r="5513" spans="1:13">
      <c r="A5513" t="s">
        <v>7824</v>
      </c>
      <c r="B5513" t="s">
        <v>7825</v>
      </c>
      <c r="C5513" s="34" t="s">
        <v>561</v>
      </c>
      <c r="F5513" t="s">
        <v>561</v>
      </c>
      <c r="G5513" t="s">
        <v>6932</v>
      </c>
      <c r="H5513">
        <v>5</v>
      </c>
      <c r="I5513">
        <f>VLOOKUP(B5513,BRAND!B:D,3,FALSE)</f>
        <v>5.5</v>
      </c>
      <c r="J5513">
        <v>3</v>
      </c>
      <c r="M5513">
        <v>1</v>
      </c>
    </row>
    <row r="5514" spans="1:13">
      <c r="A5514" t="s">
        <v>5352</v>
      </c>
      <c r="B5514" t="s">
        <v>723</v>
      </c>
      <c r="C5514" s="34" t="s">
        <v>994</v>
      </c>
      <c r="F5514" t="s">
        <v>994</v>
      </c>
      <c r="H5514">
        <v>3</v>
      </c>
      <c r="I5514">
        <f>VLOOKUP(B5514,BRAND!B:D,3,FALSE)</f>
        <v>3</v>
      </c>
      <c r="J5514">
        <f>LEN(F5514)</f>
        <v>10</v>
      </c>
      <c r="K5514" t="s">
        <v>821</v>
      </c>
      <c r="M5514">
        <v>1</v>
      </c>
    </row>
    <row r="5515" spans="1:13">
      <c r="A5515" t="s">
        <v>4868</v>
      </c>
      <c r="B5515" t="s">
        <v>723</v>
      </c>
      <c r="C5515" s="34" t="s">
        <v>880</v>
      </c>
      <c r="F5515" t="s">
        <v>880</v>
      </c>
      <c r="H5515">
        <v>4</v>
      </c>
      <c r="I5515">
        <f>VLOOKUP(B5515,BRAND!B:D,3,FALSE)</f>
        <v>3</v>
      </c>
      <c r="J5515">
        <v>7</v>
      </c>
      <c r="K5515" t="s">
        <v>821</v>
      </c>
      <c r="M5515">
        <v>1</v>
      </c>
    </row>
    <row r="5516" spans="1:13">
      <c r="A5516" t="s">
        <v>1553</v>
      </c>
      <c r="B5516" t="s">
        <v>723</v>
      </c>
      <c r="C5516" s="34" t="s">
        <v>881</v>
      </c>
      <c r="F5516" t="s">
        <v>881</v>
      </c>
      <c r="H5516">
        <v>4</v>
      </c>
      <c r="I5516">
        <f>VLOOKUP(B5516,BRAND!B:D,3,FALSE)</f>
        <v>3</v>
      </c>
      <c r="J5516">
        <v>5</v>
      </c>
      <c r="K5516" t="s">
        <v>821</v>
      </c>
      <c r="M5516">
        <v>1</v>
      </c>
    </row>
    <row r="5517" spans="1:13">
      <c r="A5517" t="s">
        <v>4743</v>
      </c>
      <c r="B5517" t="s">
        <v>723</v>
      </c>
      <c r="C5517" s="34" t="s">
        <v>882</v>
      </c>
      <c r="F5517" t="s">
        <v>882</v>
      </c>
      <c r="H5517">
        <v>5</v>
      </c>
      <c r="I5517">
        <f>VLOOKUP(B5517,BRAND!B:D,3,FALSE)</f>
        <v>3</v>
      </c>
      <c r="J5517">
        <f>LEN(F5517)</f>
        <v>10</v>
      </c>
      <c r="K5517" t="s">
        <v>821</v>
      </c>
      <c r="M5517">
        <v>1</v>
      </c>
    </row>
    <row r="5518" spans="1:13">
      <c r="A5518" t="s">
        <v>1685</v>
      </c>
      <c r="B5518" t="s">
        <v>723</v>
      </c>
      <c r="C5518" s="34" t="s">
        <v>942</v>
      </c>
      <c r="F5518" t="s">
        <v>942</v>
      </c>
      <c r="H5518">
        <v>5</v>
      </c>
      <c r="I5518">
        <f>VLOOKUP(B5518,BRAND!B:D,3,FALSE)</f>
        <v>3</v>
      </c>
      <c r="J5518">
        <v>8</v>
      </c>
      <c r="K5518" t="s">
        <v>821</v>
      </c>
      <c r="M5518">
        <v>1</v>
      </c>
    </row>
    <row r="5519" spans="1:13">
      <c r="A5519" t="s">
        <v>4069</v>
      </c>
      <c r="B5519" t="s">
        <v>723</v>
      </c>
      <c r="C5519" s="34" t="s">
        <v>1975</v>
      </c>
      <c r="F5519" t="s">
        <v>1975</v>
      </c>
      <c r="H5519">
        <v>5</v>
      </c>
      <c r="I5519">
        <f>VLOOKUP(B5519,BRAND!B:D,3,FALSE)</f>
        <v>3</v>
      </c>
      <c r="J5519">
        <v>6</v>
      </c>
      <c r="K5519" t="s">
        <v>821</v>
      </c>
      <c r="M5519">
        <v>1</v>
      </c>
    </row>
    <row r="5520" spans="1:13">
      <c r="A5520" t="s">
        <v>1552</v>
      </c>
      <c r="B5520" t="s">
        <v>723</v>
      </c>
      <c r="C5520" s="34" t="s">
        <v>799</v>
      </c>
      <c r="F5520" t="s">
        <v>799</v>
      </c>
      <c r="H5520">
        <v>5</v>
      </c>
      <c r="I5520">
        <f>VLOOKUP(B5520,BRAND!B:D,3,FALSE)</f>
        <v>3</v>
      </c>
      <c r="J5520">
        <v>5</v>
      </c>
      <c r="K5520" t="s">
        <v>821</v>
      </c>
      <c r="M5520">
        <v>1</v>
      </c>
    </row>
    <row r="5521" spans="1:13">
      <c r="A5521" t="s">
        <v>10409</v>
      </c>
      <c r="B5521" t="s">
        <v>723</v>
      </c>
      <c r="C5521" s="34" t="s">
        <v>1513</v>
      </c>
      <c r="F5521" t="s">
        <v>1513</v>
      </c>
      <c r="H5521">
        <v>5</v>
      </c>
      <c r="I5521">
        <f>VLOOKUP(B5521,BRAND!B:D,3,FALSE)</f>
        <v>3</v>
      </c>
      <c r="J5521">
        <v>5</v>
      </c>
      <c r="K5521" t="s">
        <v>821</v>
      </c>
      <c r="M5521">
        <v>0</v>
      </c>
    </row>
    <row r="5522" spans="1:13">
      <c r="A5522" t="s">
        <v>5353</v>
      </c>
      <c r="B5522" t="s">
        <v>723</v>
      </c>
      <c r="C5522" s="34" t="s">
        <v>1513</v>
      </c>
      <c r="D5522" t="s">
        <v>799</v>
      </c>
      <c r="F5522" t="s">
        <v>1513</v>
      </c>
      <c r="H5522">
        <v>5</v>
      </c>
      <c r="I5522">
        <f>VLOOKUP(B5522,BRAND!B:D,3,FALSE)</f>
        <v>3</v>
      </c>
      <c r="J5522">
        <v>5</v>
      </c>
      <c r="K5522" t="s">
        <v>821</v>
      </c>
      <c r="M5522">
        <v>0</v>
      </c>
    </row>
    <row r="5523" spans="1:13">
      <c r="A5523" t="s">
        <v>5031</v>
      </c>
      <c r="B5523" t="s">
        <v>723</v>
      </c>
      <c r="C5523" s="34" t="s">
        <v>1467</v>
      </c>
      <c r="F5523" t="s">
        <v>1467</v>
      </c>
      <c r="G5523" t="s">
        <v>801</v>
      </c>
      <c r="H5523">
        <v>6</v>
      </c>
      <c r="I5523">
        <f>VLOOKUP(B5523,BRAND!B:D,3,FALSE)</f>
        <v>3</v>
      </c>
      <c r="J5523">
        <f>LEN(F5523)</f>
        <v>12</v>
      </c>
      <c r="K5523" t="s">
        <v>821</v>
      </c>
      <c r="M5523">
        <v>1</v>
      </c>
    </row>
    <row r="5524" spans="1:13">
      <c r="A5524" t="s">
        <v>10411</v>
      </c>
      <c r="B5524" t="s">
        <v>723</v>
      </c>
      <c r="C5524" s="34" t="s">
        <v>10410</v>
      </c>
      <c r="D5524" t="s">
        <v>761</v>
      </c>
      <c r="F5524" t="s">
        <v>799</v>
      </c>
      <c r="G5524" t="s">
        <v>801</v>
      </c>
      <c r="H5524">
        <v>6</v>
      </c>
      <c r="I5524">
        <f>VLOOKUP(B5524,BRAND!B:D,3,FALSE)</f>
        <v>3</v>
      </c>
      <c r="J5524">
        <v>5</v>
      </c>
      <c r="K5524" t="s">
        <v>821</v>
      </c>
      <c r="M5524">
        <v>1</v>
      </c>
    </row>
    <row r="5525" spans="1:13">
      <c r="A5525" t="s">
        <v>1695</v>
      </c>
      <c r="B5525" t="s">
        <v>723</v>
      </c>
      <c r="C5525" s="34" t="s">
        <v>799</v>
      </c>
      <c r="F5525" t="s">
        <v>799</v>
      </c>
      <c r="G5525" t="s">
        <v>801</v>
      </c>
      <c r="H5525">
        <v>6</v>
      </c>
      <c r="I5525">
        <f>VLOOKUP(B5525,BRAND!B:D,3,FALSE)</f>
        <v>3</v>
      </c>
      <c r="J5525">
        <v>5</v>
      </c>
      <c r="K5525" t="s">
        <v>821</v>
      </c>
      <c r="M5525">
        <v>0</v>
      </c>
    </row>
    <row r="5526" spans="1:13">
      <c r="A5526" t="s">
        <v>13647</v>
      </c>
      <c r="B5526" t="s">
        <v>723</v>
      </c>
      <c r="C5526" s="34" t="s">
        <v>761</v>
      </c>
      <c r="F5526" t="s">
        <v>761</v>
      </c>
      <c r="G5526" t="s">
        <v>801</v>
      </c>
      <c r="H5526">
        <v>6</v>
      </c>
      <c r="I5526">
        <f>VLOOKUP(B5526,BRAND!B:D,3,FALSE)</f>
        <v>3</v>
      </c>
      <c r="J5526">
        <v>5</v>
      </c>
      <c r="K5526" t="s">
        <v>821</v>
      </c>
      <c r="M5526">
        <v>1</v>
      </c>
    </row>
    <row r="5527" spans="1:13">
      <c r="A5527" t="s">
        <v>4909</v>
      </c>
      <c r="B5527" t="s">
        <v>723</v>
      </c>
      <c r="C5527" s="34" t="s">
        <v>881</v>
      </c>
      <c r="F5527" t="s">
        <v>881</v>
      </c>
      <c r="G5527" t="s">
        <v>801</v>
      </c>
      <c r="H5527">
        <v>6</v>
      </c>
      <c r="I5527">
        <f>VLOOKUP(B5527,BRAND!B:D,3,FALSE)</f>
        <v>3</v>
      </c>
      <c r="J5527">
        <v>5</v>
      </c>
      <c r="K5527" t="s">
        <v>821</v>
      </c>
      <c r="M5527">
        <v>1</v>
      </c>
    </row>
    <row r="5528" spans="1:13">
      <c r="A5528" t="s">
        <v>4406</v>
      </c>
      <c r="B5528" t="s">
        <v>723</v>
      </c>
      <c r="C5528" s="34" t="s">
        <v>1515</v>
      </c>
      <c r="F5528" t="s">
        <v>1515</v>
      </c>
      <c r="H5528">
        <v>6</v>
      </c>
      <c r="I5528">
        <f>VLOOKUP(B5528,BRAND!B:D,3,FALSE)</f>
        <v>3</v>
      </c>
      <c r="J5528">
        <v>4</v>
      </c>
      <c r="K5528" t="s">
        <v>821</v>
      </c>
      <c r="M5528">
        <v>1</v>
      </c>
    </row>
    <row r="5529" spans="1:13">
      <c r="A5529" t="s">
        <v>5355</v>
      </c>
      <c r="B5529" t="s">
        <v>723</v>
      </c>
      <c r="C5529" s="34" t="s">
        <v>5411</v>
      </c>
      <c r="F5529" t="s">
        <v>1438</v>
      </c>
      <c r="G5529" t="s">
        <v>801</v>
      </c>
      <c r="H5529">
        <v>6</v>
      </c>
      <c r="I5529">
        <f>VLOOKUP(B5529,BRAND!B:D,3,FALSE)</f>
        <v>3</v>
      </c>
      <c r="J5529">
        <v>4</v>
      </c>
      <c r="K5529" t="s">
        <v>821</v>
      </c>
      <c r="M5529">
        <v>1</v>
      </c>
    </row>
    <row r="5530" spans="1:13">
      <c r="A5530" t="s">
        <v>5354</v>
      </c>
      <c r="B5530" t="s">
        <v>723</v>
      </c>
      <c r="C5530" s="34" t="s">
        <v>5411</v>
      </c>
      <c r="F5530" t="s">
        <v>1438</v>
      </c>
      <c r="H5530">
        <v>15</v>
      </c>
      <c r="I5530">
        <f>VLOOKUP(B5530,BRAND!B:D,3,FALSE)</f>
        <v>3</v>
      </c>
      <c r="J5530">
        <v>4</v>
      </c>
      <c r="K5530" t="s">
        <v>821</v>
      </c>
      <c r="M5530">
        <v>1</v>
      </c>
    </row>
    <row r="5531" spans="1:13">
      <c r="A5531" t="s">
        <v>9446</v>
      </c>
      <c r="B5531" t="s">
        <v>9447</v>
      </c>
      <c r="C5531" s="34" t="s">
        <v>1438</v>
      </c>
      <c r="F5531" t="s">
        <v>1438</v>
      </c>
      <c r="G5531" t="s">
        <v>6932</v>
      </c>
      <c r="H5531">
        <v>5</v>
      </c>
      <c r="I5531">
        <f>VLOOKUP(B5531,BRAND!B:D,3,FALSE)</f>
        <v>5.5</v>
      </c>
      <c r="J5531">
        <v>4</v>
      </c>
      <c r="M5531">
        <v>1</v>
      </c>
    </row>
    <row r="5532" spans="1:13">
      <c r="A5532" t="s">
        <v>3754</v>
      </c>
      <c r="B5532" t="s">
        <v>1826</v>
      </c>
      <c r="C5532" s="34" t="s">
        <v>772</v>
      </c>
      <c r="F5532" t="s">
        <v>772</v>
      </c>
      <c r="H5532">
        <v>5</v>
      </c>
      <c r="I5532">
        <f>VLOOKUP(B5532,BRAND!B:D,3,FALSE)</f>
        <v>3</v>
      </c>
      <c r="J5532">
        <v>6</v>
      </c>
      <c r="K5532" t="s">
        <v>821</v>
      </c>
      <c r="L5532">
        <v>0</v>
      </c>
      <c r="M5532">
        <v>0</v>
      </c>
    </row>
    <row r="5533" spans="1:13">
      <c r="A5533" t="s">
        <v>3340</v>
      </c>
      <c r="B5533" t="s">
        <v>1302</v>
      </c>
      <c r="C5533" s="34" t="s">
        <v>1438</v>
      </c>
      <c r="F5533" t="s">
        <v>1438</v>
      </c>
      <c r="H5533">
        <v>15</v>
      </c>
      <c r="I5533">
        <f>VLOOKUP(B5533,BRAND!B:D,3,FALSE)</f>
        <v>3</v>
      </c>
      <c r="J5533">
        <v>4</v>
      </c>
      <c r="K5533" t="s">
        <v>821</v>
      </c>
      <c r="L5533">
        <v>0</v>
      </c>
      <c r="M5533">
        <v>0</v>
      </c>
    </row>
    <row r="5534" spans="1:13">
      <c r="A5534" t="s">
        <v>4293</v>
      </c>
      <c r="B5534" t="s">
        <v>1886</v>
      </c>
      <c r="C5534" s="34" t="s">
        <v>534</v>
      </c>
      <c r="F5534" t="s">
        <v>534</v>
      </c>
      <c r="H5534">
        <v>5</v>
      </c>
      <c r="I5534">
        <f>VLOOKUP(B5534,BRAND!B:D,3,FALSE)</f>
        <v>5</v>
      </c>
      <c r="J5534">
        <v>6</v>
      </c>
      <c r="K5534" t="s">
        <v>821</v>
      </c>
      <c r="L5534">
        <v>0</v>
      </c>
      <c r="M5534">
        <v>0</v>
      </c>
    </row>
    <row r="5535" spans="1:13">
      <c r="A5535" t="s">
        <v>4292</v>
      </c>
      <c r="B5535" t="s">
        <v>1886</v>
      </c>
      <c r="C5535" s="34" t="s">
        <v>536</v>
      </c>
      <c r="F5535" t="s">
        <v>536</v>
      </c>
      <c r="H5535">
        <v>5</v>
      </c>
      <c r="I5535">
        <f>VLOOKUP(B5535,BRAND!B:D,3,FALSE)</f>
        <v>5</v>
      </c>
      <c r="J5535">
        <v>5</v>
      </c>
      <c r="K5535" t="s">
        <v>821</v>
      </c>
      <c r="L5535">
        <v>0</v>
      </c>
      <c r="M5535">
        <v>0</v>
      </c>
    </row>
    <row r="5536" spans="1:13">
      <c r="A5536" t="s">
        <v>8835</v>
      </c>
      <c r="B5536" t="s">
        <v>8836</v>
      </c>
      <c r="C5536" s="34" t="s">
        <v>1438</v>
      </c>
      <c r="F5536" t="s">
        <v>1438</v>
      </c>
      <c r="G5536" t="s">
        <v>6932</v>
      </c>
      <c r="H5536">
        <v>5</v>
      </c>
      <c r="I5536">
        <f>VLOOKUP(B5536,BRAND!B:D,3,FALSE)</f>
        <v>5.5</v>
      </c>
      <c r="J5536">
        <v>4</v>
      </c>
      <c r="M5536">
        <v>1</v>
      </c>
    </row>
    <row r="5537" spans="1:13">
      <c r="A5537" t="s">
        <v>4078</v>
      </c>
      <c r="B5537" t="s">
        <v>118</v>
      </c>
      <c r="C5537" s="34" t="s">
        <v>1513</v>
      </c>
      <c r="F5537" t="s">
        <v>1513</v>
      </c>
      <c r="H5537">
        <v>5</v>
      </c>
      <c r="I5537">
        <f>VLOOKUP(B5537,BRAND!B:D,3,FALSE)</f>
        <v>3</v>
      </c>
      <c r="J5537">
        <v>5</v>
      </c>
      <c r="K5537" t="s">
        <v>821</v>
      </c>
      <c r="L5537">
        <v>0</v>
      </c>
      <c r="M5537">
        <v>0</v>
      </c>
    </row>
    <row r="5538" spans="1:13">
      <c r="A5538" t="s">
        <v>2555</v>
      </c>
      <c r="B5538" t="s">
        <v>118</v>
      </c>
      <c r="C5538" s="34" t="s">
        <v>1438</v>
      </c>
      <c r="F5538" t="s">
        <v>1438</v>
      </c>
      <c r="H5538">
        <v>15</v>
      </c>
      <c r="I5538">
        <f>VLOOKUP(B5538,BRAND!B:D,3,FALSE)</f>
        <v>3</v>
      </c>
      <c r="J5538">
        <v>4</v>
      </c>
      <c r="K5538" t="s">
        <v>821</v>
      </c>
      <c r="L5538">
        <v>0</v>
      </c>
      <c r="M5538">
        <v>0</v>
      </c>
    </row>
    <row r="5539" spans="1:13">
      <c r="A5539" t="s">
        <v>3724</v>
      </c>
      <c r="B5539" t="s">
        <v>1789</v>
      </c>
      <c r="C5539" s="34" t="s">
        <v>534</v>
      </c>
      <c r="F5539" t="s">
        <v>534</v>
      </c>
      <c r="H5539">
        <v>5</v>
      </c>
      <c r="I5539">
        <f>VLOOKUP(B5539,BRAND!B:D,3,FALSE)</f>
        <v>3</v>
      </c>
      <c r="J5539">
        <v>6</v>
      </c>
      <c r="K5539" t="s">
        <v>821</v>
      </c>
      <c r="L5539">
        <v>0</v>
      </c>
      <c r="M5539">
        <v>0</v>
      </c>
    </row>
    <row r="5540" spans="1:13">
      <c r="A5540" t="s">
        <v>3725</v>
      </c>
      <c r="B5540" t="s">
        <v>1789</v>
      </c>
      <c r="C5540" s="34" t="s">
        <v>536</v>
      </c>
      <c r="F5540" t="s">
        <v>536</v>
      </c>
      <c r="H5540">
        <v>5</v>
      </c>
      <c r="I5540">
        <f>VLOOKUP(B5540,BRAND!B:D,3,FALSE)</f>
        <v>3</v>
      </c>
      <c r="J5540">
        <v>5</v>
      </c>
      <c r="K5540" t="s">
        <v>821</v>
      </c>
      <c r="L5540">
        <v>0</v>
      </c>
      <c r="M5540">
        <v>0</v>
      </c>
    </row>
    <row r="5541" spans="1:13">
      <c r="A5541" t="s">
        <v>10222</v>
      </c>
      <c r="B5541" t="s">
        <v>10223</v>
      </c>
      <c r="C5541" s="34" t="s">
        <v>877</v>
      </c>
      <c r="F5541" t="s">
        <v>877</v>
      </c>
      <c r="H5541">
        <v>5</v>
      </c>
      <c r="I5541">
        <f>VLOOKUP(B5541,BRAND!B:D,3,FALSE)</f>
        <v>5.5</v>
      </c>
      <c r="J5541">
        <v>3</v>
      </c>
      <c r="L5541">
        <v>1</v>
      </c>
    </row>
    <row r="5542" spans="1:13">
      <c r="A5542" t="s">
        <v>10225</v>
      </c>
      <c r="B5542" t="s">
        <v>10223</v>
      </c>
      <c r="C5542" s="34" t="s">
        <v>6926</v>
      </c>
      <c r="F5542" t="s">
        <v>6926</v>
      </c>
      <c r="H5542">
        <v>5</v>
      </c>
      <c r="I5542">
        <f>VLOOKUP(B5542,BRAND!B:D,3,FALSE)</f>
        <v>5.5</v>
      </c>
      <c r="J5542">
        <v>3</v>
      </c>
      <c r="L5542">
        <v>1</v>
      </c>
    </row>
    <row r="5543" spans="1:13">
      <c r="A5543" t="s">
        <v>10226</v>
      </c>
      <c r="B5543" t="s">
        <v>10223</v>
      </c>
      <c r="C5543" s="34" t="s">
        <v>6810</v>
      </c>
      <c r="F5543" t="s">
        <v>6811</v>
      </c>
      <c r="H5543">
        <v>5</v>
      </c>
      <c r="I5543">
        <f>VLOOKUP(B5543,BRAND!B:D,3,FALSE)</f>
        <v>5.5</v>
      </c>
      <c r="J5543">
        <v>3</v>
      </c>
      <c r="L5543">
        <v>1</v>
      </c>
    </row>
    <row r="5544" spans="1:13">
      <c r="A5544" t="s">
        <v>10227</v>
      </c>
      <c r="B5544" t="s">
        <v>10223</v>
      </c>
      <c r="C5544" s="34" t="s">
        <v>867</v>
      </c>
      <c r="F5544" t="s">
        <v>6791</v>
      </c>
      <c r="H5544">
        <v>5</v>
      </c>
      <c r="I5544">
        <f>VLOOKUP(B5544,BRAND!B:D,3,FALSE)</f>
        <v>5.5</v>
      </c>
      <c r="J5544">
        <v>3</v>
      </c>
      <c r="L5544">
        <v>1</v>
      </c>
    </row>
    <row r="5545" spans="1:13">
      <c r="A5545" t="s">
        <v>10228</v>
      </c>
      <c r="B5545" t="s">
        <v>10223</v>
      </c>
      <c r="C5545" s="34" t="s">
        <v>1983</v>
      </c>
      <c r="F5545" t="s">
        <v>1983</v>
      </c>
      <c r="H5545">
        <v>5</v>
      </c>
      <c r="I5545">
        <f>VLOOKUP(B5545,BRAND!B:D,3,FALSE)</f>
        <v>5.5</v>
      </c>
      <c r="J5545">
        <v>3</v>
      </c>
      <c r="L5545">
        <v>1</v>
      </c>
    </row>
    <row r="5546" spans="1:13">
      <c r="A5546" t="s">
        <v>10229</v>
      </c>
      <c r="B5546" t="s">
        <v>10223</v>
      </c>
      <c r="C5546" s="34" t="s">
        <v>10230</v>
      </c>
      <c r="F5546" t="s">
        <v>10221</v>
      </c>
      <c r="H5546">
        <v>5</v>
      </c>
      <c r="I5546">
        <f>VLOOKUP(B5546,BRAND!B:D,3,FALSE)</f>
        <v>5.5</v>
      </c>
      <c r="J5546">
        <v>3</v>
      </c>
      <c r="L5546">
        <v>1</v>
      </c>
    </row>
    <row r="5547" spans="1:13">
      <c r="A5547" t="s">
        <v>10231</v>
      </c>
      <c r="B5547" t="s">
        <v>10223</v>
      </c>
      <c r="C5547" s="34" t="s">
        <v>10232</v>
      </c>
      <c r="F5547" t="s">
        <v>6937</v>
      </c>
      <c r="H5547">
        <v>5</v>
      </c>
      <c r="I5547">
        <f>VLOOKUP(B5547,BRAND!B:D,3,FALSE)</f>
        <v>5.5</v>
      </c>
      <c r="J5547">
        <v>3</v>
      </c>
      <c r="L5547">
        <v>1</v>
      </c>
    </row>
    <row r="5548" spans="1:13">
      <c r="A5548" t="s">
        <v>10233</v>
      </c>
      <c r="B5548" t="s">
        <v>10223</v>
      </c>
      <c r="C5548" s="34" t="s">
        <v>995</v>
      </c>
      <c r="F5548" t="s">
        <v>10234</v>
      </c>
      <c r="H5548">
        <v>5</v>
      </c>
      <c r="I5548">
        <f>VLOOKUP(B5548,BRAND!B:D,3,FALSE)</f>
        <v>5.5</v>
      </c>
      <c r="J5548">
        <v>3</v>
      </c>
      <c r="L5548">
        <v>1</v>
      </c>
    </row>
    <row r="5549" spans="1:13">
      <c r="A5549" t="s">
        <v>10235</v>
      </c>
      <c r="B5549" t="s">
        <v>10223</v>
      </c>
      <c r="C5549" s="34" t="s">
        <v>798</v>
      </c>
      <c r="F5549" t="s">
        <v>798</v>
      </c>
      <c r="H5549">
        <v>5</v>
      </c>
      <c r="I5549">
        <f>VLOOKUP(B5549,BRAND!B:D,3,FALSE)</f>
        <v>5.5</v>
      </c>
      <c r="J5549">
        <v>3</v>
      </c>
      <c r="L5549">
        <v>1</v>
      </c>
    </row>
    <row r="5550" spans="1:13">
      <c r="A5550" t="s">
        <v>10236</v>
      </c>
      <c r="B5550" t="s">
        <v>10223</v>
      </c>
      <c r="C5550" s="34" t="s">
        <v>79</v>
      </c>
      <c r="F5550" t="s">
        <v>79</v>
      </c>
      <c r="H5550">
        <v>5</v>
      </c>
      <c r="I5550">
        <f>VLOOKUP(B5550,BRAND!B:D,3,FALSE)</f>
        <v>5.5</v>
      </c>
      <c r="J5550">
        <v>3</v>
      </c>
      <c r="L5550">
        <v>1</v>
      </c>
    </row>
    <row r="5551" spans="1:13">
      <c r="A5551" t="s">
        <v>10237</v>
      </c>
      <c r="B5551" t="s">
        <v>10223</v>
      </c>
      <c r="C5551" s="34" t="s">
        <v>4901</v>
      </c>
      <c r="F5551" t="s">
        <v>4901</v>
      </c>
      <c r="H5551">
        <v>5</v>
      </c>
      <c r="I5551">
        <f>VLOOKUP(B5551,BRAND!B:D,3,FALSE)</f>
        <v>5.5</v>
      </c>
      <c r="J5551">
        <v>3</v>
      </c>
      <c r="L5551">
        <v>1</v>
      </c>
    </row>
    <row r="5552" spans="1:13">
      <c r="A5552" t="s">
        <v>10224</v>
      </c>
      <c r="B5552" t="s">
        <v>10223</v>
      </c>
      <c r="C5552" s="34" t="s">
        <v>1965</v>
      </c>
      <c r="F5552" t="s">
        <v>1965</v>
      </c>
      <c r="H5552">
        <v>6</v>
      </c>
      <c r="I5552">
        <f>VLOOKUP(B5552,BRAND!B:D,3,FALSE)</f>
        <v>5.5</v>
      </c>
      <c r="J5552">
        <v>3</v>
      </c>
      <c r="L5552">
        <v>1</v>
      </c>
    </row>
    <row r="5553" spans="1:13">
      <c r="A5553" t="s">
        <v>5280</v>
      </c>
      <c r="B5553" t="s">
        <v>705</v>
      </c>
      <c r="C5553" s="34" t="s">
        <v>1971</v>
      </c>
      <c r="F5553" t="s">
        <v>1971</v>
      </c>
      <c r="H5553">
        <v>4</v>
      </c>
      <c r="I5553">
        <f>VLOOKUP(B5553,BRAND!B:D,3,FALSE)</f>
        <v>3</v>
      </c>
      <c r="J5553">
        <f>LEN(F5553)</f>
        <v>12</v>
      </c>
      <c r="K5553" t="s">
        <v>821</v>
      </c>
      <c r="M5553">
        <v>1</v>
      </c>
    </row>
    <row r="5554" spans="1:13">
      <c r="A5554" t="s">
        <v>4223</v>
      </c>
      <c r="B5554" t="s">
        <v>705</v>
      </c>
      <c r="C5554" s="34" t="s">
        <v>1965</v>
      </c>
      <c r="F5554" t="s">
        <v>1965</v>
      </c>
      <c r="H5554">
        <v>5</v>
      </c>
      <c r="I5554">
        <f>VLOOKUP(B5554,BRAND!B:D,3,FALSE)</f>
        <v>3</v>
      </c>
      <c r="J5554">
        <f>LEN(F5554)</f>
        <v>10</v>
      </c>
      <c r="K5554" t="s">
        <v>821</v>
      </c>
      <c r="M5554">
        <v>1</v>
      </c>
    </row>
    <row r="5555" spans="1:13">
      <c r="A5555" t="s">
        <v>1644</v>
      </c>
      <c r="B5555" t="s">
        <v>705</v>
      </c>
      <c r="C5555" s="34" t="s">
        <v>994</v>
      </c>
      <c r="F5555" t="s">
        <v>994</v>
      </c>
      <c r="H5555">
        <v>5</v>
      </c>
      <c r="I5555">
        <f>VLOOKUP(B5555,BRAND!B:D,3,FALSE)</f>
        <v>3</v>
      </c>
      <c r="J5555">
        <f>LEN(F5555)</f>
        <v>10</v>
      </c>
      <c r="K5555" t="s">
        <v>821</v>
      </c>
      <c r="M5555">
        <v>1</v>
      </c>
    </row>
    <row r="5556" spans="1:13">
      <c r="A5556" t="s">
        <v>5044</v>
      </c>
      <c r="B5556" t="s">
        <v>705</v>
      </c>
      <c r="C5556" s="34" t="s">
        <v>1983</v>
      </c>
      <c r="F5556" t="s">
        <v>1983</v>
      </c>
      <c r="H5556">
        <v>5</v>
      </c>
      <c r="I5556">
        <f>VLOOKUP(B5556,BRAND!B:D,3,FALSE)</f>
        <v>3</v>
      </c>
      <c r="J5556">
        <v>9</v>
      </c>
      <c r="K5556" t="s">
        <v>821</v>
      </c>
      <c r="M5556">
        <v>1</v>
      </c>
    </row>
    <row r="5557" spans="1:13">
      <c r="A5557" t="s">
        <v>1540</v>
      </c>
      <c r="B5557" t="s">
        <v>705</v>
      </c>
      <c r="C5557" s="34" t="s">
        <v>995</v>
      </c>
      <c r="F5557" t="s">
        <v>995</v>
      </c>
      <c r="H5557">
        <v>5</v>
      </c>
      <c r="I5557">
        <f>VLOOKUP(B5557,BRAND!B:D,3,FALSE)</f>
        <v>3</v>
      </c>
      <c r="J5557">
        <v>6</v>
      </c>
      <c r="K5557" t="s">
        <v>821</v>
      </c>
      <c r="M5557">
        <v>1</v>
      </c>
    </row>
    <row r="5558" spans="1:13">
      <c r="A5558" t="s">
        <v>4622</v>
      </c>
      <c r="B5558" t="s">
        <v>705</v>
      </c>
      <c r="C5558" s="34" t="s">
        <v>760</v>
      </c>
      <c r="F5558" t="s">
        <v>760</v>
      </c>
      <c r="H5558">
        <v>5</v>
      </c>
      <c r="I5558">
        <f>VLOOKUP(B5558,BRAND!B:D,3,FALSE)</f>
        <v>3</v>
      </c>
      <c r="J5558">
        <v>6</v>
      </c>
      <c r="K5558" t="s">
        <v>821</v>
      </c>
      <c r="M5558">
        <v>1</v>
      </c>
    </row>
    <row r="5559" spans="1:13">
      <c r="A5559" t="s">
        <v>1571</v>
      </c>
      <c r="B5559" t="s">
        <v>705</v>
      </c>
      <c r="C5559" s="34" t="s">
        <v>1511</v>
      </c>
      <c r="F5559" t="s">
        <v>1511</v>
      </c>
      <c r="H5559">
        <v>5</v>
      </c>
      <c r="I5559">
        <f>VLOOKUP(B5559,BRAND!B:D,3,FALSE)</f>
        <v>3</v>
      </c>
      <c r="J5559">
        <v>6</v>
      </c>
      <c r="K5559" t="s">
        <v>821</v>
      </c>
      <c r="M5559">
        <v>1</v>
      </c>
    </row>
    <row r="5560" spans="1:13">
      <c r="A5560" t="s">
        <v>1570</v>
      </c>
      <c r="B5560" t="s">
        <v>705</v>
      </c>
      <c r="C5560" s="34" t="s">
        <v>764</v>
      </c>
      <c r="F5560" t="s">
        <v>764</v>
      </c>
      <c r="H5560">
        <v>5</v>
      </c>
      <c r="I5560">
        <f>VLOOKUP(B5560,BRAND!B:D,3,FALSE)</f>
        <v>3</v>
      </c>
      <c r="J5560">
        <v>5</v>
      </c>
      <c r="K5560" t="s">
        <v>821</v>
      </c>
      <c r="M5560">
        <v>1</v>
      </c>
    </row>
    <row r="5561" spans="1:13">
      <c r="A5561" t="s">
        <v>1574</v>
      </c>
      <c r="B5561" t="s">
        <v>705</v>
      </c>
      <c r="C5561" s="34" t="s">
        <v>761</v>
      </c>
      <c r="F5561" t="s">
        <v>761</v>
      </c>
      <c r="H5561">
        <v>5</v>
      </c>
      <c r="I5561">
        <f>VLOOKUP(B5561,BRAND!B:D,3,FALSE)</f>
        <v>3</v>
      </c>
      <c r="J5561">
        <v>5</v>
      </c>
      <c r="K5561" t="s">
        <v>821</v>
      </c>
      <c r="M5561">
        <v>1</v>
      </c>
    </row>
    <row r="5562" spans="1:13">
      <c r="A5562" t="s">
        <v>4714</v>
      </c>
      <c r="B5562" t="s">
        <v>705</v>
      </c>
      <c r="C5562" s="34" t="s">
        <v>1988</v>
      </c>
      <c r="F5562" t="s">
        <v>1988</v>
      </c>
      <c r="H5562">
        <v>5</v>
      </c>
      <c r="I5562">
        <f>VLOOKUP(B5562,BRAND!B:D,3,FALSE)</f>
        <v>3</v>
      </c>
      <c r="J5562">
        <v>5</v>
      </c>
      <c r="K5562" t="s">
        <v>821</v>
      </c>
      <c r="M5562">
        <v>1</v>
      </c>
    </row>
    <row r="5563" spans="1:13">
      <c r="A5563" t="s">
        <v>1437</v>
      </c>
      <c r="B5563" t="s">
        <v>705</v>
      </c>
      <c r="C5563" s="34" t="s">
        <v>881</v>
      </c>
      <c r="F5563" t="s">
        <v>881</v>
      </c>
      <c r="H5563">
        <v>5</v>
      </c>
      <c r="I5563">
        <f>VLOOKUP(B5563,BRAND!B:D,3,FALSE)</f>
        <v>3</v>
      </c>
      <c r="J5563">
        <v>5</v>
      </c>
      <c r="K5563" t="s">
        <v>821</v>
      </c>
      <c r="M5563">
        <v>1</v>
      </c>
    </row>
    <row r="5564" spans="1:13">
      <c r="A5564" t="s">
        <v>4897</v>
      </c>
      <c r="B5564" t="s">
        <v>705</v>
      </c>
      <c r="C5564" s="34" t="s">
        <v>5413</v>
      </c>
      <c r="F5564" t="s">
        <v>4896</v>
      </c>
      <c r="H5564">
        <v>5</v>
      </c>
      <c r="I5564">
        <f>VLOOKUP(B5564,BRAND!B:D,3,FALSE)</f>
        <v>3</v>
      </c>
      <c r="J5564">
        <v>3</v>
      </c>
      <c r="K5564" t="s">
        <v>821</v>
      </c>
      <c r="M5564">
        <v>1</v>
      </c>
    </row>
    <row r="5565" spans="1:13">
      <c r="A5565" t="s">
        <v>2180</v>
      </c>
      <c r="B5565" t="s">
        <v>688</v>
      </c>
      <c r="C5565" s="34" t="s">
        <v>1438</v>
      </c>
      <c r="F5565" t="s">
        <v>1438</v>
      </c>
      <c r="H5565">
        <v>15</v>
      </c>
      <c r="I5565">
        <f>VLOOKUP(B5565,BRAND!B:D,3,FALSE)</f>
        <v>3</v>
      </c>
      <c r="J5565">
        <v>4</v>
      </c>
      <c r="K5565" t="s">
        <v>821</v>
      </c>
      <c r="M5565">
        <v>1</v>
      </c>
    </row>
    <row r="5566" spans="1:13">
      <c r="A5566" t="s">
        <v>4023</v>
      </c>
      <c r="B5566" t="s">
        <v>813</v>
      </c>
      <c r="C5566" s="34" t="s">
        <v>534</v>
      </c>
      <c r="F5566" t="s">
        <v>534</v>
      </c>
      <c r="H5566">
        <v>5</v>
      </c>
      <c r="I5566">
        <f>VLOOKUP(B5566,BRAND!B:D,3,FALSE)</f>
        <v>3</v>
      </c>
      <c r="J5566">
        <v>6</v>
      </c>
      <c r="K5566" t="s">
        <v>821</v>
      </c>
      <c r="L5566">
        <v>0</v>
      </c>
      <c r="M5566">
        <v>0</v>
      </c>
    </row>
    <row r="5567" spans="1:13">
      <c r="A5567" t="s">
        <v>3172</v>
      </c>
      <c r="B5567" t="s">
        <v>1303</v>
      </c>
      <c r="C5567" s="34" t="s">
        <v>1438</v>
      </c>
      <c r="F5567" t="s">
        <v>1438</v>
      </c>
      <c r="H5567">
        <v>15</v>
      </c>
      <c r="I5567">
        <f>VLOOKUP(B5567,BRAND!B:D,3,FALSE)</f>
        <v>3</v>
      </c>
      <c r="J5567">
        <v>4</v>
      </c>
      <c r="K5567" t="s">
        <v>821</v>
      </c>
      <c r="L5567">
        <v>0</v>
      </c>
      <c r="M5567">
        <v>0</v>
      </c>
    </row>
    <row r="5568" spans="1:13">
      <c r="A5568" t="s">
        <v>7729</v>
      </c>
      <c r="B5568" t="s">
        <v>7730</v>
      </c>
      <c r="C5568" s="34" t="s">
        <v>1438</v>
      </c>
      <c r="F5568" t="s">
        <v>1438</v>
      </c>
      <c r="G5568" t="s">
        <v>6932</v>
      </c>
      <c r="H5568">
        <v>5</v>
      </c>
      <c r="I5568">
        <f>VLOOKUP(B5568,BRAND!B:D,3,FALSE)</f>
        <v>5.5</v>
      </c>
      <c r="J5568">
        <v>4</v>
      </c>
      <c r="L5568">
        <v>0</v>
      </c>
      <c r="M5568">
        <v>0</v>
      </c>
    </row>
    <row r="5569" spans="1:13">
      <c r="A5569" t="s">
        <v>9769</v>
      </c>
      <c r="B5569" t="s">
        <v>7730</v>
      </c>
      <c r="C5569" s="34" t="s">
        <v>536</v>
      </c>
      <c r="G5569" t="s">
        <v>6932</v>
      </c>
      <c r="H5569">
        <v>5</v>
      </c>
      <c r="I5569">
        <f>VLOOKUP(B5569,BRAND!B:D,3,FALSE)</f>
        <v>5.5</v>
      </c>
      <c r="J5569">
        <f>LEN(F5569)</f>
        <v>0</v>
      </c>
      <c r="L5569">
        <v>0</v>
      </c>
      <c r="M5569">
        <v>0</v>
      </c>
    </row>
    <row r="5570" spans="1:13">
      <c r="A5570" t="s">
        <v>9769</v>
      </c>
      <c r="B5570" t="s">
        <v>7730</v>
      </c>
      <c r="C5570" s="34" t="s">
        <v>536</v>
      </c>
      <c r="G5570" t="s">
        <v>6932</v>
      </c>
      <c r="H5570">
        <v>5</v>
      </c>
      <c r="I5570">
        <f>VLOOKUP(B5570,BRAND!B:D,3,FALSE)</f>
        <v>5.5</v>
      </c>
      <c r="J5570">
        <v>0</v>
      </c>
      <c r="M5570">
        <v>1</v>
      </c>
    </row>
    <row r="5571" spans="1:13">
      <c r="A5571" t="s">
        <v>8837</v>
      </c>
      <c r="B5571" t="s">
        <v>8838</v>
      </c>
      <c r="C5571" s="34" t="s">
        <v>1438</v>
      </c>
      <c r="F5571" t="s">
        <v>1438</v>
      </c>
      <c r="G5571" t="s">
        <v>801</v>
      </c>
      <c r="H5571">
        <v>5</v>
      </c>
      <c r="I5571">
        <f>VLOOKUP(B5571,BRAND!B:D,3,FALSE)</f>
        <v>5.5</v>
      </c>
      <c r="J5571">
        <v>4</v>
      </c>
      <c r="M5571">
        <v>1</v>
      </c>
    </row>
    <row r="5572" spans="1:13">
      <c r="A5572" t="s">
        <v>13872</v>
      </c>
      <c r="B5572" t="s">
        <v>511</v>
      </c>
      <c r="C5572" s="34" t="s">
        <v>13873</v>
      </c>
      <c r="F5572" t="s">
        <v>13873</v>
      </c>
      <c r="G5572" t="s">
        <v>801</v>
      </c>
      <c r="H5572">
        <v>5</v>
      </c>
      <c r="I5572">
        <f>VLOOKUP(B5572,BRAND!B:D,3,FALSE)</f>
        <v>3</v>
      </c>
      <c r="J5572">
        <f>LEN(F5572)</f>
        <v>10</v>
      </c>
      <c r="K5572" t="s">
        <v>821</v>
      </c>
      <c r="L5572">
        <v>0</v>
      </c>
      <c r="M5572">
        <v>1</v>
      </c>
    </row>
    <row r="5573" spans="1:13">
      <c r="A5573" t="s">
        <v>13874</v>
      </c>
      <c r="B5573" t="s">
        <v>511</v>
      </c>
      <c r="C5573" s="34" t="s">
        <v>13875</v>
      </c>
      <c r="F5573" t="s">
        <v>13875</v>
      </c>
      <c r="G5573" t="s">
        <v>801</v>
      </c>
      <c r="H5573">
        <v>5</v>
      </c>
      <c r="I5573">
        <f>VLOOKUP(B5573,BRAND!B:D,3,FALSE)</f>
        <v>3</v>
      </c>
      <c r="J5573">
        <f>LEN(F5573)</f>
        <v>10</v>
      </c>
      <c r="K5573" t="s">
        <v>821</v>
      </c>
      <c r="L5573">
        <v>0</v>
      </c>
      <c r="M5573">
        <v>1</v>
      </c>
    </row>
    <row r="5574" spans="1:13">
      <c r="A5574" t="s">
        <v>11888</v>
      </c>
      <c r="B5574" t="s">
        <v>511</v>
      </c>
      <c r="C5574" s="34" t="s">
        <v>776</v>
      </c>
      <c r="F5574" t="s">
        <v>776</v>
      </c>
      <c r="G5574" t="s">
        <v>6932</v>
      </c>
      <c r="H5574">
        <v>5</v>
      </c>
    </row>
    <row r="5575" spans="1:13">
      <c r="A5575" t="s">
        <v>11889</v>
      </c>
      <c r="B5575" t="s">
        <v>511</v>
      </c>
      <c r="C5575" s="34" t="s">
        <v>6364</v>
      </c>
      <c r="F5575" t="s">
        <v>6364</v>
      </c>
      <c r="G5575" t="s">
        <v>6932</v>
      </c>
      <c r="H5575">
        <v>5</v>
      </c>
    </row>
    <row r="5576" spans="1:13">
      <c r="A5576" t="s">
        <v>11890</v>
      </c>
      <c r="B5576" t="s">
        <v>511</v>
      </c>
      <c r="C5576" s="34" t="s">
        <v>769</v>
      </c>
      <c r="F5576" t="s">
        <v>769</v>
      </c>
      <c r="G5576" t="s">
        <v>6932</v>
      </c>
      <c r="H5576">
        <v>5</v>
      </c>
    </row>
    <row r="5577" spans="1:13">
      <c r="A5577" t="s">
        <v>10789</v>
      </c>
      <c r="B5577" t="s">
        <v>511</v>
      </c>
      <c r="C5577" s="34" t="s">
        <v>776</v>
      </c>
      <c r="F5577" t="s">
        <v>776</v>
      </c>
      <c r="G5577" t="s">
        <v>801</v>
      </c>
      <c r="H5577">
        <v>5</v>
      </c>
    </row>
    <row r="5578" spans="1:13">
      <c r="A5578" t="s">
        <v>11891</v>
      </c>
      <c r="B5578" t="s">
        <v>511</v>
      </c>
      <c r="C5578" s="34" t="s">
        <v>10353</v>
      </c>
      <c r="F5578" t="s">
        <v>10353</v>
      </c>
      <c r="G5578" t="s">
        <v>6932</v>
      </c>
      <c r="H5578">
        <v>5</v>
      </c>
    </row>
    <row r="5579" spans="1:13">
      <c r="A5579" t="s">
        <v>10790</v>
      </c>
      <c r="B5579" t="s">
        <v>511</v>
      </c>
      <c r="C5579" s="34" t="s">
        <v>761</v>
      </c>
      <c r="F5579" t="s">
        <v>761</v>
      </c>
      <c r="G5579" t="s">
        <v>801</v>
      </c>
      <c r="H5579">
        <v>5</v>
      </c>
    </row>
    <row r="5580" spans="1:13">
      <c r="A5580" t="s">
        <v>10791</v>
      </c>
      <c r="B5580" t="s">
        <v>511</v>
      </c>
      <c r="C5580" s="34" t="s">
        <v>10792</v>
      </c>
      <c r="F5580" t="s">
        <v>10792</v>
      </c>
      <c r="G5580" t="s">
        <v>6932</v>
      </c>
      <c r="H5580">
        <v>5</v>
      </c>
    </row>
    <row r="5581" spans="1:13">
      <c r="A5581" t="s">
        <v>11892</v>
      </c>
      <c r="B5581" t="s">
        <v>511</v>
      </c>
      <c r="C5581" s="34" t="s">
        <v>11300</v>
      </c>
      <c r="F5581" t="s">
        <v>11300</v>
      </c>
      <c r="G5581" t="s">
        <v>6932</v>
      </c>
      <c r="H5581">
        <v>5</v>
      </c>
    </row>
    <row r="5582" spans="1:13">
      <c r="A5582" t="s">
        <v>11893</v>
      </c>
      <c r="B5582" t="s">
        <v>511</v>
      </c>
      <c r="C5582" s="34" t="s">
        <v>11301</v>
      </c>
      <c r="F5582" t="s">
        <v>11301</v>
      </c>
      <c r="G5582" t="s">
        <v>6932</v>
      </c>
      <c r="H5582">
        <v>5</v>
      </c>
    </row>
    <row r="5583" spans="1:13">
      <c r="A5583" t="s">
        <v>11894</v>
      </c>
      <c r="B5583" t="s">
        <v>511</v>
      </c>
      <c r="C5583" s="34" t="s">
        <v>761</v>
      </c>
      <c r="F5583" t="s">
        <v>761</v>
      </c>
      <c r="G5583" t="s">
        <v>6932</v>
      </c>
      <c r="H5583">
        <v>5</v>
      </c>
    </row>
    <row r="5584" spans="1:13">
      <c r="A5584" t="s">
        <v>11895</v>
      </c>
      <c r="B5584" t="s">
        <v>511</v>
      </c>
      <c r="C5584" s="34" t="s">
        <v>883</v>
      </c>
      <c r="F5584" t="s">
        <v>883</v>
      </c>
      <c r="G5584" t="s">
        <v>6932</v>
      </c>
      <c r="H5584">
        <v>5</v>
      </c>
    </row>
    <row r="5585" spans="1:13">
      <c r="A5585" t="s">
        <v>11896</v>
      </c>
      <c r="B5585" t="s">
        <v>511</v>
      </c>
      <c r="C5585" s="34" t="s">
        <v>769</v>
      </c>
      <c r="F5585" t="s">
        <v>769</v>
      </c>
      <c r="G5585" t="s">
        <v>801</v>
      </c>
      <c r="H5585">
        <v>5</v>
      </c>
    </row>
    <row r="5586" spans="1:13">
      <c r="A5586" t="s">
        <v>10793</v>
      </c>
      <c r="B5586" t="s">
        <v>511</v>
      </c>
      <c r="C5586" s="34" t="s">
        <v>883</v>
      </c>
      <c r="F5586" t="s">
        <v>883</v>
      </c>
      <c r="G5586" t="s">
        <v>801</v>
      </c>
      <c r="H5586">
        <v>5</v>
      </c>
    </row>
    <row r="5587" spans="1:13">
      <c r="A5587" t="s">
        <v>11897</v>
      </c>
      <c r="B5587" t="s">
        <v>511</v>
      </c>
      <c r="C5587" s="34" t="s">
        <v>1981</v>
      </c>
      <c r="F5587" t="s">
        <v>1981</v>
      </c>
      <c r="G5587" t="s">
        <v>6932</v>
      </c>
      <c r="H5587">
        <v>5</v>
      </c>
    </row>
    <row r="5588" spans="1:13">
      <c r="A5588" t="s">
        <v>11898</v>
      </c>
      <c r="B5588" t="s">
        <v>511</v>
      </c>
      <c r="C5588" s="34" t="s">
        <v>6364</v>
      </c>
      <c r="F5588" t="s">
        <v>6364</v>
      </c>
      <c r="G5588" t="s">
        <v>801</v>
      </c>
      <c r="H5588">
        <v>5</v>
      </c>
    </row>
    <row r="5589" spans="1:13">
      <c r="A5589" t="s">
        <v>11899</v>
      </c>
      <c r="B5589" t="s">
        <v>511</v>
      </c>
      <c r="C5589" s="34" t="s">
        <v>11301</v>
      </c>
      <c r="F5589" t="s">
        <v>11301</v>
      </c>
      <c r="G5589" t="s">
        <v>801</v>
      </c>
      <c r="H5589">
        <v>5</v>
      </c>
    </row>
    <row r="5590" spans="1:13">
      <c r="A5590" t="s">
        <v>9770</v>
      </c>
      <c r="B5590" t="s">
        <v>511</v>
      </c>
      <c r="C5590" s="34" t="s">
        <v>561</v>
      </c>
      <c r="F5590" t="s">
        <v>561</v>
      </c>
      <c r="G5590" t="s">
        <v>6932</v>
      </c>
      <c r="H5590">
        <v>6</v>
      </c>
    </row>
    <row r="5591" spans="1:13">
      <c r="A5591" t="s">
        <v>4348</v>
      </c>
      <c r="B5591" t="s">
        <v>1304</v>
      </c>
      <c r="C5591" s="34" t="s">
        <v>783</v>
      </c>
      <c r="F5591" t="s">
        <v>783</v>
      </c>
      <c r="H5591">
        <v>5</v>
      </c>
      <c r="I5591">
        <f>VLOOKUP(B5591,BRAND!B:D,3,FALSE)</f>
        <v>3</v>
      </c>
      <c r="J5591">
        <f>LEN(F5591)</f>
        <v>10</v>
      </c>
      <c r="K5591" t="s">
        <v>821</v>
      </c>
      <c r="L5591">
        <v>0</v>
      </c>
      <c r="M5591">
        <v>0</v>
      </c>
    </row>
    <row r="5592" spans="1:13">
      <c r="A5592" t="s">
        <v>3687</v>
      </c>
      <c r="B5592" t="s">
        <v>1304</v>
      </c>
      <c r="C5592" s="34" t="s">
        <v>772</v>
      </c>
      <c r="F5592" t="s">
        <v>772</v>
      </c>
      <c r="H5592">
        <v>5</v>
      </c>
      <c r="I5592">
        <f>VLOOKUP(B5592,BRAND!B:D,3,FALSE)</f>
        <v>3</v>
      </c>
      <c r="J5592">
        <v>6</v>
      </c>
      <c r="K5592" t="s">
        <v>821</v>
      </c>
      <c r="L5592">
        <v>0</v>
      </c>
      <c r="M5592">
        <v>0</v>
      </c>
    </row>
    <row r="5593" spans="1:13">
      <c r="A5593" t="s">
        <v>2701</v>
      </c>
      <c r="B5593" t="s">
        <v>1304</v>
      </c>
      <c r="C5593" s="34" t="s">
        <v>1438</v>
      </c>
      <c r="F5593" t="s">
        <v>1438</v>
      </c>
      <c r="H5593">
        <v>15</v>
      </c>
      <c r="I5593">
        <f>VLOOKUP(B5593,BRAND!B:D,3,FALSE)</f>
        <v>3</v>
      </c>
      <c r="J5593">
        <v>4</v>
      </c>
      <c r="K5593" t="s">
        <v>821</v>
      </c>
      <c r="L5593">
        <v>0</v>
      </c>
      <c r="M5593">
        <v>0</v>
      </c>
    </row>
    <row r="5594" spans="1:13">
      <c r="A5594" t="s">
        <v>2457</v>
      </c>
      <c r="B5594" t="s">
        <v>119</v>
      </c>
      <c r="C5594" s="34" t="s">
        <v>536</v>
      </c>
      <c r="F5594" t="s">
        <v>536</v>
      </c>
      <c r="H5594">
        <v>5</v>
      </c>
      <c r="I5594">
        <f>VLOOKUP(B5594,BRAND!B:D,3,FALSE)</f>
        <v>3</v>
      </c>
      <c r="J5594">
        <v>5</v>
      </c>
      <c r="K5594" t="s">
        <v>821</v>
      </c>
      <c r="L5594">
        <v>0</v>
      </c>
      <c r="M5594">
        <v>0</v>
      </c>
    </row>
    <row r="5595" spans="1:13">
      <c r="A5595" t="s">
        <v>4882</v>
      </c>
      <c r="B5595" t="s">
        <v>119</v>
      </c>
      <c r="C5595" s="34" t="s">
        <v>799</v>
      </c>
      <c r="F5595" t="s">
        <v>799</v>
      </c>
      <c r="H5595">
        <v>5</v>
      </c>
      <c r="I5595">
        <f>VLOOKUP(B5595,BRAND!B:D,3,FALSE)</f>
        <v>3</v>
      </c>
      <c r="J5595">
        <v>5</v>
      </c>
      <c r="K5595" t="s">
        <v>821</v>
      </c>
      <c r="L5595">
        <v>0</v>
      </c>
      <c r="M5595">
        <v>0</v>
      </c>
    </row>
    <row r="5596" spans="1:13">
      <c r="A5596" t="str">
        <f>B5596&amp;" | "&amp;F5596&amp;" | "&amp;G5596</f>
        <v xml:space="preserve">LUCIE | CORE | </v>
      </c>
      <c r="B5596" t="s">
        <v>119</v>
      </c>
      <c r="C5596" t="s">
        <v>1438</v>
      </c>
      <c r="F5596" t="s">
        <v>1438</v>
      </c>
      <c r="H5596">
        <v>5</v>
      </c>
    </row>
    <row r="5597" spans="1:13">
      <c r="A5597" t="s">
        <v>2251</v>
      </c>
      <c r="B5597" t="s">
        <v>119</v>
      </c>
      <c r="C5597" s="34" t="s">
        <v>1438</v>
      </c>
      <c r="F5597" t="s">
        <v>1438</v>
      </c>
      <c r="H5597">
        <v>15</v>
      </c>
      <c r="I5597">
        <f>VLOOKUP(B5597,BRAND!B:D,3,FALSE)</f>
        <v>3</v>
      </c>
      <c r="J5597">
        <v>4</v>
      </c>
      <c r="K5597" t="s">
        <v>821</v>
      </c>
      <c r="L5597">
        <v>0</v>
      </c>
      <c r="M5597">
        <v>0</v>
      </c>
    </row>
    <row r="5598" spans="1:13">
      <c r="A5598" t="s">
        <v>8839</v>
      </c>
      <c r="B5598" t="s">
        <v>8840</v>
      </c>
      <c r="C5598" s="34" t="s">
        <v>1438</v>
      </c>
      <c r="F5598" t="s">
        <v>1438</v>
      </c>
      <c r="G5598" t="s">
        <v>6932</v>
      </c>
      <c r="H5598">
        <v>5</v>
      </c>
      <c r="I5598">
        <f>VLOOKUP(B5598,BRAND!B:D,3,FALSE)</f>
        <v>5.5</v>
      </c>
      <c r="J5598">
        <v>4</v>
      </c>
      <c r="M5598">
        <v>1</v>
      </c>
    </row>
    <row r="5599" spans="1:13">
      <c r="A5599" t="s">
        <v>8841</v>
      </c>
      <c r="B5599" t="s">
        <v>8842</v>
      </c>
      <c r="C5599" s="34" t="s">
        <v>1438</v>
      </c>
      <c r="F5599" t="s">
        <v>1438</v>
      </c>
      <c r="G5599" t="s">
        <v>6932</v>
      </c>
      <c r="H5599">
        <v>5</v>
      </c>
      <c r="I5599">
        <f>VLOOKUP(B5599,BRAND!B:D,3,FALSE)</f>
        <v>5.5</v>
      </c>
      <c r="J5599">
        <v>4</v>
      </c>
      <c r="M5599">
        <v>1</v>
      </c>
    </row>
    <row r="5600" spans="1:13">
      <c r="A5600" t="s">
        <v>10184</v>
      </c>
      <c r="B5600" t="s">
        <v>5346</v>
      </c>
      <c r="C5600" s="34" t="s">
        <v>1438</v>
      </c>
      <c r="F5600" t="s">
        <v>1438</v>
      </c>
      <c r="H5600">
        <v>5</v>
      </c>
      <c r="I5600">
        <f>VLOOKUP(B5600,BRAND!B:D,3,FALSE)</f>
        <v>5</v>
      </c>
      <c r="J5600">
        <v>3</v>
      </c>
      <c r="L5600">
        <v>1</v>
      </c>
      <c r="M5600">
        <v>1</v>
      </c>
    </row>
    <row r="5601" spans="1:13">
      <c r="A5601" t="s">
        <v>10277</v>
      </c>
      <c r="B5601" t="s">
        <v>10264</v>
      </c>
      <c r="C5601" s="34">
        <v>5</v>
      </c>
      <c r="F5601">
        <v>5</v>
      </c>
      <c r="H5601">
        <v>5</v>
      </c>
      <c r="I5601">
        <f>VLOOKUP(B5601,BRAND!B:D,3,FALSE)</f>
        <v>5</v>
      </c>
      <c r="J5601">
        <f t="shared" ref="J5601:J5607" si="52">LEN(F5601)</f>
        <v>1</v>
      </c>
      <c r="M5601">
        <v>1</v>
      </c>
    </row>
    <row r="5602" spans="1:13">
      <c r="A5602" t="s">
        <v>10276</v>
      </c>
      <c r="B5602" t="s">
        <v>10264</v>
      </c>
      <c r="C5602" s="34">
        <v>3</v>
      </c>
      <c r="F5602">
        <v>3</v>
      </c>
      <c r="H5602">
        <v>5</v>
      </c>
      <c r="I5602">
        <f>VLOOKUP(B5602,BRAND!B:D,3,FALSE)</f>
        <v>5</v>
      </c>
      <c r="J5602">
        <f t="shared" si="52"/>
        <v>1</v>
      </c>
      <c r="M5602">
        <v>1</v>
      </c>
    </row>
    <row r="5603" spans="1:13">
      <c r="A5603" t="s">
        <v>10275</v>
      </c>
      <c r="B5603" t="s">
        <v>10264</v>
      </c>
      <c r="C5603" s="34">
        <v>9</v>
      </c>
      <c r="F5603">
        <v>9</v>
      </c>
      <c r="H5603">
        <v>5</v>
      </c>
      <c r="I5603">
        <f>VLOOKUP(B5603,BRAND!B:D,3,FALSE)</f>
        <v>5</v>
      </c>
      <c r="J5603">
        <f t="shared" si="52"/>
        <v>1</v>
      </c>
      <c r="M5603">
        <v>1</v>
      </c>
    </row>
    <row r="5604" spans="1:13">
      <c r="A5604" t="s">
        <v>10274</v>
      </c>
      <c r="B5604" t="s">
        <v>10264</v>
      </c>
      <c r="C5604" s="34">
        <v>6</v>
      </c>
      <c r="F5604">
        <v>6</v>
      </c>
      <c r="H5604">
        <v>5</v>
      </c>
      <c r="I5604">
        <f>VLOOKUP(B5604,BRAND!B:D,3,FALSE)</f>
        <v>5</v>
      </c>
      <c r="J5604">
        <f t="shared" si="52"/>
        <v>1</v>
      </c>
      <c r="M5604">
        <v>1</v>
      </c>
    </row>
    <row r="5605" spans="1:13">
      <c r="A5605" t="s">
        <v>3712</v>
      </c>
      <c r="B5605" t="s">
        <v>274</v>
      </c>
      <c r="C5605" s="34" t="s">
        <v>5414</v>
      </c>
      <c r="F5605" t="s">
        <v>940</v>
      </c>
      <c r="H5605">
        <v>4</v>
      </c>
      <c r="I5605">
        <f>VLOOKUP(B5605,BRAND!B:D,3,FALSE)</f>
        <v>3</v>
      </c>
      <c r="J5605">
        <f t="shared" si="52"/>
        <v>15</v>
      </c>
      <c r="K5605" t="s">
        <v>821</v>
      </c>
      <c r="L5605">
        <v>0</v>
      </c>
      <c r="M5605">
        <v>0</v>
      </c>
    </row>
    <row r="5606" spans="1:13">
      <c r="A5606" t="s">
        <v>4895</v>
      </c>
      <c r="B5606" t="s">
        <v>274</v>
      </c>
      <c r="C5606" s="34" t="s">
        <v>4900</v>
      </c>
      <c r="F5606" t="s">
        <v>4900</v>
      </c>
      <c r="H5606">
        <v>5</v>
      </c>
      <c r="I5606">
        <f>VLOOKUP(B5606,BRAND!B:D,3,FALSE)</f>
        <v>3</v>
      </c>
      <c r="J5606">
        <f t="shared" si="52"/>
        <v>10</v>
      </c>
      <c r="K5606" t="s">
        <v>821</v>
      </c>
      <c r="M5606">
        <v>1</v>
      </c>
    </row>
    <row r="5607" spans="1:13">
      <c r="A5607" t="s">
        <v>4194</v>
      </c>
      <c r="B5607" t="s">
        <v>274</v>
      </c>
      <c r="C5607" s="34" t="s">
        <v>756</v>
      </c>
      <c r="F5607" t="s">
        <v>756</v>
      </c>
      <c r="H5607">
        <v>5</v>
      </c>
      <c r="I5607">
        <f>VLOOKUP(B5607,BRAND!B:D,3,FALSE)</f>
        <v>3</v>
      </c>
      <c r="J5607">
        <f t="shared" si="52"/>
        <v>10</v>
      </c>
      <c r="K5607" t="s">
        <v>821</v>
      </c>
      <c r="M5607">
        <v>1</v>
      </c>
    </row>
    <row r="5608" spans="1:13">
      <c r="A5608" t="s">
        <v>4895</v>
      </c>
      <c r="B5608" t="s">
        <v>274</v>
      </c>
      <c r="C5608" s="34" t="s">
        <v>933</v>
      </c>
      <c r="F5608" t="s">
        <v>933</v>
      </c>
      <c r="H5608">
        <v>5</v>
      </c>
      <c r="I5608">
        <f>VLOOKUP(B5608,BRAND!B:D,3,FALSE)</f>
        <v>3</v>
      </c>
      <c r="J5608">
        <v>8</v>
      </c>
      <c r="K5608" t="s">
        <v>821</v>
      </c>
      <c r="L5608">
        <v>0</v>
      </c>
      <c r="M5608">
        <v>0</v>
      </c>
    </row>
    <row r="5609" spans="1:13">
      <c r="A5609" t="s">
        <v>4844</v>
      </c>
      <c r="B5609" t="s">
        <v>274</v>
      </c>
      <c r="C5609" s="34" t="s">
        <v>1985</v>
      </c>
      <c r="F5609" t="s">
        <v>1985</v>
      </c>
      <c r="H5609">
        <v>5</v>
      </c>
      <c r="I5609">
        <f>VLOOKUP(B5609,BRAND!B:D,3,FALSE)</f>
        <v>3</v>
      </c>
      <c r="J5609">
        <v>8</v>
      </c>
      <c r="K5609" t="s">
        <v>821</v>
      </c>
      <c r="L5609">
        <v>0</v>
      </c>
      <c r="M5609">
        <v>0</v>
      </c>
    </row>
    <row r="5610" spans="1:13">
      <c r="A5610" t="s">
        <v>4481</v>
      </c>
      <c r="B5610" t="s">
        <v>274</v>
      </c>
      <c r="C5610" s="34" t="s">
        <v>954</v>
      </c>
      <c r="F5610" t="s">
        <v>954</v>
      </c>
      <c r="H5610">
        <v>5</v>
      </c>
      <c r="I5610">
        <f>VLOOKUP(B5610,BRAND!B:D,3,FALSE)</f>
        <v>3</v>
      </c>
      <c r="J5610">
        <v>7</v>
      </c>
      <c r="K5610" t="s">
        <v>821</v>
      </c>
      <c r="M5610">
        <v>1</v>
      </c>
    </row>
    <row r="5611" spans="1:13">
      <c r="A5611" t="s">
        <v>4193</v>
      </c>
      <c r="B5611" t="s">
        <v>274</v>
      </c>
      <c r="C5611" s="34" t="s">
        <v>889</v>
      </c>
      <c r="F5611" t="s">
        <v>889</v>
      </c>
      <c r="H5611">
        <v>5</v>
      </c>
      <c r="I5611">
        <f>VLOOKUP(B5611,BRAND!B:D,3,FALSE)</f>
        <v>3</v>
      </c>
      <c r="J5611">
        <v>7</v>
      </c>
      <c r="K5611" t="s">
        <v>821</v>
      </c>
      <c r="M5611">
        <v>1</v>
      </c>
    </row>
    <row r="5612" spans="1:13">
      <c r="A5612" t="s">
        <v>3721</v>
      </c>
      <c r="B5612" t="s">
        <v>274</v>
      </c>
      <c r="C5612" s="34" t="s">
        <v>777</v>
      </c>
      <c r="F5612" t="s">
        <v>777</v>
      </c>
      <c r="H5612">
        <v>5</v>
      </c>
      <c r="I5612">
        <f>VLOOKUP(B5612,BRAND!B:D,3,FALSE)</f>
        <v>3</v>
      </c>
      <c r="J5612">
        <v>7</v>
      </c>
      <c r="K5612" t="s">
        <v>821</v>
      </c>
      <c r="M5612">
        <v>1</v>
      </c>
    </row>
    <row r="5613" spans="1:13">
      <c r="A5613" t="s">
        <v>10095</v>
      </c>
      <c r="B5613" t="s">
        <v>274</v>
      </c>
      <c r="C5613" s="34" t="s">
        <v>5363</v>
      </c>
      <c r="F5613" t="s">
        <v>5363</v>
      </c>
      <c r="H5613">
        <v>5</v>
      </c>
      <c r="I5613">
        <f>VLOOKUP(B5613,BRAND!B:D,3,FALSE)</f>
        <v>3</v>
      </c>
      <c r="J5613">
        <v>6</v>
      </c>
      <c r="K5613" t="s">
        <v>821</v>
      </c>
      <c r="L5613">
        <v>0</v>
      </c>
      <c r="M5613">
        <v>0</v>
      </c>
    </row>
    <row r="5614" spans="1:13">
      <c r="A5614" t="s">
        <v>3494</v>
      </c>
      <c r="B5614" t="s">
        <v>274</v>
      </c>
      <c r="C5614" s="34" t="s">
        <v>534</v>
      </c>
      <c r="F5614" t="s">
        <v>534</v>
      </c>
      <c r="H5614">
        <v>5</v>
      </c>
      <c r="I5614">
        <f>VLOOKUP(B5614,BRAND!B:D,3,FALSE)</f>
        <v>3</v>
      </c>
      <c r="J5614">
        <v>6</v>
      </c>
      <c r="K5614" t="s">
        <v>821</v>
      </c>
      <c r="M5614">
        <v>1</v>
      </c>
    </row>
    <row r="5615" spans="1:13">
      <c r="A5615" t="s">
        <v>7148</v>
      </c>
      <c r="B5615" t="s">
        <v>274</v>
      </c>
      <c r="C5615" s="34" t="s">
        <v>506</v>
      </c>
      <c r="F5615" t="s">
        <v>536</v>
      </c>
      <c r="H5615">
        <v>5</v>
      </c>
      <c r="I5615">
        <f>VLOOKUP(B5615,BRAND!B:D,3,FALSE)</f>
        <v>3</v>
      </c>
      <c r="J5615">
        <v>5</v>
      </c>
      <c r="K5615" t="s">
        <v>821</v>
      </c>
      <c r="L5615">
        <v>0</v>
      </c>
      <c r="M5615">
        <v>0</v>
      </c>
    </row>
    <row r="5616" spans="1:13">
      <c r="A5616" t="s">
        <v>3566</v>
      </c>
      <c r="B5616" t="s">
        <v>274</v>
      </c>
      <c r="C5616" s="34" t="s">
        <v>5232</v>
      </c>
      <c r="F5616" t="s">
        <v>536</v>
      </c>
      <c r="H5616">
        <v>5</v>
      </c>
      <c r="I5616">
        <f>VLOOKUP(B5616,BRAND!B:D,3,FALSE)</f>
        <v>3</v>
      </c>
      <c r="J5616">
        <v>5</v>
      </c>
      <c r="K5616" t="s">
        <v>821</v>
      </c>
      <c r="M5616">
        <v>1</v>
      </c>
    </row>
    <row r="5617" spans="1:13">
      <c r="A5617" t="s">
        <v>3515</v>
      </c>
      <c r="B5617" t="s">
        <v>274</v>
      </c>
      <c r="C5617" s="34" t="s">
        <v>842</v>
      </c>
      <c r="F5617" t="s">
        <v>842</v>
      </c>
      <c r="H5617">
        <v>5</v>
      </c>
      <c r="I5617">
        <f>VLOOKUP(B5617,BRAND!B:D,3,FALSE)</f>
        <v>3</v>
      </c>
      <c r="J5617">
        <v>5</v>
      </c>
      <c r="K5617" t="s">
        <v>821</v>
      </c>
      <c r="M5617">
        <v>1</v>
      </c>
    </row>
    <row r="5618" spans="1:13">
      <c r="A5618" t="s">
        <v>3685</v>
      </c>
      <c r="B5618" t="s">
        <v>274</v>
      </c>
      <c r="C5618" s="34" t="s">
        <v>776</v>
      </c>
      <c r="F5618" t="s">
        <v>776</v>
      </c>
      <c r="H5618">
        <v>5</v>
      </c>
      <c r="I5618">
        <f>VLOOKUP(B5618,BRAND!B:D,3,FALSE)</f>
        <v>3</v>
      </c>
      <c r="J5618">
        <v>5</v>
      </c>
      <c r="K5618" t="s">
        <v>821</v>
      </c>
      <c r="M5618">
        <v>1</v>
      </c>
    </row>
    <row r="5619" spans="1:13">
      <c r="A5619" t="s">
        <v>10096</v>
      </c>
      <c r="B5619" t="s">
        <v>274</v>
      </c>
      <c r="C5619" s="34" t="s">
        <v>5366</v>
      </c>
      <c r="F5619" t="s">
        <v>5366</v>
      </c>
      <c r="H5619">
        <v>5</v>
      </c>
      <c r="I5619">
        <f>VLOOKUP(B5619,BRAND!B:D,3,FALSE)</f>
        <v>3</v>
      </c>
      <c r="J5619">
        <v>4</v>
      </c>
      <c r="K5619" t="s">
        <v>821</v>
      </c>
      <c r="L5619">
        <v>0</v>
      </c>
      <c r="M5619">
        <v>0</v>
      </c>
    </row>
    <row r="5620" spans="1:13">
      <c r="A5620" t="s">
        <v>5300</v>
      </c>
      <c r="B5620" t="s">
        <v>274</v>
      </c>
      <c r="C5620" s="34" t="s">
        <v>782</v>
      </c>
      <c r="F5620" t="s">
        <v>782</v>
      </c>
      <c r="H5620">
        <v>5</v>
      </c>
      <c r="I5620">
        <f>VLOOKUP(B5620,BRAND!B:D,3,FALSE)</f>
        <v>3</v>
      </c>
      <c r="J5620">
        <v>4</v>
      </c>
      <c r="K5620" t="s">
        <v>821</v>
      </c>
      <c r="M5620">
        <v>1</v>
      </c>
    </row>
    <row r="5621" spans="1:13">
      <c r="A5621" t="s">
        <v>2017</v>
      </c>
      <c r="B5621" t="s">
        <v>274</v>
      </c>
      <c r="C5621" s="34" t="s">
        <v>1438</v>
      </c>
      <c r="H5621">
        <v>5</v>
      </c>
      <c r="I5621">
        <f>VLOOKUP(B5621,BRAND!B:D,3,FALSE)</f>
        <v>3</v>
      </c>
      <c r="J5621">
        <f>LEN(F5621)</f>
        <v>0</v>
      </c>
      <c r="L5621">
        <v>0</v>
      </c>
      <c r="M5621">
        <v>0</v>
      </c>
    </row>
    <row r="5622" spans="1:13">
      <c r="A5622" t="s">
        <v>9771</v>
      </c>
      <c r="B5622" t="s">
        <v>274</v>
      </c>
      <c r="C5622" s="34" t="s">
        <v>10000</v>
      </c>
      <c r="H5622">
        <v>5</v>
      </c>
      <c r="I5622">
        <f>VLOOKUP(B5622,BRAND!B:D,3,FALSE)</f>
        <v>3</v>
      </c>
      <c r="J5622">
        <f>LEN(F5622)</f>
        <v>0</v>
      </c>
      <c r="L5622">
        <v>0</v>
      </c>
      <c r="M5622">
        <v>0</v>
      </c>
    </row>
    <row r="5623" spans="1:13">
      <c r="A5623" t="s">
        <v>2017</v>
      </c>
      <c r="B5623" t="s">
        <v>274</v>
      </c>
      <c r="C5623" s="34" t="s">
        <v>1438</v>
      </c>
      <c r="H5623">
        <v>5</v>
      </c>
      <c r="I5623">
        <f>VLOOKUP(B5623,BRAND!B:D,3,FALSE)</f>
        <v>3</v>
      </c>
      <c r="J5623">
        <v>0</v>
      </c>
      <c r="M5623">
        <v>1</v>
      </c>
    </row>
    <row r="5624" spans="1:13">
      <c r="A5624" t="s">
        <v>9771</v>
      </c>
      <c r="B5624" t="s">
        <v>274</v>
      </c>
      <c r="C5624" s="34" t="s">
        <v>10000</v>
      </c>
      <c r="H5624">
        <v>5</v>
      </c>
      <c r="I5624">
        <f>VLOOKUP(B5624,BRAND!B:D,3,FALSE)</f>
        <v>3</v>
      </c>
      <c r="J5624">
        <v>0</v>
      </c>
      <c r="M5624">
        <v>1</v>
      </c>
    </row>
    <row r="5625" spans="1:13">
      <c r="A5625" t="s">
        <v>7235</v>
      </c>
      <c r="B5625" t="s">
        <v>274</v>
      </c>
      <c r="C5625" s="34" t="s">
        <v>7236</v>
      </c>
      <c r="F5625" t="s">
        <v>7236</v>
      </c>
      <c r="H5625">
        <v>5</v>
      </c>
      <c r="I5625">
        <f>VLOOKUP(B5625,BRAND!B:D,3,FALSE)</f>
        <v>3</v>
      </c>
      <c r="M5625">
        <v>1</v>
      </c>
    </row>
    <row r="5626" spans="1:13">
      <c r="A5626" t="s">
        <v>5024</v>
      </c>
      <c r="B5626" t="s">
        <v>274</v>
      </c>
      <c r="C5626" s="34" t="s">
        <v>954</v>
      </c>
      <c r="F5626" t="s">
        <v>954</v>
      </c>
      <c r="G5626" t="s">
        <v>801</v>
      </c>
      <c r="H5626">
        <v>6</v>
      </c>
      <c r="I5626">
        <f>VLOOKUP(B5626,BRAND!B:D,3,FALSE)</f>
        <v>3</v>
      </c>
      <c r="J5626">
        <v>7</v>
      </c>
      <c r="K5626" t="s">
        <v>821</v>
      </c>
      <c r="L5626">
        <v>0</v>
      </c>
      <c r="M5626">
        <v>0</v>
      </c>
    </row>
    <row r="5627" spans="1:13">
      <c r="A5627" t="s">
        <v>4945</v>
      </c>
      <c r="B5627" t="s">
        <v>274</v>
      </c>
      <c r="C5627" s="34" t="s">
        <v>1438</v>
      </c>
      <c r="F5627" t="s">
        <v>1438</v>
      </c>
      <c r="G5627" t="s">
        <v>801</v>
      </c>
      <c r="H5627">
        <v>6</v>
      </c>
      <c r="I5627">
        <f>VLOOKUP(B5627,BRAND!B:D,3,FALSE)</f>
        <v>3</v>
      </c>
      <c r="J5627">
        <v>4</v>
      </c>
      <c r="K5627" t="s">
        <v>821</v>
      </c>
      <c r="L5627">
        <v>0</v>
      </c>
      <c r="M5627">
        <v>0</v>
      </c>
    </row>
    <row r="5628" spans="1:13">
      <c r="A5628" t="s">
        <v>4698</v>
      </c>
      <c r="B5628" t="s">
        <v>310</v>
      </c>
      <c r="C5628" s="34" t="s">
        <v>1500</v>
      </c>
      <c r="F5628" t="s">
        <v>1500</v>
      </c>
      <c r="H5628">
        <v>5</v>
      </c>
      <c r="I5628">
        <f>VLOOKUP(B5628,BRAND!B:D,3,FALSE)</f>
        <v>3</v>
      </c>
      <c r="J5628">
        <v>6</v>
      </c>
      <c r="K5628" t="s">
        <v>821</v>
      </c>
      <c r="L5628">
        <v>0</v>
      </c>
      <c r="M5628">
        <v>0</v>
      </c>
    </row>
    <row r="5629" spans="1:13">
      <c r="A5629" t="s">
        <v>3836</v>
      </c>
      <c r="B5629" t="s">
        <v>310</v>
      </c>
      <c r="C5629" s="34" t="s">
        <v>536</v>
      </c>
      <c r="F5629" t="s">
        <v>536</v>
      </c>
      <c r="H5629">
        <v>5</v>
      </c>
      <c r="I5629">
        <f>VLOOKUP(B5629,BRAND!B:D,3,FALSE)</f>
        <v>3</v>
      </c>
      <c r="J5629">
        <v>5</v>
      </c>
      <c r="K5629" t="s">
        <v>821</v>
      </c>
      <c r="M5629">
        <v>1</v>
      </c>
    </row>
    <row r="5630" spans="1:13">
      <c r="A5630" t="s">
        <v>3500</v>
      </c>
      <c r="B5630" t="s">
        <v>310</v>
      </c>
      <c r="C5630" s="34" t="s">
        <v>776</v>
      </c>
      <c r="F5630" t="s">
        <v>776</v>
      </c>
      <c r="H5630">
        <v>5</v>
      </c>
      <c r="I5630">
        <f>VLOOKUP(B5630,BRAND!B:D,3,FALSE)</f>
        <v>3</v>
      </c>
      <c r="J5630">
        <v>5</v>
      </c>
      <c r="K5630" t="s">
        <v>821</v>
      </c>
      <c r="M5630">
        <v>1</v>
      </c>
    </row>
    <row r="5631" spans="1:13">
      <c r="A5631" t="s">
        <v>3506</v>
      </c>
      <c r="B5631" t="s">
        <v>310</v>
      </c>
      <c r="C5631" s="34" t="s">
        <v>561</v>
      </c>
      <c r="F5631" t="s">
        <v>561</v>
      </c>
      <c r="H5631">
        <v>5</v>
      </c>
      <c r="I5631">
        <f>VLOOKUP(B5631,BRAND!B:D,3,FALSE)</f>
        <v>3</v>
      </c>
      <c r="J5631">
        <v>3</v>
      </c>
      <c r="K5631" t="s">
        <v>821</v>
      </c>
      <c r="M5631">
        <v>1</v>
      </c>
    </row>
    <row r="5632" spans="1:13">
      <c r="A5632" t="s">
        <v>2779</v>
      </c>
      <c r="B5632" t="s">
        <v>310</v>
      </c>
      <c r="C5632" s="34" t="s">
        <v>1438</v>
      </c>
      <c r="F5632" t="s">
        <v>1438</v>
      </c>
      <c r="H5632">
        <v>15</v>
      </c>
      <c r="I5632">
        <f>VLOOKUP(B5632,BRAND!B:D,3,FALSE)</f>
        <v>3</v>
      </c>
      <c r="J5632">
        <v>4</v>
      </c>
      <c r="K5632" t="s">
        <v>821</v>
      </c>
      <c r="M5632">
        <v>1</v>
      </c>
    </row>
    <row r="5633" spans="1:13">
      <c r="A5633" t="s">
        <v>4864</v>
      </c>
      <c r="B5633" t="s">
        <v>275</v>
      </c>
      <c r="C5633" s="34" t="s">
        <v>1510</v>
      </c>
      <c r="F5633" t="s">
        <v>1510</v>
      </c>
      <c r="H5633">
        <v>5</v>
      </c>
      <c r="I5633">
        <f>VLOOKUP(B5633,BRAND!B:D,3,FALSE)</f>
        <v>3</v>
      </c>
      <c r="J5633">
        <v>6</v>
      </c>
      <c r="K5633" t="s">
        <v>821</v>
      </c>
      <c r="L5633">
        <v>0</v>
      </c>
      <c r="M5633">
        <v>0</v>
      </c>
    </row>
    <row r="5634" spans="1:13">
      <c r="A5634" t="s">
        <v>8843</v>
      </c>
      <c r="B5634" t="s">
        <v>275</v>
      </c>
      <c r="C5634" s="34" t="s">
        <v>6364</v>
      </c>
      <c r="F5634" t="s">
        <v>6364</v>
      </c>
      <c r="G5634" t="s">
        <v>6932</v>
      </c>
      <c r="H5634">
        <v>5</v>
      </c>
      <c r="I5634">
        <f>VLOOKUP(B5634,BRAND!B:D,3,FALSE)</f>
        <v>3</v>
      </c>
      <c r="J5634">
        <v>6</v>
      </c>
      <c r="M5634">
        <v>1</v>
      </c>
    </row>
    <row r="5635" spans="1:13">
      <c r="A5635" t="s">
        <v>3315</v>
      </c>
      <c r="B5635" t="s">
        <v>275</v>
      </c>
      <c r="C5635" s="34" t="s">
        <v>534</v>
      </c>
      <c r="F5635" t="s">
        <v>534</v>
      </c>
      <c r="H5635">
        <v>5</v>
      </c>
      <c r="I5635">
        <f>VLOOKUP(B5635,BRAND!B:D,3,FALSE)</f>
        <v>3</v>
      </c>
      <c r="J5635">
        <v>6</v>
      </c>
      <c r="K5635" t="s">
        <v>821</v>
      </c>
      <c r="M5635">
        <v>1</v>
      </c>
    </row>
    <row r="5636" spans="1:13">
      <c r="A5636" t="s">
        <v>8845</v>
      </c>
      <c r="B5636" t="s">
        <v>275</v>
      </c>
      <c r="C5636" s="34" t="s">
        <v>903</v>
      </c>
      <c r="F5636" t="s">
        <v>903</v>
      </c>
      <c r="G5636" t="s">
        <v>6932</v>
      </c>
      <c r="H5636">
        <v>5</v>
      </c>
      <c r="I5636">
        <f>VLOOKUP(B5636,BRAND!B:D,3,FALSE)</f>
        <v>3</v>
      </c>
      <c r="J5636">
        <v>4</v>
      </c>
      <c r="M5636">
        <v>1</v>
      </c>
    </row>
    <row r="5637" spans="1:13">
      <c r="A5637" t="s">
        <v>8844</v>
      </c>
      <c r="B5637" t="s">
        <v>275</v>
      </c>
      <c r="C5637" s="34" t="s">
        <v>786</v>
      </c>
      <c r="F5637" t="s">
        <v>786</v>
      </c>
      <c r="G5637" t="s">
        <v>6932</v>
      </c>
      <c r="H5637">
        <v>5</v>
      </c>
      <c r="I5637">
        <f>VLOOKUP(B5637,BRAND!B:D,3,FALSE)</f>
        <v>3</v>
      </c>
      <c r="J5637">
        <v>3</v>
      </c>
      <c r="M5637">
        <v>1</v>
      </c>
    </row>
    <row r="5638" spans="1:13">
      <c r="A5638" t="s">
        <v>3314</v>
      </c>
      <c r="B5638" t="s">
        <v>275</v>
      </c>
      <c r="C5638" s="34" t="s">
        <v>1438</v>
      </c>
      <c r="F5638" t="s">
        <v>1438</v>
      </c>
      <c r="H5638">
        <v>15</v>
      </c>
      <c r="I5638">
        <f>VLOOKUP(B5638,BRAND!B:D,3,FALSE)</f>
        <v>3</v>
      </c>
      <c r="J5638">
        <v>4</v>
      </c>
      <c r="K5638" t="s">
        <v>821</v>
      </c>
      <c r="M5638">
        <v>1</v>
      </c>
    </row>
    <row r="5639" spans="1:13">
      <c r="A5639" t="s">
        <v>8846</v>
      </c>
      <c r="B5639" t="s">
        <v>8847</v>
      </c>
      <c r="C5639" s="34" t="s">
        <v>1438</v>
      </c>
      <c r="F5639" t="s">
        <v>1438</v>
      </c>
      <c r="G5639" t="s">
        <v>6932</v>
      </c>
      <c r="H5639">
        <v>5</v>
      </c>
      <c r="I5639">
        <f>VLOOKUP(B5639,BRAND!B:D,3,FALSE)</f>
        <v>5.5</v>
      </c>
      <c r="J5639">
        <v>4</v>
      </c>
      <c r="M5639">
        <v>1</v>
      </c>
    </row>
    <row r="5640" spans="1:13">
      <c r="A5640" t="s">
        <v>8848</v>
      </c>
      <c r="B5640" t="s">
        <v>8849</v>
      </c>
      <c r="C5640" s="34" t="s">
        <v>1438</v>
      </c>
      <c r="F5640" t="s">
        <v>1438</v>
      </c>
      <c r="G5640" t="s">
        <v>6932</v>
      </c>
      <c r="H5640">
        <v>5</v>
      </c>
      <c r="I5640">
        <f>VLOOKUP(B5640,BRAND!B:D,3,FALSE)</f>
        <v>5.5</v>
      </c>
      <c r="J5640">
        <v>4</v>
      </c>
      <c r="M5640">
        <v>1</v>
      </c>
    </row>
    <row r="5641" spans="1:13">
      <c r="A5641" t="s">
        <v>3579</v>
      </c>
      <c r="B5641" t="s">
        <v>562</v>
      </c>
      <c r="C5641" s="34" t="s">
        <v>534</v>
      </c>
      <c r="F5641" t="s">
        <v>534</v>
      </c>
      <c r="H5641">
        <v>5</v>
      </c>
      <c r="I5641">
        <f>VLOOKUP(B5641,BRAND!B:D,3,FALSE)</f>
        <v>3</v>
      </c>
      <c r="J5641">
        <v>6</v>
      </c>
      <c r="K5641" t="s">
        <v>821</v>
      </c>
      <c r="M5641">
        <v>1</v>
      </c>
    </row>
    <row r="5642" spans="1:13">
      <c r="A5642" t="s">
        <v>8850</v>
      </c>
      <c r="B5642" t="s">
        <v>8851</v>
      </c>
      <c r="C5642" s="34" t="s">
        <v>1438</v>
      </c>
      <c r="F5642" t="s">
        <v>1438</v>
      </c>
      <c r="G5642" t="s">
        <v>6932</v>
      </c>
      <c r="H5642">
        <v>5</v>
      </c>
      <c r="I5642">
        <f>VLOOKUP(B5642,BRAND!B:D,3,FALSE)</f>
        <v>5.5</v>
      </c>
      <c r="J5642">
        <v>4</v>
      </c>
      <c r="M5642">
        <v>1</v>
      </c>
    </row>
    <row r="5643" spans="1:13">
      <c r="A5643" t="s">
        <v>15292</v>
      </c>
      <c r="B5643" t="s">
        <v>15293</v>
      </c>
      <c r="C5643" s="34" t="s">
        <v>1438</v>
      </c>
      <c r="F5643" t="s">
        <v>1438</v>
      </c>
      <c r="G5643" t="s">
        <v>6932</v>
      </c>
      <c r="H5643">
        <v>5</v>
      </c>
      <c r="I5643">
        <f>VLOOKUP(B5643,BRAND!B:D,3,FALSE)</f>
        <v>5</v>
      </c>
      <c r="J5643">
        <v>0</v>
      </c>
      <c r="K5643" t="s">
        <v>821</v>
      </c>
      <c r="L5643">
        <v>0</v>
      </c>
      <c r="M5643">
        <v>0</v>
      </c>
    </row>
    <row r="5644" spans="1:13">
      <c r="A5644" t="s">
        <v>4825</v>
      </c>
      <c r="B5644" t="s">
        <v>1057</v>
      </c>
      <c r="C5644" s="34" t="s">
        <v>786</v>
      </c>
      <c r="F5644" t="s">
        <v>786</v>
      </c>
      <c r="H5644">
        <v>5</v>
      </c>
      <c r="I5644">
        <f>VLOOKUP(B5644,BRAND!B:D,3,FALSE)</f>
        <v>3</v>
      </c>
      <c r="J5644">
        <v>3</v>
      </c>
      <c r="K5644" t="s">
        <v>821</v>
      </c>
      <c r="L5644">
        <v>0</v>
      </c>
      <c r="M5644">
        <v>0</v>
      </c>
    </row>
    <row r="5645" spans="1:13">
      <c r="A5645" t="s">
        <v>7059</v>
      </c>
      <c r="B5645" t="s">
        <v>1057</v>
      </c>
      <c r="C5645" s="34" t="s">
        <v>7060</v>
      </c>
      <c r="F5645" t="s">
        <v>786</v>
      </c>
      <c r="H5645">
        <v>5</v>
      </c>
      <c r="I5645">
        <f>VLOOKUP(B5645,BRAND!B:D,3,FALSE)</f>
        <v>3</v>
      </c>
      <c r="J5645">
        <v>3</v>
      </c>
      <c r="M5645">
        <v>1</v>
      </c>
    </row>
    <row r="5646" spans="1:13">
      <c r="A5646" t="s">
        <v>2183</v>
      </c>
      <c r="B5646" t="s">
        <v>1057</v>
      </c>
      <c r="C5646" s="34" t="s">
        <v>1438</v>
      </c>
      <c r="F5646" t="s">
        <v>1438</v>
      </c>
      <c r="H5646">
        <v>15</v>
      </c>
      <c r="I5646">
        <f>VLOOKUP(B5646,BRAND!B:D,3,FALSE)</f>
        <v>3</v>
      </c>
      <c r="J5646">
        <v>4</v>
      </c>
      <c r="K5646" t="s">
        <v>821</v>
      </c>
      <c r="L5646">
        <v>0</v>
      </c>
      <c r="M5646">
        <v>0</v>
      </c>
    </row>
    <row r="5647" spans="1:13">
      <c r="A5647" t="s">
        <v>4041</v>
      </c>
      <c r="B5647" t="s">
        <v>120</v>
      </c>
      <c r="C5647" s="34" t="s">
        <v>5374</v>
      </c>
      <c r="F5647" t="s">
        <v>777</v>
      </c>
      <c r="H5647">
        <v>5</v>
      </c>
      <c r="I5647">
        <f>VLOOKUP(B5647,BRAND!B:D,3,FALSE)</f>
        <v>3</v>
      </c>
      <c r="J5647">
        <v>7</v>
      </c>
      <c r="K5647" t="s">
        <v>821</v>
      </c>
      <c r="M5647">
        <v>1</v>
      </c>
    </row>
    <row r="5648" spans="1:13">
      <c r="A5648" t="s">
        <v>8854</v>
      </c>
      <c r="B5648" t="s">
        <v>120</v>
      </c>
      <c r="C5648" s="34" t="s">
        <v>129</v>
      </c>
      <c r="F5648" t="s">
        <v>129</v>
      </c>
      <c r="G5648" t="s">
        <v>801</v>
      </c>
      <c r="H5648">
        <v>5</v>
      </c>
      <c r="I5648">
        <f>VLOOKUP(B5648,BRAND!B:D,3,FALSE)</f>
        <v>3</v>
      </c>
      <c r="J5648">
        <v>6</v>
      </c>
      <c r="M5648">
        <v>1</v>
      </c>
    </row>
    <row r="5649" spans="1:13">
      <c r="A5649" t="s">
        <v>4084</v>
      </c>
      <c r="B5649" t="s">
        <v>120</v>
      </c>
      <c r="C5649" s="34" t="s">
        <v>5415</v>
      </c>
      <c r="F5649" t="s">
        <v>1513</v>
      </c>
      <c r="H5649">
        <v>5</v>
      </c>
      <c r="I5649">
        <f>VLOOKUP(B5649,BRAND!B:D,3,FALSE)</f>
        <v>3</v>
      </c>
      <c r="J5649">
        <v>5</v>
      </c>
      <c r="K5649" t="s">
        <v>821</v>
      </c>
      <c r="M5649">
        <v>1</v>
      </c>
    </row>
    <row r="5650" spans="1:13">
      <c r="A5650" t="s">
        <v>8853</v>
      </c>
      <c r="B5650" t="s">
        <v>120</v>
      </c>
      <c r="C5650" s="34" t="s">
        <v>1513</v>
      </c>
      <c r="F5650" t="s">
        <v>1513</v>
      </c>
      <c r="G5650" t="s">
        <v>801</v>
      </c>
      <c r="H5650">
        <v>5</v>
      </c>
      <c r="I5650">
        <f>VLOOKUP(B5650,BRAND!B:D,3,FALSE)</f>
        <v>3</v>
      </c>
      <c r="J5650">
        <v>5</v>
      </c>
      <c r="M5650">
        <v>1</v>
      </c>
    </row>
    <row r="5651" spans="1:13">
      <c r="A5651" t="s">
        <v>8852</v>
      </c>
      <c r="B5651" t="s">
        <v>120</v>
      </c>
      <c r="C5651" s="34" t="s">
        <v>1438</v>
      </c>
      <c r="F5651" t="s">
        <v>1438</v>
      </c>
      <c r="G5651" t="s">
        <v>6932</v>
      </c>
      <c r="H5651">
        <v>5</v>
      </c>
      <c r="I5651">
        <f>VLOOKUP(B5651,BRAND!B:D,3,FALSE)</f>
        <v>3</v>
      </c>
      <c r="J5651">
        <v>4</v>
      </c>
      <c r="L5651">
        <v>0</v>
      </c>
      <c r="M5651">
        <v>0</v>
      </c>
    </row>
    <row r="5652" spans="1:13">
      <c r="A5652" t="s">
        <v>8855</v>
      </c>
      <c r="B5652" t="s">
        <v>120</v>
      </c>
      <c r="C5652" s="34" t="s">
        <v>897</v>
      </c>
      <c r="F5652" t="s">
        <v>897</v>
      </c>
      <c r="G5652" t="s">
        <v>801</v>
      </c>
      <c r="H5652">
        <v>5</v>
      </c>
      <c r="I5652">
        <f>VLOOKUP(B5652,BRAND!B:D,3,FALSE)</f>
        <v>3</v>
      </c>
      <c r="J5652">
        <v>4</v>
      </c>
      <c r="M5652">
        <v>1</v>
      </c>
    </row>
    <row r="5653" spans="1:13">
      <c r="A5653" t="s">
        <v>5013</v>
      </c>
      <c r="B5653" t="s">
        <v>120</v>
      </c>
      <c r="C5653" s="34" t="s">
        <v>5374</v>
      </c>
      <c r="F5653" t="s">
        <v>777</v>
      </c>
      <c r="G5653" t="s">
        <v>801</v>
      </c>
      <c r="H5653">
        <v>6</v>
      </c>
      <c r="I5653">
        <f>VLOOKUP(B5653,BRAND!B:D,3,FALSE)</f>
        <v>3</v>
      </c>
      <c r="J5653">
        <v>7</v>
      </c>
      <c r="K5653" t="s">
        <v>821</v>
      </c>
      <c r="M5653">
        <v>1</v>
      </c>
    </row>
    <row r="5654" spans="1:13">
      <c r="A5654" t="s">
        <v>12519</v>
      </c>
      <c r="B5654" t="s">
        <v>12030</v>
      </c>
      <c r="C5654" s="34" t="s">
        <v>12520</v>
      </c>
      <c r="F5654" t="s">
        <v>12521</v>
      </c>
      <c r="G5654" t="s">
        <v>6932</v>
      </c>
      <c r="H5654">
        <v>5</v>
      </c>
    </row>
    <row r="5655" spans="1:13">
      <c r="A5655" t="s">
        <v>12522</v>
      </c>
      <c r="B5655" t="s">
        <v>12030</v>
      </c>
      <c r="C5655" s="34" t="s">
        <v>12523</v>
      </c>
      <c r="F5655" t="s">
        <v>12523</v>
      </c>
      <c r="G5655" t="s">
        <v>6932</v>
      </c>
      <c r="H5655">
        <v>5</v>
      </c>
    </row>
    <row r="5656" spans="1:13">
      <c r="A5656" t="s">
        <v>12524</v>
      </c>
      <c r="B5656" t="s">
        <v>12030</v>
      </c>
      <c r="C5656" s="34" t="s">
        <v>12525</v>
      </c>
      <c r="F5656" t="s">
        <v>12526</v>
      </c>
      <c r="G5656" t="s">
        <v>6932</v>
      </c>
      <c r="H5656">
        <v>5</v>
      </c>
    </row>
    <row r="5657" spans="1:13">
      <c r="A5657" t="s">
        <v>12527</v>
      </c>
      <c r="B5657" t="s">
        <v>12030</v>
      </c>
      <c r="C5657" s="34" t="s">
        <v>12528</v>
      </c>
      <c r="F5657" t="s">
        <v>12528</v>
      </c>
      <c r="G5657" t="s">
        <v>6932</v>
      </c>
      <c r="H5657">
        <v>5</v>
      </c>
    </row>
    <row r="5658" spans="1:13">
      <c r="A5658" t="s">
        <v>12529</v>
      </c>
      <c r="B5658" t="s">
        <v>12030</v>
      </c>
      <c r="C5658" s="34" t="s">
        <v>12530</v>
      </c>
      <c r="F5658" t="s">
        <v>12530</v>
      </c>
      <c r="G5658" t="s">
        <v>6932</v>
      </c>
      <c r="H5658">
        <v>5</v>
      </c>
    </row>
    <row r="5659" spans="1:13">
      <c r="A5659" t="s">
        <v>12531</v>
      </c>
      <c r="B5659" t="s">
        <v>12030</v>
      </c>
      <c r="C5659" s="34" t="s">
        <v>12532</v>
      </c>
      <c r="F5659" t="s">
        <v>12533</v>
      </c>
      <c r="G5659" t="s">
        <v>6932</v>
      </c>
      <c r="H5659">
        <v>5</v>
      </c>
    </row>
    <row r="5660" spans="1:13">
      <c r="A5660" t="s">
        <v>12534</v>
      </c>
      <c r="B5660" t="s">
        <v>12030</v>
      </c>
      <c r="C5660" s="34" t="s">
        <v>12535</v>
      </c>
      <c r="F5660" t="s">
        <v>12535</v>
      </c>
      <c r="G5660" t="s">
        <v>6932</v>
      </c>
      <c r="H5660">
        <v>5</v>
      </c>
    </row>
    <row r="5661" spans="1:13">
      <c r="A5661" t="s">
        <v>12536</v>
      </c>
      <c r="B5661" t="s">
        <v>12030</v>
      </c>
      <c r="C5661" s="34" t="s">
        <v>12537</v>
      </c>
      <c r="F5661" t="s">
        <v>12537</v>
      </c>
      <c r="G5661" t="s">
        <v>6932</v>
      </c>
      <c r="H5661">
        <v>5</v>
      </c>
    </row>
    <row r="5662" spans="1:13">
      <c r="A5662" t="s">
        <v>12538</v>
      </c>
      <c r="B5662" t="s">
        <v>12030</v>
      </c>
      <c r="C5662" s="34" t="s">
        <v>12539</v>
      </c>
      <c r="F5662" t="s">
        <v>12539</v>
      </c>
      <c r="G5662" t="s">
        <v>6932</v>
      </c>
      <c r="H5662">
        <v>5</v>
      </c>
    </row>
    <row r="5663" spans="1:13">
      <c r="A5663" t="s">
        <v>12540</v>
      </c>
      <c r="B5663" t="s">
        <v>12030</v>
      </c>
      <c r="C5663" s="34" t="s">
        <v>12541</v>
      </c>
      <c r="F5663" t="s">
        <v>12541</v>
      </c>
      <c r="G5663" t="s">
        <v>6932</v>
      </c>
      <c r="H5663">
        <v>5</v>
      </c>
    </row>
    <row r="5664" spans="1:13">
      <c r="A5664" t="s">
        <v>12542</v>
      </c>
      <c r="B5664" t="s">
        <v>12030</v>
      </c>
      <c r="C5664" s="34" t="s">
        <v>12543</v>
      </c>
      <c r="F5664" t="s">
        <v>12544</v>
      </c>
      <c r="G5664" t="s">
        <v>6932</v>
      </c>
      <c r="H5664">
        <v>5</v>
      </c>
    </row>
    <row r="5665" spans="1:13">
      <c r="A5665" t="s">
        <v>12545</v>
      </c>
      <c r="B5665" t="s">
        <v>12030</v>
      </c>
      <c r="C5665" s="34" t="s">
        <v>12546</v>
      </c>
      <c r="F5665" t="s">
        <v>12546</v>
      </c>
      <c r="G5665" t="s">
        <v>6932</v>
      </c>
      <c r="H5665">
        <v>5</v>
      </c>
    </row>
    <row r="5666" spans="1:13">
      <c r="A5666" t="s">
        <v>12547</v>
      </c>
      <c r="B5666" t="s">
        <v>12030</v>
      </c>
      <c r="C5666" s="34" t="s">
        <v>12548</v>
      </c>
      <c r="F5666" t="s">
        <v>12548</v>
      </c>
      <c r="G5666" t="s">
        <v>6932</v>
      </c>
      <c r="H5666">
        <v>5</v>
      </c>
    </row>
    <row r="5667" spans="1:13">
      <c r="A5667" t="s">
        <v>7126</v>
      </c>
      <c r="B5667" t="s">
        <v>6651</v>
      </c>
      <c r="C5667" s="34" t="s">
        <v>6652</v>
      </c>
      <c r="F5667" t="s">
        <v>899</v>
      </c>
      <c r="H5667">
        <v>5</v>
      </c>
      <c r="I5667">
        <f>VLOOKUP(B5667,BRAND!B:D,3,FALSE)</f>
        <v>5</v>
      </c>
      <c r="J5667">
        <v>8</v>
      </c>
      <c r="M5667">
        <v>1</v>
      </c>
    </row>
    <row r="5668" spans="1:13">
      <c r="A5668" t="s">
        <v>7126</v>
      </c>
      <c r="B5668" t="s">
        <v>6651</v>
      </c>
      <c r="C5668" s="34" t="s">
        <v>6652</v>
      </c>
      <c r="F5668" t="s">
        <v>899</v>
      </c>
      <c r="H5668">
        <v>5</v>
      </c>
      <c r="I5668">
        <f>VLOOKUP(B5668,BRAND!B:D,3,FALSE)</f>
        <v>5</v>
      </c>
      <c r="J5668">
        <v>8</v>
      </c>
      <c r="M5668">
        <v>1</v>
      </c>
    </row>
    <row r="5669" spans="1:13">
      <c r="A5669" t="s">
        <v>4470</v>
      </c>
      <c r="B5669" t="s">
        <v>1001</v>
      </c>
      <c r="C5669" s="34" t="s">
        <v>783</v>
      </c>
      <c r="F5669" t="s">
        <v>783</v>
      </c>
      <c r="H5669">
        <v>5</v>
      </c>
      <c r="I5669">
        <f>VLOOKUP(B5669,BRAND!B:D,3,FALSE)</f>
        <v>3</v>
      </c>
      <c r="J5669">
        <f>LEN(F5669)</f>
        <v>10</v>
      </c>
      <c r="K5669" t="s">
        <v>821</v>
      </c>
      <c r="L5669">
        <v>0</v>
      </c>
      <c r="M5669">
        <v>0</v>
      </c>
    </row>
    <row r="5670" spans="1:13">
      <c r="A5670" t="s">
        <v>2972</v>
      </c>
      <c r="B5670" t="s">
        <v>1001</v>
      </c>
      <c r="C5670" s="34" t="s">
        <v>774</v>
      </c>
      <c r="F5670" t="s">
        <v>774</v>
      </c>
      <c r="H5670">
        <v>5</v>
      </c>
      <c r="I5670">
        <f>VLOOKUP(B5670,BRAND!B:D,3,FALSE)</f>
        <v>3</v>
      </c>
      <c r="J5670">
        <v>9</v>
      </c>
      <c r="K5670" t="s">
        <v>821</v>
      </c>
      <c r="L5670">
        <v>0</v>
      </c>
      <c r="M5670">
        <v>0</v>
      </c>
    </row>
    <row r="5671" spans="1:13">
      <c r="A5671" t="s">
        <v>3258</v>
      </c>
      <c r="B5671" t="s">
        <v>1001</v>
      </c>
      <c r="C5671" s="34" t="s">
        <v>772</v>
      </c>
      <c r="F5671" t="s">
        <v>772</v>
      </c>
      <c r="H5671">
        <v>5</v>
      </c>
      <c r="I5671">
        <f>VLOOKUP(B5671,BRAND!B:D,3,FALSE)</f>
        <v>3</v>
      </c>
      <c r="J5671">
        <v>6</v>
      </c>
      <c r="K5671" t="s">
        <v>821</v>
      </c>
      <c r="L5671">
        <v>0</v>
      </c>
      <c r="M5671">
        <v>0</v>
      </c>
    </row>
    <row r="5672" spans="1:13">
      <c r="A5672" t="s">
        <v>4797</v>
      </c>
      <c r="B5672" t="s">
        <v>1001</v>
      </c>
      <c r="C5672" s="34" t="s">
        <v>1510</v>
      </c>
      <c r="F5672" t="s">
        <v>1510</v>
      </c>
      <c r="H5672">
        <v>5</v>
      </c>
      <c r="I5672">
        <f>VLOOKUP(B5672,BRAND!B:D,3,FALSE)</f>
        <v>3</v>
      </c>
      <c r="J5672">
        <v>6</v>
      </c>
      <c r="K5672" t="s">
        <v>821</v>
      </c>
      <c r="L5672">
        <v>0</v>
      </c>
      <c r="M5672">
        <v>0</v>
      </c>
    </row>
    <row r="5673" spans="1:13">
      <c r="A5673" t="s">
        <v>3877</v>
      </c>
      <c r="B5673" t="s">
        <v>1001</v>
      </c>
      <c r="C5673" s="34" t="s">
        <v>782</v>
      </c>
      <c r="F5673" t="s">
        <v>782</v>
      </c>
      <c r="H5673">
        <v>5</v>
      </c>
      <c r="I5673">
        <f>VLOOKUP(B5673,BRAND!B:D,3,FALSE)</f>
        <v>3</v>
      </c>
      <c r="J5673">
        <v>4</v>
      </c>
      <c r="K5673" t="s">
        <v>821</v>
      </c>
      <c r="L5673">
        <v>0</v>
      </c>
      <c r="M5673">
        <v>0</v>
      </c>
    </row>
    <row r="5674" spans="1:13">
      <c r="A5674" t="s">
        <v>3868</v>
      </c>
      <c r="B5674" t="s">
        <v>1001</v>
      </c>
      <c r="C5674" s="34" t="s">
        <v>897</v>
      </c>
      <c r="F5674" t="s">
        <v>897</v>
      </c>
      <c r="H5674">
        <v>5</v>
      </c>
      <c r="I5674">
        <f>VLOOKUP(B5674,BRAND!B:D,3,FALSE)</f>
        <v>3</v>
      </c>
      <c r="J5674">
        <v>4</v>
      </c>
      <c r="K5674" t="s">
        <v>821</v>
      </c>
      <c r="L5674">
        <v>0</v>
      </c>
      <c r="M5674">
        <v>0</v>
      </c>
    </row>
    <row r="5675" spans="1:13">
      <c r="A5675" t="s">
        <v>4699</v>
      </c>
      <c r="B5675" t="s">
        <v>1001</v>
      </c>
      <c r="C5675" s="34" t="s">
        <v>1992</v>
      </c>
      <c r="F5675" t="s">
        <v>1992</v>
      </c>
      <c r="H5675">
        <v>5</v>
      </c>
      <c r="I5675">
        <f>VLOOKUP(B5675,BRAND!B:D,3,FALSE)</f>
        <v>3</v>
      </c>
      <c r="J5675">
        <v>3</v>
      </c>
      <c r="K5675" t="s">
        <v>821</v>
      </c>
      <c r="L5675">
        <v>0</v>
      </c>
      <c r="M5675">
        <v>0</v>
      </c>
    </row>
    <row r="5676" spans="1:13">
      <c r="A5676" t="s">
        <v>4525</v>
      </c>
      <c r="B5676" t="s">
        <v>1001</v>
      </c>
      <c r="C5676" s="34" t="s">
        <v>775</v>
      </c>
      <c r="F5676" t="s">
        <v>775</v>
      </c>
      <c r="H5676">
        <v>5</v>
      </c>
      <c r="I5676">
        <f>VLOOKUP(B5676,BRAND!B:D,3,FALSE)</f>
        <v>3</v>
      </c>
      <c r="J5676">
        <v>3</v>
      </c>
      <c r="K5676" t="s">
        <v>821</v>
      </c>
      <c r="L5676">
        <v>0</v>
      </c>
      <c r="M5676">
        <v>0</v>
      </c>
    </row>
    <row r="5677" spans="1:13">
      <c r="A5677" t="s">
        <v>2798</v>
      </c>
      <c r="B5677" t="s">
        <v>1001</v>
      </c>
      <c r="C5677" s="34" t="s">
        <v>1438</v>
      </c>
      <c r="F5677" t="s">
        <v>1438</v>
      </c>
      <c r="H5677">
        <v>15</v>
      </c>
      <c r="I5677">
        <f>VLOOKUP(B5677,BRAND!B:D,3,FALSE)</f>
        <v>3</v>
      </c>
      <c r="J5677">
        <v>4</v>
      </c>
      <c r="K5677" t="s">
        <v>821</v>
      </c>
      <c r="L5677">
        <v>0</v>
      </c>
      <c r="M5677">
        <v>0</v>
      </c>
    </row>
    <row r="5678" spans="1:13">
      <c r="A5678" t="s">
        <v>8856</v>
      </c>
      <c r="B5678" t="s">
        <v>8857</v>
      </c>
      <c r="C5678" s="34" t="s">
        <v>1438</v>
      </c>
      <c r="F5678" t="s">
        <v>1438</v>
      </c>
      <c r="G5678" t="s">
        <v>6932</v>
      </c>
      <c r="H5678">
        <v>5</v>
      </c>
      <c r="I5678">
        <f>VLOOKUP(B5678,BRAND!B:D,3,FALSE)</f>
        <v>5.5</v>
      </c>
      <c r="J5678">
        <v>4</v>
      </c>
      <c r="M5678">
        <v>1</v>
      </c>
    </row>
    <row r="5679" spans="1:13">
      <c r="A5679" t="s">
        <v>11900</v>
      </c>
      <c r="B5679" t="s">
        <v>10952</v>
      </c>
      <c r="C5679" s="34" t="s">
        <v>11901</v>
      </c>
      <c r="F5679" t="s">
        <v>7808</v>
      </c>
      <c r="G5679" t="s">
        <v>6932</v>
      </c>
      <c r="H5679">
        <v>5</v>
      </c>
    </row>
    <row r="5680" spans="1:13">
      <c r="A5680" t="s">
        <v>11902</v>
      </c>
      <c r="B5680" t="s">
        <v>10952</v>
      </c>
      <c r="C5680" s="34" t="s">
        <v>933</v>
      </c>
      <c r="F5680" t="s">
        <v>933</v>
      </c>
      <c r="G5680" t="s">
        <v>6932</v>
      </c>
      <c r="H5680">
        <v>5</v>
      </c>
    </row>
    <row r="5681" spans="1:8">
      <c r="A5681" t="s">
        <v>11903</v>
      </c>
      <c r="B5681" t="s">
        <v>10952</v>
      </c>
      <c r="C5681" s="34" t="s">
        <v>561</v>
      </c>
      <c r="F5681" t="s">
        <v>561</v>
      </c>
      <c r="G5681" t="s">
        <v>6932</v>
      </c>
      <c r="H5681">
        <v>5</v>
      </c>
    </row>
    <row r="5682" spans="1:8">
      <c r="A5682" t="s">
        <v>11904</v>
      </c>
      <c r="B5682" t="s">
        <v>10952</v>
      </c>
      <c r="C5682" s="34" t="s">
        <v>10745</v>
      </c>
      <c r="F5682" t="s">
        <v>10745</v>
      </c>
      <c r="G5682" t="s">
        <v>6932</v>
      </c>
      <c r="H5682">
        <v>5</v>
      </c>
    </row>
    <row r="5683" spans="1:8">
      <c r="A5683" t="s">
        <v>11905</v>
      </c>
      <c r="B5683" t="s">
        <v>10952</v>
      </c>
      <c r="C5683" s="34" t="s">
        <v>7808</v>
      </c>
      <c r="F5683" t="s">
        <v>7808</v>
      </c>
      <c r="G5683" t="s">
        <v>801</v>
      </c>
      <c r="H5683">
        <v>5</v>
      </c>
    </row>
    <row r="5684" spans="1:8">
      <c r="A5684" t="s">
        <v>11906</v>
      </c>
      <c r="B5684" t="s">
        <v>10952</v>
      </c>
      <c r="C5684" s="34" t="s">
        <v>11302</v>
      </c>
      <c r="F5684" t="s">
        <v>11302</v>
      </c>
      <c r="G5684" t="s">
        <v>6932</v>
      </c>
      <c r="H5684">
        <v>5</v>
      </c>
    </row>
    <row r="5685" spans="1:8">
      <c r="A5685" t="s">
        <v>11907</v>
      </c>
      <c r="B5685" t="s">
        <v>10952</v>
      </c>
      <c r="C5685" s="34" t="s">
        <v>11303</v>
      </c>
      <c r="F5685" t="s">
        <v>11303</v>
      </c>
      <c r="G5685" t="s">
        <v>6932</v>
      </c>
      <c r="H5685">
        <v>5</v>
      </c>
    </row>
    <row r="5686" spans="1:8">
      <c r="A5686" t="s">
        <v>11908</v>
      </c>
      <c r="B5686" t="s">
        <v>10952</v>
      </c>
      <c r="C5686" s="34" t="s">
        <v>15</v>
      </c>
      <c r="F5686" t="s">
        <v>15</v>
      </c>
      <c r="G5686" t="s">
        <v>6932</v>
      </c>
      <c r="H5686">
        <v>5</v>
      </c>
    </row>
    <row r="5687" spans="1:8">
      <c r="A5687" t="s">
        <v>11909</v>
      </c>
      <c r="B5687" t="s">
        <v>10952</v>
      </c>
      <c r="C5687" s="34" t="s">
        <v>217</v>
      </c>
      <c r="F5687" t="s">
        <v>217</v>
      </c>
      <c r="G5687" t="s">
        <v>6932</v>
      </c>
      <c r="H5687">
        <v>5</v>
      </c>
    </row>
    <row r="5688" spans="1:8">
      <c r="A5688" t="s">
        <v>11910</v>
      </c>
      <c r="B5688" t="s">
        <v>10952</v>
      </c>
      <c r="C5688" s="34" t="s">
        <v>8170</v>
      </c>
      <c r="F5688" t="s">
        <v>8170</v>
      </c>
      <c r="G5688" t="s">
        <v>6932</v>
      </c>
      <c r="H5688">
        <v>5</v>
      </c>
    </row>
    <row r="5689" spans="1:8">
      <c r="A5689" t="s">
        <v>11911</v>
      </c>
      <c r="B5689" t="s">
        <v>10952</v>
      </c>
      <c r="C5689" s="34" t="s">
        <v>561</v>
      </c>
      <c r="F5689" t="s">
        <v>561</v>
      </c>
      <c r="G5689" t="s">
        <v>801</v>
      </c>
      <c r="H5689">
        <v>5</v>
      </c>
    </row>
    <row r="5690" spans="1:8">
      <c r="A5690" t="s">
        <v>11912</v>
      </c>
      <c r="B5690" t="s">
        <v>10952</v>
      </c>
      <c r="C5690" s="34" t="s">
        <v>11304</v>
      </c>
      <c r="F5690" t="s">
        <v>11304</v>
      </c>
      <c r="G5690" t="s">
        <v>6932</v>
      </c>
      <c r="H5690">
        <v>5</v>
      </c>
    </row>
    <row r="5691" spans="1:8">
      <c r="A5691" t="s">
        <v>11913</v>
      </c>
      <c r="B5691" t="s">
        <v>10952</v>
      </c>
      <c r="C5691" s="34" t="s">
        <v>11305</v>
      </c>
      <c r="F5691" t="s">
        <v>11305</v>
      </c>
      <c r="G5691" t="s">
        <v>6932</v>
      </c>
      <c r="H5691">
        <v>5</v>
      </c>
    </row>
    <row r="5692" spans="1:8">
      <c r="A5692" t="s">
        <v>11914</v>
      </c>
      <c r="B5692" t="s">
        <v>10952</v>
      </c>
      <c r="C5692" s="34" t="s">
        <v>11306</v>
      </c>
      <c r="F5692" t="s">
        <v>11306</v>
      </c>
      <c r="G5692" t="s">
        <v>6932</v>
      </c>
      <c r="H5692">
        <v>5</v>
      </c>
    </row>
    <row r="5693" spans="1:8">
      <c r="A5693" t="s">
        <v>11915</v>
      </c>
      <c r="B5693" t="s">
        <v>10952</v>
      </c>
      <c r="C5693" s="34" t="s">
        <v>11307</v>
      </c>
      <c r="F5693" t="s">
        <v>11307</v>
      </c>
      <c r="G5693" t="s">
        <v>6932</v>
      </c>
      <c r="H5693">
        <v>5</v>
      </c>
    </row>
    <row r="5694" spans="1:8">
      <c r="A5694" t="s">
        <v>11916</v>
      </c>
      <c r="B5694" t="s">
        <v>10952</v>
      </c>
      <c r="C5694" s="34" t="s">
        <v>11308</v>
      </c>
      <c r="F5694" t="s">
        <v>11308</v>
      </c>
      <c r="G5694" t="s">
        <v>6932</v>
      </c>
      <c r="H5694">
        <v>5</v>
      </c>
    </row>
    <row r="5695" spans="1:8">
      <c r="A5695" t="s">
        <v>11914</v>
      </c>
      <c r="B5695" t="s">
        <v>10952</v>
      </c>
      <c r="C5695" s="34" t="s">
        <v>11306</v>
      </c>
      <c r="F5695" t="s">
        <v>11306</v>
      </c>
      <c r="G5695" t="s">
        <v>6932</v>
      </c>
      <c r="H5695">
        <v>5</v>
      </c>
    </row>
    <row r="5696" spans="1:8">
      <c r="A5696" t="s">
        <v>11917</v>
      </c>
      <c r="B5696" t="s">
        <v>10952</v>
      </c>
      <c r="C5696" s="34" t="s">
        <v>11309</v>
      </c>
      <c r="F5696" t="s">
        <v>11309</v>
      </c>
      <c r="G5696" t="s">
        <v>6932</v>
      </c>
      <c r="H5696">
        <v>5</v>
      </c>
    </row>
    <row r="5697" spans="1:13">
      <c r="A5697" t="s">
        <v>11918</v>
      </c>
      <c r="B5697" t="s">
        <v>10952</v>
      </c>
      <c r="C5697" s="34" t="s">
        <v>11310</v>
      </c>
      <c r="F5697" t="s">
        <v>11310</v>
      </c>
      <c r="G5697" t="s">
        <v>6932</v>
      </c>
      <c r="H5697">
        <v>5</v>
      </c>
    </row>
    <row r="5698" spans="1:13">
      <c r="A5698" t="s">
        <v>11919</v>
      </c>
      <c r="B5698" t="s">
        <v>10952</v>
      </c>
      <c r="C5698" s="34" t="s">
        <v>11901</v>
      </c>
      <c r="F5698" t="s">
        <v>7808</v>
      </c>
      <c r="G5698" t="s">
        <v>2000</v>
      </c>
      <c r="H5698">
        <v>5</v>
      </c>
    </row>
    <row r="5699" spans="1:13">
      <c r="A5699" t="s">
        <v>11920</v>
      </c>
      <c r="B5699" t="s">
        <v>10952</v>
      </c>
      <c r="C5699" s="34" t="s">
        <v>11311</v>
      </c>
      <c r="F5699" t="s">
        <v>11311</v>
      </c>
      <c r="G5699" t="s">
        <v>6932</v>
      </c>
      <c r="H5699">
        <v>5</v>
      </c>
    </row>
    <row r="5700" spans="1:13">
      <c r="A5700" t="s">
        <v>11921</v>
      </c>
      <c r="B5700" t="s">
        <v>10952</v>
      </c>
      <c r="C5700" s="34" t="s">
        <v>777</v>
      </c>
      <c r="F5700" t="s">
        <v>777</v>
      </c>
      <c r="G5700" t="s">
        <v>6932</v>
      </c>
      <c r="H5700">
        <v>5</v>
      </c>
    </row>
    <row r="5701" spans="1:13">
      <c r="A5701" t="s">
        <v>11922</v>
      </c>
      <c r="B5701" t="s">
        <v>10952</v>
      </c>
      <c r="C5701" s="34" t="s">
        <v>11312</v>
      </c>
      <c r="F5701" t="s">
        <v>11312</v>
      </c>
      <c r="G5701" t="s">
        <v>6932</v>
      </c>
      <c r="H5701">
        <v>5</v>
      </c>
    </row>
    <row r="5702" spans="1:13">
      <c r="A5702" t="s">
        <v>11923</v>
      </c>
      <c r="B5702" t="s">
        <v>10952</v>
      </c>
      <c r="C5702" s="34" t="s">
        <v>11313</v>
      </c>
      <c r="F5702" t="s">
        <v>11313</v>
      </c>
      <c r="G5702" t="s">
        <v>6932</v>
      </c>
      <c r="H5702">
        <v>5</v>
      </c>
    </row>
    <row r="5703" spans="1:13">
      <c r="A5703" t="s">
        <v>11924</v>
      </c>
      <c r="B5703" t="s">
        <v>10952</v>
      </c>
      <c r="C5703" s="34" t="s">
        <v>11314</v>
      </c>
      <c r="F5703" t="s">
        <v>11314</v>
      </c>
      <c r="G5703" t="s">
        <v>6932</v>
      </c>
      <c r="H5703">
        <v>5</v>
      </c>
    </row>
    <row r="5704" spans="1:13">
      <c r="A5704" t="s">
        <v>8858</v>
      </c>
      <c r="B5704" t="s">
        <v>8859</v>
      </c>
      <c r="C5704" s="34" t="s">
        <v>1438</v>
      </c>
      <c r="F5704" t="s">
        <v>1438</v>
      </c>
      <c r="G5704" t="s">
        <v>6932</v>
      </c>
      <c r="H5704">
        <v>5</v>
      </c>
      <c r="I5704">
        <f>VLOOKUP(B5704,BRAND!B:D,3,FALSE)</f>
        <v>5.5</v>
      </c>
      <c r="J5704">
        <v>4</v>
      </c>
      <c r="L5704">
        <v>0</v>
      </c>
      <c r="M5704">
        <v>0</v>
      </c>
    </row>
    <row r="5705" spans="1:13">
      <c r="A5705" t="s">
        <v>2630</v>
      </c>
      <c r="B5705" t="s">
        <v>121</v>
      </c>
      <c r="C5705" s="34" t="s">
        <v>1438</v>
      </c>
      <c r="F5705" t="s">
        <v>1438</v>
      </c>
      <c r="H5705">
        <v>15</v>
      </c>
      <c r="I5705">
        <f>VLOOKUP(B5705,BRAND!B:D,3,FALSE)</f>
        <v>3</v>
      </c>
      <c r="J5705">
        <v>4</v>
      </c>
      <c r="K5705" t="s">
        <v>821</v>
      </c>
      <c r="M5705">
        <v>1</v>
      </c>
    </row>
    <row r="5706" spans="1:13">
      <c r="A5706" t="s">
        <v>9772</v>
      </c>
      <c r="B5706" t="s">
        <v>10001</v>
      </c>
      <c r="C5706" s="34" t="s">
        <v>1438</v>
      </c>
      <c r="G5706" t="s">
        <v>6932</v>
      </c>
      <c r="H5706">
        <v>5</v>
      </c>
      <c r="I5706">
        <f>VLOOKUP(B5706,BRAND!B:D,3,FALSE)</f>
        <v>5.5</v>
      </c>
      <c r="J5706">
        <f>LEN(F5706)</f>
        <v>0</v>
      </c>
      <c r="L5706">
        <v>0</v>
      </c>
      <c r="M5706">
        <v>0</v>
      </c>
    </row>
    <row r="5707" spans="1:13">
      <c r="A5707" t="s">
        <v>9772</v>
      </c>
      <c r="B5707" t="s">
        <v>10001</v>
      </c>
      <c r="C5707" s="34" t="s">
        <v>1438</v>
      </c>
      <c r="G5707" t="s">
        <v>6932</v>
      </c>
      <c r="H5707">
        <v>5</v>
      </c>
      <c r="I5707">
        <f>VLOOKUP(B5707,BRAND!B:D,3,FALSE)</f>
        <v>5.5</v>
      </c>
      <c r="J5707">
        <v>0</v>
      </c>
      <c r="M5707">
        <v>1</v>
      </c>
    </row>
    <row r="5708" spans="1:13">
      <c r="A5708" t="s">
        <v>8860</v>
      </c>
      <c r="B5708" t="s">
        <v>8861</v>
      </c>
      <c r="C5708" s="34" t="s">
        <v>1438</v>
      </c>
      <c r="F5708" t="s">
        <v>1438</v>
      </c>
      <c r="G5708" t="s">
        <v>6932</v>
      </c>
      <c r="H5708">
        <v>5</v>
      </c>
      <c r="I5708">
        <f>VLOOKUP(B5708,BRAND!B:D,3,FALSE)</f>
        <v>5.5</v>
      </c>
      <c r="J5708">
        <v>4</v>
      </c>
      <c r="M5708">
        <v>1</v>
      </c>
    </row>
    <row r="5709" spans="1:13">
      <c r="A5709" t="s">
        <v>5301</v>
      </c>
      <c r="B5709" t="s">
        <v>276</v>
      </c>
      <c r="C5709" s="34" t="s">
        <v>984</v>
      </c>
      <c r="F5709" t="s">
        <v>984</v>
      </c>
      <c r="H5709">
        <v>4</v>
      </c>
      <c r="I5709">
        <f>VLOOKUP(B5709,BRAND!B:D,3,FALSE)</f>
        <v>3</v>
      </c>
      <c r="J5709">
        <v>9</v>
      </c>
      <c r="K5709" t="s">
        <v>821</v>
      </c>
      <c r="M5709">
        <v>1</v>
      </c>
    </row>
    <row r="5710" spans="1:13">
      <c r="A5710" t="s">
        <v>8863</v>
      </c>
      <c r="B5710" t="s">
        <v>276</v>
      </c>
      <c r="C5710" s="34" t="s">
        <v>8864</v>
      </c>
      <c r="F5710" t="s">
        <v>8864</v>
      </c>
      <c r="G5710" t="s">
        <v>6932</v>
      </c>
      <c r="H5710">
        <v>4</v>
      </c>
      <c r="I5710">
        <f>VLOOKUP(B5710,BRAND!B:D,3,FALSE)</f>
        <v>3</v>
      </c>
      <c r="J5710">
        <v>7</v>
      </c>
      <c r="M5710">
        <v>1</v>
      </c>
    </row>
    <row r="5711" spans="1:13">
      <c r="A5711" t="s">
        <v>8862</v>
      </c>
      <c r="B5711" t="s">
        <v>276</v>
      </c>
      <c r="C5711" s="34" t="s">
        <v>765</v>
      </c>
      <c r="F5711" t="s">
        <v>765</v>
      </c>
      <c r="G5711" t="s">
        <v>6932</v>
      </c>
      <c r="H5711">
        <v>5</v>
      </c>
      <c r="I5711">
        <f>VLOOKUP(B5711,BRAND!B:D,3,FALSE)</f>
        <v>3</v>
      </c>
      <c r="J5711">
        <v>4</v>
      </c>
      <c r="M5711">
        <v>1</v>
      </c>
    </row>
    <row r="5712" spans="1:13">
      <c r="A5712" t="s">
        <v>3378</v>
      </c>
      <c r="B5712" t="s">
        <v>276</v>
      </c>
      <c r="C5712" s="34" t="s">
        <v>5417</v>
      </c>
      <c r="F5712" t="s">
        <v>758</v>
      </c>
      <c r="H5712">
        <v>5</v>
      </c>
      <c r="I5712">
        <f>VLOOKUP(B5712,BRAND!B:D,3,FALSE)</f>
        <v>3</v>
      </c>
      <c r="J5712">
        <v>2</v>
      </c>
      <c r="K5712" t="s">
        <v>821</v>
      </c>
      <c r="M5712">
        <v>1</v>
      </c>
    </row>
    <row r="5713" spans="1:13">
      <c r="A5713" t="s">
        <v>3357</v>
      </c>
      <c r="B5713" t="s">
        <v>276</v>
      </c>
      <c r="C5713" s="34" t="s">
        <v>757</v>
      </c>
      <c r="F5713" t="s">
        <v>757</v>
      </c>
      <c r="H5713">
        <v>5</v>
      </c>
      <c r="I5713">
        <f>VLOOKUP(B5713,BRAND!B:D,3,FALSE)</f>
        <v>3</v>
      </c>
      <c r="J5713">
        <v>2</v>
      </c>
      <c r="K5713" t="s">
        <v>821</v>
      </c>
      <c r="M5713">
        <v>1</v>
      </c>
    </row>
    <row r="5714" spans="1:13">
      <c r="A5714" t="s">
        <v>3121</v>
      </c>
      <c r="B5714" t="s">
        <v>276</v>
      </c>
      <c r="C5714" s="34" t="s">
        <v>762</v>
      </c>
      <c r="F5714" t="s">
        <v>762</v>
      </c>
      <c r="H5714">
        <v>5</v>
      </c>
      <c r="I5714">
        <f>VLOOKUP(B5714,BRAND!B:D,3,FALSE)</f>
        <v>3</v>
      </c>
      <c r="J5714">
        <v>1</v>
      </c>
      <c r="K5714" t="s">
        <v>821</v>
      </c>
      <c r="M5714">
        <v>1</v>
      </c>
    </row>
    <row r="5715" spans="1:13">
      <c r="A5715" t="s">
        <v>3654</v>
      </c>
      <c r="B5715" t="s">
        <v>276</v>
      </c>
      <c r="C5715" s="34" t="s">
        <v>5416</v>
      </c>
      <c r="F5715" t="s">
        <v>759</v>
      </c>
      <c r="H5715">
        <v>6</v>
      </c>
      <c r="I5715">
        <f>VLOOKUP(B5715,BRAND!B:D,3,FALSE)</f>
        <v>3</v>
      </c>
      <c r="J5715">
        <v>1</v>
      </c>
      <c r="K5715" t="s">
        <v>821</v>
      </c>
      <c r="M5715">
        <v>1</v>
      </c>
    </row>
    <row r="5716" spans="1:13">
      <c r="A5716" t="s">
        <v>4391</v>
      </c>
      <c r="B5716" t="s">
        <v>1058</v>
      </c>
      <c r="C5716" s="34" t="s">
        <v>995</v>
      </c>
      <c r="F5716" t="s">
        <v>995</v>
      </c>
      <c r="H5716">
        <v>5</v>
      </c>
      <c r="I5716">
        <f>VLOOKUP(B5716,BRAND!B:D,3,FALSE)</f>
        <v>3</v>
      </c>
      <c r="J5716">
        <v>6</v>
      </c>
      <c r="K5716" t="s">
        <v>821</v>
      </c>
      <c r="L5716">
        <v>0</v>
      </c>
      <c r="M5716">
        <v>0</v>
      </c>
    </row>
    <row r="5717" spans="1:13">
      <c r="A5717" t="s">
        <v>2257</v>
      </c>
      <c r="B5717" t="s">
        <v>1058</v>
      </c>
      <c r="C5717" s="34" t="s">
        <v>1438</v>
      </c>
      <c r="F5717" t="s">
        <v>1438</v>
      </c>
      <c r="H5717">
        <v>15</v>
      </c>
      <c r="I5717">
        <f>VLOOKUP(B5717,BRAND!B:D,3,FALSE)</f>
        <v>3</v>
      </c>
      <c r="J5717">
        <v>4</v>
      </c>
      <c r="K5717" t="s">
        <v>821</v>
      </c>
      <c r="L5717">
        <v>0</v>
      </c>
      <c r="M5717">
        <v>0</v>
      </c>
    </row>
    <row r="5718" spans="1:13">
      <c r="A5718" t="s">
        <v>7070</v>
      </c>
      <c r="B5718" t="s">
        <v>7071</v>
      </c>
      <c r="C5718" s="34" t="s">
        <v>1438</v>
      </c>
      <c r="F5718" t="s">
        <v>1438</v>
      </c>
      <c r="H5718">
        <v>5</v>
      </c>
      <c r="I5718">
        <f>VLOOKUP(B5718,BRAND!B:D,3,FALSE)</f>
        <v>5</v>
      </c>
      <c r="J5718">
        <v>4</v>
      </c>
      <c r="M5718">
        <v>1</v>
      </c>
    </row>
    <row r="5719" spans="1:13">
      <c r="A5719" t="s">
        <v>8868</v>
      </c>
      <c r="B5719" t="s">
        <v>8866</v>
      </c>
      <c r="C5719" s="34" t="s">
        <v>534</v>
      </c>
      <c r="F5719" t="s">
        <v>534</v>
      </c>
      <c r="G5719" t="s">
        <v>6932</v>
      </c>
      <c r="H5719">
        <v>5</v>
      </c>
      <c r="I5719">
        <f>VLOOKUP(B5719,BRAND!B:D,3,FALSE)</f>
        <v>5.5</v>
      </c>
      <c r="J5719">
        <v>6</v>
      </c>
      <c r="M5719">
        <v>1</v>
      </c>
    </row>
    <row r="5720" spans="1:13">
      <c r="A5720" t="s">
        <v>8869</v>
      </c>
      <c r="B5720" t="s">
        <v>8866</v>
      </c>
      <c r="C5720" s="34" t="s">
        <v>536</v>
      </c>
      <c r="F5720" t="s">
        <v>536</v>
      </c>
      <c r="G5720" t="s">
        <v>6932</v>
      </c>
      <c r="H5720">
        <v>5</v>
      </c>
      <c r="I5720">
        <f>VLOOKUP(B5720,BRAND!B:D,3,FALSE)</f>
        <v>5.5</v>
      </c>
      <c r="J5720">
        <v>5</v>
      </c>
      <c r="M5720">
        <v>1</v>
      </c>
    </row>
    <row r="5721" spans="1:13">
      <c r="A5721" t="s">
        <v>8867</v>
      </c>
      <c r="B5721" t="s">
        <v>8866</v>
      </c>
      <c r="C5721" s="34" t="s">
        <v>842</v>
      </c>
      <c r="F5721" t="s">
        <v>842</v>
      </c>
      <c r="G5721" t="s">
        <v>6932</v>
      </c>
      <c r="H5721">
        <v>5</v>
      </c>
      <c r="I5721">
        <f>VLOOKUP(B5721,BRAND!B:D,3,FALSE)</f>
        <v>5.5</v>
      </c>
      <c r="J5721">
        <v>5</v>
      </c>
      <c r="M5721">
        <v>1</v>
      </c>
    </row>
    <row r="5722" spans="1:13">
      <c r="A5722" t="s">
        <v>8865</v>
      </c>
      <c r="B5722" t="s">
        <v>8866</v>
      </c>
      <c r="C5722" s="34" t="s">
        <v>776</v>
      </c>
      <c r="F5722" t="s">
        <v>776</v>
      </c>
      <c r="G5722" t="s">
        <v>6932</v>
      </c>
      <c r="H5722">
        <v>5</v>
      </c>
      <c r="I5722">
        <f>VLOOKUP(B5722,BRAND!B:D,3,FALSE)</f>
        <v>5.5</v>
      </c>
      <c r="J5722">
        <v>5</v>
      </c>
      <c r="M5722">
        <v>1</v>
      </c>
    </row>
    <row r="5723" spans="1:13">
      <c r="A5723" t="s">
        <v>8870</v>
      </c>
      <c r="B5723" t="s">
        <v>8871</v>
      </c>
      <c r="C5723" s="34" t="s">
        <v>1438</v>
      </c>
      <c r="F5723" t="s">
        <v>1438</v>
      </c>
      <c r="G5723" t="s">
        <v>6932</v>
      </c>
      <c r="H5723">
        <v>5</v>
      </c>
      <c r="I5723">
        <f>VLOOKUP(B5723,BRAND!B:D,3,FALSE)</f>
        <v>5.5</v>
      </c>
      <c r="J5723">
        <v>4</v>
      </c>
      <c r="M5723">
        <v>1</v>
      </c>
    </row>
    <row r="5724" spans="1:13">
      <c r="A5724" t="s">
        <v>7080</v>
      </c>
      <c r="B5724" t="s">
        <v>1305</v>
      </c>
      <c r="C5724" s="34" t="s">
        <v>1438</v>
      </c>
      <c r="F5724" t="s">
        <v>1438</v>
      </c>
      <c r="H5724">
        <v>5</v>
      </c>
      <c r="I5724">
        <f>VLOOKUP(B5724,BRAND!B:D,3,FALSE)</f>
        <v>3</v>
      </c>
      <c r="J5724">
        <v>4</v>
      </c>
      <c r="L5724">
        <v>1</v>
      </c>
      <c r="M5724">
        <v>1</v>
      </c>
    </row>
    <row r="5725" spans="1:13">
      <c r="A5725" t="s">
        <v>3181</v>
      </c>
      <c r="B5725" t="s">
        <v>1305</v>
      </c>
      <c r="C5725" s="34" t="s">
        <v>1438</v>
      </c>
      <c r="F5725" t="s">
        <v>1438</v>
      </c>
      <c r="H5725">
        <v>15</v>
      </c>
      <c r="I5725">
        <f>VLOOKUP(B5725,BRAND!B:D,3,FALSE)</f>
        <v>3</v>
      </c>
      <c r="J5725">
        <v>4</v>
      </c>
      <c r="K5725" t="s">
        <v>821</v>
      </c>
      <c r="L5725">
        <v>0</v>
      </c>
      <c r="M5725">
        <v>0</v>
      </c>
    </row>
    <row r="5726" spans="1:13">
      <c r="A5726" t="s">
        <v>9773</v>
      </c>
      <c r="B5726" t="s">
        <v>6591</v>
      </c>
      <c r="C5726" s="34" t="s">
        <v>776</v>
      </c>
      <c r="F5726" t="s">
        <v>776</v>
      </c>
      <c r="H5726">
        <v>5</v>
      </c>
      <c r="I5726">
        <f>VLOOKUP(B5726,BRAND!B:D,3,FALSE)</f>
        <v>5</v>
      </c>
      <c r="J5726">
        <v>5</v>
      </c>
      <c r="M5726">
        <v>1</v>
      </c>
    </row>
    <row r="5727" spans="1:13">
      <c r="A5727" t="s">
        <v>8872</v>
      </c>
      <c r="B5727" t="s">
        <v>8873</v>
      </c>
      <c r="C5727" s="34" t="s">
        <v>1438</v>
      </c>
      <c r="F5727" t="s">
        <v>1438</v>
      </c>
      <c r="G5727" t="s">
        <v>6932</v>
      </c>
      <c r="H5727">
        <v>5</v>
      </c>
      <c r="I5727">
        <f>VLOOKUP(B5727,BRAND!B:D,3,FALSE)</f>
        <v>5.5</v>
      </c>
      <c r="J5727">
        <v>4</v>
      </c>
      <c r="M5727">
        <v>1</v>
      </c>
    </row>
    <row r="5728" spans="1:13">
      <c r="A5728" t="s">
        <v>3122</v>
      </c>
      <c r="B5728" t="s">
        <v>122</v>
      </c>
      <c r="C5728" s="34" t="s">
        <v>776</v>
      </c>
      <c r="F5728" t="s">
        <v>776</v>
      </c>
      <c r="H5728">
        <v>5</v>
      </c>
      <c r="I5728">
        <f>VLOOKUP(B5728,BRAND!B:D,3,FALSE)</f>
        <v>3</v>
      </c>
      <c r="J5728">
        <v>5</v>
      </c>
      <c r="K5728" t="s">
        <v>821</v>
      </c>
      <c r="L5728">
        <v>0</v>
      </c>
      <c r="M5728">
        <v>0</v>
      </c>
    </row>
    <row r="5729" spans="1:13">
      <c r="A5729" t="s">
        <v>2098</v>
      </c>
      <c r="B5729" t="s">
        <v>122</v>
      </c>
      <c r="C5729" s="34" t="s">
        <v>1438</v>
      </c>
      <c r="F5729" t="s">
        <v>1438</v>
      </c>
      <c r="H5729">
        <v>15</v>
      </c>
      <c r="I5729">
        <f>VLOOKUP(B5729,BRAND!B:D,3,FALSE)</f>
        <v>3</v>
      </c>
      <c r="J5729">
        <v>4</v>
      </c>
      <c r="K5729" t="s">
        <v>821</v>
      </c>
      <c r="M5729">
        <v>1</v>
      </c>
    </row>
    <row r="5730" spans="1:13">
      <c r="A5730" t="s">
        <v>2714</v>
      </c>
      <c r="B5730" t="s">
        <v>1306</v>
      </c>
      <c r="C5730" s="34" t="s">
        <v>1438</v>
      </c>
      <c r="F5730" t="s">
        <v>1438</v>
      </c>
      <c r="H5730">
        <v>15</v>
      </c>
      <c r="I5730">
        <f>VLOOKUP(B5730,BRAND!B:D,3,FALSE)</f>
        <v>3</v>
      </c>
      <c r="J5730">
        <v>4</v>
      </c>
      <c r="K5730" t="s">
        <v>821</v>
      </c>
      <c r="L5730">
        <v>0</v>
      </c>
      <c r="M5730">
        <v>0</v>
      </c>
    </row>
    <row r="5731" spans="1:13">
      <c r="A5731" t="s">
        <v>8874</v>
      </c>
      <c r="B5731" t="s">
        <v>8875</v>
      </c>
      <c r="C5731" s="34" t="s">
        <v>1438</v>
      </c>
      <c r="F5731" t="s">
        <v>1438</v>
      </c>
      <c r="G5731" t="s">
        <v>6932</v>
      </c>
      <c r="H5731">
        <v>5</v>
      </c>
      <c r="I5731">
        <f>VLOOKUP(B5731,BRAND!B:D,3,FALSE)</f>
        <v>5.5</v>
      </c>
      <c r="J5731">
        <v>4</v>
      </c>
      <c r="M5731">
        <v>1</v>
      </c>
    </row>
    <row r="5732" spans="1:13">
      <c r="A5732" t="s">
        <v>3745</v>
      </c>
      <c r="B5732" t="s">
        <v>489</v>
      </c>
      <c r="C5732" s="34" t="s">
        <v>777</v>
      </c>
      <c r="F5732" t="s">
        <v>777</v>
      </c>
      <c r="H5732">
        <v>5</v>
      </c>
      <c r="I5732">
        <f>VLOOKUP(B5732,BRAND!B:D,3,FALSE)</f>
        <v>3</v>
      </c>
      <c r="J5732">
        <v>7</v>
      </c>
      <c r="K5732" t="s">
        <v>821</v>
      </c>
      <c r="M5732">
        <v>1</v>
      </c>
    </row>
    <row r="5733" spans="1:13">
      <c r="A5733" t="s">
        <v>10796</v>
      </c>
      <c r="B5733" t="s">
        <v>10797</v>
      </c>
      <c r="C5733" s="34" t="s">
        <v>1438</v>
      </c>
      <c r="F5733" t="s">
        <v>1438</v>
      </c>
      <c r="H5733">
        <v>5</v>
      </c>
    </row>
    <row r="5734" spans="1:13">
      <c r="A5734" t="s">
        <v>3710</v>
      </c>
      <c r="B5734" t="s">
        <v>475</v>
      </c>
      <c r="C5734" s="34" t="s">
        <v>535</v>
      </c>
      <c r="F5734" t="s">
        <v>535</v>
      </c>
      <c r="H5734">
        <v>5</v>
      </c>
      <c r="I5734">
        <f>VLOOKUP(B5734,BRAND!B:D,3,FALSE)</f>
        <v>3</v>
      </c>
      <c r="J5734">
        <v>6</v>
      </c>
      <c r="K5734" t="s">
        <v>821</v>
      </c>
      <c r="L5734">
        <v>0</v>
      </c>
      <c r="M5734">
        <v>0</v>
      </c>
    </row>
    <row r="5735" spans="1:13">
      <c r="A5735" t="s">
        <v>2285</v>
      </c>
      <c r="B5735" t="s">
        <v>475</v>
      </c>
      <c r="C5735" s="34" t="s">
        <v>536</v>
      </c>
      <c r="F5735" t="s">
        <v>536</v>
      </c>
      <c r="H5735">
        <v>5</v>
      </c>
      <c r="I5735">
        <f>VLOOKUP(B5735,BRAND!B:D,3,FALSE)</f>
        <v>3</v>
      </c>
      <c r="J5735">
        <v>5</v>
      </c>
      <c r="K5735" t="s">
        <v>821</v>
      </c>
      <c r="L5735">
        <v>0</v>
      </c>
      <c r="M5735">
        <v>0</v>
      </c>
    </row>
    <row r="5736" spans="1:13">
      <c r="A5736" t="s">
        <v>3740</v>
      </c>
      <c r="B5736" t="s">
        <v>475</v>
      </c>
      <c r="C5736" s="34" t="s">
        <v>561</v>
      </c>
      <c r="F5736" t="s">
        <v>561</v>
      </c>
      <c r="H5736">
        <v>5</v>
      </c>
      <c r="I5736">
        <f>VLOOKUP(B5736,BRAND!B:D,3,FALSE)</f>
        <v>3</v>
      </c>
      <c r="J5736">
        <v>3</v>
      </c>
      <c r="K5736" t="s">
        <v>821</v>
      </c>
      <c r="M5736">
        <v>1</v>
      </c>
    </row>
    <row r="5737" spans="1:13">
      <c r="A5737" t="s">
        <v>2726</v>
      </c>
      <c r="B5737" t="s">
        <v>475</v>
      </c>
      <c r="C5737" s="34" t="s">
        <v>1438</v>
      </c>
      <c r="F5737" t="s">
        <v>1438</v>
      </c>
      <c r="H5737">
        <v>15</v>
      </c>
      <c r="I5737">
        <f>VLOOKUP(B5737,BRAND!B:D,3,FALSE)</f>
        <v>3</v>
      </c>
      <c r="J5737">
        <v>4</v>
      </c>
      <c r="K5737" t="s">
        <v>821</v>
      </c>
      <c r="L5737">
        <v>0</v>
      </c>
      <c r="M5737">
        <v>0</v>
      </c>
    </row>
    <row r="5738" spans="1:13">
      <c r="A5738" t="s">
        <v>8876</v>
      </c>
      <c r="B5738" t="s">
        <v>311</v>
      </c>
      <c r="C5738" s="34" t="s">
        <v>534</v>
      </c>
      <c r="F5738" t="s">
        <v>534</v>
      </c>
      <c r="G5738" t="s">
        <v>6932</v>
      </c>
      <c r="H5738">
        <v>5</v>
      </c>
      <c r="I5738">
        <f>VLOOKUP(B5738,BRAND!B:D,3,FALSE)</f>
        <v>3</v>
      </c>
      <c r="J5738">
        <v>6</v>
      </c>
      <c r="M5738">
        <v>1</v>
      </c>
    </row>
    <row r="5739" spans="1:13">
      <c r="A5739" t="s">
        <v>8877</v>
      </c>
      <c r="B5739" t="s">
        <v>311</v>
      </c>
      <c r="C5739" s="34" t="s">
        <v>850</v>
      </c>
      <c r="F5739" t="s">
        <v>850</v>
      </c>
      <c r="G5739" t="s">
        <v>6932</v>
      </c>
      <c r="H5739">
        <v>5</v>
      </c>
      <c r="I5739">
        <f>VLOOKUP(B5739,BRAND!B:D,3,FALSE)</f>
        <v>3</v>
      </c>
      <c r="J5739">
        <v>5</v>
      </c>
      <c r="M5739">
        <v>1</v>
      </c>
    </row>
    <row r="5740" spans="1:13">
      <c r="A5740" t="s">
        <v>4128</v>
      </c>
      <c r="B5740" t="s">
        <v>311</v>
      </c>
      <c r="C5740" s="34" t="s">
        <v>775</v>
      </c>
      <c r="F5740" t="s">
        <v>775</v>
      </c>
      <c r="H5740">
        <v>5</v>
      </c>
      <c r="I5740">
        <f>VLOOKUP(B5740,BRAND!B:D,3,FALSE)</f>
        <v>3</v>
      </c>
      <c r="J5740">
        <v>3</v>
      </c>
      <c r="K5740" t="s">
        <v>821</v>
      </c>
      <c r="L5740">
        <v>0</v>
      </c>
      <c r="M5740">
        <v>0</v>
      </c>
    </row>
    <row r="5741" spans="1:13">
      <c r="A5741" t="s">
        <v>2517</v>
      </c>
      <c r="B5741" t="s">
        <v>311</v>
      </c>
      <c r="C5741" s="34" t="s">
        <v>1438</v>
      </c>
      <c r="F5741" t="s">
        <v>1438</v>
      </c>
      <c r="H5741">
        <v>15</v>
      </c>
      <c r="I5741">
        <f>VLOOKUP(B5741,BRAND!B:D,3,FALSE)</f>
        <v>3</v>
      </c>
      <c r="J5741">
        <v>4</v>
      </c>
      <c r="K5741" t="s">
        <v>821</v>
      </c>
      <c r="L5741">
        <v>0</v>
      </c>
      <c r="M5741">
        <v>0</v>
      </c>
    </row>
    <row r="5742" spans="1:13">
      <c r="A5742" t="s">
        <v>3474</v>
      </c>
      <c r="B5742" t="s">
        <v>277</v>
      </c>
      <c r="C5742" s="34" t="s">
        <v>534</v>
      </c>
      <c r="F5742" t="s">
        <v>534</v>
      </c>
      <c r="H5742">
        <v>4</v>
      </c>
      <c r="I5742">
        <f>VLOOKUP(B5742,BRAND!B:D,3,FALSE)</f>
        <v>3</v>
      </c>
      <c r="J5742">
        <v>6</v>
      </c>
      <c r="K5742" t="s">
        <v>821</v>
      </c>
      <c r="M5742">
        <v>1</v>
      </c>
    </row>
    <row r="5743" spans="1:13">
      <c r="A5743" t="s">
        <v>10831</v>
      </c>
      <c r="B5743" t="s">
        <v>277</v>
      </c>
      <c r="C5743" s="34" t="s">
        <v>5251</v>
      </c>
      <c r="F5743" t="s">
        <v>772</v>
      </c>
      <c r="H5743">
        <v>5</v>
      </c>
      <c r="I5743">
        <f>VLOOKUP(B5743,BRAND!B:D,3,FALSE)</f>
        <v>3</v>
      </c>
      <c r="J5743">
        <v>6</v>
      </c>
      <c r="K5743" t="s">
        <v>821</v>
      </c>
      <c r="L5743">
        <v>0</v>
      </c>
      <c r="M5743">
        <v>0</v>
      </c>
    </row>
    <row r="5744" spans="1:13">
      <c r="A5744" t="s">
        <v>3473</v>
      </c>
      <c r="B5744" t="s">
        <v>277</v>
      </c>
      <c r="C5744" s="34" t="s">
        <v>5232</v>
      </c>
      <c r="F5744" t="s">
        <v>536</v>
      </c>
      <c r="H5744">
        <v>5</v>
      </c>
      <c r="I5744">
        <f>VLOOKUP(B5744,BRAND!B:D,3,FALSE)</f>
        <v>3</v>
      </c>
      <c r="J5744">
        <v>5</v>
      </c>
      <c r="K5744" t="s">
        <v>821</v>
      </c>
      <c r="M5744">
        <v>1</v>
      </c>
    </row>
    <row r="5745" spans="1:13">
      <c r="A5745" t="s">
        <v>10260</v>
      </c>
      <c r="B5745" t="s">
        <v>277</v>
      </c>
      <c r="C5745" s="34" t="s">
        <v>788</v>
      </c>
      <c r="F5745" t="s">
        <v>788</v>
      </c>
      <c r="H5745">
        <v>5</v>
      </c>
      <c r="I5745">
        <f>VLOOKUP(B5745,BRAND!B:D,3,FALSE)</f>
        <v>3</v>
      </c>
      <c r="J5745">
        <f>LEN(F5745)</f>
        <v>4</v>
      </c>
      <c r="L5745">
        <v>0</v>
      </c>
      <c r="M5745">
        <v>0</v>
      </c>
    </row>
    <row r="5746" spans="1:13">
      <c r="A5746" t="s">
        <v>3703</v>
      </c>
      <c r="B5746" t="s">
        <v>608</v>
      </c>
      <c r="C5746" s="34" t="s">
        <v>862</v>
      </c>
      <c r="F5746" t="s">
        <v>862</v>
      </c>
      <c r="H5746">
        <v>5</v>
      </c>
      <c r="I5746">
        <f>VLOOKUP(B5746,BRAND!B:D,3,FALSE)</f>
        <v>5</v>
      </c>
      <c r="J5746">
        <f>LEN(F5746)</f>
        <v>10</v>
      </c>
      <c r="K5746" t="s">
        <v>821</v>
      </c>
      <c r="L5746">
        <v>0</v>
      </c>
      <c r="M5746">
        <v>0</v>
      </c>
    </row>
    <row r="5747" spans="1:13">
      <c r="A5747" t="s">
        <v>4039</v>
      </c>
      <c r="B5747" t="s">
        <v>608</v>
      </c>
      <c r="C5747" s="34" t="s">
        <v>6551</v>
      </c>
      <c r="F5747" t="s">
        <v>780</v>
      </c>
      <c r="H5747">
        <v>5</v>
      </c>
      <c r="I5747">
        <f>VLOOKUP(B5747,BRAND!B:D,3,FALSE)</f>
        <v>5</v>
      </c>
      <c r="J5747">
        <v>6</v>
      </c>
      <c r="K5747" t="s">
        <v>821</v>
      </c>
      <c r="M5747">
        <v>1</v>
      </c>
    </row>
    <row r="5748" spans="1:13">
      <c r="A5748" t="s">
        <v>3395</v>
      </c>
      <c r="B5748" t="s">
        <v>608</v>
      </c>
      <c r="C5748" s="34" t="s">
        <v>746</v>
      </c>
      <c r="F5748" t="s">
        <v>746</v>
      </c>
      <c r="H5748">
        <v>5</v>
      </c>
      <c r="I5748">
        <f>VLOOKUP(B5748,BRAND!B:D,3,FALSE)</f>
        <v>5</v>
      </c>
      <c r="J5748">
        <v>6</v>
      </c>
      <c r="K5748" t="s">
        <v>821</v>
      </c>
      <c r="M5748">
        <v>1</v>
      </c>
    </row>
    <row r="5749" spans="1:13">
      <c r="A5749" t="s">
        <v>7122</v>
      </c>
      <c r="B5749" t="s">
        <v>6646</v>
      </c>
      <c r="C5749" s="34" t="s">
        <v>1438</v>
      </c>
      <c r="F5749" t="s">
        <v>1438</v>
      </c>
      <c r="H5749">
        <v>5</v>
      </c>
      <c r="I5749">
        <f>VLOOKUP(B5749,BRAND!B:D,3,FALSE)</f>
        <v>5</v>
      </c>
      <c r="J5749">
        <v>4</v>
      </c>
      <c r="L5749">
        <v>1</v>
      </c>
      <c r="M5749">
        <v>1</v>
      </c>
    </row>
    <row r="5750" spans="1:13">
      <c r="A5750" t="s">
        <v>7122</v>
      </c>
      <c r="B5750" t="s">
        <v>6646</v>
      </c>
      <c r="C5750" s="34" t="s">
        <v>1438</v>
      </c>
      <c r="F5750" t="s">
        <v>1438</v>
      </c>
      <c r="H5750">
        <v>5</v>
      </c>
      <c r="I5750">
        <f>VLOOKUP(B5750,BRAND!B:D,3,FALSE)</f>
        <v>5</v>
      </c>
      <c r="J5750">
        <v>4</v>
      </c>
      <c r="L5750">
        <v>1</v>
      </c>
      <c r="M5750">
        <v>1</v>
      </c>
    </row>
    <row r="5751" spans="1:13">
      <c r="A5751" t="s">
        <v>8880</v>
      </c>
      <c r="B5751" t="s">
        <v>8879</v>
      </c>
      <c r="C5751" s="34" t="s">
        <v>8881</v>
      </c>
      <c r="F5751" t="s">
        <v>8881</v>
      </c>
      <c r="G5751" t="s">
        <v>6932</v>
      </c>
      <c r="H5751">
        <v>5</v>
      </c>
      <c r="I5751">
        <f>VLOOKUP(B5751,BRAND!B:D,3,FALSE)</f>
        <v>5.5</v>
      </c>
      <c r="J5751">
        <v>4</v>
      </c>
      <c r="L5751">
        <v>1</v>
      </c>
      <c r="M5751">
        <v>1</v>
      </c>
    </row>
    <row r="5752" spans="1:13">
      <c r="A5752" t="s">
        <v>8878</v>
      </c>
      <c r="B5752" t="s">
        <v>8879</v>
      </c>
      <c r="C5752" s="34" t="s">
        <v>561</v>
      </c>
      <c r="F5752" t="s">
        <v>561</v>
      </c>
      <c r="G5752" t="s">
        <v>6932</v>
      </c>
      <c r="H5752">
        <v>5</v>
      </c>
      <c r="I5752">
        <f>VLOOKUP(B5752,BRAND!B:D,3,FALSE)</f>
        <v>5.5</v>
      </c>
      <c r="J5752">
        <v>3</v>
      </c>
      <c r="M5752">
        <v>1</v>
      </c>
    </row>
    <row r="5753" spans="1:13">
      <c r="A5753" t="s">
        <v>3483</v>
      </c>
      <c r="B5753" t="s">
        <v>490</v>
      </c>
      <c r="C5753" s="34" t="s">
        <v>777</v>
      </c>
      <c r="F5753" t="s">
        <v>777</v>
      </c>
      <c r="H5753">
        <v>5</v>
      </c>
      <c r="I5753">
        <f>VLOOKUP(B5753,BRAND!B:D,3,FALSE)</f>
        <v>3</v>
      </c>
      <c r="J5753">
        <v>7</v>
      </c>
      <c r="K5753" t="s">
        <v>821</v>
      </c>
      <c r="L5753">
        <v>0</v>
      </c>
      <c r="M5753">
        <v>0</v>
      </c>
    </row>
    <row r="5754" spans="1:13">
      <c r="A5754" t="s">
        <v>4675</v>
      </c>
      <c r="B5754" t="s">
        <v>490</v>
      </c>
      <c r="C5754" s="34" t="s">
        <v>1513</v>
      </c>
      <c r="F5754" t="s">
        <v>1513</v>
      </c>
      <c r="H5754">
        <v>5</v>
      </c>
      <c r="I5754">
        <f>VLOOKUP(B5754,BRAND!B:D,3,FALSE)</f>
        <v>3</v>
      </c>
      <c r="J5754">
        <v>5</v>
      </c>
      <c r="K5754" t="s">
        <v>821</v>
      </c>
      <c r="L5754">
        <v>0</v>
      </c>
      <c r="M5754">
        <v>0</v>
      </c>
    </row>
    <row r="5755" spans="1:13">
      <c r="A5755" t="s">
        <v>8883</v>
      </c>
      <c r="B5755" t="s">
        <v>490</v>
      </c>
      <c r="C5755" s="34" t="s">
        <v>791</v>
      </c>
      <c r="F5755" t="s">
        <v>791</v>
      </c>
      <c r="G5755" t="s">
        <v>6932</v>
      </c>
      <c r="H5755">
        <v>5</v>
      </c>
      <c r="I5755">
        <f>VLOOKUP(B5755,BRAND!B:D,3,FALSE)</f>
        <v>3</v>
      </c>
      <c r="J5755">
        <v>5</v>
      </c>
      <c r="M5755">
        <v>1</v>
      </c>
    </row>
    <row r="5756" spans="1:13">
      <c r="A5756" t="s">
        <v>8884</v>
      </c>
      <c r="B5756" t="s">
        <v>490</v>
      </c>
      <c r="C5756" s="34" t="s">
        <v>913</v>
      </c>
      <c r="F5756" t="s">
        <v>913</v>
      </c>
      <c r="G5756" t="s">
        <v>6932</v>
      </c>
      <c r="H5756">
        <v>5</v>
      </c>
      <c r="I5756">
        <f>VLOOKUP(B5756,BRAND!B:D,3,FALSE)</f>
        <v>3</v>
      </c>
      <c r="J5756">
        <v>5</v>
      </c>
      <c r="M5756">
        <v>1</v>
      </c>
    </row>
    <row r="5757" spans="1:13">
      <c r="A5757" t="s">
        <v>8882</v>
      </c>
      <c r="B5757" t="s">
        <v>490</v>
      </c>
      <c r="C5757" s="34" t="s">
        <v>1438</v>
      </c>
      <c r="F5757" t="s">
        <v>1438</v>
      </c>
      <c r="G5757" t="s">
        <v>6932</v>
      </c>
      <c r="H5757">
        <v>5</v>
      </c>
      <c r="I5757">
        <f>VLOOKUP(B5757,BRAND!B:D,3,FALSE)</f>
        <v>3</v>
      </c>
      <c r="J5757">
        <v>4</v>
      </c>
      <c r="L5757">
        <v>0</v>
      </c>
      <c r="M5757">
        <v>0</v>
      </c>
    </row>
    <row r="5758" spans="1:13">
      <c r="A5758" t="s">
        <v>2286</v>
      </c>
      <c r="B5758" t="s">
        <v>490</v>
      </c>
      <c r="C5758" s="34" t="s">
        <v>1438</v>
      </c>
      <c r="F5758" t="s">
        <v>1438</v>
      </c>
      <c r="H5758">
        <v>15</v>
      </c>
      <c r="I5758">
        <f>VLOOKUP(B5758,BRAND!B:D,3,FALSE)</f>
        <v>3</v>
      </c>
      <c r="J5758">
        <v>4</v>
      </c>
      <c r="K5758" t="s">
        <v>821</v>
      </c>
      <c r="M5758">
        <v>1</v>
      </c>
    </row>
    <row r="5759" spans="1:13">
      <c r="A5759" t="s">
        <v>8885</v>
      </c>
      <c r="B5759" t="s">
        <v>278</v>
      </c>
      <c r="C5759" s="34" t="s">
        <v>8886</v>
      </c>
      <c r="F5759" t="s">
        <v>8886</v>
      </c>
      <c r="G5759" t="s">
        <v>6932</v>
      </c>
      <c r="H5759">
        <v>5</v>
      </c>
      <c r="I5759">
        <f>VLOOKUP(B5759,BRAND!B:D,3,FALSE)</f>
        <v>3</v>
      </c>
      <c r="J5759">
        <v>6</v>
      </c>
      <c r="M5759">
        <v>1</v>
      </c>
    </row>
    <row r="5760" spans="1:13">
      <c r="A5760" t="s">
        <v>5303</v>
      </c>
      <c r="B5760" t="s">
        <v>278</v>
      </c>
      <c r="C5760" s="34" t="s">
        <v>5251</v>
      </c>
      <c r="F5760" t="s">
        <v>772</v>
      </c>
      <c r="H5760">
        <v>5</v>
      </c>
      <c r="I5760">
        <f>VLOOKUP(B5760,BRAND!B:D,3,FALSE)</f>
        <v>3</v>
      </c>
      <c r="J5760">
        <v>6</v>
      </c>
      <c r="K5760" t="s">
        <v>821</v>
      </c>
      <c r="M5760">
        <v>1</v>
      </c>
    </row>
    <row r="5761" spans="1:13">
      <c r="A5761" t="s">
        <v>5304</v>
      </c>
      <c r="B5761" t="s">
        <v>278</v>
      </c>
      <c r="C5761" s="34" t="s">
        <v>5232</v>
      </c>
      <c r="F5761" t="s">
        <v>536</v>
      </c>
      <c r="H5761">
        <v>5</v>
      </c>
      <c r="I5761">
        <f>VLOOKUP(B5761,BRAND!B:D,3,FALSE)</f>
        <v>3</v>
      </c>
      <c r="J5761">
        <v>5</v>
      </c>
      <c r="K5761" t="s">
        <v>821</v>
      </c>
      <c r="M5761">
        <v>1</v>
      </c>
    </row>
    <row r="5762" spans="1:13">
      <c r="A5762" t="s">
        <v>5302</v>
      </c>
      <c r="B5762" t="s">
        <v>278</v>
      </c>
      <c r="C5762" s="34" t="s">
        <v>775</v>
      </c>
      <c r="F5762" t="s">
        <v>775</v>
      </c>
      <c r="H5762">
        <v>5</v>
      </c>
      <c r="I5762">
        <f>VLOOKUP(B5762,BRAND!B:D,3,FALSE)</f>
        <v>3</v>
      </c>
      <c r="J5762">
        <v>3</v>
      </c>
      <c r="K5762" t="s">
        <v>821</v>
      </c>
      <c r="L5762">
        <v>0</v>
      </c>
      <c r="M5762">
        <v>0</v>
      </c>
    </row>
    <row r="5763" spans="1:13">
      <c r="A5763" t="s">
        <v>8887</v>
      </c>
      <c r="B5763" t="s">
        <v>476</v>
      </c>
      <c r="C5763" s="34" t="s">
        <v>8888</v>
      </c>
      <c r="F5763" t="s">
        <v>8449</v>
      </c>
      <c r="G5763" t="s">
        <v>6932</v>
      </c>
      <c r="H5763">
        <v>5</v>
      </c>
      <c r="I5763">
        <f>VLOOKUP(B5763,BRAND!B:D,3,FALSE)</f>
        <v>3</v>
      </c>
      <c r="J5763">
        <v>9</v>
      </c>
      <c r="L5763">
        <v>0</v>
      </c>
      <c r="M5763">
        <v>0</v>
      </c>
    </row>
    <row r="5764" spans="1:13">
      <c r="A5764" t="s">
        <v>3368</v>
      </c>
      <c r="B5764" t="s">
        <v>476</v>
      </c>
      <c r="C5764" s="34" t="s">
        <v>933</v>
      </c>
      <c r="F5764" t="s">
        <v>933</v>
      </c>
      <c r="H5764">
        <v>5</v>
      </c>
      <c r="I5764">
        <f>VLOOKUP(B5764,BRAND!B:D,3,FALSE)</f>
        <v>3</v>
      </c>
      <c r="J5764">
        <v>8</v>
      </c>
      <c r="K5764" t="s">
        <v>821</v>
      </c>
      <c r="M5764">
        <v>1</v>
      </c>
    </row>
    <row r="5765" spans="1:13">
      <c r="A5765" t="s">
        <v>3749</v>
      </c>
      <c r="B5765" t="s">
        <v>476</v>
      </c>
      <c r="C5765" s="34" t="s">
        <v>561</v>
      </c>
      <c r="F5765" t="s">
        <v>561</v>
      </c>
      <c r="H5765">
        <v>5</v>
      </c>
      <c r="I5765">
        <f>VLOOKUP(B5765,BRAND!B:D,3,FALSE)</f>
        <v>3</v>
      </c>
      <c r="J5765">
        <v>3</v>
      </c>
      <c r="K5765" t="s">
        <v>821</v>
      </c>
      <c r="M5765">
        <v>1</v>
      </c>
    </row>
    <row r="5766" spans="1:13">
      <c r="A5766" t="s">
        <v>2461</v>
      </c>
      <c r="B5766" t="s">
        <v>476</v>
      </c>
      <c r="C5766" s="34" t="s">
        <v>1438</v>
      </c>
      <c r="F5766" t="s">
        <v>1438</v>
      </c>
      <c r="H5766">
        <v>15</v>
      </c>
      <c r="I5766">
        <f>VLOOKUP(B5766,BRAND!B:D,3,FALSE)</f>
        <v>3</v>
      </c>
      <c r="J5766">
        <v>4</v>
      </c>
      <c r="K5766" t="s">
        <v>821</v>
      </c>
      <c r="M5766">
        <v>1</v>
      </c>
    </row>
    <row r="5767" spans="1:13">
      <c r="A5767" t="s">
        <v>8889</v>
      </c>
      <c r="B5767" t="s">
        <v>8890</v>
      </c>
      <c r="C5767" s="34" t="s">
        <v>1438</v>
      </c>
      <c r="F5767" t="s">
        <v>1438</v>
      </c>
      <c r="G5767" t="s">
        <v>6932</v>
      </c>
      <c r="H5767">
        <v>5</v>
      </c>
      <c r="I5767">
        <f>VLOOKUP(B5767,BRAND!B:D,3,FALSE)</f>
        <v>5.5</v>
      </c>
      <c r="J5767">
        <v>4</v>
      </c>
      <c r="M5767">
        <v>1</v>
      </c>
    </row>
    <row r="5768" spans="1:13">
      <c r="A5768" t="s">
        <v>8891</v>
      </c>
      <c r="B5768" t="s">
        <v>8892</v>
      </c>
      <c r="C5768" s="34" t="s">
        <v>1438</v>
      </c>
      <c r="F5768" t="s">
        <v>1438</v>
      </c>
      <c r="G5768" t="s">
        <v>6932</v>
      </c>
      <c r="H5768">
        <v>5</v>
      </c>
      <c r="I5768">
        <f>VLOOKUP(B5768,BRAND!B:D,3,FALSE)</f>
        <v>5.5</v>
      </c>
      <c r="J5768">
        <v>4</v>
      </c>
      <c r="M5768">
        <v>1</v>
      </c>
    </row>
    <row r="5769" spans="1:13">
      <c r="A5769" t="s">
        <v>8893</v>
      </c>
      <c r="B5769" t="s">
        <v>8894</v>
      </c>
      <c r="C5769" s="34" t="s">
        <v>1438</v>
      </c>
      <c r="F5769" t="s">
        <v>1438</v>
      </c>
      <c r="G5769" t="s">
        <v>6932</v>
      </c>
      <c r="H5769">
        <v>5</v>
      </c>
      <c r="I5769">
        <f>VLOOKUP(B5769,BRAND!B:D,3,FALSE)</f>
        <v>5.5</v>
      </c>
      <c r="J5769">
        <v>4</v>
      </c>
      <c r="M5769">
        <v>1</v>
      </c>
    </row>
    <row r="5770" spans="1:13">
      <c r="A5770" t="s">
        <v>10185</v>
      </c>
      <c r="B5770" t="s">
        <v>5347</v>
      </c>
      <c r="C5770" s="34" t="s">
        <v>1438</v>
      </c>
      <c r="F5770" t="s">
        <v>1438</v>
      </c>
      <c r="H5770">
        <v>5</v>
      </c>
      <c r="I5770">
        <f>VLOOKUP(B5770,BRAND!B:D,3,FALSE)</f>
        <v>5</v>
      </c>
      <c r="J5770">
        <v>3</v>
      </c>
      <c r="L5770">
        <v>1</v>
      </c>
      <c r="M5770">
        <v>1</v>
      </c>
    </row>
    <row r="5771" spans="1:13">
      <c r="A5771" t="s">
        <v>2050</v>
      </c>
      <c r="B5771" t="s">
        <v>1837</v>
      </c>
      <c r="C5771" s="34" t="s">
        <v>777</v>
      </c>
      <c r="F5771" t="s">
        <v>777</v>
      </c>
      <c r="H5771">
        <v>5</v>
      </c>
      <c r="I5771">
        <f>VLOOKUP(B5771,BRAND!B:D,3,FALSE)</f>
        <v>11</v>
      </c>
      <c r="J5771">
        <v>7</v>
      </c>
      <c r="K5771" t="s">
        <v>821</v>
      </c>
      <c r="L5771">
        <v>0</v>
      </c>
      <c r="M5771">
        <v>0</v>
      </c>
    </row>
    <row r="5772" spans="1:13">
      <c r="A5772" t="s">
        <v>2019</v>
      </c>
      <c r="B5772" t="s">
        <v>1837</v>
      </c>
      <c r="C5772" s="34" t="s">
        <v>1438</v>
      </c>
      <c r="F5772" t="s">
        <v>1438</v>
      </c>
      <c r="H5772">
        <v>15</v>
      </c>
      <c r="I5772">
        <f>VLOOKUP(B5772,BRAND!B:D,3,FALSE)</f>
        <v>11</v>
      </c>
      <c r="J5772">
        <v>4</v>
      </c>
      <c r="K5772" t="s">
        <v>821</v>
      </c>
      <c r="M5772">
        <v>1</v>
      </c>
    </row>
    <row r="5773" spans="1:13">
      <c r="A5773" t="s">
        <v>8895</v>
      </c>
      <c r="B5773" t="s">
        <v>8896</v>
      </c>
      <c r="C5773" s="34" t="s">
        <v>1438</v>
      </c>
      <c r="F5773" t="s">
        <v>1438</v>
      </c>
      <c r="G5773" t="s">
        <v>6932</v>
      </c>
      <c r="H5773">
        <v>5</v>
      </c>
      <c r="I5773">
        <f>VLOOKUP(B5773,BRAND!B:D,3,FALSE)</f>
        <v>5.5</v>
      </c>
      <c r="J5773">
        <v>4</v>
      </c>
      <c r="M5773">
        <v>1</v>
      </c>
    </row>
    <row r="5774" spans="1:13">
      <c r="A5774" t="s">
        <v>10097</v>
      </c>
      <c r="B5774" t="s">
        <v>7021</v>
      </c>
      <c r="C5774" s="34" t="s">
        <v>1438</v>
      </c>
      <c r="F5774" t="s">
        <v>1438</v>
      </c>
      <c r="H5774">
        <v>15</v>
      </c>
      <c r="I5774">
        <f>VLOOKUP(B5774,BRAND!B:D,3,FALSE)</f>
        <v>11</v>
      </c>
      <c r="J5774">
        <v>4</v>
      </c>
      <c r="L5774">
        <v>0</v>
      </c>
      <c r="M5774">
        <v>0</v>
      </c>
    </row>
    <row r="5775" spans="1:13">
      <c r="A5775" t="s">
        <v>2213</v>
      </c>
      <c r="B5775" t="s">
        <v>1078</v>
      </c>
      <c r="C5775" s="34" t="s">
        <v>772</v>
      </c>
      <c r="F5775" t="s">
        <v>772</v>
      </c>
      <c r="H5775">
        <v>5</v>
      </c>
      <c r="I5775">
        <f>VLOOKUP(B5775,BRAND!B:D,3,FALSE)</f>
        <v>3</v>
      </c>
      <c r="J5775">
        <v>6</v>
      </c>
      <c r="K5775" t="s">
        <v>821</v>
      </c>
      <c r="L5775">
        <v>0</v>
      </c>
      <c r="M5775">
        <v>0</v>
      </c>
    </row>
    <row r="5776" spans="1:13">
      <c r="A5776" t="s">
        <v>2215</v>
      </c>
      <c r="B5776" t="s">
        <v>1078</v>
      </c>
      <c r="C5776" s="34" t="s">
        <v>535</v>
      </c>
      <c r="F5776" t="s">
        <v>535</v>
      </c>
      <c r="H5776">
        <v>5</v>
      </c>
      <c r="I5776">
        <f>VLOOKUP(B5776,BRAND!B:D,3,FALSE)</f>
        <v>3</v>
      </c>
      <c r="J5776">
        <v>6</v>
      </c>
      <c r="K5776" t="s">
        <v>821</v>
      </c>
      <c r="L5776">
        <v>0</v>
      </c>
      <c r="M5776">
        <v>0</v>
      </c>
    </row>
    <row r="5777" spans="1:13">
      <c r="A5777" t="s">
        <v>2214</v>
      </c>
      <c r="B5777" t="s">
        <v>1078</v>
      </c>
      <c r="C5777" s="34" t="s">
        <v>536</v>
      </c>
      <c r="F5777" t="s">
        <v>536</v>
      </c>
      <c r="H5777">
        <v>5</v>
      </c>
      <c r="I5777">
        <f>VLOOKUP(B5777,BRAND!B:D,3,FALSE)</f>
        <v>3</v>
      </c>
      <c r="J5777">
        <v>5</v>
      </c>
      <c r="K5777" t="s">
        <v>821</v>
      </c>
      <c r="L5777">
        <v>0</v>
      </c>
      <c r="M5777">
        <v>0</v>
      </c>
    </row>
    <row r="5778" spans="1:13">
      <c r="A5778" t="s">
        <v>3270</v>
      </c>
      <c r="B5778" t="s">
        <v>1078</v>
      </c>
      <c r="C5778" s="34" t="s">
        <v>1438</v>
      </c>
      <c r="F5778" t="s">
        <v>1438</v>
      </c>
      <c r="H5778">
        <v>15</v>
      </c>
      <c r="I5778">
        <f>VLOOKUP(B5778,BRAND!B:D,3,FALSE)</f>
        <v>3</v>
      </c>
      <c r="J5778">
        <v>4</v>
      </c>
      <c r="K5778" t="s">
        <v>821</v>
      </c>
      <c r="L5778">
        <v>0</v>
      </c>
      <c r="M5778">
        <v>0</v>
      </c>
    </row>
    <row r="5779" spans="1:13">
      <c r="A5779" t="s">
        <v>4239</v>
      </c>
      <c r="B5779" t="s">
        <v>1875</v>
      </c>
      <c r="C5779" s="34" t="s">
        <v>534</v>
      </c>
      <c r="F5779" t="s">
        <v>534</v>
      </c>
      <c r="H5779">
        <v>5</v>
      </c>
      <c r="I5779">
        <f>VLOOKUP(B5779,BRAND!B:D,3,FALSE)</f>
        <v>5</v>
      </c>
      <c r="J5779">
        <v>6</v>
      </c>
      <c r="K5779" t="s">
        <v>821</v>
      </c>
      <c r="L5779">
        <v>0</v>
      </c>
      <c r="M5779">
        <v>0</v>
      </c>
    </row>
    <row r="5780" spans="1:13">
      <c r="A5780" t="s">
        <v>14770</v>
      </c>
      <c r="B5780" t="s">
        <v>14761</v>
      </c>
      <c r="C5780" s="34" t="s">
        <v>14771</v>
      </c>
      <c r="F5780" t="s">
        <v>14772</v>
      </c>
      <c r="G5780" t="s">
        <v>6932</v>
      </c>
      <c r="H5780">
        <v>5</v>
      </c>
      <c r="I5780">
        <f>VLOOKUP(B5780,BRAND!B:D,3,FALSE)</f>
        <v>0</v>
      </c>
      <c r="J5780">
        <f t="shared" ref="J5780:J5792" si="53">LEN(F5780)</f>
        <v>21</v>
      </c>
      <c r="K5780" t="s">
        <v>821</v>
      </c>
      <c r="L5780">
        <v>0</v>
      </c>
      <c r="M5780">
        <v>1</v>
      </c>
    </row>
    <row r="5781" spans="1:13">
      <c r="A5781" t="s">
        <v>14788</v>
      </c>
      <c r="B5781" t="s">
        <v>14761</v>
      </c>
      <c r="C5781" s="34" t="s">
        <v>14789</v>
      </c>
      <c r="F5781" t="s">
        <v>14790</v>
      </c>
      <c r="G5781" t="s">
        <v>6932</v>
      </c>
      <c r="H5781">
        <v>5</v>
      </c>
      <c r="I5781">
        <f>VLOOKUP(B5781,BRAND!B:D,3,FALSE)</f>
        <v>0</v>
      </c>
      <c r="J5781">
        <f t="shared" si="53"/>
        <v>15</v>
      </c>
      <c r="K5781" t="s">
        <v>821</v>
      </c>
      <c r="L5781">
        <v>0</v>
      </c>
      <c r="M5781">
        <v>1</v>
      </c>
    </row>
    <row r="5782" spans="1:13">
      <c r="A5782" t="s">
        <v>14780</v>
      </c>
      <c r="B5782" t="s">
        <v>14761</v>
      </c>
      <c r="C5782" s="34" t="s">
        <v>14781</v>
      </c>
      <c r="F5782" t="s">
        <v>14782</v>
      </c>
      <c r="G5782" t="s">
        <v>6932</v>
      </c>
      <c r="H5782">
        <v>5</v>
      </c>
      <c r="I5782">
        <f>VLOOKUP(B5782,BRAND!B:D,3,FALSE)</f>
        <v>0</v>
      </c>
      <c r="J5782">
        <f t="shared" si="53"/>
        <v>13</v>
      </c>
      <c r="K5782" t="s">
        <v>821</v>
      </c>
      <c r="L5782">
        <v>0</v>
      </c>
      <c r="M5782">
        <v>1</v>
      </c>
    </row>
    <row r="5783" spans="1:13">
      <c r="A5783" t="s">
        <v>14767</v>
      </c>
      <c r="B5783" t="s">
        <v>14761</v>
      </c>
      <c r="C5783" s="34" t="s">
        <v>14768</v>
      </c>
      <c r="F5783" t="s">
        <v>14769</v>
      </c>
      <c r="G5783" t="s">
        <v>6932</v>
      </c>
      <c r="H5783">
        <v>5</v>
      </c>
      <c r="I5783">
        <f>VLOOKUP(B5783,BRAND!B:D,3,FALSE)</f>
        <v>0</v>
      </c>
      <c r="J5783">
        <f t="shared" si="53"/>
        <v>12</v>
      </c>
      <c r="K5783" t="s">
        <v>821</v>
      </c>
      <c r="L5783">
        <v>0</v>
      </c>
      <c r="M5783">
        <v>1</v>
      </c>
    </row>
    <row r="5784" spans="1:13">
      <c r="A5784" t="s">
        <v>14783</v>
      </c>
      <c r="B5784" t="s">
        <v>14761</v>
      </c>
      <c r="C5784" s="34" t="s">
        <v>14784</v>
      </c>
      <c r="F5784" t="s">
        <v>14785</v>
      </c>
      <c r="G5784" t="s">
        <v>6932</v>
      </c>
      <c r="H5784">
        <v>5</v>
      </c>
      <c r="I5784">
        <f>VLOOKUP(B5784,BRAND!B:D,3,FALSE)</f>
        <v>0</v>
      </c>
      <c r="J5784">
        <f t="shared" si="53"/>
        <v>11</v>
      </c>
      <c r="K5784" t="s">
        <v>821</v>
      </c>
      <c r="L5784">
        <v>0</v>
      </c>
      <c r="M5784">
        <v>1</v>
      </c>
    </row>
    <row r="5785" spans="1:13">
      <c r="A5785" t="s">
        <v>14764</v>
      </c>
      <c r="B5785" t="s">
        <v>14761</v>
      </c>
      <c r="C5785" s="34" t="s">
        <v>14765</v>
      </c>
      <c r="F5785" t="s">
        <v>14766</v>
      </c>
      <c r="G5785" t="s">
        <v>6932</v>
      </c>
      <c r="H5785">
        <v>5</v>
      </c>
      <c r="I5785">
        <f>VLOOKUP(B5785,BRAND!B:D,3,FALSE)</f>
        <v>0</v>
      </c>
      <c r="J5785">
        <f t="shared" si="53"/>
        <v>11</v>
      </c>
      <c r="K5785" t="s">
        <v>821</v>
      </c>
      <c r="L5785">
        <v>0</v>
      </c>
      <c r="M5785">
        <v>1</v>
      </c>
    </row>
    <row r="5786" spans="1:13">
      <c r="A5786" t="s">
        <v>14773</v>
      </c>
      <c r="B5786" t="s">
        <v>14761</v>
      </c>
      <c r="C5786" s="34" t="s">
        <v>357</v>
      </c>
      <c r="F5786" t="s">
        <v>14774</v>
      </c>
      <c r="G5786" t="s">
        <v>6932</v>
      </c>
      <c r="H5786">
        <v>5</v>
      </c>
      <c r="I5786">
        <f>VLOOKUP(B5786,BRAND!B:D,3,FALSE)</f>
        <v>0</v>
      </c>
      <c r="J5786">
        <f t="shared" si="53"/>
        <v>11</v>
      </c>
      <c r="K5786" t="s">
        <v>821</v>
      </c>
      <c r="L5786">
        <v>0</v>
      </c>
      <c r="M5786">
        <v>1</v>
      </c>
    </row>
    <row r="5787" spans="1:13">
      <c r="A5787" t="s">
        <v>14775</v>
      </c>
      <c r="B5787" t="s">
        <v>14761</v>
      </c>
      <c r="C5787" s="34" t="s">
        <v>14776</v>
      </c>
      <c r="F5787" t="s">
        <v>14777</v>
      </c>
      <c r="G5787" t="s">
        <v>6932</v>
      </c>
      <c r="H5787">
        <v>5</v>
      </c>
      <c r="I5787">
        <f>VLOOKUP(B5787,BRAND!B:D,3,FALSE)</f>
        <v>0</v>
      </c>
      <c r="J5787">
        <f t="shared" si="53"/>
        <v>10</v>
      </c>
      <c r="K5787" t="s">
        <v>821</v>
      </c>
      <c r="L5787">
        <v>0</v>
      </c>
      <c r="M5787">
        <v>1</v>
      </c>
    </row>
    <row r="5788" spans="1:13">
      <c r="A5788" t="s">
        <v>14760</v>
      </c>
      <c r="B5788" t="s">
        <v>14761</v>
      </c>
      <c r="C5788" s="34" t="s">
        <v>14762</v>
      </c>
      <c r="F5788" t="s">
        <v>14762</v>
      </c>
      <c r="G5788" t="s">
        <v>6932</v>
      </c>
      <c r="H5788">
        <v>5</v>
      </c>
      <c r="I5788">
        <f>VLOOKUP(B5788,BRAND!B:D,3,FALSE)</f>
        <v>0</v>
      </c>
      <c r="J5788">
        <f t="shared" si="53"/>
        <v>8</v>
      </c>
      <c r="K5788" t="s">
        <v>821</v>
      </c>
      <c r="L5788">
        <v>0</v>
      </c>
      <c r="M5788">
        <v>1</v>
      </c>
    </row>
    <row r="5789" spans="1:13">
      <c r="A5789" t="s">
        <v>14763</v>
      </c>
      <c r="B5789" t="s">
        <v>14761</v>
      </c>
      <c r="C5789" s="34" t="s">
        <v>14761</v>
      </c>
      <c r="F5789" t="s">
        <v>14761</v>
      </c>
      <c r="G5789" t="s">
        <v>6932</v>
      </c>
      <c r="H5789">
        <v>5</v>
      </c>
      <c r="I5789">
        <f>VLOOKUP(B5789,BRAND!B:D,3,FALSE)</f>
        <v>0</v>
      </c>
      <c r="J5789">
        <f t="shared" si="53"/>
        <v>8</v>
      </c>
      <c r="K5789" t="s">
        <v>821</v>
      </c>
      <c r="L5789">
        <v>0</v>
      </c>
      <c r="M5789">
        <v>1</v>
      </c>
    </row>
    <row r="5790" spans="1:13">
      <c r="A5790" t="s">
        <v>14786</v>
      </c>
      <c r="B5790" t="s">
        <v>14761</v>
      </c>
      <c r="C5790" s="34" t="s">
        <v>13653</v>
      </c>
      <c r="F5790" t="s">
        <v>14787</v>
      </c>
      <c r="G5790" t="s">
        <v>6932</v>
      </c>
      <c r="H5790">
        <v>5</v>
      </c>
      <c r="I5790">
        <f>VLOOKUP(B5790,BRAND!B:D,3,FALSE)</f>
        <v>0</v>
      </c>
      <c r="J5790">
        <f t="shared" si="53"/>
        <v>8</v>
      </c>
      <c r="K5790" t="s">
        <v>821</v>
      </c>
      <c r="L5790">
        <v>0</v>
      </c>
      <c r="M5790">
        <v>1</v>
      </c>
    </row>
    <row r="5791" spans="1:13">
      <c r="A5791" t="s">
        <v>14778</v>
      </c>
      <c r="B5791" t="s">
        <v>14761</v>
      </c>
      <c r="C5791" s="34" t="s">
        <v>14779</v>
      </c>
      <c r="F5791" t="s">
        <v>14779</v>
      </c>
      <c r="G5791" t="s">
        <v>6932</v>
      </c>
      <c r="H5791">
        <v>5</v>
      </c>
      <c r="I5791">
        <f>VLOOKUP(B5791,BRAND!B:D,3,FALSE)</f>
        <v>0</v>
      </c>
      <c r="J5791">
        <f t="shared" si="53"/>
        <v>6</v>
      </c>
      <c r="K5791" t="s">
        <v>821</v>
      </c>
      <c r="L5791">
        <v>0</v>
      </c>
      <c r="M5791">
        <v>1</v>
      </c>
    </row>
    <row r="5792" spans="1:13">
      <c r="A5792" t="s">
        <v>14791</v>
      </c>
      <c r="B5792" t="s">
        <v>14761</v>
      </c>
      <c r="C5792" s="34" t="s">
        <v>788</v>
      </c>
      <c r="F5792" t="s">
        <v>788</v>
      </c>
      <c r="G5792" t="s">
        <v>6932</v>
      </c>
      <c r="H5792">
        <v>5</v>
      </c>
      <c r="I5792">
        <f>VLOOKUP(B5792,BRAND!B:D,3,FALSE)</f>
        <v>0</v>
      </c>
      <c r="J5792">
        <f t="shared" si="53"/>
        <v>4</v>
      </c>
      <c r="K5792" t="s">
        <v>821</v>
      </c>
      <c r="L5792">
        <v>0</v>
      </c>
      <c r="M5792">
        <v>1</v>
      </c>
    </row>
    <row r="5793" spans="1:13">
      <c r="A5793" t="s">
        <v>8897</v>
      </c>
      <c r="B5793" t="s">
        <v>8898</v>
      </c>
      <c r="C5793" s="34" t="s">
        <v>1438</v>
      </c>
      <c r="F5793" t="s">
        <v>1438</v>
      </c>
      <c r="G5793" t="s">
        <v>6932</v>
      </c>
      <c r="H5793">
        <v>5</v>
      </c>
      <c r="I5793">
        <f>VLOOKUP(B5793,BRAND!B:D,3,FALSE)</f>
        <v>5.5</v>
      </c>
      <c r="J5793">
        <v>4</v>
      </c>
      <c r="M5793">
        <v>1</v>
      </c>
    </row>
    <row r="5794" spans="1:13">
      <c r="A5794" t="s">
        <v>8899</v>
      </c>
      <c r="B5794" t="s">
        <v>8900</v>
      </c>
      <c r="C5794" s="34" t="s">
        <v>534</v>
      </c>
      <c r="F5794" t="s">
        <v>534</v>
      </c>
      <c r="G5794" t="s">
        <v>6932</v>
      </c>
      <c r="H5794">
        <v>5</v>
      </c>
      <c r="I5794">
        <f>VLOOKUP(B5794,BRAND!B:D,3,FALSE)</f>
        <v>5.5</v>
      </c>
      <c r="J5794">
        <v>6</v>
      </c>
      <c r="M5794">
        <v>1</v>
      </c>
    </row>
    <row r="5795" spans="1:13">
      <c r="A5795" t="s">
        <v>8901</v>
      </c>
      <c r="B5795" t="s">
        <v>8900</v>
      </c>
      <c r="C5795" s="34" t="s">
        <v>8902</v>
      </c>
      <c r="F5795" t="s">
        <v>8902</v>
      </c>
      <c r="G5795" t="s">
        <v>6932</v>
      </c>
      <c r="H5795">
        <v>5</v>
      </c>
      <c r="I5795">
        <f>VLOOKUP(B5795,BRAND!B:D,3,FALSE)</f>
        <v>5.5</v>
      </c>
      <c r="J5795">
        <v>5</v>
      </c>
      <c r="M5795">
        <v>1</v>
      </c>
    </row>
    <row r="5796" spans="1:13">
      <c r="A5796" t="s">
        <v>8903</v>
      </c>
      <c r="B5796" t="s">
        <v>8900</v>
      </c>
      <c r="C5796" s="34" t="s">
        <v>8904</v>
      </c>
      <c r="F5796" t="s">
        <v>8904</v>
      </c>
      <c r="G5796" t="s">
        <v>6932</v>
      </c>
      <c r="H5796">
        <v>5</v>
      </c>
      <c r="I5796">
        <f>VLOOKUP(B5796,BRAND!B:D,3,FALSE)</f>
        <v>5.5</v>
      </c>
      <c r="J5796">
        <v>5</v>
      </c>
      <c r="M5796">
        <v>1</v>
      </c>
    </row>
    <row r="5797" spans="1:13">
      <c r="A5797" t="s">
        <v>2635</v>
      </c>
      <c r="B5797" t="s">
        <v>429</v>
      </c>
      <c r="C5797" s="34" t="s">
        <v>1438</v>
      </c>
      <c r="F5797" t="s">
        <v>1438</v>
      </c>
      <c r="H5797">
        <v>15</v>
      </c>
      <c r="I5797">
        <f>VLOOKUP(B5797,BRAND!B:D,3,FALSE)</f>
        <v>3</v>
      </c>
      <c r="J5797">
        <v>4</v>
      </c>
      <c r="K5797" t="s">
        <v>821</v>
      </c>
      <c r="M5797">
        <v>1</v>
      </c>
    </row>
    <row r="5798" spans="1:13">
      <c r="A5798" t="s">
        <v>8100</v>
      </c>
      <c r="B5798" t="s">
        <v>8101</v>
      </c>
      <c r="C5798" s="34" t="s">
        <v>1438</v>
      </c>
      <c r="F5798" t="s">
        <v>1438</v>
      </c>
      <c r="G5798" t="s">
        <v>6932</v>
      </c>
      <c r="H5798">
        <v>5</v>
      </c>
      <c r="I5798">
        <f>VLOOKUP(B5798,BRAND!B:D,3,FALSE)</f>
        <v>5.5</v>
      </c>
      <c r="J5798">
        <v>4</v>
      </c>
      <c r="M5798">
        <v>1</v>
      </c>
    </row>
    <row r="5799" spans="1:13">
      <c r="A5799" t="s">
        <v>14798</v>
      </c>
      <c r="B5799" t="s">
        <v>14793</v>
      </c>
      <c r="C5799" s="34" t="s">
        <v>14799</v>
      </c>
      <c r="F5799" t="s">
        <v>14800</v>
      </c>
      <c r="G5799" t="s">
        <v>6932</v>
      </c>
      <c r="H5799">
        <v>5</v>
      </c>
      <c r="I5799">
        <f>VLOOKUP(B5799,BRAND!B:D,3,FALSE)</f>
        <v>0</v>
      </c>
      <c r="J5799">
        <f t="shared" ref="J5799:J5814" si="54">LEN(F5799)</f>
        <v>17</v>
      </c>
      <c r="K5799" t="s">
        <v>821</v>
      </c>
      <c r="L5799">
        <v>0</v>
      </c>
      <c r="M5799">
        <v>1</v>
      </c>
    </row>
    <row r="5800" spans="1:13">
      <c r="A5800" t="s">
        <v>14803</v>
      </c>
      <c r="B5800" t="s">
        <v>14793</v>
      </c>
      <c r="C5800" s="34" t="s">
        <v>6361</v>
      </c>
      <c r="F5800" t="s">
        <v>6361</v>
      </c>
      <c r="G5800" t="s">
        <v>6932</v>
      </c>
      <c r="H5800">
        <v>5</v>
      </c>
      <c r="I5800">
        <f>VLOOKUP(B5800,BRAND!B:D,3,FALSE)</f>
        <v>0</v>
      </c>
      <c r="J5800">
        <f t="shared" si="54"/>
        <v>10</v>
      </c>
      <c r="K5800" t="s">
        <v>821</v>
      </c>
      <c r="L5800">
        <v>0</v>
      </c>
      <c r="M5800">
        <v>1</v>
      </c>
    </row>
    <row r="5801" spans="1:13">
      <c r="A5801" t="s">
        <v>14801</v>
      </c>
      <c r="B5801" t="s">
        <v>14793</v>
      </c>
      <c r="C5801" s="34" t="s">
        <v>8449</v>
      </c>
      <c r="F5801" t="s">
        <v>8449</v>
      </c>
      <c r="G5801" t="s">
        <v>6932</v>
      </c>
      <c r="H5801">
        <v>5</v>
      </c>
      <c r="I5801">
        <f>VLOOKUP(B5801,BRAND!B:D,3,FALSE)</f>
        <v>0</v>
      </c>
      <c r="J5801">
        <f t="shared" si="54"/>
        <v>9</v>
      </c>
      <c r="K5801" t="s">
        <v>821</v>
      </c>
      <c r="L5801">
        <v>0</v>
      </c>
      <c r="M5801">
        <v>1</v>
      </c>
    </row>
    <row r="5802" spans="1:13">
      <c r="A5802" t="s">
        <v>14806</v>
      </c>
      <c r="B5802" t="s">
        <v>14793</v>
      </c>
      <c r="C5802" s="34" t="s">
        <v>933</v>
      </c>
      <c r="F5802" t="s">
        <v>933</v>
      </c>
      <c r="G5802" t="s">
        <v>6932</v>
      </c>
      <c r="H5802">
        <v>5</v>
      </c>
      <c r="I5802">
        <f>VLOOKUP(B5802,BRAND!B:D,3,FALSE)</f>
        <v>0</v>
      </c>
      <c r="J5802">
        <f t="shared" si="54"/>
        <v>8</v>
      </c>
      <c r="K5802" t="s">
        <v>821</v>
      </c>
      <c r="L5802">
        <v>0</v>
      </c>
      <c r="M5802">
        <v>1</v>
      </c>
    </row>
    <row r="5803" spans="1:13">
      <c r="A5803" t="s">
        <v>14804</v>
      </c>
      <c r="B5803" t="s">
        <v>14793</v>
      </c>
      <c r="C5803" s="34" t="s">
        <v>14805</v>
      </c>
      <c r="F5803" t="s">
        <v>14805</v>
      </c>
      <c r="G5803" t="s">
        <v>6932</v>
      </c>
      <c r="H5803">
        <v>5</v>
      </c>
      <c r="I5803">
        <f>VLOOKUP(B5803,BRAND!B:D,3,FALSE)</f>
        <v>0</v>
      </c>
      <c r="J5803">
        <f t="shared" si="54"/>
        <v>8</v>
      </c>
      <c r="K5803" t="s">
        <v>821</v>
      </c>
      <c r="L5803">
        <v>0</v>
      </c>
      <c r="M5803">
        <v>1</v>
      </c>
    </row>
    <row r="5804" spans="1:13">
      <c r="A5804" t="s">
        <v>14810</v>
      </c>
      <c r="B5804" t="s">
        <v>14793</v>
      </c>
      <c r="C5804" s="34" t="s">
        <v>1999</v>
      </c>
      <c r="F5804" t="s">
        <v>1999</v>
      </c>
      <c r="G5804" t="s">
        <v>6932</v>
      </c>
      <c r="H5804">
        <v>5</v>
      </c>
      <c r="I5804">
        <f>VLOOKUP(B5804,BRAND!B:D,3,FALSE)</f>
        <v>0</v>
      </c>
      <c r="J5804">
        <f t="shared" si="54"/>
        <v>7</v>
      </c>
      <c r="K5804" t="s">
        <v>821</v>
      </c>
      <c r="L5804">
        <v>0</v>
      </c>
      <c r="M5804">
        <v>1</v>
      </c>
    </row>
    <row r="5805" spans="1:13">
      <c r="A5805" t="s">
        <v>14792</v>
      </c>
      <c r="B5805" t="s">
        <v>14793</v>
      </c>
      <c r="C5805" s="34" t="s">
        <v>777</v>
      </c>
      <c r="F5805" t="s">
        <v>777</v>
      </c>
      <c r="G5805" t="s">
        <v>6932</v>
      </c>
      <c r="H5805">
        <v>5</v>
      </c>
      <c r="I5805">
        <f>VLOOKUP(B5805,BRAND!B:D,3,FALSE)</f>
        <v>0</v>
      </c>
      <c r="J5805">
        <f t="shared" si="54"/>
        <v>7</v>
      </c>
      <c r="K5805" t="s">
        <v>821</v>
      </c>
      <c r="L5805">
        <v>0</v>
      </c>
      <c r="M5805">
        <v>1</v>
      </c>
    </row>
    <row r="5806" spans="1:13">
      <c r="A5806" t="s">
        <v>14808</v>
      </c>
      <c r="B5806" t="s">
        <v>14793</v>
      </c>
      <c r="C5806" s="34" t="s">
        <v>534</v>
      </c>
      <c r="F5806" t="s">
        <v>534</v>
      </c>
      <c r="G5806" t="s">
        <v>6932</v>
      </c>
      <c r="H5806">
        <v>5</v>
      </c>
      <c r="I5806">
        <f>VLOOKUP(B5806,BRAND!B:D,3,FALSE)</f>
        <v>0</v>
      </c>
      <c r="J5806">
        <f t="shared" si="54"/>
        <v>6</v>
      </c>
      <c r="K5806" t="s">
        <v>821</v>
      </c>
      <c r="L5806">
        <v>0</v>
      </c>
      <c r="M5806">
        <v>1</v>
      </c>
    </row>
    <row r="5807" spans="1:13">
      <c r="A5807" t="s">
        <v>14807</v>
      </c>
      <c r="B5807" t="s">
        <v>14793</v>
      </c>
      <c r="C5807" s="34" t="s">
        <v>6948</v>
      </c>
      <c r="F5807" t="s">
        <v>6948</v>
      </c>
      <c r="G5807" t="s">
        <v>6932</v>
      </c>
      <c r="H5807">
        <v>5</v>
      </c>
      <c r="I5807">
        <f>VLOOKUP(B5807,BRAND!B:D,3,FALSE)</f>
        <v>0</v>
      </c>
      <c r="J5807">
        <f t="shared" si="54"/>
        <v>6</v>
      </c>
      <c r="K5807" t="s">
        <v>821</v>
      </c>
      <c r="L5807">
        <v>0</v>
      </c>
      <c r="M5807">
        <v>1</v>
      </c>
    </row>
    <row r="5808" spans="1:13">
      <c r="A5808" t="s">
        <v>14809</v>
      </c>
      <c r="B5808" t="s">
        <v>14793</v>
      </c>
      <c r="C5808" s="34" t="s">
        <v>746</v>
      </c>
      <c r="F5808" t="s">
        <v>746</v>
      </c>
      <c r="G5808" t="s">
        <v>6932</v>
      </c>
      <c r="H5808">
        <v>5</v>
      </c>
      <c r="I5808">
        <f>VLOOKUP(B5808,BRAND!B:D,3,FALSE)</f>
        <v>0</v>
      </c>
      <c r="J5808">
        <f t="shared" si="54"/>
        <v>6</v>
      </c>
      <c r="K5808" t="s">
        <v>821</v>
      </c>
      <c r="L5808">
        <v>0</v>
      </c>
      <c r="M5808">
        <v>1</v>
      </c>
    </row>
    <row r="5809" spans="1:13">
      <c r="A5809" t="s">
        <v>14794</v>
      </c>
      <c r="B5809" t="s">
        <v>14793</v>
      </c>
      <c r="C5809" s="34" t="s">
        <v>900</v>
      </c>
      <c r="F5809" t="s">
        <v>900</v>
      </c>
      <c r="G5809" t="s">
        <v>6932</v>
      </c>
      <c r="H5809">
        <v>5</v>
      </c>
      <c r="I5809">
        <f>VLOOKUP(B5809,BRAND!B:D,3,FALSE)</f>
        <v>0</v>
      </c>
      <c r="J5809">
        <f t="shared" si="54"/>
        <v>5</v>
      </c>
      <c r="K5809" t="s">
        <v>821</v>
      </c>
      <c r="L5809">
        <v>0</v>
      </c>
      <c r="M5809">
        <v>1</v>
      </c>
    </row>
    <row r="5810" spans="1:13">
      <c r="A5810" t="s">
        <v>14796</v>
      </c>
      <c r="B5810" t="s">
        <v>14793</v>
      </c>
      <c r="C5810" s="34" t="s">
        <v>776</v>
      </c>
      <c r="F5810" t="s">
        <v>776</v>
      </c>
      <c r="G5810" t="s">
        <v>6932</v>
      </c>
      <c r="H5810">
        <v>5</v>
      </c>
      <c r="I5810">
        <f>VLOOKUP(B5810,BRAND!B:D,3,FALSE)</f>
        <v>0</v>
      </c>
      <c r="J5810">
        <f t="shared" si="54"/>
        <v>5</v>
      </c>
      <c r="K5810" t="s">
        <v>821</v>
      </c>
      <c r="L5810">
        <v>0</v>
      </c>
      <c r="M5810">
        <v>1</v>
      </c>
    </row>
    <row r="5811" spans="1:13">
      <c r="A5811" t="s">
        <v>14802</v>
      </c>
      <c r="B5811" t="s">
        <v>14793</v>
      </c>
      <c r="C5811" s="34" t="s">
        <v>536</v>
      </c>
      <c r="F5811" t="s">
        <v>536</v>
      </c>
      <c r="G5811" t="s">
        <v>6932</v>
      </c>
      <c r="H5811">
        <v>5</v>
      </c>
      <c r="I5811">
        <f>VLOOKUP(B5811,BRAND!B:D,3,FALSE)</f>
        <v>0</v>
      </c>
      <c r="J5811">
        <f t="shared" si="54"/>
        <v>5</v>
      </c>
      <c r="K5811" t="s">
        <v>821</v>
      </c>
      <c r="L5811">
        <v>0</v>
      </c>
      <c r="M5811">
        <v>1</v>
      </c>
    </row>
    <row r="5812" spans="1:13">
      <c r="A5812" t="s">
        <v>14797</v>
      </c>
      <c r="B5812" t="s">
        <v>14793</v>
      </c>
      <c r="C5812" s="34" t="s">
        <v>788</v>
      </c>
      <c r="F5812" t="s">
        <v>788</v>
      </c>
      <c r="G5812" t="s">
        <v>6932</v>
      </c>
      <c r="H5812">
        <v>5</v>
      </c>
      <c r="I5812">
        <f>VLOOKUP(B5812,BRAND!B:D,3,FALSE)</f>
        <v>0</v>
      </c>
      <c r="J5812">
        <f t="shared" si="54"/>
        <v>4</v>
      </c>
      <c r="K5812" t="s">
        <v>821</v>
      </c>
      <c r="L5812">
        <v>0</v>
      </c>
      <c r="M5812">
        <v>1</v>
      </c>
    </row>
    <row r="5813" spans="1:13">
      <c r="A5813" t="s">
        <v>14795</v>
      </c>
      <c r="B5813" t="s">
        <v>14793</v>
      </c>
      <c r="C5813" s="34" t="s">
        <v>561</v>
      </c>
      <c r="F5813" t="s">
        <v>561</v>
      </c>
      <c r="G5813" t="s">
        <v>6932</v>
      </c>
      <c r="H5813">
        <v>5</v>
      </c>
      <c r="I5813">
        <f>VLOOKUP(B5813,BRAND!B:D,3,FALSE)</f>
        <v>0</v>
      </c>
      <c r="J5813">
        <f t="shared" si="54"/>
        <v>3</v>
      </c>
      <c r="K5813" t="s">
        <v>821</v>
      </c>
      <c r="L5813">
        <v>0</v>
      </c>
      <c r="M5813">
        <v>1</v>
      </c>
    </row>
    <row r="5814" spans="1:13">
      <c r="A5814" t="s">
        <v>9776</v>
      </c>
      <c r="B5814" t="s">
        <v>1817</v>
      </c>
      <c r="C5814" s="34" t="s">
        <v>536</v>
      </c>
      <c r="G5814" t="s">
        <v>6932</v>
      </c>
      <c r="H5814">
        <v>5</v>
      </c>
      <c r="I5814">
        <f>VLOOKUP(B5814,BRAND!B:D,3,FALSE)</f>
        <v>3</v>
      </c>
      <c r="J5814">
        <f t="shared" si="54"/>
        <v>0</v>
      </c>
      <c r="L5814">
        <v>0</v>
      </c>
      <c r="M5814">
        <v>0</v>
      </c>
    </row>
    <row r="5815" spans="1:13">
      <c r="A5815" t="s">
        <v>9776</v>
      </c>
      <c r="B5815" t="s">
        <v>1817</v>
      </c>
      <c r="C5815" s="34" t="s">
        <v>536</v>
      </c>
      <c r="G5815" t="s">
        <v>6932</v>
      </c>
      <c r="H5815">
        <v>5</v>
      </c>
      <c r="I5815">
        <f>VLOOKUP(B5815,BRAND!B:D,3,FALSE)</f>
        <v>3</v>
      </c>
      <c r="J5815">
        <v>0</v>
      </c>
      <c r="M5815">
        <v>1</v>
      </c>
    </row>
    <row r="5816" spans="1:13">
      <c r="A5816" t="s">
        <v>8905</v>
      </c>
      <c r="B5816" t="s">
        <v>8906</v>
      </c>
      <c r="C5816" s="34" t="s">
        <v>1438</v>
      </c>
      <c r="F5816" t="s">
        <v>1438</v>
      </c>
      <c r="G5816" t="s">
        <v>6932</v>
      </c>
      <c r="H5816">
        <v>5</v>
      </c>
      <c r="I5816">
        <f>VLOOKUP(B5816,BRAND!B:D,3,FALSE)</f>
        <v>5.5</v>
      </c>
      <c r="J5816">
        <v>4</v>
      </c>
      <c r="M5816">
        <v>1</v>
      </c>
    </row>
    <row r="5817" spans="1:13">
      <c r="A5817" t="s">
        <v>8907</v>
      </c>
      <c r="B5817" t="s">
        <v>8908</v>
      </c>
      <c r="C5817" s="34" t="s">
        <v>1438</v>
      </c>
      <c r="F5817" t="s">
        <v>1438</v>
      </c>
      <c r="G5817" t="s">
        <v>6932</v>
      </c>
      <c r="H5817">
        <v>5</v>
      </c>
      <c r="I5817">
        <f>VLOOKUP(B5817,BRAND!B:D,3,FALSE)</f>
        <v>5.5</v>
      </c>
      <c r="J5817">
        <v>4</v>
      </c>
      <c r="M5817">
        <v>1</v>
      </c>
    </row>
    <row r="5818" spans="1:13">
      <c r="A5818" t="s">
        <v>8909</v>
      </c>
      <c r="B5818" t="s">
        <v>8910</v>
      </c>
      <c r="C5818" s="34" t="s">
        <v>1438</v>
      </c>
      <c r="F5818" t="s">
        <v>1438</v>
      </c>
      <c r="G5818" t="s">
        <v>6932</v>
      </c>
      <c r="H5818">
        <v>5</v>
      </c>
      <c r="I5818">
        <f>VLOOKUP(B5818,BRAND!B:D,3,FALSE)</f>
        <v>5.5</v>
      </c>
      <c r="J5818">
        <v>4</v>
      </c>
      <c r="M5818">
        <v>1</v>
      </c>
    </row>
    <row r="5819" spans="1:13">
      <c r="A5819" t="s">
        <v>8389</v>
      </c>
      <c r="B5819" t="s">
        <v>8390</v>
      </c>
      <c r="C5819" s="34" t="s">
        <v>1438</v>
      </c>
      <c r="F5819" t="s">
        <v>1438</v>
      </c>
      <c r="G5819" t="s">
        <v>6932</v>
      </c>
      <c r="H5819">
        <v>5</v>
      </c>
      <c r="I5819">
        <f>VLOOKUP(B5819,BRAND!B:D,3,FALSE)</f>
        <v>5.5</v>
      </c>
      <c r="J5819">
        <v>4</v>
      </c>
      <c r="M5819">
        <v>1</v>
      </c>
    </row>
    <row r="5820" spans="1:13">
      <c r="A5820" t="s">
        <v>2713</v>
      </c>
      <c r="B5820" t="s">
        <v>124</v>
      </c>
      <c r="C5820" s="34" t="s">
        <v>1438</v>
      </c>
      <c r="F5820" t="s">
        <v>1438</v>
      </c>
      <c r="H5820">
        <v>15</v>
      </c>
      <c r="I5820">
        <f>VLOOKUP(B5820,BRAND!B:D,3,FALSE)</f>
        <v>3</v>
      </c>
      <c r="J5820">
        <v>4</v>
      </c>
      <c r="K5820" t="s">
        <v>821</v>
      </c>
      <c r="M5820">
        <v>1</v>
      </c>
    </row>
    <row r="5821" spans="1:13">
      <c r="A5821" t="s">
        <v>8914</v>
      </c>
      <c r="B5821" t="s">
        <v>375</v>
      </c>
      <c r="C5821" s="34" t="s">
        <v>1474</v>
      </c>
      <c r="F5821" t="s">
        <v>1474</v>
      </c>
      <c r="G5821" t="s">
        <v>6932</v>
      </c>
      <c r="H5821">
        <v>5</v>
      </c>
      <c r="I5821">
        <f>VLOOKUP(B5821,BRAND!B:D,3,FALSE)</f>
        <v>4</v>
      </c>
      <c r="J5821">
        <f>LEN(F5821)</f>
        <v>11</v>
      </c>
      <c r="M5821">
        <v>1</v>
      </c>
    </row>
    <row r="5822" spans="1:13">
      <c r="A5822" t="s">
        <v>8917</v>
      </c>
      <c r="B5822" t="s">
        <v>375</v>
      </c>
      <c r="C5822" s="34" t="s">
        <v>798</v>
      </c>
      <c r="F5822" t="s">
        <v>798</v>
      </c>
      <c r="G5822" t="s">
        <v>6932</v>
      </c>
      <c r="H5822">
        <v>5</v>
      </c>
      <c r="I5822">
        <f>VLOOKUP(B5822,BRAND!B:D,3,FALSE)</f>
        <v>4</v>
      </c>
      <c r="J5822">
        <v>9</v>
      </c>
      <c r="M5822">
        <v>1</v>
      </c>
    </row>
    <row r="5823" spans="1:13">
      <c r="A5823" t="s">
        <v>8915</v>
      </c>
      <c r="B5823" t="s">
        <v>375</v>
      </c>
      <c r="C5823" s="34" t="s">
        <v>8916</v>
      </c>
      <c r="F5823" t="s">
        <v>8916</v>
      </c>
      <c r="G5823" t="s">
        <v>6932</v>
      </c>
      <c r="H5823">
        <v>5</v>
      </c>
      <c r="I5823">
        <f>VLOOKUP(B5823,BRAND!B:D,3,FALSE)</f>
        <v>4</v>
      </c>
      <c r="J5823">
        <v>8</v>
      </c>
      <c r="M5823">
        <v>1</v>
      </c>
    </row>
    <row r="5824" spans="1:13">
      <c r="A5824" t="s">
        <v>8911</v>
      </c>
      <c r="B5824" t="s">
        <v>375</v>
      </c>
      <c r="C5824" s="34" t="s">
        <v>8912</v>
      </c>
      <c r="F5824" t="s">
        <v>8912</v>
      </c>
      <c r="G5824" t="s">
        <v>6932</v>
      </c>
      <c r="H5824">
        <v>5</v>
      </c>
      <c r="I5824">
        <f>VLOOKUP(B5824,BRAND!B:D,3,FALSE)</f>
        <v>4</v>
      </c>
      <c r="J5824">
        <v>5</v>
      </c>
      <c r="M5824">
        <v>1</v>
      </c>
    </row>
    <row r="5825" spans="1:13">
      <c r="A5825" t="s">
        <v>8913</v>
      </c>
      <c r="B5825" t="s">
        <v>375</v>
      </c>
      <c r="C5825" s="34" t="s">
        <v>1987</v>
      </c>
      <c r="F5825" t="s">
        <v>1987</v>
      </c>
      <c r="G5825" t="s">
        <v>6932</v>
      </c>
      <c r="H5825">
        <v>5</v>
      </c>
      <c r="I5825">
        <f>VLOOKUP(B5825,BRAND!B:D,3,FALSE)</f>
        <v>4</v>
      </c>
      <c r="J5825">
        <v>3</v>
      </c>
      <c r="M5825">
        <v>1</v>
      </c>
    </row>
    <row r="5826" spans="1:13">
      <c r="A5826" t="s">
        <v>2832</v>
      </c>
      <c r="B5826" t="s">
        <v>6552</v>
      </c>
      <c r="C5826" s="34" t="s">
        <v>798</v>
      </c>
      <c r="F5826" t="s">
        <v>798</v>
      </c>
      <c r="H5826">
        <v>5</v>
      </c>
      <c r="I5826">
        <f>VLOOKUP(B5826,BRAND!B:D,3,FALSE)</f>
        <v>5.5</v>
      </c>
      <c r="J5826">
        <v>9</v>
      </c>
      <c r="K5826" t="e">
        <v>#N/A</v>
      </c>
      <c r="M5826">
        <v>1</v>
      </c>
    </row>
    <row r="5827" spans="1:13">
      <c r="A5827" t="s">
        <v>2928</v>
      </c>
      <c r="B5827" t="s">
        <v>6552</v>
      </c>
      <c r="C5827" s="34" t="s">
        <v>534</v>
      </c>
      <c r="F5827" t="s">
        <v>534</v>
      </c>
      <c r="H5827">
        <v>5</v>
      </c>
      <c r="I5827">
        <f>VLOOKUP(B5827,BRAND!B:D,3,FALSE)</f>
        <v>5.5</v>
      </c>
      <c r="J5827">
        <v>6</v>
      </c>
      <c r="K5827" t="e">
        <v>#N/A</v>
      </c>
      <c r="L5827">
        <v>0</v>
      </c>
      <c r="M5827">
        <v>0</v>
      </c>
    </row>
    <row r="5828" spans="1:13">
      <c r="A5828" t="s">
        <v>2927</v>
      </c>
      <c r="B5828" t="s">
        <v>6552</v>
      </c>
      <c r="C5828" s="34" t="s">
        <v>1438</v>
      </c>
      <c r="F5828" t="s">
        <v>1438</v>
      </c>
      <c r="H5828">
        <v>15</v>
      </c>
      <c r="I5828">
        <f>VLOOKUP(B5828,BRAND!B:D,3,FALSE)</f>
        <v>5.5</v>
      </c>
      <c r="J5828">
        <v>4</v>
      </c>
      <c r="K5828" t="e">
        <v>#N/A</v>
      </c>
      <c r="L5828">
        <v>0</v>
      </c>
      <c r="M5828">
        <v>0</v>
      </c>
    </row>
    <row r="5829" spans="1:13">
      <c r="A5829" t="s">
        <v>5502</v>
      </c>
      <c r="B5829" t="s">
        <v>5508</v>
      </c>
      <c r="C5829" s="34" t="s">
        <v>5507</v>
      </c>
      <c r="F5829" t="s">
        <v>5507</v>
      </c>
      <c r="H5829">
        <v>15</v>
      </c>
      <c r="I5829">
        <f>VLOOKUP(B5829,BRAND!B:D,3,FALSE)</f>
        <v>5.5</v>
      </c>
      <c r="J5829">
        <v>4</v>
      </c>
      <c r="K5829" t="e">
        <v>#N/A</v>
      </c>
      <c r="M5829">
        <v>1</v>
      </c>
    </row>
    <row r="5830" spans="1:13">
      <c r="A5830" t="s">
        <v>1589</v>
      </c>
      <c r="B5830" t="s">
        <v>1457</v>
      </c>
      <c r="C5830" s="34" t="s">
        <v>994</v>
      </c>
      <c r="F5830" t="s">
        <v>994</v>
      </c>
      <c r="H5830">
        <v>5</v>
      </c>
      <c r="I5830">
        <f>VLOOKUP(B5830,BRAND!B:D,3,FALSE)</f>
        <v>11</v>
      </c>
      <c r="J5830">
        <f>LEN(F5830)</f>
        <v>10</v>
      </c>
      <c r="K5830" t="s">
        <v>822</v>
      </c>
      <c r="M5830">
        <v>1</v>
      </c>
    </row>
    <row r="5831" spans="1:13">
      <c r="A5831" t="s">
        <v>1694</v>
      </c>
      <c r="B5831" t="s">
        <v>1457</v>
      </c>
      <c r="C5831" s="34" t="s">
        <v>798</v>
      </c>
      <c r="F5831" t="s">
        <v>798</v>
      </c>
      <c r="H5831">
        <v>5</v>
      </c>
      <c r="I5831">
        <f>VLOOKUP(B5831,BRAND!B:D,3,FALSE)</f>
        <v>11</v>
      </c>
      <c r="J5831">
        <v>9</v>
      </c>
      <c r="K5831" t="s">
        <v>822</v>
      </c>
      <c r="L5831">
        <v>0</v>
      </c>
      <c r="M5831">
        <v>0</v>
      </c>
    </row>
    <row r="5832" spans="1:13">
      <c r="A5832" t="s">
        <v>4503</v>
      </c>
      <c r="B5832" t="s">
        <v>1457</v>
      </c>
      <c r="C5832" s="34" t="s">
        <v>798</v>
      </c>
      <c r="F5832" t="s">
        <v>798</v>
      </c>
      <c r="H5832">
        <v>5</v>
      </c>
      <c r="I5832">
        <f>VLOOKUP(B5832,BRAND!B:D,3,FALSE)</f>
        <v>11</v>
      </c>
      <c r="J5832">
        <v>9</v>
      </c>
      <c r="K5832" t="s">
        <v>822</v>
      </c>
      <c r="M5832">
        <v>1</v>
      </c>
    </row>
    <row r="5833" spans="1:13">
      <c r="A5833" t="s">
        <v>1587</v>
      </c>
      <c r="B5833" t="s">
        <v>1457</v>
      </c>
      <c r="C5833" s="34" t="s">
        <v>1489</v>
      </c>
      <c r="F5833" t="s">
        <v>1489</v>
      </c>
      <c r="H5833">
        <v>5</v>
      </c>
      <c r="I5833">
        <f>VLOOKUP(B5833,BRAND!B:D,3,FALSE)</f>
        <v>11</v>
      </c>
      <c r="J5833">
        <v>7</v>
      </c>
      <c r="K5833" t="s">
        <v>822</v>
      </c>
      <c r="M5833">
        <v>1</v>
      </c>
    </row>
    <row r="5834" spans="1:13">
      <c r="A5834" t="s">
        <v>4260</v>
      </c>
      <c r="B5834" t="s">
        <v>1457</v>
      </c>
      <c r="C5834" s="34" t="s">
        <v>760</v>
      </c>
      <c r="F5834" t="s">
        <v>760</v>
      </c>
      <c r="H5834">
        <v>5</v>
      </c>
      <c r="I5834">
        <f>VLOOKUP(B5834,BRAND!B:D,3,FALSE)</f>
        <v>11</v>
      </c>
      <c r="J5834">
        <v>6</v>
      </c>
      <c r="K5834" t="s">
        <v>822</v>
      </c>
      <c r="M5834">
        <v>1</v>
      </c>
    </row>
    <row r="5835" spans="1:13">
      <c r="A5835" t="s">
        <v>4585</v>
      </c>
      <c r="B5835" t="s">
        <v>1457</v>
      </c>
      <c r="C5835" s="34" t="s">
        <v>772</v>
      </c>
      <c r="F5835" t="s">
        <v>772</v>
      </c>
      <c r="H5835">
        <v>5</v>
      </c>
      <c r="I5835">
        <f>VLOOKUP(B5835,BRAND!B:D,3,FALSE)</f>
        <v>11</v>
      </c>
      <c r="J5835">
        <v>6</v>
      </c>
      <c r="K5835" t="s">
        <v>822</v>
      </c>
      <c r="M5835">
        <v>1</v>
      </c>
    </row>
    <row r="5836" spans="1:13">
      <c r="A5836" t="s">
        <v>1588</v>
      </c>
      <c r="B5836" t="s">
        <v>1457</v>
      </c>
      <c r="C5836" s="34" t="s">
        <v>1438</v>
      </c>
      <c r="F5836" t="s">
        <v>1438</v>
      </c>
      <c r="H5836">
        <v>15</v>
      </c>
      <c r="I5836">
        <f>VLOOKUP(B5836,BRAND!B:D,3,FALSE)</f>
        <v>11</v>
      </c>
      <c r="J5836">
        <v>4</v>
      </c>
      <c r="K5836" t="s">
        <v>822</v>
      </c>
      <c r="M5836">
        <v>1</v>
      </c>
    </row>
    <row r="5837" spans="1:13">
      <c r="A5837" t="s">
        <v>4680</v>
      </c>
      <c r="B5837" t="s">
        <v>430</v>
      </c>
      <c r="C5837" s="34" t="s">
        <v>1510</v>
      </c>
      <c r="F5837" t="s">
        <v>1510</v>
      </c>
      <c r="H5837">
        <v>5</v>
      </c>
      <c r="I5837">
        <f>VLOOKUP(B5837,BRAND!B:D,3,FALSE)</f>
        <v>3</v>
      </c>
      <c r="J5837">
        <v>6</v>
      </c>
      <c r="K5837" t="s">
        <v>821</v>
      </c>
      <c r="L5837">
        <v>0</v>
      </c>
      <c r="M5837">
        <v>0</v>
      </c>
    </row>
    <row r="5838" spans="1:13">
      <c r="A5838" t="s">
        <v>4404</v>
      </c>
      <c r="B5838" t="s">
        <v>430</v>
      </c>
      <c r="C5838" s="34" t="s">
        <v>799</v>
      </c>
      <c r="F5838" t="s">
        <v>799</v>
      </c>
      <c r="H5838">
        <v>5</v>
      </c>
      <c r="I5838">
        <f>VLOOKUP(B5838,BRAND!B:D,3,FALSE)</f>
        <v>3</v>
      </c>
      <c r="J5838">
        <v>5</v>
      </c>
      <c r="K5838" t="s">
        <v>821</v>
      </c>
      <c r="L5838">
        <v>0</v>
      </c>
      <c r="M5838">
        <v>0</v>
      </c>
    </row>
    <row r="5839" spans="1:13">
      <c r="A5839" t="s">
        <v>2758</v>
      </c>
      <c r="B5839" t="s">
        <v>430</v>
      </c>
      <c r="C5839" s="34" t="s">
        <v>1438</v>
      </c>
      <c r="F5839" t="s">
        <v>1438</v>
      </c>
      <c r="H5839">
        <v>15</v>
      </c>
      <c r="I5839">
        <f>VLOOKUP(B5839,BRAND!B:D,3,FALSE)</f>
        <v>3</v>
      </c>
      <c r="J5839">
        <v>4</v>
      </c>
      <c r="K5839" t="s">
        <v>821</v>
      </c>
      <c r="L5839">
        <v>0</v>
      </c>
      <c r="M5839">
        <v>0</v>
      </c>
    </row>
    <row r="5840" spans="1:13">
      <c r="A5840" t="s">
        <v>8918</v>
      </c>
      <c r="B5840" t="s">
        <v>8919</v>
      </c>
      <c r="C5840" s="34" t="s">
        <v>1438</v>
      </c>
      <c r="F5840" t="s">
        <v>1438</v>
      </c>
      <c r="G5840" t="s">
        <v>6932</v>
      </c>
      <c r="H5840">
        <v>5</v>
      </c>
      <c r="I5840">
        <f>VLOOKUP(B5840,BRAND!B:D,3,FALSE)</f>
        <v>5.5</v>
      </c>
      <c r="J5840">
        <v>4</v>
      </c>
      <c r="M5840">
        <v>1</v>
      </c>
    </row>
    <row r="5841" spans="1:13">
      <c r="A5841" t="s">
        <v>3594</v>
      </c>
      <c r="B5841" t="s">
        <v>1307</v>
      </c>
      <c r="C5841" s="34" t="s">
        <v>534</v>
      </c>
      <c r="F5841" t="s">
        <v>534</v>
      </c>
      <c r="H5841">
        <v>5</v>
      </c>
      <c r="I5841">
        <f>VLOOKUP(B5841,BRAND!B:D,3,FALSE)</f>
        <v>4</v>
      </c>
      <c r="J5841">
        <v>6</v>
      </c>
      <c r="K5841" t="s">
        <v>822</v>
      </c>
      <c r="L5841">
        <v>0</v>
      </c>
      <c r="M5841">
        <v>0</v>
      </c>
    </row>
    <row r="5842" spans="1:13">
      <c r="A5842" t="s">
        <v>4874</v>
      </c>
      <c r="B5842" t="s">
        <v>1307</v>
      </c>
      <c r="C5842" s="34" t="s">
        <v>536</v>
      </c>
      <c r="F5842" t="s">
        <v>536</v>
      </c>
      <c r="H5842">
        <v>5</v>
      </c>
      <c r="I5842">
        <f>VLOOKUP(B5842,BRAND!B:D,3,FALSE)</f>
        <v>4</v>
      </c>
      <c r="J5842">
        <v>5</v>
      </c>
      <c r="K5842" t="s">
        <v>822</v>
      </c>
      <c r="L5842">
        <v>0</v>
      </c>
      <c r="M5842">
        <v>0</v>
      </c>
    </row>
    <row r="5843" spans="1:13">
      <c r="A5843" t="s">
        <v>2252</v>
      </c>
      <c r="B5843" t="s">
        <v>1307</v>
      </c>
      <c r="C5843" s="34" t="s">
        <v>1438</v>
      </c>
      <c r="F5843" t="s">
        <v>1438</v>
      </c>
      <c r="H5843">
        <v>15</v>
      </c>
      <c r="I5843">
        <f>VLOOKUP(B5843,BRAND!B:D,3,FALSE)</f>
        <v>4</v>
      </c>
      <c r="J5843">
        <v>4</v>
      </c>
      <c r="K5843" t="s">
        <v>822</v>
      </c>
      <c r="L5843">
        <v>0</v>
      </c>
      <c r="M5843">
        <v>0</v>
      </c>
    </row>
    <row r="5844" spans="1:13">
      <c r="A5844" t="s">
        <v>7826</v>
      </c>
      <c r="B5844" t="s">
        <v>7827</v>
      </c>
      <c r="C5844" s="34" t="s">
        <v>1438</v>
      </c>
      <c r="F5844" t="s">
        <v>1438</v>
      </c>
      <c r="G5844" t="s">
        <v>6932</v>
      </c>
      <c r="H5844">
        <v>5</v>
      </c>
      <c r="I5844">
        <f>VLOOKUP(B5844,BRAND!B:D,3,FALSE)</f>
        <v>5.5</v>
      </c>
      <c r="J5844">
        <v>4</v>
      </c>
      <c r="M5844">
        <v>1</v>
      </c>
    </row>
    <row r="5845" spans="1:13">
      <c r="A5845" t="s">
        <v>5457</v>
      </c>
      <c r="B5845" t="s">
        <v>125</v>
      </c>
      <c r="C5845" s="34" t="s">
        <v>1971</v>
      </c>
      <c r="F5845" t="s">
        <v>1971</v>
      </c>
      <c r="H5845">
        <v>4</v>
      </c>
      <c r="I5845">
        <f>VLOOKUP(B5845,BRAND!B:D,3,FALSE)</f>
        <v>5</v>
      </c>
      <c r="J5845">
        <f>LEN(F5845)</f>
        <v>12</v>
      </c>
      <c r="K5845" t="s">
        <v>822</v>
      </c>
      <c r="M5845">
        <v>1</v>
      </c>
    </row>
    <row r="5846" spans="1:13">
      <c r="A5846" t="s">
        <v>1658</v>
      </c>
      <c r="B5846" t="s">
        <v>125</v>
      </c>
      <c r="C5846" s="34" t="s">
        <v>1470</v>
      </c>
      <c r="F5846" t="s">
        <v>1470</v>
      </c>
      <c r="H5846">
        <v>4</v>
      </c>
      <c r="I5846">
        <f>VLOOKUP(B5846,BRAND!B:D,3,FALSE)</f>
        <v>5</v>
      </c>
      <c r="J5846">
        <f>LEN(F5846)</f>
        <v>12</v>
      </c>
      <c r="K5846" t="s">
        <v>822</v>
      </c>
      <c r="M5846">
        <v>1</v>
      </c>
    </row>
    <row r="5847" spans="1:13">
      <c r="A5847" t="s">
        <v>1547</v>
      </c>
      <c r="B5847" t="s">
        <v>125</v>
      </c>
      <c r="C5847" s="34" t="s">
        <v>5381</v>
      </c>
      <c r="F5847" t="s">
        <v>995</v>
      </c>
      <c r="H5847">
        <v>4</v>
      </c>
      <c r="I5847">
        <f>VLOOKUP(B5847,BRAND!B:D,3,FALSE)</f>
        <v>5</v>
      </c>
      <c r="J5847">
        <v>6</v>
      </c>
      <c r="K5847" t="s">
        <v>822</v>
      </c>
      <c r="M5847">
        <v>1</v>
      </c>
    </row>
    <row r="5848" spans="1:13">
      <c r="A5848" t="s">
        <v>1599</v>
      </c>
      <c r="B5848" t="s">
        <v>125</v>
      </c>
      <c r="C5848" s="34" t="s">
        <v>1481</v>
      </c>
      <c r="F5848" t="s">
        <v>6459</v>
      </c>
      <c r="H5848">
        <v>5</v>
      </c>
      <c r="I5848">
        <f>VLOOKUP(B5848,BRAND!B:D,3,FALSE)</f>
        <v>5</v>
      </c>
      <c r="J5848">
        <f>LEN(F5848)</f>
        <v>19</v>
      </c>
      <c r="K5848" t="s">
        <v>822</v>
      </c>
      <c r="M5848">
        <v>1</v>
      </c>
    </row>
    <row r="5849" spans="1:13">
      <c r="A5849" t="s">
        <v>6730</v>
      </c>
      <c r="B5849" t="s">
        <v>125</v>
      </c>
      <c r="C5849" s="34" t="s">
        <v>5187</v>
      </c>
      <c r="F5849" t="s">
        <v>5187</v>
      </c>
      <c r="G5849" t="s">
        <v>6932</v>
      </c>
      <c r="H5849">
        <v>5</v>
      </c>
      <c r="I5849">
        <f>VLOOKUP(B5849,BRAND!B:D,3,FALSE)</f>
        <v>5</v>
      </c>
      <c r="J5849">
        <f>LEN(F5849)</f>
        <v>12</v>
      </c>
      <c r="L5849">
        <v>0</v>
      </c>
    </row>
    <row r="5850" spans="1:13">
      <c r="A5850" t="s">
        <v>6730</v>
      </c>
      <c r="B5850" t="s">
        <v>125</v>
      </c>
      <c r="C5850" s="34" t="s">
        <v>5187</v>
      </c>
      <c r="F5850" t="s">
        <v>5187</v>
      </c>
      <c r="H5850">
        <v>5</v>
      </c>
      <c r="I5850">
        <f>VLOOKUP(B5850,BRAND!B:D,3,FALSE)</f>
        <v>5</v>
      </c>
      <c r="J5850">
        <f>LEN(F5850)</f>
        <v>12</v>
      </c>
      <c r="M5850">
        <v>1</v>
      </c>
    </row>
    <row r="5851" spans="1:13">
      <c r="A5851" t="s">
        <v>4170</v>
      </c>
      <c r="B5851" t="s">
        <v>125</v>
      </c>
      <c r="C5851" s="34" t="s">
        <v>1965</v>
      </c>
      <c r="F5851" t="s">
        <v>1965</v>
      </c>
      <c r="H5851">
        <v>5</v>
      </c>
      <c r="I5851">
        <f>VLOOKUP(B5851,BRAND!B:D,3,FALSE)</f>
        <v>5</v>
      </c>
      <c r="J5851">
        <f>LEN(F5851)</f>
        <v>10</v>
      </c>
      <c r="K5851" t="s">
        <v>822</v>
      </c>
      <c r="M5851">
        <v>1</v>
      </c>
    </row>
    <row r="5852" spans="1:13">
      <c r="A5852" t="s">
        <v>1708</v>
      </c>
      <c r="B5852" t="s">
        <v>125</v>
      </c>
      <c r="C5852" s="34" t="s">
        <v>769</v>
      </c>
      <c r="F5852" t="s">
        <v>769</v>
      </c>
      <c r="H5852">
        <v>5</v>
      </c>
      <c r="I5852">
        <f>VLOOKUP(B5852,BRAND!B:D,3,FALSE)</f>
        <v>5</v>
      </c>
      <c r="J5852">
        <v>8</v>
      </c>
      <c r="K5852" t="s">
        <v>822</v>
      </c>
      <c r="M5852">
        <v>1</v>
      </c>
    </row>
    <row r="5853" spans="1:13">
      <c r="A5853" t="s">
        <v>1569</v>
      </c>
      <c r="B5853" t="s">
        <v>125</v>
      </c>
      <c r="C5853" s="34" t="s">
        <v>746</v>
      </c>
      <c r="F5853" t="s">
        <v>746</v>
      </c>
      <c r="H5853">
        <v>5</v>
      </c>
      <c r="I5853">
        <f>VLOOKUP(B5853,BRAND!B:D,3,FALSE)</f>
        <v>5</v>
      </c>
      <c r="J5853">
        <v>6</v>
      </c>
      <c r="K5853" t="s">
        <v>822</v>
      </c>
      <c r="M5853">
        <v>1</v>
      </c>
    </row>
    <row r="5854" spans="1:13">
      <c r="A5854" t="s">
        <v>1559</v>
      </c>
      <c r="B5854" t="s">
        <v>125</v>
      </c>
      <c r="C5854" s="34" t="s">
        <v>1511</v>
      </c>
      <c r="F5854" t="s">
        <v>1511</v>
      </c>
      <c r="H5854">
        <v>5</v>
      </c>
      <c r="I5854">
        <f>VLOOKUP(B5854,BRAND!B:D,3,FALSE)</f>
        <v>5</v>
      </c>
      <c r="J5854">
        <v>6</v>
      </c>
      <c r="K5854" t="s">
        <v>822</v>
      </c>
      <c r="M5854">
        <v>1</v>
      </c>
    </row>
    <row r="5855" spans="1:13">
      <c r="A5855" t="s">
        <v>1709</v>
      </c>
      <c r="B5855" t="s">
        <v>125</v>
      </c>
      <c r="C5855" s="34" t="s">
        <v>761</v>
      </c>
      <c r="F5855" t="s">
        <v>761</v>
      </c>
      <c r="H5855">
        <v>5</v>
      </c>
      <c r="I5855">
        <f>VLOOKUP(B5855,BRAND!B:D,3,FALSE)</f>
        <v>5</v>
      </c>
      <c r="J5855">
        <v>5</v>
      </c>
      <c r="K5855" t="s">
        <v>822</v>
      </c>
      <c r="M5855">
        <v>1</v>
      </c>
    </row>
    <row r="5856" spans="1:13">
      <c r="A5856" t="s">
        <v>1702</v>
      </c>
      <c r="B5856" t="s">
        <v>125</v>
      </c>
      <c r="C5856" s="34" t="s">
        <v>1513</v>
      </c>
      <c r="F5856" t="s">
        <v>1513</v>
      </c>
      <c r="H5856">
        <v>5</v>
      </c>
      <c r="I5856">
        <f>VLOOKUP(B5856,BRAND!B:D,3,FALSE)</f>
        <v>5</v>
      </c>
      <c r="J5856">
        <v>5</v>
      </c>
      <c r="K5856" t="s">
        <v>822</v>
      </c>
      <c r="M5856">
        <v>1</v>
      </c>
    </row>
    <row r="5857" spans="1:13">
      <c r="A5857" t="s">
        <v>1710</v>
      </c>
      <c r="B5857" t="s">
        <v>125</v>
      </c>
      <c r="C5857" s="34" t="s">
        <v>775</v>
      </c>
      <c r="F5857" t="s">
        <v>775</v>
      </c>
      <c r="H5857">
        <v>5</v>
      </c>
      <c r="I5857">
        <f>VLOOKUP(B5857,BRAND!B:D,3,FALSE)</f>
        <v>5</v>
      </c>
      <c r="J5857">
        <v>3</v>
      </c>
      <c r="K5857" t="s">
        <v>822</v>
      </c>
      <c r="M5857">
        <v>1</v>
      </c>
    </row>
    <row r="5858" spans="1:13">
      <c r="A5858" t="s">
        <v>1528</v>
      </c>
      <c r="B5858" t="s">
        <v>125</v>
      </c>
      <c r="C5858" s="34" t="s">
        <v>764</v>
      </c>
      <c r="F5858" t="s">
        <v>764</v>
      </c>
      <c r="H5858">
        <v>6</v>
      </c>
      <c r="I5858">
        <f>VLOOKUP(B5858,BRAND!B:D,3,FALSE)</f>
        <v>5</v>
      </c>
      <c r="J5858">
        <v>5</v>
      </c>
      <c r="K5858" t="s">
        <v>822</v>
      </c>
      <c r="M5858">
        <v>1</v>
      </c>
    </row>
    <row r="5859" spans="1:13">
      <c r="A5859" t="s">
        <v>6460</v>
      </c>
      <c r="B5859" t="s">
        <v>125</v>
      </c>
      <c r="C5859" s="34" t="s">
        <v>4896</v>
      </c>
      <c r="F5859" t="s">
        <v>4896</v>
      </c>
      <c r="H5859">
        <v>6</v>
      </c>
      <c r="I5859">
        <f>VLOOKUP(B5859,BRAND!B:D,3,FALSE)</f>
        <v>5</v>
      </c>
      <c r="J5859">
        <v>3</v>
      </c>
      <c r="K5859" t="s">
        <v>822</v>
      </c>
      <c r="M5859">
        <v>1</v>
      </c>
    </row>
    <row r="5860" spans="1:13">
      <c r="A5860" t="s">
        <v>4487</v>
      </c>
      <c r="B5860" t="s">
        <v>1308</v>
      </c>
      <c r="C5860" s="34" t="s">
        <v>904</v>
      </c>
      <c r="F5860" t="s">
        <v>904</v>
      </c>
      <c r="H5860">
        <v>5</v>
      </c>
      <c r="I5860">
        <f>VLOOKUP(B5860,BRAND!B:D,3,FALSE)</f>
        <v>3</v>
      </c>
      <c r="J5860">
        <v>8</v>
      </c>
      <c r="K5860" t="s">
        <v>821</v>
      </c>
      <c r="L5860">
        <v>0</v>
      </c>
      <c r="M5860">
        <v>0</v>
      </c>
    </row>
    <row r="5861" spans="1:13">
      <c r="A5861" t="s">
        <v>4634</v>
      </c>
      <c r="B5861" t="s">
        <v>1308</v>
      </c>
      <c r="C5861" s="34" t="s">
        <v>776</v>
      </c>
      <c r="F5861" t="s">
        <v>776</v>
      </c>
      <c r="H5861">
        <v>5</v>
      </c>
      <c r="I5861">
        <f>VLOOKUP(B5861,BRAND!B:D,3,FALSE)</f>
        <v>3</v>
      </c>
      <c r="J5861">
        <v>5</v>
      </c>
      <c r="K5861" t="s">
        <v>821</v>
      </c>
      <c r="L5861">
        <v>0</v>
      </c>
      <c r="M5861">
        <v>0</v>
      </c>
    </row>
    <row r="5862" spans="1:13">
      <c r="A5862" t="s">
        <v>4398</v>
      </c>
      <c r="B5862" t="s">
        <v>1308</v>
      </c>
      <c r="C5862" s="34" t="s">
        <v>897</v>
      </c>
      <c r="F5862" t="s">
        <v>897</v>
      </c>
      <c r="H5862">
        <v>5</v>
      </c>
      <c r="I5862">
        <f>VLOOKUP(B5862,BRAND!B:D,3,FALSE)</f>
        <v>3</v>
      </c>
      <c r="J5862">
        <v>4</v>
      </c>
      <c r="K5862" t="s">
        <v>821</v>
      </c>
      <c r="L5862">
        <v>0</v>
      </c>
      <c r="M5862">
        <v>0</v>
      </c>
    </row>
    <row r="5863" spans="1:13">
      <c r="A5863" t="s">
        <v>4466</v>
      </c>
      <c r="B5863" t="s">
        <v>1308</v>
      </c>
      <c r="C5863" s="34" t="s">
        <v>1992</v>
      </c>
      <c r="F5863" t="s">
        <v>1992</v>
      </c>
      <c r="H5863">
        <v>5</v>
      </c>
      <c r="I5863">
        <f>VLOOKUP(B5863,BRAND!B:D,3,FALSE)</f>
        <v>3</v>
      </c>
      <c r="J5863">
        <v>3</v>
      </c>
      <c r="K5863" t="s">
        <v>821</v>
      </c>
      <c r="L5863">
        <v>0</v>
      </c>
      <c r="M5863">
        <v>0</v>
      </c>
    </row>
    <row r="5864" spans="1:13">
      <c r="A5864" t="s">
        <v>2774</v>
      </c>
      <c r="B5864" t="s">
        <v>1308</v>
      </c>
      <c r="C5864" s="34" t="s">
        <v>1438</v>
      </c>
      <c r="F5864" t="s">
        <v>1438</v>
      </c>
      <c r="H5864">
        <v>15</v>
      </c>
      <c r="I5864">
        <f>VLOOKUP(B5864,BRAND!B:D,3,FALSE)</f>
        <v>3</v>
      </c>
      <c r="J5864">
        <v>4</v>
      </c>
      <c r="K5864" t="s">
        <v>821</v>
      </c>
      <c r="L5864">
        <v>0</v>
      </c>
      <c r="M5864">
        <v>0</v>
      </c>
    </row>
    <row r="5865" spans="1:13">
      <c r="A5865" t="s">
        <v>8920</v>
      </c>
      <c r="B5865" t="s">
        <v>8921</v>
      </c>
      <c r="C5865" s="34" t="s">
        <v>1438</v>
      </c>
      <c r="F5865" t="s">
        <v>1438</v>
      </c>
      <c r="G5865" t="s">
        <v>6932</v>
      </c>
      <c r="H5865">
        <v>5</v>
      </c>
      <c r="I5865">
        <f>VLOOKUP(B5865,BRAND!B:D,3,FALSE)</f>
        <v>5.5</v>
      </c>
      <c r="J5865">
        <v>4</v>
      </c>
      <c r="M5865">
        <v>1</v>
      </c>
    </row>
    <row r="5866" spans="1:13">
      <c r="A5866" t="s">
        <v>1605</v>
      </c>
      <c r="B5866" t="s">
        <v>126</v>
      </c>
      <c r="C5866" s="34" t="s">
        <v>995</v>
      </c>
      <c r="F5866" t="s">
        <v>995</v>
      </c>
      <c r="H5866">
        <v>5</v>
      </c>
      <c r="I5866">
        <f>VLOOKUP(B5866,BRAND!B:D,3,FALSE)</f>
        <v>3</v>
      </c>
      <c r="J5866">
        <v>6</v>
      </c>
      <c r="K5866" t="s">
        <v>821</v>
      </c>
      <c r="M5866">
        <v>1</v>
      </c>
    </row>
    <row r="5867" spans="1:13">
      <c r="A5867" t="s">
        <v>4220</v>
      </c>
      <c r="B5867" t="s">
        <v>126</v>
      </c>
      <c r="C5867" s="34" t="s">
        <v>1513</v>
      </c>
      <c r="F5867" t="s">
        <v>1513</v>
      </c>
      <c r="H5867">
        <v>5</v>
      </c>
      <c r="I5867">
        <f>VLOOKUP(B5867,BRAND!B:D,3,FALSE)</f>
        <v>3</v>
      </c>
      <c r="J5867">
        <v>5</v>
      </c>
      <c r="K5867" t="s">
        <v>821</v>
      </c>
      <c r="M5867">
        <v>1</v>
      </c>
    </row>
    <row r="5868" spans="1:13">
      <c r="A5868" t="s">
        <v>1586</v>
      </c>
      <c r="B5868" t="s">
        <v>126</v>
      </c>
      <c r="C5868" s="34" t="s">
        <v>1438</v>
      </c>
      <c r="F5868" t="s">
        <v>1438</v>
      </c>
      <c r="H5868">
        <v>15</v>
      </c>
      <c r="I5868">
        <f>VLOOKUP(B5868,BRAND!B:D,3,FALSE)</f>
        <v>3</v>
      </c>
      <c r="J5868">
        <v>4</v>
      </c>
      <c r="K5868" t="s">
        <v>821</v>
      </c>
      <c r="M5868">
        <v>1</v>
      </c>
    </row>
    <row r="5869" spans="1:13">
      <c r="A5869" t="s">
        <v>2036</v>
      </c>
      <c r="B5869" t="s">
        <v>838</v>
      </c>
      <c r="C5869" s="34" t="s">
        <v>1438</v>
      </c>
      <c r="F5869" t="s">
        <v>1438</v>
      </c>
      <c r="H5869">
        <v>15</v>
      </c>
      <c r="I5869">
        <f>VLOOKUP(B5869,BRAND!B:D,3,FALSE)</f>
        <v>3</v>
      </c>
      <c r="J5869">
        <v>4</v>
      </c>
      <c r="K5869" t="s">
        <v>821</v>
      </c>
      <c r="L5869">
        <v>0</v>
      </c>
      <c r="M5869">
        <v>0</v>
      </c>
    </row>
    <row r="5870" spans="1:13">
      <c r="A5870" t="s">
        <v>8922</v>
      </c>
      <c r="B5870" t="s">
        <v>8923</v>
      </c>
      <c r="C5870" s="34" t="s">
        <v>1438</v>
      </c>
      <c r="F5870" t="s">
        <v>1438</v>
      </c>
      <c r="G5870" t="s">
        <v>6932</v>
      </c>
      <c r="H5870">
        <v>5</v>
      </c>
      <c r="I5870">
        <f>VLOOKUP(B5870,BRAND!B:D,3,FALSE)</f>
        <v>5.5</v>
      </c>
      <c r="J5870">
        <v>4</v>
      </c>
      <c r="M5870">
        <v>1</v>
      </c>
    </row>
    <row r="5871" spans="1:13">
      <c r="A5871" t="s">
        <v>4582</v>
      </c>
      <c r="B5871" t="s">
        <v>1309</v>
      </c>
      <c r="C5871" s="34" t="s">
        <v>994</v>
      </c>
      <c r="F5871" t="s">
        <v>994</v>
      </c>
      <c r="H5871">
        <v>5</v>
      </c>
      <c r="I5871">
        <f>VLOOKUP(B5871,BRAND!B:D,3,FALSE)</f>
        <v>5.5</v>
      </c>
      <c r="J5871">
        <f>LEN(F5871)</f>
        <v>10</v>
      </c>
      <c r="K5871" t="e">
        <v>#N/A</v>
      </c>
      <c r="L5871">
        <v>0</v>
      </c>
      <c r="M5871">
        <v>0</v>
      </c>
    </row>
    <row r="5872" spans="1:13">
      <c r="A5872" t="s">
        <v>2887</v>
      </c>
      <c r="B5872" t="s">
        <v>1309</v>
      </c>
      <c r="C5872" s="34" t="s">
        <v>535</v>
      </c>
      <c r="F5872" t="s">
        <v>535</v>
      </c>
      <c r="H5872">
        <v>5</v>
      </c>
      <c r="I5872">
        <f>VLOOKUP(B5872,BRAND!B:D,3,FALSE)</f>
        <v>5.5</v>
      </c>
      <c r="J5872">
        <v>6</v>
      </c>
      <c r="K5872" t="e">
        <v>#N/A</v>
      </c>
      <c r="L5872">
        <v>0</v>
      </c>
      <c r="M5872">
        <v>0</v>
      </c>
    </row>
    <row r="5873" spans="1:13">
      <c r="A5873" t="s">
        <v>4703</v>
      </c>
      <c r="B5873" t="s">
        <v>1309</v>
      </c>
      <c r="C5873" s="34" t="s">
        <v>1513</v>
      </c>
      <c r="F5873" t="s">
        <v>1513</v>
      </c>
      <c r="H5873">
        <v>5</v>
      </c>
      <c r="I5873">
        <f>VLOOKUP(B5873,BRAND!B:D,3,FALSE)</f>
        <v>5.5</v>
      </c>
      <c r="J5873">
        <v>5</v>
      </c>
      <c r="K5873" t="e">
        <v>#N/A</v>
      </c>
      <c r="L5873">
        <v>0</v>
      </c>
      <c r="M5873">
        <v>0</v>
      </c>
    </row>
    <row r="5874" spans="1:13">
      <c r="A5874" t="s">
        <v>4720</v>
      </c>
      <c r="B5874" t="s">
        <v>1309</v>
      </c>
      <c r="C5874" s="34" t="s">
        <v>1992</v>
      </c>
      <c r="F5874" t="s">
        <v>1992</v>
      </c>
      <c r="H5874">
        <v>5</v>
      </c>
      <c r="I5874">
        <f>VLOOKUP(B5874,BRAND!B:D,3,FALSE)</f>
        <v>5.5</v>
      </c>
      <c r="J5874">
        <v>3</v>
      </c>
      <c r="K5874" t="e">
        <v>#N/A</v>
      </c>
      <c r="L5874">
        <v>0</v>
      </c>
      <c r="M5874">
        <v>0</v>
      </c>
    </row>
    <row r="5875" spans="1:13">
      <c r="A5875" t="s">
        <v>4204</v>
      </c>
      <c r="B5875" t="s">
        <v>1309</v>
      </c>
      <c r="C5875" s="34" t="s">
        <v>561</v>
      </c>
      <c r="F5875" t="s">
        <v>561</v>
      </c>
      <c r="H5875">
        <v>5</v>
      </c>
      <c r="I5875">
        <f>VLOOKUP(B5875,BRAND!B:D,3,FALSE)</f>
        <v>5.5</v>
      </c>
      <c r="J5875">
        <v>3</v>
      </c>
      <c r="K5875" t="e">
        <v>#N/A</v>
      </c>
      <c r="L5875">
        <v>0</v>
      </c>
      <c r="M5875">
        <v>0</v>
      </c>
    </row>
    <row r="5876" spans="1:13">
      <c r="A5876" t="s">
        <v>2231</v>
      </c>
      <c r="B5876" t="s">
        <v>1309</v>
      </c>
      <c r="C5876" s="34" t="s">
        <v>1438</v>
      </c>
      <c r="F5876" t="s">
        <v>1438</v>
      </c>
      <c r="H5876">
        <v>15</v>
      </c>
      <c r="I5876">
        <f>VLOOKUP(B5876,BRAND!B:D,3,FALSE)</f>
        <v>5.5</v>
      </c>
      <c r="J5876">
        <v>4</v>
      </c>
      <c r="K5876" t="e">
        <v>#N/A</v>
      </c>
      <c r="L5876">
        <v>0</v>
      </c>
      <c r="M5876">
        <v>0</v>
      </c>
    </row>
    <row r="5877" spans="1:13">
      <c r="A5877" t="s">
        <v>3296</v>
      </c>
      <c r="B5877" t="s">
        <v>1310</v>
      </c>
      <c r="C5877" s="34" t="s">
        <v>1438</v>
      </c>
      <c r="F5877" t="s">
        <v>1438</v>
      </c>
      <c r="H5877">
        <v>15</v>
      </c>
      <c r="I5877">
        <f>VLOOKUP(B5877,BRAND!B:D,3,FALSE)</f>
        <v>5.5</v>
      </c>
      <c r="J5877">
        <v>4</v>
      </c>
      <c r="K5877" t="e">
        <v>#N/A</v>
      </c>
      <c r="L5877">
        <v>0</v>
      </c>
      <c r="M5877">
        <v>0</v>
      </c>
    </row>
    <row r="5878" spans="1:13">
      <c r="A5878" t="s">
        <v>8924</v>
      </c>
      <c r="B5878" t="s">
        <v>8925</v>
      </c>
      <c r="C5878" s="34" t="s">
        <v>1438</v>
      </c>
      <c r="F5878" t="s">
        <v>1438</v>
      </c>
      <c r="G5878" t="s">
        <v>6932</v>
      </c>
      <c r="H5878">
        <v>5</v>
      </c>
      <c r="I5878">
        <f>VLOOKUP(B5878,BRAND!B:D,3,FALSE)</f>
        <v>5.5</v>
      </c>
      <c r="J5878">
        <v>4</v>
      </c>
      <c r="M5878">
        <v>1</v>
      </c>
    </row>
    <row r="5879" spans="1:13">
      <c r="A5879" t="s">
        <v>8926</v>
      </c>
      <c r="B5879" t="s">
        <v>431</v>
      </c>
      <c r="C5879" s="34" t="s">
        <v>1438</v>
      </c>
      <c r="F5879" t="s">
        <v>1438</v>
      </c>
      <c r="G5879" t="s">
        <v>6932</v>
      </c>
      <c r="H5879">
        <v>5</v>
      </c>
      <c r="I5879">
        <f>VLOOKUP(B5879,BRAND!B:D,3,FALSE)</f>
        <v>3</v>
      </c>
      <c r="J5879">
        <v>4</v>
      </c>
      <c r="L5879">
        <v>0</v>
      </c>
      <c r="M5879">
        <v>0</v>
      </c>
    </row>
    <row r="5880" spans="1:13">
      <c r="A5880" t="s">
        <v>3521</v>
      </c>
      <c r="B5880" t="s">
        <v>431</v>
      </c>
      <c r="C5880" s="34" t="s">
        <v>561</v>
      </c>
      <c r="F5880" t="s">
        <v>561</v>
      </c>
      <c r="H5880">
        <v>5</v>
      </c>
      <c r="I5880">
        <f>VLOOKUP(B5880,BRAND!B:D,3,FALSE)</f>
        <v>3</v>
      </c>
      <c r="J5880">
        <v>3</v>
      </c>
      <c r="K5880" t="s">
        <v>821</v>
      </c>
      <c r="M5880">
        <v>1</v>
      </c>
    </row>
    <row r="5881" spans="1:13">
      <c r="A5881" t="s">
        <v>3077</v>
      </c>
      <c r="B5881" t="s">
        <v>431</v>
      </c>
      <c r="C5881" s="34" t="s">
        <v>786</v>
      </c>
      <c r="F5881" t="s">
        <v>786</v>
      </c>
      <c r="H5881">
        <v>5</v>
      </c>
      <c r="I5881">
        <f>VLOOKUP(B5881,BRAND!B:D,3,FALSE)</f>
        <v>3</v>
      </c>
      <c r="J5881">
        <v>3</v>
      </c>
      <c r="K5881" t="s">
        <v>821</v>
      </c>
      <c r="M5881">
        <v>1</v>
      </c>
    </row>
    <row r="5882" spans="1:13">
      <c r="A5882" t="s">
        <v>9777</v>
      </c>
      <c r="B5882" t="s">
        <v>431</v>
      </c>
      <c r="C5882" s="34" t="s">
        <v>10002</v>
      </c>
      <c r="G5882" t="s">
        <v>6932</v>
      </c>
      <c r="H5882">
        <v>5</v>
      </c>
      <c r="I5882">
        <f>VLOOKUP(B5882,BRAND!B:D,3,FALSE)</f>
        <v>3</v>
      </c>
      <c r="J5882">
        <f>LEN(F5882)</f>
        <v>0</v>
      </c>
      <c r="L5882">
        <v>0</v>
      </c>
      <c r="M5882">
        <v>0</v>
      </c>
    </row>
    <row r="5883" spans="1:13">
      <c r="A5883" t="s">
        <v>9778</v>
      </c>
      <c r="B5883" t="s">
        <v>431</v>
      </c>
      <c r="C5883" s="34" t="s">
        <v>534</v>
      </c>
      <c r="H5883">
        <v>5</v>
      </c>
      <c r="I5883">
        <f>VLOOKUP(B5883,BRAND!B:D,3,FALSE)</f>
        <v>3</v>
      </c>
      <c r="J5883">
        <f>LEN(F5883)</f>
        <v>0</v>
      </c>
      <c r="L5883">
        <v>0</v>
      </c>
      <c r="M5883">
        <v>0</v>
      </c>
    </row>
    <row r="5884" spans="1:13">
      <c r="A5884" t="s">
        <v>9779</v>
      </c>
      <c r="B5884" t="s">
        <v>431</v>
      </c>
      <c r="C5884" s="34" t="s">
        <v>776</v>
      </c>
      <c r="H5884">
        <v>5</v>
      </c>
      <c r="I5884">
        <f>VLOOKUP(B5884,BRAND!B:D,3,FALSE)</f>
        <v>3</v>
      </c>
      <c r="J5884">
        <f>LEN(F5884)</f>
        <v>0</v>
      </c>
      <c r="L5884">
        <v>0</v>
      </c>
      <c r="M5884">
        <v>0</v>
      </c>
    </row>
    <row r="5885" spans="1:13">
      <c r="A5885" t="s">
        <v>9778</v>
      </c>
      <c r="B5885" t="s">
        <v>431</v>
      </c>
      <c r="C5885" s="34" t="s">
        <v>534</v>
      </c>
      <c r="H5885">
        <v>5</v>
      </c>
      <c r="I5885">
        <f>VLOOKUP(B5885,BRAND!B:D,3,FALSE)</f>
        <v>3</v>
      </c>
      <c r="J5885">
        <v>0</v>
      </c>
      <c r="M5885">
        <v>1</v>
      </c>
    </row>
    <row r="5886" spans="1:13">
      <c r="A5886" t="s">
        <v>9777</v>
      </c>
      <c r="B5886" t="s">
        <v>431</v>
      </c>
      <c r="C5886" s="34" t="s">
        <v>10002</v>
      </c>
      <c r="G5886" t="s">
        <v>6932</v>
      </c>
      <c r="H5886">
        <v>5</v>
      </c>
      <c r="I5886">
        <f>VLOOKUP(B5886,BRAND!B:D,3,FALSE)</f>
        <v>3</v>
      </c>
      <c r="J5886">
        <v>0</v>
      </c>
      <c r="M5886">
        <v>1</v>
      </c>
    </row>
    <row r="5887" spans="1:13">
      <c r="A5887" t="s">
        <v>9779</v>
      </c>
      <c r="B5887" t="s">
        <v>431</v>
      </c>
      <c r="C5887" s="34" t="s">
        <v>776</v>
      </c>
      <c r="H5887">
        <v>5</v>
      </c>
      <c r="I5887">
        <f>VLOOKUP(B5887,BRAND!B:D,3,FALSE)</f>
        <v>3</v>
      </c>
      <c r="J5887">
        <v>0</v>
      </c>
      <c r="M5887">
        <v>1</v>
      </c>
    </row>
    <row r="5888" spans="1:13">
      <c r="A5888" t="s">
        <v>2759</v>
      </c>
      <c r="B5888" t="s">
        <v>431</v>
      </c>
      <c r="C5888" s="34" t="s">
        <v>1438</v>
      </c>
      <c r="F5888" t="s">
        <v>1438</v>
      </c>
      <c r="H5888">
        <v>15</v>
      </c>
      <c r="I5888">
        <f>VLOOKUP(B5888,BRAND!B:D,3,FALSE)</f>
        <v>3</v>
      </c>
      <c r="J5888">
        <v>4</v>
      </c>
      <c r="K5888" t="s">
        <v>821</v>
      </c>
      <c r="L5888">
        <v>0</v>
      </c>
      <c r="M5888">
        <v>0</v>
      </c>
    </row>
    <row r="5889" spans="1:13">
      <c r="A5889" t="s">
        <v>8929</v>
      </c>
      <c r="B5889" t="s">
        <v>8928</v>
      </c>
      <c r="C5889" s="34" t="s">
        <v>8930</v>
      </c>
      <c r="F5889" t="s">
        <v>8930</v>
      </c>
      <c r="G5889" t="s">
        <v>6932</v>
      </c>
      <c r="H5889">
        <v>5</v>
      </c>
      <c r="I5889">
        <f>VLOOKUP(B5889,BRAND!B:D,3,FALSE)</f>
        <v>5.5</v>
      </c>
      <c r="J5889">
        <f>LEN(F5889)</f>
        <v>10</v>
      </c>
      <c r="M5889">
        <v>1</v>
      </c>
    </row>
    <row r="5890" spans="1:13">
      <c r="A5890" t="s">
        <v>8927</v>
      </c>
      <c r="B5890" t="s">
        <v>8928</v>
      </c>
      <c r="C5890" s="34" t="s">
        <v>536</v>
      </c>
      <c r="F5890" t="s">
        <v>536</v>
      </c>
      <c r="G5890" t="s">
        <v>6932</v>
      </c>
      <c r="H5890">
        <v>5</v>
      </c>
      <c r="I5890">
        <f>VLOOKUP(B5890,BRAND!B:D,3,FALSE)</f>
        <v>5.5</v>
      </c>
      <c r="J5890">
        <v>5</v>
      </c>
      <c r="M5890">
        <v>1</v>
      </c>
    </row>
    <row r="5891" spans="1:13">
      <c r="A5891" t="s">
        <v>8931</v>
      </c>
      <c r="B5891" t="s">
        <v>8928</v>
      </c>
      <c r="C5891" s="34" t="s">
        <v>763</v>
      </c>
      <c r="F5891" t="s">
        <v>763</v>
      </c>
      <c r="G5891" t="s">
        <v>6932</v>
      </c>
      <c r="H5891">
        <v>5</v>
      </c>
      <c r="I5891">
        <f>VLOOKUP(B5891,BRAND!B:D,3,FALSE)</f>
        <v>5.5</v>
      </c>
      <c r="J5891">
        <v>5</v>
      </c>
      <c r="M5891">
        <v>1</v>
      </c>
    </row>
    <row r="5892" spans="1:13">
      <c r="A5892" t="s">
        <v>10098</v>
      </c>
      <c r="B5892" t="s">
        <v>7010</v>
      </c>
      <c r="C5892" s="34" t="s">
        <v>1438</v>
      </c>
      <c r="F5892" t="s">
        <v>1438</v>
      </c>
      <c r="H5892">
        <v>15</v>
      </c>
      <c r="I5892">
        <f>VLOOKUP(B5892,BRAND!B:D,3,FALSE)</f>
        <v>11</v>
      </c>
      <c r="J5892">
        <v>4</v>
      </c>
      <c r="L5892">
        <v>0</v>
      </c>
      <c r="M5892">
        <v>0</v>
      </c>
    </row>
    <row r="5893" spans="1:13">
      <c r="A5893" t="s">
        <v>7160</v>
      </c>
      <c r="B5893" t="s">
        <v>7161</v>
      </c>
      <c r="C5893" s="34" t="s">
        <v>1438</v>
      </c>
      <c r="F5893" t="s">
        <v>1438</v>
      </c>
      <c r="H5893">
        <v>5</v>
      </c>
      <c r="I5893">
        <f>VLOOKUP(B5893,BRAND!B:D,3,FALSE)</f>
        <v>5.5</v>
      </c>
      <c r="M5893">
        <v>1</v>
      </c>
    </row>
    <row r="5894" spans="1:13">
      <c r="A5894" t="s">
        <v>2581</v>
      </c>
      <c r="B5894" t="s">
        <v>1311</v>
      </c>
      <c r="C5894" s="34" t="s">
        <v>1438</v>
      </c>
      <c r="F5894" t="s">
        <v>1438</v>
      </c>
      <c r="H5894">
        <v>15</v>
      </c>
      <c r="I5894">
        <f>VLOOKUP(B5894,BRAND!B:D,3,FALSE)</f>
        <v>3</v>
      </c>
      <c r="J5894">
        <v>4</v>
      </c>
      <c r="K5894" t="s">
        <v>821</v>
      </c>
      <c r="L5894">
        <v>0</v>
      </c>
      <c r="M5894">
        <v>0</v>
      </c>
    </row>
    <row r="5895" spans="1:13">
      <c r="A5895" t="s">
        <v>2054</v>
      </c>
      <c r="B5895" t="s">
        <v>127</v>
      </c>
      <c r="C5895" s="34" t="s">
        <v>534</v>
      </c>
      <c r="F5895" t="s">
        <v>534</v>
      </c>
      <c r="H5895">
        <v>5</v>
      </c>
      <c r="I5895">
        <f>VLOOKUP(B5895,BRAND!B:D,3,FALSE)</f>
        <v>3</v>
      </c>
      <c r="J5895">
        <v>6</v>
      </c>
      <c r="K5895" t="s">
        <v>821</v>
      </c>
      <c r="M5895">
        <v>1</v>
      </c>
    </row>
    <row r="5896" spans="1:13">
      <c r="A5896" t="s">
        <v>2164</v>
      </c>
      <c r="B5896" t="s">
        <v>127</v>
      </c>
      <c r="C5896" s="34" t="s">
        <v>1438</v>
      </c>
      <c r="F5896" t="s">
        <v>1438</v>
      </c>
      <c r="H5896">
        <v>15</v>
      </c>
      <c r="I5896">
        <f>VLOOKUP(B5896,BRAND!B:D,3,FALSE)</f>
        <v>3</v>
      </c>
      <c r="J5896">
        <v>4</v>
      </c>
      <c r="K5896" t="s">
        <v>821</v>
      </c>
      <c r="M5896">
        <v>1</v>
      </c>
    </row>
    <row r="5897" spans="1:13">
      <c r="A5897" t="s">
        <v>2456</v>
      </c>
      <c r="B5897" t="s">
        <v>1110</v>
      </c>
      <c r="C5897" s="34" t="s">
        <v>1438</v>
      </c>
      <c r="F5897" t="s">
        <v>1438</v>
      </c>
      <c r="H5897">
        <v>15</v>
      </c>
      <c r="I5897">
        <f>VLOOKUP(B5897,BRAND!B:D,3,FALSE)</f>
        <v>3</v>
      </c>
      <c r="J5897">
        <v>4</v>
      </c>
      <c r="K5897" t="s">
        <v>821</v>
      </c>
      <c r="L5897">
        <v>0</v>
      </c>
      <c r="M5897">
        <v>0</v>
      </c>
    </row>
    <row r="5898" spans="1:13">
      <c r="A5898" t="s">
        <v>10794</v>
      </c>
      <c r="B5898" t="s">
        <v>10795</v>
      </c>
      <c r="C5898" s="34" t="s">
        <v>10843</v>
      </c>
      <c r="F5898" t="s">
        <v>1438</v>
      </c>
      <c r="H5898">
        <v>5</v>
      </c>
    </row>
    <row r="5899" spans="1:13">
      <c r="A5899" t="str">
        <f t="shared" ref="A5899:A5904" si="55">B5899&amp;" | "&amp;F5899&amp;" | "&amp;G5899</f>
        <v xml:space="preserve">MOERSLEUTEL | CRANK | </v>
      </c>
      <c r="B5899" t="s">
        <v>10795</v>
      </c>
      <c r="C5899" t="s">
        <v>10868</v>
      </c>
      <c r="F5899" t="s">
        <v>10868</v>
      </c>
      <c r="H5899">
        <v>5</v>
      </c>
    </row>
    <row r="5900" spans="1:13">
      <c r="A5900" t="str">
        <f t="shared" si="55"/>
        <v xml:space="preserve">MOERSLEUTEL | MOTOR | </v>
      </c>
      <c r="B5900" t="s">
        <v>10795</v>
      </c>
      <c r="C5900" t="s">
        <v>10843</v>
      </c>
      <c r="F5900" t="s">
        <v>10843</v>
      </c>
      <c r="H5900">
        <v>5</v>
      </c>
    </row>
    <row r="5901" spans="1:13">
      <c r="A5901" t="str">
        <f t="shared" si="55"/>
        <v xml:space="preserve">MOERSLEUTEL | BOMB | </v>
      </c>
      <c r="B5901" t="s">
        <v>10795</v>
      </c>
      <c r="C5901" t="s">
        <v>10869</v>
      </c>
      <c r="F5901" t="s">
        <v>10869</v>
      </c>
      <c r="H5901">
        <v>5</v>
      </c>
    </row>
    <row r="5902" spans="1:13">
      <c r="A5902" t="str">
        <f t="shared" si="55"/>
        <v xml:space="preserve">MOERSLEUTEL | MACHINE | </v>
      </c>
      <c r="B5902" t="s">
        <v>10795</v>
      </c>
      <c r="C5902" t="s">
        <v>10870</v>
      </c>
      <c r="F5902" t="s">
        <v>10870</v>
      </c>
      <c r="H5902">
        <v>5</v>
      </c>
    </row>
    <row r="5903" spans="1:13">
      <c r="A5903" t="str">
        <f t="shared" si="55"/>
        <v xml:space="preserve">MOERSLEUTEL | QUAD | </v>
      </c>
      <c r="B5903" t="s">
        <v>10795</v>
      </c>
      <c r="C5903" t="s">
        <v>10871</v>
      </c>
      <c r="F5903" t="s">
        <v>10871</v>
      </c>
      <c r="H5903">
        <v>5</v>
      </c>
    </row>
    <row r="5904" spans="1:13">
      <c r="A5904" t="str">
        <f t="shared" si="55"/>
        <v xml:space="preserve">MOERSLEUTEL | COFFEE | </v>
      </c>
      <c r="B5904" t="s">
        <v>10795</v>
      </c>
      <c r="C5904" t="s">
        <v>6657</v>
      </c>
      <c r="F5904" t="s">
        <v>6657</v>
      </c>
      <c r="H5904">
        <v>5</v>
      </c>
    </row>
    <row r="5905" spans="1:8">
      <c r="A5905" t="s">
        <v>12790</v>
      </c>
      <c r="B5905" t="s">
        <v>10795</v>
      </c>
      <c r="C5905" s="34" t="s">
        <v>6925</v>
      </c>
      <c r="F5905" t="s">
        <v>12791</v>
      </c>
      <c r="G5905" t="s">
        <v>6932</v>
      </c>
      <c r="H5905">
        <v>5</v>
      </c>
    </row>
    <row r="5906" spans="1:8">
      <c r="A5906" t="s">
        <v>12792</v>
      </c>
      <c r="B5906" t="s">
        <v>10795</v>
      </c>
      <c r="C5906" s="34" t="s">
        <v>10868</v>
      </c>
      <c r="F5906" t="s">
        <v>12793</v>
      </c>
      <c r="G5906" t="s">
        <v>6932</v>
      </c>
      <c r="H5906">
        <v>5</v>
      </c>
    </row>
    <row r="5907" spans="1:8">
      <c r="A5907" t="s">
        <v>12794</v>
      </c>
      <c r="B5907" t="s">
        <v>10795</v>
      </c>
      <c r="C5907" s="34" t="s">
        <v>10843</v>
      </c>
      <c r="F5907" t="s">
        <v>12795</v>
      </c>
      <c r="G5907" t="s">
        <v>6932</v>
      </c>
      <c r="H5907">
        <v>5</v>
      </c>
    </row>
    <row r="5908" spans="1:8">
      <c r="A5908" t="s">
        <v>12796</v>
      </c>
      <c r="B5908" t="s">
        <v>10795</v>
      </c>
      <c r="C5908" s="34" t="s">
        <v>10869</v>
      </c>
      <c r="F5908" t="s">
        <v>8268</v>
      </c>
      <c r="G5908" t="s">
        <v>6932</v>
      </c>
      <c r="H5908">
        <v>5</v>
      </c>
    </row>
    <row r="5909" spans="1:8">
      <c r="A5909" t="s">
        <v>12797</v>
      </c>
      <c r="B5909" t="s">
        <v>10795</v>
      </c>
      <c r="C5909" s="34" t="s">
        <v>10870</v>
      </c>
      <c r="F5909" t="s">
        <v>12798</v>
      </c>
      <c r="G5909" t="s">
        <v>6932</v>
      </c>
      <c r="H5909">
        <v>5</v>
      </c>
    </row>
    <row r="5910" spans="1:8">
      <c r="A5910" t="s">
        <v>12799</v>
      </c>
      <c r="B5910" t="s">
        <v>10795</v>
      </c>
      <c r="C5910" s="34" t="s">
        <v>10871</v>
      </c>
      <c r="F5910" t="s">
        <v>10871</v>
      </c>
      <c r="G5910" t="s">
        <v>6932</v>
      </c>
      <c r="H5910">
        <v>5</v>
      </c>
    </row>
    <row r="5911" spans="1:8">
      <c r="A5911" t="s">
        <v>12800</v>
      </c>
      <c r="B5911" t="s">
        <v>10795</v>
      </c>
      <c r="C5911" s="34" t="s">
        <v>6657</v>
      </c>
      <c r="F5911" t="s">
        <v>12801</v>
      </c>
      <c r="G5911" t="s">
        <v>6932</v>
      </c>
      <c r="H5911">
        <v>5</v>
      </c>
    </row>
    <row r="5912" spans="1:8">
      <c r="A5912" t="s">
        <v>12802</v>
      </c>
      <c r="B5912" t="s">
        <v>10795</v>
      </c>
      <c r="C5912" s="34" t="s">
        <v>12803</v>
      </c>
      <c r="F5912" t="s">
        <v>12804</v>
      </c>
      <c r="G5912" t="s">
        <v>6932</v>
      </c>
      <c r="H5912">
        <v>5</v>
      </c>
    </row>
    <row r="5913" spans="1:8">
      <c r="A5913" t="s">
        <v>12805</v>
      </c>
      <c r="B5913" t="s">
        <v>10795</v>
      </c>
      <c r="C5913" s="34" t="s">
        <v>12806</v>
      </c>
      <c r="F5913" t="s">
        <v>12807</v>
      </c>
      <c r="G5913" t="s">
        <v>6932</v>
      </c>
      <c r="H5913">
        <v>5</v>
      </c>
    </row>
    <row r="5914" spans="1:8">
      <c r="A5914" t="s">
        <v>12808</v>
      </c>
      <c r="B5914" t="s">
        <v>10795</v>
      </c>
      <c r="C5914" s="34" t="s">
        <v>12809</v>
      </c>
      <c r="F5914" t="s">
        <v>12810</v>
      </c>
      <c r="G5914" t="s">
        <v>6932</v>
      </c>
      <c r="H5914">
        <v>5</v>
      </c>
    </row>
    <row r="5915" spans="1:8">
      <c r="A5915" t="s">
        <v>12811</v>
      </c>
      <c r="B5915" t="s">
        <v>10795</v>
      </c>
      <c r="C5915" s="34" t="s">
        <v>12812</v>
      </c>
      <c r="F5915" t="s">
        <v>12813</v>
      </c>
      <c r="G5915" t="s">
        <v>6932</v>
      </c>
      <c r="H5915">
        <v>5</v>
      </c>
    </row>
    <row r="5916" spans="1:8">
      <c r="A5916" t="s">
        <v>12817</v>
      </c>
      <c r="B5916" t="s">
        <v>10795</v>
      </c>
      <c r="C5916" s="34" t="s">
        <v>536</v>
      </c>
      <c r="F5916" t="s">
        <v>536</v>
      </c>
      <c r="G5916" t="s">
        <v>6932</v>
      </c>
      <c r="H5916">
        <v>5</v>
      </c>
    </row>
    <row r="5917" spans="1:8">
      <c r="A5917" t="s">
        <v>12821</v>
      </c>
      <c r="B5917" t="s">
        <v>10795</v>
      </c>
      <c r="C5917" s="34" t="s">
        <v>10811</v>
      </c>
      <c r="F5917" t="s">
        <v>12822</v>
      </c>
      <c r="G5917" t="s">
        <v>6932</v>
      </c>
      <c r="H5917">
        <v>5</v>
      </c>
    </row>
    <row r="5918" spans="1:8">
      <c r="A5918" t="s">
        <v>12823</v>
      </c>
      <c r="B5918" t="s">
        <v>10795</v>
      </c>
      <c r="C5918" s="34" t="s">
        <v>12824</v>
      </c>
      <c r="F5918" t="s">
        <v>12824</v>
      </c>
      <c r="G5918" t="s">
        <v>6932</v>
      </c>
      <c r="H5918">
        <v>5</v>
      </c>
    </row>
    <row r="5919" spans="1:8">
      <c r="A5919" t="s">
        <v>12825</v>
      </c>
      <c r="B5919" t="s">
        <v>10795</v>
      </c>
      <c r="C5919" s="34" t="s">
        <v>12826</v>
      </c>
      <c r="F5919" t="s">
        <v>12827</v>
      </c>
      <c r="G5919" t="s">
        <v>6932</v>
      </c>
      <c r="H5919">
        <v>5</v>
      </c>
    </row>
    <row r="5920" spans="1:8">
      <c r="A5920" t="s">
        <v>12828</v>
      </c>
      <c r="B5920" t="s">
        <v>10795</v>
      </c>
      <c r="C5920" s="34" t="s">
        <v>788</v>
      </c>
      <c r="F5920" t="s">
        <v>12829</v>
      </c>
      <c r="G5920" t="s">
        <v>6932</v>
      </c>
      <c r="H5920">
        <v>5</v>
      </c>
    </row>
    <row r="5921" spans="1:13">
      <c r="A5921" t="s">
        <v>12830</v>
      </c>
      <c r="B5921" t="s">
        <v>10795</v>
      </c>
      <c r="C5921" s="34" t="s">
        <v>12698</v>
      </c>
      <c r="F5921" t="s">
        <v>12831</v>
      </c>
      <c r="G5921" t="s">
        <v>6932</v>
      </c>
      <c r="H5921">
        <v>5</v>
      </c>
    </row>
    <row r="5922" spans="1:13">
      <c r="A5922" t="s">
        <v>12832</v>
      </c>
      <c r="B5922" t="s">
        <v>10795</v>
      </c>
      <c r="C5922" s="34" t="s">
        <v>8490</v>
      </c>
      <c r="F5922" t="s">
        <v>8490</v>
      </c>
      <c r="G5922" t="s">
        <v>6932</v>
      </c>
      <c r="H5922">
        <v>5</v>
      </c>
    </row>
    <row r="5923" spans="1:13">
      <c r="A5923" t="s">
        <v>12833</v>
      </c>
      <c r="B5923" t="s">
        <v>10795</v>
      </c>
      <c r="C5923" s="34" t="s">
        <v>12834</v>
      </c>
      <c r="F5923" t="s">
        <v>12834</v>
      </c>
      <c r="G5923" t="s">
        <v>6932</v>
      </c>
      <c r="H5923">
        <v>5</v>
      </c>
    </row>
    <row r="5924" spans="1:13">
      <c r="A5924" t="s">
        <v>12835</v>
      </c>
      <c r="B5924" t="s">
        <v>10795</v>
      </c>
      <c r="C5924" s="34" t="s">
        <v>12836</v>
      </c>
      <c r="F5924" t="s">
        <v>12837</v>
      </c>
      <c r="G5924" t="s">
        <v>6932</v>
      </c>
      <c r="H5924">
        <v>5</v>
      </c>
    </row>
    <row r="5925" spans="1:13">
      <c r="A5925" t="s">
        <v>12838</v>
      </c>
      <c r="B5925" t="s">
        <v>10795</v>
      </c>
      <c r="C5925" s="34" t="s">
        <v>12839</v>
      </c>
      <c r="F5925" t="s">
        <v>12840</v>
      </c>
      <c r="G5925" t="s">
        <v>6932</v>
      </c>
      <c r="H5925">
        <v>5</v>
      </c>
    </row>
    <row r="5926" spans="1:13">
      <c r="A5926" t="s">
        <v>12841</v>
      </c>
      <c r="B5926" t="s">
        <v>10795</v>
      </c>
      <c r="C5926" s="34" t="s">
        <v>12842</v>
      </c>
      <c r="F5926" t="s">
        <v>12843</v>
      </c>
      <c r="G5926" t="s">
        <v>6932</v>
      </c>
      <c r="H5926">
        <v>5</v>
      </c>
    </row>
    <row r="5927" spans="1:13">
      <c r="A5927" t="s">
        <v>12818</v>
      </c>
      <c r="B5927" t="s">
        <v>10795</v>
      </c>
      <c r="C5927" s="34" t="s">
        <v>12819</v>
      </c>
      <c r="F5927" t="s">
        <v>12820</v>
      </c>
      <c r="G5927" t="s">
        <v>6932</v>
      </c>
      <c r="H5927">
        <v>6</v>
      </c>
    </row>
    <row r="5928" spans="1:13">
      <c r="A5928" t="s">
        <v>12814</v>
      </c>
      <c r="B5928" t="s">
        <v>10795</v>
      </c>
      <c r="C5928" s="34" t="s">
        <v>12815</v>
      </c>
      <c r="F5928" t="s">
        <v>12816</v>
      </c>
      <c r="G5928" t="s">
        <v>6932</v>
      </c>
      <c r="H5928">
        <v>10</v>
      </c>
      <c r="I5928">
        <f>VLOOKUP(B5928,BRAND!B:D,3,FALSE)</f>
        <v>3</v>
      </c>
      <c r="J5928">
        <v>8</v>
      </c>
      <c r="K5928" t="s">
        <v>821</v>
      </c>
    </row>
    <row r="5929" spans="1:13">
      <c r="A5929" t="s">
        <v>9780</v>
      </c>
      <c r="B5929" t="s">
        <v>7238</v>
      </c>
      <c r="C5929" s="34" t="s">
        <v>534</v>
      </c>
      <c r="G5929" t="s">
        <v>6932</v>
      </c>
      <c r="H5929">
        <v>5</v>
      </c>
      <c r="I5929">
        <f>VLOOKUP(B5929,BRAND!B:D,3,FALSE)</f>
        <v>5.5</v>
      </c>
      <c r="J5929">
        <f>LEN(F5929)</f>
        <v>0</v>
      </c>
      <c r="L5929">
        <v>0</v>
      </c>
      <c r="M5929">
        <v>0</v>
      </c>
    </row>
    <row r="5930" spans="1:13">
      <c r="A5930" t="s">
        <v>9780</v>
      </c>
      <c r="B5930" t="s">
        <v>7238</v>
      </c>
      <c r="C5930" s="34" t="s">
        <v>534</v>
      </c>
      <c r="G5930" t="s">
        <v>6932</v>
      </c>
      <c r="H5930">
        <v>5</v>
      </c>
      <c r="I5930">
        <f>VLOOKUP(B5930,BRAND!B:D,3,FALSE)</f>
        <v>5.5</v>
      </c>
      <c r="J5930">
        <v>0</v>
      </c>
      <c r="M5930">
        <v>1</v>
      </c>
    </row>
    <row r="5931" spans="1:13">
      <c r="A5931" t="s">
        <v>7237</v>
      </c>
      <c r="B5931" t="s">
        <v>7238</v>
      </c>
      <c r="C5931" s="34" t="s">
        <v>534</v>
      </c>
      <c r="F5931" t="s">
        <v>5442</v>
      </c>
      <c r="H5931">
        <v>5</v>
      </c>
      <c r="I5931">
        <f>VLOOKUP(B5931,BRAND!B:D,3,FALSE)</f>
        <v>5.5</v>
      </c>
      <c r="L5931">
        <v>0</v>
      </c>
      <c r="M5931">
        <v>0</v>
      </c>
    </row>
    <row r="5932" spans="1:13">
      <c r="A5932" t="s">
        <v>10539</v>
      </c>
      <c r="B5932" t="s">
        <v>10334</v>
      </c>
      <c r="C5932" s="34" t="s">
        <v>1470</v>
      </c>
      <c r="F5932" t="s">
        <v>1470</v>
      </c>
      <c r="G5932" t="s">
        <v>6932</v>
      </c>
      <c r="H5932">
        <v>5</v>
      </c>
      <c r="I5932">
        <f>VLOOKUP(B5932,BRAND!B:D,3,FALSE)</f>
        <v>5</v>
      </c>
      <c r="J5932">
        <f>LEN(F5932)</f>
        <v>12</v>
      </c>
      <c r="L5932">
        <v>0</v>
      </c>
    </row>
    <row r="5933" spans="1:13">
      <c r="A5933" t="s">
        <v>10538</v>
      </c>
      <c r="B5933" t="s">
        <v>10334</v>
      </c>
      <c r="C5933" s="34" t="s">
        <v>1498</v>
      </c>
      <c r="F5933" t="s">
        <v>1498</v>
      </c>
      <c r="G5933" t="s">
        <v>6932</v>
      </c>
      <c r="H5933">
        <v>5</v>
      </c>
      <c r="I5933">
        <f>VLOOKUP(B5933,BRAND!B:D,3,FALSE)</f>
        <v>5</v>
      </c>
      <c r="J5933">
        <f>LEN(F5933)</f>
        <v>6</v>
      </c>
      <c r="L5933">
        <v>0</v>
      </c>
    </row>
    <row r="5934" spans="1:13">
      <c r="A5934" t="s">
        <v>2015</v>
      </c>
      <c r="B5934" t="s">
        <v>808</v>
      </c>
      <c r="C5934" s="34" t="s">
        <v>1438</v>
      </c>
      <c r="F5934" t="s">
        <v>1438</v>
      </c>
      <c r="H5934">
        <v>15</v>
      </c>
      <c r="I5934">
        <f>VLOOKUP(B5934,BRAND!B:D,3,FALSE)</f>
        <v>3</v>
      </c>
      <c r="J5934">
        <v>4</v>
      </c>
      <c r="K5934" t="s">
        <v>821</v>
      </c>
      <c r="L5934">
        <v>0</v>
      </c>
      <c r="M5934">
        <v>0</v>
      </c>
    </row>
    <row r="5935" spans="1:13">
      <c r="A5935" t="s">
        <v>10291</v>
      </c>
      <c r="B5935" t="s">
        <v>128</v>
      </c>
      <c r="C5935" s="34" t="s">
        <v>10268</v>
      </c>
      <c r="F5935" t="s">
        <v>10268</v>
      </c>
      <c r="H5935">
        <v>5</v>
      </c>
      <c r="I5935">
        <f>VLOOKUP(B5935,BRAND!B:D,3,FALSE)</f>
        <v>3</v>
      </c>
      <c r="J5935">
        <f>LEN(F5935)</f>
        <v>5</v>
      </c>
      <c r="M5935">
        <v>1</v>
      </c>
    </row>
    <row r="5936" spans="1:13">
      <c r="A5936" t="s">
        <v>3823</v>
      </c>
      <c r="B5936" t="s">
        <v>128</v>
      </c>
      <c r="C5936" s="34" t="s">
        <v>842</v>
      </c>
      <c r="F5936" t="s">
        <v>842</v>
      </c>
      <c r="H5936">
        <v>5</v>
      </c>
      <c r="I5936">
        <f>VLOOKUP(B5936,BRAND!B:D,3,FALSE)</f>
        <v>3</v>
      </c>
      <c r="J5936">
        <v>5</v>
      </c>
      <c r="K5936" t="s">
        <v>821</v>
      </c>
      <c r="M5936">
        <v>1</v>
      </c>
    </row>
    <row r="5937" spans="1:13">
      <c r="A5937" t="s">
        <v>3509</v>
      </c>
      <c r="B5937" t="s">
        <v>128</v>
      </c>
      <c r="C5937" s="34" t="s">
        <v>5232</v>
      </c>
      <c r="F5937" t="s">
        <v>536</v>
      </c>
      <c r="H5937">
        <v>5</v>
      </c>
      <c r="I5937">
        <f>VLOOKUP(B5937,BRAND!B:D,3,FALSE)</f>
        <v>3</v>
      </c>
      <c r="J5937">
        <v>5</v>
      </c>
      <c r="K5937" t="s">
        <v>821</v>
      </c>
      <c r="M5937">
        <v>1</v>
      </c>
    </row>
    <row r="5938" spans="1:13">
      <c r="A5938" t="s">
        <v>4872</v>
      </c>
      <c r="B5938" t="s">
        <v>128</v>
      </c>
      <c r="C5938" s="34" t="s">
        <v>751</v>
      </c>
      <c r="F5938" t="s">
        <v>751</v>
      </c>
      <c r="H5938">
        <v>5</v>
      </c>
      <c r="I5938">
        <f>VLOOKUP(B5938,BRAND!B:D,3,FALSE)</f>
        <v>3</v>
      </c>
      <c r="J5938">
        <v>5</v>
      </c>
      <c r="K5938" t="s">
        <v>821</v>
      </c>
      <c r="M5938">
        <v>1</v>
      </c>
    </row>
    <row r="5939" spans="1:13">
      <c r="A5939" t="s">
        <v>3535</v>
      </c>
      <c r="B5939" t="s">
        <v>336</v>
      </c>
      <c r="C5939" s="34" t="s">
        <v>913</v>
      </c>
      <c r="F5939" t="s">
        <v>913</v>
      </c>
      <c r="H5939">
        <v>5</v>
      </c>
      <c r="I5939">
        <f>VLOOKUP(B5939,BRAND!B:D,3,FALSE)</f>
        <v>3</v>
      </c>
      <c r="J5939">
        <v>5</v>
      </c>
      <c r="K5939" t="s">
        <v>821</v>
      </c>
      <c r="L5939">
        <v>0</v>
      </c>
      <c r="M5939">
        <v>0</v>
      </c>
    </row>
    <row r="5940" spans="1:13">
      <c r="A5940" t="s">
        <v>3614</v>
      </c>
      <c r="B5940" t="s">
        <v>336</v>
      </c>
      <c r="C5940" s="34" t="s">
        <v>536</v>
      </c>
      <c r="F5940" t="s">
        <v>536</v>
      </c>
      <c r="H5940">
        <v>5</v>
      </c>
      <c r="I5940">
        <f>VLOOKUP(B5940,BRAND!B:D,3,FALSE)</f>
        <v>3</v>
      </c>
      <c r="J5940">
        <v>5</v>
      </c>
      <c r="K5940" t="s">
        <v>821</v>
      </c>
      <c r="M5940">
        <v>1</v>
      </c>
    </row>
    <row r="5941" spans="1:13">
      <c r="A5941" t="s">
        <v>3615</v>
      </c>
      <c r="B5941" t="s">
        <v>336</v>
      </c>
      <c r="C5941" s="34" t="s">
        <v>842</v>
      </c>
      <c r="F5941" t="s">
        <v>842</v>
      </c>
      <c r="H5941">
        <v>5</v>
      </c>
      <c r="I5941">
        <f>VLOOKUP(B5941,BRAND!B:D,3,FALSE)</f>
        <v>3</v>
      </c>
      <c r="J5941">
        <v>5</v>
      </c>
      <c r="K5941" t="s">
        <v>821</v>
      </c>
      <c r="M5941">
        <v>1</v>
      </c>
    </row>
    <row r="5942" spans="1:13">
      <c r="A5942" t="s">
        <v>3616</v>
      </c>
      <c r="B5942" t="s">
        <v>336</v>
      </c>
      <c r="C5942" s="34" t="s">
        <v>561</v>
      </c>
      <c r="F5942" t="s">
        <v>561</v>
      </c>
      <c r="H5942">
        <v>5</v>
      </c>
      <c r="I5942">
        <f>VLOOKUP(B5942,BRAND!B:D,3,FALSE)</f>
        <v>3</v>
      </c>
      <c r="J5942">
        <v>3</v>
      </c>
      <c r="K5942" t="s">
        <v>821</v>
      </c>
      <c r="M5942">
        <v>1</v>
      </c>
    </row>
    <row r="5943" spans="1:13">
      <c r="A5943" t="s">
        <v>2678</v>
      </c>
      <c r="B5943" t="s">
        <v>336</v>
      </c>
      <c r="C5943" s="34" t="s">
        <v>1438</v>
      </c>
      <c r="F5943" t="s">
        <v>1438</v>
      </c>
      <c r="H5943">
        <v>15</v>
      </c>
      <c r="I5943">
        <f>VLOOKUP(B5943,BRAND!B:D,3,FALSE)</f>
        <v>3</v>
      </c>
      <c r="J5943">
        <v>4</v>
      </c>
      <c r="K5943" t="s">
        <v>821</v>
      </c>
      <c r="M5943">
        <v>1</v>
      </c>
    </row>
    <row r="5944" spans="1:13">
      <c r="A5944" t="s">
        <v>12073</v>
      </c>
      <c r="B5944" t="s">
        <v>12003</v>
      </c>
      <c r="C5944" s="34" t="s">
        <v>1472</v>
      </c>
      <c r="F5944" t="s">
        <v>1472</v>
      </c>
      <c r="G5944" t="s">
        <v>6932</v>
      </c>
      <c r="H5944">
        <v>5</v>
      </c>
    </row>
    <row r="5945" spans="1:13">
      <c r="A5945" t="s">
        <v>4468</v>
      </c>
      <c r="B5945" t="s">
        <v>1312</v>
      </c>
      <c r="C5945" s="34" t="s">
        <v>1513</v>
      </c>
      <c r="F5945" t="s">
        <v>1513</v>
      </c>
      <c r="H5945">
        <v>5</v>
      </c>
      <c r="I5945">
        <f>VLOOKUP(B5945,BRAND!B:D,3,FALSE)</f>
        <v>3</v>
      </c>
      <c r="J5945">
        <v>5</v>
      </c>
      <c r="K5945" t="s">
        <v>821</v>
      </c>
      <c r="L5945">
        <v>0</v>
      </c>
      <c r="M5945">
        <v>0</v>
      </c>
    </row>
    <row r="5946" spans="1:13">
      <c r="A5946" t="s">
        <v>2561</v>
      </c>
      <c r="B5946" t="s">
        <v>1312</v>
      </c>
      <c r="C5946" s="34" t="s">
        <v>1438</v>
      </c>
      <c r="F5946" t="s">
        <v>1438</v>
      </c>
      <c r="H5946">
        <v>15</v>
      </c>
      <c r="I5946">
        <f>VLOOKUP(B5946,BRAND!B:D,3,FALSE)</f>
        <v>3</v>
      </c>
      <c r="J5946">
        <v>4</v>
      </c>
      <c r="K5946" t="s">
        <v>821</v>
      </c>
      <c r="L5946">
        <v>0</v>
      </c>
      <c r="M5946">
        <v>0</v>
      </c>
    </row>
    <row r="5947" spans="1:13">
      <c r="A5947" t="s">
        <v>2612</v>
      </c>
      <c r="B5947" t="s">
        <v>279</v>
      </c>
      <c r="C5947" s="34" t="s">
        <v>777</v>
      </c>
      <c r="F5947" t="s">
        <v>777</v>
      </c>
      <c r="H5947">
        <v>5</v>
      </c>
      <c r="I5947">
        <f>VLOOKUP(B5947,BRAND!B:D,3,FALSE)</f>
        <v>3</v>
      </c>
      <c r="J5947">
        <v>7</v>
      </c>
      <c r="K5947" t="s">
        <v>821</v>
      </c>
      <c r="M5947">
        <v>1</v>
      </c>
    </row>
    <row r="5948" spans="1:13">
      <c r="A5948" t="s">
        <v>4352</v>
      </c>
      <c r="B5948" t="s">
        <v>279</v>
      </c>
      <c r="C5948" s="34" t="s">
        <v>760</v>
      </c>
      <c r="F5948" t="s">
        <v>760</v>
      </c>
      <c r="H5948">
        <v>5</v>
      </c>
      <c r="I5948">
        <f>VLOOKUP(B5948,BRAND!B:D,3,FALSE)</f>
        <v>3</v>
      </c>
      <c r="J5948">
        <v>6</v>
      </c>
      <c r="K5948" t="s">
        <v>821</v>
      </c>
      <c r="M5948">
        <v>1</v>
      </c>
    </row>
    <row r="5949" spans="1:13">
      <c r="A5949" t="s">
        <v>3706</v>
      </c>
      <c r="B5949" t="s">
        <v>279</v>
      </c>
      <c r="C5949" s="34" t="s">
        <v>761</v>
      </c>
      <c r="F5949" t="s">
        <v>761</v>
      </c>
      <c r="H5949">
        <v>5</v>
      </c>
      <c r="I5949">
        <f>VLOOKUP(B5949,BRAND!B:D,3,FALSE)</f>
        <v>3</v>
      </c>
      <c r="J5949">
        <v>5</v>
      </c>
      <c r="K5949" t="s">
        <v>821</v>
      </c>
      <c r="M5949">
        <v>1</v>
      </c>
    </row>
    <row r="5950" spans="1:13">
      <c r="A5950" t="s">
        <v>3219</v>
      </c>
      <c r="B5950" t="s">
        <v>279</v>
      </c>
      <c r="C5950" s="34" t="s">
        <v>776</v>
      </c>
      <c r="F5950" t="s">
        <v>776</v>
      </c>
      <c r="H5950">
        <v>5</v>
      </c>
      <c r="I5950">
        <f>VLOOKUP(B5950,BRAND!B:D,3,FALSE)</f>
        <v>3</v>
      </c>
      <c r="J5950">
        <v>5</v>
      </c>
      <c r="K5950" t="s">
        <v>821</v>
      </c>
      <c r="M5950">
        <v>1</v>
      </c>
    </row>
    <row r="5951" spans="1:13">
      <c r="A5951" t="s">
        <v>7162</v>
      </c>
      <c r="B5951" t="s">
        <v>279</v>
      </c>
      <c r="C5951" s="34" t="s">
        <v>1438</v>
      </c>
      <c r="F5951" t="s">
        <v>1438</v>
      </c>
      <c r="H5951">
        <v>5</v>
      </c>
      <c r="I5951">
        <f>VLOOKUP(B5951,BRAND!B:D,3,FALSE)</f>
        <v>3</v>
      </c>
      <c r="M5951">
        <v>1</v>
      </c>
    </row>
    <row r="5952" spans="1:13">
      <c r="A5952" t="s">
        <v>2186</v>
      </c>
      <c r="B5952" t="s">
        <v>279</v>
      </c>
      <c r="C5952" s="34" t="s">
        <v>1438</v>
      </c>
      <c r="F5952" t="s">
        <v>1438</v>
      </c>
      <c r="H5952">
        <v>15</v>
      </c>
      <c r="I5952">
        <f>VLOOKUP(B5952,BRAND!B:D,3,FALSE)</f>
        <v>3</v>
      </c>
      <c r="J5952">
        <v>4</v>
      </c>
      <c r="K5952" t="s">
        <v>821</v>
      </c>
      <c r="M5952">
        <v>1</v>
      </c>
    </row>
    <row r="5953" spans="1:13">
      <c r="A5953" t="s">
        <v>3901</v>
      </c>
      <c r="B5953" t="s">
        <v>1177</v>
      </c>
      <c r="C5953" s="34" t="s">
        <v>774</v>
      </c>
      <c r="F5953" t="s">
        <v>774</v>
      </c>
      <c r="H5953">
        <v>5</v>
      </c>
      <c r="I5953">
        <f>VLOOKUP(B5953,BRAND!B:D,3,FALSE)</f>
        <v>3</v>
      </c>
      <c r="J5953">
        <v>9</v>
      </c>
      <c r="K5953" t="s">
        <v>821</v>
      </c>
      <c r="L5953">
        <v>0</v>
      </c>
      <c r="M5953">
        <v>0</v>
      </c>
    </row>
    <row r="5954" spans="1:13">
      <c r="A5954" t="s">
        <v>4195</v>
      </c>
      <c r="B5954" t="s">
        <v>1177</v>
      </c>
      <c r="C5954" s="34" t="s">
        <v>1992</v>
      </c>
      <c r="F5954" t="s">
        <v>1992</v>
      </c>
      <c r="H5954">
        <v>5</v>
      </c>
      <c r="I5954">
        <f>VLOOKUP(B5954,BRAND!B:D,3,FALSE)</f>
        <v>3</v>
      </c>
      <c r="J5954">
        <v>3</v>
      </c>
      <c r="K5954" t="s">
        <v>821</v>
      </c>
      <c r="L5954">
        <v>0</v>
      </c>
      <c r="M5954">
        <v>0</v>
      </c>
    </row>
    <row r="5955" spans="1:13">
      <c r="A5955" t="s">
        <v>8932</v>
      </c>
      <c r="B5955" t="s">
        <v>8933</v>
      </c>
      <c r="C5955" s="34" t="s">
        <v>1438</v>
      </c>
      <c r="F5955" t="s">
        <v>1438</v>
      </c>
      <c r="G5955" t="s">
        <v>6932</v>
      </c>
      <c r="H5955">
        <v>5</v>
      </c>
      <c r="I5955">
        <f>VLOOKUP(B5955,BRAND!B:D,3,FALSE)</f>
        <v>5.5</v>
      </c>
      <c r="J5955">
        <v>4</v>
      </c>
      <c r="M5955">
        <v>1</v>
      </c>
    </row>
    <row r="5956" spans="1:13">
      <c r="A5956" t="s">
        <v>15296</v>
      </c>
      <c r="B5956" t="s">
        <v>15297</v>
      </c>
      <c r="C5956" s="34" t="s">
        <v>561</v>
      </c>
      <c r="F5956" t="s">
        <v>561</v>
      </c>
      <c r="G5956" t="s">
        <v>6932</v>
      </c>
      <c r="H5956">
        <v>5</v>
      </c>
      <c r="I5956">
        <f>VLOOKUP(B5956,BRAND!B:D,3,FALSE)</f>
        <v>5</v>
      </c>
      <c r="J5956">
        <v>0</v>
      </c>
      <c r="K5956" t="s">
        <v>821</v>
      </c>
      <c r="L5956">
        <v>0</v>
      </c>
      <c r="M5956">
        <v>0</v>
      </c>
    </row>
    <row r="5957" spans="1:13">
      <c r="A5957" t="s">
        <v>15298</v>
      </c>
      <c r="B5957" t="s">
        <v>15297</v>
      </c>
      <c r="C5957" s="34" t="s">
        <v>536</v>
      </c>
      <c r="F5957" t="s">
        <v>536</v>
      </c>
      <c r="G5957" t="s">
        <v>6932</v>
      </c>
      <c r="H5957">
        <v>5</v>
      </c>
      <c r="I5957">
        <f>VLOOKUP(B5957,BRAND!B:D,3,FALSE)</f>
        <v>5</v>
      </c>
      <c r="J5957">
        <v>0</v>
      </c>
      <c r="K5957" t="s">
        <v>821</v>
      </c>
      <c r="L5957">
        <v>0</v>
      </c>
      <c r="M5957">
        <v>0</v>
      </c>
    </row>
    <row r="5958" spans="1:13">
      <c r="A5958" t="s">
        <v>15299</v>
      </c>
      <c r="B5958" t="s">
        <v>15297</v>
      </c>
      <c r="C5958" s="34" t="s">
        <v>776</v>
      </c>
      <c r="F5958" t="s">
        <v>776</v>
      </c>
      <c r="G5958" t="s">
        <v>6932</v>
      </c>
      <c r="H5958">
        <v>5</v>
      </c>
      <c r="I5958">
        <f>VLOOKUP(B5958,BRAND!B:D,3,FALSE)</f>
        <v>5</v>
      </c>
      <c r="J5958">
        <v>0</v>
      </c>
      <c r="K5958" t="s">
        <v>821</v>
      </c>
      <c r="L5958">
        <v>0</v>
      </c>
      <c r="M5958">
        <v>0</v>
      </c>
    </row>
    <row r="5959" spans="1:13">
      <c r="A5959" t="s">
        <v>15300</v>
      </c>
      <c r="B5959" t="s">
        <v>15297</v>
      </c>
      <c r="C5959" s="34" t="s">
        <v>933</v>
      </c>
      <c r="F5959" t="s">
        <v>933</v>
      </c>
      <c r="G5959" t="s">
        <v>6932</v>
      </c>
      <c r="H5959">
        <v>5</v>
      </c>
      <c r="I5959">
        <f>VLOOKUP(B5959,BRAND!B:D,3,FALSE)</f>
        <v>5</v>
      </c>
      <c r="J5959">
        <v>0</v>
      </c>
      <c r="K5959" t="s">
        <v>821</v>
      </c>
      <c r="L5959">
        <v>0</v>
      </c>
      <c r="M5959">
        <v>0</v>
      </c>
    </row>
    <row r="5960" spans="1:13">
      <c r="A5960" t="s">
        <v>8934</v>
      </c>
      <c r="B5960" t="s">
        <v>8935</v>
      </c>
      <c r="C5960" s="34" t="s">
        <v>1438</v>
      </c>
      <c r="F5960" t="s">
        <v>1438</v>
      </c>
      <c r="G5960" t="s">
        <v>6932</v>
      </c>
      <c r="H5960">
        <v>5</v>
      </c>
      <c r="I5960">
        <f>VLOOKUP(B5960,BRAND!B:D,3,FALSE)</f>
        <v>5.5</v>
      </c>
      <c r="J5960">
        <v>4</v>
      </c>
      <c r="M5960">
        <v>1</v>
      </c>
    </row>
    <row r="5961" spans="1:13">
      <c r="A5961" t="s">
        <v>8936</v>
      </c>
      <c r="B5961" t="s">
        <v>8937</v>
      </c>
      <c r="C5961" s="34" t="s">
        <v>1438</v>
      </c>
      <c r="F5961" t="s">
        <v>1438</v>
      </c>
      <c r="G5961" t="s">
        <v>6932</v>
      </c>
      <c r="H5961">
        <v>5</v>
      </c>
      <c r="I5961">
        <f>VLOOKUP(B5961,BRAND!B:D,3,FALSE)</f>
        <v>5.5</v>
      </c>
      <c r="J5961">
        <v>4</v>
      </c>
      <c r="M5961">
        <v>1</v>
      </c>
    </row>
    <row r="5962" spans="1:13">
      <c r="A5962" t="s">
        <v>10543</v>
      </c>
      <c r="B5962" t="s">
        <v>130</v>
      </c>
      <c r="C5962" s="34" t="s">
        <v>10412</v>
      </c>
      <c r="F5962" t="s">
        <v>10412</v>
      </c>
      <c r="G5962" t="s">
        <v>6932</v>
      </c>
      <c r="H5962">
        <v>5</v>
      </c>
      <c r="I5962">
        <f>VLOOKUP(B5962,BRAND!B:D,3,FALSE)</f>
        <v>3</v>
      </c>
      <c r="J5962">
        <f>LEN(F5962)</f>
        <v>8</v>
      </c>
      <c r="L5962">
        <v>0</v>
      </c>
    </row>
    <row r="5963" spans="1:13">
      <c r="A5963" s="29" t="s">
        <v>4862</v>
      </c>
      <c r="B5963" s="29" t="s">
        <v>130</v>
      </c>
      <c r="C5963" s="36" t="s">
        <v>1489</v>
      </c>
      <c r="D5963" s="29"/>
      <c r="E5963" s="29"/>
      <c r="F5963" s="29" t="s">
        <v>1489</v>
      </c>
      <c r="G5963" s="29"/>
      <c r="H5963">
        <v>5</v>
      </c>
      <c r="I5963">
        <f>VLOOKUP(B5963,BRAND!B:D,3,FALSE)</f>
        <v>3</v>
      </c>
      <c r="J5963">
        <v>7</v>
      </c>
      <c r="K5963" t="s">
        <v>822</v>
      </c>
      <c r="M5963">
        <v>1</v>
      </c>
    </row>
    <row r="5964" spans="1:13">
      <c r="A5964" t="s">
        <v>10544</v>
      </c>
      <c r="B5964" t="s">
        <v>130</v>
      </c>
      <c r="C5964" s="34" t="s">
        <v>7265</v>
      </c>
      <c r="F5964" t="s">
        <v>7265</v>
      </c>
      <c r="G5964" t="s">
        <v>6932</v>
      </c>
      <c r="H5964">
        <v>5</v>
      </c>
      <c r="I5964">
        <f>VLOOKUP(B5964,BRAND!B:D,3,FALSE)</f>
        <v>3</v>
      </c>
      <c r="J5964">
        <f>LEN(F5964)</f>
        <v>5</v>
      </c>
      <c r="L5964">
        <v>0</v>
      </c>
    </row>
    <row r="5965" spans="1:13">
      <c r="A5965" t="s">
        <v>10542</v>
      </c>
      <c r="B5965" t="s">
        <v>130</v>
      </c>
      <c r="C5965" s="34" t="s">
        <v>761</v>
      </c>
      <c r="F5965" t="s">
        <v>761</v>
      </c>
      <c r="G5965" t="s">
        <v>6932</v>
      </c>
      <c r="H5965">
        <v>5</v>
      </c>
      <c r="I5965">
        <f>VLOOKUP(B5965,BRAND!B:D,3,FALSE)</f>
        <v>3</v>
      </c>
      <c r="J5965">
        <f>LEN(F5965)</f>
        <v>5</v>
      </c>
      <c r="L5965">
        <v>0</v>
      </c>
    </row>
    <row r="5966" spans="1:13">
      <c r="A5966" t="s">
        <v>4433</v>
      </c>
      <c r="B5966" t="s">
        <v>130</v>
      </c>
      <c r="C5966" s="34" t="s">
        <v>763</v>
      </c>
      <c r="F5966" t="s">
        <v>763</v>
      </c>
      <c r="H5966">
        <v>5</v>
      </c>
      <c r="I5966">
        <f>VLOOKUP(B5966,BRAND!B:D,3,FALSE)</f>
        <v>3</v>
      </c>
      <c r="J5966">
        <v>5</v>
      </c>
      <c r="K5966" t="s">
        <v>822</v>
      </c>
      <c r="M5966">
        <v>1</v>
      </c>
    </row>
    <row r="5967" spans="1:13">
      <c r="A5967" t="s">
        <v>3338</v>
      </c>
      <c r="B5967" t="s">
        <v>130</v>
      </c>
      <c r="C5967" s="34" t="s">
        <v>799</v>
      </c>
      <c r="F5967" t="s">
        <v>799</v>
      </c>
      <c r="H5967">
        <v>5</v>
      </c>
      <c r="I5967">
        <f>VLOOKUP(B5967,BRAND!B:D,3,FALSE)</f>
        <v>3</v>
      </c>
      <c r="J5967">
        <v>5</v>
      </c>
      <c r="K5967" t="s">
        <v>822</v>
      </c>
      <c r="M5967">
        <v>1</v>
      </c>
    </row>
    <row r="5968" spans="1:13">
      <c r="A5968" t="s">
        <v>4400</v>
      </c>
      <c r="B5968" t="s">
        <v>130</v>
      </c>
      <c r="C5968" s="34" t="s">
        <v>776</v>
      </c>
      <c r="F5968" t="s">
        <v>776</v>
      </c>
      <c r="H5968">
        <v>5</v>
      </c>
      <c r="I5968">
        <f>VLOOKUP(B5968,BRAND!B:D,3,FALSE)</f>
        <v>3</v>
      </c>
      <c r="J5968">
        <v>5</v>
      </c>
      <c r="K5968" t="s">
        <v>822</v>
      </c>
      <c r="M5968">
        <v>1</v>
      </c>
    </row>
    <row r="5969" spans="1:13">
      <c r="A5969" t="s">
        <v>10541</v>
      </c>
      <c r="B5969" t="s">
        <v>130</v>
      </c>
      <c r="C5969" s="34" t="s">
        <v>1438</v>
      </c>
      <c r="F5969" t="s">
        <v>1438</v>
      </c>
      <c r="G5969" t="s">
        <v>801</v>
      </c>
      <c r="H5969">
        <v>5</v>
      </c>
      <c r="I5969">
        <f>VLOOKUP(B5969,BRAND!B:D,3,FALSE)</f>
        <v>3</v>
      </c>
      <c r="J5969">
        <f>LEN(F5969)</f>
        <v>4</v>
      </c>
      <c r="L5969">
        <v>0</v>
      </c>
    </row>
    <row r="5970" spans="1:13">
      <c r="A5970" t="s">
        <v>10540</v>
      </c>
      <c r="B5970" t="s">
        <v>130</v>
      </c>
      <c r="C5970" s="34" t="s">
        <v>1438</v>
      </c>
      <c r="F5970" t="s">
        <v>1438</v>
      </c>
      <c r="G5970" t="s">
        <v>6932</v>
      </c>
      <c r="H5970">
        <v>5</v>
      </c>
      <c r="I5970">
        <f>VLOOKUP(B5970,BRAND!B:D,3,FALSE)</f>
        <v>3</v>
      </c>
      <c r="J5970">
        <f>LEN(F5970)</f>
        <v>4</v>
      </c>
      <c r="L5970">
        <v>0</v>
      </c>
    </row>
    <row r="5971" spans="1:13">
      <c r="A5971" t="s">
        <v>3420</v>
      </c>
      <c r="B5971" t="s">
        <v>130</v>
      </c>
      <c r="C5971" s="34" t="s">
        <v>561</v>
      </c>
      <c r="F5971" t="s">
        <v>561</v>
      </c>
      <c r="H5971">
        <v>5</v>
      </c>
      <c r="I5971">
        <f>VLOOKUP(B5971,BRAND!B:D,3,FALSE)</f>
        <v>3</v>
      </c>
      <c r="J5971">
        <v>3</v>
      </c>
      <c r="K5971" t="s">
        <v>822</v>
      </c>
      <c r="L5971">
        <v>0</v>
      </c>
      <c r="M5971">
        <v>0</v>
      </c>
    </row>
    <row r="5972" spans="1:13">
      <c r="A5972" t="s">
        <v>2637</v>
      </c>
      <c r="B5972" t="s">
        <v>130</v>
      </c>
      <c r="C5972" s="34" t="s">
        <v>1438</v>
      </c>
      <c r="F5972" t="s">
        <v>1438</v>
      </c>
      <c r="H5972">
        <v>15</v>
      </c>
      <c r="I5972">
        <f>VLOOKUP(B5972,BRAND!B:D,3,FALSE)</f>
        <v>3</v>
      </c>
      <c r="J5972">
        <v>4</v>
      </c>
      <c r="K5972" t="s">
        <v>822</v>
      </c>
      <c r="M5972">
        <v>1</v>
      </c>
    </row>
    <row r="5973" spans="1:13">
      <c r="A5973" t="s">
        <v>2077</v>
      </c>
      <c r="B5973" t="s">
        <v>620</v>
      </c>
      <c r="C5973" s="34" t="s">
        <v>1438</v>
      </c>
      <c r="F5973" t="s">
        <v>1438</v>
      </c>
      <c r="H5973">
        <v>15</v>
      </c>
      <c r="I5973">
        <f>VLOOKUP(B5973,BRAND!B:D,3,FALSE)</f>
        <v>3</v>
      </c>
      <c r="J5973">
        <v>4</v>
      </c>
      <c r="K5973" t="s">
        <v>821</v>
      </c>
      <c r="M5973">
        <v>1</v>
      </c>
    </row>
    <row r="5974" spans="1:13">
      <c r="A5974" t="s">
        <v>7731</v>
      </c>
      <c r="B5974" t="s">
        <v>7732</v>
      </c>
      <c r="C5974" s="34" t="s">
        <v>1438</v>
      </c>
      <c r="F5974" t="s">
        <v>1438</v>
      </c>
      <c r="G5974" t="s">
        <v>6932</v>
      </c>
      <c r="H5974">
        <v>5</v>
      </c>
      <c r="I5974">
        <f>VLOOKUP(B5974,BRAND!B:D,3,FALSE)</f>
        <v>5.5</v>
      </c>
      <c r="J5974">
        <v>4</v>
      </c>
      <c r="M5974">
        <v>1</v>
      </c>
    </row>
    <row r="5975" spans="1:13">
      <c r="A5975" t="s">
        <v>3322</v>
      </c>
      <c r="B5975" t="s">
        <v>654</v>
      </c>
      <c r="C5975" s="34" t="s">
        <v>872</v>
      </c>
      <c r="F5975" t="s">
        <v>872</v>
      </c>
      <c r="H5975">
        <v>5</v>
      </c>
      <c r="I5975">
        <f>VLOOKUP(B5975,BRAND!B:D,3,FALSE)</f>
        <v>3</v>
      </c>
      <c r="J5975">
        <v>5</v>
      </c>
      <c r="K5975" t="s">
        <v>821</v>
      </c>
      <c r="M5975">
        <v>1</v>
      </c>
    </row>
    <row r="5976" spans="1:13">
      <c r="A5976" t="s">
        <v>2532</v>
      </c>
      <c r="B5976" t="s">
        <v>654</v>
      </c>
      <c r="C5976" s="34" t="s">
        <v>1438</v>
      </c>
      <c r="F5976" t="s">
        <v>1438</v>
      </c>
      <c r="H5976">
        <v>15</v>
      </c>
      <c r="I5976">
        <f>VLOOKUP(B5976,BRAND!B:D,3,FALSE)</f>
        <v>3</v>
      </c>
      <c r="J5976">
        <v>4</v>
      </c>
      <c r="K5976" t="s">
        <v>821</v>
      </c>
      <c r="L5976">
        <v>0</v>
      </c>
      <c r="M5976">
        <v>0</v>
      </c>
    </row>
    <row r="5977" spans="1:13">
      <c r="A5977" t="s">
        <v>7733</v>
      </c>
      <c r="B5977" t="s">
        <v>7734</v>
      </c>
      <c r="C5977" s="34" t="s">
        <v>1438</v>
      </c>
      <c r="F5977" t="s">
        <v>1438</v>
      </c>
      <c r="G5977" t="s">
        <v>6932</v>
      </c>
      <c r="H5977">
        <v>5</v>
      </c>
      <c r="I5977">
        <f>VLOOKUP(B5977,BRAND!B:D,3,FALSE)</f>
        <v>5.5</v>
      </c>
      <c r="J5977">
        <v>4</v>
      </c>
      <c r="M5977">
        <v>1</v>
      </c>
    </row>
    <row r="5978" spans="1:13">
      <c r="A5978" t="s">
        <v>2793</v>
      </c>
      <c r="B5978" t="s">
        <v>1791</v>
      </c>
      <c r="C5978" s="34" t="s">
        <v>1438</v>
      </c>
      <c r="F5978" t="s">
        <v>1438</v>
      </c>
      <c r="H5978">
        <v>15</v>
      </c>
      <c r="I5978">
        <f>VLOOKUP(B5978,BRAND!B:D,3,FALSE)</f>
        <v>3</v>
      </c>
      <c r="J5978">
        <v>4</v>
      </c>
      <c r="K5978" t="s">
        <v>821</v>
      </c>
      <c r="L5978">
        <v>0</v>
      </c>
      <c r="M5978">
        <v>0</v>
      </c>
    </row>
    <row r="5979" spans="1:13">
      <c r="A5979" t="s">
        <v>8938</v>
      </c>
      <c r="B5979" t="s">
        <v>8939</v>
      </c>
      <c r="C5979" s="34" t="s">
        <v>1438</v>
      </c>
      <c r="F5979" t="s">
        <v>1438</v>
      </c>
      <c r="G5979" t="s">
        <v>6932</v>
      </c>
      <c r="H5979">
        <v>5</v>
      </c>
      <c r="I5979">
        <f>VLOOKUP(B5979,BRAND!B:D,3,FALSE)</f>
        <v>5.5</v>
      </c>
      <c r="J5979">
        <v>4</v>
      </c>
      <c r="M5979">
        <v>1</v>
      </c>
    </row>
    <row r="5980" spans="1:13">
      <c r="A5980" t="s">
        <v>8940</v>
      </c>
      <c r="B5980" t="s">
        <v>982</v>
      </c>
      <c r="C5980" s="34" t="s">
        <v>1438</v>
      </c>
      <c r="F5980" t="s">
        <v>1438</v>
      </c>
      <c r="G5980" t="s">
        <v>6932</v>
      </c>
      <c r="H5980">
        <v>5</v>
      </c>
      <c r="I5980">
        <f>VLOOKUP(B5980,BRAND!B:D,3,FALSE)</f>
        <v>3</v>
      </c>
      <c r="J5980">
        <v>4</v>
      </c>
      <c r="L5980">
        <v>0</v>
      </c>
      <c r="M5980">
        <v>0</v>
      </c>
    </row>
    <row r="5981" spans="1:13">
      <c r="A5981" t="s">
        <v>4742</v>
      </c>
      <c r="B5981" t="s">
        <v>982</v>
      </c>
      <c r="C5981" s="34" t="s">
        <v>782</v>
      </c>
      <c r="F5981" t="s">
        <v>782</v>
      </c>
      <c r="H5981">
        <v>5</v>
      </c>
      <c r="I5981">
        <f>VLOOKUP(B5981,BRAND!B:D,3,FALSE)</f>
        <v>3</v>
      </c>
      <c r="J5981">
        <v>4</v>
      </c>
      <c r="K5981" t="s">
        <v>821</v>
      </c>
      <c r="M5981">
        <v>1</v>
      </c>
    </row>
    <row r="5982" spans="1:13">
      <c r="A5982" t="s">
        <v>3153</v>
      </c>
      <c r="B5982" t="s">
        <v>982</v>
      </c>
      <c r="C5982" s="34" t="s">
        <v>1438</v>
      </c>
      <c r="F5982" t="s">
        <v>1438</v>
      </c>
      <c r="H5982">
        <v>15</v>
      </c>
      <c r="I5982">
        <f>VLOOKUP(B5982,BRAND!B:D,3,FALSE)</f>
        <v>3</v>
      </c>
      <c r="J5982">
        <v>4</v>
      </c>
      <c r="K5982" t="s">
        <v>821</v>
      </c>
      <c r="L5982">
        <v>0</v>
      </c>
      <c r="M5982">
        <v>0</v>
      </c>
    </row>
    <row r="5983" spans="1:13">
      <c r="A5983" t="s">
        <v>3755</v>
      </c>
      <c r="B5983" t="s">
        <v>1827</v>
      </c>
      <c r="C5983" s="34" t="s">
        <v>933</v>
      </c>
      <c r="F5983" t="s">
        <v>933</v>
      </c>
      <c r="H5983">
        <v>5</v>
      </c>
      <c r="I5983">
        <f>VLOOKUP(B5983,BRAND!B:D,3,FALSE)</f>
        <v>3</v>
      </c>
      <c r="J5983">
        <v>8</v>
      </c>
      <c r="K5983" t="s">
        <v>821</v>
      </c>
      <c r="L5983">
        <v>0</v>
      </c>
      <c r="M5983">
        <v>0</v>
      </c>
    </row>
    <row r="5984" spans="1:13">
      <c r="A5984" t="s">
        <v>2801</v>
      </c>
      <c r="B5984" t="s">
        <v>1313</v>
      </c>
      <c r="C5984" s="34" t="s">
        <v>1438</v>
      </c>
      <c r="F5984" t="s">
        <v>1438</v>
      </c>
      <c r="H5984">
        <v>15</v>
      </c>
      <c r="I5984">
        <f>VLOOKUP(B5984,BRAND!B:D,3,FALSE)</f>
        <v>3</v>
      </c>
      <c r="J5984">
        <v>4</v>
      </c>
      <c r="K5984" t="s">
        <v>821</v>
      </c>
      <c r="L5984">
        <v>0</v>
      </c>
      <c r="M5984">
        <v>0</v>
      </c>
    </row>
    <row r="5985" spans="1:13">
      <c r="A5985" t="s">
        <v>8941</v>
      </c>
      <c r="B5985" t="s">
        <v>1111</v>
      </c>
      <c r="C5985" s="34" t="s">
        <v>1438</v>
      </c>
      <c r="F5985" t="s">
        <v>1438</v>
      </c>
      <c r="G5985" t="s">
        <v>6932</v>
      </c>
      <c r="H5985">
        <v>5</v>
      </c>
      <c r="I5985">
        <f>VLOOKUP(B5985,BRAND!B:D,3,FALSE)</f>
        <v>3</v>
      </c>
      <c r="J5985">
        <v>4</v>
      </c>
      <c r="M5985">
        <v>1</v>
      </c>
    </row>
    <row r="5986" spans="1:13">
      <c r="A5986" t="s">
        <v>7271</v>
      </c>
      <c r="B5986" t="s">
        <v>1111</v>
      </c>
      <c r="C5986" s="34" t="s">
        <v>863</v>
      </c>
      <c r="F5986" t="s">
        <v>863</v>
      </c>
      <c r="H5986">
        <v>5</v>
      </c>
      <c r="I5986">
        <f>VLOOKUP(B5986,BRAND!B:D,3,FALSE)</f>
        <v>3</v>
      </c>
      <c r="M5986">
        <v>1</v>
      </c>
    </row>
    <row r="5987" spans="1:13">
      <c r="A5987" t="s">
        <v>2355</v>
      </c>
      <c r="B5987" t="s">
        <v>1111</v>
      </c>
      <c r="C5987" s="34" t="s">
        <v>1438</v>
      </c>
      <c r="F5987" t="s">
        <v>1438</v>
      </c>
      <c r="H5987">
        <v>15</v>
      </c>
      <c r="I5987">
        <f>VLOOKUP(B5987,BRAND!B:D,3,FALSE)</f>
        <v>3</v>
      </c>
      <c r="J5987">
        <v>4</v>
      </c>
      <c r="K5987" t="s">
        <v>821</v>
      </c>
      <c r="L5987">
        <v>0</v>
      </c>
      <c r="M5987">
        <v>0</v>
      </c>
    </row>
    <row r="5988" spans="1:13">
      <c r="A5988" t="s">
        <v>2704</v>
      </c>
      <c r="B5988" t="s">
        <v>1178</v>
      </c>
      <c r="C5988" s="34" t="s">
        <v>1438</v>
      </c>
      <c r="F5988" t="s">
        <v>1438</v>
      </c>
      <c r="H5988">
        <v>15</v>
      </c>
      <c r="I5988">
        <f>VLOOKUP(B5988,BRAND!B:D,3,FALSE)</f>
        <v>3</v>
      </c>
      <c r="J5988">
        <v>4</v>
      </c>
      <c r="K5988" t="s">
        <v>821</v>
      </c>
      <c r="L5988">
        <v>0</v>
      </c>
      <c r="M5988">
        <v>0</v>
      </c>
    </row>
    <row r="5989" spans="1:13">
      <c r="A5989" t="s">
        <v>4075</v>
      </c>
      <c r="B5989" t="s">
        <v>612</v>
      </c>
      <c r="C5989" s="34" t="s">
        <v>1070</v>
      </c>
      <c r="F5989" t="s">
        <v>1070</v>
      </c>
      <c r="H5989">
        <v>4</v>
      </c>
      <c r="I5989">
        <f>VLOOKUP(B5989,BRAND!B:D,3,FALSE)</f>
        <v>3</v>
      </c>
      <c r="J5989">
        <f>LEN(F5989)</f>
        <v>13</v>
      </c>
      <c r="K5989" t="s">
        <v>821</v>
      </c>
      <c r="L5989">
        <v>0</v>
      </c>
      <c r="M5989">
        <v>0</v>
      </c>
    </row>
    <row r="5990" spans="1:13">
      <c r="A5990" t="s">
        <v>5493</v>
      </c>
      <c r="B5990" t="s">
        <v>612</v>
      </c>
      <c r="C5990" s="34" t="s">
        <v>877</v>
      </c>
      <c r="F5990" t="s">
        <v>877</v>
      </c>
      <c r="H5990">
        <v>4</v>
      </c>
      <c r="I5990">
        <f>VLOOKUP(B5990,BRAND!B:D,3,FALSE)</f>
        <v>3</v>
      </c>
      <c r="J5990">
        <f>LEN(F5990)</f>
        <v>12</v>
      </c>
      <c r="K5990" t="s">
        <v>821</v>
      </c>
      <c r="M5990">
        <v>1</v>
      </c>
    </row>
    <row r="5991" spans="1:13">
      <c r="A5991" t="s">
        <v>3770</v>
      </c>
      <c r="B5991" t="s">
        <v>612</v>
      </c>
      <c r="C5991" s="34" t="s">
        <v>861</v>
      </c>
      <c r="F5991" t="s">
        <v>861</v>
      </c>
      <c r="H5991">
        <v>5</v>
      </c>
      <c r="I5991">
        <f>VLOOKUP(B5991,BRAND!B:D,3,FALSE)</f>
        <v>3</v>
      </c>
      <c r="J5991">
        <f>LEN(F5991)</f>
        <v>11</v>
      </c>
      <c r="K5991" t="s">
        <v>821</v>
      </c>
      <c r="M5991">
        <v>1</v>
      </c>
    </row>
    <row r="5992" spans="1:13">
      <c r="A5992" t="s">
        <v>3771</v>
      </c>
      <c r="B5992" t="s">
        <v>612</v>
      </c>
      <c r="C5992" s="34" t="s">
        <v>862</v>
      </c>
      <c r="F5992" t="s">
        <v>862</v>
      </c>
      <c r="H5992">
        <v>5</v>
      </c>
      <c r="I5992">
        <f>VLOOKUP(B5992,BRAND!B:D,3,FALSE)</f>
        <v>3</v>
      </c>
      <c r="J5992">
        <f>LEN(F5992)</f>
        <v>10</v>
      </c>
      <c r="K5992" t="s">
        <v>821</v>
      </c>
      <c r="L5992">
        <v>0</v>
      </c>
      <c r="M5992">
        <v>0</v>
      </c>
    </row>
    <row r="5993" spans="1:13">
      <c r="A5993" t="s">
        <v>4219</v>
      </c>
      <c r="B5993" t="s">
        <v>612</v>
      </c>
      <c r="C5993" s="34" t="s">
        <v>880</v>
      </c>
      <c r="F5993" t="s">
        <v>880</v>
      </c>
      <c r="H5993">
        <v>5</v>
      </c>
      <c r="I5993">
        <f>VLOOKUP(B5993,BRAND!B:D,3,FALSE)</f>
        <v>3</v>
      </c>
      <c r="J5993">
        <v>7</v>
      </c>
      <c r="K5993" t="s">
        <v>821</v>
      </c>
      <c r="M5993">
        <v>1</v>
      </c>
    </row>
    <row r="5994" spans="1:13">
      <c r="A5994" t="s">
        <v>3431</v>
      </c>
      <c r="B5994" t="s">
        <v>612</v>
      </c>
      <c r="C5994" s="34" t="s">
        <v>780</v>
      </c>
      <c r="F5994" t="s">
        <v>780</v>
      </c>
      <c r="H5994">
        <v>5</v>
      </c>
      <c r="I5994">
        <f>VLOOKUP(B5994,BRAND!B:D,3,FALSE)</f>
        <v>3</v>
      </c>
      <c r="J5994">
        <v>6</v>
      </c>
      <c r="K5994" t="s">
        <v>821</v>
      </c>
      <c r="M5994">
        <v>1</v>
      </c>
    </row>
    <row r="5995" spans="1:13">
      <c r="A5995" t="s">
        <v>2973</v>
      </c>
      <c r="B5995" t="s">
        <v>612</v>
      </c>
      <c r="C5995" s="34" t="s">
        <v>881</v>
      </c>
      <c r="F5995" t="s">
        <v>881</v>
      </c>
      <c r="H5995">
        <v>5</v>
      </c>
      <c r="I5995">
        <f>VLOOKUP(B5995,BRAND!B:D,3,FALSE)</f>
        <v>3</v>
      </c>
      <c r="J5995">
        <v>5</v>
      </c>
      <c r="K5995" t="s">
        <v>821</v>
      </c>
      <c r="L5995">
        <v>0</v>
      </c>
      <c r="M5995">
        <v>0</v>
      </c>
    </row>
    <row r="5996" spans="1:13">
      <c r="A5996" t="s">
        <v>4271</v>
      </c>
      <c r="B5996" t="s">
        <v>612</v>
      </c>
      <c r="C5996" s="34" t="s">
        <v>1992</v>
      </c>
      <c r="F5996" t="s">
        <v>1992</v>
      </c>
      <c r="H5996">
        <v>5</v>
      </c>
      <c r="I5996">
        <f>VLOOKUP(B5996,BRAND!B:D,3,FALSE)</f>
        <v>3</v>
      </c>
      <c r="J5996">
        <v>3</v>
      </c>
      <c r="K5996" t="s">
        <v>821</v>
      </c>
      <c r="L5996">
        <v>0</v>
      </c>
      <c r="M5996">
        <v>0</v>
      </c>
    </row>
    <row r="5997" spans="1:13">
      <c r="A5997" t="s">
        <v>4012</v>
      </c>
      <c r="B5997" t="s">
        <v>612</v>
      </c>
      <c r="C5997" s="34" t="s">
        <v>6553</v>
      </c>
      <c r="F5997" t="s">
        <v>890</v>
      </c>
      <c r="H5997">
        <v>6</v>
      </c>
      <c r="I5997">
        <f>VLOOKUP(B5997,BRAND!B:D,3,FALSE)</f>
        <v>3</v>
      </c>
      <c r="J5997">
        <f>LEN(F5997)</f>
        <v>12</v>
      </c>
      <c r="K5997" t="s">
        <v>821</v>
      </c>
      <c r="M5997">
        <v>1</v>
      </c>
    </row>
    <row r="5998" spans="1:13">
      <c r="A5998" t="s">
        <v>4855</v>
      </c>
      <c r="B5998" t="s">
        <v>1314</v>
      </c>
      <c r="C5998" s="34" t="s">
        <v>775</v>
      </c>
      <c r="F5998" t="s">
        <v>775</v>
      </c>
      <c r="H5998">
        <v>5</v>
      </c>
      <c r="I5998">
        <f>VLOOKUP(B5998,BRAND!B:D,3,FALSE)</f>
        <v>3</v>
      </c>
      <c r="J5998">
        <v>3</v>
      </c>
      <c r="K5998" t="s">
        <v>821</v>
      </c>
      <c r="L5998">
        <v>0</v>
      </c>
      <c r="M5998">
        <v>0</v>
      </c>
    </row>
    <row r="5999" spans="1:13">
      <c r="A5999" t="s">
        <v>2785</v>
      </c>
      <c r="B5999" t="s">
        <v>1314</v>
      </c>
      <c r="C5999" s="34" t="s">
        <v>1438</v>
      </c>
      <c r="F5999" t="s">
        <v>1438</v>
      </c>
      <c r="H5999">
        <v>15</v>
      </c>
      <c r="I5999">
        <f>VLOOKUP(B5999,BRAND!B:D,3,FALSE)</f>
        <v>3</v>
      </c>
      <c r="J5999">
        <v>4</v>
      </c>
      <c r="K5999" t="s">
        <v>821</v>
      </c>
      <c r="L5999">
        <v>0</v>
      </c>
      <c r="M5999">
        <v>0</v>
      </c>
    </row>
    <row r="6000" spans="1:13">
      <c r="A6000" t="s">
        <v>2782</v>
      </c>
      <c r="B6000" t="s">
        <v>1179</v>
      </c>
      <c r="C6000" s="34" t="s">
        <v>1438</v>
      </c>
      <c r="F6000" t="s">
        <v>1438</v>
      </c>
      <c r="H6000">
        <v>15</v>
      </c>
      <c r="I6000" t="e">
        <f>VLOOKUP(B6000,BRAND!B:D,3,FALSE)</f>
        <v>#N/A</v>
      </c>
      <c r="J6000">
        <v>4</v>
      </c>
      <c r="K6000" t="s">
        <v>821</v>
      </c>
      <c r="L6000">
        <v>0</v>
      </c>
      <c r="M6000">
        <v>0</v>
      </c>
    </row>
    <row r="6001" spans="1:13">
      <c r="A6001" t="s">
        <v>14983</v>
      </c>
      <c r="B6001" t="s">
        <v>14984</v>
      </c>
      <c r="C6001" s="34" t="s">
        <v>536</v>
      </c>
      <c r="F6001" t="s">
        <v>536</v>
      </c>
      <c r="G6001" t="s">
        <v>6932</v>
      </c>
      <c r="H6001">
        <v>5</v>
      </c>
      <c r="I6001">
        <f>VLOOKUP(B6001,BRAND!B:D,3,FALSE)</f>
        <v>5</v>
      </c>
      <c r="J6001">
        <v>0</v>
      </c>
      <c r="K6001" t="s">
        <v>821</v>
      </c>
      <c r="L6001">
        <v>0</v>
      </c>
      <c r="M6001">
        <v>0</v>
      </c>
    </row>
    <row r="6002" spans="1:13">
      <c r="A6002" t="s">
        <v>14985</v>
      </c>
      <c r="B6002" t="s">
        <v>14984</v>
      </c>
      <c r="C6002" s="34" t="s">
        <v>534</v>
      </c>
      <c r="F6002" t="s">
        <v>534</v>
      </c>
      <c r="G6002" t="s">
        <v>6932</v>
      </c>
      <c r="H6002">
        <v>5</v>
      </c>
      <c r="I6002">
        <f>VLOOKUP(B6002,BRAND!B:D,3,FALSE)</f>
        <v>5</v>
      </c>
      <c r="J6002">
        <v>0</v>
      </c>
      <c r="K6002" t="s">
        <v>821</v>
      </c>
      <c r="L6002">
        <v>0</v>
      </c>
      <c r="M6002">
        <v>0</v>
      </c>
    </row>
    <row r="6003" spans="1:13">
      <c r="A6003" t="s">
        <v>14986</v>
      </c>
      <c r="B6003" t="s">
        <v>14984</v>
      </c>
      <c r="C6003" s="34" t="s">
        <v>561</v>
      </c>
      <c r="F6003" t="s">
        <v>561</v>
      </c>
      <c r="G6003" t="s">
        <v>6932</v>
      </c>
      <c r="H6003">
        <v>5</v>
      </c>
      <c r="I6003">
        <f>VLOOKUP(B6003,BRAND!B:D,3,FALSE)</f>
        <v>5</v>
      </c>
      <c r="J6003">
        <v>0</v>
      </c>
      <c r="K6003" t="s">
        <v>821</v>
      </c>
      <c r="L6003">
        <v>0</v>
      </c>
      <c r="M6003">
        <v>0</v>
      </c>
    </row>
    <row r="6004" spans="1:13">
      <c r="A6004" t="s">
        <v>14987</v>
      </c>
      <c r="B6004" t="s">
        <v>14984</v>
      </c>
      <c r="C6004" s="34" t="s">
        <v>10023</v>
      </c>
      <c r="F6004" t="s">
        <v>10023</v>
      </c>
      <c r="G6004" t="s">
        <v>6932</v>
      </c>
      <c r="H6004">
        <v>5</v>
      </c>
      <c r="I6004">
        <f>VLOOKUP(B6004,BRAND!B:D,3,FALSE)</f>
        <v>5</v>
      </c>
      <c r="J6004">
        <v>0</v>
      </c>
      <c r="K6004" t="s">
        <v>821</v>
      </c>
      <c r="L6004">
        <v>0</v>
      </c>
      <c r="M6004">
        <v>0</v>
      </c>
    </row>
    <row r="6005" spans="1:13">
      <c r="A6005" t="s">
        <v>14988</v>
      </c>
      <c r="B6005" t="s">
        <v>14984</v>
      </c>
      <c r="C6005" s="34" t="s">
        <v>776</v>
      </c>
      <c r="F6005" t="s">
        <v>776</v>
      </c>
      <c r="G6005" t="s">
        <v>6932</v>
      </c>
      <c r="H6005">
        <v>5</v>
      </c>
      <c r="I6005">
        <f>VLOOKUP(B6005,BRAND!B:D,3,FALSE)</f>
        <v>5</v>
      </c>
      <c r="J6005">
        <v>0</v>
      </c>
      <c r="K6005" t="s">
        <v>821</v>
      </c>
      <c r="L6005">
        <v>0</v>
      </c>
      <c r="M6005">
        <v>0</v>
      </c>
    </row>
    <row r="6006" spans="1:13">
      <c r="A6006" t="s">
        <v>14989</v>
      </c>
      <c r="B6006" t="s">
        <v>14984</v>
      </c>
      <c r="C6006" s="34" t="s">
        <v>788</v>
      </c>
      <c r="F6006" t="s">
        <v>788</v>
      </c>
      <c r="G6006" t="s">
        <v>6932</v>
      </c>
      <c r="H6006">
        <v>5</v>
      </c>
      <c r="I6006">
        <f>VLOOKUP(B6006,BRAND!B:D,3,FALSE)</f>
        <v>5</v>
      </c>
      <c r="J6006">
        <v>0</v>
      </c>
      <c r="K6006" t="s">
        <v>821</v>
      </c>
      <c r="L6006">
        <v>0</v>
      </c>
      <c r="M6006">
        <v>0</v>
      </c>
    </row>
    <row r="6007" spans="1:13">
      <c r="A6007" t="s">
        <v>14990</v>
      </c>
      <c r="B6007" t="s">
        <v>14984</v>
      </c>
      <c r="C6007" s="34" t="s">
        <v>755</v>
      </c>
      <c r="F6007" t="s">
        <v>755</v>
      </c>
      <c r="G6007" t="s">
        <v>6932</v>
      </c>
      <c r="H6007">
        <v>5</v>
      </c>
      <c r="I6007">
        <f>VLOOKUP(B6007,BRAND!B:D,3,FALSE)</f>
        <v>5</v>
      </c>
      <c r="J6007">
        <v>0</v>
      </c>
      <c r="K6007" t="s">
        <v>821</v>
      </c>
      <c r="L6007">
        <v>0</v>
      </c>
      <c r="M6007">
        <v>0</v>
      </c>
    </row>
    <row r="6008" spans="1:13">
      <c r="A6008" t="s">
        <v>15078</v>
      </c>
      <c r="B6008" t="s">
        <v>14984</v>
      </c>
      <c r="C6008" s="34" t="s">
        <v>842</v>
      </c>
      <c r="F6008" t="s">
        <v>842</v>
      </c>
      <c r="G6008" t="s">
        <v>6932</v>
      </c>
      <c r="H6008">
        <v>5</v>
      </c>
      <c r="I6008">
        <f>VLOOKUP(B6008,BRAND!B:D,3,FALSE)</f>
        <v>5</v>
      </c>
      <c r="J6008">
        <v>0</v>
      </c>
      <c r="K6008" t="s">
        <v>821</v>
      </c>
      <c r="L6008">
        <v>0</v>
      </c>
      <c r="M6008">
        <v>0</v>
      </c>
    </row>
    <row r="6009" spans="1:13">
      <c r="A6009" t="s">
        <v>8942</v>
      </c>
      <c r="B6009" t="s">
        <v>8943</v>
      </c>
      <c r="C6009" s="34" t="s">
        <v>1438</v>
      </c>
      <c r="F6009" t="s">
        <v>1438</v>
      </c>
      <c r="G6009" t="s">
        <v>6932</v>
      </c>
      <c r="H6009">
        <v>5</v>
      </c>
      <c r="I6009">
        <f>VLOOKUP(B6009,BRAND!B:D,3,FALSE)</f>
        <v>5.5</v>
      </c>
      <c r="J6009">
        <v>4</v>
      </c>
      <c r="M6009">
        <v>1</v>
      </c>
    </row>
    <row r="6010" spans="1:13">
      <c r="A6010" t="s">
        <v>3195</v>
      </c>
      <c r="B6010" t="s">
        <v>1315</v>
      </c>
      <c r="C6010" s="34" t="s">
        <v>1438</v>
      </c>
      <c r="F6010" t="s">
        <v>1438</v>
      </c>
      <c r="H6010">
        <v>15</v>
      </c>
      <c r="I6010">
        <f>VLOOKUP(B6010,BRAND!B:D,3,FALSE)</f>
        <v>3</v>
      </c>
      <c r="J6010">
        <v>4</v>
      </c>
      <c r="K6010" t="s">
        <v>821</v>
      </c>
      <c r="L6010">
        <v>0</v>
      </c>
      <c r="M6010">
        <v>0</v>
      </c>
    </row>
    <row r="6011" spans="1:13">
      <c r="A6011" t="s">
        <v>12093</v>
      </c>
      <c r="B6011" t="s">
        <v>12004</v>
      </c>
      <c r="C6011" s="34" t="s">
        <v>12094</v>
      </c>
      <c r="F6011" t="s">
        <v>12095</v>
      </c>
      <c r="G6011" t="s">
        <v>6932</v>
      </c>
      <c r="H6011">
        <v>5</v>
      </c>
    </row>
    <row r="6012" spans="1:13">
      <c r="A6012" t="s">
        <v>12096</v>
      </c>
      <c r="B6012" t="s">
        <v>12004</v>
      </c>
      <c r="C6012" s="34" t="s">
        <v>772</v>
      </c>
      <c r="F6012" t="s">
        <v>12097</v>
      </c>
      <c r="G6012" t="s">
        <v>6932</v>
      </c>
      <c r="H6012">
        <v>5</v>
      </c>
    </row>
    <row r="6013" spans="1:13">
      <c r="A6013" t="s">
        <v>12098</v>
      </c>
      <c r="B6013" t="s">
        <v>12004</v>
      </c>
      <c r="C6013" s="34" t="s">
        <v>12099</v>
      </c>
      <c r="F6013" t="s">
        <v>12100</v>
      </c>
      <c r="G6013" t="s">
        <v>6932</v>
      </c>
      <c r="H6013">
        <v>5</v>
      </c>
    </row>
    <row r="6014" spans="1:13">
      <c r="A6014" t="s">
        <v>12101</v>
      </c>
      <c r="B6014" t="s">
        <v>12004</v>
      </c>
      <c r="C6014" s="34" t="s">
        <v>996</v>
      </c>
      <c r="F6014" t="s">
        <v>996</v>
      </c>
      <c r="G6014" t="s">
        <v>6932</v>
      </c>
      <c r="H6014">
        <v>5</v>
      </c>
    </row>
    <row r="6015" spans="1:13">
      <c r="A6015" t="s">
        <v>12102</v>
      </c>
      <c r="B6015" t="s">
        <v>12004</v>
      </c>
      <c r="C6015" s="34" t="s">
        <v>12103</v>
      </c>
      <c r="F6015" t="s">
        <v>12104</v>
      </c>
      <c r="G6015" t="s">
        <v>6932</v>
      </c>
      <c r="H6015">
        <v>5</v>
      </c>
    </row>
    <row r="6016" spans="1:13">
      <c r="A6016" t="s">
        <v>12105</v>
      </c>
      <c r="B6016" t="s">
        <v>12004</v>
      </c>
      <c r="C6016" s="34" t="s">
        <v>12106</v>
      </c>
      <c r="F6016" t="s">
        <v>12107</v>
      </c>
      <c r="G6016" t="s">
        <v>6932</v>
      </c>
      <c r="H6016">
        <v>5</v>
      </c>
    </row>
    <row r="6017" spans="1:13">
      <c r="A6017" t="s">
        <v>12108</v>
      </c>
      <c r="B6017" t="s">
        <v>12004</v>
      </c>
      <c r="C6017" s="34" t="s">
        <v>371</v>
      </c>
      <c r="F6017" t="s">
        <v>12109</v>
      </c>
      <c r="G6017" t="s">
        <v>6932</v>
      </c>
      <c r="H6017">
        <v>5</v>
      </c>
    </row>
    <row r="6018" spans="1:13">
      <c r="A6018" t="s">
        <v>12110</v>
      </c>
      <c r="B6018" t="s">
        <v>12004</v>
      </c>
      <c r="C6018" s="34" t="s">
        <v>796</v>
      </c>
      <c r="F6018" t="s">
        <v>12111</v>
      </c>
      <c r="G6018" t="s">
        <v>6932</v>
      </c>
      <c r="H6018">
        <v>5</v>
      </c>
    </row>
    <row r="6019" spans="1:13">
      <c r="A6019" t="s">
        <v>12112</v>
      </c>
      <c r="B6019" t="s">
        <v>12004</v>
      </c>
      <c r="C6019" s="34" t="s">
        <v>12113</v>
      </c>
      <c r="F6019" t="s">
        <v>12114</v>
      </c>
      <c r="G6019" t="s">
        <v>6932</v>
      </c>
      <c r="H6019">
        <v>5</v>
      </c>
    </row>
    <row r="6020" spans="1:13">
      <c r="A6020" t="s">
        <v>12115</v>
      </c>
      <c r="B6020" t="s">
        <v>12004</v>
      </c>
      <c r="C6020" s="34" t="s">
        <v>12116</v>
      </c>
      <c r="F6020" t="s">
        <v>12117</v>
      </c>
      <c r="G6020" t="s">
        <v>6932</v>
      </c>
      <c r="H6020">
        <v>5</v>
      </c>
    </row>
    <row r="6021" spans="1:13">
      <c r="A6021" t="s">
        <v>12118</v>
      </c>
      <c r="B6021" t="s">
        <v>12004</v>
      </c>
      <c r="C6021" s="34" t="s">
        <v>12119</v>
      </c>
      <c r="F6021" t="s">
        <v>12120</v>
      </c>
      <c r="G6021" t="s">
        <v>6932</v>
      </c>
      <c r="H6021">
        <v>5</v>
      </c>
    </row>
    <row r="6022" spans="1:13">
      <c r="A6022" t="s">
        <v>12091</v>
      </c>
      <c r="B6022" t="s">
        <v>12004</v>
      </c>
      <c r="C6022" s="34" t="s">
        <v>12092</v>
      </c>
      <c r="F6022" t="s">
        <v>12092</v>
      </c>
      <c r="G6022" t="s">
        <v>6932</v>
      </c>
      <c r="H6022">
        <v>6</v>
      </c>
      <c r="I6022">
        <f>VLOOKUP(B6022,BRAND!B:D,3,FALSE)</f>
        <v>10</v>
      </c>
      <c r="J6022">
        <v>4</v>
      </c>
      <c r="K6022" t="s">
        <v>821</v>
      </c>
    </row>
    <row r="6023" spans="1:13">
      <c r="A6023" t="s">
        <v>2893</v>
      </c>
      <c r="B6023" t="s">
        <v>1316</v>
      </c>
      <c r="C6023" s="34" t="s">
        <v>1438</v>
      </c>
      <c r="F6023" t="s">
        <v>1438</v>
      </c>
      <c r="H6023">
        <v>15</v>
      </c>
      <c r="I6023">
        <f>VLOOKUP(B6023,BRAND!B:D,3,FALSE)</f>
        <v>3</v>
      </c>
      <c r="J6023">
        <v>4</v>
      </c>
      <c r="K6023" t="s">
        <v>821</v>
      </c>
      <c r="L6023">
        <v>0</v>
      </c>
      <c r="M6023">
        <v>0</v>
      </c>
    </row>
    <row r="6024" spans="1:13">
      <c r="A6024" t="s">
        <v>3091</v>
      </c>
      <c r="B6024" t="s">
        <v>563</v>
      </c>
      <c r="C6024" s="34" t="s">
        <v>1438</v>
      </c>
      <c r="F6024" t="s">
        <v>1438</v>
      </c>
      <c r="H6024">
        <v>15</v>
      </c>
      <c r="I6024">
        <f>VLOOKUP(B6024,BRAND!B:D,3,FALSE)</f>
        <v>3</v>
      </c>
      <c r="J6024">
        <v>4</v>
      </c>
      <c r="K6024" t="s">
        <v>821</v>
      </c>
      <c r="M6024">
        <v>1</v>
      </c>
    </row>
    <row r="6025" spans="1:13">
      <c r="A6025" t="s">
        <v>8944</v>
      </c>
      <c r="B6025" t="s">
        <v>8945</v>
      </c>
      <c r="C6025" s="34" t="s">
        <v>1438</v>
      </c>
      <c r="F6025" t="s">
        <v>1438</v>
      </c>
      <c r="G6025" t="s">
        <v>6932</v>
      </c>
      <c r="H6025">
        <v>5</v>
      </c>
      <c r="I6025">
        <f>VLOOKUP(B6025,BRAND!B:D,3,FALSE)</f>
        <v>5.5</v>
      </c>
      <c r="J6025">
        <v>4</v>
      </c>
      <c r="M6025">
        <v>1</v>
      </c>
    </row>
    <row r="6026" spans="1:13">
      <c r="A6026" t="s">
        <v>9782</v>
      </c>
      <c r="B6026" t="s">
        <v>8947</v>
      </c>
      <c r="C6026" s="34" t="s">
        <v>842</v>
      </c>
      <c r="F6026" t="s">
        <v>7388</v>
      </c>
      <c r="H6026">
        <v>4</v>
      </c>
      <c r="I6026">
        <f>VLOOKUP(B6026,BRAND!B:D,3,FALSE)</f>
        <v>5.5</v>
      </c>
      <c r="J6026">
        <f t="shared" ref="J6026:J6031" si="56">LEN(F6026)</f>
        <v>12</v>
      </c>
      <c r="L6026">
        <v>0</v>
      </c>
      <c r="M6026">
        <v>0</v>
      </c>
    </row>
    <row r="6027" spans="1:13">
      <c r="A6027" t="s">
        <v>8949</v>
      </c>
      <c r="B6027" t="s">
        <v>8947</v>
      </c>
      <c r="C6027" s="34" t="s">
        <v>534</v>
      </c>
      <c r="F6027" t="s">
        <v>846</v>
      </c>
      <c r="G6027" t="s">
        <v>6932</v>
      </c>
      <c r="H6027">
        <v>5</v>
      </c>
      <c r="I6027">
        <f>VLOOKUP(B6027,BRAND!B:D,3,FALSE)</f>
        <v>5.5</v>
      </c>
      <c r="J6027">
        <f t="shared" si="56"/>
        <v>12</v>
      </c>
      <c r="M6027">
        <v>1</v>
      </c>
    </row>
    <row r="6028" spans="1:13">
      <c r="A6028" t="s">
        <v>8950</v>
      </c>
      <c r="B6028" t="s">
        <v>8947</v>
      </c>
      <c r="C6028" s="34" t="s">
        <v>8951</v>
      </c>
      <c r="F6028" t="s">
        <v>8952</v>
      </c>
      <c r="G6028" t="s">
        <v>6932</v>
      </c>
      <c r="H6028">
        <v>5</v>
      </c>
      <c r="I6028">
        <f>VLOOKUP(B6028,BRAND!B:D,3,FALSE)</f>
        <v>5.5</v>
      </c>
      <c r="J6028">
        <f t="shared" si="56"/>
        <v>12</v>
      </c>
      <c r="M6028">
        <v>1</v>
      </c>
    </row>
    <row r="6029" spans="1:13">
      <c r="A6029" t="s">
        <v>8946</v>
      </c>
      <c r="B6029" t="s">
        <v>8947</v>
      </c>
      <c r="C6029" s="34" t="s">
        <v>8948</v>
      </c>
      <c r="F6029" t="s">
        <v>8948</v>
      </c>
      <c r="G6029" t="s">
        <v>6932</v>
      </c>
      <c r="H6029">
        <v>5</v>
      </c>
      <c r="I6029">
        <f>VLOOKUP(B6029,BRAND!B:D,3,FALSE)</f>
        <v>5.5</v>
      </c>
      <c r="J6029">
        <f t="shared" si="56"/>
        <v>10</v>
      </c>
      <c r="L6029">
        <v>0</v>
      </c>
      <c r="M6029">
        <v>0</v>
      </c>
    </row>
    <row r="6030" spans="1:13">
      <c r="A6030" t="s">
        <v>9781</v>
      </c>
      <c r="B6030" t="s">
        <v>8947</v>
      </c>
      <c r="C6030" s="34" t="s">
        <v>536</v>
      </c>
      <c r="G6030" t="s">
        <v>6932</v>
      </c>
      <c r="H6030">
        <v>5</v>
      </c>
      <c r="I6030">
        <f>VLOOKUP(B6030,BRAND!B:D,3,FALSE)</f>
        <v>5.5</v>
      </c>
      <c r="J6030">
        <f t="shared" si="56"/>
        <v>0</v>
      </c>
      <c r="L6030">
        <v>0</v>
      </c>
      <c r="M6030">
        <v>0</v>
      </c>
    </row>
    <row r="6031" spans="1:13">
      <c r="A6031" t="s">
        <v>9782</v>
      </c>
      <c r="B6031" t="s">
        <v>8947</v>
      </c>
      <c r="C6031" s="34" t="s">
        <v>7388</v>
      </c>
      <c r="G6031" t="s">
        <v>6932</v>
      </c>
      <c r="H6031">
        <v>5</v>
      </c>
      <c r="I6031">
        <f>VLOOKUP(B6031,BRAND!B:D,3,FALSE)</f>
        <v>5.5</v>
      </c>
      <c r="J6031">
        <f t="shared" si="56"/>
        <v>0</v>
      </c>
      <c r="L6031">
        <v>0</v>
      </c>
      <c r="M6031">
        <v>0</v>
      </c>
    </row>
    <row r="6032" spans="1:13">
      <c r="A6032" t="s">
        <v>9781</v>
      </c>
      <c r="B6032" t="s">
        <v>8947</v>
      </c>
      <c r="C6032" s="34" t="s">
        <v>536</v>
      </c>
      <c r="G6032" t="s">
        <v>6932</v>
      </c>
      <c r="H6032">
        <v>5</v>
      </c>
      <c r="I6032">
        <f>VLOOKUP(B6032,BRAND!B:D,3,FALSE)</f>
        <v>5.5</v>
      </c>
      <c r="J6032">
        <v>0</v>
      </c>
      <c r="M6032">
        <v>1</v>
      </c>
    </row>
    <row r="6033" spans="1:13">
      <c r="A6033" t="s">
        <v>9782</v>
      </c>
      <c r="B6033" t="s">
        <v>8947</v>
      </c>
      <c r="C6033" s="34" t="s">
        <v>7388</v>
      </c>
      <c r="G6033" t="s">
        <v>6932</v>
      </c>
      <c r="H6033">
        <v>5</v>
      </c>
      <c r="I6033">
        <f>VLOOKUP(B6033,BRAND!B:D,3,FALSE)</f>
        <v>5.5</v>
      </c>
      <c r="J6033">
        <v>0</v>
      </c>
      <c r="L6033" s="29"/>
      <c r="M6033">
        <v>1</v>
      </c>
    </row>
    <row r="6034" spans="1:13">
      <c r="A6034" t="s">
        <v>4287</v>
      </c>
      <c r="B6034" t="s">
        <v>1112</v>
      </c>
      <c r="C6034" s="34" t="s">
        <v>1438</v>
      </c>
      <c r="F6034" t="s">
        <v>1438</v>
      </c>
      <c r="H6034">
        <v>15</v>
      </c>
      <c r="I6034">
        <f>VLOOKUP(B6034,BRAND!B:D,3,FALSE)</f>
        <v>5</v>
      </c>
      <c r="J6034">
        <v>4</v>
      </c>
      <c r="K6034" t="s">
        <v>821</v>
      </c>
      <c r="L6034">
        <v>0</v>
      </c>
      <c r="M6034">
        <v>0</v>
      </c>
    </row>
    <row r="6035" spans="1:13">
      <c r="A6035" t="s">
        <v>8953</v>
      </c>
      <c r="B6035" t="s">
        <v>8954</v>
      </c>
      <c r="C6035" s="34" t="s">
        <v>1438</v>
      </c>
      <c r="F6035" t="s">
        <v>1438</v>
      </c>
      <c r="G6035" t="s">
        <v>6932</v>
      </c>
      <c r="H6035">
        <v>5</v>
      </c>
      <c r="I6035">
        <f>VLOOKUP(B6035,BRAND!B:D,3,FALSE)</f>
        <v>5.5</v>
      </c>
      <c r="J6035">
        <v>4</v>
      </c>
      <c r="M6035">
        <v>1</v>
      </c>
    </row>
    <row r="6036" spans="1:13">
      <c r="A6036" t="s">
        <v>8955</v>
      </c>
      <c r="B6036" t="s">
        <v>8956</v>
      </c>
      <c r="C6036" s="34" t="s">
        <v>1438</v>
      </c>
      <c r="F6036" t="s">
        <v>1438</v>
      </c>
      <c r="G6036" t="s">
        <v>6932</v>
      </c>
      <c r="H6036">
        <v>5</v>
      </c>
      <c r="I6036">
        <f>VLOOKUP(B6036,BRAND!B:D,3,FALSE)</f>
        <v>5.5</v>
      </c>
      <c r="J6036">
        <v>4</v>
      </c>
      <c r="M6036">
        <v>1</v>
      </c>
    </row>
    <row r="6037" spans="1:13">
      <c r="A6037" t="s">
        <v>15301</v>
      </c>
      <c r="B6037" t="s">
        <v>15302</v>
      </c>
      <c r="C6037" s="34" t="s">
        <v>15302</v>
      </c>
      <c r="F6037" t="s">
        <v>15302</v>
      </c>
      <c r="G6037" t="s">
        <v>6932</v>
      </c>
      <c r="H6037">
        <v>5</v>
      </c>
      <c r="I6037">
        <f>VLOOKUP(B6037,BRAND!B:D,3,FALSE)</f>
        <v>5</v>
      </c>
      <c r="J6037">
        <v>0</v>
      </c>
      <c r="K6037" t="s">
        <v>821</v>
      </c>
      <c r="L6037">
        <v>0</v>
      </c>
      <c r="M6037">
        <v>0</v>
      </c>
    </row>
    <row r="6038" spans="1:13">
      <c r="A6038" t="s">
        <v>8957</v>
      </c>
      <c r="B6038" t="s">
        <v>8958</v>
      </c>
      <c r="C6038" s="34" t="s">
        <v>1438</v>
      </c>
      <c r="F6038" t="s">
        <v>1438</v>
      </c>
      <c r="G6038" t="s">
        <v>6932</v>
      </c>
      <c r="H6038">
        <v>5</v>
      </c>
      <c r="I6038">
        <f>VLOOKUP(B6038,BRAND!B:D,3,FALSE)</f>
        <v>5.5</v>
      </c>
      <c r="J6038">
        <v>4</v>
      </c>
      <c r="M6038">
        <v>1</v>
      </c>
    </row>
    <row r="6039" spans="1:13">
      <c r="A6039" t="s">
        <v>8959</v>
      </c>
      <c r="B6039" t="s">
        <v>8960</v>
      </c>
      <c r="C6039" s="34" t="s">
        <v>534</v>
      </c>
      <c r="F6039" t="s">
        <v>534</v>
      </c>
      <c r="G6039" t="s">
        <v>6932</v>
      </c>
      <c r="H6039">
        <v>5</v>
      </c>
      <c r="I6039">
        <f>VLOOKUP(B6039,BRAND!B:D,3,FALSE)</f>
        <v>5.5</v>
      </c>
      <c r="J6039">
        <v>6</v>
      </c>
      <c r="M6039">
        <v>1</v>
      </c>
    </row>
    <row r="6040" spans="1:13">
      <c r="A6040" t="s">
        <v>8961</v>
      </c>
      <c r="B6040" t="s">
        <v>8960</v>
      </c>
      <c r="C6040" s="34" t="s">
        <v>1438</v>
      </c>
      <c r="F6040" t="s">
        <v>1438</v>
      </c>
      <c r="G6040" t="s">
        <v>6932</v>
      </c>
      <c r="H6040">
        <v>5</v>
      </c>
      <c r="I6040">
        <f>VLOOKUP(B6040,BRAND!B:D,3,FALSE)</f>
        <v>5.5</v>
      </c>
      <c r="J6040">
        <v>4</v>
      </c>
      <c r="M6040">
        <v>1</v>
      </c>
    </row>
    <row r="6041" spans="1:13">
      <c r="A6041" t="s">
        <v>2115</v>
      </c>
      <c r="B6041" t="s">
        <v>432</v>
      </c>
      <c r="C6041" s="34" t="s">
        <v>1438</v>
      </c>
      <c r="F6041" t="s">
        <v>1438</v>
      </c>
      <c r="H6041">
        <v>15</v>
      </c>
      <c r="I6041">
        <f>VLOOKUP(B6041,BRAND!B:D,3,FALSE)</f>
        <v>3</v>
      </c>
      <c r="J6041">
        <v>4</v>
      </c>
      <c r="K6041" t="s">
        <v>821</v>
      </c>
      <c r="M6041">
        <v>1</v>
      </c>
    </row>
    <row r="6042" spans="1:13">
      <c r="A6042" t="s">
        <v>4147</v>
      </c>
      <c r="B6042" t="s">
        <v>1116</v>
      </c>
      <c r="C6042" s="34" t="s">
        <v>536</v>
      </c>
      <c r="F6042" t="s">
        <v>536</v>
      </c>
      <c r="H6042">
        <v>5</v>
      </c>
      <c r="I6042">
        <f>VLOOKUP(B6042,BRAND!B:D,3,FALSE)</f>
        <v>3</v>
      </c>
      <c r="J6042">
        <v>5</v>
      </c>
      <c r="K6042" t="s">
        <v>821</v>
      </c>
      <c r="M6042">
        <v>1</v>
      </c>
    </row>
    <row r="6043" spans="1:13">
      <c r="A6043" t="s">
        <v>2618</v>
      </c>
      <c r="B6043" t="s">
        <v>1116</v>
      </c>
      <c r="C6043" s="34" t="s">
        <v>1438</v>
      </c>
      <c r="F6043" t="s">
        <v>1438</v>
      </c>
      <c r="H6043">
        <v>15</v>
      </c>
      <c r="I6043">
        <f>VLOOKUP(B6043,BRAND!B:D,3,FALSE)</f>
        <v>3</v>
      </c>
      <c r="J6043">
        <v>4</v>
      </c>
      <c r="K6043" t="s">
        <v>821</v>
      </c>
      <c r="L6043">
        <v>0</v>
      </c>
      <c r="M6043">
        <v>0</v>
      </c>
    </row>
    <row r="6044" spans="1:13">
      <c r="A6044" t="s">
        <v>4377</v>
      </c>
      <c r="B6044" t="s">
        <v>512</v>
      </c>
      <c r="C6044" s="34" t="s">
        <v>536</v>
      </c>
      <c r="F6044" t="s">
        <v>536</v>
      </c>
      <c r="H6044">
        <v>5</v>
      </c>
      <c r="I6044">
        <f>VLOOKUP(B6044,BRAND!B:D,3,FALSE)</f>
        <v>3</v>
      </c>
      <c r="J6044">
        <v>5</v>
      </c>
      <c r="K6044" t="s">
        <v>821</v>
      </c>
      <c r="L6044">
        <v>0</v>
      </c>
      <c r="M6044">
        <v>0</v>
      </c>
    </row>
    <row r="6045" spans="1:13">
      <c r="A6045" t="s">
        <v>4939</v>
      </c>
      <c r="B6045" t="s">
        <v>512</v>
      </c>
      <c r="C6045" s="34" t="s">
        <v>1438</v>
      </c>
      <c r="F6045" t="s">
        <v>1438</v>
      </c>
      <c r="G6045" t="s">
        <v>801</v>
      </c>
      <c r="H6045">
        <v>6</v>
      </c>
      <c r="I6045">
        <f>VLOOKUP(B6045,BRAND!B:D,3,FALSE)</f>
        <v>3</v>
      </c>
      <c r="J6045">
        <v>4</v>
      </c>
      <c r="K6045" t="s">
        <v>821</v>
      </c>
      <c r="L6045">
        <v>0</v>
      </c>
      <c r="M6045">
        <v>0</v>
      </c>
    </row>
    <row r="6046" spans="1:13">
      <c r="A6046" t="s">
        <v>2119</v>
      </c>
      <c r="B6046" t="s">
        <v>512</v>
      </c>
      <c r="C6046" s="34" t="s">
        <v>1438</v>
      </c>
      <c r="F6046" t="s">
        <v>1438</v>
      </c>
      <c r="H6046">
        <v>15</v>
      </c>
      <c r="I6046">
        <f>VLOOKUP(B6046,BRAND!B:D,3,FALSE)</f>
        <v>3</v>
      </c>
      <c r="J6046">
        <v>4</v>
      </c>
      <c r="K6046" t="s">
        <v>821</v>
      </c>
      <c r="M6046">
        <v>1</v>
      </c>
    </row>
    <row r="6047" spans="1:13">
      <c r="A6047" t="s">
        <v>11625</v>
      </c>
      <c r="B6047" t="s">
        <v>10931</v>
      </c>
      <c r="C6047" s="34" t="s">
        <v>11093</v>
      </c>
      <c r="F6047" t="s">
        <v>11093</v>
      </c>
      <c r="G6047" t="s">
        <v>6932</v>
      </c>
      <c r="H6047">
        <v>5</v>
      </c>
    </row>
    <row r="6048" spans="1:13">
      <c r="A6048" t="s">
        <v>11626</v>
      </c>
      <c r="B6048" t="s">
        <v>10931</v>
      </c>
      <c r="C6048" s="34" t="s">
        <v>11094</v>
      </c>
      <c r="F6048" t="s">
        <v>11094</v>
      </c>
      <c r="G6048" t="s">
        <v>6932</v>
      </c>
      <c r="H6048">
        <v>5</v>
      </c>
    </row>
    <row r="6049" spans="1:13">
      <c r="A6049" t="s">
        <v>11627</v>
      </c>
      <c r="B6049" t="s">
        <v>10931</v>
      </c>
      <c r="C6049" s="34" t="s">
        <v>11095</v>
      </c>
      <c r="F6049" t="s">
        <v>11095</v>
      </c>
      <c r="G6049" t="s">
        <v>6932</v>
      </c>
      <c r="H6049">
        <v>5</v>
      </c>
    </row>
    <row r="6050" spans="1:13">
      <c r="A6050" t="s">
        <v>11628</v>
      </c>
      <c r="B6050" t="s">
        <v>10931</v>
      </c>
      <c r="C6050" s="34" t="s">
        <v>11096</v>
      </c>
      <c r="F6050" t="s">
        <v>11096</v>
      </c>
      <c r="G6050" t="s">
        <v>6932</v>
      </c>
      <c r="H6050">
        <v>5</v>
      </c>
    </row>
    <row r="6051" spans="1:13">
      <c r="A6051" t="s">
        <v>11629</v>
      </c>
      <c r="B6051" t="s">
        <v>10931</v>
      </c>
      <c r="C6051" s="34" t="s">
        <v>11097</v>
      </c>
      <c r="F6051" t="s">
        <v>11097</v>
      </c>
      <c r="G6051" t="s">
        <v>6932</v>
      </c>
      <c r="H6051">
        <v>5</v>
      </c>
    </row>
    <row r="6052" spans="1:13">
      <c r="A6052" t="s">
        <v>11630</v>
      </c>
      <c r="B6052" t="s">
        <v>10931</v>
      </c>
      <c r="C6052" s="34" t="s">
        <v>11098</v>
      </c>
      <c r="F6052" t="s">
        <v>11098</v>
      </c>
      <c r="G6052" t="s">
        <v>6932</v>
      </c>
      <c r="H6052">
        <v>5</v>
      </c>
    </row>
    <row r="6053" spans="1:13">
      <c r="A6053" t="s">
        <v>11631</v>
      </c>
      <c r="B6053" t="s">
        <v>10931</v>
      </c>
      <c r="C6053" s="34" t="s">
        <v>11099</v>
      </c>
      <c r="F6053" t="s">
        <v>11099</v>
      </c>
      <c r="G6053" t="s">
        <v>6932</v>
      </c>
      <c r="H6053">
        <v>5</v>
      </c>
    </row>
    <row r="6054" spans="1:13">
      <c r="A6054" t="s">
        <v>11632</v>
      </c>
      <c r="B6054" t="s">
        <v>10931</v>
      </c>
      <c r="C6054" s="34" t="s">
        <v>11000</v>
      </c>
      <c r="F6054" t="s">
        <v>11000</v>
      </c>
      <c r="G6054" t="s">
        <v>6932</v>
      </c>
      <c r="H6054">
        <v>5</v>
      </c>
    </row>
    <row r="6055" spans="1:13">
      <c r="A6055" t="s">
        <v>11633</v>
      </c>
      <c r="B6055" t="s">
        <v>10931</v>
      </c>
      <c r="C6055" s="34" t="s">
        <v>11100</v>
      </c>
      <c r="F6055" t="s">
        <v>11100</v>
      </c>
      <c r="G6055" t="s">
        <v>6932</v>
      </c>
      <c r="H6055">
        <v>5</v>
      </c>
    </row>
    <row r="6056" spans="1:13">
      <c r="A6056" t="s">
        <v>11634</v>
      </c>
      <c r="B6056" t="s">
        <v>10931</v>
      </c>
      <c r="C6056" s="34" t="s">
        <v>11101</v>
      </c>
      <c r="F6056" t="s">
        <v>11101</v>
      </c>
      <c r="G6056" t="s">
        <v>6932</v>
      </c>
      <c r="H6056">
        <v>5</v>
      </c>
    </row>
    <row r="6057" spans="1:13">
      <c r="A6057" t="s">
        <v>4867</v>
      </c>
      <c r="B6057" t="s">
        <v>131</v>
      </c>
      <c r="C6057" s="34" t="s">
        <v>750</v>
      </c>
      <c r="F6057" t="s">
        <v>750</v>
      </c>
      <c r="H6057">
        <v>5</v>
      </c>
      <c r="I6057">
        <f>VLOOKUP(B6057,BRAND!B:D,3,FALSE)</f>
        <v>3</v>
      </c>
      <c r="J6057">
        <v>6</v>
      </c>
      <c r="K6057" t="s">
        <v>822</v>
      </c>
      <c r="M6057">
        <v>1</v>
      </c>
    </row>
    <row r="6058" spans="1:13">
      <c r="A6058" t="s">
        <v>4474</v>
      </c>
      <c r="B6058" t="s">
        <v>131</v>
      </c>
      <c r="C6058" s="34" t="s">
        <v>775</v>
      </c>
      <c r="F6058" t="s">
        <v>775</v>
      </c>
      <c r="H6058">
        <v>5</v>
      </c>
      <c r="I6058">
        <f>VLOOKUP(B6058,BRAND!B:D,3,FALSE)</f>
        <v>3</v>
      </c>
      <c r="J6058">
        <v>3</v>
      </c>
      <c r="K6058" t="s">
        <v>822</v>
      </c>
      <c r="M6058">
        <v>1</v>
      </c>
    </row>
    <row r="6059" spans="1:13">
      <c r="A6059" t="s">
        <v>1595</v>
      </c>
      <c r="B6059" t="s">
        <v>131</v>
      </c>
      <c r="C6059" s="34" t="s">
        <v>1438</v>
      </c>
      <c r="F6059" t="s">
        <v>1438</v>
      </c>
      <c r="H6059">
        <v>15</v>
      </c>
      <c r="I6059">
        <f>VLOOKUP(B6059,BRAND!B:D,3,FALSE)</f>
        <v>3</v>
      </c>
      <c r="J6059">
        <v>4</v>
      </c>
      <c r="K6059" t="s">
        <v>822</v>
      </c>
      <c r="M6059">
        <v>1</v>
      </c>
    </row>
    <row r="6060" spans="1:13">
      <c r="A6060" t="s">
        <v>3250</v>
      </c>
      <c r="B6060" t="s">
        <v>564</v>
      </c>
      <c r="C6060" s="34" t="s">
        <v>1438</v>
      </c>
      <c r="F6060" t="s">
        <v>1438</v>
      </c>
      <c r="H6060">
        <v>15</v>
      </c>
      <c r="I6060">
        <f>VLOOKUP(B6060,BRAND!B:D,3,FALSE)</f>
        <v>3</v>
      </c>
      <c r="J6060">
        <v>4</v>
      </c>
      <c r="K6060" t="s">
        <v>821</v>
      </c>
      <c r="M6060">
        <v>1</v>
      </c>
    </row>
    <row r="6061" spans="1:13">
      <c r="A6061" t="s">
        <v>10846</v>
      </c>
      <c r="B6061" t="s">
        <v>6631</v>
      </c>
      <c r="C6061" s="34" t="s">
        <v>1438</v>
      </c>
      <c r="F6061" t="s">
        <v>1438</v>
      </c>
      <c r="G6061" t="s">
        <v>802</v>
      </c>
      <c r="H6061">
        <v>5</v>
      </c>
      <c r="I6061" t="e">
        <f>VLOOKUP(B6061,BRAND!B:D,3,FALSE)</f>
        <v>#N/A</v>
      </c>
      <c r="J6061">
        <v>4</v>
      </c>
      <c r="M6061">
        <v>1</v>
      </c>
    </row>
    <row r="6062" spans="1:13">
      <c r="A6062" t="s">
        <v>10846</v>
      </c>
      <c r="B6062" t="s">
        <v>6631</v>
      </c>
      <c r="C6062" s="34" t="s">
        <v>1438</v>
      </c>
      <c r="F6062" t="s">
        <v>1438</v>
      </c>
      <c r="G6062" t="s">
        <v>802</v>
      </c>
      <c r="H6062">
        <v>5</v>
      </c>
      <c r="I6062" t="e">
        <f>VLOOKUP(B6062,BRAND!B:D,3,FALSE)</f>
        <v>#N/A</v>
      </c>
      <c r="J6062">
        <v>4</v>
      </c>
      <c r="M6062">
        <v>1</v>
      </c>
    </row>
    <row r="6063" spans="1:13">
      <c r="A6063" t="s">
        <v>10847</v>
      </c>
      <c r="B6063" t="s">
        <v>6631</v>
      </c>
      <c r="C6063" s="34" t="s">
        <v>1438</v>
      </c>
      <c r="F6063" t="s">
        <v>1438</v>
      </c>
      <c r="H6063">
        <v>5</v>
      </c>
      <c r="I6063" t="e">
        <f>VLOOKUP(B6063,BRAND!B:D,3,FALSE)</f>
        <v>#N/A</v>
      </c>
      <c r="J6063">
        <v>4</v>
      </c>
      <c r="L6063">
        <v>1</v>
      </c>
      <c r="M6063">
        <v>1</v>
      </c>
    </row>
    <row r="6064" spans="1:13">
      <c r="A6064" t="s">
        <v>10848</v>
      </c>
      <c r="B6064" t="s">
        <v>6631</v>
      </c>
      <c r="C6064" s="34" t="s">
        <v>1438</v>
      </c>
      <c r="F6064" t="s">
        <v>1438</v>
      </c>
      <c r="G6064" t="s">
        <v>1996</v>
      </c>
      <c r="H6064">
        <v>5</v>
      </c>
      <c r="I6064" t="e">
        <f>VLOOKUP(B6064,BRAND!B:D,3,FALSE)</f>
        <v>#N/A</v>
      </c>
      <c r="J6064">
        <v>4</v>
      </c>
      <c r="L6064">
        <v>1</v>
      </c>
      <c r="M6064">
        <v>1</v>
      </c>
    </row>
    <row r="6065" spans="1:13">
      <c r="A6065" t="s">
        <v>10847</v>
      </c>
      <c r="B6065" t="s">
        <v>6631</v>
      </c>
      <c r="C6065" s="34" t="s">
        <v>1438</v>
      </c>
      <c r="F6065" t="s">
        <v>1438</v>
      </c>
      <c r="H6065">
        <v>5</v>
      </c>
      <c r="I6065" t="e">
        <f>VLOOKUP(B6065,BRAND!B:D,3,FALSE)</f>
        <v>#N/A</v>
      </c>
      <c r="J6065">
        <v>4</v>
      </c>
      <c r="L6065">
        <v>1</v>
      </c>
      <c r="M6065">
        <v>1</v>
      </c>
    </row>
    <row r="6066" spans="1:13">
      <c r="A6066" t="s">
        <v>10848</v>
      </c>
      <c r="B6066" t="s">
        <v>6631</v>
      </c>
      <c r="C6066" s="34" t="s">
        <v>1438</v>
      </c>
      <c r="F6066" t="s">
        <v>1438</v>
      </c>
      <c r="G6066" t="s">
        <v>1996</v>
      </c>
      <c r="H6066">
        <v>5</v>
      </c>
      <c r="I6066" t="e">
        <f>VLOOKUP(B6066,BRAND!B:D,3,FALSE)</f>
        <v>#N/A</v>
      </c>
      <c r="J6066">
        <v>4</v>
      </c>
      <c r="L6066">
        <v>1</v>
      </c>
      <c r="M6066">
        <v>1</v>
      </c>
    </row>
    <row r="6067" spans="1:13">
      <c r="A6067" t="s">
        <v>10849</v>
      </c>
      <c r="B6067" t="s">
        <v>6631</v>
      </c>
      <c r="C6067" s="34" t="s">
        <v>1438</v>
      </c>
      <c r="F6067" t="s">
        <v>1438</v>
      </c>
      <c r="G6067" t="s">
        <v>801</v>
      </c>
      <c r="H6067">
        <v>5</v>
      </c>
      <c r="I6067" t="e">
        <f>VLOOKUP(B6067,BRAND!B:D,3,FALSE)</f>
        <v>#N/A</v>
      </c>
      <c r="J6067">
        <v>4</v>
      </c>
      <c r="M6067">
        <v>1</v>
      </c>
    </row>
    <row r="6068" spans="1:13">
      <c r="A6068" t="s">
        <v>10849</v>
      </c>
      <c r="B6068" t="s">
        <v>6631</v>
      </c>
      <c r="C6068" s="34" t="s">
        <v>1438</v>
      </c>
      <c r="F6068" t="s">
        <v>1438</v>
      </c>
      <c r="G6068" t="s">
        <v>801</v>
      </c>
      <c r="H6068">
        <v>5</v>
      </c>
      <c r="I6068" t="e">
        <f>VLOOKUP(B6068,BRAND!B:D,3,FALSE)</f>
        <v>#N/A</v>
      </c>
      <c r="J6068">
        <v>4</v>
      </c>
      <c r="M6068">
        <v>1</v>
      </c>
    </row>
    <row r="6069" spans="1:13">
      <c r="A6069" t="s">
        <v>2246</v>
      </c>
      <c r="B6069" t="s">
        <v>1113</v>
      </c>
      <c r="C6069" s="34" t="s">
        <v>1438</v>
      </c>
      <c r="F6069" t="s">
        <v>1438</v>
      </c>
      <c r="H6069">
        <v>15</v>
      </c>
      <c r="I6069">
        <f>VLOOKUP(B6069,BRAND!B:D,3,FALSE)</f>
        <v>3</v>
      </c>
      <c r="J6069">
        <v>4</v>
      </c>
      <c r="K6069" t="s">
        <v>821</v>
      </c>
      <c r="L6069">
        <v>0</v>
      </c>
      <c r="M6069">
        <v>0</v>
      </c>
    </row>
    <row r="6070" spans="1:13">
      <c r="A6070" t="s">
        <v>9030</v>
      </c>
      <c r="B6070" t="s">
        <v>9031</v>
      </c>
      <c r="C6070" s="34" t="s">
        <v>1438</v>
      </c>
      <c r="F6070" t="s">
        <v>1438</v>
      </c>
      <c r="G6070" t="s">
        <v>6932</v>
      </c>
      <c r="H6070">
        <v>5</v>
      </c>
      <c r="I6070">
        <f>VLOOKUP(B6070,BRAND!B:D,3,FALSE)</f>
        <v>5.5</v>
      </c>
      <c r="J6070">
        <v>4</v>
      </c>
      <c r="L6070">
        <v>1</v>
      </c>
      <c r="M6070">
        <v>1</v>
      </c>
    </row>
    <row r="6071" spans="1:13">
      <c r="A6071" t="s">
        <v>2653</v>
      </c>
      <c r="B6071" t="s">
        <v>566</v>
      </c>
      <c r="C6071" s="34" t="s">
        <v>1438</v>
      </c>
      <c r="F6071" t="s">
        <v>1438</v>
      </c>
      <c r="H6071">
        <v>15</v>
      </c>
      <c r="I6071">
        <f>VLOOKUP(B6071,BRAND!B:D,3,FALSE)</f>
        <v>3</v>
      </c>
      <c r="J6071">
        <v>4</v>
      </c>
      <c r="K6071" t="s">
        <v>821</v>
      </c>
      <c r="L6071">
        <v>1</v>
      </c>
      <c r="M6071">
        <v>1</v>
      </c>
    </row>
    <row r="6072" spans="1:13">
      <c r="A6072" t="s">
        <v>12483</v>
      </c>
      <c r="B6072" t="s">
        <v>12023</v>
      </c>
      <c r="C6072" s="34" t="s">
        <v>746</v>
      </c>
      <c r="F6072" t="s">
        <v>746</v>
      </c>
      <c r="G6072" t="s">
        <v>6932</v>
      </c>
      <c r="H6072">
        <v>5</v>
      </c>
    </row>
    <row r="6073" spans="1:13">
      <c r="A6073" t="s">
        <v>4354</v>
      </c>
      <c r="B6073" t="s">
        <v>1183</v>
      </c>
      <c r="C6073" s="34" t="s">
        <v>799</v>
      </c>
      <c r="F6073" t="s">
        <v>799</v>
      </c>
      <c r="H6073">
        <v>5</v>
      </c>
      <c r="I6073">
        <f>VLOOKUP(B6073,BRAND!B:D,3,FALSE)</f>
        <v>3</v>
      </c>
      <c r="J6073">
        <v>5</v>
      </c>
      <c r="K6073" t="s">
        <v>821</v>
      </c>
      <c r="L6073">
        <v>0</v>
      </c>
      <c r="M6073">
        <v>0</v>
      </c>
    </row>
    <row r="6074" spans="1:13">
      <c r="A6074" t="s">
        <v>2712</v>
      </c>
      <c r="B6074" t="s">
        <v>1183</v>
      </c>
      <c r="C6074" s="34" t="s">
        <v>1438</v>
      </c>
      <c r="F6074" t="s">
        <v>1438</v>
      </c>
      <c r="H6074">
        <v>15</v>
      </c>
      <c r="I6074">
        <f>VLOOKUP(B6074,BRAND!B:D,3,FALSE)</f>
        <v>3</v>
      </c>
      <c r="J6074">
        <v>4</v>
      </c>
      <c r="K6074" t="s">
        <v>821</v>
      </c>
      <c r="L6074">
        <v>0</v>
      </c>
      <c r="M6074">
        <v>0</v>
      </c>
    </row>
    <row r="6075" spans="1:13">
      <c r="A6075" t="s">
        <v>7280</v>
      </c>
      <c r="B6075" t="s">
        <v>7281</v>
      </c>
      <c r="C6075" s="34" t="s">
        <v>1438</v>
      </c>
      <c r="F6075" t="s">
        <v>1438</v>
      </c>
      <c r="H6075">
        <v>5</v>
      </c>
      <c r="I6075">
        <f>VLOOKUP(B6075,BRAND!B:D,3,FALSE)</f>
        <v>5.5</v>
      </c>
      <c r="M6075">
        <v>1</v>
      </c>
    </row>
    <row r="6076" spans="1:13">
      <c r="A6076" t="s">
        <v>7163</v>
      </c>
      <c r="B6076" t="s">
        <v>7164</v>
      </c>
      <c r="C6076" s="34" t="s">
        <v>1438</v>
      </c>
      <c r="F6076" t="s">
        <v>1438</v>
      </c>
      <c r="H6076">
        <v>5</v>
      </c>
      <c r="I6076">
        <f>VLOOKUP(B6076,BRAND!B:D,3,FALSE)</f>
        <v>5.5</v>
      </c>
      <c r="M6076">
        <v>1</v>
      </c>
    </row>
    <row r="6077" spans="1:13">
      <c r="A6077" t="s">
        <v>2766</v>
      </c>
      <c r="B6077" t="s">
        <v>1180</v>
      </c>
      <c r="C6077" s="34" t="s">
        <v>1438</v>
      </c>
      <c r="F6077" t="s">
        <v>1438</v>
      </c>
      <c r="H6077">
        <v>15</v>
      </c>
      <c r="I6077">
        <f>VLOOKUP(B6077,BRAND!B:D,3,FALSE)</f>
        <v>3</v>
      </c>
      <c r="J6077">
        <v>4</v>
      </c>
      <c r="K6077" t="s">
        <v>821</v>
      </c>
      <c r="L6077">
        <v>0</v>
      </c>
      <c r="M6077">
        <v>0</v>
      </c>
    </row>
    <row r="6078" spans="1:13">
      <c r="A6078" t="s">
        <v>9784</v>
      </c>
      <c r="B6078" t="s">
        <v>6589</v>
      </c>
      <c r="C6078" s="34" t="s">
        <v>534</v>
      </c>
      <c r="F6078" t="s">
        <v>534</v>
      </c>
      <c r="H6078">
        <v>5</v>
      </c>
      <c r="I6078">
        <f>VLOOKUP(B6078,BRAND!B:D,3,FALSE)</f>
        <v>5</v>
      </c>
      <c r="J6078">
        <v>6</v>
      </c>
      <c r="M6078">
        <v>1</v>
      </c>
    </row>
    <row r="6079" spans="1:13">
      <c r="A6079" t="s">
        <v>10099</v>
      </c>
      <c r="B6079" t="s">
        <v>6589</v>
      </c>
      <c r="C6079" s="34" t="s">
        <v>1438</v>
      </c>
      <c r="F6079" t="s">
        <v>1438</v>
      </c>
      <c r="H6079">
        <v>5</v>
      </c>
      <c r="I6079">
        <f>VLOOKUP(B6079,BRAND!B:D,3,FALSE)</f>
        <v>5</v>
      </c>
      <c r="J6079">
        <v>4</v>
      </c>
      <c r="L6079">
        <v>0</v>
      </c>
      <c r="M6079">
        <v>0</v>
      </c>
    </row>
    <row r="6080" spans="1:13">
      <c r="A6080" t="s">
        <v>9783</v>
      </c>
      <c r="B6080" t="s">
        <v>6589</v>
      </c>
      <c r="C6080" s="34" t="s">
        <v>536</v>
      </c>
      <c r="G6080" t="s">
        <v>6932</v>
      </c>
      <c r="H6080">
        <v>5</v>
      </c>
      <c r="I6080">
        <f>VLOOKUP(B6080,BRAND!B:D,3,FALSE)</f>
        <v>5</v>
      </c>
      <c r="J6080">
        <f>LEN(F6080)</f>
        <v>0</v>
      </c>
      <c r="L6080">
        <v>0</v>
      </c>
      <c r="M6080">
        <v>0</v>
      </c>
    </row>
    <row r="6081" spans="1:13">
      <c r="A6081" t="s">
        <v>9783</v>
      </c>
      <c r="B6081" t="s">
        <v>6589</v>
      </c>
      <c r="C6081" s="34" t="s">
        <v>536</v>
      </c>
      <c r="G6081" t="s">
        <v>6932</v>
      </c>
      <c r="H6081">
        <v>5</v>
      </c>
      <c r="I6081">
        <f>VLOOKUP(B6081,BRAND!B:D,3,FALSE)</f>
        <v>5</v>
      </c>
      <c r="J6081">
        <v>0</v>
      </c>
      <c r="M6081">
        <v>1</v>
      </c>
    </row>
    <row r="6082" spans="1:13">
      <c r="A6082" t="s">
        <v>2748</v>
      </c>
      <c r="B6082" t="s">
        <v>1181</v>
      </c>
      <c r="C6082" s="34" t="s">
        <v>1438</v>
      </c>
      <c r="F6082" t="s">
        <v>1438</v>
      </c>
      <c r="H6082">
        <v>15</v>
      </c>
      <c r="I6082">
        <f>VLOOKUP(B6082,BRAND!B:D,3,FALSE)</f>
        <v>3</v>
      </c>
      <c r="J6082">
        <v>4</v>
      </c>
      <c r="K6082" t="s">
        <v>821</v>
      </c>
      <c r="L6082">
        <v>0</v>
      </c>
      <c r="M6082">
        <v>0</v>
      </c>
    </row>
    <row r="6083" spans="1:13">
      <c r="A6083" t="s">
        <v>2756</v>
      </c>
      <c r="B6083" t="s">
        <v>1182</v>
      </c>
      <c r="C6083" s="34" t="s">
        <v>1438</v>
      </c>
      <c r="F6083" t="s">
        <v>1438</v>
      </c>
      <c r="H6083">
        <v>15</v>
      </c>
      <c r="I6083">
        <f>VLOOKUP(B6083,BRAND!B:D,3,FALSE)</f>
        <v>3</v>
      </c>
      <c r="J6083">
        <v>4</v>
      </c>
      <c r="K6083" t="s">
        <v>821</v>
      </c>
      <c r="L6083">
        <v>0</v>
      </c>
      <c r="M6083">
        <v>0</v>
      </c>
    </row>
    <row r="6084" spans="1:13">
      <c r="A6084" t="s">
        <v>2963</v>
      </c>
      <c r="B6084" t="s">
        <v>565</v>
      </c>
      <c r="C6084" s="34" t="s">
        <v>1438</v>
      </c>
      <c r="F6084" t="s">
        <v>1438</v>
      </c>
      <c r="H6084">
        <v>15</v>
      </c>
      <c r="I6084">
        <f>VLOOKUP(B6084,BRAND!B:D,3,FALSE)</f>
        <v>3</v>
      </c>
      <c r="J6084">
        <v>4</v>
      </c>
      <c r="K6084" t="s">
        <v>821</v>
      </c>
      <c r="M6084">
        <v>1</v>
      </c>
    </row>
    <row r="6085" spans="1:13">
      <c r="A6085" t="s">
        <v>9032</v>
      </c>
      <c r="B6085" t="s">
        <v>9033</v>
      </c>
      <c r="C6085" s="34" t="s">
        <v>1438</v>
      </c>
      <c r="F6085" t="s">
        <v>1438</v>
      </c>
      <c r="G6085" t="s">
        <v>6932</v>
      </c>
      <c r="H6085">
        <v>5</v>
      </c>
      <c r="I6085">
        <f>VLOOKUP(B6085,BRAND!B:D,3,FALSE)</f>
        <v>5.5</v>
      </c>
      <c r="J6085">
        <v>4</v>
      </c>
      <c r="L6085">
        <v>0</v>
      </c>
      <c r="M6085">
        <v>0</v>
      </c>
    </row>
    <row r="6086" spans="1:13">
      <c r="A6086" t="s">
        <v>1659</v>
      </c>
      <c r="B6086" t="s">
        <v>233</v>
      </c>
      <c r="C6086" s="34" t="s">
        <v>799</v>
      </c>
      <c r="F6086" t="s">
        <v>799</v>
      </c>
      <c r="H6086">
        <v>5</v>
      </c>
      <c r="I6086">
        <f>VLOOKUP(B6086,BRAND!B:D,3,FALSE)</f>
        <v>3</v>
      </c>
      <c r="J6086">
        <v>5</v>
      </c>
      <c r="K6086" t="s">
        <v>821</v>
      </c>
      <c r="M6086">
        <v>1</v>
      </c>
    </row>
    <row r="6087" spans="1:13">
      <c r="A6087" t="s">
        <v>4757</v>
      </c>
      <c r="B6087" t="s">
        <v>233</v>
      </c>
      <c r="C6087" s="34" t="s">
        <v>1513</v>
      </c>
      <c r="F6087" t="s">
        <v>1513</v>
      </c>
      <c r="H6087">
        <v>5</v>
      </c>
      <c r="I6087">
        <f>VLOOKUP(B6087,BRAND!B:D,3,FALSE)</f>
        <v>3</v>
      </c>
      <c r="J6087">
        <v>5</v>
      </c>
      <c r="K6087" t="s">
        <v>821</v>
      </c>
      <c r="M6087">
        <v>1</v>
      </c>
    </row>
    <row r="6088" spans="1:13">
      <c r="A6088" t="s">
        <v>1723</v>
      </c>
      <c r="B6088" t="s">
        <v>233</v>
      </c>
      <c r="C6088" s="34" t="s">
        <v>1438</v>
      </c>
      <c r="F6088" t="s">
        <v>1438</v>
      </c>
      <c r="H6088">
        <v>15</v>
      </c>
      <c r="I6088">
        <f>VLOOKUP(B6088,BRAND!B:D,3,FALSE)</f>
        <v>3</v>
      </c>
      <c r="J6088">
        <v>4</v>
      </c>
      <c r="K6088" t="s">
        <v>821</v>
      </c>
      <c r="M6088">
        <v>1</v>
      </c>
    </row>
    <row r="6089" spans="1:13">
      <c r="A6089" t="s">
        <v>10545</v>
      </c>
      <c r="B6089" t="s">
        <v>10335</v>
      </c>
      <c r="C6089" s="34" t="s">
        <v>1438</v>
      </c>
      <c r="F6089" t="s">
        <v>1438</v>
      </c>
      <c r="G6089" t="s">
        <v>6932</v>
      </c>
      <c r="H6089">
        <v>5</v>
      </c>
      <c r="I6089" t="e">
        <f>VLOOKUP(B6089,BRAND!B:D,3,FALSE)</f>
        <v>#N/A</v>
      </c>
      <c r="J6089">
        <f>LEN(F6089)</f>
        <v>4</v>
      </c>
      <c r="L6089">
        <v>0</v>
      </c>
    </row>
    <row r="6090" spans="1:13">
      <c r="A6090" t="s">
        <v>3963</v>
      </c>
      <c r="B6090" t="s">
        <v>836</v>
      </c>
      <c r="C6090" s="34" t="s">
        <v>534</v>
      </c>
      <c r="F6090" t="s">
        <v>534</v>
      </c>
      <c r="H6090">
        <v>5</v>
      </c>
      <c r="I6090">
        <f>VLOOKUP(B6090,BRAND!B:D,3,FALSE)</f>
        <v>3</v>
      </c>
      <c r="J6090">
        <v>6</v>
      </c>
      <c r="K6090" t="s">
        <v>821</v>
      </c>
      <c r="L6090">
        <v>0</v>
      </c>
      <c r="M6090">
        <v>0</v>
      </c>
    </row>
    <row r="6091" spans="1:13">
      <c r="A6091" t="s">
        <v>9036</v>
      </c>
      <c r="B6091" t="s">
        <v>9037</v>
      </c>
      <c r="C6091" s="34" t="s">
        <v>1438</v>
      </c>
      <c r="F6091" t="s">
        <v>1438</v>
      </c>
      <c r="G6091" t="s">
        <v>6932</v>
      </c>
      <c r="H6091">
        <v>5</v>
      </c>
      <c r="I6091">
        <f>VLOOKUP(B6091,BRAND!B:D,3,FALSE)</f>
        <v>5.5</v>
      </c>
      <c r="J6091">
        <v>4</v>
      </c>
      <c r="M6091">
        <v>1</v>
      </c>
    </row>
    <row r="6092" spans="1:13">
      <c r="A6092" t="s">
        <v>4808</v>
      </c>
      <c r="B6092" t="s">
        <v>1317</v>
      </c>
      <c r="C6092" s="34" t="s">
        <v>1991</v>
      </c>
      <c r="F6092" t="s">
        <v>1991</v>
      </c>
      <c r="H6092">
        <v>5</v>
      </c>
      <c r="I6092">
        <f>VLOOKUP(B6092,BRAND!B:D,3,FALSE)</f>
        <v>3</v>
      </c>
      <c r="J6092">
        <v>4</v>
      </c>
      <c r="K6092" t="s">
        <v>821</v>
      </c>
      <c r="L6092">
        <v>0</v>
      </c>
      <c r="M6092">
        <v>0</v>
      </c>
    </row>
    <row r="6093" spans="1:13">
      <c r="A6093" t="s">
        <v>2877</v>
      </c>
      <c r="B6093" t="s">
        <v>1317</v>
      </c>
      <c r="C6093" s="34" t="s">
        <v>773</v>
      </c>
      <c r="F6093" t="s">
        <v>773</v>
      </c>
      <c r="H6093">
        <v>5</v>
      </c>
      <c r="I6093">
        <f>VLOOKUP(B6093,BRAND!B:D,3,FALSE)</f>
        <v>3</v>
      </c>
      <c r="J6093">
        <v>4</v>
      </c>
      <c r="K6093" t="s">
        <v>821</v>
      </c>
      <c r="L6093">
        <v>0</v>
      </c>
      <c r="M6093">
        <v>0</v>
      </c>
    </row>
    <row r="6094" spans="1:13">
      <c r="A6094" t="s">
        <v>3131</v>
      </c>
      <c r="B6094" t="s">
        <v>1317</v>
      </c>
      <c r="C6094" s="34" t="s">
        <v>1438</v>
      </c>
      <c r="F6094" t="s">
        <v>1438</v>
      </c>
      <c r="H6094">
        <v>15</v>
      </c>
      <c r="I6094">
        <f>VLOOKUP(B6094,BRAND!B:D,3,FALSE)</f>
        <v>3</v>
      </c>
      <c r="J6094">
        <v>4</v>
      </c>
      <c r="K6094" t="s">
        <v>821</v>
      </c>
      <c r="L6094">
        <v>0</v>
      </c>
      <c r="M6094">
        <v>0</v>
      </c>
    </row>
    <row r="6095" spans="1:13">
      <c r="A6095" t="s">
        <v>9038</v>
      </c>
      <c r="B6095" t="s">
        <v>9039</v>
      </c>
      <c r="C6095" s="34" t="s">
        <v>1438</v>
      </c>
      <c r="F6095" t="s">
        <v>1438</v>
      </c>
      <c r="G6095" t="s">
        <v>6932</v>
      </c>
      <c r="H6095">
        <v>5</v>
      </c>
      <c r="I6095">
        <f>VLOOKUP(B6095,BRAND!B:D,3,FALSE)</f>
        <v>5.5</v>
      </c>
      <c r="J6095">
        <v>4</v>
      </c>
      <c r="M6095">
        <v>1</v>
      </c>
    </row>
    <row r="6096" spans="1:13">
      <c r="A6096" t="s">
        <v>9040</v>
      </c>
      <c r="B6096" t="s">
        <v>9041</v>
      </c>
      <c r="C6096" s="34" t="s">
        <v>1438</v>
      </c>
      <c r="F6096" t="s">
        <v>1438</v>
      </c>
      <c r="G6096" t="s">
        <v>801</v>
      </c>
      <c r="H6096">
        <v>5</v>
      </c>
      <c r="I6096">
        <f>VLOOKUP(B6096,BRAND!B:D,3,FALSE)</f>
        <v>5.5</v>
      </c>
      <c r="J6096">
        <v>4</v>
      </c>
      <c r="M6096">
        <v>1</v>
      </c>
    </row>
    <row r="6097" spans="1:13">
      <c r="A6097" t="s">
        <v>15305</v>
      </c>
      <c r="B6097" t="s">
        <v>15306</v>
      </c>
      <c r="C6097" s="34" t="s">
        <v>15307</v>
      </c>
      <c r="F6097" t="s">
        <v>15308</v>
      </c>
      <c r="G6097" t="s">
        <v>6932</v>
      </c>
      <c r="H6097">
        <v>5</v>
      </c>
      <c r="I6097">
        <f>VLOOKUP(B6097,BRAND!B:D,3,FALSE)</f>
        <v>5</v>
      </c>
      <c r="J6097">
        <v>0</v>
      </c>
      <c r="K6097" t="s">
        <v>821</v>
      </c>
      <c r="L6097">
        <v>0</v>
      </c>
      <c r="M6097">
        <v>0</v>
      </c>
    </row>
    <row r="6098" spans="1:13">
      <c r="A6098" t="s">
        <v>15309</v>
      </c>
      <c r="B6098" t="s">
        <v>15306</v>
      </c>
      <c r="C6098" s="34" t="s">
        <v>15310</v>
      </c>
      <c r="F6098" t="s">
        <v>15311</v>
      </c>
      <c r="G6098" t="s">
        <v>6932</v>
      </c>
      <c r="H6098">
        <v>5</v>
      </c>
      <c r="I6098">
        <f>VLOOKUP(B6098,BRAND!B:D,3,FALSE)</f>
        <v>5</v>
      </c>
      <c r="J6098">
        <v>0</v>
      </c>
      <c r="K6098" t="s">
        <v>821</v>
      </c>
      <c r="L6098">
        <v>0</v>
      </c>
      <c r="M6098">
        <v>0</v>
      </c>
    </row>
    <row r="6099" spans="1:13">
      <c r="A6099" t="s">
        <v>15312</v>
      </c>
      <c r="B6099" t="s">
        <v>15306</v>
      </c>
      <c r="C6099" s="34" t="s">
        <v>15313</v>
      </c>
      <c r="F6099" t="s">
        <v>15314</v>
      </c>
      <c r="G6099" t="s">
        <v>6932</v>
      </c>
      <c r="H6099">
        <v>5</v>
      </c>
      <c r="I6099">
        <f>VLOOKUP(B6099,BRAND!B:D,3,FALSE)</f>
        <v>5</v>
      </c>
      <c r="J6099">
        <v>0</v>
      </c>
      <c r="K6099" t="s">
        <v>821</v>
      </c>
      <c r="L6099">
        <v>0</v>
      </c>
      <c r="M6099">
        <v>0</v>
      </c>
    </row>
    <row r="6100" spans="1:13">
      <c r="A6100" t="s">
        <v>15315</v>
      </c>
      <c r="B6100" t="s">
        <v>15306</v>
      </c>
      <c r="C6100" s="34" t="s">
        <v>15316</v>
      </c>
      <c r="F6100" t="s">
        <v>15317</v>
      </c>
      <c r="G6100" t="s">
        <v>6932</v>
      </c>
      <c r="H6100">
        <v>5</v>
      </c>
      <c r="I6100">
        <f>VLOOKUP(B6100,BRAND!B:D,3,FALSE)</f>
        <v>5</v>
      </c>
      <c r="J6100">
        <v>0</v>
      </c>
      <c r="K6100" t="s">
        <v>821</v>
      </c>
      <c r="L6100">
        <v>0</v>
      </c>
      <c r="M6100">
        <v>0</v>
      </c>
    </row>
    <row r="6101" spans="1:13">
      <c r="A6101" t="s">
        <v>15318</v>
      </c>
      <c r="B6101" t="s">
        <v>15306</v>
      </c>
      <c r="C6101" s="34" t="s">
        <v>15319</v>
      </c>
      <c r="F6101" t="s">
        <v>15319</v>
      </c>
      <c r="G6101" t="s">
        <v>6932</v>
      </c>
      <c r="H6101">
        <v>5</v>
      </c>
      <c r="I6101">
        <f>VLOOKUP(B6101,BRAND!B:D,3,FALSE)</f>
        <v>5</v>
      </c>
      <c r="J6101">
        <v>0</v>
      </c>
      <c r="K6101" t="s">
        <v>821</v>
      </c>
      <c r="L6101">
        <v>0</v>
      </c>
      <c r="M6101">
        <v>0</v>
      </c>
    </row>
    <row r="6102" spans="1:13">
      <c r="A6102" t="s">
        <v>15320</v>
      </c>
      <c r="B6102" t="s">
        <v>15306</v>
      </c>
      <c r="C6102" s="34" t="s">
        <v>15321</v>
      </c>
      <c r="F6102" t="s">
        <v>15321</v>
      </c>
      <c r="G6102" t="s">
        <v>6932</v>
      </c>
      <c r="H6102">
        <v>5</v>
      </c>
      <c r="I6102">
        <f>VLOOKUP(B6102,BRAND!B:D,3,FALSE)</f>
        <v>5</v>
      </c>
      <c r="J6102">
        <v>0</v>
      </c>
      <c r="K6102" t="s">
        <v>821</v>
      </c>
      <c r="L6102">
        <v>0</v>
      </c>
      <c r="M6102">
        <v>0</v>
      </c>
    </row>
    <row r="6103" spans="1:13">
      <c r="A6103" t="s">
        <v>15322</v>
      </c>
      <c r="B6103" t="s">
        <v>15306</v>
      </c>
      <c r="C6103" s="34" t="s">
        <v>15323</v>
      </c>
      <c r="F6103" t="s">
        <v>15324</v>
      </c>
      <c r="G6103" t="s">
        <v>6932</v>
      </c>
      <c r="H6103">
        <v>5</v>
      </c>
      <c r="I6103">
        <f>VLOOKUP(B6103,BRAND!B:D,3,FALSE)</f>
        <v>5</v>
      </c>
      <c r="J6103">
        <v>0</v>
      </c>
      <c r="K6103" t="s">
        <v>821</v>
      </c>
      <c r="L6103">
        <v>0</v>
      </c>
      <c r="M6103">
        <v>0</v>
      </c>
    </row>
    <row r="6104" spans="1:13">
      <c r="A6104" t="s">
        <v>15325</v>
      </c>
      <c r="B6104" t="s">
        <v>15306</v>
      </c>
      <c r="C6104" s="34" t="s">
        <v>15326</v>
      </c>
      <c r="F6104" t="s">
        <v>15326</v>
      </c>
      <c r="G6104" t="s">
        <v>6932</v>
      </c>
      <c r="H6104">
        <v>5</v>
      </c>
      <c r="I6104">
        <f>VLOOKUP(B6104,BRAND!B:D,3,FALSE)</f>
        <v>5</v>
      </c>
      <c r="J6104">
        <v>0</v>
      </c>
      <c r="K6104" t="s">
        <v>821</v>
      </c>
      <c r="L6104">
        <v>0</v>
      </c>
      <c r="M6104">
        <v>0</v>
      </c>
    </row>
    <row r="6105" spans="1:13">
      <c r="A6105" t="s">
        <v>15327</v>
      </c>
      <c r="B6105" t="s">
        <v>15306</v>
      </c>
      <c r="C6105" s="34" t="s">
        <v>561</v>
      </c>
      <c r="F6105" t="s">
        <v>15328</v>
      </c>
      <c r="G6105" t="s">
        <v>6932</v>
      </c>
      <c r="H6105">
        <v>5</v>
      </c>
      <c r="I6105">
        <f>VLOOKUP(B6105,BRAND!B:D,3,FALSE)</f>
        <v>5</v>
      </c>
      <c r="J6105">
        <v>0</v>
      </c>
      <c r="K6105" t="s">
        <v>821</v>
      </c>
      <c r="L6105">
        <v>0</v>
      </c>
      <c r="M6105">
        <v>0</v>
      </c>
    </row>
    <row r="6106" spans="1:13">
      <c r="A6106" t="s">
        <v>15329</v>
      </c>
      <c r="B6106" t="s">
        <v>15306</v>
      </c>
      <c r="C6106" s="34" t="s">
        <v>15330</v>
      </c>
      <c r="F6106" t="s">
        <v>15331</v>
      </c>
      <c r="G6106" t="s">
        <v>6932</v>
      </c>
      <c r="H6106">
        <v>5</v>
      </c>
      <c r="I6106">
        <f>VLOOKUP(B6106,BRAND!B:D,3,FALSE)</f>
        <v>5</v>
      </c>
      <c r="J6106">
        <v>0</v>
      </c>
      <c r="K6106" t="s">
        <v>821</v>
      </c>
      <c r="L6106">
        <v>0</v>
      </c>
      <c r="M6106">
        <v>0</v>
      </c>
    </row>
    <row r="6107" spans="1:13">
      <c r="A6107" t="s">
        <v>15332</v>
      </c>
      <c r="B6107" t="s">
        <v>15306</v>
      </c>
      <c r="C6107" s="34" t="s">
        <v>13527</v>
      </c>
      <c r="F6107" t="s">
        <v>15333</v>
      </c>
      <c r="G6107" t="s">
        <v>6932</v>
      </c>
      <c r="H6107">
        <v>5</v>
      </c>
      <c r="I6107">
        <f>VLOOKUP(B6107,BRAND!B:D,3,FALSE)</f>
        <v>5</v>
      </c>
      <c r="J6107">
        <v>0</v>
      </c>
      <c r="K6107" t="s">
        <v>821</v>
      </c>
      <c r="L6107">
        <v>0</v>
      </c>
      <c r="M6107">
        <v>0</v>
      </c>
    </row>
    <row r="6108" spans="1:13">
      <c r="A6108" t="s">
        <v>15334</v>
      </c>
      <c r="B6108" t="s">
        <v>15306</v>
      </c>
      <c r="C6108" s="34" t="s">
        <v>819</v>
      </c>
      <c r="F6108" t="s">
        <v>15335</v>
      </c>
      <c r="G6108" t="s">
        <v>6932</v>
      </c>
      <c r="H6108">
        <v>5</v>
      </c>
      <c r="I6108">
        <f>VLOOKUP(B6108,BRAND!B:D,3,FALSE)</f>
        <v>5</v>
      </c>
      <c r="J6108">
        <v>0</v>
      </c>
      <c r="K6108" t="s">
        <v>821</v>
      </c>
      <c r="L6108">
        <v>0</v>
      </c>
      <c r="M6108">
        <v>0</v>
      </c>
    </row>
    <row r="6109" spans="1:13">
      <c r="A6109" t="s">
        <v>15336</v>
      </c>
      <c r="B6109" t="s">
        <v>15306</v>
      </c>
      <c r="C6109" s="34" t="s">
        <v>15337</v>
      </c>
      <c r="F6109" t="s">
        <v>15338</v>
      </c>
      <c r="G6109" t="s">
        <v>6932</v>
      </c>
      <c r="H6109">
        <v>5</v>
      </c>
      <c r="I6109">
        <f>VLOOKUP(B6109,BRAND!B:D,3,FALSE)</f>
        <v>5</v>
      </c>
      <c r="J6109">
        <v>0</v>
      </c>
      <c r="K6109" t="s">
        <v>821</v>
      </c>
      <c r="L6109">
        <v>0</v>
      </c>
      <c r="M6109">
        <v>0</v>
      </c>
    </row>
    <row r="6110" spans="1:13">
      <c r="A6110" t="s">
        <v>15339</v>
      </c>
      <c r="B6110" t="s">
        <v>15306</v>
      </c>
      <c r="C6110" s="34" t="s">
        <v>15340</v>
      </c>
      <c r="F6110" t="s">
        <v>15340</v>
      </c>
      <c r="G6110" t="s">
        <v>6932</v>
      </c>
      <c r="H6110">
        <v>5</v>
      </c>
      <c r="I6110">
        <f>VLOOKUP(B6110,BRAND!B:D,3,FALSE)</f>
        <v>5</v>
      </c>
      <c r="J6110">
        <v>0</v>
      </c>
      <c r="K6110" t="s">
        <v>821</v>
      </c>
      <c r="L6110">
        <v>0</v>
      </c>
      <c r="M6110">
        <v>0</v>
      </c>
    </row>
    <row r="6111" spans="1:13">
      <c r="A6111" t="s">
        <v>15341</v>
      </c>
      <c r="B6111" t="s">
        <v>15306</v>
      </c>
      <c r="C6111" s="34" t="s">
        <v>15342</v>
      </c>
      <c r="F6111" t="s">
        <v>15342</v>
      </c>
      <c r="G6111" t="s">
        <v>6932</v>
      </c>
      <c r="H6111">
        <v>5</v>
      </c>
      <c r="I6111">
        <f>VLOOKUP(B6111,BRAND!B:D,3,FALSE)</f>
        <v>5</v>
      </c>
      <c r="J6111">
        <v>0</v>
      </c>
      <c r="K6111" t="s">
        <v>821</v>
      </c>
      <c r="L6111">
        <v>0</v>
      </c>
      <c r="M6111">
        <v>0</v>
      </c>
    </row>
    <row r="6112" spans="1:13">
      <c r="A6112" t="s">
        <v>15343</v>
      </c>
      <c r="B6112" t="s">
        <v>15306</v>
      </c>
      <c r="C6112" s="34" t="s">
        <v>8070</v>
      </c>
      <c r="F6112" t="s">
        <v>8070</v>
      </c>
      <c r="G6112" t="s">
        <v>6932</v>
      </c>
      <c r="H6112">
        <v>5</v>
      </c>
      <c r="I6112">
        <f>VLOOKUP(B6112,BRAND!B:D,3,FALSE)</f>
        <v>5</v>
      </c>
      <c r="J6112">
        <v>0</v>
      </c>
      <c r="K6112" t="s">
        <v>821</v>
      </c>
      <c r="L6112">
        <v>0</v>
      </c>
      <c r="M6112">
        <v>0</v>
      </c>
    </row>
    <row r="6113" spans="1:13">
      <c r="A6113" t="s">
        <v>15344</v>
      </c>
      <c r="B6113" t="s">
        <v>15306</v>
      </c>
      <c r="C6113" s="34" t="s">
        <v>776</v>
      </c>
      <c r="F6113" t="s">
        <v>776</v>
      </c>
      <c r="G6113" t="s">
        <v>6932</v>
      </c>
      <c r="H6113">
        <v>5</v>
      </c>
      <c r="I6113">
        <f>VLOOKUP(B6113,BRAND!B:D,3,FALSE)</f>
        <v>5</v>
      </c>
      <c r="J6113">
        <v>0</v>
      </c>
      <c r="K6113" t="s">
        <v>821</v>
      </c>
      <c r="L6113">
        <v>0</v>
      </c>
      <c r="M6113">
        <v>0</v>
      </c>
    </row>
    <row r="6114" spans="1:13">
      <c r="A6114" t="s">
        <v>15345</v>
      </c>
      <c r="B6114" t="s">
        <v>15306</v>
      </c>
      <c r="C6114" s="34" t="s">
        <v>534</v>
      </c>
      <c r="F6114" t="s">
        <v>534</v>
      </c>
      <c r="G6114" t="s">
        <v>6932</v>
      </c>
      <c r="H6114">
        <v>5</v>
      </c>
      <c r="I6114">
        <f>VLOOKUP(B6114,BRAND!B:D,3,FALSE)</f>
        <v>5</v>
      </c>
      <c r="J6114">
        <v>0</v>
      </c>
      <c r="K6114" t="s">
        <v>821</v>
      </c>
      <c r="L6114">
        <v>0</v>
      </c>
      <c r="M6114">
        <v>0</v>
      </c>
    </row>
    <row r="6115" spans="1:13">
      <c r="A6115" t="s">
        <v>15346</v>
      </c>
      <c r="B6115" t="s">
        <v>15306</v>
      </c>
      <c r="C6115" s="34" t="s">
        <v>536</v>
      </c>
      <c r="F6115" t="s">
        <v>536</v>
      </c>
      <c r="G6115" t="s">
        <v>6932</v>
      </c>
      <c r="H6115">
        <v>5</v>
      </c>
      <c r="I6115">
        <f>VLOOKUP(B6115,BRAND!B:D,3,FALSE)</f>
        <v>5</v>
      </c>
      <c r="J6115">
        <v>0</v>
      </c>
      <c r="K6115" t="s">
        <v>821</v>
      </c>
      <c r="L6115">
        <v>0</v>
      </c>
      <c r="M6115">
        <v>0</v>
      </c>
    </row>
    <row r="6116" spans="1:13">
      <c r="A6116" t="s">
        <v>15347</v>
      </c>
      <c r="B6116" t="s">
        <v>15306</v>
      </c>
      <c r="C6116" s="34" t="s">
        <v>15348</v>
      </c>
      <c r="F6116" t="s">
        <v>15349</v>
      </c>
      <c r="G6116" t="s">
        <v>6932</v>
      </c>
      <c r="H6116">
        <v>5</v>
      </c>
      <c r="I6116">
        <f>VLOOKUP(B6116,BRAND!B:D,3,FALSE)</f>
        <v>5</v>
      </c>
      <c r="J6116">
        <v>0</v>
      </c>
      <c r="K6116" t="s">
        <v>821</v>
      </c>
      <c r="L6116">
        <v>0</v>
      </c>
      <c r="M6116">
        <v>0</v>
      </c>
    </row>
    <row r="6117" spans="1:13">
      <c r="A6117" t="s">
        <v>15350</v>
      </c>
      <c r="B6117" t="s">
        <v>15306</v>
      </c>
      <c r="C6117" s="34" t="s">
        <v>15351</v>
      </c>
      <c r="F6117" t="s">
        <v>15351</v>
      </c>
      <c r="G6117" t="s">
        <v>6932</v>
      </c>
      <c r="H6117">
        <v>5</v>
      </c>
      <c r="I6117">
        <f>VLOOKUP(B6117,BRAND!B:D,3,FALSE)</f>
        <v>5</v>
      </c>
      <c r="J6117">
        <v>0</v>
      </c>
      <c r="K6117" t="s">
        <v>821</v>
      </c>
      <c r="L6117">
        <v>0</v>
      </c>
      <c r="M6117">
        <v>0</v>
      </c>
    </row>
    <row r="6118" spans="1:13">
      <c r="A6118" t="s">
        <v>2811</v>
      </c>
      <c r="B6118" t="s">
        <v>1184</v>
      </c>
      <c r="C6118" s="34" t="s">
        <v>1438</v>
      </c>
      <c r="F6118" t="s">
        <v>1438</v>
      </c>
      <c r="H6118">
        <v>15</v>
      </c>
      <c r="I6118">
        <f>VLOOKUP(B6118,BRAND!B:D,3,FALSE)</f>
        <v>3</v>
      </c>
      <c r="J6118">
        <v>4</v>
      </c>
      <c r="K6118" t="s">
        <v>821</v>
      </c>
      <c r="L6118">
        <v>0</v>
      </c>
      <c r="M6118">
        <v>0</v>
      </c>
    </row>
    <row r="6119" spans="1:13">
      <c r="A6119" t="s">
        <v>7075</v>
      </c>
      <c r="B6119" t="s">
        <v>1318</v>
      </c>
      <c r="C6119" s="34" t="s">
        <v>6492</v>
      </c>
      <c r="F6119" t="s">
        <v>6924</v>
      </c>
      <c r="H6119">
        <v>5</v>
      </c>
      <c r="I6119">
        <f>VLOOKUP(B6119,BRAND!B:D,3,FALSE)</f>
        <v>3</v>
      </c>
      <c r="J6119">
        <v>7</v>
      </c>
      <c r="M6119">
        <v>1</v>
      </c>
    </row>
    <row r="6120" spans="1:13">
      <c r="A6120" t="s">
        <v>3180</v>
      </c>
      <c r="B6120" t="s">
        <v>1318</v>
      </c>
      <c r="C6120" s="34" t="s">
        <v>1438</v>
      </c>
      <c r="F6120" t="s">
        <v>1438</v>
      </c>
      <c r="H6120">
        <v>15</v>
      </c>
      <c r="I6120">
        <f>VLOOKUP(B6120,BRAND!B:D,3,FALSE)</f>
        <v>3</v>
      </c>
      <c r="J6120">
        <v>4</v>
      </c>
      <c r="K6120" t="s">
        <v>821</v>
      </c>
      <c r="L6120">
        <v>0</v>
      </c>
      <c r="M6120">
        <v>0</v>
      </c>
    </row>
    <row r="6121" spans="1:13">
      <c r="A6121" t="s">
        <v>9042</v>
      </c>
      <c r="B6121" t="s">
        <v>132</v>
      </c>
      <c r="C6121" s="34" t="s">
        <v>1438</v>
      </c>
      <c r="F6121" t="s">
        <v>1438</v>
      </c>
      <c r="G6121" t="s">
        <v>6932</v>
      </c>
      <c r="H6121">
        <v>5</v>
      </c>
      <c r="I6121">
        <f>VLOOKUP(B6121,BRAND!B:D,3,FALSE)</f>
        <v>3</v>
      </c>
      <c r="J6121">
        <v>4</v>
      </c>
      <c r="L6121">
        <v>0</v>
      </c>
      <c r="M6121">
        <v>0</v>
      </c>
    </row>
    <row r="6122" spans="1:13">
      <c r="A6122" t="s">
        <v>2707</v>
      </c>
      <c r="B6122" t="s">
        <v>132</v>
      </c>
      <c r="C6122" s="34" t="s">
        <v>1438</v>
      </c>
      <c r="F6122" t="s">
        <v>1438</v>
      </c>
      <c r="H6122">
        <v>15</v>
      </c>
      <c r="I6122">
        <f>VLOOKUP(B6122,BRAND!B:D,3,FALSE)</f>
        <v>3</v>
      </c>
      <c r="J6122">
        <v>4</v>
      </c>
      <c r="K6122" t="s">
        <v>821</v>
      </c>
      <c r="M6122">
        <v>1</v>
      </c>
    </row>
    <row r="6123" spans="1:13">
      <c r="A6123" t="s">
        <v>3708</v>
      </c>
      <c r="B6123" t="s">
        <v>567</v>
      </c>
      <c r="C6123" s="34" t="s">
        <v>534</v>
      </c>
      <c r="F6123" t="s">
        <v>534</v>
      </c>
      <c r="H6123">
        <v>5</v>
      </c>
      <c r="I6123">
        <f>VLOOKUP(B6123,BRAND!B:D,3,FALSE)</f>
        <v>3</v>
      </c>
      <c r="J6123">
        <v>6</v>
      </c>
      <c r="K6123" t="s">
        <v>821</v>
      </c>
      <c r="L6123">
        <v>0</v>
      </c>
      <c r="M6123">
        <v>0</v>
      </c>
    </row>
    <row r="6124" spans="1:13">
      <c r="A6124" t="s">
        <v>3700</v>
      </c>
      <c r="B6124" t="s">
        <v>567</v>
      </c>
      <c r="C6124" s="34" t="s">
        <v>536</v>
      </c>
      <c r="F6124" t="s">
        <v>536</v>
      </c>
      <c r="H6124">
        <v>5</v>
      </c>
      <c r="I6124">
        <f>VLOOKUP(B6124,BRAND!B:D,3,FALSE)</f>
        <v>3</v>
      </c>
      <c r="J6124">
        <v>5</v>
      </c>
      <c r="K6124" t="s">
        <v>821</v>
      </c>
      <c r="M6124">
        <v>1</v>
      </c>
    </row>
    <row r="6125" spans="1:13">
      <c r="A6125" t="s">
        <v>3699</v>
      </c>
      <c r="B6125" t="s">
        <v>567</v>
      </c>
      <c r="C6125" s="34" t="s">
        <v>897</v>
      </c>
      <c r="F6125" t="s">
        <v>897</v>
      </c>
      <c r="H6125">
        <v>5</v>
      </c>
      <c r="I6125">
        <f>VLOOKUP(B6125,BRAND!B:D,3,FALSE)</f>
        <v>3</v>
      </c>
      <c r="J6125">
        <v>4</v>
      </c>
      <c r="K6125" t="s">
        <v>821</v>
      </c>
      <c r="L6125">
        <v>0</v>
      </c>
      <c r="M6125">
        <v>0</v>
      </c>
    </row>
    <row r="6126" spans="1:13">
      <c r="A6126" t="s">
        <v>9043</v>
      </c>
      <c r="B6126" t="s">
        <v>567</v>
      </c>
      <c r="C6126" s="34" t="s">
        <v>1438</v>
      </c>
      <c r="F6126" t="s">
        <v>1438</v>
      </c>
      <c r="G6126" t="s">
        <v>6932</v>
      </c>
      <c r="H6126">
        <v>5</v>
      </c>
      <c r="I6126">
        <f>VLOOKUP(B6126,BRAND!B:D,3,FALSE)</f>
        <v>3</v>
      </c>
      <c r="J6126">
        <v>4</v>
      </c>
      <c r="L6126">
        <v>1</v>
      </c>
      <c r="M6126">
        <v>1</v>
      </c>
    </row>
    <row r="6127" spans="1:13">
      <c r="A6127" t="s">
        <v>9044</v>
      </c>
      <c r="B6127" t="s">
        <v>9045</v>
      </c>
      <c r="C6127" s="34" t="s">
        <v>1438</v>
      </c>
      <c r="F6127" t="s">
        <v>1438</v>
      </c>
      <c r="G6127" t="s">
        <v>6932</v>
      </c>
      <c r="H6127">
        <v>5</v>
      </c>
      <c r="I6127">
        <f>VLOOKUP(B6127,BRAND!B:D,3,FALSE)</f>
        <v>5.5</v>
      </c>
      <c r="J6127">
        <v>4</v>
      </c>
      <c r="M6127">
        <v>1</v>
      </c>
    </row>
    <row r="6128" spans="1:13">
      <c r="A6128" t="s">
        <v>10547</v>
      </c>
      <c r="B6128" t="s">
        <v>10336</v>
      </c>
      <c r="C6128" s="34" t="s">
        <v>769</v>
      </c>
      <c r="F6128" t="s">
        <v>769</v>
      </c>
      <c r="G6128" t="s">
        <v>6932</v>
      </c>
      <c r="H6128">
        <v>5</v>
      </c>
      <c r="I6128">
        <f>VLOOKUP(B6128,BRAND!B:D,3,FALSE)</f>
        <v>5</v>
      </c>
      <c r="J6128">
        <f>LEN(F6128)</f>
        <v>8</v>
      </c>
      <c r="L6128">
        <v>0</v>
      </c>
    </row>
    <row r="6129" spans="1:13">
      <c r="A6129" t="s">
        <v>10546</v>
      </c>
      <c r="B6129" t="s">
        <v>10336</v>
      </c>
      <c r="C6129" s="34" t="s">
        <v>761</v>
      </c>
      <c r="F6129" t="s">
        <v>761</v>
      </c>
      <c r="G6129" t="s">
        <v>6932</v>
      </c>
      <c r="H6129">
        <v>5</v>
      </c>
      <c r="I6129">
        <f>VLOOKUP(B6129,BRAND!B:D,3,FALSE)</f>
        <v>5</v>
      </c>
      <c r="J6129">
        <f>LEN(F6129)</f>
        <v>5</v>
      </c>
      <c r="L6129">
        <v>0</v>
      </c>
    </row>
    <row r="6130" spans="1:13">
      <c r="A6130" t="s">
        <v>3767</v>
      </c>
      <c r="B6130" t="s">
        <v>1185</v>
      </c>
      <c r="C6130" s="34" t="s">
        <v>842</v>
      </c>
      <c r="F6130" t="s">
        <v>842</v>
      </c>
      <c r="H6130">
        <v>5</v>
      </c>
      <c r="I6130">
        <f>VLOOKUP(B6130,BRAND!B:D,3,FALSE)</f>
        <v>3</v>
      </c>
      <c r="J6130">
        <v>5</v>
      </c>
      <c r="K6130" t="s">
        <v>821</v>
      </c>
      <c r="L6130">
        <v>0</v>
      </c>
      <c r="M6130">
        <v>0</v>
      </c>
    </row>
    <row r="6131" spans="1:13">
      <c r="A6131" t="s">
        <v>9785</v>
      </c>
      <c r="B6131" t="s">
        <v>10003</v>
      </c>
      <c r="C6131" s="34" t="s">
        <v>1438</v>
      </c>
      <c r="G6131" t="s">
        <v>6932</v>
      </c>
      <c r="H6131">
        <v>5</v>
      </c>
      <c r="I6131">
        <f>VLOOKUP(B6131,BRAND!B:D,3,FALSE)</f>
        <v>5.5</v>
      </c>
      <c r="J6131">
        <f>LEN(F6131)</f>
        <v>0</v>
      </c>
      <c r="L6131">
        <v>0</v>
      </c>
      <c r="M6131">
        <v>0</v>
      </c>
    </row>
    <row r="6132" spans="1:13">
      <c r="A6132" t="s">
        <v>9785</v>
      </c>
      <c r="B6132" t="s">
        <v>10003</v>
      </c>
      <c r="C6132" s="34" t="s">
        <v>1438</v>
      </c>
      <c r="G6132" t="s">
        <v>6932</v>
      </c>
      <c r="H6132">
        <v>5</v>
      </c>
      <c r="I6132">
        <f>VLOOKUP(B6132,BRAND!B:D,3,FALSE)</f>
        <v>5.5</v>
      </c>
      <c r="J6132">
        <v>0</v>
      </c>
      <c r="M6132">
        <v>1</v>
      </c>
    </row>
    <row r="6133" spans="1:13">
      <c r="A6133" t="s">
        <v>9046</v>
      </c>
      <c r="B6133" t="s">
        <v>9047</v>
      </c>
      <c r="C6133" s="34" t="s">
        <v>1438</v>
      </c>
      <c r="F6133" t="s">
        <v>1438</v>
      </c>
      <c r="G6133" t="s">
        <v>6932</v>
      </c>
      <c r="H6133">
        <v>5</v>
      </c>
      <c r="I6133">
        <f>VLOOKUP(B6133,BRAND!B:D,3,FALSE)</f>
        <v>5.5</v>
      </c>
      <c r="J6133">
        <v>4</v>
      </c>
      <c r="L6133">
        <v>0</v>
      </c>
      <c r="M6133">
        <v>0</v>
      </c>
    </row>
    <row r="6134" spans="1:13">
      <c r="A6134" t="s">
        <v>9048</v>
      </c>
      <c r="B6134" t="s">
        <v>568</v>
      </c>
      <c r="C6134" s="34" t="s">
        <v>1438</v>
      </c>
      <c r="F6134" t="s">
        <v>1438</v>
      </c>
      <c r="G6134" t="s">
        <v>6932</v>
      </c>
      <c r="H6134">
        <v>5</v>
      </c>
      <c r="I6134">
        <f>VLOOKUP(B6134,BRAND!B:D,3,FALSE)</f>
        <v>3</v>
      </c>
      <c r="J6134">
        <v>4</v>
      </c>
      <c r="M6134">
        <v>1</v>
      </c>
    </row>
    <row r="6135" spans="1:13">
      <c r="A6135" t="s">
        <v>2185</v>
      </c>
      <c r="B6135" t="s">
        <v>568</v>
      </c>
      <c r="C6135" s="34" t="s">
        <v>1438</v>
      </c>
      <c r="F6135" t="s">
        <v>1438</v>
      </c>
      <c r="H6135">
        <v>15</v>
      </c>
      <c r="I6135">
        <f>VLOOKUP(B6135,BRAND!B:D,3,FALSE)</f>
        <v>3</v>
      </c>
      <c r="J6135">
        <v>4</v>
      </c>
      <c r="K6135" t="s">
        <v>821</v>
      </c>
      <c r="L6135">
        <v>0</v>
      </c>
      <c r="M6135">
        <v>0</v>
      </c>
    </row>
    <row r="6136" spans="1:13">
      <c r="A6136" t="s">
        <v>3411</v>
      </c>
      <c r="B6136" t="s">
        <v>666</v>
      </c>
      <c r="C6136" s="34" t="s">
        <v>772</v>
      </c>
      <c r="F6136" t="s">
        <v>772</v>
      </c>
      <c r="H6136">
        <v>5</v>
      </c>
      <c r="I6136">
        <f>VLOOKUP(B6136,BRAND!B:D,3,FALSE)</f>
        <v>3</v>
      </c>
      <c r="J6136">
        <v>6</v>
      </c>
      <c r="K6136" t="s">
        <v>821</v>
      </c>
      <c r="L6136">
        <v>0</v>
      </c>
      <c r="M6136">
        <v>0</v>
      </c>
    </row>
    <row r="6137" spans="1:13">
      <c r="A6137" t="s">
        <v>9786</v>
      </c>
      <c r="B6137" t="s">
        <v>666</v>
      </c>
      <c r="C6137" s="34" t="s">
        <v>1438</v>
      </c>
      <c r="H6137">
        <v>5</v>
      </c>
      <c r="I6137">
        <f>VLOOKUP(B6137,BRAND!B:D,3,FALSE)</f>
        <v>3</v>
      </c>
      <c r="J6137">
        <f>LEN(F6137)</f>
        <v>0</v>
      </c>
      <c r="L6137">
        <v>0</v>
      </c>
      <c r="M6137">
        <v>0</v>
      </c>
    </row>
    <row r="6138" spans="1:13">
      <c r="A6138" t="s">
        <v>9786</v>
      </c>
      <c r="B6138" t="s">
        <v>666</v>
      </c>
      <c r="C6138" s="34" t="s">
        <v>1438</v>
      </c>
      <c r="H6138">
        <v>5</v>
      </c>
      <c r="I6138">
        <f>VLOOKUP(B6138,BRAND!B:D,3,FALSE)</f>
        <v>3</v>
      </c>
      <c r="J6138">
        <v>0</v>
      </c>
      <c r="M6138">
        <v>1</v>
      </c>
    </row>
    <row r="6139" spans="1:13">
      <c r="A6139" t="s">
        <v>13907</v>
      </c>
      <c r="B6139" t="s">
        <v>13908</v>
      </c>
      <c r="C6139" s="34" t="s">
        <v>1438</v>
      </c>
      <c r="F6139" t="s">
        <v>1438</v>
      </c>
      <c r="G6139" t="s">
        <v>6932</v>
      </c>
      <c r="H6139">
        <v>5</v>
      </c>
      <c r="I6139">
        <f>VLOOKUP(B6139,BRAND!B:D,3,FALSE)</f>
        <v>0</v>
      </c>
      <c r="J6139">
        <f>LEN(F6139)</f>
        <v>4</v>
      </c>
      <c r="K6139" t="s">
        <v>821</v>
      </c>
      <c r="L6139">
        <v>0</v>
      </c>
      <c r="M6139">
        <v>1</v>
      </c>
    </row>
    <row r="6140" spans="1:13">
      <c r="A6140" t="s">
        <v>9050</v>
      </c>
      <c r="B6140" t="s">
        <v>1115</v>
      </c>
      <c r="C6140" s="34" t="s">
        <v>9051</v>
      </c>
      <c r="F6140" t="s">
        <v>9051</v>
      </c>
      <c r="G6140" t="s">
        <v>6932</v>
      </c>
      <c r="H6140">
        <v>5</v>
      </c>
      <c r="I6140">
        <f>VLOOKUP(B6140,BRAND!B:D,3,FALSE)</f>
        <v>3</v>
      </c>
      <c r="J6140">
        <v>6</v>
      </c>
      <c r="M6140">
        <v>1</v>
      </c>
    </row>
    <row r="6141" spans="1:13">
      <c r="A6141" t="s">
        <v>9049</v>
      </c>
      <c r="B6141" t="s">
        <v>1115</v>
      </c>
      <c r="C6141" s="34" t="s">
        <v>751</v>
      </c>
      <c r="F6141" t="s">
        <v>751</v>
      </c>
      <c r="G6141" t="s">
        <v>6932</v>
      </c>
      <c r="H6141">
        <v>5</v>
      </c>
      <c r="I6141">
        <f>VLOOKUP(B6141,BRAND!B:D,3,FALSE)</f>
        <v>3</v>
      </c>
      <c r="J6141">
        <v>5</v>
      </c>
      <c r="M6141">
        <v>1</v>
      </c>
    </row>
    <row r="6142" spans="1:13">
      <c r="A6142" t="s">
        <v>2413</v>
      </c>
      <c r="B6142" t="s">
        <v>1115</v>
      </c>
      <c r="C6142" s="34" t="s">
        <v>1438</v>
      </c>
      <c r="F6142" t="s">
        <v>1438</v>
      </c>
      <c r="H6142">
        <v>15</v>
      </c>
      <c r="I6142">
        <f>VLOOKUP(B6142,BRAND!B:D,3,FALSE)</f>
        <v>3</v>
      </c>
      <c r="J6142">
        <v>4</v>
      </c>
      <c r="K6142" t="s">
        <v>821</v>
      </c>
      <c r="L6142">
        <v>0</v>
      </c>
      <c r="M6142">
        <v>0</v>
      </c>
    </row>
    <row r="6143" spans="1:13">
      <c r="A6143" t="s">
        <v>3762</v>
      </c>
      <c r="B6143" t="s">
        <v>1114</v>
      </c>
      <c r="C6143" s="34" t="s">
        <v>786</v>
      </c>
      <c r="F6143" t="s">
        <v>786</v>
      </c>
      <c r="H6143">
        <v>5</v>
      </c>
      <c r="I6143">
        <f>VLOOKUP(B6143,BRAND!B:D,3,FALSE)</f>
        <v>3</v>
      </c>
      <c r="J6143">
        <v>3</v>
      </c>
      <c r="K6143" t="s">
        <v>821</v>
      </c>
      <c r="L6143">
        <v>0</v>
      </c>
      <c r="M6143">
        <v>0</v>
      </c>
    </row>
    <row r="6144" spans="1:13">
      <c r="A6144" t="s">
        <v>3600</v>
      </c>
      <c r="B6144" t="s">
        <v>1114</v>
      </c>
      <c r="C6144" s="34" t="s">
        <v>561</v>
      </c>
      <c r="F6144" t="s">
        <v>561</v>
      </c>
      <c r="H6144">
        <v>5</v>
      </c>
      <c r="I6144">
        <f>VLOOKUP(B6144,BRAND!B:D,3,FALSE)</f>
        <v>3</v>
      </c>
      <c r="J6144">
        <v>3</v>
      </c>
      <c r="K6144" t="s">
        <v>821</v>
      </c>
      <c r="L6144">
        <v>0</v>
      </c>
      <c r="M6144">
        <v>0</v>
      </c>
    </row>
    <row r="6145" spans="1:13">
      <c r="A6145" t="s">
        <v>3599</v>
      </c>
      <c r="B6145" t="s">
        <v>133</v>
      </c>
      <c r="C6145" s="34" t="s">
        <v>6554</v>
      </c>
      <c r="F6145" t="s">
        <v>772</v>
      </c>
      <c r="H6145">
        <v>5</v>
      </c>
      <c r="I6145">
        <f>VLOOKUP(B6145,BRAND!B:D,3,FALSE)</f>
        <v>3</v>
      </c>
      <c r="J6145">
        <v>6</v>
      </c>
      <c r="K6145" t="s">
        <v>821</v>
      </c>
      <c r="M6145">
        <v>1</v>
      </c>
    </row>
    <row r="6146" spans="1:13">
      <c r="A6146" t="s">
        <v>9052</v>
      </c>
      <c r="B6146" t="s">
        <v>433</v>
      </c>
      <c r="C6146" s="34" t="s">
        <v>1438</v>
      </c>
      <c r="F6146" t="s">
        <v>1438</v>
      </c>
      <c r="G6146" t="s">
        <v>6932</v>
      </c>
      <c r="H6146">
        <v>5</v>
      </c>
      <c r="I6146">
        <f>VLOOKUP(B6146,BRAND!B:D,3,FALSE)</f>
        <v>3</v>
      </c>
      <c r="J6146">
        <v>4</v>
      </c>
      <c r="L6146">
        <v>0</v>
      </c>
      <c r="M6146">
        <v>0</v>
      </c>
    </row>
    <row r="6147" spans="1:13">
      <c r="A6147" t="s">
        <v>2399</v>
      </c>
      <c r="B6147" t="s">
        <v>433</v>
      </c>
      <c r="C6147" s="34" t="s">
        <v>1438</v>
      </c>
      <c r="F6147" t="s">
        <v>1438</v>
      </c>
      <c r="H6147">
        <v>15</v>
      </c>
      <c r="I6147">
        <f>VLOOKUP(B6147,BRAND!B:D,3,FALSE)</f>
        <v>3</v>
      </c>
      <c r="J6147">
        <v>4</v>
      </c>
      <c r="K6147" t="s">
        <v>821</v>
      </c>
      <c r="M6147">
        <v>1</v>
      </c>
    </row>
    <row r="6148" spans="1:13">
      <c r="A6148" t="s">
        <v>12438</v>
      </c>
      <c r="B6148" t="s">
        <v>12018</v>
      </c>
      <c r="C6148" s="34" t="s">
        <v>12439</v>
      </c>
      <c r="F6148" t="s">
        <v>12439</v>
      </c>
      <c r="G6148" t="s">
        <v>6932</v>
      </c>
      <c r="H6148">
        <v>5</v>
      </c>
    </row>
    <row r="6149" spans="1:13">
      <c r="A6149" t="s">
        <v>12440</v>
      </c>
      <c r="B6149" t="s">
        <v>12018</v>
      </c>
      <c r="C6149" s="34" t="s">
        <v>536</v>
      </c>
      <c r="F6149" t="s">
        <v>12441</v>
      </c>
      <c r="G6149" t="s">
        <v>6932</v>
      </c>
      <c r="H6149">
        <v>5</v>
      </c>
    </row>
    <row r="6150" spans="1:13">
      <c r="A6150" t="s">
        <v>12442</v>
      </c>
      <c r="B6150" t="s">
        <v>12018</v>
      </c>
      <c r="C6150" s="34" t="s">
        <v>534</v>
      </c>
      <c r="F6150" t="s">
        <v>534</v>
      </c>
      <c r="G6150" t="s">
        <v>6932</v>
      </c>
      <c r="H6150">
        <v>5</v>
      </c>
    </row>
    <row r="6151" spans="1:13">
      <c r="A6151" t="s">
        <v>12443</v>
      </c>
      <c r="B6151" t="s">
        <v>12018</v>
      </c>
      <c r="C6151" s="34" t="s">
        <v>12444</v>
      </c>
      <c r="F6151" t="s">
        <v>12444</v>
      </c>
      <c r="G6151" t="s">
        <v>6932</v>
      </c>
      <c r="H6151">
        <v>5</v>
      </c>
    </row>
    <row r="6152" spans="1:13">
      <c r="A6152" t="s">
        <v>12445</v>
      </c>
      <c r="B6152" t="s">
        <v>12018</v>
      </c>
      <c r="C6152" s="34" t="s">
        <v>12446</v>
      </c>
      <c r="F6152" t="s">
        <v>12446</v>
      </c>
      <c r="G6152" t="s">
        <v>6932</v>
      </c>
      <c r="H6152">
        <v>5</v>
      </c>
    </row>
    <row r="6153" spans="1:13">
      <c r="A6153" t="s">
        <v>12447</v>
      </c>
      <c r="B6153" t="s">
        <v>12018</v>
      </c>
      <c r="C6153" s="34" t="s">
        <v>1999</v>
      </c>
      <c r="F6153" t="s">
        <v>1999</v>
      </c>
      <c r="G6153" t="s">
        <v>6932</v>
      </c>
      <c r="H6153">
        <v>5</v>
      </c>
    </row>
    <row r="6154" spans="1:13">
      <c r="A6154" t="s">
        <v>12448</v>
      </c>
      <c r="B6154" t="s">
        <v>12018</v>
      </c>
      <c r="C6154" s="34" t="s">
        <v>772</v>
      </c>
      <c r="F6154" t="s">
        <v>772</v>
      </c>
      <c r="G6154" t="s">
        <v>6932</v>
      </c>
      <c r="H6154">
        <v>5</v>
      </c>
    </row>
    <row r="6155" spans="1:13">
      <c r="A6155" t="s">
        <v>12449</v>
      </c>
      <c r="B6155" t="s">
        <v>12018</v>
      </c>
      <c r="C6155" s="34">
        <v>84</v>
      </c>
      <c r="F6155">
        <v>84</v>
      </c>
      <c r="G6155" t="s">
        <v>6932</v>
      </c>
      <c r="H6155">
        <v>5</v>
      </c>
    </row>
    <row r="6156" spans="1:13">
      <c r="A6156" t="s">
        <v>12450</v>
      </c>
      <c r="B6156" t="s">
        <v>12018</v>
      </c>
      <c r="C6156" s="34" t="s">
        <v>10990</v>
      </c>
      <c r="F6156" t="s">
        <v>10990</v>
      </c>
      <c r="G6156" t="s">
        <v>6932</v>
      </c>
      <c r="H6156">
        <v>5</v>
      </c>
    </row>
    <row r="6157" spans="1:13">
      <c r="A6157" t="s">
        <v>12451</v>
      </c>
      <c r="B6157" t="s">
        <v>12018</v>
      </c>
      <c r="C6157" s="34" t="s">
        <v>7424</v>
      </c>
      <c r="F6157" t="s">
        <v>7424</v>
      </c>
      <c r="G6157" t="s">
        <v>6932</v>
      </c>
      <c r="H6157">
        <v>5</v>
      </c>
    </row>
    <row r="6158" spans="1:13">
      <c r="A6158" t="s">
        <v>12452</v>
      </c>
      <c r="B6158" t="s">
        <v>12018</v>
      </c>
      <c r="C6158" s="34" t="s">
        <v>10353</v>
      </c>
      <c r="F6158" t="s">
        <v>10353</v>
      </c>
      <c r="G6158" t="s">
        <v>6932</v>
      </c>
      <c r="H6158">
        <v>5</v>
      </c>
    </row>
    <row r="6159" spans="1:13">
      <c r="A6159" t="s">
        <v>12453</v>
      </c>
      <c r="B6159" t="s">
        <v>12018</v>
      </c>
      <c r="C6159" s="34" t="s">
        <v>12454</v>
      </c>
      <c r="F6159" t="s">
        <v>12454</v>
      </c>
      <c r="G6159" t="s">
        <v>6932</v>
      </c>
      <c r="H6159">
        <v>5</v>
      </c>
    </row>
    <row r="6160" spans="1:13">
      <c r="A6160" t="s">
        <v>12455</v>
      </c>
      <c r="B6160" t="s">
        <v>12018</v>
      </c>
      <c r="C6160" s="34" t="s">
        <v>12456</v>
      </c>
      <c r="F6160" t="s">
        <v>12456</v>
      </c>
      <c r="G6160" t="s">
        <v>6932</v>
      </c>
      <c r="H6160">
        <v>5</v>
      </c>
    </row>
    <row r="6161" spans="1:13">
      <c r="A6161" t="s">
        <v>12457</v>
      </c>
      <c r="B6161" t="s">
        <v>12018</v>
      </c>
      <c r="C6161" s="34" t="s">
        <v>12458</v>
      </c>
      <c r="F6161" t="s">
        <v>12459</v>
      </c>
      <c r="G6161" t="s">
        <v>6932</v>
      </c>
      <c r="H6161">
        <v>5</v>
      </c>
    </row>
    <row r="6162" spans="1:13">
      <c r="A6162" t="s">
        <v>12460</v>
      </c>
      <c r="B6162" t="s">
        <v>12018</v>
      </c>
      <c r="C6162" s="34" t="s">
        <v>11182</v>
      </c>
      <c r="F6162" t="s">
        <v>11182</v>
      </c>
      <c r="G6162" t="s">
        <v>6932</v>
      </c>
      <c r="H6162">
        <v>5</v>
      </c>
    </row>
    <row r="6163" spans="1:13">
      <c r="A6163" t="s">
        <v>12461</v>
      </c>
      <c r="B6163" t="s">
        <v>12018</v>
      </c>
      <c r="C6163" s="34" t="s">
        <v>12462</v>
      </c>
      <c r="F6163" t="s">
        <v>12462</v>
      </c>
      <c r="G6163" t="s">
        <v>6932</v>
      </c>
      <c r="H6163">
        <v>5</v>
      </c>
    </row>
    <row r="6164" spans="1:13">
      <c r="A6164" t="s">
        <v>12463</v>
      </c>
      <c r="B6164" t="s">
        <v>12018</v>
      </c>
      <c r="C6164" s="34" t="s">
        <v>12464</v>
      </c>
      <c r="F6164" t="s">
        <v>12464</v>
      </c>
      <c r="G6164" t="s">
        <v>6932</v>
      </c>
      <c r="H6164">
        <v>5</v>
      </c>
    </row>
    <row r="6165" spans="1:13">
      <c r="A6165" t="s">
        <v>12465</v>
      </c>
      <c r="B6165" t="s">
        <v>12018</v>
      </c>
      <c r="C6165" s="34" t="s">
        <v>11003</v>
      </c>
      <c r="F6165" t="s">
        <v>11003</v>
      </c>
      <c r="G6165" t="s">
        <v>6932</v>
      </c>
      <c r="H6165">
        <v>5</v>
      </c>
    </row>
    <row r="6166" spans="1:13">
      <c r="A6166" t="s">
        <v>12466</v>
      </c>
      <c r="B6166" t="s">
        <v>12018</v>
      </c>
      <c r="C6166" s="34" t="s">
        <v>12467</v>
      </c>
      <c r="F6166" t="s">
        <v>12467</v>
      </c>
      <c r="G6166" t="s">
        <v>6932</v>
      </c>
      <c r="H6166">
        <v>5</v>
      </c>
    </row>
    <row r="6167" spans="1:13">
      <c r="A6167" t="s">
        <v>12468</v>
      </c>
      <c r="B6167" t="s">
        <v>12018</v>
      </c>
      <c r="C6167" s="34" t="s">
        <v>775</v>
      </c>
      <c r="F6167" t="s">
        <v>775</v>
      </c>
      <c r="G6167" t="s">
        <v>6932</v>
      </c>
      <c r="H6167">
        <v>5</v>
      </c>
    </row>
    <row r="6168" spans="1:13">
      <c r="A6168" t="s">
        <v>12469</v>
      </c>
      <c r="B6168" t="s">
        <v>12018</v>
      </c>
      <c r="C6168" s="34" t="s">
        <v>745</v>
      </c>
      <c r="F6168" t="s">
        <v>745</v>
      </c>
      <c r="G6168" t="s">
        <v>6932</v>
      </c>
      <c r="H6168">
        <v>5</v>
      </c>
    </row>
    <row r="6169" spans="1:13">
      <c r="A6169" t="s">
        <v>12470</v>
      </c>
      <c r="B6169" t="s">
        <v>12018</v>
      </c>
      <c r="C6169" s="34" t="s">
        <v>12471</v>
      </c>
      <c r="F6169" t="s">
        <v>12471</v>
      </c>
      <c r="G6169" t="s">
        <v>6932</v>
      </c>
      <c r="H6169">
        <v>5</v>
      </c>
    </row>
    <row r="6170" spans="1:13">
      <c r="A6170" t="s">
        <v>4238</v>
      </c>
      <c r="B6170" t="s">
        <v>1858</v>
      </c>
      <c r="C6170" s="34" t="s">
        <v>1469</v>
      </c>
      <c r="F6170" t="s">
        <v>1469</v>
      </c>
      <c r="H6170">
        <v>4</v>
      </c>
      <c r="I6170">
        <f>VLOOKUP(B6170,BRAND!B:D,3,FALSE)</f>
        <v>5</v>
      </c>
      <c r="J6170">
        <f>LEN(F6170)</f>
        <v>12</v>
      </c>
      <c r="K6170" t="s">
        <v>822</v>
      </c>
      <c r="M6170">
        <v>1</v>
      </c>
    </row>
    <row r="6171" spans="1:13">
      <c r="A6171" t="s">
        <v>4157</v>
      </c>
      <c r="B6171" t="s">
        <v>1858</v>
      </c>
      <c r="C6171" s="34" t="s">
        <v>1476</v>
      </c>
      <c r="F6171" t="s">
        <v>1476</v>
      </c>
      <c r="H6171">
        <v>5</v>
      </c>
      <c r="I6171">
        <f>VLOOKUP(B6171,BRAND!B:D,3,FALSE)</f>
        <v>5</v>
      </c>
      <c r="J6171">
        <f>LEN(F6171)</f>
        <v>11</v>
      </c>
      <c r="K6171" t="s">
        <v>822</v>
      </c>
      <c r="M6171">
        <v>1</v>
      </c>
    </row>
    <row r="6172" spans="1:13">
      <c r="A6172" t="s">
        <v>4236</v>
      </c>
      <c r="B6172" t="s">
        <v>1858</v>
      </c>
      <c r="C6172" s="34" t="s">
        <v>1493</v>
      </c>
      <c r="F6172" t="s">
        <v>1493</v>
      </c>
      <c r="H6172">
        <v>5</v>
      </c>
      <c r="I6172">
        <f>VLOOKUP(B6172,BRAND!B:D,3,FALSE)</f>
        <v>5</v>
      </c>
      <c r="J6172">
        <v>7</v>
      </c>
      <c r="K6172" t="s">
        <v>822</v>
      </c>
      <c r="M6172">
        <v>1</v>
      </c>
    </row>
    <row r="6173" spans="1:13">
      <c r="A6173" s="29" t="s">
        <v>4237</v>
      </c>
      <c r="B6173" s="29" t="s">
        <v>1858</v>
      </c>
      <c r="C6173" s="36" t="s">
        <v>898</v>
      </c>
      <c r="D6173" s="29"/>
      <c r="E6173" s="29"/>
      <c r="F6173" s="29" t="s">
        <v>898</v>
      </c>
      <c r="G6173" s="29"/>
      <c r="H6173" s="29">
        <v>5</v>
      </c>
      <c r="I6173">
        <f>VLOOKUP(B6173,BRAND!B:D,3,FALSE)</f>
        <v>5</v>
      </c>
      <c r="J6173">
        <v>6</v>
      </c>
      <c r="K6173" t="s">
        <v>822</v>
      </c>
      <c r="M6173">
        <v>1</v>
      </c>
    </row>
    <row r="6174" spans="1:13">
      <c r="A6174" t="s">
        <v>4156</v>
      </c>
      <c r="B6174" t="s">
        <v>1858</v>
      </c>
      <c r="C6174" s="34" t="s">
        <v>1438</v>
      </c>
      <c r="F6174" t="s">
        <v>1438</v>
      </c>
      <c r="H6174">
        <v>15</v>
      </c>
      <c r="I6174">
        <f>VLOOKUP(B6174,BRAND!B:D,3,FALSE)</f>
        <v>5</v>
      </c>
      <c r="J6174">
        <v>4</v>
      </c>
      <c r="K6174" t="s">
        <v>822</v>
      </c>
      <c r="M6174">
        <v>1</v>
      </c>
    </row>
    <row r="6175" spans="1:13">
      <c r="A6175" t="s">
        <v>9053</v>
      </c>
      <c r="B6175" t="s">
        <v>9054</v>
      </c>
      <c r="C6175" s="34" t="s">
        <v>1438</v>
      </c>
      <c r="F6175" t="s">
        <v>1438</v>
      </c>
      <c r="G6175" t="s">
        <v>6932</v>
      </c>
      <c r="H6175">
        <v>5</v>
      </c>
      <c r="I6175">
        <f>VLOOKUP(B6175,BRAND!B:D,3,FALSE)</f>
        <v>5.5</v>
      </c>
      <c r="J6175">
        <v>4</v>
      </c>
      <c r="M6175">
        <v>1</v>
      </c>
    </row>
    <row r="6176" spans="1:13">
      <c r="A6176" t="s">
        <v>9055</v>
      </c>
      <c r="B6176" t="s">
        <v>434</v>
      </c>
      <c r="C6176" s="34" t="s">
        <v>1438</v>
      </c>
      <c r="F6176" t="s">
        <v>1438</v>
      </c>
      <c r="G6176" t="s">
        <v>6932</v>
      </c>
      <c r="H6176">
        <v>5</v>
      </c>
      <c r="I6176">
        <f>VLOOKUP(B6176,BRAND!B:D,3,FALSE)</f>
        <v>3</v>
      </c>
      <c r="J6176">
        <v>4</v>
      </c>
      <c r="M6176">
        <v>1</v>
      </c>
    </row>
    <row r="6177" spans="1:13">
      <c r="A6177" t="s">
        <v>2307</v>
      </c>
      <c r="B6177" t="s">
        <v>434</v>
      </c>
      <c r="C6177" s="34" t="s">
        <v>1438</v>
      </c>
      <c r="F6177" t="s">
        <v>1438</v>
      </c>
      <c r="H6177">
        <v>15</v>
      </c>
      <c r="I6177">
        <f>VLOOKUP(B6177,BRAND!B:D,3,FALSE)</f>
        <v>3</v>
      </c>
      <c r="J6177">
        <v>4</v>
      </c>
      <c r="K6177" t="s">
        <v>821</v>
      </c>
      <c r="L6177">
        <v>0</v>
      </c>
      <c r="M6177">
        <v>0</v>
      </c>
    </row>
    <row r="6178" spans="1:13">
      <c r="A6178" t="s">
        <v>9056</v>
      </c>
      <c r="B6178" t="s">
        <v>9057</v>
      </c>
      <c r="C6178" s="34" t="s">
        <v>1438</v>
      </c>
      <c r="F6178" t="s">
        <v>1438</v>
      </c>
      <c r="G6178" t="s">
        <v>6932</v>
      </c>
      <c r="H6178">
        <v>5</v>
      </c>
      <c r="I6178">
        <f>VLOOKUP(B6178,BRAND!B:D,3,FALSE)</f>
        <v>5.5</v>
      </c>
      <c r="J6178">
        <v>4</v>
      </c>
      <c r="M6178">
        <v>1</v>
      </c>
    </row>
    <row r="6179" spans="1:13">
      <c r="A6179" t="s">
        <v>9058</v>
      </c>
      <c r="B6179" t="s">
        <v>9059</v>
      </c>
      <c r="C6179" s="34" t="s">
        <v>1438</v>
      </c>
      <c r="F6179" t="s">
        <v>1438</v>
      </c>
      <c r="G6179" t="s">
        <v>6932</v>
      </c>
      <c r="H6179">
        <v>5</v>
      </c>
      <c r="I6179">
        <f>VLOOKUP(B6179,BRAND!B:D,3,FALSE)</f>
        <v>5.5</v>
      </c>
      <c r="J6179">
        <v>4</v>
      </c>
      <c r="M6179">
        <v>1</v>
      </c>
    </row>
    <row r="6180" spans="1:13">
      <c r="A6180" t="s">
        <v>9060</v>
      </c>
      <c r="B6180" t="s">
        <v>9061</v>
      </c>
      <c r="C6180" s="34" t="s">
        <v>1438</v>
      </c>
      <c r="F6180" t="s">
        <v>1438</v>
      </c>
      <c r="G6180" t="s">
        <v>6932</v>
      </c>
      <c r="H6180">
        <v>5</v>
      </c>
      <c r="I6180">
        <f>VLOOKUP(B6180,BRAND!B:D,3,FALSE)</f>
        <v>5.5</v>
      </c>
      <c r="J6180">
        <v>4</v>
      </c>
      <c r="M6180">
        <v>1</v>
      </c>
    </row>
    <row r="6181" spans="1:13">
      <c r="A6181" t="s">
        <v>2864</v>
      </c>
      <c r="B6181" t="s">
        <v>1319</v>
      </c>
      <c r="C6181" s="34" t="s">
        <v>1438</v>
      </c>
      <c r="F6181" t="s">
        <v>1438</v>
      </c>
      <c r="H6181">
        <v>15</v>
      </c>
      <c r="I6181">
        <f>VLOOKUP(B6181,BRAND!B:D,3,FALSE)</f>
        <v>3</v>
      </c>
      <c r="J6181">
        <v>4</v>
      </c>
      <c r="K6181" t="s">
        <v>821</v>
      </c>
      <c r="L6181">
        <v>0</v>
      </c>
      <c r="M6181">
        <v>0</v>
      </c>
    </row>
    <row r="6182" spans="1:13">
      <c r="A6182" t="s">
        <v>9062</v>
      </c>
      <c r="B6182" t="s">
        <v>9063</v>
      </c>
      <c r="C6182" s="34" t="s">
        <v>1438</v>
      </c>
      <c r="F6182" t="s">
        <v>1438</v>
      </c>
      <c r="G6182" t="s">
        <v>6932</v>
      </c>
      <c r="H6182">
        <v>5</v>
      </c>
      <c r="I6182">
        <f>VLOOKUP(B6182,BRAND!B:D,3,FALSE)</f>
        <v>5.5</v>
      </c>
      <c r="J6182">
        <v>4</v>
      </c>
      <c r="M6182">
        <v>1</v>
      </c>
    </row>
    <row r="6183" spans="1:13">
      <c r="A6183" t="s">
        <v>4362</v>
      </c>
      <c r="B6183" t="s">
        <v>1186</v>
      </c>
      <c r="C6183" s="34" t="s">
        <v>1438</v>
      </c>
      <c r="F6183" t="s">
        <v>1438</v>
      </c>
      <c r="H6183">
        <v>15</v>
      </c>
      <c r="I6183">
        <f>VLOOKUP(B6183,BRAND!B:D,3,FALSE)</f>
        <v>5</v>
      </c>
      <c r="J6183">
        <v>4</v>
      </c>
      <c r="K6183" t="s">
        <v>821</v>
      </c>
      <c r="L6183">
        <v>0</v>
      </c>
      <c r="M6183">
        <v>0</v>
      </c>
    </row>
    <row r="6184" spans="1:13">
      <c r="A6184" t="s">
        <v>9064</v>
      </c>
      <c r="B6184" t="s">
        <v>9065</v>
      </c>
      <c r="C6184" s="34" t="s">
        <v>1438</v>
      </c>
      <c r="F6184" t="s">
        <v>1438</v>
      </c>
      <c r="G6184" t="s">
        <v>6932</v>
      </c>
      <c r="H6184">
        <v>5</v>
      </c>
      <c r="I6184">
        <f>VLOOKUP(B6184,BRAND!B:D,3,FALSE)</f>
        <v>5.5</v>
      </c>
      <c r="J6184">
        <v>4</v>
      </c>
      <c r="M6184">
        <v>1</v>
      </c>
    </row>
    <row r="6185" spans="1:13">
      <c r="A6185" t="s">
        <v>1666</v>
      </c>
      <c r="B6185" t="s">
        <v>134</v>
      </c>
      <c r="C6185" s="34" t="s">
        <v>1470</v>
      </c>
      <c r="F6185" t="s">
        <v>1470</v>
      </c>
      <c r="H6185">
        <v>4</v>
      </c>
      <c r="I6185">
        <f>VLOOKUP(B6185,BRAND!B:D,3,FALSE)</f>
        <v>3</v>
      </c>
      <c r="J6185">
        <f>LEN(F6185)</f>
        <v>12</v>
      </c>
      <c r="K6185" t="s">
        <v>821</v>
      </c>
      <c r="M6185">
        <v>1</v>
      </c>
    </row>
    <row r="6186" spans="1:13">
      <c r="A6186" t="s">
        <v>10548</v>
      </c>
      <c r="B6186" t="s">
        <v>134</v>
      </c>
      <c r="C6186" s="34" t="s">
        <v>10549</v>
      </c>
      <c r="F6186" t="s">
        <v>10549</v>
      </c>
      <c r="G6186" t="s">
        <v>6932</v>
      </c>
      <c r="H6186">
        <v>5</v>
      </c>
      <c r="I6186">
        <f>VLOOKUP(B6186,BRAND!B:D,3,FALSE)</f>
        <v>3</v>
      </c>
      <c r="J6186">
        <f>LEN(F6186)</f>
        <v>15</v>
      </c>
      <c r="L6186">
        <v>0</v>
      </c>
    </row>
    <row r="6187" spans="1:13">
      <c r="A6187" t="s">
        <v>1551</v>
      </c>
      <c r="B6187" t="s">
        <v>134</v>
      </c>
      <c r="C6187" s="34" t="s">
        <v>769</v>
      </c>
      <c r="F6187" t="s">
        <v>769</v>
      </c>
      <c r="H6187">
        <v>5</v>
      </c>
      <c r="I6187">
        <f>VLOOKUP(B6187,BRAND!B:D,3,FALSE)</f>
        <v>3</v>
      </c>
      <c r="J6187">
        <v>8</v>
      </c>
      <c r="K6187" t="s">
        <v>821</v>
      </c>
      <c r="M6187">
        <v>1</v>
      </c>
    </row>
    <row r="6188" spans="1:13">
      <c r="A6188" t="s">
        <v>1578</v>
      </c>
      <c r="B6188" t="s">
        <v>134</v>
      </c>
      <c r="C6188" s="34" t="s">
        <v>995</v>
      </c>
      <c r="F6188" t="s">
        <v>995</v>
      </c>
      <c r="H6188">
        <v>5</v>
      </c>
      <c r="I6188">
        <f>VLOOKUP(B6188,BRAND!B:D,3,FALSE)</f>
        <v>3</v>
      </c>
      <c r="J6188">
        <v>6</v>
      </c>
      <c r="K6188" t="s">
        <v>821</v>
      </c>
      <c r="M6188">
        <v>1</v>
      </c>
    </row>
    <row r="6189" spans="1:13">
      <c r="A6189" t="s">
        <v>4067</v>
      </c>
      <c r="B6189" t="s">
        <v>134</v>
      </c>
      <c r="C6189" s="34" t="s">
        <v>799</v>
      </c>
      <c r="F6189" t="s">
        <v>799</v>
      </c>
      <c r="H6189">
        <v>5</v>
      </c>
      <c r="I6189">
        <f>VLOOKUP(B6189,BRAND!B:D,3,FALSE)</f>
        <v>3</v>
      </c>
      <c r="J6189">
        <v>5</v>
      </c>
      <c r="K6189" t="s">
        <v>821</v>
      </c>
      <c r="M6189">
        <v>1</v>
      </c>
    </row>
    <row r="6190" spans="1:13">
      <c r="A6190" t="s">
        <v>1597</v>
      </c>
      <c r="B6190" t="s">
        <v>134</v>
      </c>
      <c r="C6190" s="34" t="s">
        <v>1438</v>
      </c>
      <c r="F6190" t="s">
        <v>1438</v>
      </c>
      <c r="H6190">
        <v>15</v>
      </c>
      <c r="I6190">
        <f>VLOOKUP(B6190,BRAND!B:D,3,FALSE)</f>
        <v>3</v>
      </c>
      <c r="J6190">
        <v>4</v>
      </c>
      <c r="K6190" t="s">
        <v>821</v>
      </c>
      <c r="M6190">
        <v>1</v>
      </c>
    </row>
    <row r="6191" spans="1:13">
      <c r="A6191" t="s">
        <v>11545</v>
      </c>
      <c r="B6191" t="s">
        <v>10922</v>
      </c>
      <c r="C6191" s="34" t="s">
        <v>6351</v>
      </c>
      <c r="F6191" t="s">
        <v>6351</v>
      </c>
      <c r="G6191" t="s">
        <v>6932</v>
      </c>
      <c r="H6191">
        <v>5</v>
      </c>
    </row>
    <row r="6192" spans="1:13">
      <c r="A6192" t="s">
        <v>2870</v>
      </c>
      <c r="B6192" t="s">
        <v>1320</v>
      </c>
      <c r="C6192" s="34" t="s">
        <v>776</v>
      </c>
      <c r="F6192" t="s">
        <v>776</v>
      </c>
      <c r="H6192">
        <v>5</v>
      </c>
      <c r="I6192">
        <f>VLOOKUP(B6192,BRAND!B:D,3,FALSE)</f>
        <v>3</v>
      </c>
      <c r="J6192">
        <v>5</v>
      </c>
      <c r="K6192" t="s">
        <v>821</v>
      </c>
      <c r="L6192">
        <v>0</v>
      </c>
      <c r="M6192">
        <v>0</v>
      </c>
    </row>
    <row r="6193" spans="1:13">
      <c r="A6193" t="s">
        <v>9066</v>
      </c>
      <c r="B6193" t="s">
        <v>9067</v>
      </c>
      <c r="C6193" s="34" t="s">
        <v>1438</v>
      </c>
      <c r="F6193" t="s">
        <v>1438</v>
      </c>
      <c r="G6193" t="s">
        <v>6932</v>
      </c>
      <c r="H6193">
        <v>5</v>
      </c>
      <c r="I6193">
        <f>VLOOKUP(B6193,BRAND!B:D,3,FALSE)</f>
        <v>5.5</v>
      </c>
      <c r="J6193">
        <v>4</v>
      </c>
      <c r="M6193">
        <v>1</v>
      </c>
    </row>
    <row r="6194" spans="1:13">
      <c r="A6194" t="s">
        <v>7091</v>
      </c>
      <c r="B6194" t="s">
        <v>6619</v>
      </c>
      <c r="C6194" s="34" t="s">
        <v>1438</v>
      </c>
      <c r="F6194" t="s">
        <v>1438</v>
      </c>
      <c r="H6194">
        <v>5</v>
      </c>
      <c r="I6194">
        <f>VLOOKUP(B6194,BRAND!B:D,3,FALSE)</f>
        <v>5</v>
      </c>
      <c r="J6194">
        <v>4</v>
      </c>
      <c r="M6194">
        <v>1</v>
      </c>
    </row>
    <row r="6195" spans="1:13">
      <c r="A6195" t="s">
        <v>7091</v>
      </c>
      <c r="B6195" t="s">
        <v>6619</v>
      </c>
      <c r="C6195" s="34" t="s">
        <v>1438</v>
      </c>
      <c r="F6195" t="s">
        <v>1438</v>
      </c>
      <c r="H6195">
        <v>5</v>
      </c>
      <c r="I6195">
        <f>VLOOKUP(B6195,BRAND!B:D,3,FALSE)</f>
        <v>5</v>
      </c>
      <c r="J6195">
        <v>4</v>
      </c>
      <c r="M6195">
        <v>1</v>
      </c>
    </row>
    <row r="6196" spans="1:13">
      <c r="A6196" t="s">
        <v>10551</v>
      </c>
      <c r="B6196" t="s">
        <v>10337</v>
      </c>
      <c r="C6196" s="34" t="s">
        <v>1483</v>
      </c>
      <c r="F6196" t="s">
        <v>1483</v>
      </c>
      <c r="G6196" t="s">
        <v>2000</v>
      </c>
      <c r="H6196">
        <v>5</v>
      </c>
      <c r="I6196">
        <f>VLOOKUP(B6196,BRAND!B:D,3,FALSE)</f>
        <v>5</v>
      </c>
      <c r="J6196">
        <f>LEN(F6196)</f>
        <v>9</v>
      </c>
      <c r="L6196">
        <v>0</v>
      </c>
    </row>
    <row r="6197" spans="1:13">
      <c r="A6197" t="s">
        <v>10550</v>
      </c>
      <c r="B6197" t="s">
        <v>10337</v>
      </c>
      <c r="C6197" s="34" t="s">
        <v>1483</v>
      </c>
      <c r="F6197" t="s">
        <v>1483</v>
      </c>
      <c r="G6197" t="s">
        <v>6932</v>
      </c>
      <c r="H6197">
        <v>5</v>
      </c>
      <c r="I6197">
        <f>VLOOKUP(B6197,BRAND!B:D,3,FALSE)</f>
        <v>5</v>
      </c>
      <c r="J6197">
        <f>LEN(F6197)</f>
        <v>9</v>
      </c>
      <c r="L6197">
        <v>0</v>
      </c>
    </row>
    <row r="6198" spans="1:13">
      <c r="A6198" t="s">
        <v>9068</v>
      </c>
      <c r="B6198" t="s">
        <v>9069</v>
      </c>
      <c r="C6198" s="34" t="s">
        <v>1438</v>
      </c>
      <c r="F6198" t="s">
        <v>1438</v>
      </c>
      <c r="G6198" t="s">
        <v>6932</v>
      </c>
      <c r="H6198">
        <v>5</v>
      </c>
      <c r="I6198">
        <f>VLOOKUP(B6198,BRAND!B:D,3,FALSE)</f>
        <v>5.5</v>
      </c>
      <c r="J6198">
        <v>4</v>
      </c>
      <c r="M6198">
        <v>1</v>
      </c>
    </row>
    <row r="6199" spans="1:13">
      <c r="A6199" t="s">
        <v>11925</v>
      </c>
      <c r="B6199" t="s">
        <v>10954</v>
      </c>
      <c r="C6199" s="34" t="s">
        <v>10797</v>
      </c>
      <c r="F6199" t="s">
        <v>10797</v>
      </c>
      <c r="G6199" t="s">
        <v>6932</v>
      </c>
      <c r="H6199">
        <v>5</v>
      </c>
    </row>
    <row r="6200" spans="1:13">
      <c r="A6200" t="s">
        <v>11926</v>
      </c>
      <c r="B6200" t="s">
        <v>10954</v>
      </c>
      <c r="C6200" s="34" t="s">
        <v>1208</v>
      </c>
      <c r="F6200" t="s">
        <v>1208</v>
      </c>
      <c r="G6200" t="s">
        <v>6932</v>
      </c>
      <c r="H6200">
        <v>5</v>
      </c>
    </row>
    <row r="6201" spans="1:13">
      <c r="A6201" t="s">
        <v>11927</v>
      </c>
      <c r="B6201" t="s">
        <v>10954</v>
      </c>
      <c r="C6201" s="34" t="s">
        <v>8277</v>
      </c>
      <c r="F6201" t="s">
        <v>8277</v>
      </c>
      <c r="G6201" t="s">
        <v>6932</v>
      </c>
      <c r="H6201">
        <v>5</v>
      </c>
    </row>
    <row r="6202" spans="1:13">
      <c r="A6202" t="s">
        <v>11928</v>
      </c>
      <c r="B6202" t="s">
        <v>10954</v>
      </c>
      <c r="C6202" s="34" t="s">
        <v>11315</v>
      </c>
      <c r="F6202" t="s">
        <v>11315</v>
      </c>
      <c r="G6202" t="s">
        <v>6932</v>
      </c>
      <c r="H6202">
        <v>5</v>
      </c>
    </row>
    <row r="6203" spans="1:13">
      <c r="A6203" t="s">
        <v>11929</v>
      </c>
      <c r="B6203" t="s">
        <v>10954</v>
      </c>
      <c r="C6203" s="34" t="s">
        <v>11316</v>
      </c>
      <c r="F6203" t="s">
        <v>11316</v>
      </c>
      <c r="G6203" t="s">
        <v>6932</v>
      </c>
      <c r="H6203">
        <v>5</v>
      </c>
    </row>
    <row r="6204" spans="1:13">
      <c r="A6204" t="s">
        <v>11930</v>
      </c>
      <c r="B6204" t="s">
        <v>10954</v>
      </c>
      <c r="C6204" s="34" t="s">
        <v>11317</v>
      </c>
      <c r="F6204" t="s">
        <v>11317</v>
      </c>
      <c r="G6204" t="s">
        <v>6932</v>
      </c>
      <c r="H6204">
        <v>5</v>
      </c>
    </row>
    <row r="6205" spans="1:13">
      <c r="A6205" t="s">
        <v>11931</v>
      </c>
      <c r="B6205" t="s">
        <v>10954</v>
      </c>
      <c r="C6205" s="34" t="s">
        <v>11318</v>
      </c>
      <c r="F6205" t="s">
        <v>11318</v>
      </c>
      <c r="G6205" t="s">
        <v>6932</v>
      </c>
      <c r="H6205">
        <v>5</v>
      </c>
    </row>
    <row r="6206" spans="1:13">
      <c r="A6206" t="s">
        <v>11932</v>
      </c>
      <c r="B6206" t="s">
        <v>10954</v>
      </c>
      <c r="C6206" s="34" t="s">
        <v>11319</v>
      </c>
      <c r="F6206" t="s">
        <v>11319</v>
      </c>
      <c r="G6206" t="s">
        <v>6932</v>
      </c>
      <c r="H6206">
        <v>5</v>
      </c>
    </row>
    <row r="6207" spans="1:13">
      <c r="A6207" t="s">
        <v>11933</v>
      </c>
      <c r="B6207" t="s">
        <v>10954</v>
      </c>
      <c r="C6207" s="34" t="s">
        <v>11320</v>
      </c>
      <c r="F6207" t="s">
        <v>11320</v>
      </c>
      <c r="G6207" t="s">
        <v>6932</v>
      </c>
      <c r="H6207">
        <v>5</v>
      </c>
    </row>
    <row r="6208" spans="1:13">
      <c r="A6208" t="s">
        <v>11934</v>
      </c>
      <c r="B6208" t="s">
        <v>10954</v>
      </c>
      <c r="C6208" s="34" t="s">
        <v>11321</v>
      </c>
      <c r="F6208" t="s">
        <v>11321</v>
      </c>
      <c r="G6208" t="s">
        <v>6932</v>
      </c>
      <c r="H6208">
        <v>5</v>
      </c>
    </row>
    <row r="6209" spans="1:13">
      <c r="A6209" t="s">
        <v>11935</v>
      </c>
      <c r="B6209" t="s">
        <v>10954</v>
      </c>
      <c r="C6209" s="34" t="s">
        <v>11322</v>
      </c>
      <c r="F6209" t="s">
        <v>11322</v>
      </c>
      <c r="G6209" t="s">
        <v>6932</v>
      </c>
      <c r="H6209">
        <v>5</v>
      </c>
    </row>
    <row r="6210" spans="1:13">
      <c r="A6210" t="s">
        <v>11936</v>
      </c>
      <c r="B6210" t="s">
        <v>10954</v>
      </c>
      <c r="C6210" s="34" t="s">
        <v>11323</v>
      </c>
      <c r="F6210" t="s">
        <v>11323</v>
      </c>
      <c r="G6210" t="s">
        <v>6932</v>
      </c>
      <c r="H6210">
        <v>5</v>
      </c>
    </row>
    <row r="6211" spans="1:13">
      <c r="A6211" t="s">
        <v>11937</v>
      </c>
      <c r="B6211" t="s">
        <v>10954</v>
      </c>
      <c r="C6211" s="34" t="s">
        <v>11324</v>
      </c>
      <c r="F6211" t="s">
        <v>11324</v>
      </c>
      <c r="G6211" t="s">
        <v>6932</v>
      </c>
      <c r="H6211">
        <v>5</v>
      </c>
    </row>
    <row r="6212" spans="1:13">
      <c r="A6212" t="s">
        <v>11938</v>
      </c>
      <c r="B6212" t="s">
        <v>10954</v>
      </c>
      <c r="C6212" s="34" t="s">
        <v>11325</v>
      </c>
      <c r="F6212" t="s">
        <v>11325</v>
      </c>
      <c r="G6212" t="s">
        <v>6932</v>
      </c>
      <c r="H6212">
        <v>5</v>
      </c>
    </row>
    <row r="6213" spans="1:13">
      <c r="A6213" t="s">
        <v>11939</v>
      </c>
      <c r="B6213" t="s">
        <v>10954</v>
      </c>
      <c r="C6213" s="34" t="s">
        <v>11326</v>
      </c>
      <c r="F6213" t="s">
        <v>11326</v>
      </c>
      <c r="G6213" t="s">
        <v>801</v>
      </c>
      <c r="H6213">
        <v>5</v>
      </c>
    </row>
    <row r="6214" spans="1:13">
      <c r="A6214" t="s">
        <v>11940</v>
      </c>
      <c r="B6214" t="s">
        <v>10954</v>
      </c>
      <c r="C6214" s="34" t="s">
        <v>11327</v>
      </c>
      <c r="F6214" t="s">
        <v>11327</v>
      </c>
      <c r="G6214" t="s">
        <v>6932</v>
      </c>
      <c r="H6214">
        <v>5</v>
      </c>
    </row>
    <row r="6215" spans="1:13">
      <c r="A6215" t="s">
        <v>11941</v>
      </c>
      <c r="B6215" t="s">
        <v>10954</v>
      </c>
      <c r="C6215" s="34" t="s">
        <v>11328</v>
      </c>
      <c r="F6215" t="s">
        <v>11328</v>
      </c>
      <c r="G6215" t="s">
        <v>6932</v>
      </c>
      <c r="H6215">
        <v>5</v>
      </c>
    </row>
    <row r="6216" spans="1:13">
      <c r="A6216" t="s">
        <v>11942</v>
      </c>
      <c r="B6216" t="s">
        <v>10954</v>
      </c>
      <c r="C6216" s="34" t="s">
        <v>11329</v>
      </c>
      <c r="F6216" t="s">
        <v>11329</v>
      </c>
      <c r="G6216" t="s">
        <v>6932</v>
      </c>
      <c r="H6216">
        <v>5</v>
      </c>
    </row>
    <row r="6217" spans="1:13">
      <c r="A6217" t="s">
        <v>11943</v>
      </c>
      <c r="B6217" t="s">
        <v>10954</v>
      </c>
      <c r="C6217" s="34" t="s">
        <v>11330</v>
      </c>
      <c r="F6217" t="s">
        <v>11330</v>
      </c>
      <c r="G6217" t="s">
        <v>6932</v>
      </c>
      <c r="H6217">
        <v>5</v>
      </c>
    </row>
    <row r="6218" spans="1:13">
      <c r="A6218" t="s">
        <v>11944</v>
      </c>
      <c r="B6218" t="s">
        <v>10954</v>
      </c>
      <c r="C6218" s="34" t="s">
        <v>777</v>
      </c>
      <c r="F6218" t="s">
        <v>777</v>
      </c>
      <c r="G6218" t="s">
        <v>6932</v>
      </c>
      <c r="H6218">
        <v>5</v>
      </c>
    </row>
    <row r="6219" spans="1:13">
      <c r="A6219" t="s">
        <v>11945</v>
      </c>
      <c r="B6219" t="s">
        <v>10954</v>
      </c>
      <c r="C6219" s="34" t="s">
        <v>11331</v>
      </c>
      <c r="F6219" t="s">
        <v>11331</v>
      </c>
      <c r="G6219" t="s">
        <v>6932</v>
      </c>
      <c r="H6219">
        <v>5</v>
      </c>
    </row>
    <row r="6220" spans="1:13">
      <c r="A6220" t="s">
        <v>11946</v>
      </c>
      <c r="B6220" t="s">
        <v>10954</v>
      </c>
      <c r="C6220" s="34" t="s">
        <v>11332</v>
      </c>
      <c r="F6220" t="s">
        <v>11332</v>
      </c>
      <c r="G6220" t="s">
        <v>6932</v>
      </c>
      <c r="H6220">
        <v>5</v>
      </c>
    </row>
    <row r="6221" spans="1:13">
      <c r="A6221" t="s">
        <v>11947</v>
      </c>
      <c r="B6221" t="s">
        <v>10954</v>
      </c>
      <c r="C6221" s="34" t="s">
        <v>11333</v>
      </c>
      <c r="F6221" t="s">
        <v>11333</v>
      </c>
      <c r="G6221" t="s">
        <v>6932</v>
      </c>
      <c r="H6221">
        <v>5</v>
      </c>
    </row>
    <row r="6222" spans="1:13">
      <c r="A6222" t="s">
        <v>11948</v>
      </c>
      <c r="B6222" t="s">
        <v>10954</v>
      </c>
      <c r="C6222" s="34" t="s">
        <v>11334</v>
      </c>
      <c r="F6222" t="s">
        <v>11334</v>
      </c>
      <c r="G6222" t="s">
        <v>6932</v>
      </c>
      <c r="H6222">
        <v>5</v>
      </c>
    </row>
    <row r="6223" spans="1:13">
      <c r="A6223" t="s">
        <v>4140</v>
      </c>
      <c r="B6223" t="s">
        <v>569</v>
      </c>
      <c r="C6223" s="34" t="s">
        <v>783</v>
      </c>
      <c r="F6223" t="s">
        <v>783</v>
      </c>
      <c r="H6223">
        <v>5</v>
      </c>
      <c r="I6223">
        <f>VLOOKUP(B6223,BRAND!B:D,3,FALSE)</f>
        <v>3</v>
      </c>
      <c r="J6223">
        <f>LEN(F6223)</f>
        <v>10</v>
      </c>
      <c r="K6223" t="s">
        <v>821</v>
      </c>
      <c r="L6223">
        <v>0</v>
      </c>
      <c r="M6223">
        <v>0</v>
      </c>
    </row>
    <row r="6224" spans="1:13">
      <c r="A6224" t="s">
        <v>9070</v>
      </c>
      <c r="B6224" t="s">
        <v>569</v>
      </c>
      <c r="C6224" s="34" t="s">
        <v>1438</v>
      </c>
      <c r="F6224" t="s">
        <v>1438</v>
      </c>
      <c r="G6224" t="s">
        <v>6932</v>
      </c>
      <c r="H6224">
        <v>5</v>
      </c>
      <c r="I6224">
        <f>VLOOKUP(B6224,BRAND!B:D,3,FALSE)</f>
        <v>3</v>
      </c>
      <c r="J6224">
        <v>4</v>
      </c>
      <c r="M6224">
        <v>1</v>
      </c>
    </row>
    <row r="6225" spans="1:13">
      <c r="A6225" t="s">
        <v>2308</v>
      </c>
      <c r="B6225" t="s">
        <v>569</v>
      </c>
      <c r="C6225" s="34" t="s">
        <v>1438</v>
      </c>
      <c r="F6225" t="s">
        <v>1438</v>
      </c>
      <c r="H6225">
        <v>15</v>
      </c>
      <c r="I6225">
        <f>VLOOKUP(B6225,BRAND!B:D,3,FALSE)</f>
        <v>3</v>
      </c>
      <c r="J6225">
        <v>4</v>
      </c>
      <c r="K6225" t="s">
        <v>821</v>
      </c>
      <c r="L6225">
        <v>0</v>
      </c>
      <c r="M6225">
        <v>0</v>
      </c>
    </row>
    <row r="6226" spans="1:13">
      <c r="A6226" t="s">
        <v>3329</v>
      </c>
      <c r="B6226" t="s">
        <v>499</v>
      </c>
      <c r="C6226" s="34" t="s">
        <v>772</v>
      </c>
      <c r="F6226" t="s">
        <v>772</v>
      </c>
      <c r="H6226">
        <v>5</v>
      </c>
      <c r="I6226">
        <f>VLOOKUP(B6226,BRAND!B:D,3,FALSE)</f>
        <v>3</v>
      </c>
      <c r="J6226">
        <v>6</v>
      </c>
      <c r="K6226" t="s">
        <v>821</v>
      </c>
      <c r="L6226">
        <v>0</v>
      </c>
      <c r="M6226">
        <v>0</v>
      </c>
    </row>
    <row r="6227" spans="1:13">
      <c r="A6227" t="s">
        <v>4150</v>
      </c>
      <c r="B6227" t="s">
        <v>499</v>
      </c>
      <c r="C6227" s="34" t="s">
        <v>913</v>
      </c>
      <c r="F6227" t="s">
        <v>913</v>
      </c>
      <c r="H6227">
        <v>5</v>
      </c>
      <c r="I6227">
        <f>VLOOKUP(B6227,BRAND!B:D,3,FALSE)</f>
        <v>3</v>
      </c>
      <c r="J6227">
        <v>5</v>
      </c>
      <c r="K6227" t="s">
        <v>821</v>
      </c>
      <c r="M6227">
        <v>1</v>
      </c>
    </row>
    <row r="6228" spans="1:13">
      <c r="A6228" t="s">
        <v>11487</v>
      </c>
      <c r="B6228" t="s">
        <v>499</v>
      </c>
      <c r="C6228" s="34" t="s">
        <v>1438</v>
      </c>
      <c r="F6228" t="s">
        <v>1438</v>
      </c>
      <c r="G6228" t="s">
        <v>6932</v>
      </c>
      <c r="H6228">
        <v>5</v>
      </c>
    </row>
    <row r="6229" spans="1:13">
      <c r="A6229" t="s">
        <v>2625</v>
      </c>
      <c r="B6229" t="s">
        <v>499</v>
      </c>
      <c r="C6229" s="34" t="s">
        <v>1438</v>
      </c>
      <c r="F6229" t="s">
        <v>1438</v>
      </c>
      <c r="H6229">
        <v>15</v>
      </c>
      <c r="I6229">
        <f>VLOOKUP(B6229,BRAND!B:D,3,FALSE)</f>
        <v>3</v>
      </c>
      <c r="J6229">
        <v>4</v>
      </c>
      <c r="K6229" t="s">
        <v>821</v>
      </c>
      <c r="L6229">
        <v>0</v>
      </c>
      <c r="M6229">
        <v>0</v>
      </c>
    </row>
    <row r="6230" spans="1:13">
      <c r="A6230" t="s">
        <v>3341</v>
      </c>
      <c r="B6230" t="s">
        <v>1321</v>
      </c>
      <c r="C6230" s="34" t="s">
        <v>1438</v>
      </c>
      <c r="F6230" t="s">
        <v>1438</v>
      </c>
      <c r="H6230">
        <v>15</v>
      </c>
      <c r="I6230">
        <f>VLOOKUP(B6230,BRAND!B:D,3,FALSE)</f>
        <v>3</v>
      </c>
      <c r="J6230">
        <v>4</v>
      </c>
      <c r="K6230" t="s">
        <v>821</v>
      </c>
      <c r="L6230">
        <v>0</v>
      </c>
      <c r="M6230">
        <v>0</v>
      </c>
    </row>
    <row r="6231" spans="1:13">
      <c r="A6231" t="s">
        <v>6803</v>
      </c>
      <c r="B6231" t="s">
        <v>6804</v>
      </c>
      <c r="C6231" s="34" t="s">
        <v>79</v>
      </c>
      <c r="F6231" t="s">
        <v>79</v>
      </c>
      <c r="H6231">
        <v>5</v>
      </c>
      <c r="I6231">
        <f>VLOOKUP(B6231,BRAND!B:D,3,FALSE)</f>
        <v>5</v>
      </c>
      <c r="J6231">
        <f>LEN(F6231)</f>
        <v>11</v>
      </c>
      <c r="M6231">
        <v>1</v>
      </c>
    </row>
    <row r="6232" spans="1:13">
      <c r="A6232" t="s">
        <v>9071</v>
      </c>
      <c r="B6232" t="s">
        <v>477</v>
      </c>
      <c r="C6232" s="34" t="s">
        <v>1438</v>
      </c>
      <c r="F6232" t="s">
        <v>1438</v>
      </c>
      <c r="G6232" t="s">
        <v>6932</v>
      </c>
      <c r="H6232">
        <v>5</v>
      </c>
      <c r="I6232">
        <f>VLOOKUP(B6232,BRAND!B:D,3,FALSE)</f>
        <v>3</v>
      </c>
      <c r="J6232">
        <v>4</v>
      </c>
      <c r="L6232">
        <v>0</v>
      </c>
      <c r="M6232">
        <v>0</v>
      </c>
    </row>
    <row r="6233" spans="1:13">
      <c r="A6233" t="s">
        <v>2912</v>
      </c>
      <c r="B6233" t="s">
        <v>477</v>
      </c>
      <c r="C6233" s="34" t="s">
        <v>561</v>
      </c>
      <c r="F6233" t="s">
        <v>561</v>
      </c>
      <c r="H6233">
        <v>5</v>
      </c>
      <c r="I6233">
        <f>VLOOKUP(B6233,BRAND!B:D,3,FALSE)</f>
        <v>3</v>
      </c>
      <c r="J6233">
        <v>3</v>
      </c>
      <c r="K6233" t="s">
        <v>821</v>
      </c>
      <c r="L6233">
        <v>0</v>
      </c>
      <c r="M6233">
        <v>0</v>
      </c>
    </row>
    <row r="6234" spans="1:13">
      <c r="A6234" t="s">
        <v>9787</v>
      </c>
      <c r="B6234" t="s">
        <v>477</v>
      </c>
      <c r="C6234" s="34" t="s">
        <v>561</v>
      </c>
      <c r="G6234" t="s">
        <v>6932</v>
      </c>
      <c r="H6234">
        <v>5</v>
      </c>
      <c r="I6234">
        <f>VLOOKUP(B6234,BRAND!B:D,3,FALSE)</f>
        <v>3</v>
      </c>
      <c r="J6234">
        <f>LEN(F6234)</f>
        <v>0</v>
      </c>
      <c r="L6234">
        <v>0</v>
      </c>
      <c r="M6234">
        <v>0</v>
      </c>
    </row>
    <row r="6235" spans="1:13">
      <c r="A6235" t="s">
        <v>9788</v>
      </c>
      <c r="B6235" t="s">
        <v>477</v>
      </c>
      <c r="C6235" s="34" t="s">
        <v>534</v>
      </c>
      <c r="H6235">
        <v>5</v>
      </c>
      <c r="I6235">
        <f>VLOOKUP(B6235,BRAND!B:D,3,FALSE)</f>
        <v>3</v>
      </c>
      <c r="J6235">
        <f>LEN(F6235)</f>
        <v>0</v>
      </c>
      <c r="L6235">
        <v>0</v>
      </c>
      <c r="M6235">
        <v>0</v>
      </c>
    </row>
    <row r="6236" spans="1:13">
      <c r="A6236" t="s">
        <v>9788</v>
      </c>
      <c r="B6236" t="s">
        <v>477</v>
      </c>
      <c r="C6236" s="34" t="s">
        <v>534</v>
      </c>
      <c r="H6236">
        <v>5</v>
      </c>
      <c r="I6236">
        <f>VLOOKUP(B6236,BRAND!B:D,3,FALSE)</f>
        <v>3</v>
      </c>
      <c r="J6236">
        <v>0</v>
      </c>
      <c r="M6236">
        <v>1</v>
      </c>
    </row>
    <row r="6237" spans="1:13">
      <c r="A6237" t="s">
        <v>9787</v>
      </c>
      <c r="B6237" t="s">
        <v>477</v>
      </c>
      <c r="C6237" s="34" t="s">
        <v>561</v>
      </c>
      <c r="G6237" t="s">
        <v>6932</v>
      </c>
      <c r="H6237">
        <v>5</v>
      </c>
      <c r="I6237">
        <f>VLOOKUP(B6237,BRAND!B:D,3,FALSE)</f>
        <v>3</v>
      </c>
      <c r="J6237">
        <v>0</v>
      </c>
      <c r="M6237">
        <v>1</v>
      </c>
    </row>
    <row r="6238" spans="1:13">
      <c r="A6238" t="s">
        <v>2800</v>
      </c>
      <c r="B6238" t="s">
        <v>477</v>
      </c>
      <c r="C6238" s="34" t="s">
        <v>1438</v>
      </c>
      <c r="F6238" t="s">
        <v>1438</v>
      </c>
      <c r="H6238">
        <v>15</v>
      </c>
      <c r="I6238">
        <f>VLOOKUP(B6238,BRAND!B:D,3,FALSE)</f>
        <v>3</v>
      </c>
      <c r="J6238">
        <v>4</v>
      </c>
      <c r="K6238" t="s">
        <v>821</v>
      </c>
      <c r="L6238">
        <v>0</v>
      </c>
      <c r="M6238">
        <v>0</v>
      </c>
    </row>
    <row r="6239" spans="1:13">
      <c r="A6239" t="s">
        <v>3363</v>
      </c>
      <c r="B6239" t="s">
        <v>135</v>
      </c>
      <c r="C6239" s="34" t="s">
        <v>536</v>
      </c>
      <c r="F6239" t="s">
        <v>6461</v>
      </c>
      <c r="H6239">
        <v>5</v>
      </c>
      <c r="I6239">
        <f>VLOOKUP(B6239,BRAND!B:D,3,FALSE)</f>
        <v>3</v>
      </c>
      <c r="J6239">
        <f>LEN(F6239)</f>
        <v>12</v>
      </c>
      <c r="K6239" t="s">
        <v>821</v>
      </c>
      <c r="L6239">
        <v>0</v>
      </c>
      <c r="M6239">
        <v>0</v>
      </c>
    </row>
    <row r="6240" spans="1:13">
      <c r="A6240" t="s">
        <v>9072</v>
      </c>
      <c r="B6240" t="s">
        <v>135</v>
      </c>
      <c r="C6240" s="34" t="s">
        <v>1438</v>
      </c>
      <c r="F6240" t="s">
        <v>1438</v>
      </c>
      <c r="G6240" t="s">
        <v>6932</v>
      </c>
      <c r="H6240">
        <v>5</v>
      </c>
      <c r="I6240">
        <f>VLOOKUP(B6240,BRAND!B:D,3,FALSE)</f>
        <v>3</v>
      </c>
      <c r="J6240">
        <v>4</v>
      </c>
      <c r="L6240">
        <v>0</v>
      </c>
      <c r="M6240">
        <v>0</v>
      </c>
    </row>
    <row r="6241" spans="1:13">
      <c r="A6241" t="s">
        <v>9789</v>
      </c>
      <c r="B6241" t="s">
        <v>135</v>
      </c>
      <c r="C6241" s="34" t="s">
        <v>765</v>
      </c>
      <c r="G6241" t="s">
        <v>6932</v>
      </c>
      <c r="H6241">
        <v>5</v>
      </c>
      <c r="I6241">
        <f>VLOOKUP(B6241,BRAND!B:D,3,FALSE)</f>
        <v>3</v>
      </c>
      <c r="J6241">
        <f>LEN(F6241)</f>
        <v>0</v>
      </c>
      <c r="L6241">
        <v>0</v>
      </c>
      <c r="M6241">
        <v>0</v>
      </c>
    </row>
    <row r="6242" spans="1:13">
      <c r="A6242" t="s">
        <v>9789</v>
      </c>
      <c r="B6242" t="s">
        <v>135</v>
      </c>
      <c r="C6242" s="34" t="s">
        <v>765</v>
      </c>
      <c r="G6242" t="s">
        <v>6932</v>
      </c>
      <c r="H6242">
        <v>5</v>
      </c>
      <c r="I6242">
        <f>VLOOKUP(B6242,BRAND!B:D,3,FALSE)</f>
        <v>3</v>
      </c>
      <c r="J6242">
        <v>0</v>
      </c>
      <c r="M6242">
        <v>1</v>
      </c>
    </row>
    <row r="6243" spans="1:13">
      <c r="A6243" t="s">
        <v>2023</v>
      </c>
      <c r="B6243" t="s">
        <v>135</v>
      </c>
      <c r="C6243" s="34" t="s">
        <v>1438</v>
      </c>
      <c r="F6243" t="s">
        <v>1438</v>
      </c>
      <c r="H6243">
        <v>15</v>
      </c>
      <c r="I6243">
        <f>VLOOKUP(B6243,BRAND!B:D,3,FALSE)</f>
        <v>3</v>
      </c>
      <c r="J6243">
        <v>4</v>
      </c>
      <c r="K6243" t="s">
        <v>821</v>
      </c>
      <c r="M6243">
        <v>1</v>
      </c>
    </row>
    <row r="6244" spans="1:13">
      <c r="A6244" t="s">
        <v>5495</v>
      </c>
      <c r="B6244" t="s">
        <v>136</v>
      </c>
      <c r="C6244" s="34" t="s">
        <v>1438</v>
      </c>
      <c r="F6244" t="s">
        <v>1438</v>
      </c>
      <c r="H6244">
        <v>5</v>
      </c>
      <c r="I6244">
        <f>VLOOKUP(B6244,BRAND!B:D,3,FALSE)</f>
        <v>3</v>
      </c>
      <c r="J6244">
        <v>4</v>
      </c>
      <c r="K6244" t="s">
        <v>821</v>
      </c>
      <c r="M6244">
        <v>1</v>
      </c>
    </row>
    <row r="6245" spans="1:13">
      <c r="A6245" t="s">
        <v>9790</v>
      </c>
      <c r="B6245" t="s">
        <v>136</v>
      </c>
      <c r="C6245" s="34" t="s">
        <v>534</v>
      </c>
      <c r="G6245" t="s">
        <v>6932</v>
      </c>
      <c r="H6245">
        <v>5</v>
      </c>
      <c r="I6245">
        <f>VLOOKUP(B6245,BRAND!B:D,3,FALSE)</f>
        <v>3</v>
      </c>
      <c r="J6245">
        <f>LEN(F6245)</f>
        <v>0</v>
      </c>
      <c r="L6245">
        <v>0</v>
      </c>
      <c r="M6245">
        <v>0</v>
      </c>
    </row>
    <row r="6246" spans="1:13">
      <c r="A6246" t="s">
        <v>9790</v>
      </c>
      <c r="B6246" t="s">
        <v>136</v>
      </c>
      <c r="C6246" s="34" t="s">
        <v>534</v>
      </c>
      <c r="G6246" t="s">
        <v>6932</v>
      </c>
      <c r="H6246">
        <v>5</v>
      </c>
      <c r="I6246">
        <f>VLOOKUP(B6246,BRAND!B:D,3,FALSE)</f>
        <v>3</v>
      </c>
      <c r="J6246">
        <v>0</v>
      </c>
      <c r="M6246">
        <v>1</v>
      </c>
    </row>
    <row r="6247" spans="1:13">
      <c r="A6247" t="s">
        <v>3310</v>
      </c>
      <c r="B6247" t="s">
        <v>1322</v>
      </c>
      <c r="C6247" s="34" t="s">
        <v>1438</v>
      </c>
      <c r="F6247" t="s">
        <v>1438</v>
      </c>
      <c r="H6247">
        <v>15</v>
      </c>
      <c r="I6247">
        <f>VLOOKUP(B6247,BRAND!B:D,3,FALSE)</f>
        <v>3</v>
      </c>
      <c r="J6247">
        <v>4</v>
      </c>
      <c r="K6247" t="s">
        <v>821</v>
      </c>
      <c r="L6247">
        <v>0</v>
      </c>
      <c r="M6247">
        <v>0</v>
      </c>
    </row>
    <row r="6248" spans="1:13">
      <c r="A6248" t="s">
        <v>3735</v>
      </c>
      <c r="B6248" t="s">
        <v>570</v>
      </c>
      <c r="C6248" s="34" t="s">
        <v>534</v>
      </c>
      <c r="F6248" t="s">
        <v>534</v>
      </c>
      <c r="H6248">
        <v>5</v>
      </c>
      <c r="I6248">
        <f>VLOOKUP(B6248,BRAND!B:D,3,FALSE)</f>
        <v>3</v>
      </c>
      <c r="J6248">
        <v>6</v>
      </c>
      <c r="K6248" t="s">
        <v>821</v>
      </c>
      <c r="M6248">
        <v>1</v>
      </c>
    </row>
    <row r="6249" spans="1:13">
      <c r="A6249" t="s">
        <v>2165</v>
      </c>
      <c r="B6249" t="s">
        <v>570</v>
      </c>
      <c r="C6249" s="34" t="s">
        <v>1438</v>
      </c>
      <c r="F6249" t="s">
        <v>1438</v>
      </c>
      <c r="H6249">
        <v>15</v>
      </c>
      <c r="I6249">
        <f>VLOOKUP(B6249,BRAND!B:D,3,FALSE)</f>
        <v>3</v>
      </c>
      <c r="J6249">
        <v>4</v>
      </c>
      <c r="K6249" t="s">
        <v>821</v>
      </c>
      <c r="L6249">
        <v>0</v>
      </c>
      <c r="M6249">
        <v>0</v>
      </c>
    </row>
    <row r="6250" spans="1:13">
      <c r="A6250" t="s">
        <v>9073</v>
      </c>
      <c r="B6250" t="s">
        <v>9074</v>
      </c>
      <c r="C6250" s="34" t="s">
        <v>1438</v>
      </c>
      <c r="F6250" t="s">
        <v>1438</v>
      </c>
      <c r="G6250" t="s">
        <v>6932</v>
      </c>
      <c r="H6250">
        <v>5</v>
      </c>
      <c r="I6250">
        <f>VLOOKUP(B6250,BRAND!B:D,3,FALSE)</f>
        <v>5.5</v>
      </c>
      <c r="J6250">
        <v>4</v>
      </c>
      <c r="M6250">
        <v>1</v>
      </c>
    </row>
    <row r="6251" spans="1:13">
      <c r="A6251" t="s">
        <v>3782</v>
      </c>
      <c r="B6251" t="s">
        <v>1784</v>
      </c>
      <c r="C6251" s="34" t="s">
        <v>746</v>
      </c>
      <c r="F6251" t="s">
        <v>746</v>
      </c>
      <c r="H6251">
        <v>5</v>
      </c>
      <c r="I6251">
        <f>VLOOKUP(B6251,BRAND!B:D,3,FALSE)</f>
        <v>3</v>
      </c>
      <c r="J6251">
        <v>6</v>
      </c>
      <c r="K6251" t="s">
        <v>821</v>
      </c>
      <c r="L6251">
        <v>0</v>
      </c>
      <c r="M6251">
        <v>0</v>
      </c>
    </row>
    <row r="6252" spans="1:13">
      <c r="A6252" t="s">
        <v>3781</v>
      </c>
      <c r="B6252" t="s">
        <v>1784</v>
      </c>
      <c r="C6252" s="34" t="s">
        <v>561</v>
      </c>
      <c r="F6252" t="s">
        <v>561</v>
      </c>
      <c r="H6252">
        <v>5</v>
      </c>
      <c r="I6252">
        <f>VLOOKUP(B6252,BRAND!B:D,3,FALSE)</f>
        <v>3</v>
      </c>
      <c r="J6252">
        <v>3</v>
      </c>
      <c r="K6252" t="s">
        <v>821</v>
      </c>
      <c r="L6252">
        <v>0</v>
      </c>
      <c r="M6252">
        <v>0</v>
      </c>
    </row>
    <row r="6253" spans="1:13">
      <c r="A6253" t="s">
        <v>3099</v>
      </c>
      <c r="B6253" t="s">
        <v>1784</v>
      </c>
      <c r="C6253" s="34" t="s">
        <v>1438</v>
      </c>
      <c r="F6253" t="s">
        <v>1438</v>
      </c>
      <c r="H6253">
        <v>15</v>
      </c>
      <c r="I6253">
        <f>VLOOKUP(B6253,BRAND!B:D,3,FALSE)</f>
        <v>3</v>
      </c>
      <c r="J6253">
        <v>4</v>
      </c>
      <c r="K6253" t="s">
        <v>821</v>
      </c>
      <c r="L6253">
        <v>0</v>
      </c>
      <c r="M6253">
        <v>0</v>
      </c>
    </row>
    <row r="6254" spans="1:13">
      <c r="A6254" t="s">
        <v>2506</v>
      </c>
      <c r="B6254" t="s">
        <v>1136</v>
      </c>
      <c r="C6254" s="34" t="s">
        <v>536</v>
      </c>
      <c r="F6254" t="s">
        <v>536</v>
      </c>
      <c r="H6254">
        <v>5</v>
      </c>
      <c r="I6254">
        <f>VLOOKUP(B6254,BRAND!B:D,3,FALSE)</f>
        <v>3</v>
      </c>
      <c r="J6254">
        <v>5</v>
      </c>
      <c r="K6254" t="s">
        <v>821</v>
      </c>
      <c r="L6254">
        <v>0</v>
      </c>
      <c r="M6254">
        <v>0</v>
      </c>
    </row>
    <row r="6255" spans="1:13">
      <c r="A6255" t="s">
        <v>2507</v>
      </c>
      <c r="B6255" t="s">
        <v>1136</v>
      </c>
      <c r="C6255" s="34" t="s">
        <v>842</v>
      </c>
      <c r="F6255" t="s">
        <v>842</v>
      </c>
      <c r="H6255">
        <v>5</v>
      </c>
      <c r="I6255">
        <f>VLOOKUP(B6255,BRAND!B:D,3,FALSE)</f>
        <v>3</v>
      </c>
      <c r="J6255">
        <v>5</v>
      </c>
      <c r="K6255" t="s">
        <v>821</v>
      </c>
      <c r="L6255">
        <v>0</v>
      </c>
      <c r="M6255">
        <v>0</v>
      </c>
    </row>
    <row r="6256" spans="1:13">
      <c r="A6256" t="s">
        <v>2508</v>
      </c>
      <c r="B6256" t="s">
        <v>1136</v>
      </c>
      <c r="C6256" s="34" t="s">
        <v>1438</v>
      </c>
      <c r="F6256" t="s">
        <v>1438</v>
      </c>
      <c r="H6256">
        <v>15</v>
      </c>
      <c r="I6256">
        <f>VLOOKUP(B6256,BRAND!B:D,3,FALSE)</f>
        <v>3</v>
      </c>
      <c r="J6256">
        <v>4</v>
      </c>
      <c r="K6256" t="s">
        <v>821</v>
      </c>
      <c r="L6256">
        <v>0</v>
      </c>
      <c r="M6256">
        <v>0</v>
      </c>
    </row>
    <row r="6257" spans="1:13">
      <c r="A6257" t="s">
        <v>2262</v>
      </c>
      <c r="B6257" t="s">
        <v>137</v>
      </c>
      <c r="C6257" s="34" t="s">
        <v>1438</v>
      </c>
      <c r="F6257" t="s">
        <v>1438</v>
      </c>
      <c r="H6257">
        <v>15</v>
      </c>
      <c r="I6257">
        <f>VLOOKUP(B6257,BRAND!B:D,3,FALSE)</f>
        <v>3</v>
      </c>
      <c r="J6257">
        <v>4</v>
      </c>
      <c r="K6257" t="s">
        <v>821</v>
      </c>
      <c r="M6257">
        <v>1</v>
      </c>
    </row>
    <row r="6258" spans="1:13">
      <c r="A6258" t="s">
        <v>10100</v>
      </c>
      <c r="B6258" t="s">
        <v>138</v>
      </c>
      <c r="C6258" s="34" t="s">
        <v>769</v>
      </c>
      <c r="F6258" t="s">
        <v>769</v>
      </c>
      <c r="H6258">
        <v>5</v>
      </c>
      <c r="I6258">
        <f>VLOOKUP(B6258,BRAND!B:D,3,FALSE)</f>
        <v>3</v>
      </c>
      <c r="J6258">
        <v>8</v>
      </c>
      <c r="K6258" t="s">
        <v>821</v>
      </c>
      <c r="L6258">
        <v>0</v>
      </c>
      <c r="M6258">
        <v>0</v>
      </c>
    </row>
    <row r="6259" spans="1:13">
      <c r="A6259" t="s">
        <v>4565</v>
      </c>
      <c r="B6259" t="s">
        <v>138</v>
      </c>
      <c r="C6259" s="34" t="s">
        <v>1513</v>
      </c>
      <c r="F6259" t="s">
        <v>1513</v>
      </c>
      <c r="H6259">
        <v>5</v>
      </c>
      <c r="I6259">
        <f>VLOOKUP(B6259,BRAND!B:D,3,FALSE)</f>
        <v>3</v>
      </c>
      <c r="J6259">
        <v>5</v>
      </c>
      <c r="K6259" t="s">
        <v>821</v>
      </c>
      <c r="M6259">
        <v>1</v>
      </c>
    </row>
    <row r="6260" spans="1:13">
      <c r="A6260" t="s">
        <v>10101</v>
      </c>
      <c r="B6260" t="s">
        <v>138</v>
      </c>
      <c r="C6260" s="34" t="s">
        <v>775</v>
      </c>
      <c r="F6260" t="s">
        <v>775</v>
      </c>
      <c r="H6260">
        <v>5</v>
      </c>
      <c r="I6260">
        <f>VLOOKUP(B6260,BRAND!B:D,3,FALSE)</f>
        <v>3</v>
      </c>
      <c r="J6260">
        <v>3</v>
      </c>
      <c r="K6260" t="s">
        <v>821</v>
      </c>
      <c r="L6260">
        <v>0</v>
      </c>
      <c r="M6260">
        <v>0</v>
      </c>
    </row>
    <row r="6261" spans="1:13">
      <c r="A6261" t="s">
        <v>4917</v>
      </c>
      <c r="B6261" t="s">
        <v>138</v>
      </c>
      <c r="C6261" s="34" t="s">
        <v>5393</v>
      </c>
      <c r="F6261" t="s">
        <v>1438</v>
      </c>
      <c r="G6261" t="s">
        <v>801</v>
      </c>
      <c r="H6261">
        <v>6</v>
      </c>
      <c r="I6261">
        <f>VLOOKUP(B6261,BRAND!B:D,3,FALSE)</f>
        <v>3</v>
      </c>
      <c r="J6261">
        <v>4</v>
      </c>
      <c r="K6261" t="s">
        <v>821</v>
      </c>
      <c r="M6261">
        <v>1</v>
      </c>
    </row>
    <row r="6262" spans="1:13">
      <c r="A6262" t="s">
        <v>1544</v>
      </c>
      <c r="B6262" t="s">
        <v>138</v>
      </c>
      <c r="C6262" s="34" t="s">
        <v>5393</v>
      </c>
      <c r="F6262" t="s">
        <v>1438</v>
      </c>
      <c r="H6262">
        <v>15</v>
      </c>
      <c r="I6262">
        <f>VLOOKUP(B6262,BRAND!B:D,3,FALSE)</f>
        <v>3</v>
      </c>
      <c r="J6262">
        <v>4</v>
      </c>
      <c r="K6262" t="s">
        <v>821</v>
      </c>
      <c r="M6262">
        <v>1</v>
      </c>
    </row>
    <row r="6263" spans="1:13">
      <c r="A6263" t="s">
        <v>9075</v>
      </c>
      <c r="B6263" t="s">
        <v>571</v>
      </c>
      <c r="C6263" s="34" t="s">
        <v>1438</v>
      </c>
      <c r="F6263" t="s">
        <v>1438</v>
      </c>
      <c r="G6263" t="s">
        <v>6932</v>
      </c>
      <c r="H6263">
        <v>5</v>
      </c>
      <c r="I6263">
        <f>VLOOKUP(B6263,BRAND!B:D,3,FALSE)</f>
        <v>3</v>
      </c>
      <c r="J6263">
        <v>4</v>
      </c>
      <c r="M6263">
        <v>1</v>
      </c>
    </row>
    <row r="6264" spans="1:13">
      <c r="A6264" t="s">
        <v>2309</v>
      </c>
      <c r="B6264" t="s">
        <v>571</v>
      </c>
      <c r="C6264" s="34" t="s">
        <v>1438</v>
      </c>
      <c r="F6264" t="s">
        <v>1438</v>
      </c>
      <c r="H6264">
        <v>15</v>
      </c>
      <c r="I6264">
        <f>VLOOKUP(B6264,BRAND!B:D,3,FALSE)</f>
        <v>3</v>
      </c>
      <c r="J6264">
        <v>4</v>
      </c>
      <c r="K6264" t="s">
        <v>821</v>
      </c>
      <c r="L6264">
        <v>0</v>
      </c>
      <c r="M6264">
        <v>0</v>
      </c>
    </row>
    <row r="6265" spans="1:13">
      <c r="A6265" t="s">
        <v>15352</v>
      </c>
      <c r="B6265" t="s">
        <v>13245</v>
      </c>
      <c r="C6265" s="34" t="s">
        <v>745</v>
      </c>
      <c r="F6265" t="s">
        <v>745</v>
      </c>
      <c r="G6265" t="s">
        <v>6932</v>
      </c>
      <c r="H6265">
        <v>5</v>
      </c>
      <c r="I6265">
        <f>VLOOKUP(B6265,BRAND!B:D,3,FALSE)</f>
        <v>5</v>
      </c>
      <c r="J6265">
        <v>0</v>
      </c>
      <c r="K6265" t="s">
        <v>821</v>
      </c>
      <c r="L6265">
        <v>0</v>
      </c>
      <c r="M6265">
        <v>0</v>
      </c>
    </row>
    <row r="6266" spans="1:13">
      <c r="A6266" t="s">
        <v>15353</v>
      </c>
      <c r="B6266" t="s">
        <v>13245</v>
      </c>
      <c r="C6266" s="34" t="s">
        <v>5366</v>
      </c>
      <c r="F6266" t="s">
        <v>15354</v>
      </c>
      <c r="G6266" t="s">
        <v>6932</v>
      </c>
      <c r="H6266">
        <v>5</v>
      </c>
      <c r="I6266">
        <f>VLOOKUP(B6266,BRAND!B:D,3,FALSE)</f>
        <v>5</v>
      </c>
      <c r="J6266">
        <v>0</v>
      </c>
      <c r="K6266" t="s">
        <v>821</v>
      </c>
      <c r="L6266">
        <v>0</v>
      </c>
      <c r="M6266">
        <v>0</v>
      </c>
    </row>
    <row r="6267" spans="1:13">
      <c r="A6267" t="s">
        <v>15355</v>
      </c>
      <c r="B6267" t="s">
        <v>13245</v>
      </c>
      <c r="C6267" s="34" t="s">
        <v>9059</v>
      </c>
      <c r="F6267" t="s">
        <v>9059</v>
      </c>
      <c r="G6267" t="s">
        <v>6932</v>
      </c>
      <c r="H6267">
        <v>5</v>
      </c>
      <c r="I6267">
        <f>VLOOKUP(B6267,BRAND!B:D,3,FALSE)</f>
        <v>5</v>
      </c>
      <c r="J6267">
        <v>0</v>
      </c>
      <c r="K6267" t="s">
        <v>821</v>
      </c>
      <c r="L6267">
        <v>0</v>
      </c>
      <c r="M6267">
        <v>0</v>
      </c>
    </row>
    <row r="6268" spans="1:13">
      <c r="A6268" t="s">
        <v>15356</v>
      </c>
      <c r="B6268" t="s">
        <v>13245</v>
      </c>
      <c r="C6268" s="34" t="s">
        <v>15357</v>
      </c>
      <c r="F6268" t="s">
        <v>15357</v>
      </c>
      <c r="G6268" t="s">
        <v>6932</v>
      </c>
      <c r="H6268">
        <v>5</v>
      </c>
      <c r="I6268">
        <f>VLOOKUP(B6268,BRAND!B:D,3,FALSE)</f>
        <v>5</v>
      </c>
      <c r="J6268">
        <v>0</v>
      </c>
      <c r="K6268" t="s">
        <v>821</v>
      </c>
      <c r="L6268">
        <v>0</v>
      </c>
      <c r="M6268">
        <v>0</v>
      </c>
    </row>
    <row r="6269" spans="1:13">
      <c r="A6269" t="s">
        <v>1731</v>
      </c>
      <c r="B6269" t="s">
        <v>1448</v>
      </c>
      <c r="C6269" s="34" t="s">
        <v>995</v>
      </c>
      <c r="F6269" t="s">
        <v>995</v>
      </c>
      <c r="H6269">
        <v>5</v>
      </c>
      <c r="I6269">
        <f>VLOOKUP(B6269,BRAND!B:D,3,FALSE)</f>
        <v>3</v>
      </c>
      <c r="J6269">
        <v>6</v>
      </c>
      <c r="K6269" t="s">
        <v>822</v>
      </c>
      <c r="M6269">
        <v>1</v>
      </c>
    </row>
    <row r="6270" spans="1:13">
      <c r="A6270" t="s">
        <v>1732</v>
      </c>
      <c r="B6270" t="s">
        <v>1448</v>
      </c>
      <c r="C6270" s="34" t="s">
        <v>1513</v>
      </c>
      <c r="F6270" t="s">
        <v>1513</v>
      </c>
      <c r="H6270">
        <v>5</v>
      </c>
      <c r="I6270">
        <f>VLOOKUP(B6270,BRAND!B:D,3,FALSE)</f>
        <v>3</v>
      </c>
      <c r="J6270">
        <v>5</v>
      </c>
      <c r="K6270" t="s">
        <v>822</v>
      </c>
      <c r="M6270">
        <v>1</v>
      </c>
    </row>
    <row r="6271" spans="1:13">
      <c r="A6271" t="s">
        <v>1742</v>
      </c>
      <c r="B6271" t="s">
        <v>1448</v>
      </c>
      <c r="C6271" s="34" t="s">
        <v>764</v>
      </c>
      <c r="F6271" t="s">
        <v>764</v>
      </c>
      <c r="H6271">
        <v>5</v>
      </c>
      <c r="I6271">
        <f>VLOOKUP(B6271,BRAND!B:D,3,FALSE)</f>
        <v>3</v>
      </c>
      <c r="J6271">
        <v>5</v>
      </c>
      <c r="K6271" t="s">
        <v>822</v>
      </c>
      <c r="M6271">
        <v>1</v>
      </c>
    </row>
    <row r="6272" spans="1:13">
      <c r="A6272" t="s">
        <v>4575</v>
      </c>
      <c r="B6272" t="s">
        <v>1448</v>
      </c>
      <c r="C6272" s="34" t="s">
        <v>775</v>
      </c>
      <c r="F6272" t="s">
        <v>775</v>
      </c>
      <c r="H6272">
        <v>5</v>
      </c>
      <c r="I6272">
        <f>VLOOKUP(B6272,BRAND!B:D,3,FALSE)</f>
        <v>3</v>
      </c>
      <c r="J6272">
        <v>3</v>
      </c>
      <c r="K6272" t="s">
        <v>822</v>
      </c>
      <c r="M6272">
        <v>1</v>
      </c>
    </row>
    <row r="6273" spans="1:13">
      <c r="A6273" t="s">
        <v>1619</v>
      </c>
      <c r="B6273" t="s">
        <v>1448</v>
      </c>
      <c r="C6273" s="34" t="s">
        <v>1438</v>
      </c>
      <c r="F6273" t="s">
        <v>1438</v>
      </c>
      <c r="H6273">
        <v>15</v>
      </c>
      <c r="I6273">
        <f>VLOOKUP(B6273,BRAND!B:D,3,FALSE)</f>
        <v>3</v>
      </c>
      <c r="J6273">
        <v>4</v>
      </c>
      <c r="K6273" t="s">
        <v>822</v>
      </c>
      <c r="M6273">
        <v>1</v>
      </c>
    </row>
    <row r="6274" spans="1:13">
      <c r="A6274" t="s">
        <v>9791</v>
      </c>
      <c r="B6274" t="s">
        <v>506</v>
      </c>
      <c r="C6274" s="34" t="s">
        <v>1438</v>
      </c>
      <c r="H6274">
        <v>5</v>
      </c>
      <c r="I6274">
        <f>VLOOKUP(B6274,BRAND!B:D,3,FALSE)</f>
        <v>9</v>
      </c>
      <c r="J6274">
        <f>LEN(F6274)</f>
        <v>0</v>
      </c>
      <c r="L6274">
        <v>0</v>
      </c>
      <c r="M6274">
        <v>0</v>
      </c>
    </row>
    <row r="6275" spans="1:13">
      <c r="A6275" t="s">
        <v>9792</v>
      </c>
      <c r="B6275" t="s">
        <v>506</v>
      </c>
      <c r="C6275" s="34" t="s">
        <v>776</v>
      </c>
      <c r="H6275">
        <v>5</v>
      </c>
      <c r="I6275">
        <f>VLOOKUP(B6275,BRAND!B:D,3,FALSE)</f>
        <v>9</v>
      </c>
      <c r="J6275">
        <f>LEN(F6275)</f>
        <v>0</v>
      </c>
      <c r="L6275">
        <v>0</v>
      </c>
      <c r="M6275">
        <v>0</v>
      </c>
    </row>
    <row r="6276" spans="1:13">
      <c r="A6276" t="s">
        <v>9791</v>
      </c>
      <c r="B6276" t="s">
        <v>506</v>
      </c>
      <c r="C6276" s="34" t="s">
        <v>1438</v>
      </c>
      <c r="H6276">
        <v>5</v>
      </c>
      <c r="I6276">
        <f>VLOOKUP(B6276,BRAND!B:D,3,FALSE)</f>
        <v>9</v>
      </c>
      <c r="J6276">
        <v>0</v>
      </c>
      <c r="M6276">
        <v>1</v>
      </c>
    </row>
    <row r="6277" spans="1:13">
      <c r="A6277" t="s">
        <v>9792</v>
      </c>
      <c r="B6277" t="s">
        <v>506</v>
      </c>
      <c r="C6277" s="34" t="s">
        <v>776</v>
      </c>
      <c r="H6277">
        <v>5</v>
      </c>
      <c r="I6277">
        <f>VLOOKUP(B6277,BRAND!B:D,3,FALSE)</f>
        <v>9</v>
      </c>
      <c r="J6277">
        <v>0</v>
      </c>
      <c r="M6277">
        <v>1</v>
      </c>
    </row>
    <row r="6278" spans="1:13">
      <c r="A6278" t="s">
        <v>7148</v>
      </c>
      <c r="B6278" t="s">
        <v>435</v>
      </c>
      <c r="C6278" s="34" t="s">
        <v>536</v>
      </c>
      <c r="F6278" t="s">
        <v>536</v>
      </c>
      <c r="H6278">
        <v>5</v>
      </c>
      <c r="I6278">
        <f>VLOOKUP(B6278,BRAND!B:D,3,FALSE)</f>
        <v>3</v>
      </c>
      <c r="J6278">
        <v>5</v>
      </c>
      <c r="K6278" t="s">
        <v>821</v>
      </c>
      <c r="L6278">
        <v>0</v>
      </c>
      <c r="M6278">
        <v>0</v>
      </c>
    </row>
    <row r="6279" spans="1:13">
      <c r="A6279" t="s">
        <v>2595</v>
      </c>
      <c r="B6279" t="s">
        <v>435</v>
      </c>
      <c r="C6279" s="34" t="s">
        <v>776</v>
      </c>
      <c r="F6279" t="s">
        <v>776</v>
      </c>
      <c r="H6279">
        <v>5</v>
      </c>
      <c r="I6279">
        <f>VLOOKUP(B6279,BRAND!B:D,3,FALSE)</f>
        <v>3</v>
      </c>
      <c r="J6279">
        <v>5</v>
      </c>
      <c r="K6279" t="s">
        <v>821</v>
      </c>
      <c r="L6279">
        <v>0</v>
      </c>
      <c r="M6279">
        <v>0</v>
      </c>
    </row>
    <row r="6280" spans="1:13">
      <c r="A6280" t="s">
        <v>4226</v>
      </c>
      <c r="B6280" t="s">
        <v>435</v>
      </c>
      <c r="C6280" s="34" t="s">
        <v>786</v>
      </c>
      <c r="F6280" t="s">
        <v>786</v>
      </c>
      <c r="H6280">
        <v>5</v>
      </c>
      <c r="I6280">
        <f>VLOOKUP(B6280,BRAND!B:D,3,FALSE)</f>
        <v>3</v>
      </c>
      <c r="J6280">
        <v>3</v>
      </c>
      <c r="K6280" t="s">
        <v>821</v>
      </c>
      <c r="L6280">
        <v>0</v>
      </c>
      <c r="M6280">
        <v>0</v>
      </c>
    </row>
    <row r="6281" spans="1:13">
      <c r="A6281" t="s">
        <v>2027</v>
      </c>
      <c r="B6281" t="s">
        <v>435</v>
      </c>
      <c r="C6281" s="34" t="s">
        <v>1438</v>
      </c>
      <c r="F6281" t="s">
        <v>1438</v>
      </c>
      <c r="H6281">
        <v>15</v>
      </c>
      <c r="I6281">
        <f>VLOOKUP(B6281,BRAND!B:D,3,FALSE)</f>
        <v>3</v>
      </c>
      <c r="J6281">
        <v>4</v>
      </c>
      <c r="K6281" t="s">
        <v>821</v>
      </c>
      <c r="L6281">
        <v>0</v>
      </c>
      <c r="M6281">
        <v>0</v>
      </c>
    </row>
    <row r="6282" spans="1:13">
      <c r="A6282" t="s">
        <v>4623</v>
      </c>
      <c r="B6282" t="s">
        <v>1323</v>
      </c>
      <c r="C6282" s="34" t="s">
        <v>772</v>
      </c>
      <c r="F6282" t="s">
        <v>772</v>
      </c>
      <c r="H6282">
        <v>5</v>
      </c>
      <c r="I6282">
        <f>VLOOKUP(B6282,BRAND!B:D,3,FALSE)</f>
        <v>5.5</v>
      </c>
      <c r="J6282">
        <v>6</v>
      </c>
      <c r="K6282" t="e">
        <v>#N/A</v>
      </c>
      <c r="L6282">
        <v>0</v>
      </c>
      <c r="M6282">
        <v>0</v>
      </c>
    </row>
    <row r="6283" spans="1:13">
      <c r="A6283" t="s">
        <v>3208</v>
      </c>
      <c r="B6283" t="s">
        <v>1323</v>
      </c>
      <c r="C6283" s="34" t="s">
        <v>1438</v>
      </c>
      <c r="F6283" t="s">
        <v>1438</v>
      </c>
      <c r="H6283">
        <v>15</v>
      </c>
      <c r="I6283">
        <f>VLOOKUP(B6283,BRAND!B:D,3,FALSE)</f>
        <v>5.5</v>
      </c>
      <c r="J6283">
        <v>4</v>
      </c>
      <c r="K6283" t="e">
        <v>#N/A</v>
      </c>
      <c r="L6283">
        <v>0</v>
      </c>
      <c r="M6283">
        <v>0</v>
      </c>
    </row>
    <row r="6284" spans="1:13">
      <c r="A6284" t="s">
        <v>9076</v>
      </c>
      <c r="B6284" t="s">
        <v>9077</v>
      </c>
      <c r="C6284" s="34" t="s">
        <v>1438</v>
      </c>
      <c r="F6284" t="s">
        <v>1438</v>
      </c>
      <c r="G6284" t="s">
        <v>6932</v>
      </c>
      <c r="H6284">
        <v>5</v>
      </c>
      <c r="I6284">
        <f>VLOOKUP(B6284,BRAND!B:D,3,FALSE)</f>
        <v>5.5</v>
      </c>
      <c r="J6284">
        <v>4</v>
      </c>
      <c r="M6284">
        <v>1</v>
      </c>
    </row>
    <row r="6285" spans="1:13">
      <c r="A6285" t="s">
        <v>9081</v>
      </c>
      <c r="B6285" t="s">
        <v>9079</v>
      </c>
      <c r="C6285" s="34" t="s">
        <v>9082</v>
      </c>
      <c r="F6285" t="s">
        <v>9082</v>
      </c>
      <c r="G6285" t="s">
        <v>6932</v>
      </c>
      <c r="H6285">
        <v>5</v>
      </c>
      <c r="I6285">
        <f>VLOOKUP(B6285,BRAND!B:D,3,FALSE)</f>
        <v>5.5</v>
      </c>
      <c r="J6285">
        <v>7</v>
      </c>
      <c r="M6285">
        <v>1</v>
      </c>
    </row>
    <row r="6286" spans="1:13">
      <c r="A6286" t="s">
        <v>9080</v>
      </c>
      <c r="B6286" t="s">
        <v>9079</v>
      </c>
      <c r="C6286" s="34" t="s">
        <v>534</v>
      </c>
      <c r="F6286" t="s">
        <v>534</v>
      </c>
      <c r="G6286" t="s">
        <v>6932</v>
      </c>
      <c r="H6286">
        <v>5</v>
      </c>
      <c r="I6286">
        <f>VLOOKUP(B6286,BRAND!B:D,3,FALSE)</f>
        <v>5.5</v>
      </c>
      <c r="J6286">
        <v>6</v>
      </c>
      <c r="M6286">
        <v>1</v>
      </c>
    </row>
    <row r="6287" spans="1:13">
      <c r="A6287" t="s">
        <v>9078</v>
      </c>
      <c r="B6287" t="s">
        <v>9079</v>
      </c>
      <c r="C6287" s="34" t="s">
        <v>1438</v>
      </c>
      <c r="F6287" t="s">
        <v>1438</v>
      </c>
      <c r="G6287" t="s">
        <v>7515</v>
      </c>
      <c r="H6287">
        <v>5</v>
      </c>
      <c r="I6287">
        <f>VLOOKUP(B6287,BRAND!B:D,3,FALSE)</f>
        <v>5.5</v>
      </c>
      <c r="J6287">
        <v>4</v>
      </c>
      <c r="M6287">
        <v>1</v>
      </c>
    </row>
    <row r="6288" spans="1:13">
      <c r="A6288" t="s">
        <v>9083</v>
      </c>
      <c r="B6288" t="s">
        <v>139</v>
      </c>
      <c r="C6288" s="34" t="s">
        <v>1438</v>
      </c>
      <c r="F6288" t="s">
        <v>1438</v>
      </c>
      <c r="G6288" t="s">
        <v>6932</v>
      </c>
      <c r="H6288">
        <v>5</v>
      </c>
      <c r="I6288">
        <f>VLOOKUP(B6288,BRAND!B:D,3,FALSE)</f>
        <v>3</v>
      </c>
      <c r="J6288">
        <v>4</v>
      </c>
      <c r="L6288">
        <v>0</v>
      </c>
      <c r="M6288">
        <v>0</v>
      </c>
    </row>
    <row r="6289" spans="1:13">
      <c r="A6289" t="s">
        <v>2004</v>
      </c>
      <c r="B6289" t="s">
        <v>139</v>
      </c>
      <c r="C6289" s="34" t="s">
        <v>5418</v>
      </c>
      <c r="F6289" t="s">
        <v>1438</v>
      </c>
      <c r="H6289">
        <v>15</v>
      </c>
      <c r="I6289">
        <f>VLOOKUP(B6289,BRAND!B:D,3,FALSE)</f>
        <v>3</v>
      </c>
      <c r="J6289">
        <v>4</v>
      </c>
      <c r="K6289" t="s">
        <v>821</v>
      </c>
      <c r="M6289">
        <v>1</v>
      </c>
    </row>
    <row r="6290" spans="1:13">
      <c r="A6290" t="s">
        <v>3336</v>
      </c>
      <c r="B6290" t="s">
        <v>1187</v>
      </c>
      <c r="C6290" s="34" t="s">
        <v>772</v>
      </c>
      <c r="F6290" t="s">
        <v>772</v>
      </c>
      <c r="H6290">
        <v>5</v>
      </c>
      <c r="I6290">
        <f>VLOOKUP(B6290,BRAND!B:D,3,FALSE)</f>
        <v>3</v>
      </c>
      <c r="J6290">
        <v>6</v>
      </c>
      <c r="K6290" t="s">
        <v>821</v>
      </c>
      <c r="L6290">
        <v>0</v>
      </c>
      <c r="M6290">
        <v>0</v>
      </c>
    </row>
    <row r="6291" spans="1:13">
      <c r="A6291" t="s">
        <v>3582</v>
      </c>
      <c r="B6291" t="s">
        <v>1187</v>
      </c>
      <c r="C6291" s="34" t="s">
        <v>534</v>
      </c>
      <c r="F6291" t="s">
        <v>534</v>
      </c>
      <c r="H6291">
        <v>5</v>
      </c>
      <c r="I6291">
        <f>VLOOKUP(B6291,BRAND!B:D,3,FALSE)</f>
        <v>3</v>
      </c>
      <c r="J6291">
        <v>6</v>
      </c>
      <c r="K6291" t="s">
        <v>821</v>
      </c>
      <c r="L6291">
        <v>0</v>
      </c>
      <c r="M6291">
        <v>0</v>
      </c>
    </row>
    <row r="6292" spans="1:13">
      <c r="A6292" t="s">
        <v>2722</v>
      </c>
      <c r="B6292" t="s">
        <v>1187</v>
      </c>
      <c r="C6292" s="34" t="s">
        <v>1438</v>
      </c>
      <c r="F6292" t="s">
        <v>1438</v>
      </c>
      <c r="H6292">
        <v>15</v>
      </c>
      <c r="I6292">
        <f>VLOOKUP(B6292,BRAND!B:D,3,FALSE)</f>
        <v>3</v>
      </c>
      <c r="J6292">
        <v>4</v>
      </c>
      <c r="K6292" t="s">
        <v>821</v>
      </c>
      <c r="L6292">
        <v>0</v>
      </c>
      <c r="M6292">
        <v>0</v>
      </c>
    </row>
    <row r="6293" spans="1:13">
      <c r="A6293" t="s">
        <v>4685</v>
      </c>
      <c r="B6293" t="s">
        <v>436</v>
      </c>
      <c r="C6293" s="34" t="s">
        <v>783</v>
      </c>
      <c r="F6293" t="s">
        <v>783</v>
      </c>
      <c r="H6293">
        <v>5</v>
      </c>
      <c r="I6293">
        <f>VLOOKUP(B6293,BRAND!B:D,3,FALSE)</f>
        <v>3</v>
      </c>
      <c r="J6293">
        <f>LEN(F6293)</f>
        <v>10</v>
      </c>
      <c r="K6293" t="s">
        <v>821</v>
      </c>
      <c r="L6293">
        <v>0</v>
      </c>
      <c r="M6293">
        <v>0</v>
      </c>
    </row>
    <row r="6294" spans="1:13">
      <c r="A6294" t="s">
        <v>4817</v>
      </c>
      <c r="B6294" t="s">
        <v>436</v>
      </c>
      <c r="C6294" s="34" t="s">
        <v>775</v>
      </c>
      <c r="F6294" t="s">
        <v>775</v>
      </c>
      <c r="H6294">
        <v>5</v>
      </c>
      <c r="I6294">
        <f>VLOOKUP(B6294,BRAND!B:D,3,FALSE)</f>
        <v>3</v>
      </c>
      <c r="J6294">
        <v>3</v>
      </c>
      <c r="K6294" t="s">
        <v>821</v>
      </c>
      <c r="L6294">
        <v>0</v>
      </c>
      <c r="M6294">
        <v>0</v>
      </c>
    </row>
    <row r="6295" spans="1:13">
      <c r="A6295" t="s">
        <v>9793</v>
      </c>
      <c r="B6295" t="s">
        <v>436</v>
      </c>
      <c r="C6295" s="34" t="s">
        <v>842</v>
      </c>
      <c r="G6295" t="s">
        <v>6932</v>
      </c>
      <c r="H6295">
        <v>5</v>
      </c>
      <c r="I6295">
        <f>VLOOKUP(B6295,BRAND!B:D,3,FALSE)</f>
        <v>3</v>
      </c>
      <c r="J6295">
        <f>LEN(F6295)</f>
        <v>0</v>
      </c>
      <c r="L6295">
        <v>0</v>
      </c>
      <c r="M6295">
        <v>0</v>
      </c>
    </row>
    <row r="6296" spans="1:13">
      <c r="A6296" t="s">
        <v>9794</v>
      </c>
      <c r="B6296" t="s">
        <v>436</v>
      </c>
      <c r="C6296" s="34" t="s">
        <v>534</v>
      </c>
      <c r="G6296" t="s">
        <v>6932</v>
      </c>
      <c r="H6296">
        <v>5</v>
      </c>
      <c r="I6296">
        <f>VLOOKUP(B6296,BRAND!B:D,3,FALSE)</f>
        <v>3</v>
      </c>
      <c r="J6296">
        <f>LEN(F6296)</f>
        <v>0</v>
      </c>
      <c r="L6296">
        <v>0</v>
      </c>
      <c r="M6296">
        <v>0</v>
      </c>
    </row>
    <row r="6297" spans="1:13">
      <c r="A6297" t="s">
        <v>9794</v>
      </c>
      <c r="B6297" t="s">
        <v>436</v>
      </c>
      <c r="C6297" s="34" t="s">
        <v>534</v>
      </c>
      <c r="G6297" t="s">
        <v>6932</v>
      </c>
      <c r="H6297">
        <v>5</v>
      </c>
      <c r="I6297">
        <f>VLOOKUP(B6297,BRAND!B:D,3,FALSE)</f>
        <v>3</v>
      </c>
      <c r="J6297">
        <v>0</v>
      </c>
      <c r="L6297" s="29"/>
      <c r="M6297">
        <v>1</v>
      </c>
    </row>
    <row r="6298" spans="1:13">
      <c r="A6298" t="s">
        <v>9793</v>
      </c>
      <c r="B6298" t="s">
        <v>436</v>
      </c>
      <c r="C6298" s="34" t="s">
        <v>842</v>
      </c>
      <c r="G6298" t="s">
        <v>6932</v>
      </c>
      <c r="H6298">
        <v>5</v>
      </c>
      <c r="I6298">
        <f>VLOOKUP(B6298,BRAND!B:D,3,FALSE)</f>
        <v>3</v>
      </c>
      <c r="J6298">
        <v>0</v>
      </c>
      <c r="M6298">
        <v>1</v>
      </c>
    </row>
    <row r="6299" spans="1:13">
      <c r="A6299" t="s">
        <v>3597</v>
      </c>
      <c r="B6299" t="s">
        <v>1803</v>
      </c>
      <c r="C6299" s="34" t="s">
        <v>534</v>
      </c>
      <c r="F6299" t="s">
        <v>534</v>
      </c>
      <c r="H6299">
        <v>5</v>
      </c>
      <c r="I6299">
        <f>VLOOKUP(B6299,BRAND!B:D,3,FALSE)</f>
        <v>3</v>
      </c>
      <c r="J6299">
        <v>6</v>
      </c>
      <c r="K6299" t="s">
        <v>821</v>
      </c>
      <c r="L6299">
        <v>0</v>
      </c>
      <c r="M6299">
        <v>0</v>
      </c>
    </row>
    <row r="6300" spans="1:13">
      <c r="A6300" t="s">
        <v>3595</v>
      </c>
      <c r="B6300" t="s">
        <v>1803</v>
      </c>
      <c r="C6300" s="34" t="s">
        <v>536</v>
      </c>
      <c r="F6300" t="s">
        <v>536</v>
      </c>
      <c r="H6300">
        <v>5</v>
      </c>
      <c r="I6300">
        <f>VLOOKUP(B6300,BRAND!B:D,3,FALSE)</f>
        <v>3</v>
      </c>
      <c r="J6300">
        <v>5</v>
      </c>
      <c r="K6300" t="s">
        <v>821</v>
      </c>
      <c r="L6300">
        <v>0</v>
      </c>
      <c r="M6300">
        <v>0</v>
      </c>
    </row>
    <row r="6301" spans="1:13">
      <c r="A6301" t="s">
        <v>3709</v>
      </c>
      <c r="B6301" t="s">
        <v>572</v>
      </c>
      <c r="C6301" s="34" t="s">
        <v>772</v>
      </c>
      <c r="F6301" t="s">
        <v>772</v>
      </c>
      <c r="H6301">
        <v>5</v>
      </c>
      <c r="I6301">
        <f>VLOOKUP(B6301,BRAND!B:D,3,FALSE)</f>
        <v>3</v>
      </c>
      <c r="J6301">
        <v>6</v>
      </c>
      <c r="K6301" t="s">
        <v>821</v>
      </c>
      <c r="L6301">
        <v>0</v>
      </c>
      <c r="M6301">
        <v>0</v>
      </c>
    </row>
    <row r="6302" spans="1:13">
      <c r="A6302" t="s">
        <v>9084</v>
      </c>
      <c r="B6302" t="s">
        <v>1420</v>
      </c>
      <c r="C6302" s="34" t="s">
        <v>1438</v>
      </c>
      <c r="F6302" t="s">
        <v>1438</v>
      </c>
      <c r="G6302" t="s">
        <v>6932</v>
      </c>
      <c r="H6302">
        <v>5</v>
      </c>
      <c r="I6302">
        <f>VLOOKUP(B6302,BRAND!B:D,3,FALSE)</f>
        <v>5.5</v>
      </c>
      <c r="J6302">
        <v>4</v>
      </c>
      <c r="L6302">
        <v>0</v>
      </c>
      <c r="M6302">
        <v>0</v>
      </c>
    </row>
    <row r="6303" spans="1:13">
      <c r="A6303" t="s">
        <v>2799</v>
      </c>
      <c r="B6303" t="s">
        <v>1420</v>
      </c>
      <c r="C6303" s="34" t="s">
        <v>1438</v>
      </c>
      <c r="F6303" t="s">
        <v>1438</v>
      </c>
      <c r="H6303">
        <v>15</v>
      </c>
      <c r="I6303">
        <f>VLOOKUP(B6303,BRAND!B:D,3,FALSE)</f>
        <v>5.5</v>
      </c>
      <c r="J6303">
        <v>4</v>
      </c>
      <c r="K6303" t="e">
        <v>#N/A</v>
      </c>
      <c r="L6303">
        <v>0</v>
      </c>
      <c r="M6303">
        <v>0</v>
      </c>
    </row>
    <row r="6304" spans="1:13">
      <c r="A6304" t="s">
        <v>4231</v>
      </c>
      <c r="B6304" t="s">
        <v>613</v>
      </c>
      <c r="C6304" s="34" t="s">
        <v>1995</v>
      </c>
      <c r="F6304" t="s">
        <v>1995</v>
      </c>
      <c r="H6304">
        <v>4</v>
      </c>
      <c r="I6304">
        <f>VLOOKUP(B6304,BRAND!B:D,3,FALSE)</f>
        <v>3</v>
      </c>
      <c r="J6304">
        <f>LEN(F6304)</f>
        <v>13</v>
      </c>
      <c r="K6304" t="s">
        <v>821</v>
      </c>
      <c r="M6304">
        <v>1</v>
      </c>
    </row>
    <row r="6305" spans="1:13">
      <c r="A6305" t="s">
        <v>3956</v>
      </c>
      <c r="B6305" t="s">
        <v>613</v>
      </c>
      <c r="C6305" s="34" t="s">
        <v>10832</v>
      </c>
      <c r="F6305" t="s">
        <v>861</v>
      </c>
      <c r="H6305">
        <v>5</v>
      </c>
      <c r="I6305">
        <f>VLOOKUP(B6305,BRAND!B:D,3,FALSE)</f>
        <v>3</v>
      </c>
      <c r="J6305">
        <f>LEN(F6305)</f>
        <v>11</v>
      </c>
      <c r="K6305" t="s">
        <v>821</v>
      </c>
      <c r="L6305">
        <v>0</v>
      </c>
      <c r="M6305">
        <v>0</v>
      </c>
    </row>
    <row r="6306" spans="1:13">
      <c r="A6306" t="s">
        <v>9087</v>
      </c>
      <c r="B6306" t="s">
        <v>613</v>
      </c>
      <c r="C6306" s="34" t="s">
        <v>863</v>
      </c>
      <c r="F6306" t="s">
        <v>863</v>
      </c>
      <c r="H6306">
        <v>5</v>
      </c>
      <c r="I6306">
        <f>VLOOKUP(B6306,BRAND!B:D,3,FALSE)</f>
        <v>3</v>
      </c>
      <c r="J6306">
        <f>LEN(F6306)</f>
        <v>10</v>
      </c>
      <c r="L6306">
        <v>0</v>
      </c>
      <c r="M6306">
        <v>0</v>
      </c>
    </row>
    <row r="6307" spans="1:13">
      <c r="A6307" t="s">
        <v>3407</v>
      </c>
      <c r="B6307" t="s">
        <v>613</v>
      </c>
      <c r="C6307" s="34" t="s">
        <v>862</v>
      </c>
      <c r="F6307" t="s">
        <v>862</v>
      </c>
      <c r="H6307">
        <v>5</v>
      </c>
      <c r="I6307">
        <f>VLOOKUP(B6307,BRAND!B:D,3,FALSE)</f>
        <v>3</v>
      </c>
      <c r="J6307">
        <f>LEN(F6307)</f>
        <v>10</v>
      </c>
      <c r="K6307" t="s">
        <v>821</v>
      </c>
      <c r="M6307">
        <v>1</v>
      </c>
    </row>
    <row r="6308" spans="1:13">
      <c r="A6308" t="s">
        <v>2540</v>
      </c>
      <c r="B6308" t="s">
        <v>613</v>
      </c>
      <c r="C6308" s="34" t="s">
        <v>798</v>
      </c>
      <c r="F6308" t="s">
        <v>798</v>
      </c>
      <c r="H6308">
        <v>5</v>
      </c>
      <c r="I6308">
        <f>VLOOKUP(B6308,BRAND!B:D,3,FALSE)</f>
        <v>3</v>
      </c>
      <c r="J6308">
        <v>9</v>
      </c>
      <c r="K6308" t="s">
        <v>821</v>
      </c>
      <c r="L6308">
        <v>0</v>
      </c>
      <c r="M6308">
        <v>0</v>
      </c>
    </row>
    <row r="6309" spans="1:13">
      <c r="A6309" t="s">
        <v>9085</v>
      </c>
      <c r="B6309" t="s">
        <v>613</v>
      </c>
      <c r="C6309" s="34" t="s">
        <v>891</v>
      </c>
      <c r="F6309" t="s">
        <v>891</v>
      </c>
      <c r="G6309" t="s">
        <v>6932</v>
      </c>
      <c r="H6309">
        <v>5</v>
      </c>
      <c r="I6309">
        <f>VLOOKUP(B6309,BRAND!B:D,3,FALSE)</f>
        <v>3</v>
      </c>
      <c r="J6309">
        <v>7</v>
      </c>
      <c r="M6309">
        <v>1</v>
      </c>
    </row>
    <row r="6310" spans="1:13">
      <c r="A6310" t="s">
        <v>3406</v>
      </c>
      <c r="B6310" t="s">
        <v>613</v>
      </c>
      <c r="C6310" s="34" t="s">
        <v>780</v>
      </c>
      <c r="F6310" t="s">
        <v>780</v>
      </c>
      <c r="H6310">
        <v>5</v>
      </c>
      <c r="I6310">
        <f>VLOOKUP(B6310,BRAND!B:D,3,FALSE)</f>
        <v>3</v>
      </c>
      <c r="J6310">
        <v>6</v>
      </c>
      <c r="K6310" t="s">
        <v>821</v>
      </c>
      <c r="L6310">
        <v>0</v>
      </c>
      <c r="M6310">
        <v>0</v>
      </c>
    </row>
    <row r="6311" spans="1:13">
      <c r="A6311" t="s">
        <v>3573</v>
      </c>
      <c r="B6311" t="s">
        <v>613</v>
      </c>
      <c r="C6311" s="34" t="s">
        <v>534</v>
      </c>
      <c r="F6311" t="s">
        <v>534</v>
      </c>
      <c r="H6311">
        <v>5</v>
      </c>
      <c r="I6311">
        <f>VLOOKUP(B6311,BRAND!B:D,3,FALSE)</f>
        <v>3</v>
      </c>
      <c r="J6311">
        <v>6</v>
      </c>
      <c r="K6311" t="s">
        <v>821</v>
      </c>
      <c r="L6311">
        <v>0</v>
      </c>
      <c r="M6311">
        <v>0</v>
      </c>
    </row>
    <row r="6312" spans="1:13">
      <c r="A6312" t="s">
        <v>3954</v>
      </c>
      <c r="B6312" t="s">
        <v>613</v>
      </c>
      <c r="C6312" s="34" t="s">
        <v>746</v>
      </c>
      <c r="F6312" t="s">
        <v>746</v>
      </c>
      <c r="H6312">
        <v>5</v>
      </c>
      <c r="I6312">
        <f>VLOOKUP(B6312,BRAND!B:D,3,FALSE)</f>
        <v>3</v>
      </c>
      <c r="J6312">
        <v>6</v>
      </c>
      <c r="K6312" t="s">
        <v>821</v>
      </c>
      <c r="M6312">
        <v>1</v>
      </c>
    </row>
    <row r="6313" spans="1:13">
      <c r="A6313" t="s">
        <v>2410</v>
      </c>
      <c r="B6313" t="s">
        <v>613</v>
      </c>
      <c r="C6313" s="34" t="s">
        <v>536</v>
      </c>
      <c r="F6313" t="s">
        <v>536</v>
      </c>
      <c r="H6313">
        <v>5</v>
      </c>
      <c r="I6313">
        <f>VLOOKUP(B6313,BRAND!B:D,3,FALSE)</f>
        <v>3</v>
      </c>
      <c r="J6313">
        <v>5</v>
      </c>
      <c r="K6313" t="s">
        <v>821</v>
      </c>
      <c r="M6313">
        <v>1</v>
      </c>
    </row>
    <row r="6314" spans="1:13">
      <c r="A6314" t="s">
        <v>9795</v>
      </c>
      <c r="B6314" t="s">
        <v>613</v>
      </c>
      <c r="C6314" s="34" t="s">
        <v>799</v>
      </c>
      <c r="H6314">
        <v>5</v>
      </c>
      <c r="I6314">
        <f>VLOOKUP(B6314,BRAND!B:D,3,FALSE)</f>
        <v>3</v>
      </c>
      <c r="J6314">
        <f t="shared" ref="J6314:J6319" si="57">LEN(F6314)</f>
        <v>0</v>
      </c>
      <c r="L6314">
        <v>0</v>
      </c>
      <c r="M6314">
        <v>0</v>
      </c>
    </row>
    <row r="6315" spans="1:13">
      <c r="A6315" t="s">
        <v>9796</v>
      </c>
      <c r="B6315" t="s">
        <v>613</v>
      </c>
      <c r="C6315" s="34" t="s">
        <v>863</v>
      </c>
      <c r="H6315">
        <v>5</v>
      </c>
      <c r="I6315">
        <f>VLOOKUP(B6315,BRAND!B:D,3,FALSE)</f>
        <v>3</v>
      </c>
      <c r="J6315">
        <f t="shared" si="57"/>
        <v>0</v>
      </c>
      <c r="L6315">
        <v>0</v>
      </c>
      <c r="M6315">
        <v>0</v>
      </c>
    </row>
    <row r="6316" spans="1:13">
      <c r="A6316" t="s">
        <v>9797</v>
      </c>
      <c r="B6316" t="s">
        <v>613</v>
      </c>
      <c r="C6316" s="34" t="s">
        <v>10027</v>
      </c>
      <c r="H6316">
        <v>5</v>
      </c>
      <c r="I6316">
        <f>VLOOKUP(B6316,BRAND!B:D,3,FALSE)</f>
        <v>3</v>
      </c>
      <c r="J6316">
        <f t="shared" si="57"/>
        <v>0</v>
      </c>
      <c r="L6316">
        <v>0</v>
      </c>
      <c r="M6316">
        <v>0</v>
      </c>
    </row>
    <row r="6317" spans="1:13">
      <c r="A6317" t="s">
        <v>9798</v>
      </c>
      <c r="B6317" t="s">
        <v>613</v>
      </c>
      <c r="C6317" s="34" t="s">
        <v>775</v>
      </c>
      <c r="H6317">
        <v>5</v>
      </c>
      <c r="I6317">
        <f>VLOOKUP(B6317,BRAND!B:D,3,FALSE)</f>
        <v>3</v>
      </c>
      <c r="J6317">
        <f t="shared" si="57"/>
        <v>0</v>
      </c>
      <c r="L6317">
        <v>0</v>
      </c>
      <c r="M6317">
        <v>0</v>
      </c>
    </row>
    <row r="6318" spans="1:13">
      <c r="A6318" t="s">
        <v>9799</v>
      </c>
      <c r="B6318" t="s">
        <v>613</v>
      </c>
      <c r="C6318" s="34" t="s">
        <v>994</v>
      </c>
      <c r="H6318">
        <v>5</v>
      </c>
      <c r="I6318">
        <f>VLOOKUP(B6318,BRAND!B:D,3,FALSE)</f>
        <v>3</v>
      </c>
      <c r="J6318">
        <f t="shared" si="57"/>
        <v>0</v>
      </c>
      <c r="L6318">
        <v>0</v>
      </c>
      <c r="M6318">
        <v>0</v>
      </c>
    </row>
    <row r="6319" spans="1:13">
      <c r="A6319" t="s">
        <v>9800</v>
      </c>
      <c r="B6319" t="s">
        <v>613</v>
      </c>
      <c r="C6319" s="34" t="s">
        <v>6364</v>
      </c>
      <c r="H6319">
        <v>5</v>
      </c>
      <c r="I6319">
        <f>VLOOKUP(B6319,BRAND!B:D,3,FALSE)</f>
        <v>3</v>
      </c>
      <c r="J6319">
        <f t="shared" si="57"/>
        <v>0</v>
      </c>
      <c r="L6319">
        <v>0</v>
      </c>
      <c r="M6319">
        <v>0</v>
      </c>
    </row>
    <row r="6320" spans="1:13">
      <c r="A6320" t="s">
        <v>9795</v>
      </c>
      <c r="B6320" t="s">
        <v>613</v>
      </c>
      <c r="C6320" s="34" t="s">
        <v>799</v>
      </c>
      <c r="H6320">
        <v>5</v>
      </c>
      <c r="I6320">
        <f>VLOOKUP(B6320,BRAND!B:D,3,FALSE)</f>
        <v>3</v>
      </c>
      <c r="J6320">
        <v>0</v>
      </c>
      <c r="M6320">
        <v>1</v>
      </c>
    </row>
    <row r="6321" spans="1:13">
      <c r="A6321" t="s">
        <v>9796</v>
      </c>
      <c r="B6321" t="s">
        <v>613</v>
      </c>
      <c r="C6321" s="34" t="s">
        <v>863</v>
      </c>
      <c r="H6321">
        <v>5</v>
      </c>
      <c r="I6321">
        <f>VLOOKUP(B6321,BRAND!B:D,3,FALSE)</f>
        <v>3</v>
      </c>
      <c r="J6321">
        <v>0</v>
      </c>
      <c r="M6321">
        <v>1</v>
      </c>
    </row>
    <row r="6322" spans="1:13">
      <c r="A6322" t="s">
        <v>9797</v>
      </c>
      <c r="B6322" t="s">
        <v>613</v>
      </c>
      <c r="C6322" s="34" t="s">
        <v>10027</v>
      </c>
      <c r="H6322">
        <v>5</v>
      </c>
      <c r="I6322">
        <f>VLOOKUP(B6322,BRAND!B:D,3,FALSE)</f>
        <v>3</v>
      </c>
      <c r="J6322">
        <v>0</v>
      </c>
      <c r="M6322">
        <v>1</v>
      </c>
    </row>
    <row r="6323" spans="1:13">
      <c r="A6323" t="s">
        <v>9800</v>
      </c>
      <c r="B6323" t="s">
        <v>613</v>
      </c>
      <c r="C6323" s="34" t="s">
        <v>6364</v>
      </c>
      <c r="H6323">
        <v>5</v>
      </c>
      <c r="I6323">
        <f>VLOOKUP(B6323,BRAND!B:D,3,FALSE)</f>
        <v>3</v>
      </c>
      <c r="J6323">
        <v>0</v>
      </c>
      <c r="M6323">
        <v>1</v>
      </c>
    </row>
    <row r="6324" spans="1:13">
      <c r="A6324" t="s">
        <v>9798</v>
      </c>
      <c r="B6324" t="s">
        <v>613</v>
      </c>
      <c r="C6324" s="34" t="s">
        <v>775</v>
      </c>
      <c r="H6324">
        <v>5</v>
      </c>
      <c r="I6324">
        <f>VLOOKUP(B6324,BRAND!B:D,3,FALSE)</f>
        <v>3</v>
      </c>
      <c r="J6324">
        <v>0</v>
      </c>
      <c r="M6324">
        <v>1</v>
      </c>
    </row>
    <row r="6325" spans="1:13">
      <c r="A6325" t="s">
        <v>9799</v>
      </c>
      <c r="B6325" t="s">
        <v>613</v>
      </c>
      <c r="C6325" s="34" t="s">
        <v>994</v>
      </c>
      <c r="H6325">
        <v>5</v>
      </c>
      <c r="I6325">
        <f>VLOOKUP(B6325,BRAND!B:D,3,FALSE)</f>
        <v>3</v>
      </c>
      <c r="J6325">
        <v>0</v>
      </c>
      <c r="M6325">
        <v>1</v>
      </c>
    </row>
    <row r="6326" spans="1:13">
      <c r="A6326" t="s">
        <v>2356</v>
      </c>
      <c r="B6326" t="s">
        <v>613</v>
      </c>
      <c r="C6326" s="34" t="s">
        <v>1438</v>
      </c>
      <c r="F6326" t="s">
        <v>1438</v>
      </c>
      <c r="H6326">
        <v>15</v>
      </c>
      <c r="I6326">
        <f>VLOOKUP(B6326,BRAND!B:D,3,FALSE)</f>
        <v>3</v>
      </c>
      <c r="J6326">
        <v>4</v>
      </c>
      <c r="K6326" t="s">
        <v>821</v>
      </c>
      <c r="L6326">
        <v>0</v>
      </c>
      <c r="M6326">
        <v>0</v>
      </c>
    </row>
    <row r="6327" spans="1:13">
      <c r="A6327" t="s">
        <v>9086</v>
      </c>
      <c r="B6327" t="s">
        <v>655</v>
      </c>
      <c r="C6327" s="34" t="s">
        <v>1438</v>
      </c>
      <c r="F6327" t="s">
        <v>1438</v>
      </c>
      <c r="G6327" t="s">
        <v>6932</v>
      </c>
      <c r="H6327">
        <v>5</v>
      </c>
      <c r="I6327">
        <f>VLOOKUP(B6327,BRAND!B:D,3,FALSE)</f>
        <v>5.5</v>
      </c>
      <c r="J6327">
        <v>4</v>
      </c>
      <c r="L6327">
        <v>0</v>
      </c>
      <c r="M6327">
        <v>0</v>
      </c>
    </row>
    <row r="6328" spans="1:13">
      <c r="A6328" t="s">
        <v>9801</v>
      </c>
      <c r="B6328" t="s">
        <v>655</v>
      </c>
      <c r="C6328" s="34" t="s">
        <v>786</v>
      </c>
      <c r="G6328" t="s">
        <v>6932</v>
      </c>
      <c r="H6328">
        <v>5</v>
      </c>
      <c r="I6328">
        <f>VLOOKUP(B6328,BRAND!B:D,3,FALSE)</f>
        <v>5.5</v>
      </c>
      <c r="J6328">
        <f>LEN(F6328)</f>
        <v>0</v>
      </c>
      <c r="L6328">
        <v>0</v>
      </c>
      <c r="M6328">
        <v>0</v>
      </c>
    </row>
    <row r="6329" spans="1:13">
      <c r="A6329" t="s">
        <v>9801</v>
      </c>
      <c r="B6329" t="s">
        <v>655</v>
      </c>
      <c r="C6329" s="34" t="s">
        <v>786</v>
      </c>
      <c r="G6329" t="s">
        <v>6932</v>
      </c>
      <c r="H6329">
        <v>5</v>
      </c>
      <c r="I6329">
        <f>VLOOKUP(B6329,BRAND!B:D,3,FALSE)</f>
        <v>5.5</v>
      </c>
      <c r="J6329">
        <v>0</v>
      </c>
      <c r="M6329">
        <v>1</v>
      </c>
    </row>
    <row r="6330" spans="1:13">
      <c r="A6330" t="s">
        <v>9444</v>
      </c>
      <c r="B6330" t="s">
        <v>9445</v>
      </c>
      <c r="C6330" s="34" t="s">
        <v>1438</v>
      </c>
      <c r="F6330" t="s">
        <v>1438</v>
      </c>
      <c r="G6330" t="s">
        <v>6932</v>
      </c>
      <c r="H6330">
        <v>5</v>
      </c>
      <c r="I6330">
        <f>VLOOKUP(B6330,BRAND!B:D,3,FALSE)</f>
        <v>5.5</v>
      </c>
      <c r="J6330">
        <v>4</v>
      </c>
      <c r="M6330">
        <v>1</v>
      </c>
    </row>
    <row r="6331" spans="1:13">
      <c r="A6331" t="s">
        <v>3694</v>
      </c>
      <c r="B6331" t="s">
        <v>1832</v>
      </c>
      <c r="C6331" s="34" t="s">
        <v>861</v>
      </c>
      <c r="F6331" t="s">
        <v>861</v>
      </c>
      <c r="H6331">
        <v>5</v>
      </c>
      <c r="I6331">
        <f>VLOOKUP(B6331,BRAND!B:D,3,FALSE)</f>
        <v>5.5</v>
      </c>
      <c r="J6331">
        <f>LEN(F6331)</f>
        <v>11</v>
      </c>
      <c r="K6331" t="e">
        <v>#N/A</v>
      </c>
      <c r="L6331">
        <v>0</v>
      </c>
      <c r="M6331">
        <v>0</v>
      </c>
    </row>
    <row r="6332" spans="1:13">
      <c r="A6332" t="s">
        <v>3704</v>
      </c>
      <c r="B6332" t="s">
        <v>1835</v>
      </c>
      <c r="C6332" s="34" t="s">
        <v>862</v>
      </c>
      <c r="F6332" t="s">
        <v>862</v>
      </c>
      <c r="H6332">
        <v>5</v>
      </c>
      <c r="I6332">
        <f>VLOOKUP(B6332,BRAND!B:D,3,FALSE)</f>
        <v>5.5</v>
      </c>
      <c r="J6332">
        <f>LEN(F6332)</f>
        <v>10</v>
      </c>
      <c r="K6332" t="e">
        <v>#N/A</v>
      </c>
      <c r="L6332">
        <v>0</v>
      </c>
      <c r="M6332">
        <v>0</v>
      </c>
    </row>
    <row r="6333" spans="1:13">
      <c r="A6333" t="s">
        <v>3693</v>
      </c>
      <c r="B6333" t="s">
        <v>1828</v>
      </c>
      <c r="C6333" s="34" t="s">
        <v>1829</v>
      </c>
      <c r="F6333" t="s">
        <v>1829</v>
      </c>
      <c r="H6333">
        <v>4</v>
      </c>
      <c r="I6333">
        <f>VLOOKUP(B6333,BRAND!B:D,3,FALSE)</f>
        <v>5.5</v>
      </c>
      <c r="J6333">
        <f>LEN(F6333)</f>
        <v>17</v>
      </c>
      <c r="K6333" t="e">
        <v>#N/A</v>
      </c>
      <c r="L6333">
        <v>0</v>
      </c>
      <c r="M6333">
        <v>0</v>
      </c>
    </row>
    <row r="6334" spans="1:13">
      <c r="A6334" t="s">
        <v>9088</v>
      </c>
      <c r="B6334" t="s">
        <v>9089</v>
      </c>
      <c r="C6334" s="34" t="s">
        <v>1438</v>
      </c>
      <c r="F6334" t="s">
        <v>1438</v>
      </c>
      <c r="G6334" t="s">
        <v>6932</v>
      </c>
      <c r="H6334">
        <v>5</v>
      </c>
      <c r="I6334">
        <f>VLOOKUP(B6334,BRAND!B:D,3,FALSE)</f>
        <v>5.5</v>
      </c>
      <c r="J6334">
        <v>4</v>
      </c>
      <c r="M6334">
        <v>1</v>
      </c>
    </row>
    <row r="6335" spans="1:13">
      <c r="A6335" t="s">
        <v>9090</v>
      </c>
      <c r="B6335" t="s">
        <v>9091</v>
      </c>
      <c r="C6335" s="34" t="s">
        <v>1438</v>
      </c>
      <c r="F6335" t="s">
        <v>1438</v>
      </c>
      <c r="G6335" t="s">
        <v>6932</v>
      </c>
      <c r="H6335">
        <v>5</v>
      </c>
      <c r="I6335">
        <f>VLOOKUP(B6335,BRAND!B:D,3,FALSE)</f>
        <v>5.5</v>
      </c>
      <c r="J6335">
        <v>4</v>
      </c>
      <c r="M6335">
        <v>1</v>
      </c>
    </row>
    <row r="6336" spans="1:13">
      <c r="A6336" t="s">
        <v>3212</v>
      </c>
      <c r="B6336" t="s">
        <v>140</v>
      </c>
      <c r="C6336" s="34" t="s">
        <v>933</v>
      </c>
      <c r="F6336" t="s">
        <v>933</v>
      </c>
      <c r="H6336">
        <v>5</v>
      </c>
      <c r="I6336">
        <f>VLOOKUP(B6336,BRAND!B:D,3,FALSE)</f>
        <v>3</v>
      </c>
      <c r="J6336">
        <v>8</v>
      </c>
      <c r="K6336" t="s">
        <v>821</v>
      </c>
      <c r="L6336">
        <v>0</v>
      </c>
      <c r="M6336">
        <v>0</v>
      </c>
    </row>
    <row r="6337" spans="1:13">
      <c r="A6337" t="s">
        <v>4595</v>
      </c>
      <c r="B6337" t="s">
        <v>140</v>
      </c>
      <c r="C6337" s="34" t="s">
        <v>746</v>
      </c>
      <c r="F6337" t="s">
        <v>746</v>
      </c>
      <c r="H6337">
        <v>5</v>
      </c>
      <c r="I6337">
        <f>VLOOKUP(B6337,BRAND!B:D,3,FALSE)</f>
        <v>3</v>
      </c>
      <c r="J6337">
        <v>6</v>
      </c>
      <c r="K6337" t="s">
        <v>821</v>
      </c>
      <c r="L6337">
        <v>0</v>
      </c>
      <c r="M6337">
        <v>0</v>
      </c>
    </row>
    <row r="6338" spans="1:13">
      <c r="A6338" t="s">
        <v>2938</v>
      </c>
      <c r="B6338" t="s">
        <v>140</v>
      </c>
      <c r="C6338" s="34" t="s">
        <v>536</v>
      </c>
      <c r="F6338" t="s">
        <v>536</v>
      </c>
      <c r="H6338">
        <v>5</v>
      </c>
      <c r="I6338">
        <f>VLOOKUP(B6338,BRAND!B:D,3,FALSE)</f>
        <v>3</v>
      </c>
      <c r="J6338">
        <v>5</v>
      </c>
      <c r="K6338" t="s">
        <v>821</v>
      </c>
      <c r="L6338">
        <v>0</v>
      </c>
      <c r="M6338">
        <v>0</v>
      </c>
    </row>
    <row r="6339" spans="1:13">
      <c r="A6339" t="s">
        <v>9092</v>
      </c>
      <c r="B6339" t="s">
        <v>140</v>
      </c>
      <c r="C6339" s="34" t="s">
        <v>1438</v>
      </c>
      <c r="F6339" t="s">
        <v>1438</v>
      </c>
      <c r="G6339" t="s">
        <v>6932</v>
      </c>
      <c r="H6339">
        <v>5</v>
      </c>
      <c r="I6339">
        <f>VLOOKUP(B6339,BRAND!B:D,3,FALSE)</f>
        <v>3</v>
      </c>
      <c r="J6339">
        <v>4</v>
      </c>
      <c r="M6339">
        <v>1</v>
      </c>
    </row>
    <row r="6340" spans="1:13">
      <c r="A6340" t="s">
        <v>4972</v>
      </c>
      <c r="B6340" t="s">
        <v>140</v>
      </c>
      <c r="C6340" s="34" t="s">
        <v>1438</v>
      </c>
      <c r="F6340" t="s">
        <v>1438</v>
      </c>
      <c r="G6340" t="s">
        <v>801</v>
      </c>
      <c r="H6340">
        <v>6</v>
      </c>
      <c r="I6340">
        <f>VLOOKUP(B6340,BRAND!B:D,3,FALSE)</f>
        <v>3</v>
      </c>
      <c r="J6340">
        <v>4</v>
      </c>
      <c r="K6340" t="s">
        <v>821</v>
      </c>
      <c r="L6340">
        <v>0</v>
      </c>
      <c r="M6340">
        <v>0</v>
      </c>
    </row>
    <row r="6341" spans="1:13">
      <c r="A6341" t="s">
        <v>2034</v>
      </c>
      <c r="B6341" t="s">
        <v>140</v>
      </c>
      <c r="C6341" s="34" t="s">
        <v>1438</v>
      </c>
      <c r="F6341" t="s">
        <v>1438</v>
      </c>
      <c r="H6341">
        <v>15</v>
      </c>
      <c r="I6341">
        <f>VLOOKUP(B6341,BRAND!B:D,3,FALSE)</f>
        <v>3</v>
      </c>
      <c r="J6341">
        <v>4</v>
      </c>
      <c r="K6341" t="s">
        <v>821</v>
      </c>
      <c r="M6341">
        <v>1</v>
      </c>
    </row>
    <row r="6342" spans="1:13">
      <c r="A6342" t="s">
        <v>10102</v>
      </c>
      <c r="B6342" t="s">
        <v>6609</v>
      </c>
      <c r="C6342" s="34" t="s">
        <v>1438</v>
      </c>
      <c r="F6342" t="s">
        <v>1438</v>
      </c>
      <c r="H6342">
        <v>5</v>
      </c>
      <c r="I6342">
        <f>VLOOKUP(B6342,BRAND!B:D,3,FALSE)</f>
        <v>5</v>
      </c>
      <c r="J6342">
        <v>4</v>
      </c>
      <c r="L6342">
        <v>0</v>
      </c>
      <c r="M6342">
        <v>0</v>
      </c>
    </row>
    <row r="6343" spans="1:13">
      <c r="A6343" t="s">
        <v>9096</v>
      </c>
      <c r="B6343" t="s">
        <v>6609</v>
      </c>
      <c r="C6343" s="34" t="s">
        <v>5325</v>
      </c>
      <c r="F6343" t="s">
        <v>5325</v>
      </c>
      <c r="G6343" t="s">
        <v>6932</v>
      </c>
      <c r="H6343">
        <v>5</v>
      </c>
      <c r="I6343">
        <f>VLOOKUP(B6343,BRAND!B:D,3,FALSE)</f>
        <v>5</v>
      </c>
      <c r="J6343">
        <v>4</v>
      </c>
      <c r="M6343">
        <v>1</v>
      </c>
    </row>
    <row r="6344" spans="1:13">
      <c r="A6344" t="s">
        <v>9094</v>
      </c>
      <c r="B6344" t="s">
        <v>6609</v>
      </c>
      <c r="C6344" s="34" t="s">
        <v>9095</v>
      </c>
      <c r="F6344" t="s">
        <v>9095</v>
      </c>
      <c r="G6344" t="s">
        <v>6932</v>
      </c>
      <c r="H6344">
        <v>5</v>
      </c>
      <c r="I6344">
        <f>VLOOKUP(B6344,BRAND!B:D,3,FALSE)</f>
        <v>5</v>
      </c>
      <c r="J6344">
        <v>3</v>
      </c>
      <c r="M6344">
        <v>1</v>
      </c>
    </row>
    <row r="6345" spans="1:13">
      <c r="A6345" t="s">
        <v>9093</v>
      </c>
      <c r="B6345" t="s">
        <v>6609</v>
      </c>
      <c r="C6345" s="34" t="s">
        <v>1992</v>
      </c>
      <c r="F6345" t="s">
        <v>1992</v>
      </c>
      <c r="G6345" t="s">
        <v>6932</v>
      </c>
      <c r="H6345">
        <v>5</v>
      </c>
      <c r="I6345">
        <f>VLOOKUP(B6345,BRAND!B:D,3,FALSE)</f>
        <v>5</v>
      </c>
      <c r="J6345">
        <v>3</v>
      </c>
      <c r="M6345">
        <v>1</v>
      </c>
    </row>
    <row r="6346" spans="1:13">
      <c r="A6346" t="s">
        <v>15095</v>
      </c>
      <c r="B6346" t="s">
        <v>15096</v>
      </c>
      <c r="C6346" s="34" t="s">
        <v>561</v>
      </c>
      <c r="F6346" t="s">
        <v>561</v>
      </c>
      <c r="G6346" t="s">
        <v>6932</v>
      </c>
      <c r="H6346">
        <v>5</v>
      </c>
      <c r="I6346">
        <f>VLOOKUP(B6346,BRAND!B:D,3,FALSE)</f>
        <v>5</v>
      </c>
      <c r="J6346">
        <v>0</v>
      </c>
      <c r="K6346" t="s">
        <v>821</v>
      </c>
      <c r="L6346">
        <v>0</v>
      </c>
      <c r="M6346">
        <v>0</v>
      </c>
    </row>
    <row r="6347" spans="1:13">
      <c r="A6347" t="s">
        <v>15097</v>
      </c>
      <c r="B6347" t="s">
        <v>15096</v>
      </c>
      <c r="C6347" s="34" t="s">
        <v>11004</v>
      </c>
      <c r="F6347" t="s">
        <v>11004</v>
      </c>
      <c r="G6347" t="s">
        <v>6932</v>
      </c>
      <c r="H6347">
        <v>5</v>
      </c>
      <c r="I6347">
        <f>VLOOKUP(B6347,BRAND!B:D,3,FALSE)</f>
        <v>5</v>
      </c>
      <c r="J6347">
        <v>0</v>
      </c>
      <c r="K6347" t="s">
        <v>821</v>
      </c>
      <c r="L6347">
        <v>0</v>
      </c>
      <c r="M6347">
        <v>0</v>
      </c>
    </row>
    <row r="6348" spans="1:13">
      <c r="A6348" t="s">
        <v>15098</v>
      </c>
      <c r="B6348" t="s">
        <v>15096</v>
      </c>
      <c r="C6348" s="34" t="s">
        <v>536</v>
      </c>
      <c r="F6348" t="s">
        <v>536</v>
      </c>
      <c r="G6348" t="s">
        <v>6932</v>
      </c>
      <c r="H6348">
        <v>5</v>
      </c>
      <c r="I6348">
        <f>VLOOKUP(B6348,BRAND!B:D,3,FALSE)</f>
        <v>5</v>
      </c>
      <c r="J6348">
        <v>0</v>
      </c>
      <c r="K6348" t="s">
        <v>821</v>
      </c>
      <c r="L6348">
        <v>0</v>
      </c>
      <c r="M6348">
        <v>0</v>
      </c>
    </row>
    <row r="6349" spans="1:13">
      <c r="A6349" t="s">
        <v>15099</v>
      </c>
      <c r="B6349" t="s">
        <v>15096</v>
      </c>
      <c r="C6349" s="34" t="s">
        <v>745</v>
      </c>
      <c r="F6349" t="s">
        <v>745</v>
      </c>
      <c r="G6349" t="s">
        <v>6932</v>
      </c>
      <c r="H6349">
        <v>5</v>
      </c>
      <c r="I6349">
        <f>VLOOKUP(B6349,BRAND!B:D,3,FALSE)</f>
        <v>5</v>
      </c>
      <c r="J6349">
        <v>0</v>
      </c>
      <c r="K6349" t="s">
        <v>821</v>
      </c>
      <c r="L6349">
        <v>0</v>
      </c>
      <c r="M6349">
        <v>0</v>
      </c>
    </row>
    <row r="6350" spans="1:13">
      <c r="A6350" t="s">
        <v>15100</v>
      </c>
      <c r="B6350" t="s">
        <v>15096</v>
      </c>
      <c r="C6350" s="34" t="s">
        <v>776</v>
      </c>
      <c r="F6350" t="s">
        <v>776</v>
      </c>
      <c r="G6350" t="s">
        <v>6932</v>
      </c>
      <c r="H6350">
        <v>5</v>
      </c>
      <c r="I6350">
        <f>VLOOKUP(B6350,BRAND!B:D,3,FALSE)</f>
        <v>5</v>
      </c>
      <c r="J6350">
        <v>0</v>
      </c>
      <c r="K6350" t="s">
        <v>821</v>
      </c>
      <c r="L6350">
        <v>0</v>
      </c>
      <c r="M6350">
        <v>0</v>
      </c>
    </row>
    <row r="6351" spans="1:13">
      <c r="A6351" t="s">
        <v>15101</v>
      </c>
      <c r="B6351" t="s">
        <v>15096</v>
      </c>
      <c r="C6351" s="34" t="s">
        <v>10023</v>
      </c>
      <c r="F6351" t="s">
        <v>10023</v>
      </c>
      <c r="G6351" t="s">
        <v>6932</v>
      </c>
      <c r="H6351">
        <v>5</v>
      </c>
      <c r="I6351">
        <f>VLOOKUP(B6351,BRAND!B:D,3,FALSE)</f>
        <v>5</v>
      </c>
      <c r="J6351">
        <v>0</v>
      </c>
      <c r="K6351" t="s">
        <v>821</v>
      </c>
      <c r="L6351">
        <v>0</v>
      </c>
      <c r="M6351">
        <v>0</v>
      </c>
    </row>
    <row r="6352" spans="1:13">
      <c r="A6352" t="s">
        <v>15102</v>
      </c>
      <c r="B6352" t="s">
        <v>15096</v>
      </c>
      <c r="C6352" s="34" t="s">
        <v>534</v>
      </c>
      <c r="F6352" t="s">
        <v>534</v>
      </c>
      <c r="G6352" t="s">
        <v>6932</v>
      </c>
      <c r="H6352">
        <v>5</v>
      </c>
      <c r="I6352">
        <f>VLOOKUP(B6352,BRAND!B:D,3,FALSE)</f>
        <v>5</v>
      </c>
      <c r="J6352">
        <v>0</v>
      </c>
      <c r="K6352" t="s">
        <v>821</v>
      </c>
      <c r="L6352">
        <v>0</v>
      </c>
      <c r="M6352">
        <v>0</v>
      </c>
    </row>
    <row r="6353" spans="1:13">
      <c r="A6353" t="s">
        <v>15103</v>
      </c>
      <c r="B6353" t="s">
        <v>15096</v>
      </c>
      <c r="C6353" s="34" t="s">
        <v>13170</v>
      </c>
      <c r="F6353" t="s">
        <v>13170</v>
      </c>
      <c r="G6353" t="s">
        <v>6932</v>
      </c>
      <c r="H6353">
        <v>5</v>
      </c>
      <c r="I6353">
        <f>VLOOKUP(B6353,BRAND!B:D,3,FALSE)</f>
        <v>5</v>
      </c>
      <c r="J6353">
        <v>0</v>
      </c>
      <c r="K6353" t="s">
        <v>821</v>
      </c>
      <c r="L6353">
        <v>0</v>
      </c>
      <c r="M6353">
        <v>0</v>
      </c>
    </row>
    <row r="6354" spans="1:13">
      <c r="A6354" t="s">
        <v>15104</v>
      </c>
      <c r="B6354" t="s">
        <v>15096</v>
      </c>
      <c r="C6354" s="34" t="s">
        <v>900</v>
      </c>
      <c r="F6354" t="s">
        <v>900</v>
      </c>
      <c r="G6354" t="s">
        <v>6932</v>
      </c>
      <c r="H6354">
        <v>5</v>
      </c>
      <c r="I6354">
        <f>VLOOKUP(B6354,BRAND!B:D,3,FALSE)</f>
        <v>5</v>
      </c>
      <c r="J6354">
        <v>0</v>
      </c>
      <c r="K6354" t="s">
        <v>821</v>
      </c>
      <c r="L6354">
        <v>0</v>
      </c>
      <c r="M6354">
        <v>0</v>
      </c>
    </row>
    <row r="6355" spans="1:13">
      <c r="A6355" t="s">
        <v>15107</v>
      </c>
      <c r="B6355" t="s">
        <v>15096</v>
      </c>
      <c r="C6355" s="34" t="s">
        <v>6948</v>
      </c>
      <c r="F6355" t="s">
        <v>6948</v>
      </c>
      <c r="G6355" t="s">
        <v>6932</v>
      </c>
      <c r="H6355">
        <v>5</v>
      </c>
      <c r="I6355">
        <f>VLOOKUP(B6355,BRAND!B:D,3,FALSE)</f>
        <v>5</v>
      </c>
      <c r="J6355">
        <v>0</v>
      </c>
      <c r="K6355" t="s">
        <v>821</v>
      </c>
      <c r="L6355">
        <v>0</v>
      </c>
      <c r="M6355">
        <v>0</v>
      </c>
    </row>
    <row r="6356" spans="1:13">
      <c r="A6356" t="s">
        <v>15108</v>
      </c>
      <c r="B6356" t="s">
        <v>15096</v>
      </c>
      <c r="C6356" s="34" t="s">
        <v>842</v>
      </c>
      <c r="F6356" t="s">
        <v>842</v>
      </c>
      <c r="G6356" t="s">
        <v>6932</v>
      </c>
      <c r="H6356">
        <v>5</v>
      </c>
      <c r="I6356">
        <f>VLOOKUP(B6356,BRAND!B:D,3,FALSE)</f>
        <v>5</v>
      </c>
      <c r="J6356">
        <v>0</v>
      </c>
      <c r="K6356" t="s">
        <v>821</v>
      </c>
      <c r="L6356">
        <v>0</v>
      </c>
      <c r="M6356">
        <v>0</v>
      </c>
    </row>
    <row r="6357" spans="1:13">
      <c r="A6357" t="s">
        <v>2476</v>
      </c>
      <c r="B6357" t="s">
        <v>1117</v>
      </c>
      <c r="C6357" s="34" t="s">
        <v>536</v>
      </c>
      <c r="F6357" t="s">
        <v>536</v>
      </c>
      <c r="H6357">
        <v>5</v>
      </c>
      <c r="I6357">
        <f>VLOOKUP(B6357,BRAND!B:D,3,FALSE)</f>
        <v>3</v>
      </c>
      <c r="J6357">
        <v>5</v>
      </c>
      <c r="K6357" t="s">
        <v>821</v>
      </c>
      <c r="L6357">
        <v>0</v>
      </c>
      <c r="M6357">
        <v>0</v>
      </c>
    </row>
    <row r="6358" spans="1:13">
      <c r="A6358" t="s">
        <v>2419</v>
      </c>
      <c r="B6358" t="s">
        <v>1117</v>
      </c>
      <c r="C6358" s="34" t="s">
        <v>1438</v>
      </c>
      <c r="F6358" t="s">
        <v>1438</v>
      </c>
      <c r="H6358">
        <v>15</v>
      </c>
      <c r="I6358">
        <f>VLOOKUP(B6358,BRAND!B:D,3,FALSE)</f>
        <v>3</v>
      </c>
      <c r="J6358">
        <v>4</v>
      </c>
      <c r="K6358" t="s">
        <v>821</v>
      </c>
      <c r="L6358">
        <v>0</v>
      </c>
      <c r="M6358">
        <v>0</v>
      </c>
    </row>
    <row r="6359" spans="1:13">
      <c r="A6359" t="s">
        <v>9186</v>
      </c>
      <c r="B6359" t="s">
        <v>9187</v>
      </c>
      <c r="C6359" s="34" t="s">
        <v>1438</v>
      </c>
      <c r="F6359" t="s">
        <v>1438</v>
      </c>
      <c r="G6359" t="s">
        <v>6932</v>
      </c>
      <c r="H6359">
        <v>5</v>
      </c>
      <c r="I6359">
        <f>VLOOKUP(B6359,BRAND!B:D,3,FALSE)</f>
        <v>5.5</v>
      </c>
      <c r="J6359">
        <v>4</v>
      </c>
      <c r="M6359">
        <v>1</v>
      </c>
    </row>
    <row r="6360" spans="1:13">
      <c r="A6360" t="s">
        <v>3729</v>
      </c>
      <c r="B6360" t="s">
        <v>573</v>
      </c>
      <c r="C6360" s="34" t="s">
        <v>536</v>
      </c>
      <c r="F6360" t="s">
        <v>536</v>
      </c>
      <c r="H6360">
        <v>5</v>
      </c>
      <c r="I6360">
        <f>VLOOKUP(B6360,BRAND!B:D,3,FALSE)</f>
        <v>3</v>
      </c>
      <c r="J6360">
        <v>5</v>
      </c>
      <c r="K6360" t="s">
        <v>821</v>
      </c>
      <c r="L6360">
        <v>0</v>
      </c>
      <c r="M6360">
        <v>0</v>
      </c>
    </row>
    <row r="6361" spans="1:13">
      <c r="A6361" t="s">
        <v>9097</v>
      </c>
      <c r="B6361" t="s">
        <v>573</v>
      </c>
      <c r="C6361" s="34" t="s">
        <v>1438</v>
      </c>
      <c r="F6361" t="s">
        <v>1438</v>
      </c>
      <c r="G6361" t="s">
        <v>6932</v>
      </c>
      <c r="H6361">
        <v>5</v>
      </c>
      <c r="I6361">
        <f>VLOOKUP(B6361,BRAND!B:D,3,FALSE)</f>
        <v>3</v>
      </c>
      <c r="J6361">
        <v>4</v>
      </c>
      <c r="M6361">
        <v>1</v>
      </c>
    </row>
    <row r="6362" spans="1:13">
      <c r="A6362" t="s">
        <v>3073</v>
      </c>
      <c r="B6362" t="s">
        <v>573</v>
      </c>
      <c r="C6362" s="34" t="s">
        <v>1438</v>
      </c>
      <c r="F6362" t="s">
        <v>1438</v>
      </c>
      <c r="H6362">
        <v>15</v>
      </c>
      <c r="I6362">
        <f>VLOOKUP(B6362,BRAND!B:D,3,FALSE)</f>
        <v>3</v>
      </c>
      <c r="J6362">
        <v>4</v>
      </c>
      <c r="K6362" t="s">
        <v>821</v>
      </c>
      <c r="L6362">
        <v>0</v>
      </c>
      <c r="M6362">
        <v>0</v>
      </c>
    </row>
    <row r="6363" spans="1:13">
      <c r="A6363" t="s">
        <v>5173</v>
      </c>
      <c r="B6363" t="s">
        <v>141</v>
      </c>
      <c r="C6363" s="34" t="s">
        <v>792</v>
      </c>
      <c r="F6363" t="s">
        <v>792</v>
      </c>
      <c r="H6363">
        <v>5</v>
      </c>
      <c r="I6363">
        <f>VLOOKUP(B6363,BRAND!B:D,3,FALSE)</f>
        <v>5.5</v>
      </c>
      <c r="J6363">
        <v>4</v>
      </c>
      <c r="K6363" t="e">
        <v>#N/A</v>
      </c>
      <c r="L6363">
        <v>0</v>
      </c>
      <c r="M6363">
        <v>0</v>
      </c>
    </row>
    <row r="6364" spans="1:13">
      <c r="A6364" t="s">
        <v>9802</v>
      </c>
      <c r="B6364" t="s">
        <v>141</v>
      </c>
      <c r="C6364" s="34" t="s">
        <v>536</v>
      </c>
      <c r="H6364">
        <v>5</v>
      </c>
      <c r="I6364">
        <f>VLOOKUP(B6364,BRAND!B:D,3,FALSE)</f>
        <v>5.5</v>
      </c>
      <c r="J6364">
        <f>LEN(F6364)</f>
        <v>0</v>
      </c>
      <c r="L6364">
        <v>0</v>
      </c>
      <c r="M6364">
        <v>0</v>
      </c>
    </row>
    <row r="6365" spans="1:13">
      <c r="A6365" t="s">
        <v>9802</v>
      </c>
      <c r="B6365" t="s">
        <v>141</v>
      </c>
      <c r="C6365" s="34" t="s">
        <v>536</v>
      </c>
      <c r="H6365">
        <v>5</v>
      </c>
      <c r="I6365">
        <f>VLOOKUP(B6365,BRAND!B:D,3,FALSE)</f>
        <v>5.5</v>
      </c>
      <c r="J6365">
        <v>0</v>
      </c>
      <c r="M6365">
        <v>1</v>
      </c>
    </row>
    <row r="6366" spans="1:13">
      <c r="A6366" t="s">
        <v>2389</v>
      </c>
      <c r="B6366" t="s">
        <v>141</v>
      </c>
      <c r="C6366" s="34" t="s">
        <v>1438</v>
      </c>
      <c r="F6366" t="s">
        <v>1438</v>
      </c>
      <c r="H6366">
        <v>15</v>
      </c>
      <c r="I6366">
        <f>VLOOKUP(B6366,BRAND!B:D,3,FALSE)</f>
        <v>5.5</v>
      </c>
      <c r="J6366">
        <v>4</v>
      </c>
      <c r="K6366" t="e">
        <v>#N/A</v>
      </c>
      <c r="M6366">
        <v>1</v>
      </c>
    </row>
    <row r="6367" spans="1:13">
      <c r="A6367" t="s">
        <v>2389</v>
      </c>
      <c r="B6367" t="s">
        <v>141</v>
      </c>
      <c r="C6367" s="34" t="s">
        <v>1438</v>
      </c>
      <c r="F6367" t="s">
        <v>1438</v>
      </c>
      <c r="H6367">
        <v>15</v>
      </c>
      <c r="I6367">
        <f>VLOOKUP(B6367,BRAND!B:D,3,FALSE)</f>
        <v>5.5</v>
      </c>
      <c r="J6367">
        <v>4</v>
      </c>
      <c r="K6367" t="e">
        <v>#N/A</v>
      </c>
      <c r="M6367">
        <v>1</v>
      </c>
    </row>
    <row r="6368" spans="1:13">
      <c r="A6368" t="s">
        <v>4266</v>
      </c>
      <c r="B6368" t="s">
        <v>1867</v>
      </c>
      <c r="C6368" s="34" t="s">
        <v>536</v>
      </c>
      <c r="F6368" t="s">
        <v>536</v>
      </c>
      <c r="H6368">
        <v>5</v>
      </c>
      <c r="I6368">
        <f>VLOOKUP(B6368,BRAND!B:D,3,FALSE)</f>
        <v>5</v>
      </c>
      <c r="J6368">
        <v>5</v>
      </c>
      <c r="K6368" t="s">
        <v>821</v>
      </c>
      <c r="L6368">
        <v>0</v>
      </c>
      <c r="M6368">
        <v>0</v>
      </c>
    </row>
    <row r="6369" spans="1:13">
      <c r="A6369" t="s">
        <v>4425</v>
      </c>
      <c r="B6369" t="s">
        <v>1324</v>
      </c>
      <c r="C6369" s="34" t="s">
        <v>1438</v>
      </c>
      <c r="F6369" t="s">
        <v>1438</v>
      </c>
      <c r="H6369">
        <v>15</v>
      </c>
      <c r="I6369">
        <f>VLOOKUP(B6369,BRAND!B:D,3,FALSE)</f>
        <v>3</v>
      </c>
      <c r="J6369">
        <v>4</v>
      </c>
      <c r="K6369" t="s">
        <v>821</v>
      </c>
      <c r="L6369">
        <v>0</v>
      </c>
      <c r="M6369">
        <v>0</v>
      </c>
    </row>
    <row r="6370" spans="1:13">
      <c r="A6370" t="s">
        <v>15026</v>
      </c>
      <c r="B6370" t="s">
        <v>15027</v>
      </c>
      <c r="C6370" s="34" t="s">
        <v>536</v>
      </c>
      <c r="F6370" t="s">
        <v>536</v>
      </c>
      <c r="G6370" t="s">
        <v>6932</v>
      </c>
      <c r="H6370">
        <v>5</v>
      </c>
      <c r="I6370">
        <f>VLOOKUP(B6370,BRAND!B:D,3,FALSE)</f>
        <v>4</v>
      </c>
      <c r="J6370">
        <v>0</v>
      </c>
      <c r="K6370" t="s">
        <v>821</v>
      </c>
      <c r="L6370">
        <v>0</v>
      </c>
      <c r="M6370">
        <v>0</v>
      </c>
    </row>
    <row r="6371" spans="1:13">
      <c r="A6371" t="s">
        <v>15479</v>
      </c>
      <c r="B6371" t="s">
        <v>15027</v>
      </c>
      <c r="C6371" s="34" t="s">
        <v>10023</v>
      </c>
      <c r="F6371" t="s">
        <v>10023</v>
      </c>
      <c r="G6371" t="s">
        <v>6932</v>
      </c>
      <c r="H6371">
        <v>5</v>
      </c>
      <c r="I6371">
        <f>VLOOKUP(B6371,BRAND!B:D,3,FALSE)</f>
        <v>4</v>
      </c>
      <c r="J6371">
        <v>0</v>
      </c>
      <c r="K6371" t="s">
        <v>821</v>
      </c>
      <c r="L6371">
        <v>0</v>
      </c>
      <c r="M6371">
        <v>0</v>
      </c>
    </row>
    <row r="6372" spans="1:13">
      <c r="A6372" t="s">
        <v>15480</v>
      </c>
      <c r="B6372" t="s">
        <v>15027</v>
      </c>
      <c r="C6372" s="34" t="s">
        <v>840</v>
      </c>
      <c r="F6372" t="s">
        <v>840</v>
      </c>
      <c r="G6372" t="s">
        <v>6932</v>
      </c>
      <c r="H6372">
        <v>5</v>
      </c>
      <c r="I6372">
        <f>VLOOKUP(B6372,BRAND!B:D,3,FALSE)</f>
        <v>4</v>
      </c>
      <c r="J6372">
        <v>0</v>
      </c>
      <c r="K6372" t="s">
        <v>821</v>
      </c>
      <c r="L6372">
        <v>0</v>
      </c>
      <c r="M6372">
        <v>0</v>
      </c>
    </row>
    <row r="6373" spans="1:13">
      <c r="A6373" t="s">
        <v>15481</v>
      </c>
      <c r="B6373" t="s">
        <v>15027</v>
      </c>
      <c r="C6373" s="34" t="s">
        <v>534</v>
      </c>
      <c r="F6373" t="s">
        <v>534</v>
      </c>
      <c r="G6373" t="s">
        <v>6932</v>
      </c>
      <c r="H6373">
        <v>5</v>
      </c>
      <c r="I6373">
        <f>VLOOKUP(B6373,BRAND!B:D,3,FALSE)</f>
        <v>4</v>
      </c>
      <c r="J6373">
        <v>0</v>
      </c>
      <c r="K6373" t="s">
        <v>821</v>
      </c>
      <c r="L6373">
        <v>0</v>
      </c>
      <c r="M6373">
        <v>0</v>
      </c>
    </row>
    <row r="6374" spans="1:13">
      <c r="A6374" t="s">
        <v>15483</v>
      </c>
      <c r="B6374" t="s">
        <v>15027</v>
      </c>
      <c r="C6374" s="34" t="s">
        <v>561</v>
      </c>
      <c r="F6374" t="s">
        <v>561</v>
      </c>
      <c r="G6374" t="s">
        <v>6932</v>
      </c>
      <c r="H6374">
        <v>5</v>
      </c>
      <c r="I6374">
        <f>VLOOKUP(B6374,BRAND!B:D,3,FALSE)</f>
        <v>4</v>
      </c>
      <c r="J6374">
        <v>0</v>
      </c>
      <c r="K6374" t="s">
        <v>821</v>
      </c>
      <c r="L6374">
        <v>0</v>
      </c>
      <c r="M6374">
        <v>0</v>
      </c>
    </row>
    <row r="6375" spans="1:13">
      <c r="A6375" t="s">
        <v>15482</v>
      </c>
      <c r="B6375" t="s">
        <v>15027</v>
      </c>
      <c r="C6375" s="34" t="s">
        <v>841</v>
      </c>
      <c r="F6375" t="s">
        <v>841</v>
      </c>
      <c r="G6375" t="s">
        <v>6932</v>
      </c>
      <c r="H6375">
        <v>5</v>
      </c>
      <c r="I6375">
        <f>VLOOKUP(B6375,BRAND!B:D,3,FALSE)</f>
        <v>4</v>
      </c>
      <c r="J6375">
        <v>0</v>
      </c>
      <c r="K6375" t="s">
        <v>821</v>
      </c>
      <c r="L6375">
        <v>0</v>
      </c>
      <c r="M6375">
        <v>0</v>
      </c>
    </row>
    <row r="6376" spans="1:13">
      <c r="A6376" t="s">
        <v>3456</v>
      </c>
      <c r="B6376" t="s">
        <v>142</v>
      </c>
      <c r="C6376" s="34" t="s">
        <v>534</v>
      </c>
      <c r="F6376" t="s">
        <v>534</v>
      </c>
      <c r="H6376">
        <v>5</v>
      </c>
      <c r="I6376">
        <f>VLOOKUP(B6376,BRAND!B:D,3,FALSE)</f>
        <v>3</v>
      </c>
      <c r="J6376">
        <v>6</v>
      </c>
      <c r="K6376" t="s">
        <v>821</v>
      </c>
      <c r="L6376" s="29"/>
      <c r="M6376">
        <v>1</v>
      </c>
    </row>
    <row r="6377" spans="1:13">
      <c r="A6377" t="s">
        <v>3044</v>
      </c>
      <c r="B6377" t="s">
        <v>142</v>
      </c>
      <c r="C6377" s="34" t="s">
        <v>536</v>
      </c>
      <c r="F6377" t="s">
        <v>536</v>
      </c>
      <c r="H6377">
        <v>5</v>
      </c>
      <c r="I6377">
        <f>VLOOKUP(B6377,BRAND!B:D,3,FALSE)</f>
        <v>3</v>
      </c>
      <c r="J6377">
        <v>5</v>
      </c>
      <c r="K6377" t="s">
        <v>821</v>
      </c>
      <c r="L6377">
        <v>0</v>
      </c>
      <c r="M6377">
        <v>0</v>
      </c>
    </row>
    <row r="6378" spans="1:13">
      <c r="A6378" t="s">
        <v>9098</v>
      </c>
      <c r="B6378" t="s">
        <v>142</v>
      </c>
      <c r="C6378" s="34" t="s">
        <v>1438</v>
      </c>
      <c r="F6378" t="s">
        <v>1438</v>
      </c>
      <c r="G6378" t="s">
        <v>6932</v>
      </c>
      <c r="H6378">
        <v>5</v>
      </c>
      <c r="I6378">
        <f>VLOOKUP(B6378,BRAND!B:D,3,FALSE)</f>
        <v>3</v>
      </c>
      <c r="J6378">
        <v>4</v>
      </c>
      <c r="M6378">
        <v>1</v>
      </c>
    </row>
    <row r="6379" spans="1:13">
      <c r="A6379" t="s">
        <v>2028</v>
      </c>
      <c r="B6379" t="s">
        <v>142</v>
      </c>
      <c r="C6379" s="34" t="s">
        <v>1438</v>
      </c>
      <c r="F6379" t="s">
        <v>1438</v>
      </c>
      <c r="H6379">
        <v>15</v>
      </c>
      <c r="I6379">
        <f>VLOOKUP(B6379,BRAND!B:D,3,FALSE)</f>
        <v>3</v>
      </c>
      <c r="J6379">
        <v>4</v>
      </c>
      <c r="K6379" t="s">
        <v>821</v>
      </c>
      <c r="L6379">
        <v>0</v>
      </c>
      <c r="M6379">
        <v>0</v>
      </c>
    </row>
    <row r="6380" spans="1:13">
      <c r="A6380" t="s">
        <v>10179</v>
      </c>
      <c r="B6380" t="s">
        <v>10180</v>
      </c>
      <c r="C6380" s="34" t="s">
        <v>10181</v>
      </c>
      <c r="F6380" t="s">
        <v>10181</v>
      </c>
      <c r="H6380">
        <v>5</v>
      </c>
      <c r="I6380">
        <f>VLOOKUP(B6380,BRAND!B:D,3,FALSE)</f>
        <v>5.5</v>
      </c>
      <c r="J6380">
        <v>3</v>
      </c>
      <c r="L6380">
        <v>1</v>
      </c>
      <c r="M6380">
        <v>1</v>
      </c>
    </row>
    <row r="6381" spans="1:13">
      <c r="A6381" t="s">
        <v>9099</v>
      </c>
      <c r="B6381" t="s">
        <v>998</v>
      </c>
      <c r="C6381" s="34" t="s">
        <v>1438</v>
      </c>
      <c r="F6381" t="s">
        <v>1438</v>
      </c>
      <c r="G6381" t="s">
        <v>6932</v>
      </c>
      <c r="H6381">
        <v>5</v>
      </c>
      <c r="I6381" t="e">
        <f>VLOOKUP(B6381,BRAND!B:D,3,FALSE)</f>
        <v>#N/A</v>
      </c>
      <c r="J6381">
        <v>4</v>
      </c>
      <c r="L6381">
        <v>0</v>
      </c>
      <c r="M6381">
        <v>0</v>
      </c>
    </row>
    <row r="6382" spans="1:13">
      <c r="A6382" t="s">
        <v>4495</v>
      </c>
      <c r="B6382" t="s">
        <v>1088</v>
      </c>
      <c r="C6382" s="34" t="s">
        <v>783</v>
      </c>
      <c r="F6382" t="s">
        <v>783</v>
      </c>
      <c r="H6382">
        <v>5</v>
      </c>
      <c r="I6382">
        <f>VLOOKUP(B6382,BRAND!B:D,3,FALSE)</f>
        <v>5.5</v>
      </c>
      <c r="J6382">
        <f>LEN(F6382)</f>
        <v>10</v>
      </c>
      <c r="K6382" t="e">
        <v>#N/A</v>
      </c>
      <c r="L6382">
        <v>0</v>
      </c>
      <c r="M6382">
        <v>0</v>
      </c>
    </row>
    <row r="6383" spans="1:13">
      <c r="A6383" t="s">
        <v>4003</v>
      </c>
      <c r="B6383" t="s">
        <v>1088</v>
      </c>
      <c r="C6383" s="34" t="s">
        <v>933</v>
      </c>
      <c r="F6383" t="s">
        <v>933</v>
      </c>
      <c r="H6383">
        <v>5</v>
      </c>
      <c r="I6383">
        <f>VLOOKUP(B6383,BRAND!B:D,3,FALSE)</f>
        <v>5.5</v>
      </c>
      <c r="J6383">
        <v>8</v>
      </c>
      <c r="K6383" t="e">
        <v>#N/A</v>
      </c>
      <c r="L6383">
        <v>0</v>
      </c>
      <c r="M6383">
        <v>0</v>
      </c>
    </row>
    <row r="6384" spans="1:13">
      <c r="A6384" t="s">
        <v>4199</v>
      </c>
      <c r="B6384" t="s">
        <v>1088</v>
      </c>
      <c r="C6384" s="34" t="s">
        <v>1438</v>
      </c>
      <c r="F6384" t="s">
        <v>1438</v>
      </c>
      <c r="H6384">
        <v>15</v>
      </c>
      <c r="I6384">
        <f>VLOOKUP(B6384,BRAND!B:D,3,FALSE)</f>
        <v>5.5</v>
      </c>
      <c r="J6384">
        <v>4</v>
      </c>
      <c r="K6384" t="e">
        <v>#N/A</v>
      </c>
      <c r="L6384">
        <v>0</v>
      </c>
      <c r="M6384">
        <v>0</v>
      </c>
    </row>
    <row r="6385" spans="1:8">
      <c r="A6385" t="s">
        <v>11782</v>
      </c>
      <c r="B6385" t="s">
        <v>10944</v>
      </c>
      <c r="C6385" s="34" t="s">
        <v>11201</v>
      </c>
      <c r="F6385" t="s">
        <v>11201</v>
      </c>
      <c r="G6385" t="s">
        <v>6932</v>
      </c>
      <c r="H6385">
        <v>5</v>
      </c>
    </row>
    <row r="6386" spans="1:8">
      <c r="A6386" t="s">
        <v>11783</v>
      </c>
      <c r="B6386" t="s">
        <v>10944</v>
      </c>
      <c r="C6386" s="34" t="s">
        <v>11202</v>
      </c>
      <c r="F6386" t="s">
        <v>11202</v>
      </c>
      <c r="G6386" t="s">
        <v>6932</v>
      </c>
      <c r="H6386">
        <v>5</v>
      </c>
    </row>
    <row r="6387" spans="1:8">
      <c r="A6387" t="s">
        <v>11784</v>
      </c>
      <c r="B6387" t="s">
        <v>10944</v>
      </c>
      <c r="C6387" s="34" t="s">
        <v>11203</v>
      </c>
      <c r="F6387" t="s">
        <v>11203</v>
      </c>
      <c r="G6387" t="s">
        <v>6932</v>
      </c>
      <c r="H6387">
        <v>5</v>
      </c>
    </row>
    <row r="6388" spans="1:8">
      <c r="A6388" t="s">
        <v>11785</v>
      </c>
      <c r="B6388" t="s">
        <v>10944</v>
      </c>
      <c r="C6388" s="34" t="s">
        <v>11204</v>
      </c>
      <c r="F6388" t="s">
        <v>11204</v>
      </c>
      <c r="G6388" t="s">
        <v>6932</v>
      </c>
      <c r="H6388">
        <v>5</v>
      </c>
    </row>
    <row r="6389" spans="1:8">
      <c r="A6389" t="s">
        <v>11786</v>
      </c>
      <c r="B6389" t="s">
        <v>10944</v>
      </c>
      <c r="C6389" s="34" t="s">
        <v>11205</v>
      </c>
      <c r="F6389" t="s">
        <v>11205</v>
      </c>
      <c r="G6389" t="s">
        <v>6932</v>
      </c>
      <c r="H6389">
        <v>5</v>
      </c>
    </row>
    <row r="6390" spans="1:8">
      <c r="A6390" t="s">
        <v>11787</v>
      </c>
      <c r="B6390" t="s">
        <v>10944</v>
      </c>
      <c r="C6390" s="34" t="s">
        <v>11206</v>
      </c>
      <c r="F6390" t="s">
        <v>11206</v>
      </c>
      <c r="G6390" t="s">
        <v>6932</v>
      </c>
      <c r="H6390">
        <v>5</v>
      </c>
    </row>
    <row r="6391" spans="1:8">
      <c r="A6391" t="s">
        <v>11788</v>
      </c>
      <c r="B6391" t="s">
        <v>10944</v>
      </c>
      <c r="C6391" s="34" t="s">
        <v>11207</v>
      </c>
      <c r="F6391" t="s">
        <v>11207</v>
      </c>
      <c r="G6391" t="s">
        <v>6932</v>
      </c>
      <c r="H6391">
        <v>5</v>
      </c>
    </row>
    <row r="6392" spans="1:8">
      <c r="A6392" t="s">
        <v>11789</v>
      </c>
      <c r="B6392" t="s">
        <v>10944</v>
      </c>
      <c r="C6392" s="34" t="s">
        <v>11208</v>
      </c>
      <c r="F6392" t="s">
        <v>11208</v>
      </c>
      <c r="G6392" t="s">
        <v>6932</v>
      </c>
      <c r="H6392">
        <v>5</v>
      </c>
    </row>
    <row r="6393" spans="1:8">
      <c r="A6393" t="s">
        <v>11790</v>
      </c>
      <c r="B6393" t="s">
        <v>10944</v>
      </c>
      <c r="C6393" s="34" t="s">
        <v>11209</v>
      </c>
      <c r="F6393" t="s">
        <v>11209</v>
      </c>
      <c r="G6393" t="s">
        <v>6932</v>
      </c>
      <c r="H6393">
        <v>5</v>
      </c>
    </row>
    <row r="6394" spans="1:8">
      <c r="A6394" t="s">
        <v>11791</v>
      </c>
      <c r="B6394" t="s">
        <v>10944</v>
      </c>
      <c r="C6394" s="34" t="s">
        <v>11210</v>
      </c>
      <c r="F6394" t="s">
        <v>11210</v>
      </c>
      <c r="G6394" t="s">
        <v>801</v>
      </c>
      <c r="H6394">
        <v>5</v>
      </c>
    </row>
    <row r="6395" spans="1:8">
      <c r="A6395" t="s">
        <v>11987</v>
      </c>
      <c r="B6395" t="s">
        <v>10944</v>
      </c>
      <c r="C6395" s="34" t="s">
        <v>11211</v>
      </c>
      <c r="F6395" t="s">
        <v>11211</v>
      </c>
      <c r="H6395">
        <v>5</v>
      </c>
    </row>
    <row r="6396" spans="1:8">
      <c r="A6396" t="s">
        <v>11792</v>
      </c>
      <c r="B6396" t="s">
        <v>10944</v>
      </c>
      <c r="C6396" s="34" t="s">
        <v>11212</v>
      </c>
      <c r="F6396" t="s">
        <v>11212</v>
      </c>
      <c r="G6396" t="s">
        <v>6932</v>
      </c>
      <c r="H6396">
        <v>5</v>
      </c>
    </row>
    <row r="6397" spans="1:8">
      <c r="A6397" t="s">
        <v>11793</v>
      </c>
      <c r="B6397" t="s">
        <v>10944</v>
      </c>
      <c r="C6397" s="34" t="s">
        <v>11213</v>
      </c>
      <c r="F6397" t="s">
        <v>11213</v>
      </c>
      <c r="G6397" t="s">
        <v>6932</v>
      </c>
      <c r="H6397">
        <v>5</v>
      </c>
    </row>
    <row r="6398" spans="1:8">
      <c r="A6398" t="s">
        <v>11794</v>
      </c>
      <c r="B6398" t="s">
        <v>10944</v>
      </c>
      <c r="C6398" s="34" t="s">
        <v>11214</v>
      </c>
      <c r="F6398" t="s">
        <v>11214</v>
      </c>
      <c r="G6398" t="s">
        <v>6932</v>
      </c>
      <c r="H6398">
        <v>5</v>
      </c>
    </row>
    <row r="6399" spans="1:8">
      <c r="A6399" t="s">
        <v>11795</v>
      </c>
      <c r="B6399" t="s">
        <v>10944</v>
      </c>
      <c r="C6399" s="34" t="s">
        <v>11215</v>
      </c>
      <c r="F6399" t="s">
        <v>11215</v>
      </c>
      <c r="G6399" t="s">
        <v>6932</v>
      </c>
      <c r="H6399">
        <v>5</v>
      </c>
    </row>
    <row r="6400" spans="1:8">
      <c r="A6400" t="s">
        <v>11796</v>
      </c>
      <c r="B6400" t="s">
        <v>10944</v>
      </c>
      <c r="C6400" s="34" t="s">
        <v>11216</v>
      </c>
      <c r="F6400" t="s">
        <v>11216</v>
      </c>
      <c r="G6400" t="s">
        <v>6932</v>
      </c>
      <c r="H6400">
        <v>5</v>
      </c>
    </row>
    <row r="6401" spans="1:13">
      <c r="A6401" t="s">
        <v>11797</v>
      </c>
      <c r="B6401" t="s">
        <v>10944</v>
      </c>
      <c r="C6401" s="34" t="s">
        <v>11217</v>
      </c>
      <c r="F6401" t="s">
        <v>11217</v>
      </c>
      <c r="G6401" t="s">
        <v>6932</v>
      </c>
      <c r="H6401">
        <v>5</v>
      </c>
    </row>
    <row r="6402" spans="1:13">
      <c r="A6402" t="s">
        <v>3426</v>
      </c>
      <c r="B6402" t="s">
        <v>280</v>
      </c>
      <c r="C6402" s="34" t="s">
        <v>536</v>
      </c>
      <c r="F6402" t="s">
        <v>536</v>
      </c>
      <c r="H6402">
        <v>5</v>
      </c>
      <c r="I6402">
        <f>VLOOKUP(B6402,BRAND!B:D,3,FALSE)</f>
        <v>3</v>
      </c>
      <c r="J6402">
        <v>5</v>
      </c>
      <c r="K6402" t="s">
        <v>821</v>
      </c>
      <c r="M6402">
        <v>1</v>
      </c>
    </row>
    <row r="6403" spans="1:13">
      <c r="A6403" t="s">
        <v>3334</v>
      </c>
      <c r="B6403" t="s">
        <v>280</v>
      </c>
      <c r="C6403" s="34" t="s">
        <v>842</v>
      </c>
      <c r="F6403" t="s">
        <v>842</v>
      </c>
      <c r="H6403">
        <v>5</v>
      </c>
      <c r="I6403">
        <f>VLOOKUP(B6403,BRAND!B:D,3,FALSE)</f>
        <v>3</v>
      </c>
      <c r="J6403">
        <v>5</v>
      </c>
      <c r="K6403" t="s">
        <v>821</v>
      </c>
      <c r="M6403">
        <v>1</v>
      </c>
    </row>
    <row r="6404" spans="1:13">
      <c r="A6404" t="s">
        <v>9100</v>
      </c>
      <c r="B6404" t="s">
        <v>280</v>
      </c>
      <c r="C6404" s="34" t="s">
        <v>1438</v>
      </c>
      <c r="F6404" t="s">
        <v>1438</v>
      </c>
      <c r="G6404" t="s">
        <v>6932</v>
      </c>
      <c r="H6404">
        <v>5</v>
      </c>
      <c r="I6404">
        <f>VLOOKUP(B6404,BRAND!B:D,3,FALSE)</f>
        <v>3</v>
      </c>
      <c r="J6404">
        <v>4</v>
      </c>
      <c r="L6404">
        <v>0</v>
      </c>
      <c r="M6404">
        <v>0</v>
      </c>
    </row>
    <row r="6405" spans="1:13">
      <c r="A6405" t="s">
        <v>3523</v>
      </c>
      <c r="B6405" t="s">
        <v>280</v>
      </c>
      <c r="C6405" s="34" t="s">
        <v>561</v>
      </c>
      <c r="F6405" t="s">
        <v>561</v>
      </c>
      <c r="H6405">
        <v>5</v>
      </c>
      <c r="I6405">
        <f>VLOOKUP(B6405,BRAND!B:D,3,FALSE)</f>
        <v>3</v>
      </c>
      <c r="J6405">
        <v>3</v>
      </c>
      <c r="K6405" t="s">
        <v>821</v>
      </c>
      <c r="M6405">
        <v>1</v>
      </c>
    </row>
    <row r="6406" spans="1:13">
      <c r="A6406" t="s">
        <v>9803</v>
      </c>
      <c r="B6406" t="s">
        <v>280</v>
      </c>
      <c r="C6406" s="34" t="s">
        <v>535</v>
      </c>
      <c r="G6406" t="s">
        <v>6932</v>
      </c>
      <c r="H6406">
        <v>5</v>
      </c>
      <c r="I6406">
        <f>VLOOKUP(B6406,BRAND!B:D,3,FALSE)</f>
        <v>3</v>
      </c>
      <c r="J6406">
        <f>LEN(F6406)</f>
        <v>0</v>
      </c>
      <c r="L6406">
        <v>0</v>
      </c>
      <c r="M6406">
        <v>0</v>
      </c>
    </row>
    <row r="6407" spans="1:13">
      <c r="A6407" t="s">
        <v>9803</v>
      </c>
      <c r="B6407" t="s">
        <v>280</v>
      </c>
      <c r="C6407" s="34" t="s">
        <v>535</v>
      </c>
      <c r="G6407" t="s">
        <v>6932</v>
      </c>
      <c r="H6407">
        <v>5</v>
      </c>
      <c r="I6407">
        <f>VLOOKUP(B6407,BRAND!B:D,3,FALSE)</f>
        <v>3</v>
      </c>
      <c r="J6407">
        <v>0</v>
      </c>
      <c r="M6407">
        <v>1</v>
      </c>
    </row>
    <row r="6408" spans="1:13">
      <c r="A6408" t="s">
        <v>2281</v>
      </c>
      <c r="B6408" t="s">
        <v>280</v>
      </c>
      <c r="C6408" s="34" t="s">
        <v>1438</v>
      </c>
      <c r="F6408" t="s">
        <v>1438</v>
      </c>
      <c r="H6408">
        <v>15</v>
      </c>
      <c r="I6408">
        <f>VLOOKUP(B6408,BRAND!B:D,3,FALSE)</f>
        <v>3</v>
      </c>
      <c r="J6408">
        <v>4</v>
      </c>
      <c r="K6408" t="s">
        <v>821</v>
      </c>
      <c r="L6408">
        <v>0</v>
      </c>
      <c r="M6408">
        <v>0</v>
      </c>
    </row>
    <row r="6409" spans="1:13">
      <c r="A6409" t="s">
        <v>8057</v>
      </c>
      <c r="B6409" t="s">
        <v>8058</v>
      </c>
      <c r="C6409" s="34" t="s">
        <v>1438</v>
      </c>
      <c r="F6409" t="s">
        <v>1438</v>
      </c>
      <c r="G6409" t="s">
        <v>6932</v>
      </c>
      <c r="H6409">
        <v>5</v>
      </c>
      <c r="I6409">
        <f>VLOOKUP(B6409,BRAND!B:D,3,FALSE)</f>
        <v>5.5</v>
      </c>
      <c r="J6409">
        <v>4</v>
      </c>
      <c r="M6409">
        <v>1</v>
      </c>
    </row>
    <row r="6410" spans="1:13">
      <c r="A6410" t="s">
        <v>3046</v>
      </c>
      <c r="B6410" t="s">
        <v>143</v>
      </c>
      <c r="C6410" s="34" t="s">
        <v>794</v>
      </c>
      <c r="F6410" t="s">
        <v>794</v>
      </c>
      <c r="H6410">
        <v>5</v>
      </c>
      <c r="I6410">
        <f>VLOOKUP(B6410,BRAND!B:D,3,FALSE)</f>
        <v>3</v>
      </c>
      <c r="J6410">
        <f>LEN(F6410)</f>
        <v>10</v>
      </c>
      <c r="K6410" t="s">
        <v>821</v>
      </c>
      <c r="L6410">
        <v>0</v>
      </c>
      <c r="M6410">
        <v>0</v>
      </c>
    </row>
    <row r="6411" spans="1:13">
      <c r="A6411" t="s">
        <v>2926</v>
      </c>
      <c r="B6411" t="s">
        <v>143</v>
      </c>
      <c r="C6411" s="34" t="s">
        <v>849</v>
      </c>
      <c r="F6411" t="s">
        <v>849</v>
      </c>
      <c r="H6411">
        <v>5</v>
      </c>
      <c r="I6411">
        <f>VLOOKUP(B6411,BRAND!B:D,3,FALSE)</f>
        <v>3</v>
      </c>
      <c r="J6411">
        <v>6</v>
      </c>
      <c r="K6411" t="s">
        <v>821</v>
      </c>
      <c r="L6411">
        <v>0</v>
      </c>
      <c r="M6411">
        <v>0</v>
      </c>
    </row>
    <row r="6412" spans="1:13">
      <c r="A6412" t="s">
        <v>2064</v>
      </c>
      <c r="B6412" t="s">
        <v>143</v>
      </c>
      <c r="C6412" s="34" t="s">
        <v>799</v>
      </c>
      <c r="F6412" t="s">
        <v>799</v>
      </c>
      <c r="H6412">
        <v>5</v>
      </c>
      <c r="I6412">
        <f>VLOOKUP(B6412,BRAND!B:D,3,FALSE)</f>
        <v>3</v>
      </c>
      <c r="J6412">
        <v>5</v>
      </c>
      <c r="K6412" t="s">
        <v>821</v>
      </c>
      <c r="L6412">
        <v>0</v>
      </c>
      <c r="M6412">
        <v>0</v>
      </c>
    </row>
    <row r="6413" spans="1:13">
      <c r="A6413" t="s">
        <v>4773</v>
      </c>
      <c r="B6413" t="s">
        <v>143</v>
      </c>
      <c r="C6413" s="34" t="s">
        <v>761</v>
      </c>
      <c r="F6413" t="s">
        <v>761</v>
      </c>
      <c r="H6413">
        <v>5</v>
      </c>
      <c r="I6413">
        <f>VLOOKUP(B6413,BRAND!B:D,3,FALSE)</f>
        <v>3</v>
      </c>
      <c r="J6413">
        <v>5</v>
      </c>
      <c r="K6413" t="s">
        <v>821</v>
      </c>
      <c r="L6413">
        <v>0</v>
      </c>
      <c r="M6413">
        <v>0</v>
      </c>
    </row>
    <row r="6414" spans="1:13">
      <c r="A6414" t="s">
        <v>4044</v>
      </c>
      <c r="B6414" t="s">
        <v>143</v>
      </c>
      <c r="C6414" s="34" t="s">
        <v>6945</v>
      </c>
      <c r="F6414" t="s">
        <v>751</v>
      </c>
      <c r="H6414">
        <v>5</v>
      </c>
      <c r="I6414">
        <f>VLOOKUP(B6414,BRAND!B:D,3,FALSE)</f>
        <v>3</v>
      </c>
      <c r="J6414">
        <v>5</v>
      </c>
      <c r="K6414" t="s">
        <v>821</v>
      </c>
      <c r="M6414">
        <v>1</v>
      </c>
    </row>
    <row r="6415" spans="1:13">
      <c r="A6415" t="s">
        <v>9101</v>
      </c>
      <c r="B6415" t="s">
        <v>143</v>
      </c>
      <c r="C6415" s="34" t="s">
        <v>9102</v>
      </c>
      <c r="F6415" t="s">
        <v>9102</v>
      </c>
      <c r="G6415" t="s">
        <v>6932</v>
      </c>
      <c r="H6415">
        <v>5</v>
      </c>
      <c r="I6415">
        <f>VLOOKUP(B6415,BRAND!B:D,3,FALSE)</f>
        <v>3</v>
      </c>
      <c r="J6415">
        <v>5</v>
      </c>
      <c r="M6415">
        <v>1</v>
      </c>
    </row>
    <row r="6416" spans="1:13">
      <c r="A6416" t="s">
        <v>3903</v>
      </c>
      <c r="B6416" t="s">
        <v>143</v>
      </c>
      <c r="C6416" s="34" t="s">
        <v>786</v>
      </c>
      <c r="F6416" t="s">
        <v>786</v>
      </c>
      <c r="H6416">
        <v>5</v>
      </c>
      <c r="I6416">
        <f>VLOOKUP(B6416,BRAND!B:D,3,FALSE)</f>
        <v>3</v>
      </c>
      <c r="J6416">
        <v>3</v>
      </c>
      <c r="K6416" t="s">
        <v>821</v>
      </c>
      <c r="L6416">
        <v>0</v>
      </c>
      <c r="M6416">
        <v>0</v>
      </c>
    </row>
    <row r="6417" spans="1:13">
      <c r="A6417" t="s">
        <v>9804</v>
      </c>
      <c r="B6417" t="s">
        <v>143</v>
      </c>
      <c r="C6417" s="34" t="s">
        <v>10004</v>
      </c>
      <c r="G6417" t="s">
        <v>6932</v>
      </c>
      <c r="H6417">
        <v>5</v>
      </c>
      <c r="I6417">
        <f>VLOOKUP(B6417,BRAND!B:D,3,FALSE)</f>
        <v>3</v>
      </c>
      <c r="J6417">
        <f>LEN(F6417)</f>
        <v>0</v>
      </c>
      <c r="L6417">
        <v>0</v>
      </c>
      <c r="M6417">
        <v>0</v>
      </c>
    </row>
    <row r="6418" spans="1:13">
      <c r="A6418" t="s">
        <v>9804</v>
      </c>
      <c r="B6418" t="s">
        <v>143</v>
      </c>
      <c r="C6418" s="34" t="s">
        <v>10004</v>
      </c>
      <c r="G6418" t="s">
        <v>6932</v>
      </c>
      <c r="H6418">
        <v>5</v>
      </c>
      <c r="I6418">
        <f>VLOOKUP(B6418,BRAND!B:D,3,FALSE)</f>
        <v>3</v>
      </c>
      <c r="J6418">
        <v>0</v>
      </c>
      <c r="M6418">
        <v>1</v>
      </c>
    </row>
    <row r="6419" spans="1:13">
      <c r="A6419" t="s">
        <v>7188</v>
      </c>
      <c r="B6419" t="s">
        <v>143</v>
      </c>
      <c r="C6419" s="34" t="s">
        <v>856</v>
      </c>
      <c r="F6419" t="s">
        <v>856</v>
      </c>
      <c r="H6419">
        <v>5</v>
      </c>
      <c r="I6419">
        <f>VLOOKUP(B6419,BRAND!B:D,3,FALSE)</f>
        <v>3</v>
      </c>
      <c r="M6419">
        <v>1</v>
      </c>
    </row>
    <row r="6420" spans="1:13">
      <c r="A6420" t="s">
        <v>4933</v>
      </c>
      <c r="B6420" t="s">
        <v>143</v>
      </c>
      <c r="C6420" s="34" t="s">
        <v>1438</v>
      </c>
      <c r="F6420" t="s">
        <v>1438</v>
      </c>
      <c r="G6420" t="s">
        <v>801</v>
      </c>
      <c r="H6420">
        <v>6</v>
      </c>
      <c r="I6420">
        <f>VLOOKUP(B6420,BRAND!B:D,3,FALSE)</f>
        <v>3</v>
      </c>
      <c r="J6420">
        <v>4</v>
      </c>
      <c r="K6420" t="s">
        <v>821</v>
      </c>
      <c r="M6420">
        <v>1</v>
      </c>
    </row>
    <row r="6421" spans="1:13">
      <c r="A6421" t="s">
        <v>9103</v>
      </c>
      <c r="B6421" t="s">
        <v>9104</v>
      </c>
      <c r="C6421" s="34" t="s">
        <v>1438</v>
      </c>
      <c r="F6421" t="s">
        <v>1438</v>
      </c>
      <c r="G6421" t="s">
        <v>6932</v>
      </c>
      <c r="H6421">
        <v>5</v>
      </c>
      <c r="I6421">
        <f>VLOOKUP(B6421,BRAND!B:D,3,FALSE)</f>
        <v>5.5</v>
      </c>
      <c r="J6421">
        <v>4</v>
      </c>
      <c r="L6421">
        <v>0</v>
      </c>
      <c r="M6421">
        <v>0</v>
      </c>
    </row>
    <row r="6422" spans="1:13">
      <c r="A6422" t="s">
        <v>4467</v>
      </c>
      <c r="B6422" t="s">
        <v>1326</v>
      </c>
      <c r="C6422" s="34" t="s">
        <v>1513</v>
      </c>
      <c r="F6422" t="s">
        <v>1513</v>
      </c>
      <c r="H6422">
        <v>5</v>
      </c>
      <c r="I6422">
        <f>VLOOKUP(B6422,BRAND!B:D,3,FALSE)</f>
        <v>3</v>
      </c>
      <c r="J6422">
        <v>5</v>
      </c>
      <c r="K6422" t="s">
        <v>821</v>
      </c>
      <c r="L6422">
        <v>0</v>
      </c>
      <c r="M6422">
        <v>0</v>
      </c>
    </row>
    <row r="6423" spans="1:13">
      <c r="A6423" t="s">
        <v>2402</v>
      </c>
      <c r="B6423" t="s">
        <v>1326</v>
      </c>
      <c r="C6423" s="34" t="s">
        <v>1438</v>
      </c>
      <c r="F6423" t="s">
        <v>1438</v>
      </c>
      <c r="H6423">
        <v>15</v>
      </c>
      <c r="I6423">
        <f>VLOOKUP(B6423,BRAND!B:D,3,FALSE)</f>
        <v>3</v>
      </c>
      <c r="J6423">
        <v>4</v>
      </c>
      <c r="K6423" t="s">
        <v>821</v>
      </c>
      <c r="L6423">
        <v>0</v>
      </c>
      <c r="M6423">
        <v>0</v>
      </c>
    </row>
    <row r="6424" spans="1:13">
      <c r="A6424" t="s">
        <v>4456</v>
      </c>
      <c r="B6424" t="s">
        <v>952</v>
      </c>
      <c r="C6424" s="34" t="s">
        <v>1470</v>
      </c>
      <c r="F6424" t="s">
        <v>1470</v>
      </c>
      <c r="H6424">
        <v>4</v>
      </c>
      <c r="I6424">
        <f>VLOOKUP(B6424,BRAND!B:D,3,FALSE)</f>
        <v>3</v>
      </c>
      <c r="J6424">
        <f>LEN(F6424)</f>
        <v>12</v>
      </c>
      <c r="K6424" t="s">
        <v>821</v>
      </c>
      <c r="M6424">
        <v>1</v>
      </c>
    </row>
    <row r="6425" spans="1:13">
      <c r="A6425" t="s">
        <v>4492</v>
      </c>
      <c r="B6425" t="s">
        <v>952</v>
      </c>
      <c r="C6425" s="34" t="s">
        <v>994</v>
      </c>
      <c r="F6425" t="s">
        <v>994</v>
      </c>
      <c r="H6425">
        <v>5</v>
      </c>
      <c r="I6425">
        <f>VLOOKUP(B6425,BRAND!B:D,3,FALSE)</f>
        <v>3</v>
      </c>
      <c r="J6425">
        <f>LEN(F6425)</f>
        <v>10</v>
      </c>
      <c r="K6425" t="s">
        <v>821</v>
      </c>
      <c r="M6425">
        <v>1</v>
      </c>
    </row>
    <row r="6426" spans="1:13">
      <c r="A6426" t="s">
        <v>4804</v>
      </c>
      <c r="B6426" t="s">
        <v>952</v>
      </c>
      <c r="C6426" s="34" t="s">
        <v>742</v>
      </c>
      <c r="F6426" t="s">
        <v>742</v>
      </c>
      <c r="H6426">
        <v>5</v>
      </c>
      <c r="I6426">
        <f>VLOOKUP(B6426,BRAND!B:D,3,FALSE)</f>
        <v>3</v>
      </c>
      <c r="J6426">
        <v>6</v>
      </c>
      <c r="K6426" t="s">
        <v>821</v>
      </c>
      <c r="M6426">
        <v>1</v>
      </c>
    </row>
    <row r="6427" spans="1:13">
      <c r="A6427" t="s">
        <v>4324</v>
      </c>
      <c r="B6427" t="s">
        <v>952</v>
      </c>
      <c r="C6427" s="34" t="s">
        <v>1513</v>
      </c>
      <c r="F6427" t="s">
        <v>1513</v>
      </c>
      <c r="H6427">
        <v>5</v>
      </c>
      <c r="I6427">
        <f>VLOOKUP(B6427,BRAND!B:D,3,FALSE)</f>
        <v>3</v>
      </c>
      <c r="J6427">
        <v>5</v>
      </c>
      <c r="K6427" t="s">
        <v>821</v>
      </c>
      <c r="M6427">
        <v>1</v>
      </c>
    </row>
    <row r="6428" spans="1:13">
      <c r="A6428" t="s">
        <v>2363</v>
      </c>
      <c r="B6428" t="s">
        <v>952</v>
      </c>
      <c r="C6428" s="34" t="s">
        <v>1438</v>
      </c>
      <c r="F6428" t="s">
        <v>1438</v>
      </c>
      <c r="H6428">
        <v>15</v>
      </c>
      <c r="I6428">
        <f>VLOOKUP(B6428,BRAND!B:D,3,FALSE)</f>
        <v>3</v>
      </c>
      <c r="J6428">
        <v>4</v>
      </c>
      <c r="K6428" t="s">
        <v>821</v>
      </c>
      <c r="M6428">
        <v>1</v>
      </c>
    </row>
    <row r="6429" spans="1:13">
      <c r="A6429" t="s">
        <v>15187</v>
      </c>
      <c r="B6429" t="s">
        <v>15188</v>
      </c>
      <c r="C6429" s="34" t="s">
        <v>15189</v>
      </c>
      <c r="F6429" t="s">
        <v>15189</v>
      </c>
      <c r="G6429" t="s">
        <v>6932</v>
      </c>
      <c r="H6429">
        <v>5</v>
      </c>
      <c r="I6429">
        <f>VLOOKUP(B6429,BRAND!B:D,3,FALSE)</f>
        <v>5</v>
      </c>
      <c r="J6429">
        <v>0</v>
      </c>
      <c r="K6429" t="s">
        <v>821</v>
      </c>
      <c r="L6429">
        <v>0</v>
      </c>
      <c r="M6429">
        <v>0</v>
      </c>
    </row>
    <row r="6430" spans="1:13">
      <c r="A6430" t="s">
        <v>15190</v>
      </c>
      <c r="B6430" t="s">
        <v>15188</v>
      </c>
      <c r="C6430" s="34" t="s">
        <v>15191</v>
      </c>
      <c r="F6430" t="s">
        <v>15191</v>
      </c>
      <c r="G6430" t="s">
        <v>6932</v>
      </c>
      <c r="H6430">
        <v>5</v>
      </c>
      <c r="I6430">
        <f>VLOOKUP(B6430,BRAND!B:D,3,FALSE)</f>
        <v>5</v>
      </c>
      <c r="J6430">
        <v>0</v>
      </c>
      <c r="K6430" t="s">
        <v>821</v>
      </c>
      <c r="L6430">
        <v>0</v>
      </c>
      <c r="M6430">
        <v>0</v>
      </c>
    </row>
    <row r="6431" spans="1:13">
      <c r="A6431" t="s">
        <v>15358</v>
      </c>
      <c r="B6431" t="s">
        <v>15188</v>
      </c>
      <c r="C6431" s="34" t="s">
        <v>15359</v>
      </c>
      <c r="F6431" t="s">
        <v>15360</v>
      </c>
      <c r="G6431" t="s">
        <v>6932</v>
      </c>
      <c r="H6431">
        <v>5</v>
      </c>
      <c r="I6431">
        <f>VLOOKUP(B6431,BRAND!B:D,3,FALSE)</f>
        <v>5</v>
      </c>
      <c r="J6431">
        <v>0</v>
      </c>
      <c r="K6431" t="s">
        <v>821</v>
      </c>
      <c r="L6431">
        <v>0</v>
      </c>
      <c r="M6431">
        <v>0</v>
      </c>
    </row>
    <row r="6432" spans="1:13">
      <c r="A6432" t="s">
        <v>15361</v>
      </c>
      <c r="B6432" t="s">
        <v>15188</v>
      </c>
      <c r="C6432" s="34" t="s">
        <v>15362</v>
      </c>
      <c r="F6432" t="s">
        <v>15363</v>
      </c>
      <c r="G6432" t="s">
        <v>6932</v>
      </c>
      <c r="H6432">
        <v>5</v>
      </c>
      <c r="I6432">
        <f>VLOOKUP(B6432,BRAND!B:D,3,FALSE)</f>
        <v>5</v>
      </c>
      <c r="J6432">
        <v>0</v>
      </c>
      <c r="K6432" t="s">
        <v>821</v>
      </c>
      <c r="L6432">
        <v>0</v>
      </c>
      <c r="M6432">
        <v>0</v>
      </c>
    </row>
    <row r="6433" spans="1:13">
      <c r="A6433" t="s">
        <v>15364</v>
      </c>
      <c r="B6433" t="s">
        <v>15188</v>
      </c>
      <c r="C6433" s="34" t="s">
        <v>15365</v>
      </c>
      <c r="F6433" t="s">
        <v>14376</v>
      </c>
      <c r="G6433" t="s">
        <v>6932</v>
      </c>
      <c r="H6433">
        <v>5</v>
      </c>
      <c r="I6433">
        <f>VLOOKUP(B6433,BRAND!B:D,3,FALSE)</f>
        <v>5</v>
      </c>
      <c r="J6433">
        <v>0</v>
      </c>
      <c r="K6433" t="s">
        <v>821</v>
      </c>
      <c r="L6433">
        <v>0</v>
      </c>
      <c r="M6433">
        <v>0</v>
      </c>
    </row>
    <row r="6434" spans="1:13">
      <c r="A6434" t="s">
        <v>15187</v>
      </c>
      <c r="B6434" t="s">
        <v>15188</v>
      </c>
      <c r="C6434" s="34" t="s">
        <v>15366</v>
      </c>
      <c r="F6434" t="s">
        <v>15189</v>
      </c>
      <c r="G6434" t="s">
        <v>6932</v>
      </c>
      <c r="H6434">
        <v>5</v>
      </c>
      <c r="I6434">
        <f>VLOOKUP(B6434,BRAND!B:D,3,FALSE)</f>
        <v>5</v>
      </c>
      <c r="J6434">
        <v>0</v>
      </c>
      <c r="K6434" t="s">
        <v>821</v>
      </c>
      <c r="L6434">
        <v>0</v>
      </c>
      <c r="M6434">
        <v>0</v>
      </c>
    </row>
    <row r="6435" spans="1:13">
      <c r="A6435" t="s">
        <v>15367</v>
      </c>
      <c r="B6435" t="s">
        <v>15188</v>
      </c>
      <c r="C6435" s="34" t="s">
        <v>15368</v>
      </c>
      <c r="F6435" t="s">
        <v>15369</v>
      </c>
      <c r="G6435" t="s">
        <v>6932</v>
      </c>
      <c r="H6435">
        <v>5</v>
      </c>
      <c r="I6435">
        <f>VLOOKUP(B6435,BRAND!B:D,3,FALSE)</f>
        <v>5</v>
      </c>
      <c r="J6435">
        <v>0</v>
      </c>
      <c r="K6435" t="s">
        <v>821</v>
      </c>
      <c r="L6435">
        <v>0</v>
      </c>
      <c r="M6435">
        <v>0</v>
      </c>
    </row>
    <row r="6436" spans="1:13">
      <c r="A6436" t="s">
        <v>15370</v>
      </c>
      <c r="B6436" t="s">
        <v>15188</v>
      </c>
      <c r="C6436" s="34" t="s">
        <v>15260</v>
      </c>
      <c r="F6436" t="s">
        <v>15371</v>
      </c>
      <c r="G6436" t="s">
        <v>6932</v>
      </c>
      <c r="H6436">
        <v>5</v>
      </c>
      <c r="I6436">
        <f>VLOOKUP(B6436,BRAND!B:D,3,FALSE)</f>
        <v>5</v>
      </c>
      <c r="J6436">
        <v>0</v>
      </c>
      <c r="K6436" t="s">
        <v>821</v>
      </c>
      <c r="L6436">
        <v>0</v>
      </c>
      <c r="M6436">
        <v>0</v>
      </c>
    </row>
    <row r="6437" spans="1:13">
      <c r="A6437" t="s">
        <v>15372</v>
      </c>
      <c r="B6437" t="s">
        <v>15188</v>
      </c>
      <c r="C6437" s="34" t="s">
        <v>15373</v>
      </c>
      <c r="F6437" t="s">
        <v>15374</v>
      </c>
      <c r="G6437" t="s">
        <v>6932</v>
      </c>
      <c r="H6437">
        <v>5</v>
      </c>
      <c r="I6437">
        <f>VLOOKUP(B6437,BRAND!B:D,3,FALSE)</f>
        <v>5</v>
      </c>
      <c r="J6437">
        <v>0</v>
      </c>
      <c r="K6437" t="s">
        <v>821</v>
      </c>
      <c r="L6437">
        <v>0</v>
      </c>
      <c r="M6437">
        <v>0</v>
      </c>
    </row>
    <row r="6438" spans="1:13">
      <c r="A6438" t="s">
        <v>15375</v>
      </c>
      <c r="B6438" t="s">
        <v>15188</v>
      </c>
      <c r="C6438" s="34" t="s">
        <v>776</v>
      </c>
      <c r="F6438" t="s">
        <v>15376</v>
      </c>
      <c r="G6438" t="s">
        <v>6932</v>
      </c>
      <c r="H6438">
        <v>5</v>
      </c>
      <c r="I6438">
        <f>VLOOKUP(B6438,BRAND!B:D,3,FALSE)</f>
        <v>5</v>
      </c>
      <c r="J6438">
        <v>0</v>
      </c>
      <c r="K6438" t="s">
        <v>821</v>
      </c>
      <c r="L6438">
        <v>0</v>
      </c>
      <c r="M6438">
        <v>0</v>
      </c>
    </row>
    <row r="6439" spans="1:13">
      <c r="A6439" t="s">
        <v>15377</v>
      </c>
      <c r="B6439" t="s">
        <v>15188</v>
      </c>
      <c r="C6439" s="34" t="s">
        <v>15378</v>
      </c>
      <c r="F6439" t="s">
        <v>15379</v>
      </c>
      <c r="G6439" t="s">
        <v>6932</v>
      </c>
      <c r="H6439">
        <v>5</v>
      </c>
      <c r="I6439">
        <f>VLOOKUP(B6439,BRAND!B:D,3,FALSE)</f>
        <v>5</v>
      </c>
      <c r="J6439">
        <v>0</v>
      </c>
      <c r="K6439" t="s">
        <v>821</v>
      </c>
      <c r="L6439">
        <v>0</v>
      </c>
      <c r="M6439">
        <v>0</v>
      </c>
    </row>
    <row r="6440" spans="1:13">
      <c r="A6440" t="s">
        <v>15380</v>
      </c>
      <c r="B6440" t="s">
        <v>15188</v>
      </c>
      <c r="C6440" s="34" t="s">
        <v>15381</v>
      </c>
      <c r="D6440" t="s">
        <v>2000</v>
      </c>
      <c r="F6440" t="s">
        <v>15382</v>
      </c>
      <c r="G6440" t="s">
        <v>6932</v>
      </c>
      <c r="H6440">
        <v>5</v>
      </c>
      <c r="I6440">
        <f>VLOOKUP(B6440,BRAND!B:D,3,FALSE)</f>
        <v>5</v>
      </c>
      <c r="J6440">
        <v>0</v>
      </c>
      <c r="K6440" t="s">
        <v>821</v>
      </c>
      <c r="L6440">
        <v>0</v>
      </c>
      <c r="M6440">
        <v>0</v>
      </c>
    </row>
    <row r="6441" spans="1:13">
      <c r="A6441" t="s">
        <v>15383</v>
      </c>
      <c r="B6441" t="s">
        <v>15188</v>
      </c>
      <c r="C6441" s="34" t="s">
        <v>15384</v>
      </c>
      <c r="F6441" t="s">
        <v>15385</v>
      </c>
      <c r="G6441" t="s">
        <v>6932</v>
      </c>
      <c r="H6441">
        <v>5</v>
      </c>
      <c r="I6441">
        <f>VLOOKUP(B6441,BRAND!B:D,3,FALSE)</f>
        <v>5</v>
      </c>
      <c r="J6441">
        <v>0</v>
      </c>
      <c r="K6441" t="s">
        <v>821</v>
      </c>
      <c r="L6441">
        <v>0</v>
      </c>
      <c r="M6441">
        <v>0</v>
      </c>
    </row>
    <row r="6442" spans="1:13">
      <c r="A6442" t="s">
        <v>15386</v>
      </c>
      <c r="B6442" t="s">
        <v>15188</v>
      </c>
      <c r="C6442" s="34" t="s">
        <v>15387</v>
      </c>
      <c r="F6442" t="s">
        <v>15387</v>
      </c>
      <c r="G6442" t="s">
        <v>6932</v>
      </c>
      <c r="H6442">
        <v>5</v>
      </c>
      <c r="I6442">
        <f>VLOOKUP(B6442,BRAND!B:D,3,FALSE)</f>
        <v>5</v>
      </c>
      <c r="J6442">
        <v>0</v>
      </c>
      <c r="K6442" t="s">
        <v>821</v>
      </c>
      <c r="L6442">
        <v>0</v>
      </c>
      <c r="M6442">
        <v>0</v>
      </c>
    </row>
    <row r="6443" spans="1:13">
      <c r="A6443" t="s">
        <v>15388</v>
      </c>
      <c r="B6443" t="s">
        <v>15188</v>
      </c>
      <c r="C6443" s="34" t="s">
        <v>15389</v>
      </c>
      <c r="F6443" t="s">
        <v>15390</v>
      </c>
      <c r="G6443" t="s">
        <v>6932</v>
      </c>
      <c r="H6443">
        <v>5</v>
      </c>
      <c r="I6443">
        <f>VLOOKUP(B6443,BRAND!B:D,3,FALSE)</f>
        <v>5</v>
      </c>
      <c r="J6443">
        <v>0</v>
      </c>
      <c r="K6443" t="s">
        <v>821</v>
      </c>
      <c r="L6443">
        <v>0</v>
      </c>
      <c r="M6443">
        <v>0</v>
      </c>
    </row>
    <row r="6444" spans="1:13">
      <c r="A6444" t="s">
        <v>15391</v>
      </c>
      <c r="B6444" t="s">
        <v>15188</v>
      </c>
      <c r="C6444" s="34" t="s">
        <v>15392</v>
      </c>
      <c r="F6444" t="s">
        <v>15393</v>
      </c>
      <c r="G6444" t="s">
        <v>6932</v>
      </c>
      <c r="H6444">
        <v>5</v>
      </c>
      <c r="I6444">
        <f>VLOOKUP(B6444,BRAND!B:D,3,FALSE)</f>
        <v>5</v>
      </c>
      <c r="J6444">
        <v>0</v>
      </c>
      <c r="K6444" t="s">
        <v>821</v>
      </c>
      <c r="L6444">
        <v>0</v>
      </c>
      <c r="M6444">
        <v>0</v>
      </c>
    </row>
    <row r="6445" spans="1:13">
      <c r="A6445" t="s">
        <v>15394</v>
      </c>
      <c r="B6445" t="s">
        <v>15188</v>
      </c>
      <c r="C6445" s="34" t="s">
        <v>15395</v>
      </c>
      <c r="F6445" t="s">
        <v>15396</v>
      </c>
      <c r="G6445" t="s">
        <v>6932</v>
      </c>
      <c r="H6445">
        <v>5</v>
      </c>
      <c r="I6445">
        <f>VLOOKUP(B6445,BRAND!B:D,3,FALSE)</f>
        <v>5</v>
      </c>
      <c r="J6445">
        <v>0</v>
      </c>
      <c r="K6445" t="s">
        <v>821</v>
      </c>
      <c r="L6445">
        <v>0</v>
      </c>
      <c r="M6445">
        <v>0</v>
      </c>
    </row>
    <row r="6446" spans="1:13">
      <c r="A6446" t="s">
        <v>15397</v>
      </c>
      <c r="B6446" t="s">
        <v>15188</v>
      </c>
      <c r="C6446" s="34" t="s">
        <v>15398</v>
      </c>
      <c r="F6446" t="s">
        <v>15399</v>
      </c>
      <c r="G6446" t="s">
        <v>6932</v>
      </c>
      <c r="H6446">
        <v>5</v>
      </c>
      <c r="I6446">
        <f>VLOOKUP(B6446,BRAND!B:D,3,FALSE)</f>
        <v>5</v>
      </c>
      <c r="J6446">
        <v>0</v>
      </c>
      <c r="K6446" t="s">
        <v>821</v>
      </c>
      <c r="L6446">
        <v>0</v>
      </c>
      <c r="M6446">
        <v>0</v>
      </c>
    </row>
    <row r="6447" spans="1:13">
      <c r="A6447" t="s">
        <v>15400</v>
      </c>
      <c r="B6447" t="s">
        <v>15188</v>
      </c>
      <c r="C6447" s="34" t="s">
        <v>175</v>
      </c>
      <c r="F6447" t="s">
        <v>175</v>
      </c>
      <c r="G6447" t="s">
        <v>6932</v>
      </c>
      <c r="H6447">
        <v>5</v>
      </c>
      <c r="I6447">
        <f>VLOOKUP(B6447,BRAND!B:D,3,FALSE)</f>
        <v>5</v>
      </c>
      <c r="J6447">
        <v>0</v>
      </c>
      <c r="K6447" t="s">
        <v>821</v>
      </c>
      <c r="L6447">
        <v>0</v>
      </c>
      <c r="M6447">
        <v>0</v>
      </c>
    </row>
    <row r="6448" spans="1:13">
      <c r="A6448" t="s">
        <v>15401</v>
      </c>
      <c r="B6448" t="s">
        <v>15188</v>
      </c>
      <c r="C6448" s="34" t="s">
        <v>15402</v>
      </c>
      <c r="F6448" t="s">
        <v>15402</v>
      </c>
      <c r="G6448" t="s">
        <v>6932</v>
      </c>
      <c r="H6448">
        <v>5</v>
      </c>
      <c r="I6448">
        <f>VLOOKUP(B6448,BRAND!B:D,3,FALSE)</f>
        <v>5</v>
      </c>
      <c r="J6448">
        <v>0</v>
      </c>
      <c r="K6448" t="s">
        <v>821</v>
      </c>
      <c r="L6448">
        <v>0</v>
      </c>
      <c r="M6448">
        <v>0</v>
      </c>
    </row>
    <row r="6449" spans="1:13">
      <c r="A6449" t="s">
        <v>15403</v>
      </c>
      <c r="B6449" t="s">
        <v>15188</v>
      </c>
      <c r="C6449" s="34" t="s">
        <v>15404</v>
      </c>
      <c r="F6449" t="s">
        <v>15404</v>
      </c>
      <c r="G6449" t="s">
        <v>6932</v>
      </c>
      <c r="H6449">
        <v>5</v>
      </c>
      <c r="I6449">
        <f>VLOOKUP(B6449,BRAND!B:D,3,FALSE)</f>
        <v>5</v>
      </c>
      <c r="J6449">
        <v>0</v>
      </c>
      <c r="K6449" t="s">
        <v>821</v>
      </c>
      <c r="L6449">
        <v>0</v>
      </c>
      <c r="M6449">
        <v>0</v>
      </c>
    </row>
    <row r="6450" spans="1:13">
      <c r="A6450" t="s">
        <v>15405</v>
      </c>
      <c r="B6450" t="s">
        <v>15188</v>
      </c>
      <c r="C6450" s="34" t="s">
        <v>15406</v>
      </c>
      <c r="F6450" t="s">
        <v>15406</v>
      </c>
      <c r="G6450" t="s">
        <v>6932</v>
      </c>
      <c r="H6450">
        <v>5</v>
      </c>
      <c r="I6450">
        <f>VLOOKUP(B6450,BRAND!B:D,3,FALSE)</f>
        <v>5</v>
      </c>
      <c r="J6450">
        <v>0</v>
      </c>
      <c r="K6450" t="s">
        <v>821</v>
      </c>
      <c r="L6450">
        <v>0</v>
      </c>
      <c r="M6450">
        <v>0</v>
      </c>
    </row>
    <row r="6451" spans="1:13">
      <c r="A6451" t="s">
        <v>15407</v>
      </c>
      <c r="B6451" t="s">
        <v>15188</v>
      </c>
      <c r="C6451" s="34" t="s">
        <v>15408</v>
      </c>
      <c r="F6451" t="s">
        <v>15408</v>
      </c>
      <c r="G6451" t="s">
        <v>6932</v>
      </c>
      <c r="H6451">
        <v>5</v>
      </c>
      <c r="I6451">
        <f>VLOOKUP(B6451,BRAND!B:D,3,FALSE)</f>
        <v>5</v>
      </c>
      <c r="J6451">
        <v>0</v>
      </c>
      <c r="K6451" t="s">
        <v>821</v>
      </c>
      <c r="L6451">
        <v>0</v>
      </c>
      <c r="M6451">
        <v>0</v>
      </c>
    </row>
    <row r="6452" spans="1:13">
      <c r="A6452" t="s">
        <v>15409</v>
      </c>
      <c r="B6452" t="s">
        <v>15188</v>
      </c>
      <c r="C6452" s="34" t="s">
        <v>15410</v>
      </c>
      <c r="F6452" t="s">
        <v>15411</v>
      </c>
      <c r="G6452" t="s">
        <v>6932</v>
      </c>
      <c r="H6452">
        <v>5</v>
      </c>
      <c r="I6452">
        <f>VLOOKUP(B6452,BRAND!B:D,3,FALSE)</f>
        <v>5</v>
      </c>
      <c r="J6452">
        <v>0</v>
      </c>
      <c r="K6452" t="s">
        <v>821</v>
      </c>
      <c r="L6452">
        <v>0</v>
      </c>
      <c r="M6452">
        <v>0</v>
      </c>
    </row>
    <row r="6453" spans="1:13">
      <c r="A6453" t="s">
        <v>10103</v>
      </c>
      <c r="B6453" t="s">
        <v>7007</v>
      </c>
      <c r="C6453" s="34" t="s">
        <v>1438</v>
      </c>
      <c r="F6453" t="s">
        <v>1438</v>
      </c>
      <c r="H6453">
        <v>15</v>
      </c>
      <c r="I6453">
        <f>VLOOKUP(B6453,BRAND!B:D,3,FALSE)</f>
        <v>11</v>
      </c>
      <c r="J6453">
        <v>4</v>
      </c>
      <c r="L6453">
        <v>0</v>
      </c>
      <c r="M6453">
        <v>0</v>
      </c>
    </row>
    <row r="6454" spans="1:13">
      <c r="A6454" t="s">
        <v>3008</v>
      </c>
      <c r="B6454" t="s">
        <v>1327</v>
      </c>
      <c r="C6454" s="34" t="s">
        <v>1438</v>
      </c>
      <c r="F6454" t="s">
        <v>1438</v>
      </c>
      <c r="H6454">
        <v>15</v>
      </c>
      <c r="I6454">
        <f>VLOOKUP(B6454,BRAND!B:D,3,FALSE)</f>
        <v>3</v>
      </c>
      <c r="J6454">
        <v>4</v>
      </c>
      <c r="K6454" t="s">
        <v>821</v>
      </c>
      <c r="M6454">
        <v>1</v>
      </c>
    </row>
    <row r="6455" spans="1:13">
      <c r="A6455" t="s">
        <v>9105</v>
      </c>
      <c r="B6455" t="s">
        <v>502</v>
      </c>
      <c r="C6455" s="34" t="s">
        <v>1438</v>
      </c>
      <c r="F6455" t="s">
        <v>1438</v>
      </c>
      <c r="G6455" t="s">
        <v>6932</v>
      </c>
      <c r="H6455">
        <v>5</v>
      </c>
      <c r="I6455">
        <f>VLOOKUP(B6455,BRAND!B:D,3,FALSE)</f>
        <v>3</v>
      </c>
      <c r="J6455">
        <v>4</v>
      </c>
      <c r="M6455">
        <v>1</v>
      </c>
    </row>
    <row r="6456" spans="1:13">
      <c r="A6456" t="s">
        <v>3273</v>
      </c>
      <c r="B6456" t="s">
        <v>502</v>
      </c>
      <c r="C6456" s="34" t="s">
        <v>1438</v>
      </c>
      <c r="F6456" t="s">
        <v>1438</v>
      </c>
      <c r="H6456">
        <v>15</v>
      </c>
      <c r="I6456">
        <f>VLOOKUP(B6456,BRAND!B:D,3,FALSE)</f>
        <v>3</v>
      </c>
      <c r="J6456">
        <v>4</v>
      </c>
      <c r="K6456" t="s">
        <v>821</v>
      </c>
      <c r="M6456">
        <v>1</v>
      </c>
    </row>
    <row r="6457" spans="1:13">
      <c r="A6457" t="s">
        <v>4706</v>
      </c>
      <c r="B6457" t="s">
        <v>1449</v>
      </c>
      <c r="C6457" s="34" t="s">
        <v>1479</v>
      </c>
      <c r="F6457" t="s">
        <v>1479</v>
      </c>
      <c r="H6457">
        <v>5</v>
      </c>
      <c r="I6457">
        <f>VLOOKUP(B6457,BRAND!B:D,3,FALSE)</f>
        <v>3</v>
      </c>
      <c r="J6457">
        <f>LEN(F6457)</f>
        <v>10</v>
      </c>
      <c r="K6457" t="s">
        <v>821</v>
      </c>
      <c r="M6457">
        <v>1</v>
      </c>
    </row>
    <row r="6458" spans="1:13">
      <c r="A6458" t="s">
        <v>4457</v>
      </c>
      <c r="B6458" t="s">
        <v>1449</v>
      </c>
      <c r="C6458" s="34" t="s">
        <v>994</v>
      </c>
      <c r="F6458" t="s">
        <v>994</v>
      </c>
      <c r="H6458">
        <v>5</v>
      </c>
      <c r="I6458">
        <f>VLOOKUP(B6458,BRAND!B:D,3,FALSE)</f>
        <v>3</v>
      </c>
      <c r="J6458">
        <f>LEN(F6458)</f>
        <v>10</v>
      </c>
      <c r="K6458" t="s">
        <v>821</v>
      </c>
      <c r="M6458">
        <v>1</v>
      </c>
    </row>
    <row r="6459" spans="1:13">
      <c r="A6459" t="s">
        <v>4463</v>
      </c>
      <c r="B6459" t="s">
        <v>1449</v>
      </c>
      <c r="C6459" s="34" t="s">
        <v>1489</v>
      </c>
      <c r="F6459" t="s">
        <v>1489</v>
      </c>
      <c r="H6459">
        <v>5</v>
      </c>
      <c r="I6459">
        <f>VLOOKUP(B6459,BRAND!B:D,3,FALSE)</f>
        <v>3</v>
      </c>
      <c r="J6459">
        <v>7</v>
      </c>
      <c r="K6459" t="s">
        <v>821</v>
      </c>
      <c r="M6459">
        <v>1</v>
      </c>
    </row>
    <row r="6460" spans="1:13">
      <c r="A6460" t="s">
        <v>4798</v>
      </c>
      <c r="B6460" t="s">
        <v>1449</v>
      </c>
      <c r="C6460" s="34" t="s">
        <v>842</v>
      </c>
      <c r="F6460" t="s">
        <v>842</v>
      </c>
      <c r="H6460">
        <v>5</v>
      </c>
      <c r="I6460">
        <f>VLOOKUP(B6460,BRAND!B:D,3,FALSE)</f>
        <v>3</v>
      </c>
      <c r="J6460">
        <v>5</v>
      </c>
      <c r="K6460" t="s">
        <v>821</v>
      </c>
      <c r="L6460">
        <v>0</v>
      </c>
      <c r="M6460">
        <v>0</v>
      </c>
    </row>
    <row r="6461" spans="1:13">
      <c r="A6461" t="s">
        <v>4781</v>
      </c>
      <c r="B6461" t="s">
        <v>1449</v>
      </c>
      <c r="C6461" s="34" t="s">
        <v>776</v>
      </c>
      <c r="F6461" t="s">
        <v>776</v>
      </c>
      <c r="H6461">
        <v>5</v>
      </c>
      <c r="I6461">
        <f>VLOOKUP(B6461,BRAND!B:D,3,FALSE)</f>
        <v>3</v>
      </c>
      <c r="J6461">
        <v>5</v>
      </c>
      <c r="K6461" t="s">
        <v>821</v>
      </c>
      <c r="L6461">
        <v>0</v>
      </c>
      <c r="M6461">
        <v>0</v>
      </c>
    </row>
    <row r="6462" spans="1:13">
      <c r="A6462" t="s">
        <v>4816</v>
      </c>
      <c r="B6462" t="s">
        <v>1449</v>
      </c>
      <c r="C6462" s="34" t="s">
        <v>761</v>
      </c>
      <c r="F6462" t="s">
        <v>761</v>
      </c>
      <c r="H6462">
        <v>5</v>
      </c>
      <c r="I6462">
        <f>VLOOKUP(B6462,BRAND!B:D,3,FALSE)</f>
        <v>3</v>
      </c>
      <c r="J6462">
        <v>5</v>
      </c>
      <c r="K6462" t="s">
        <v>821</v>
      </c>
      <c r="M6462">
        <v>1</v>
      </c>
    </row>
    <row r="6463" spans="1:13">
      <c r="A6463" t="s">
        <v>1535</v>
      </c>
      <c r="B6463" t="s">
        <v>1449</v>
      </c>
      <c r="C6463" s="34" t="s">
        <v>1438</v>
      </c>
      <c r="F6463" t="s">
        <v>1438</v>
      </c>
      <c r="H6463">
        <v>15</v>
      </c>
      <c r="I6463">
        <f>VLOOKUP(B6463,BRAND!B:D,3,FALSE)</f>
        <v>3</v>
      </c>
      <c r="J6463">
        <v>4</v>
      </c>
      <c r="K6463" t="s">
        <v>821</v>
      </c>
      <c r="M6463">
        <v>1</v>
      </c>
    </row>
    <row r="6464" spans="1:13">
      <c r="A6464" t="s">
        <v>4138</v>
      </c>
      <c r="B6464" t="s">
        <v>1118</v>
      </c>
      <c r="C6464" s="34" t="s">
        <v>783</v>
      </c>
      <c r="F6464" t="s">
        <v>783</v>
      </c>
      <c r="H6464">
        <v>5</v>
      </c>
      <c r="I6464">
        <f>VLOOKUP(B6464,BRAND!B:D,3,FALSE)</f>
        <v>3</v>
      </c>
      <c r="J6464">
        <f>LEN(F6464)</f>
        <v>10</v>
      </c>
      <c r="K6464" t="s">
        <v>821</v>
      </c>
      <c r="L6464">
        <v>0</v>
      </c>
      <c r="M6464">
        <v>0</v>
      </c>
    </row>
    <row r="6465" spans="1:13">
      <c r="A6465" t="s">
        <v>2310</v>
      </c>
      <c r="B6465" t="s">
        <v>1118</v>
      </c>
      <c r="C6465" s="34" t="s">
        <v>804</v>
      </c>
      <c r="F6465" t="s">
        <v>804</v>
      </c>
      <c r="H6465">
        <v>5</v>
      </c>
      <c r="I6465">
        <f>VLOOKUP(B6465,BRAND!B:D,3,FALSE)</f>
        <v>3</v>
      </c>
      <c r="J6465">
        <v>7</v>
      </c>
      <c r="K6465" t="s">
        <v>821</v>
      </c>
      <c r="L6465">
        <v>0</v>
      </c>
      <c r="M6465">
        <v>0</v>
      </c>
    </row>
    <row r="6466" spans="1:13">
      <c r="A6466" t="s">
        <v>2392</v>
      </c>
      <c r="B6466" t="s">
        <v>1118</v>
      </c>
      <c r="C6466" s="34" t="s">
        <v>1438</v>
      </c>
      <c r="F6466" t="s">
        <v>1438</v>
      </c>
      <c r="H6466">
        <v>15</v>
      </c>
      <c r="I6466">
        <f>VLOOKUP(B6466,BRAND!B:D,3,FALSE)</f>
        <v>3</v>
      </c>
      <c r="J6466">
        <v>4</v>
      </c>
      <c r="K6466" t="s">
        <v>821</v>
      </c>
      <c r="L6466">
        <v>0</v>
      </c>
      <c r="M6466">
        <v>0</v>
      </c>
    </row>
    <row r="6467" spans="1:13">
      <c r="A6467" t="s">
        <v>3647</v>
      </c>
      <c r="B6467" t="s">
        <v>144</v>
      </c>
      <c r="C6467" s="34" t="s">
        <v>5232</v>
      </c>
      <c r="F6467" t="s">
        <v>536</v>
      </c>
      <c r="H6467">
        <v>5</v>
      </c>
      <c r="I6467">
        <f>VLOOKUP(B6467,BRAND!B:D,3,FALSE)</f>
        <v>3</v>
      </c>
      <c r="J6467">
        <v>5</v>
      </c>
      <c r="K6467" t="s">
        <v>821</v>
      </c>
      <c r="M6467">
        <v>1</v>
      </c>
    </row>
    <row r="6468" spans="1:13">
      <c r="A6468" t="s">
        <v>2647</v>
      </c>
      <c r="B6468" t="s">
        <v>1188</v>
      </c>
      <c r="C6468" s="34" t="s">
        <v>1438</v>
      </c>
      <c r="F6468" t="s">
        <v>1438</v>
      </c>
      <c r="H6468">
        <v>15</v>
      </c>
      <c r="I6468">
        <f>VLOOKUP(B6468,BRAND!B:D,3,FALSE)</f>
        <v>3</v>
      </c>
      <c r="J6468">
        <v>4</v>
      </c>
      <c r="K6468" t="s">
        <v>821</v>
      </c>
      <c r="L6468">
        <v>0</v>
      </c>
      <c r="M6468">
        <v>0</v>
      </c>
    </row>
    <row r="6469" spans="1:13">
      <c r="A6469" t="s">
        <v>3255</v>
      </c>
      <c r="B6469" t="s">
        <v>437</v>
      </c>
      <c r="C6469" s="34" t="s">
        <v>1438</v>
      </c>
      <c r="F6469" t="s">
        <v>1438</v>
      </c>
      <c r="H6469">
        <v>15</v>
      </c>
      <c r="I6469">
        <f>VLOOKUP(B6469,BRAND!B:D,3,FALSE)</f>
        <v>3</v>
      </c>
      <c r="J6469">
        <v>4</v>
      </c>
      <c r="K6469" t="s">
        <v>821</v>
      </c>
      <c r="M6469">
        <v>1</v>
      </c>
    </row>
    <row r="6470" spans="1:13">
      <c r="A6470" t="s">
        <v>9107</v>
      </c>
      <c r="B6470" t="s">
        <v>145</v>
      </c>
      <c r="C6470" s="34" t="s">
        <v>6500</v>
      </c>
      <c r="F6470" t="s">
        <v>6500</v>
      </c>
      <c r="G6470" t="s">
        <v>6932</v>
      </c>
      <c r="H6470">
        <v>5</v>
      </c>
      <c r="I6470">
        <f>VLOOKUP(B6470,BRAND!B:D,3,FALSE)</f>
        <v>3</v>
      </c>
      <c r="J6470">
        <v>5</v>
      </c>
      <c r="M6470">
        <v>1</v>
      </c>
    </row>
    <row r="6471" spans="1:13">
      <c r="A6471" t="s">
        <v>3201</v>
      </c>
      <c r="B6471" t="s">
        <v>145</v>
      </c>
      <c r="C6471" s="34" t="s">
        <v>561</v>
      </c>
      <c r="F6471" t="s">
        <v>561</v>
      </c>
      <c r="H6471">
        <v>5</v>
      </c>
      <c r="I6471">
        <f>VLOOKUP(B6471,BRAND!B:D,3,FALSE)</f>
        <v>3</v>
      </c>
      <c r="J6471">
        <v>3</v>
      </c>
      <c r="K6471" t="s">
        <v>821</v>
      </c>
      <c r="L6471">
        <v>0</v>
      </c>
      <c r="M6471">
        <v>0</v>
      </c>
    </row>
    <row r="6472" spans="1:13">
      <c r="A6472" t="s">
        <v>7211</v>
      </c>
      <c r="B6472" t="s">
        <v>145</v>
      </c>
      <c r="C6472" s="34" t="s">
        <v>775</v>
      </c>
      <c r="F6472" t="s">
        <v>775</v>
      </c>
      <c r="G6472" t="s">
        <v>6932</v>
      </c>
      <c r="H6472">
        <v>5</v>
      </c>
      <c r="I6472">
        <f>VLOOKUP(B6472,BRAND!B:D,3,FALSE)</f>
        <v>3</v>
      </c>
      <c r="J6472">
        <v>3</v>
      </c>
      <c r="M6472">
        <v>1</v>
      </c>
    </row>
    <row r="6473" spans="1:13">
      <c r="A6473" t="s">
        <v>9106</v>
      </c>
      <c r="B6473" t="s">
        <v>145</v>
      </c>
      <c r="C6473" s="34" t="s">
        <v>786</v>
      </c>
      <c r="F6473" t="s">
        <v>786</v>
      </c>
      <c r="G6473" t="s">
        <v>6932</v>
      </c>
      <c r="H6473">
        <v>5</v>
      </c>
      <c r="I6473">
        <f>VLOOKUP(B6473,BRAND!B:D,3,FALSE)</f>
        <v>3</v>
      </c>
      <c r="J6473">
        <v>3</v>
      </c>
      <c r="M6473">
        <v>1</v>
      </c>
    </row>
    <row r="6474" spans="1:13">
      <c r="A6474" t="s">
        <v>9805</v>
      </c>
      <c r="B6474" t="s">
        <v>145</v>
      </c>
      <c r="C6474" s="34" t="s">
        <v>536</v>
      </c>
      <c r="G6474" t="s">
        <v>6932</v>
      </c>
      <c r="H6474">
        <v>5</v>
      </c>
      <c r="I6474">
        <f>VLOOKUP(B6474,BRAND!B:D,3,FALSE)</f>
        <v>3</v>
      </c>
      <c r="J6474">
        <f>LEN(F6474)</f>
        <v>0</v>
      </c>
      <c r="L6474">
        <v>0</v>
      </c>
      <c r="M6474">
        <v>0</v>
      </c>
    </row>
    <row r="6475" spans="1:13">
      <c r="A6475" t="s">
        <v>9806</v>
      </c>
      <c r="B6475" t="s">
        <v>145</v>
      </c>
      <c r="C6475" s="34" t="s">
        <v>561</v>
      </c>
      <c r="G6475" t="s">
        <v>801</v>
      </c>
      <c r="H6475">
        <v>5</v>
      </c>
      <c r="I6475">
        <f>VLOOKUP(B6475,BRAND!B:D,3,FALSE)</f>
        <v>3</v>
      </c>
      <c r="J6475">
        <f>LEN(F6475)</f>
        <v>0</v>
      </c>
      <c r="L6475">
        <v>0</v>
      </c>
      <c r="M6475">
        <v>0</v>
      </c>
    </row>
    <row r="6476" spans="1:13">
      <c r="A6476" t="s">
        <v>9805</v>
      </c>
      <c r="B6476" t="s">
        <v>145</v>
      </c>
      <c r="C6476" s="34" t="s">
        <v>536</v>
      </c>
      <c r="G6476" t="s">
        <v>6932</v>
      </c>
      <c r="H6476">
        <v>5</v>
      </c>
      <c r="I6476">
        <f>VLOOKUP(B6476,BRAND!B:D,3,FALSE)</f>
        <v>3</v>
      </c>
      <c r="J6476">
        <v>0</v>
      </c>
      <c r="M6476">
        <v>1</v>
      </c>
    </row>
    <row r="6477" spans="1:13">
      <c r="A6477" t="s">
        <v>9806</v>
      </c>
      <c r="B6477" t="s">
        <v>145</v>
      </c>
      <c r="C6477" s="34" t="s">
        <v>561</v>
      </c>
      <c r="G6477" t="s">
        <v>801</v>
      </c>
      <c r="H6477">
        <v>5</v>
      </c>
      <c r="I6477">
        <f>VLOOKUP(B6477,BRAND!B:D,3,FALSE)</f>
        <v>3</v>
      </c>
      <c r="J6477">
        <v>0</v>
      </c>
      <c r="M6477">
        <v>1</v>
      </c>
    </row>
    <row r="6478" spans="1:13">
      <c r="A6478" t="s">
        <v>7210</v>
      </c>
      <c r="B6478" t="s">
        <v>145</v>
      </c>
      <c r="C6478" s="34" t="s">
        <v>536</v>
      </c>
      <c r="F6478" t="s">
        <v>5235</v>
      </c>
      <c r="H6478">
        <v>5</v>
      </c>
      <c r="I6478">
        <f>VLOOKUP(B6478,BRAND!B:D,3,FALSE)</f>
        <v>3</v>
      </c>
      <c r="L6478">
        <v>0</v>
      </c>
      <c r="M6478">
        <v>0</v>
      </c>
    </row>
    <row r="6479" spans="1:13">
      <c r="A6479" t="s">
        <v>7212</v>
      </c>
      <c r="B6479" t="s">
        <v>145</v>
      </c>
      <c r="C6479" s="34" t="s">
        <v>561</v>
      </c>
      <c r="F6479" t="s">
        <v>5250</v>
      </c>
      <c r="G6479" t="s">
        <v>801</v>
      </c>
      <c r="H6479">
        <v>5</v>
      </c>
      <c r="I6479">
        <f>VLOOKUP(B6479,BRAND!B:D,3,FALSE)</f>
        <v>3</v>
      </c>
      <c r="L6479">
        <v>0</v>
      </c>
      <c r="M6479">
        <v>0</v>
      </c>
    </row>
    <row r="6480" spans="1:13">
      <c r="A6480" t="s">
        <v>7211</v>
      </c>
      <c r="B6480" t="s">
        <v>145</v>
      </c>
      <c r="C6480" s="34" t="s">
        <v>775</v>
      </c>
      <c r="F6480" t="s">
        <v>775</v>
      </c>
      <c r="H6480">
        <v>5</v>
      </c>
      <c r="I6480">
        <f>VLOOKUP(B6480,BRAND!B:D,3,FALSE)</f>
        <v>3</v>
      </c>
      <c r="M6480">
        <v>1</v>
      </c>
    </row>
    <row r="6481" spans="1:13">
      <c r="A6481" t="s">
        <v>4944</v>
      </c>
      <c r="B6481" t="s">
        <v>145</v>
      </c>
      <c r="C6481" s="34" t="s">
        <v>775</v>
      </c>
      <c r="F6481" t="s">
        <v>775</v>
      </c>
      <c r="G6481" t="s">
        <v>801</v>
      </c>
      <c r="H6481">
        <v>6</v>
      </c>
      <c r="I6481">
        <f>VLOOKUP(B6481,BRAND!B:D,3,FALSE)</f>
        <v>3</v>
      </c>
      <c r="J6481">
        <v>3</v>
      </c>
      <c r="K6481" t="s">
        <v>821</v>
      </c>
      <c r="M6481">
        <v>1</v>
      </c>
    </row>
    <row r="6482" spans="1:13">
      <c r="A6482" t="s">
        <v>2563</v>
      </c>
      <c r="B6482" t="s">
        <v>145</v>
      </c>
      <c r="C6482" s="34" t="s">
        <v>1438</v>
      </c>
      <c r="F6482" t="s">
        <v>1438</v>
      </c>
      <c r="H6482">
        <v>15</v>
      </c>
      <c r="I6482">
        <f>VLOOKUP(B6482,BRAND!B:D,3,FALSE)</f>
        <v>3</v>
      </c>
      <c r="J6482">
        <v>4</v>
      </c>
      <c r="K6482" t="s">
        <v>821</v>
      </c>
      <c r="L6482">
        <v>0</v>
      </c>
      <c r="M6482">
        <v>0</v>
      </c>
    </row>
    <row r="6483" spans="1:13">
      <c r="A6483" t="s">
        <v>15242</v>
      </c>
      <c r="B6483" t="s">
        <v>15243</v>
      </c>
      <c r="C6483" s="34" t="s">
        <v>13890</v>
      </c>
      <c r="F6483" t="s">
        <v>13890</v>
      </c>
      <c r="G6483" t="s">
        <v>6932</v>
      </c>
      <c r="H6483">
        <v>5</v>
      </c>
      <c r="I6483">
        <f>VLOOKUP(B6483,BRAND!B:D,3,FALSE)</f>
        <v>5</v>
      </c>
      <c r="J6483">
        <v>0</v>
      </c>
      <c r="K6483" t="s">
        <v>821</v>
      </c>
      <c r="L6483">
        <v>0</v>
      </c>
      <c r="M6483">
        <v>0</v>
      </c>
    </row>
    <row r="6484" spans="1:13">
      <c r="A6484" t="s">
        <v>15244</v>
      </c>
      <c r="B6484" t="s">
        <v>15243</v>
      </c>
      <c r="C6484" s="34" t="s">
        <v>15245</v>
      </c>
      <c r="F6484" t="s">
        <v>15245</v>
      </c>
      <c r="G6484" t="s">
        <v>6932</v>
      </c>
      <c r="H6484">
        <v>5</v>
      </c>
      <c r="I6484">
        <f>VLOOKUP(B6484,BRAND!B:D,3,FALSE)</f>
        <v>5</v>
      </c>
      <c r="J6484">
        <v>0</v>
      </c>
      <c r="K6484" t="s">
        <v>821</v>
      </c>
      <c r="L6484">
        <v>0</v>
      </c>
      <c r="M6484">
        <v>0</v>
      </c>
    </row>
    <row r="6485" spans="1:13">
      <c r="A6485" t="s">
        <v>15246</v>
      </c>
      <c r="B6485" t="s">
        <v>15243</v>
      </c>
      <c r="C6485" s="34" t="s">
        <v>561</v>
      </c>
      <c r="F6485" t="s">
        <v>561</v>
      </c>
      <c r="G6485" t="s">
        <v>6932</v>
      </c>
      <c r="H6485">
        <v>5</v>
      </c>
      <c r="I6485">
        <f>VLOOKUP(B6485,BRAND!B:D,3,FALSE)</f>
        <v>5</v>
      </c>
      <c r="J6485">
        <v>0</v>
      </c>
      <c r="K6485" t="s">
        <v>821</v>
      </c>
      <c r="L6485">
        <v>0</v>
      </c>
      <c r="M6485">
        <v>0</v>
      </c>
    </row>
    <row r="6486" spans="1:13">
      <c r="A6486" t="s">
        <v>15247</v>
      </c>
      <c r="B6486" t="s">
        <v>15243</v>
      </c>
      <c r="C6486" s="34" t="s">
        <v>12474</v>
      </c>
      <c r="F6486" t="s">
        <v>12474</v>
      </c>
      <c r="G6486" t="s">
        <v>6932</v>
      </c>
      <c r="H6486">
        <v>5</v>
      </c>
      <c r="I6486">
        <f>VLOOKUP(B6486,BRAND!B:D,3,FALSE)</f>
        <v>5</v>
      </c>
      <c r="J6486">
        <v>0</v>
      </c>
      <c r="K6486" t="s">
        <v>821</v>
      </c>
      <c r="L6486">
        <v>0</v>
      </c>
      <c r="M6486">
        <v>0</v>
      </c>
    </row>
    <row r="6487" spans="1:13">
      <c r="A6487" t="s">
        <v>15248</v>
      </c>
      <c r="B6487" t="s">
        <v>15243</v>
      </c>
      <c r="C6487" s="34" t="s">
        <v>852</v>
      </c>
      <c r="F6487" t="s">
        <v>852</v>
      </c>
      <c r="G6487" t="s">
        <v>6932</v>
      </c>
      <c r="H6487">
        <v>5</v>
      </c>
      <c r="I6487">
        <f>VLOOKUP(B6487,BRAND!B:D,3,FALSE)</f>
        <v>5</v>
      </c>
      <c r="J6487">
        <v>0</v>
      </c>
      <c r="K6487" t="s">
        <v>821</v>
      </c>
      <c r="L6487">
        <v>0</v>
      </c>
      <c r="M6487">
        <v>0</v>
      </c>
    </row>
    <row r="6488" spans="1:13">
      <c r="A6488" t="s">
        <v>15249</v>
      </c>
      <c r="B6488" t="s">
        <v>15243</v>
      </c>
      <c r="C6488" s="34" t="s">
        <v>14128</v>
      </c>
      <c r="F6488" t="s">
        <v>14128</v>
      </c>
      <c r="G6488" t="s">
        <v>6932</v>
      </c>
      <c r="H6488">
        <v>5</v>
      </c>
      <c r="I6488">
        <f>VLOOKUP(B6488,BRAND!B:D,3,FALSE)</f>
        <v>5</v>
      </c>
      <c r="J6488">
        <v>0</v>
      </c>
      <c r="K6488" t="s">
        <v>821</v>
      </c>
      <c r="L6488">
        <v>0</v>
      </c>
      <c r="M6488">
        <v>0</v>
      </c>
    </row>
    <row r="6489" spans="1:13">
      <c r="A6489" t="s">
        <v>15250</v>
      </c>
      <c r="B6489" t="s">
        <v>15243</v>
      </c>
      <c r="C6489" s="34" t="s">
        <v>15251</v>
      </c>
      <c r="F6489" t="s">
        <v>15251</v>
      </c>
      <c r="G6489" t="s">
        <v>6932</v>
      </c>
      <c r="H6489">
        <v>5</v>
      </c>
      <c r="I6489">
        <f>VLOOKUP(B6489,BRAND!B:D,3,FALSE)</f>
        <v>5</v>
      </c>
      <c r="J6489">
        <v>0</v>
      </c>
      <c r="K6489" t="s">
        <v>821</v>
      </c>
      <c r="L6489">
        <v>0</v>
      </c>
      <c r="M6489">
        <v>0</v>
      </c>
    </row>
    <row r="6490" spans="1:13">
      <c r="A6490" t="s">
        <v>15252</v>
      </c>
      <c r="B6490" t="s">
        <v>15243</v>
      </c>
      <c r="C6490" s="34" t="s">
        <v>1284</v>
      </c>
      <c r="F6490" t="s">
        <v>15253</v>
      </c>
      <c r="G6490" t="s">
        <v>6932</v>
      </c>
      <c r="H6490">
        <v>5</v>
      </c>
      <c r="I6490">
        <f>VLOOKUP(B6490,BRAND!B:D,3,FALSE)</f>
        <v>5</v>
      </c>
      <c r="J6490">
        <v>0</v>
      </c>
      <c r="K6490" t="s">
        <v>821</v>
      </c>
      <c r="L6490">
        <v>0</v>
      </c>
      <c r="M6490">
        <v>0</v>
      </c>
    </row>
    <row r="6491" spans="1:13">
      <c r="A6491" t="s">
        <v>15254</v>
      </c>
      <c r="B6491" t="s">
        <v>15243</v>
      </c>
      <c r="C6491" s="34" t="s">
        <v>745</v>
      </c>
      <c r="F6491" t="s">
        <v>15255</v>
      </c>
      <c r="G6491" t="s">
        <v>6932</v>
      </c>
      <c r="H6491">
        <v>5</v>
      </c>
      <c r="I6491">
        <f>VLOOKUP(B6491,BRAND!B:D,3,FALSE)</f>
        <v>5</v>
      </c>
      <c r="J6491">
        <v>0</v>
      </c>
      <c r="K6491" t="s">
        <v>821</v>
      </c>
      <c r="L6491">
        <v>0</v>
      </c>
      <c r="M6491">
        <v>0</v>
      </c>
    </row>
    <row r="6492" spans="1:13">
      <c r="A6492" t="s">
        <v>15256</v>
      </c>
      <c r="B6492" t="s">
        <v>15243</v>
      </c>
      <c r="C6492" s="34" t="s">
        <v>15257</v>
      </c>
      <c r="F6492" t="s">
        <v>15258</v>
      </c>
      <c r="G6492" t="s">
        <v>6932</v>
      </c>
      <c r="H6492">
        <v>5</v>
      </c>
      <c r="I6492">
        <f>VLOOKUP(B6492,BRAND!B:D,3,FALSE)</f>
        <v>5</v>
      </c>
      <c r="J6492">
        <v>0</v>
      </c>
      <c r="K6492" t="s">
        <v>821</v>
      </c>
      <c r="L6492">
        <v>0</v>
      </c>
      <c r="M6492">
        <v>0</v>
      </c>
    </row>
    <row r="6493" spans="1:13">
      <c r="A6493" t="s">
        <v>15259</v>
      </c>
      <c r="B6493" t="s">
        <v>15243</v>
      </c>
      <c r="C6493" s="34" t="s">
        <v>15260</v>
      </c>
      <c r="F6493" t="s">
        <v>15261</v>
      </c>
      <c r="G6493" t="s">
        <v>6932</v>
      </c>
      <c r="H6493">
        <v>5</v>
      </c>
      <c r="I6493">
        <f>VLOOKUP(B6493,BRAND!B:D,3,FALSE)</f>
        <v>5</v>
      </c>
      <c r="J6493">
        <v>0</v>
      </c>
      <c r="K6493" t="s">
        <v>821</v>
      </c>
      <c r="L6493">
        <v>0</v>
      </c>
      <c r="M6493">
        <v>0</v>
      </c>
    </row>
    <row r="6494" spans="1:13">
      <c r="A6494" t="s">
        <v>15262</v>
      </c>
      <c r="B6494" t="s">
        <v>15243</v>
      </c>
      <c r="C6494" s="34" t="s">
        <v>15263</v>
      </c>
      <c r="F6494" t="s">
        <v>15263</v>
      </c>
      <c r="G6494" t="s">
        <v>6932</v>
      </c>
      <c r="H6494">
        <v>5</v>
      </c>
      <c r="I6494">
        <f>VLOOKUP(B6494,BRAND!B:D,3,FALSE)</f>
        <v>5</v>
      </c>
      <c r="J6494">
        <v>0</v>
      </c>
      <c r="K6494" t="s">
        <v>821</v>
      </c>
      <c r="L6494">
        <v>0</v>
      </c>
      <c r="M6494">
        <v>0</v>
      </c>
    </row>
    <row r="6495" spans="1:13">
      <c r="A6495" t="s">
        <v>15264</v>
      </c>
      <c r="B6495" t="s">
        <v>15243</v>
      </c>
      <c r="C6495" s="34" t="s">
        <v>751</v>
      </c>
      <c r="F6495" t="s">
        <v>751</v>
      </c>
      <c r="G6495" t="s">
        <v>6932</v>
      </c>
      <c r="H6495">
        <v>5</v>
      </c>
      <c r="I6495">
        <f>VLOOKUP(B6495,BRAND!B:D,3,FALSE)</f>
        <v>5</v>
      </c>
      <c r="J6495">
        <v>0</v>
      </c>
      <c r="K6495" t="s">
        <v>821</v>
      </c>
      <c r="L6495">
        <v>0</v>
      </c>
      <c r="M6495">
        <v>0</v>
      </c>
    </row>
    <row r="6496" spans="1:13">
      <c r="A6496" t="s">
        <v>15265</v>
      </c>
      <c r="B6496" t="s">
        <v>15243</v>
      </c>
      <c r="C6496" s="34" t="s">
        <v>15266</v>
      </c>
      <c r="F6496" t="s">
        <v>15267</v>
      </c>
      <c r="G6496" t="s">
        <v>6932</v>
      </c>
      <c r="H6496">
        <v>5</v>
      </c>
      <c r="I6496">
        <f>VLOOKUP(B6496,BRAND!B:D,3,FALSE)</f>
        <v>5</v>
      </c>
      <c r="J6496">
        <v>0</v>
      </c>
      <c r="K6496" t="s">
        <v>821</v>
      </c>
      <c r="L6496">
        <v>0</v>
      </c>
      <c r="M6496">
        <v>0</v>
      </c>
    </row>
    <row r="6497" spans="1:13">
      <c r="A6497" t="s">
        <v>15268</v>
      </c>
      <c r="B6497" t="s">
        <v>15243</v>
      </c>
      <c r="C6497" s="34" t="s">
        <v>15269</v>
      </c>
      <c r="F6497" t="s">
        <v>15270</v>
      </c>
      <c r="G6497" t="s">
        <v>6932</v>
      </c>
      <c r="H6497">
        <v>5</v>
      </c>
      <c r="I6497">
        <f>VLOOKUP(B6497,BRAND!B:D,3,FALSE)</f>
        <v>5</v>
      </c>
      <c r="J6497">
        <v>0</v>
      </c>
      <c r="K6497" t="s">
        <v>821</v>
      </c>
      <c r="L6497">
        <v>0</v>
      </c>
      <c r="M6497">
        <v>0</v>
      </c>
    </row>
    <row r="6498" spans="1:13">
      <c r="A6498" t="s">
        <v>15271</v>
      </c>
      <c r="B6498" t="s">
        <v>15243</v>
      </c>
      <c r="C6498" s="34" t="s">
        <v>776</v>
      </c>
      <c r="F6498" t="s">
        <v>776</v>
      </c>
      <c r="G6498" t="s">
        <v>6932</v>
      </c>
      <c r="H6498">
        <v>5</v>
      </c>
      <c r="I6498">
        <f>VLOOKUP(B6498,BRAND!B:D,3,FALSE)</f>
        <v>5</v>
      </c>
      <c r="J6498">
        <v>0</v>
      </c>
      <c r="K6498" t="s">
        <v>821</v>
      </c>
      <c r="L6498">
        <v>0</v>
      </c>
      <c r="M6498">
        <v>0</v>
      </c>
    </row>
    <row r="6499" spans="1:13">
      <c r="A6499" t="s">
        <v>15272</v>
      </c>
      <c r="B6499" t="s">
        <v>15243</v>
      </c>
      <c r="C6499" s="34" t="s">
        <v>15273</v>
      </c>
      <c r="F6499" t="s">
        <v>561</v>
      </c>
      <c r="G6499" t="s">
        <v>801</v>
      </c>
      <c r="H6499">
        <v>5</v>
      </c>
      <c r="I6499">
        <f>VLOOKUP(B6499,BRAND!B:D,3,FALSE)</f>
        <v>5</v>
      </c>
      <c r="J6499">
        <v>0</v>
      </c>
      <c r="K6499" t="s">
        <v>821</v>
      </c>
      <c r="L6499">
        <v>0</v>
      </c>
      <c r="M6499">
        <v>0</v>
      </c>
    </row>
    <row r="6500" spans="1:13">
      <c r="A6500" t="s">
        <v>15274</v>
      </c>
      <c r="B6500" t="s">
        <v>15243</v>
      </c>
      <c r="C6500" s="34" t="s">
        <v>15275</v>
      </c>
      <c r="F6500" t="s">
        <v>534</v>
      </c>
      <c r="G6500" t="s">
        <v>6932</v>
      </c>
      <c r="H6500">
        <v>5</v>
      </c>
      <c r="I6500">
        <f>VLOOKUP(B6500,BRAND!B:D,3,FALSE)</f>
        <v>5</v>
      </c>
      <c r="J6500">
        <v>0</v>
      </c>
      <c r="K6500" t="s">
        <v>821</v>
      </c>
      <c r="L6500">
        <v>0</v>
      </c>
      <c r="M6500">
        <v>0</v>
      </c>
    </row>
    <row r="6501" spans="1:13">
      <c r="A6501" t="s">
        <v>15276</v>
      </c>
      <c r="B6501" t="s">
        <v>15243</v>
      </c>
      <c r="C6501" s="34" t="s">
        <v>15277</v>
      </c>
      <c r="F6501" t="s">
        <v>933</v>
      </c>
      <c r="G6501" t="s">
        <v>801</v>
      </c>
      <c r="H6501">
        <v>5</v>
      </c>
      <c r="I6501">
        <f>VLOOKUP(B6501,BRAND!B:D,3,FALSE)</f>
        <v>5</v>
      </c>
      <c r="J6501">
        <v>0</v>
      </c>
      <c r="K6501" t="s">
        <v>821</v>
      </c>
      <c r="L6501">
        <v>0</v>
      </c>
      <c r="M6501">
        <v>0</v>
      </c>
    </row>
    <row r="6502" spans="1:13">
      <c r="A6502" t="s">
        <v>15278</v>
      </c>
      <c r="B6502" t="s">
        <v>15243</v>
      </c>
      <c r="C6502" s="34" t="s">
        <v>15279</v>
      </c>
      <c r="F6502" t="s">
        <v>1999</v>
      </c>
      <c r="G6502" t="s">
        <v>6932</v>
      </c>
      <c r="H6502">
        <v>5</v>
      </c>
      <c r="I6502">
        <f>VLOOKUP(B6502,BRAND!B:D,3,FALSE)</f>
        <v>5</v>
      </c>
      <c r="J6502">
        <v>0</v>
      </c>
      <c r="K6502" t="s">
        <v>821</v>
      </c>
      <c r="L6502">
        <v>0</v>
      </c>
      <c r="M6502">
        <v>0</v>
      </c>
    </row>
    <row r="6503" spans="1:13">
      <c r="A6503" t="s">
        <v>15412</v>
      </c>
      <c r="B6503" t="s">
        <v>15413</v>
      </c>
      <c r="C6503" s="34" t="s">
        <v>13890</v>
      </c>
      <c r="F6503" t="s">
        <v>13890</v>
      </c>
      <c r="G6503" t="s">
        <v>6932</v>
      </c>
      <c r="H6503">
        <v>5</v>
      </c>
      <c r="I6503">
        <f>VLOOKUP(B6503,BRAND!B:D,3,FALSE)</f>
        <v>5</v>
      </c>
      <c r="J6503">
        <v>0</v>
      </c>
      <c r="K6503" t="s">
        <v>821</v>
      </c>
      <c r="L6503">
        <v>0</v>
      </c>
      <c r="M6503">
        <v>0</v>
      </c>
    </row>
    <row r="6504" spans="1:13">
      <c r="A6504" t="s">
        <v>15414</v>
      </c>
      <c r="B6504" t="s">
        <v>15413</v>
      </c>
      <c r="C6504" s="34" t="s">
        <v>15415</v>
      </c>
      <c r="F6504" t="s">
        <v>15415</v>
      </c>
      <c r="G6504" t="s">
        <v>6932</v>
      </c>
      <c r="H6504">
        <v>5</v>
      </c>
      <c r="I6504">
        <f>VLOOKUP(B6504,BRAND!B:D,3,FALSE)</f>
        <v>5</v>
      </c>
      <c r="J6504">
        <v>0</v>
      </c>
      <c r="K6504" t="s">
        <v>821</v>
      </c>
      <c r="L6504">
        <v>0</v>
      </c>
      <c r="M6504">
        <v>0</v>
      </c>
    </row>
    <row r="6505" spans="1:13">
      <c r="A6505" t="s">
        <v>15416</v>
      </c>
      <c r="B6505" t="s">
        <v>15413</v>
      </c>
      <c r="C6505" s="34" t="s">
        <v>10023</v>
      </c>
      <c r="F6505" t="s">
        <v>10023</v>
      </c>
      <c r="G6505" t="s">
        <v>6932</v>
      </c>
      <c r="H6505">
        <v>5</v>
      </c>
      <c r="I6505">
        <f>VLOOKUP(B6505,BRAND!B:D,3,FALSE)</f>
        <v>5</v>
      </c>
      <c r="J6505">
        <v>0</v>
      </c>
      <c r="K6505" t="s">
        <v>821</v>
      </c>
      <c r="L6505">
        <v>0</v>
      </c>
      <c r="M6505">
        <v>0</v>
      </c>
    </row>
    <row r="6506" spans="1:13">
      <c r="A6506" t="s">
        <v>15417</v>
      </c>
      <c r="B6506" t="s">
        <v>15413</v>
      </c>
      <c r="C6506" s="34" t="s">
        <v>15418</v>
      </c>
      <c r="F6506" t="s">
        <v>15419</v>
      </c>
      <c r="G6506" t="s">
        <v>6932</v>
      </c>
      <c r="H6506">
        <v>5</v>
      </c>
      <c r="I6506">
        <f>VLOOKUP(B6506,BRAND!B:D,3,FALSE)</f>
        <v>5</v>
      </c>
      <c r="J6506">
        <v>0</v>
      </c>
      <c r="K6506" t="s">
        <v>821</v>
      </c>
      <c r="L6506">
        <v>0</v>
      </c>
      <c r="M6506">
        <v>0</v>
      </c>
    </row>
    <row r="6507" spans="1:13">
      <c r="A6507" t="s">
        <v>15420</v>
      </c>
      <c r="B6507" t="s">
        <v>15413</v>
      </c>
      <c r="C6507" s="34" t="s">
        <v>12474</v>
      </c>
      <c r="F6507" t="s">
        <v>12474</v>
      </c>
      <c r="G6507" t="s">
        <v>6932</v>
      </c>
      <c r="H6507">
        <v>5</v>
      </c>
      <c r="I6507">
        <f>VLOOKUP(B6507,BRAND!B:D,3,FALSE)</f>
        <v>5</v>
      </c>
      <c r="J6507">
        <v>0</v>
      </c>
      <c r="K6507" t="s">
        <v>821</v>
      </c>
      <c r="L6507">
        <v>0</v>
      </c>
      <c r="M6507">
        <v>0</v>
      </c>
    </row>
    <row r="6508" spans="1:13">
      <c r="A6508" t="s">
        <v>15421</v>
      </c>
      <c r="B6508" t="s">
        <v>15413</v>
      </c>
      <c r="C6508" s="34" t="s">
        <v>561</v>
      </c>
      <c r="F6508" t="s">
        <v>15422</v>
      </c>
      <c r="G6508" t="s">
        <v>6932</v>
      </c>
      <c r="H6508">
        <v>5</v>
      </c>
      <c r="I6508">
        <f>VLOOKUP(B6508,BRAND!B:D,3,FALSE)</f>
        <v>5</v>
      </c>
      <c r="J6508">
        <v>0</v>
      </c>
      <c r="K6508" t="s">
        <v>821</v>
      </c>
      <c r="L6508">
        <v>0</v>
      </c>
      <c r="M6508">
        <v>0</v>
      </c>
    </row>
    <row r="6509" spans="1:13">
      <c r="A6509" t="s">
        <v>15423</v>
      </c>
      <c r="B6509" t="s">
        <v>15413</v>
      </c>
      <c r="C6509" s="34" t="s">
        <v>786</v>
      </c>
      <c r="F6509" t="s">
        <v>15424</v>
      </c>
      <c r="G6509" t="s">
        <v>6932</v>
      </c>
      <c r="H6509">
        <v>5</v>
      </c>
      <c r="I6509">
        <f>VLOOKUP(B6509,BRAND!B:D,3,FALSE)</f>
        <v>5</v>
      </c>
      <c r="J6509">
        <v>0</v>
      </c>
      <c r="K6509" t="s">
        <v>821</v>
      </c>
      <c r="L6509">
        <v>0</v>
      </c>
      <c r="M6509">
        <v>0</v>
      </c>
    </row>
    <row r="6510" spans="1:13">
      <c r="A6510" t="s">
        <v>15425</v>
      </c>
      <c r="B6510" t="s">
        <v>15413</v>
      </c>
      <c r="C6510" s="34" t="s">
        <v>175</v>
      </c>
      <c r="F6510" t="s">
        <v>15426</v>
      </c>
      <c r="G6510" t="s">
        <v>6932</v>
      </c>
      <c r="H6510">
        <v>5</v>
      </c>
      <c r="I6510">
        <f>VLOOKUP(B6510,BRAND!B:D,3,FALSE)</f>
        <v>5</v>
      </c>
      <c r="J6510">
        <v>0</v>
      </c>
      <c r="K6510" t="s">
        <v>821</v>
      </c>
      <c r="L6510">
        <v>0</v>
      </c>
      <c r="M6510">
        <v>0</v>
      </c>
    </row>
    <row r="6511" spans="1:13">
      <c r="A6511" t="s">
        <v>15427</v>
      </c>
      <c r="B6511" t="s">
        <v>15413</v>
      </c>
      <c r="C6511" s="34" t="s">
        <v>15428</v>
      </c>
      <c r="F6511" t="s">
        <v>15429</v>
      </c>
      <c r="G6511" t="s">
        <v>6932</v>
      </c>
      <c r="H6511">
        <v>5</v>
      </c>
      <c r="I6511">
        <f>VLOOKUP(B6511,BRAND!B:D,3,FALSE)</f>
        <v>5</v>
      </c>
      <c r="J6511">
        <v>0</v>
      </c>
      <c r="K6511" t="s">
        <v>821</v>
      </c>
      <c r="L6511">
        <v>0</v>
      </c>
      <c r="M6511">
        <v>0</v>
      </c>
    </row>
    <row r="6512" spans="1:13">
      <c r="A6512" t="s">
        <v>15430</v>
      </c>
      <c r="B6512" t="s">
        <v>15413</v>
      </c>
      <c r="C6512" s="34" t="s">
        <v>788</v>
      </c>
      <c r="F6512" t="s">
        <v>788</v>
      </c>
      <c r="G6512" t="s">
        <v>6932</v>
      </c>
      <c r="H6512">
        <v>5</v>
      </c>
      <c r="I6512">
        <f>VLOOKUP(B6512,BRAND!B:D,3,FALSE)</f>
        <v>5</v>
      </c>
      <c r="J6512">
        <v>0</v>
      </c>
      <c r="K6512" t="s">
        <v>821</v>
      </c>
      <c r="L6512">
        <v>0</v>
      </c>
      <c r="M6512">
        <v>0</v>
      </c>
    </row>
    <row r="6513" spans="1:13">
      <c r="A6513" t="s">
        <v>15431</v>
      </c>
      <c r="B6513" t="s">
        <v>15413</v>
      </c>
      <c r="C6513" s="34" t="s">
        <v>6948</v>
      </c>
      <c r="F6513" t="s">
        <v>6948</v>
      </c>
      <c r="G6513" t="s">
        <v>6932</v>
      </c>
      <c r="H6513">
        <v>5</v>
      </c>
      <c r="I6513">
        <f>VLOOKUP(B6513,BRAND!B:D,3,FALSE)</f>
        <v>5</v>
      </c>
      <c r="J6513">
        <v>0</v>
      </c>
      <c r="K6513" t="s">
        <v>821</v>
      </c>
      <c r="L6513">
        <v>0</v>
      </c>
      <c r="M6513">
        <v>0</v>
      </c>
    </row>
    <row r="6514" spans="1:13">
      <c r="A6514" t="s">
        <v>15432</v>
      </c>
      <c r="B6514" t="s">
        <v>15413</v>
      </c>
      <c r="C6514" s="34" t="s">
        <v>11000</v>
      </c>
      <c r="F6514" t="s">
        <v>15433</v>
      </c>
      <c r="G6514" t="s">
        <v>6932</v>
      </c>
      <c r="H6514">
        <v>5</v>
      </c>
      <c r="I6514">
        <f>VLOOKUP(B6514,BRAND!B:D,3,FALSE)</f>
        <v>5</v>
      </c>
      <c r="J6514">
        <v>0</v>
      </c>
      <c r="K6514" t="s">
        <v>821</v>
      </c>
      <c r="L6514">
        <v>0</v>
      </c>
      <c r="M6514">
        <v>0</v>
      </c>
    </row>
    <row r="6515" spans="1:13">
      <c r="A6515" t="s">
        <v>15434</v>
      </c>
      <c r="B6515" t="s">
        <v>15413</v>
      </c>
      <c r="C6515" s="34" t="s">
        <v>13248</v>
      </c>
      <c r="F6515" t="s">
        <v>15435</v>
      </c>
      <c r="G6515" t="s">
        <v>6932</v>
      </c>
      <c r="H6515">
        <v>5</v>
      </c>
      <c r="I6515">
        <f>VLOOKUP(B6515,BRAND!B:D,3,FALSE)</f>
        <v>5</v>
      </c>
      <c r="J6515">
        <v>0</v>
      </c>
      <c r="K6515" t="s">
        <v>821</v>
      </c>
      <c r="L6515">
        <v>0</v>
      </c>
      <c r="M6515">
        <v>0</v>
      </c>
    </row>
    <row r="6516" spans="1:13">
      <c r="A6516" t="s">
        <v>15436</v>
      </c>
      <c r="B6516" t="s">
        <v>15413</v>
      </c>
      <c r="C6516" s="34" t="s">
        <v>1979</v>
      </c>
      <c r="F6516" t="s">
        <v>15437</v>
      </c>
      <c r="G6516" t="s">
        <v>6932</v>
      </c>
      <c r="H6516">
        <v>5</v>
      </c>
      <c r="I6516">
        <f>VLOOKUP(B6516,BRAND!B:D,3,FALSE)</f>
        <v>5</v>
      </c>
      <c r="J6516">
        <v>0</v>
      </c>
      <c r="K6516" t="s">
        <v>821</v>
      </c>
      <c r="L6516">
        <v>0</v>
      </c>
      <c r="M6516">
        <v>0</v>
      </c>
    </row>
    <row r="6517" spans="1:13">
      <c r="A6517" t="s">
        <v>15438</v>
      </c>
      <c r="B6517" t="s">
        <v>15413</v>
      </c>
      <c r="C6517" s="34" t="s">
        <v>561</v>
      </c>
      <c r="F6517" t="s">
        <v>15439</v>
      </c>
      <c r="G6517" t="s">
        <v>6932</v>
      </c>
      <c r="H6517">
        <v>5</v>
      </c>
      <c r="I6517">
        <f>VLOOKUP(B6517,BRAND!B:D,3,FALSE)</f>
        <v>5</v>
      </c>
      <c r="J6517">
        <v>0</v>
      </c>
      <c r="K6517" t="s">
        <v>821</v>
      </c>
      <c r="L6517">
        <v>0</v>
      </c>
      <c r="M6517">
        <v>0</v>
      </c>
    </row>
    <row r="6518" spans="1:13">
      <c r="A6518" t="s">
        <v>15440</v>
      </c>
      <c r="B6518" t="s">
        <v>15413</v>
      </c>
      <c r="C6518" s="34" t="s">
        <v>13290</v>
      </c>
      <c r="F6518" t="s">
        <v>15441</v>
      </c>
      <c r="G6518" t="s">
        <v>6932</v>
      </c>
      <c r="H6518">
        <v>5</v>
      </c>
      <c r="I6518">
        <f>VLOOKUP(B6518,BRAND!B:D,3,FALSE)</f>
        <v>5</v>
      </c>
      <c r="J6518">
        <v>0</v>
      </c>
      <c r="K6518" t="s">
        <v>821</v>
      </c>
      <c r="L6518">
        <v>0</v>
      </c>
      <c r="M6518">
        <v>0</v>
      </c>
    </row>
    <row r="6519" spans="1:13">
      <c r="A6519" t="s">
        <v>15442</v>
      </c>
      <c r="B6519" t="s">
        <v>15413</v>
      </c>
      <c r="C6519" s="34" t="s">
        <v>745</v>
      </c>
      <c r="F6519" t="s">
        <v>15443</v>
      </c>
      <c r="G6519" t="s">
        <v>6932</v>
      </c>
      <c r="H6519">
        <v>5</v>
      </c>
      <c r="I6519">
        <f>VLOOKUP(B6519,BRAND!B:D,3,FALSE)</f>
        <v>5</v>
      </c>
      <c r="J6519">
        <v>0</v>
      </c>
      <c r="K6519" t="s">
        <v>821</v>
      </c>
      <c r="L6519">
        <v>0</v>
      </c>
      <c r="M6519">
        <v>0</v>
      </c>
    </row>
    <row r="6520" spans="1:13">
      <c r="A6520" t="s">
        <v>15444</v>
      </c>
      <c r="B6520" t="s">
        <v>15413</v>
      </c>
      <c r="C6520" s="34" t="s">
        <v>534</v>
      </c>
      <c r="F6520" t="s">
        <v>534</v>
      </c>
      <c r="G6520" t="s">
        <v>6932</v>
      </c>
      <c r="H6520">
        <v>5</v>
      </c>
      <c r="I6520">
        <f>VLOOKUP(B6520,BRAND!B:D,3,FALSE)</f>
        <v>5</v>
      </c>
      <c r="J6520">
        <v>0</v>
      </c>
      <c r="K6520" t="s">
        <v>821</v>
      </c>
      <c r="L6520">
        <v>0</v>
      </c>
      <c r="M6520">
        <v>0</v>
      </c>
    </row>
    <row r="6521" spans="1:13">
      <c r="A6521" t="s">
        <v>15445</v>
      </c>
      <c r="B6521" t="s">
        <v>15413</v>
      </c>
      <c r="C6521" s="34" t="s">
        <v>15446</v>
      </c>
      <c r="F6521" t="s">
        <v>15446</v>
      </c>
      <c r="G6521" t="s">
        <v>6932</v>
      </c>
      <c r="H6521">
        <v>5</v>
      </c>
      <c r="I6521">
        <f>VLOOKUP(B6521,BRAND!B:D,3,FALSE)</f>
        <v>5</v>
      </c>
      <c r="J6521">
        <v>0</v>
      </c>
      <c r="K6521" t="s">
        <v>821</v>
      </c>
      <c r="L6521">
        <v>0</v>
      </c>
      <c r="M6521">
        <v>0</v>
      </c>
    </row>
    <row r="6522" spans="1:13">
      <c r="A6522" t="s">
        <v>15447</v>
      </c>
      <c r="B6522" t="s">
        <v>15413</v>
      </c>
      <c r="C6522" s="34" t="s">
        <v>12139</v>
      </c>
      <c r="F6522" t="s">
        <v>15448</v>
      </c>
      <c r="G6522" t="s">
        <v>6932</v>
      </c>
      <c r="H6522">
        <v>5</v>
      </c>
      <c r="I6522">
        <f>VLOOKUP(B6522,BRAND!B:D,3,FALSE)</f>
        <v>5</v>
      </c>
      <c r="J6522">
        <v>0</v>
      </c>
      <c r="K6522" t="s">
        <v>821</v>
      </c>
      <c r="L6522">
        <v>0</v>
      </c>
      <c r="M6522">
        <v>0</v>
      </c>
    </row>
    <row r="6523" spans="1:13">
      <c r="A6523" t="s">
        <v>15449</v>
      </c>
      <c r="B6523" t="s">
        <v>15413</v>
      </c>
      <c r="C6523" s="34" t="s">
        <v>15450</v>
      </c>
      <c r="F6523" t="s">
        <v>15451</v>
      </c>
      <c r="G6523" t="s">
        <v>6932</v>
      </c>
      <c r="H6523">
        <v>5</v>
      </c>
      <c r="I6523">
        <f>VLOOKUP(B6523,BRAND!B:D,3,FALSE)</f>
        <v>5</v>
      </c>
      <c r="J6523">
        <v>0</v>
      </c>
      <c r="K6523" t="s">
        <v>821</v>
      </c>
      <c r="L6523">
        <v>0</v>
      </c>
      <c r="M6523">
        <v>0</v>
      </c>
    </row>
    <row r="6524" spans="1:13">
      <c r="A6524" t="s">
        <v>15452</v>
      </c>
      <c r="B6524" t="s">
        <v>15413</v>
      </c>
      <c r="C6524" s="34" t="s">
        <v>15453</v>
      </c>
      <c r="F6524" t="s">
        <v>15453</v>
      </c>
      <c r="G6524" t="s">
        <v>6932</v>
      </c>
      <c r="H6524">
        <v>5</v>
      </c>
      <c r="I6524">
        <f>VLOOKUP(B6524,BRAND!B:D,3,FALSE)</f>
        <v>5</v>
      </c>
      <c r="J6524">
        <v>0</v>
      </c>
      <c r="K6524" t="s">
        <v>821</v>
      </c>
      <c r="L6524">
        <v>0</v>
      </c>
      <c r="M6524">
        <v>0</v>
      </c>
    </row>
    <row r="6525" spans="1:13">
      <c r="A6525" t="s">
        <v>15454</v>
      </c>
      <c r="B6525" t="s">
        <v>15413</v>
      </c>
      <c r="C6525" s="34" t="s">
        <v>15455</v>
      </c>
      <c r="F6525" t="s">
        <v>15456</v>
      </c>
      <c r="G6525" t="s">
        <v>6932</v>
      </c>
      <c r="H6525">
        <v>5</v>
      </c>
      <c r="I6525">
        <f>VLOOKUP(B6525,BRAND!B:D,3,FALSE)</f>
        <v>5</v>
      </c>
      <c r="J6525">
        <v>0</v>
      </c>
      <c r="K6525" t="s">
        <v>821</v>
      </c>
      <c r="L6525">
        <v>0</v>
      </c>
      <c r="M6525">
        <v>0</v>
      </c>
    </row>
    <row r="6526" spans="1:13">
      <c r="A6526" t="s">
        <v>10104</v>
      </c>
      <c r="B6526" t="s">
        <v>7006</v>
      </c>
      <c r="C6526" s="34" t="s">
        <v>1438</v>
      </c>
      <c r="F6526" t="s">
        <v>1438</v>
      </c>
      <c r="H6526">
        <v>15</v>
      </c>
      <c r="I6526">
        <f>VLOOKUP(B6526,BRAND!B:D,3,FALSE)</f>
        <v>11</v>
      </c>
      <c r="J6526">
        <v>4</v>
      </c>
      <c r="L6526">
        <v>0</v>
      </c>
      <c r="M6526">
        <v>0</v>
      </c>
    </row>
    <row r="6527" spans="1:13">
      <c r="A6527" t="s">
        <v>2792</v>
      </c>
      <c r="B6527" t="s">
        <v>1328</v>
      </c>
      <c r="C6527" s="34" t="s">
        <v>1438</v>
      </c>
      <c r="F6527" t="s">
        <v>1438</v>
      </c>
      <c r="H6527">
        <v>15</v>
      </c>
      <c r="I6527">
        <f>VLOOKUP(B6527,BRAND!B:D,3,FALSE)</f>
        <v>3</v>
      </c>
      <c r="J6527">
        <v>4</v>
      </c>
      <c r="K6527" t="s">
        <v>821</v>
      </c>
      <c r="L6527">
        <v>0</v>
      </c>
      <c r="M6527">
        <v>0</v>
      </c>
    </row>
    <row r="6528" spans="1:13">
      <c r="A6528" t="s">
        <v>3822</v>
      </c>
      <c r="B6528" t="s">
        <v>1842</v>
      </c>
      <c r="C6528" s="34" t="s">
        <v>776</v>
      </c>
      <c r="F6528" t="s">
        <v>776</v>
      </c>
      <c r="H6528">
        <v>5</v>
      </c>
      <c r="I6528" t="e">
        <f>VLOOKUP(B6528,BRAND!B:D,3,FALSE)</f>
        <v>#N/A</v>
      </c>
      <c r="J6528">
        <v>5</v>
      </c>
      <c r="K6528" t="e">
        <v>#N/A</v>
      </c>
      <c r="L6528">
        <v>0</v>
      </c>
      <c r="M6528">
        <v>0</v>
      </c>
    </row>
    <row r="6529" spans="1:13">
      <c r="A6529" t="s">
        <v>2708</v>
      </c>
      <c r="B6529" t="s">
        <v>1842</v>
      </c>
      <c r="C6529" s="34" t="s">
        <v>1438</v>
      </c>
      <c r="F6529" t="s">
        <v>1438</v>
      </c>
      <c r="H6529">
        <v>15</v>
      </c>
      <c r="I6529" t="e">
        <f>VLOOKUP(B6529,BRAND!B:D,3,FALSE)</f>
        <v>#N/A</v>
      </c>
      <c r="J6529">
        <v>4</v>
      </c>
      <c r="K6529" t="e">
        <v>#N/A</v>
      </c>
      <c r="L6529">
        <v>0</v>
      </c>
      <c r="M6529">
        <v>0</v>
      </c>
    </row>
    <row r="6530" spans="1:13">
      <c r="A6530" t="s">
        <v>4106</v>
      </c>
      <c r="B6530" t="s">
        <v>614</v>
      </c>
      <c r="C6530" s="34" t="s">
        <v>746</v>
      </c>
      <c r="F6530" t="s">
        <v>746</v>
      </c>
      <c r="H6530">
        <v>5</v>
      </c>
      <c r="I6530">
        <f>VLOOKUP(B6530,BRAND!B:D,3,FALSE)</f>
        <v>3</v>
      </c>
      <c r="J6530">
        <v>6</v>
      </c>
      <c r="K6530" t="s">
        <v>821</v>
      </c>
      <c r="L6530">
        <v>0</v>
      </c>
      <c r="M6530">
        <v>0</v>
      </c>
    </row>
    <row r="6531" spans="1:13">
      <c r="A6531" t="s">
        <v>3855</v>
      </c>
      <c r="B6531" t="s">
        <v>614</v>
      </c>
      <c r="C6531" s="34" t="s">
        <v>772</v>
      </c>
      <c r="F6531" t="s">
        <v>772</v>
      </c>
      <c r="H6531">
        <v>5</v>
      </c>
      <c r="I6531">
        <f>VLOOKUP(B6531,BRAND!B:D,3,FALSE)</f>
        <v>3</v>
      </c>
      <c r="J6531">
        <v>6</v>
      </c>
      <c r="K6531" t="s">
        <v>821</v>
      </c>
      <c r="L6531">
        <v>0</v>
      </c>
      <c r="M6531">
        <v>0</v>
      </c>
    </row>
    <row r="6532" spans="1:13">
      <c r="A6532" t="s">
        <v>9110</v>
      </c>
      <c r="B6532" t="s">
        <v>614</v>
      </c>
      <c r="C6532" s="34" t="s">
        <v>534</v>
      </c>
      <c r="F6532" t="s">
        <v>534</v>
      </c>
      <c r="G6532" t="s">
        <v>6932</v>
      </c>
      <c r="H6532">
        <v>5</v>
      </c>
      <c r="I6532">
        <f>VLOOKUP(B6532,BRAND!B:D,3,FALSE)</f>
        <v>3</v>
      </c>
      <c r="J6532">
        <v>6</v>
      </c>
      <c r="L6532">
        <v>0</v>
      </c>
      <c r="M6532">
        <v>0</v>
      </c>
    </row>
    <row r="6533" spans="1:13">
      <c r="A6533" t="s">
        <v>3592</v>
      </c>
      <c r="B6533" t="s">
        <v>614</v>
      </c>
      <c r="C6533" s="34" t="s">
        <v>534</v>
      </c>
      <c r="F6533" t="s">
        <v>534</v>
      </c>
      <c r="H6533">
        <v>5</v>
      </c>
      <c r="I6533">
        <f>VLOOKUP(B6533,BRAND!B:D,3,FALSE)</f>
        <v>3</v>
      </c>
      <c r="J6533">
        <v>6</v>
      </c>
      <c r="K6533" t="s">
        <v>821</v>
      </c>
      <c r="M6533">
        <v>1</v>
      </c>
    </row>
    <row r="6534" spans="1:13">
      <c r="A6534" t="s">
        <v>9111</v>
      </c>
      <c r="B6534" t="s">
        <v>614</v>
      </c>
      <c r="C6534" s="34" t="s">
        <v>5232</v>
      </c>
      <c r="F6534" t="s">
        <v>536</v>
      </c>
      <c r="H6534">
        <v>5</v>
      </c>
      <c r="I6534">
        <f>VLOOKUP(B6534,BRAND!B:D,3,FALSE)</f>
        <v>3</v>
      </c>
      <c r="J6534">
        <f>LEN(F6534)</f>
        <v>5</v>
      </c>
      <c r="M6534">
        <v>1</v>
      </c>
    </row>
    <row r="6535" spans="1:13">
      <c r="A6535" t="s">
        <v>2224</v>
      </c>
      <c r="B6535" t="s">
        <v>614</v>
      </c>
      <c r="C6535" s="34" t="s">
        <v>5232</v>
      </c>
      <c r="F6535" t="s">
        <v>536</v>
      </c>
      <c r="H6535">
        <v>5</v>
      </c>
      <c r="I6535">
        <f>VLOOKUP(B6535,BRAND!B:D,3,FALSE)</f>
        <v>3</v>
      </c>
      <c r="J6535">
        <v>5</v>
      </c>
      <c r="K6535" t="s">
        <v>821</v>
      </c>
      <c r="L6535">
        <v>0</v>
      </c>
      <c r="M6535">
        <v>0</v>
      </c>
    </row>
    <row r="6536" spans="1:13">
      <c r="A6536" t="s">
        <v>2146</v>
      </c>
      <c r="B6536" t="s">
        <v>614</v>
      </c>
      <c r="C6536" s="34" t="s">
        <v>842</v>
      </c>
      <c r="F6536" t="s">
        <v>842</v>
      </c>
      <c r="H6536">
        <v>5</v>
      </c>
      <c r="I6536">
        <f>VLOOKUP(B6536,BRAND!B:D,3,FALSE)</f>
        <v>3</v>
      </c>
      <c r="J6536">
        <v>5</v>
      </c>
      <c r="K6536" t="s">
        <v>821</v>
      </c>
      <c r="L6536">
        <v>0</v>
      </c>
      <c r="M6536">
        <v>0</v>
      </c>
    </row>
    <row r="6537" spans="1:13">
      <c r="A6537" t="s">
        <v>2143</v>
      </c>
      <c r="B6537" t="s">
        <v>614</v>
      </c>
      <c r="C6537" s="34" t="s">
        <v>776</v>
      </c>
      <c r="F6537" t="s">
        <v>776</v>
      </c>
      <c r="H6537">
        <v>5</v>
      </c>
      <c r="I6537">
        <f>VLOOKUP(B6537,BRAND!B:D,3,FALSE)</f>
        <v>3</v>
      </c>
      <c r="J6537">
        <v>5</v>
      </c>
      <c r="K6537" t="s">
        <v>821</v>
      </c>
      <c r="L6537">
        <v>0</v>
      </c>
      <c r="M6537">
        <v>0</v>
      </c>
    </row>
    <row r="6538" spans="1:13">
      <c r="A6538" t="s">
        <v>9111</v>
      </c>
      <c r="B6538" t="s">
        <v>614</v>
      </c>
      <c r="C6538" s="34" t="s">
        <v>536</v>
      </c>
      <c r="F6538" t="s">
        <v>536</v>
      </c>
      <c r="G6538" t="s">
        <v>6932</v>
      </c>
      <c r="H6538">
        <v>5</v>
      </c>
      <c r="I6538">
        <f>VLOOKUP(B6538,BRAND!B:D,3,FALSE)</f>
        <v>3</v>
      </c>
      <c r="J6538">
        <v>5</v>
      </c>
      <c r="M6538">
        <v>1</v>
      </c>
    </row>
    <row r="6539" spans="1:13">
      <c r="A6539" t="s">
        <v>9109</v>
      </c>
      <c r="B6539" t="s">
        <v>614</v>
      </c>
      <c r="C6539" s="34" t="s">
        <v>842</v>
      </c>
      <c r="F6539" t="s">
        <v>842</v>
      </c>
      <c r="G6539" t="s">
        <v>6932</v>
      </c>
      <c r="H6539">
        <v>5</v>
      </c>
      <c r="I6539">
        <f>VLOOKUP(B6539,BRAND!B:D,3,FALSE)</f>
        <v>3</v>
      </c>
      <c r="J6539">
        <v>5</v>
      </c>
      <c r="M6539">
        <v>1</v>
      </c>
    </row>
    <row r="6540" spans="1:13">
      <c r="A6540" t="s">
        <v>9108</v>
      </c>
      <c r="B6540" t="s">
        <v>614</v>
      </c>
      <c r="C6540" s="34" t="s">
        <v>776</v>
      </c>
      <c r="F6540" t="s">
        <v>776</v>
      </c>
      <c r="G6540" t="s">
        <v>6932</v>
      </c>
      <c r="H6540">
        <v>5</v>
      </c>
      <c r="I6540">
        <f>VLOOKUP(B6540,BRAND!B:D,3,FALSE)</f>
        <v>3</v>
      </c>
      <c r="J6540">
        <v>5</v>
      </c>
      <c r="M6540">
        <v>1</v>
      </c>
    </row>
    <row r="6541" spans="1:13">
      <c r="A6541" t="s">
        <v>9807</v>
      </c>
      <c r="B6541" t="s">
        <v>614</v>
      </c>
      <c r="C6541" s="34" t="s">
        <v>788</v>
      </c>
      <c r="H6541">
        <v>5</v>
      </c>
      <c r="I6541">
        <f>VLOOKUP(B6541,BRAND!B:D,3,FALSE)</f>
        <v>3</v>
      </c>
      <c r="J6541">
        <f>LEN(F6541)</f>
        <v>0</v>
      </c>
      <c r="L6541">
        <v>0</v>
      </c>
      <c r="M6541">
        <v>0</v>
      </c>
    </row>
    <row r="6542" spans="1:13">
      <c r="A6542" t="s">
        <v>9807</v>
      </c>
      <c r="B6542" t="s">
        <v>614</v>
      </c>
      <c r="C6542" s="34" t="s">
        <v>788</v>
      </c>
      <c r="H6542">
        <v>5</v>
      </c>
      <c r="I6542">
        <f>VLOOKUP(B6542,BRAND!B:D,3,FALSE)</f>
        <v>3</v>
      </c>
      <c r="J6542">
        <v>0</v>
      </c>
      <c r="M6542">
        <v>1</v>
      </c>
    </row>
    <row r="6543" spans="1:13">
      <c r="A6543" t="s">
        <v>2444</v>
      </c>
      <c r="B6543" t="s">
        <v>614</v>
      </c>
      <c r="C6543" s="34" t="s">
        <v>1438</v>
      </c>
      <c r="F6543" t="s">
        <v>1438</v>
      </c>
      <c r="H6543">
        <v>15</v>
      </c>
      <c r="I6543">
        <f>VLOOKUP(B6543,BRAND!B:D,3,FALSE)</f>
        <v>3</v>
      </c>
      <c r="J6543">
        <v>4</v>
      </c>
      <c r="K6543" t="s">
        <v>821</v>
      </c>
      <c r="L6543">
        <v>0</v>
      </c>
      <c r="M6543">
        <v>0</v>
      </c>
    </row>
    <row r="6544" spans="1:13">
      <c r="A6544" t="s">
        <v>3863</v>
      </c>
      <c r="B6544" t="s">
        <v>146</v>
      </c>
      <c r="C6544" s="34" t="s">
        <v>772</v>
      </c>
      <c r="F6544" t="s">
        <v>772</v>
      </c>
      <c r="H6544">
        <v>5</v>
      </c>
      <c r="I6544">
        <f>VLOOKUP(B6544,BRAND!B:D,3,FALSE)</f>
        <v>3</v>
      </c>
      <c r="J6544">
        <v>6</v>
      </c>
      <c r="K6544" t="s">
        <v>821</v>
      </c>
      <c r="L6544">
        <v>0</v>
      </c>
      <c r="M6544">
        <v>0</v>
      </c>
    </row>
    <row r="6545" spans="1:13">
      <c r="A6545" t="s">
        <v>3862</v>
      </c>
      <c r="B6545" t="s">
        <v>146</v>
      </c>
      <c r="C6545" s="34" t="s">
        <v>536</v>
      </c>
      <c r="F6545" t="s">
        <v>536</v>
      </c>
      <c r="H6545">
        <v>5</v>
      </c>
      <c r="I6545">
        <f>VLOOKUP(B6545,BRAND!B:D,3,FALSE)</f>
        <v>3</v>
      </c>
      <c r="J6545">
        <v>5</v>
      </c>
      <c r="K6545" t="s">
        <v>821</v>
      </c>
      <c r="L6545">
        <v>0</v>
      </c>
      <c r="M6545">
        <v>0</v>
      </c>
    </row>
    <row r="6546" spans="1:13">
      <c r="A6546" t="s">
        <v>3075</v>
      </c>
      <c r="B6546" t="s">
        <v>146</v>
      </c>
      <c r="C6546" s="34" t="s">
        <v>1438</v>
      </c>
      <c r="F6546" t="s">
        <v>1438</v>
      </c>
      <c r="H6546">
        <v>15</v>
      </c>
      <c r="I6546">
        <f>VLOOKUP(B6546,BRAND!B:D,3,FALSE)</f>
        <v>3</v>
      </c>
      <c r="J6546">
        <v>4</v>
      </c>
      <c r="K6546" t="s">
        <v>821</v>
      </c>
      <c r="M6546">
        <v>1</v>
      </c>
    </row>
    <row r="6547" spans="1:13">
      <c r="A6547" t="s">
        <v>3628</v>
      </c>
      <c r="B6547" t="s">
        <v>147</v>
      </c>
      <c r="C6547" s="34" t="s">
        <v>933</v>
      </c>
      <c r="F6547" t="s">
        <v>933</v>
      </c>
      <c r="H6547">
        <v>5</v>
      </c>
      <c r="I6547">
        <f>VLOOKUP(B6547,BRAND!B:D,3,FALSE)</f>
        <v>3</v>
      </c>
      <c r="J6547">
        <v>8</v>
      </c>
      <c r="K6547" t="s">
        <v>821</v>
      </c>
      <c r="L6547">
        <v>0</v>
      </c>
      <c r="M6547">
        <v>0</v>
      </c>
    </row>
    <row r="6548" spans="1:13">
      <c r="A6548" t="s">
        <v>3629</v>
      </c>
      <c r="B6548" t="s">
        <v>147</v>
      </c>
      <c r="C6548" s="34" t="s">
        <v>535</v>
      </c>
      <c r="F6548" t="s">
        <v>535</v>
      </c>
      <c r="H6548">
        <v>5</v>
      </c>
      <c r="I6548">
        <f>VLOOKUP(B6548,BRAND!B:D,3,FALSE)</f>
        <v>3</v>
      </c>
      <c r="J6548">
        <v>6</v>
      </c>
      <c r="K6548" t="s">
        <v>821</v>
      </c>
      <c r="M6548">
        <v>1</v>
      </c>
    </row>
    <row r="6549" spans="1:13">
      <c r="A6549" t="s">
        <v>3630</v>
      </c>
      <c r="B6549" t="s">
        <v>147</v>
      </c>
      <c r="C6549" s="34" t="s">
        <v>536</v>
      </c>
      <c r="F6549" t="s">
        <v>536</v>
      </c>
      <c r="H6549">
        <v>5</v>
      </c>
      <c r="I6549">
        <f>VLOOKUP(B6549,BRAND!B:D,3,FALSE)</f>
        <v>3</v>
      </c>
      <c r="J6549">
        <v>5</v>
      </c>
      <c r="K6549" t="s">
        <v>821</v>
      </c>
      <c r="L6549">
        <v>0</v>
      </c>
      <c r="M6549">
        <v>0</v>
      </c>
    </row>
    <row r="6550" spans="1:13">
      <c r="A6550" t="s">
        <v>2311</v>
      </c>
      <c r="B6550" t="s">
        <v>147</v>
      </c>
      <c r="C6550" s="34" t="s">
        <v>1438</v>
      </c>
      <c r="F6550" t="s">
        <v>1438</v>
      </c>
      <c r="H6550">
        <v>15</v>
      </c>
      <c r="I6550">
        <f>VLOOKUP(B6550,BRAND!B:D,3,FALSE)</f>
        <v>3</v>
      </c>
      <c r="J6550">
        <v>4</v>
      </c>
      <c r="K6550" t="s">
        <v>821</v>
      </c>
      <c r="M6550">
        <v>1</v>
      </c>
    </row>
    <row r="6551" spans="1:13">
      <c r="A6551" s="29" t="s">
        <v>7034</v>
      </c>
      <c r="B6551" s="29" t="s">
        <v>1329</v>
      </c>
      <c r="C6551" s="36" t="s">
        <v>1438</v>
      </c>
      <c r="D6551" s="29"/>
      <c r="E6551" s="29"/>
      <c r="F6551" s="29" t="s">
        <v>1438</v>
      </c>
      <c r="G6551" s="29"/>
      <c r="H6551">
        <v>5</v>
      </c>
      <c r="I6551">
        <f>VLOOKUP(B6551,BRAND!B:D,3,FALSE)</f>
        <v>3</v>
      </c>
      <c r="J6551">
        <v>4</v>
      </c>
      <c r="M6551">
        <v>1</v>
      </c>
    </row>
    <row r="6552" spans="1:13">
      <c r="A6552" t="s">
        <v>3084</v>
      </c>
      <c r="B6552" t="s">
        <v>1329</v>
      </c>
      <c r="C6552" s="34" t="s">
        <v>1438</v>
      </c>
      <c r="F6552" t="s">
        <v>1438</v>
      </c>
      <c r="H6552">
        <v>15</v>
      </c>
      <c r="I6552">
        <f>VLOOKUP(B6552,BRAND!B:D,3,FALSE)</f>
        <v>3</v>
      </c>
      <c r="J6552">
        <v>4</v>
      </c>
      <c r="K6552" t="s">
        <v>821</v>
      </c>
      <c r="L6552">
        <v>0</v>
      </c>
      <c r="M6552">
        <v>0</v>
      </c>
    </row>
    <row r="6553" spans="1:13">
      <c r="A6553" t="s">
        <v>2696</v>
      </c>
      <c r="B6553" t="s">
        <v>1189</v>
      </c>
      <c r="C6553" s="34" t="s">
        <v>1438</v>
      </c>
      <c r="F6553" t="s">
        <v>1438</v>
      </c>
      <c r="H6553">
        <v>15</v>
      </c>
      <c r="I6553">
        <f>VLOOKUP(B6553,BRAND!B:D,3,FALSE)</f>
        <v>3</v>
      </c>
      <c r="J6553">
        <v>4</v>
      </c>
      <c r="K6553" t="s">
        <v>821</v>
      </c>
      <c r="L6553">
        <v>0</v>
      </c>
      <c r="M6553">
        <v>0</v>
      </c>
    </row>
    <row r="6554" spans="1:13">
      <c r="A6554" t="s">
        <v>9112</v>
      </c>
      <c r="B6554" t="s">
        <v>9113</v>
      </c>
      <c r="C6554" s="34" t="s">
        <v>1438</v>
      </c>
      <c r="F6554" t="s">
        <v>1438</v>
      </c>
      <c r="G6554" t="s">
        <v>6932</v>
      </c>
      <c r="H6554">
        <v>5</v>
      </c>
      <c r="I6554">
        <f>VLOOKUP(B6554,BRAND!B:D,3,FALSE)</f>
        <v>5.5</v>
      </c>
      <c r="J6554">
        <v>4</v>
      </c>
      <c r="L6554" s="29"/>
      <c r="M6554">
        <v>1</v>
      </c>
    </row>
    <row r="6555" spans="1:13">
      <c r="A6555" t="s">
        <v>2935</v>
      </c>
      <c r="B6555" t="s">
        <v>507</v>
      </c>
      <c r="C6555" s="34" t="s">
        <v>6943</v>
      </c>
      <c r="F6555" t="s">
        <v>1019</v>
      </c>
      <c r="H6555">
        <v>5</v>
      </c>
      <c r="I6555">
        <f>VLOOKUP(B6555,BRAND!B:D,3,FALSE)</f>
        <v>3</v>
      </c>
      <c r="J6555">
        <v>9</v>
      </c>
      <c r="K6555" t="s">
        <v>821</v>
      </c>
      <c r="M6555">
        <v>1</v>
      </c>
    </row>
    <row r="6556" spans="1:13">
      <c r="A6556" t="s">
        <v>4530</v>
      </c>
      <c r="B6556" t="s">
        <v>507</v>
      </c>
      <c r="C6556" s="34" t="s">
        <v>776</v>
      </c>
      <c r="F6556" t="s">
        <v>776</v>
      </c>
      <c r="H6556">
        <v>5</v>
      </c>
      <c r="I6556">
        <f>VLOOKUP(B6556,BRAND!B:D,3,FALSE)</f>
        <v>3</v>
      </c>
      <c r="J6556">
        <v>5</v>
      </c>
      <c r="K6556" t="s">
        <v>821</v>
      </c>
      <c r="L6556">
        <v>0</v>
      </c>
      <c r="M6556">
        <v>0</v>
      </c>
    </row>
    <row r="6557" spans="1:13">
      <c r="A6557" t="s">
        <v>10844</v>
      </c>
      <c r="B6557" t="s">
        <v>507</v>
      </c>
      <c r="C6557" s="34" t="s">
        <v>1438</v>
      </c>
      <c r="F6557" t="s">
        <v>1438</v>
      </c>
      <c r="G6557" t="s">
        <v>6932</v>
      </c>
      <c r="H6557">
        <v>5</v>
      </c>
      <c r="I6557">
        <f>VLOOKUP(B6557,BRAND!B:D,3,FALSE)</f>
        <v>3</v>
      </c>
      <c r="J6557">
        <v>4</v>
      </c>
      <c r="L6557">
        <v>0</v>
      </c>
      <c r="M6557">
        <v>0</v>
      </c>
    </row>
    <row r="6558" spans="1:13">
      <c r="A6558" t="s">
        <v>9808</v>
      </c>
      <c r="B6558" t="s">
        <v>507</v>
      </c>
      <c r="C6558" s="34" t="s">
        <v>6943</v>
      </c>
      <c r="G6558" t="s">
        <v>801</v>
      </c>
      <c r="H6558">
        <v>5</v>
      </c>
      <c r="I6558">
        <f>VLOOKUP(B6558,BRAND!B:D,3,FALSE)</f>
        <v>3</v>
      </c>
      <c r="J6558">
        <f>LEN(F6558)</f>
        <v>0</v>
      </c>
      <c r="L6558">
        <v>0</v>
      </c>
      <c r="M6558">
        <v>0</v>
      </c>
    </row>
    <row r="6559" spans="1:13">
      <c r="A6559" t="s">
        <v>2266</v>
      </c>
      <c r="B6559" t="s">
        <v>507</v>
      </c>
      <c r="C6559" s="34" t="s">
        <v>1438</v>
      </c>
      <c r="F6559" t="s">
        <v>1438</v>
      </c>
      <c r="H6559">
        <v>15</v>
      </c>
      <c r="I6559">
        <f>VLOOKUP(B6559,BRAND!B:D,3,FALSE)</f>
        <v>3</v>
      </c>
      <c r="J6559">
        <v>4</v>
      </c>
      <c r="K6559" t="s">
        <v>821</v>
      </c>
      <c r="L6559">
        <v>0</v>
      </c>
      <c r="M6559">
        <v>0</v>
      </c>
    </row>
    <row r="6560" spans="1:13">
      <c r="A6560" t="s">
        <v>4253</v>
      </c>
      <c r="B6560" t="s">
        <v>1897</v>
      </c>
      <c r="C6560" s="34" t="s">
        <v>536</v>
      </c>
      <c r="F6560" t="s">
        <v>536</v>
      </c>
      <c r="H6560">
        <v>5</v>
      </c>
      <c r="I6560">
        <f>VLOOKUP(B6560,BRAND!B:D,3,FALSE)</f>
        <v>5</v>
      </c>
      <c r="J6560">
        <v>5</v>
      </c>
      <c r="K6560" t="s">
        <v>821</v>
      </c>
      <c r="L6560">
        <v>0</v>
      </c>
      <c r="M6560">
        <v>0</v>
      </c>
    </row>
    <row r="6561" spans="1:13">
      <c r="A6561" t="s">
        <v>4254</v>
      </c>
      <c r="B6561" t="s">
        <v>1897</v>
      </c>
      <c r="C6561" s="34" t="s">
        <v>842</v>
      </c>
      <c r="F6561" t="s">
        <v>842</v>
      </c>
      <c r="H6561">
        <v>5</v>
      </c>
      <c r="I6561">
        <f>VLOOKUP(B6561,BRAND!B:D,3,FALSE)</f>
        <v>5</v>
      </c>
      <c r="J6561">
        <v>5</v>
      </c>
      <c r="K6561" t="s">
        <v>821</v>
      </c>
      <c r="L6561">
        <v>0</v>
      </c>
      <c r="M6561">
        <v>0</v>
      </c>
    </row>
    <row r="6562" spans="1:13">
      <c r="A6562" t="s">
        <v>2536</v>
      </c>
      <c r="B6562" t="s">
        <v>1330</v>
      </c>
      <c r="C6562" s="34" t="s">
        <v>772</v>
      </c>
      <c r="F6562" t="s">
        <v>772</v>
      </c>
      <c r="H6562">
        <v>5</v>
      </c>
      <c r="I6562">
        <f>VLOOKUP(B6562,BRAND!B:D,3,FALSE)</f>
        <v>3</v>
      </c>
      <c r="J6562">
        <v>6</v>
      </c>
      <c r="K6562" t="s">
        <v>821</v>
      </c>
      <c r="L6562">
        <v>0</v>
      </c>
      <c r="M6562">
        <v>0</v>
      </c>
    </row>
    <row r="6563" spans="1:13">
      <c r="A6563" t="s">
        <v>4949</v>
      </c>
      <c r="B6563" t="s">
        <v>1330</v>
      </c>
      <c r="C6563" s="34" t="s">
        <v>1438</v>
      </c>
      <c r="F6563" t="s">
        <v>1438</v>
      </c>
      <c r="G6563" t="s">
        <v>801</v>
      </c>
      <c r="H6563">
        <v>6</v>
      </c>
      <c r="I6563">
        <f>VLOOKUP(B6563,BRAND!B:D,3,FALSE)</f>
        <v>3</v>
      </c>
      <c r="J6563">
        <v>4</v>
      </c>
      <c r="K6563" t="s">
        <v>821</v>
      </c>
      <c r="L6563">
        <v>0</v>
      </c>
      <c r="M6563">
        <v>0</v>
      </c>
    </row>
    <row r="6564" spans="1:13">
      <c r="A6564" t="s">
        <v>2083</v>
      </c>
      <c r="B6564" t="s">
        <v>1330</v>
      </c>
      <c r="C6564" s="34" t="s">
        <v>1438</v>
      </c>
      <c r="F6564" t="s">
        <v>1438</v>
      </c>
      <c r="H6564">
        <v>15</v>
      </c>
      <c r="I6564">
        <f>VLOOKUP(B6564,BRAND!B:D,3,FALSE)</f>
        <v>3</v>
      </c>
      <c r="J6564">
        <v>4</v>
      </c>
      <c r="K6564" t="s">
        <v>821</v>
      </c>
      <c r="M6564">
        <v>1</v>
      </c>
    </row>
    <row r="6565" spans="1:13">
      <c r="A6565" t="s">
        <v>2401</v>
      </c>
      <c r="B6565" t="s">
        <v>148</v>
      </c>
      <c r="C6565" s="34" t="s">
        <v>777</v>
      </c>
      <c r="F6565" t="s">
        <v>777</v>
      </c>
      <c r="H6565">
        <v>5</v>
      </c>
      <c r="I6565">
        <f>VLOOKUP(B6565,BRAND!B:D,3,FALSE)</f>
        <v>3</v>
      </c>
      <c r="J6565">
        <v>7</v>
      </c>
      <c r="K6565" t="s">
        <v>821</v>
      </c>
      <c r="M6565">
        <v>1</v>
      </c>
    </row>
    <row r="6566" spans="1:13">
      <c r="A6566" t="s">
        <v>12484</v>
      </c>
      <c r="B6566" t="s">
        <v>12024</v>
      </c>
      <c r="C6566" s="34" t="s">
        <v>776</v>
      </c>
      <c r="F6566" t="s">
        <v>776</v>
      </c>
      <c r="G6566" t="s">
        <v>6932</v>
      </c>
      <c r="H6566">
        <v>5</v>
      </c>
    </row>
    <row r="6567" spans="1:13">
      <c r="A6567" t="s">
        <v>3485</v>
      </c>
      <c r="B6567" t="s">
        <v>1843</v>
      </c>
      <c r="C6567" s="34" t="s">
        <v>881</v>
      </c>
      <c r="F6567" t="s">
        <v>881</v>
      </c>
      <c r="H6567">
        <v>5</v>
      </c>
      <c r="I6567">
        <f>VLOOKUP(B6567,BRAND!B:D,3,FALSE)</f>
        <v>9</v>
      </c>
      <c r="J6567">
        <v>5</v>
      </c>
      <c r="K6567" t="s">
        <v>821</v>
      </c>
      <c r="M6567">
        <v>1</v>
      </c>
    </row>
    <row r="6568" spans="1:13">
      <c r="A6568" t="s">
        <v>9118</v>
      </c>
      <c r="B6568" t="s">
        <v>9115</v>
      </c>
      <c r="C6568" s="34" t="s">
        <v>9119</v>
      </c>
      <c r="F6568" t="s">
        <v>9119</v>
      </c>
      <c r="G6568" t="s">
        <v>6932</v>
      </c>
      <c r="H6568">
        <v>5</v>
      </c>
      <c r="I6568">
        <f>VLOOKUP(B6568,BRAND!B:D,3,FALSE)</f>
        <v>5.5</v>
      </c>
      <c r="J6568">
        <v>8</v>
      </c>
      <c r="M6568">
        <v>1</v>
      </c>
    </row>
    <row r="6569" spans="1:13">
      <c r="A6569" t="s">
        <v>10852</v>
      </c>
      <c r="B6569" t="s">
        <v>9115</v>
      </c>
      <c r="C6569" s="34" t="s">
        <v>534</v>
      </c>
      <c r="F6569" t="s">
        <v>534</v>
      </c>
      <c r="G6569" t="s">
        <v>6932</v>
      </c>
      <c r="H6569">
        <v>5</v>
      </c>
      <c r="I6569">
        <f>VLOOKUP(B6569,BRAND!B:D,3,FALSE)</f>
        <v>5.5</v>
      </c>
      <c r="J6569">
        <v>6</v>
      </c>
      <c r="M6569">
        <v>1</v>
      </c>
    </row>
    <row r="6570" spans="1:13">
      <c r="A6570" t="s">
        <v>9120</v>
      </c>
      <c r="B6570" t="s">
        <v>9115</v>
      </c>
      <c r="C6570" s="34" t="s">
        <v>755</v>
      </c>
      <c r="F6570" t="s">
        <v>755</v>
      </c>
      <c r="G6570" t="s">
        <v>6932</v>
      </c>
      <c r="H6570">
        <v>5</v>
      </c>
      <c r="I6570">
        <f>VLOOKUP(B6570,BRAND!B:D,3,FALSE)</f>
        <v>5.5</v>
      </c>
      <c r="J6570">
        <v>6</v>
      </c>
      <c r="M6570">
        <v>1</v>
      </c>
    </row>
    <row r="6571" spans="1:13">
      <c r="A6571" t="s">
        <v>9123</v>
      </c>
      <c r="B6571" t="s">
        <v>9115</v>
      </c>
      <c r="C6571" s="34" t="s">
        <v>946</v>
      </c>
      <c r="F6571" t="s">
        <v>946</v>
      </c>
      <c r="G6571" t="s">
        <v>6932</v>
      </c>
      <c r="H6571">
        <v>5</v>
      </c>
      <c r="I6571">
        <f>VLOOKUP(B6571,BRAND!B:D,3,FALSE)</f>
        <v>5.5</v>
      </c>
      <c r="J6571">
        <v>6</v>
      </c>
      <c r="M6571">
        <v>1</v>
      </c>
    </row>
    <row r="6572" spans="1:13">
      <c r="A6572" t="s">
        <v>9116</v>
      </c>
      <c r="B6572" t="s">
        <v>9115</v>
      </c>
      <c r="C6572" s="34" t="s">
        <v>842</v>
      </c>
      <c r="F6572" t="s">
        <v>842</v>
      </c>
      <c r="G6572" t="s">
        <v>6932</v>
      </c>
      <c r="H6572">
        <v>5</v>
      </c>
      <c r="I6572">
        <f>VLOOKUP(B6572,BRAND!B:D,3,FALSE)</f>
        <v>5.5</v>
      </c>
      <c r="J6572">
        <v>5</v>
      </c>
      <c r="M6572">
        <v>1</v>
      </c>
    </row>
    <row r="6573" spans="1:13">
      <c r="A6573" t="s">
        <v>9122</v>
      </c>
      <c r="B6573" t="s">
        <v>9115</v>
      </c>
      <c r="C6573" s="34" t="s">
        <v>776</v>
      </c>
      <c r="F6573" t="s">
        <v>776</v>
      </c>
      <c r="G6573" t="s">
        <v>6932</v>
      </c>
      <c r="H6573">
        <v>5</v>
      </c>
      <c r="I6573">
        <f>VLOOKUP(B6573,BRAND!B:D,3,FALSE)</f>
        <v>5.5</v>
      </c>
      <c r="J6573">
        <v>5</v>
      </c>
      <c r="M6573">
        <v>1</v>
      </c>
    </row>
    <row r="6574" spans="1:13">
      <c r="A6574" t="s">
        <v>9114</v>
      </c>
      <c r="B6574" t="s">
        <v>9115</v>
      </c>
      <c r="C6574" s="34" t="s">
        <v>788</v>
      </c>
      <c r="F6574" t="s">
        <v>788</v>
      </c>
      <c r="G6574" t="s">
        <v>6932</v>
      </c>
      <c r="H6574">
        <v>5</v>
      </c>
      <c r="I6574">
        <f>VLOOKUP(B6574,BRAND!B:D,3,FALSE)</f>
        <v>5.5</v>
      </c>
      <c r="J6574">
        <v>4</v>
      </c>
      <c r="M6574">
        <v>1</v>
      </c>
    </row>
    <row r="6575" spans="1:13">
      <c r="A6575" t="s">
        <v>9121</v>
      </c>
      <c r="B6575" t="s">
        <v>9115</v>
      </c>
      <c r="C6575" s="34" t="s">
        <v>1992</v>
      </c>
      <c r="F6575" t="s">
        <v>1992</v>
      </c>
      <c r="G6575" t="s">
        <v>6932</v>
      </c>
      <c r="H6575">
        <v>5</v>
      </c>
      <c r="I6575">
        <f>VLOOKUP(B6575,BRAND!B:D,3,FALSE)</f>
        <v>5.5</v>
      </c>
      <c r="J6575">
        <v>3</v>
      </c>
      <c r="M6575">
        <v>1</v>
      </c>
    </row>
    <row r="6576" spans="1:13">
      <c r="A6576" t="s">
        <v>9117</v>
      </c>
      <c r="B6576" t="s">
        <v>9115</v>
      </c>
      <c r="C6576" s="34" t="s">
        <v>561</v>
      </c>
      <c r="F6576" t="s">
        <v>561</v>
      </c>
      <c r="G6576" t="s">
        <v>6932</v>
      </c>
      <c r="H6576">
        <v>5</v>
      </c>
      <c r="I6576">
        <f>VLOOKUP(B6576,BRAND!B:D,3,FALSE)</f>
        <v>5.5</v>
      </c>
      <c r="J6576">
        <v>3</v>
      </c>
      <c r="M6576">
        <v>1</v>
      </c>
    </row>
    <row r="6577" spans="1:13">
      <c r="A6577" t="s">
        <v>9126</v>
      </c>
      <c r="B6577" t="s">
        <v>9127</v>
      </c>
      <c r="C6577" s="34" t="s">
        <v>1438</v>
      </c>
      <c r="F6577" t="s">
        <v>1438</v>
      </c>
      <c r="G6577" t="s">
        <v>6932</v>
      </c>
      <c r="H6577">
        <v>5</v>
      </c>
      <c r="I6577">
        <f>VLOOKUP(B6577,BRAND!B:D,3,FALSE)</f>
        <v>5.5</v>
      </c>
      <c r="J6577">
        <v>4</v>
      </c>
      <c r="L6577" s="29"/>
      <c r="M6577">
        <v>1</v>
      </c>
    </row>
    <row r="6578" spans="1:13">
      <c r="A6578" t="s">
        <v>9128</v>
      </c>
      <c r="B6578" t="s">
        <v>983</v>
      </c>
      <c r="C6578" s="34" t="s">
        <v>1438</v>
      </c>
      <c r="F6578" t="s">
        <v>1438</v>
      </c>
      <c r="G6578" t="s">
        <v>6932</v>
      </c>
      <c r="H6578">
        <v>5</v>
      </c>
      <c r="I6578">
        <f>VLOOKUP(B6578,BRAND!B:D,3,FALSE)</f>
        <v>5.5</v>
      </c>
      <c r="J6578">
        <v>4</v>
      </c>
      <c r="M6578">
        <v>1</v>
      </c>
    </row>
    <row r="6579" spans="1:13">
      <c r="A6579" t="s">
        <v>4415</v>
      </c>
      <c r="B6579" t="s">
        <v>1331</v>
      </c>
      <c r="C6579" s="34" t="s">
        <v>881</v>
      </c>
      <c r="F6579" t="s">
        <v>881</v>
      </c>
      <c r="H6579">
        <v>5</v>
      </c>
      <c r="I6579">
        <f>VLOOKUP(B6579,BRAND!B:D,3,FALSE)</f>
        <v>3</v>
      </c>
      <c r="J6579">
        <v>5</v>
      </c>
      <c r="K6579" t="s">
        <v>821</v>
      </c>
      <c r="L6579">
        <v>0</v>
      </c>
      <c r="M6579">
        <v>0</v>
      </c>
    </row>
    <row r="6580" spans="1:13">
      <c r="A6580" t="s">
        <v>2770</v>
      </c>
      <c r="B6580" t="s">
        <v>1331</v>
      </c>
      <c r="C6580" s="34" t="s">
        <v>1438</v>
      </c>
      <c r="F6580" t="s">
        <v>1438</v>
      </c>
      <c r="H6580">
        <v>15</v>
      </c>
      <c r="I6580">
        <f>VLOOKUP(B6580,BRAND!B:D,3,FALSE)</f>
        <v>3</v>
      </c>
      <c r="J6580">
        <v>4</v>
      </c>
      <c r="K6580" t="s">
        <v>821</v>
      </c>
      <c r="L6580">
        <v>0</v>
      </c>
      <c r="M6580">
        <v>0</v>
      </c>
    </row>
    <row r="6581" spans="1:13">
      <c r="A6581" t="s">
        <v>2166</v>
      </c>
      <c r="B6581" t="s">
        <v>1332</v>
      </c>
      <c r="C6581" s="34" t="s">
        <v>1438</v>
      </c>
      <c r="F6581" t="s">
        <v>1438</v>
      </c>
      <c r="H6581">
        <v>15</v>
      </c>
      <c r="I6581">
        <f>VLOOKUP(B6581,BRAND!B:D,3,FALSE)</f>
        <v>3</v>
      </c>
      <c r="J6581">
        <v>4</v>
      </c>
      <c r="K6581" t="s">
        <v>821</v>
      </c>
      <c r="L6581">
        <v>0</v>
      </c>
      <c r="M6581">
        <v>0</v>
      </c>
    </row>
    <row r="6582" spans="1:13">
      <c r="A6582" t="s">
        <v>3489</v>
      </c>
      <c r="B6582" t="s">
        <v>1190</v>
      </c>
      <c r="C6582" s="34" t="s">
        <v>534</v>
      </c>
      <c r="F6582" t="s">
        <v>534</v>
      </c>
      <c r="H6582">
        <v>5</v>
      </c>
      <c r="I6582">
        <f>VLOOKUP(B6582,BRAND!B:D,3,FALSE)</f>
        <v>3</v>
      </c>
      <c r="J6582">
        <v>6</v>
      </c>
      <c r="K6582" t="s">
        <v>821</v>
      </c>
      <c r="L6582">
        <v>0</v>
      </c>
      <c r="M6582">
        <v>0</v>
      </c>
    </row>
    <row r="6583" spans="1:13">
      <c r="A6583" t="s">
        <v>3675</v>
      </c>
      <c r="B6583" t="s">
        <v>1190</v>
      </c>
      <c r="C6583" s="34" t="s">
        <v>536</v>
      </c>
      <c r="F6583" t="s">
        <v>536</v>
      </c>
      <c r="H6583">
        <v>5</v>
      </c>
      <c r="I6583">
        <f>VLOOKUP(B6583,BRAND!B:D,3,FALSE)</f>
        <v>3</v>
      </c>
      <c r="J6583">
        <v>5</v>
      </c>
      <c r="K6583" t="s">
        <v>821</v>
      </c>
      <c r="L6583">
        <v>0</v>
      </c>
      <c r="M6583">
        <v>0</v>
      </c>
    </row>
    <row r="6584" spans="1:13">
      <c r="A6584" t="s">
        <v>3488</v>
      </c>
      <c r="B6584" t="s">
        <v>1190</v>
      </c>
      <c r="C6584" s="34" t="s">
        <v>842</v>
      </c>
      <c r="F6584" t="s">
        <v>842</v>
      </c>
      <c r="H6584">
        <v>5</v>
      </c>
      <c r="I6584">
        <f>VLOOKUP(B6584,BRAND!B:D,3,FALSE)</f>
        <v>3</v>
      </c>
      <c r="J6584">
        <v>5</v>
      </c>
      <c r="K6584" t="s">
        <v>821</v>
      </c>
      <c r="L6584">
        <v>0</v>
      </c>
      <c r="M6584">
        <v>0</v>
      </c>
    </row>
    <row r="6585" spans="1:13">
      <c r="A6585" t="s">
        <v>5172</v>
      </c>
      <c r="B6585" t="s">
        <v>1190</v>
      </c>
      <c r="C6585" s="34" t="s">
        <v>1438</v>
      </c>
      <c r="F6585" t="s">
        <v>1438</v>
      </c>
      <c r="H6585">
        <v>5</v>
      </c>
      <c r="I6585">
        <f>VLOOKUP(B6585,BRAND!B:D,3,FALSE)</f>
        <v>3</v>
      </c>
      <c r="J6585">
        <v>4</v>
      </c>
      <c r="K6585" t="s">
        <v>821</v>
      </c>
      <c r="L6585">
        <v>0</v>
      </c>
      <c r="M6585">
        <v>0</v>
      </c>
    </row>
    <row r="6586" spans="1:13">
      <c r="A6586" t="s">
        <v>9129</v>
      </c>
      <c r="B6586" t="s">
        <v>438</v>
      </c>
      <c r="C6586" s="34" t="s">
        <v>1438</v>
      </c>
      <c r="F6586" t="s">
        <v>1438</v>
      </c>
      <c r="G6586" t="s">
        <v>6932</v>
      </c>
      <c r="H6586">
        <v>5</v>
      </c>
      <c r="I6586">
        <f>VLOOKUP(B6586,BRAND!B:D,3,FALSE)</f>
        <v>3</v>
      </c>
      <c r="J6586">
        <v>4</v>
      </c>
      <c r="M6586">
        <v>1</v>
      </c>
    </row>
    <row r="6587" spans="1:13">
      <c r="A6587" t="s">
        <v>2632</v>
      </c>
      <c r="B6587" t="s">
        <v>438</v>
      </c>
      <c r="C6587" s="34" t="s">
        <v>1438</v>
      </c>
      <c r="F6587" t="s">
        <v>1438</v>
      </c>
      <c r="H6587">
        <v>15</v>
      </c>
      <c r="I6587">
        <f>VLOOKUP(B6587,BRAND!B:D,3,FALSE)</f>
        <v>3</v>
      </c>
      <c r="J6587">
        <v>4</v>
      </c>
      <c r="K6587" t="s">
        <v>821</v>
      </c>
      <c r="L6587">
        <v>0</v>
      </c>
      <c r="M6587">
        <v>0</v>
      </c>
    </row>
    <row r="6588" spans="1:13">
      <c r="A6588" t="s">
        <v>14929</v>
      </c>
      <c r="B6588" t="s">
        <v>14930</v>
      </c>
      <c r="C6588" s="34" t="s">
        <v>536</v>
      </c>
      <c r="F6588" t="s">
        <v>536</v>
      </c>
      <c r="G6588" t="s">
        <v>6932</v>
      </c>
      <c r="H6588">
        <v>5</v>
      </c>
      <c r="I6588">
        <f>VLOOKUP(B6588,BRAND!B:D,3,FALSE)</f>
        <v>5</v>
      </c>
      <c r="J6588">
        <v>0</v>
      </c>
      <c r="K6588" t="s">
        <v>821</v>
      </c>
      <c r="L6588">
        <v>0</v>
      </c>
      <c r="M6588">
        <v>0</v>
      </c>
    </row>
    <row r="6589" spans="1:13">
      <c r="A6589" t="s">
        <v>14931</v>
      </c>
      <c r="B6589" t="s">
        <v>14930</v>
      </c>
      <c r="C6589" s="34" t="s">
        <v>842</v>
      </c>
      <c r="F6589" t="s">
        <v>842</v>
      </c>
      <c r="G6589" t="s">
        <v>6932</v>
      </c>
      <c r="H6589">
        <v>5</v>
      </c>
      <c r="I6589">
        <f>VLOOKUP(B6589,BRAND!B:D,3,FALSE)</f>
        <v>5</v>
      </c>
      <c r="J6589">
        <v>0</v>
      </c>
      <c r="K6589" t="s">
        <v>821</v>
      </c>
      <c r="L6589">
        <v>0</v>
      </c>
      <c r="M6589">
        <v>0</v>
      </c>
    </row>
    <row r="6590" spans="1:13">
      <c r="A6590" t="s">
        <v>14932</v>
      </c>
      <c r="B6590" t="s">
        <v>14930</v>
      </c>
      <c r="C6590" s="34" t="s">
        <v>561</v>
      </c>
      <c r="F6590" t="s">
        <v>561</v>
      </c>
      <c r="G6590" t="s">
        <v>6932</v>
      </c>
      <c r="H6590">
        <v>5</v>
      </c>
      <c r="I6590">
        <f>VLOOKUP(B6590,BRAND!B:D,3,FALSE)</f>
        <v>5</v>
      </c>
      <c r="J6590">
        <v>0</v>
      </c>
      <c r="K6590" t="s">
        <v>821</v>
      </c>
      <c r="L6590">
        <v>0</v>
      </c>
      <c r="M6590">
        <v>0</v>
      </c>
    </row>
    <row r="6591" spans="1:13">
      <c r="A6591" t="s">
        <v>14933</v>
      </c>
      <c r="B6591" t="s">
        <v>14930</v>
      </c>
      <c r="C6591" s="34" t="s">
        <v>742</v>
      </c>
      <c r="F6591" t="s">
        <v>742</v>
      </c>
      <c r="G6591" t="s">
        <v>6932</v>
      </c>
      <c r="H6591">
        <v>5</v>
      </c>
      <c r="I6591">
        <f>VLOOKUP(B6591,BRAND!B:D,3,FALSE)</f>
        <v>5</v>
      </c>
      <c r="J6591">
        <v>0</v>
      </c>
      <c r="K6591" t="s">
        <v>821</v>
      </c>
      <c r="L6591">
        <v>0</v>
      </c>
      <c r="M6591">
        <v>0</v>
      </c>
    </row>
    <row r="6592" spans="1:13">
      <c r="A6592" t="s">
        <v>14934</v>
      </c>
      <c r="B6592" t="s">
        <v>14930</v>
      </c>
      <c r="C6592" s="34" t="s">
        <v>6948</v>
      </c>
      <c r="F6592" t="s">
        <v>6948</v>
      </c>
      <c r="G6592" t="s">
        <v>6932</v>
      </c>
      <c r="H6592">
        <v>5</v>
      </c>
      <c r="I6592">
        <f>VLOOKUP(B6592,BRAND!B:D,3,FALSE)</f>
        <v>5</v>
      </c>
      <c r="J6592">
        <v>0</v>
      </c>
      <c r="K6592" t="s">
        <v>821</v>
      </c>
      <c r="L6592">
        <v>0</v>
      </c>
      <c r="M6592">
        <v>0</v>
      </c>
    </row>
    <row r="6593" spans="1:13">
      <c r="A6593" t="s">
        <v>14935</v>
      </c>
      <c r="B6593" t="s">
        <v>14930</v>
      </c>
      <c r="C6593" s="34" t="s">
        <v>10023</v>
      </c>
      <c r="F6593" t="s">
        <v>10023</v>
      </c>
      <c r="G6593" t="s">
        <v>6932</v>
      </c>
      <c r="H6593">
        <v>5</v>
      </c>
      <c r="I6593">
        <f>VLOOKUP(B6593,BRAND!B:D,3,FALSE)</f>
        <v>5</v>
      </c>
      <c r="J6593">
        <v>0</v>
      </c>
      <c r="K6593" t="s">
        <v>821</v>
      </c>
      <c r="L6593">
        <v>0</v>
      </c>
      <c r="M6593">
        <v>0</v>
      </c>
    </row>
    <row r="6594" spans="1:13">
      <c r="A6594" t="s">
        <v>14936</v>
      </c>
      <c r="B6594" t="s">
        <v>14930</v>
      </c>
      <c r="C6594" s="34" t="s">
        <v>1965</v>
      </c>
      <c r="F6594" t="s">
        <v>1965</v>
      </c>
      <c r="G6594" t="s">
        <v>6932</v>
      </c>
      <c r="H6594">
        <v>5</v>
      </c>
      <c r="I6594">
        <f>VLOOKUP(B6594,BRAND!B:D,3,FALSE)</f>
        <v>5</v>
      </c>
      <c r="J6594">
        <v>0</v>
      </c>
      <c r="K6594" t="s">
        <v>821</v>
      </c>
      <c r="L6594">
        <v>0</v>
      </c>
      <c r="M6594">
        <v>0</v>
      </c>
    </row>
    <row r="6595" spans="1:13">
      <c r="A6595" t="s">
        <v>14668</v>
      </c>
      <c r="B6595" t="s">
        <v>14669</v>
      </c>
      <c r="C6595" s="34" t="s">
        <v>536</v>
      </c>
      <c r="F6595" t="s">
        <v>536</v>
      </c>
      <c r="G6595" t="s">
        <v>6932</v>
      </c>
      <c r="H6595">
        <v>5</v>
      </c>
      <c r="I6595">
        <f>VLOOKUP(B6595,BRAND!B:D,3,FALSE)</f>
        <v>0</v>
      </c>
      <c r="J6595">
        <f>LEN(F6595)</f>
        <v>5</v>
      </c>
      <c r="K6595" t="s">
        <v>821</v>
      </c>
      <c r="L6595">
        <v>0</v>
      </c>
      <c r="M6595">
        <v>1</v>
      </c>
    </row>
    <row r="6596" spans="1:13">
      <c r="A6596" t="s">
        <v>15028</v>
      </c>
      <c r="B6596" t="s">
        <v>14669</v>
      </c>
      <c r="C6596" s="34" t="s">
        <v>841</v>
      </c>
      <c r="F6596" t="s">
        <v>841</v>
      </c>
      <c r="G6596" t="s">
        <v>6932</v>
      </c>
      <c r="H6596">
        <v>5</v>
      </c>
      <c r="I6596">
        <f>VLOOKUP(B6596,BRAND!B:D,3,FALSE)</f>
        <v>0</v>
      </c>
      <c r="J6596">
        <v>0</v>
      </c>
      <c r="K6596" t="s">
        <v>821</v>
      </c>
      <c r="L6596">
        <v>0</v>
      </c>
      <c r="M6596">
        <v>0</v>
      </c>
    </row>
    <row r="6597" spans="1:13">
      <c r="A6597" t="s">
        <v>1715</v>
      </c>
      <c r="B6597" t="s">
        <v>149</v>
      </c>
      <c r="C6597" s="34" t="s">
        <v>1513</v>
      </c>
      <c r="F6597" t="s">
        <v>1513</v>
      </c>
      <c r="H6597">
        <v>5</v>
      </c>
      <c r="I6597">
        <f>VLOOKUP(B6597,BRAND!B:D,3,FALSE)</f>
        <v>3</v>
      </c>
      <c r="J6597">
        <v>5</v>
      </c>
      <c r="K6597" t="s">
        <v>821</v>
      </c>
      <c r="M6597">
        <v>1</v>
      </c>
    </row>
    <row r="6598" spans="1:13">
      <c r="A6598" t="s">
        <v>4800</v>
      </c>
      <c r="B6598" t="s">
        <v>149</v>
      </c>
      <c r="C6598" s="34" t="s">
        <v>2000</v>
      </c>
      <c r="F6598" t="s">
        <v>2000</v>
      </c>
      <c r="H6598">
        <v>5</v>
      </c>
      <c r="I6598">
        <f>VLOOKUP(B6598,BRAND!B:D,3,FALSE)</f>
        <v>3</v>
      </c>
      <c r="J6598">
        <v>5</v>
      </c>
      <c r="K6598" t="s">
        <v>821</v>
      </c>
      <c r="M6598">
        <v>1</v>
      </c>
    </row>
    <row r="6599" spans="1:13">
      <c r="A6599" t="s">
        <v>4422</v>
      </c>
      <c r="B6599" t="s">
        <v>149</v>
      </c>
      <c r="C6599" s="34" t="s">
        <v>876</v>
      </c>
      <c r="F6599" t="s">
        <v>876</v>
      </c>
      <c r="H6599">
        <v>5</v>
      </c>
      <c r="I6599">
        <f>VLOOKUP(B6599,BRAND!B:D,3,FALSE)</f>
        <v>3</v>
      </c>
      <c r="J6599">
        <v>4</v>
      </c>
      <c r="K6599" t="s">
        <v>821</v>
      </c>
      <c r="M6599">
        <v>1</v>
      </c>
    </row>
    <row r="6600" spans="1:13">
      <c r="A6600" t="s">
        <v>1678</v>
      </c>
      <c r="B6600" t="s">
        <v>149</v>
      </c>
      <c r="C6600" s="34" t="s">
        <v>5552</v>
      </c>
      <c r="F6600" t="s">
        <v>1438</v>
      </c>
      <c r="G6600" t="s">
        <v>801</v>
      </c>
      <c r="H6600">
        <v>6</v>
      </c>
      <c r="I6600">
        <f>VLOOKUP(B6600,BRAND!B:D,3,FALSE)</f>
        <v>3</v>
      </c>
      <c r="J6600">
        <v>4</v>
      </c>
      <c r="K6600" t="s">
        <v>821</v>
      </c>
      <c r="M6600">
        <v>1</v>
      </c>
    </row>
    <row r="6601" spans="1:13">
      <c r="A6601" t="s">
        <v>1556</v>
      </c>
      <c r="B6601" t="s">
        <v>149</v>
      </c>
      <c r="C6601" s="34" t="s">
        <v>1438</v>
      </c>
      <c r="F6601" t="s">
        <v>1438</v>
      </c>
      <c r="H6601">
        <v>15</v>
      </c>
      <c r="I6601">
        <f>VLOOKUP(B6601,BRAND!B:D,3,FALSE)</f>
        <v>3</v>
      </c>
      <c r="J6601">
        <v>4</v>
      </c>
      <c r="K6601" t="s">
        <v>821</v>
      </c>
      <c r="M6601">
        <v>1</v>
      </c>
    </row>
    <row r="6602" spans="1:13">
      <c r="A6602" t="s">
        <v>3342</v>
      </c>
      <c r="B6602" t="s">
        <v>312</v>
      </c>
      <c r="C6602" s="34" t="s">
        <v>791</v>
      </c>
      <c r="F6602" t="s">
        <v>791</v>
      </c>
      <c r="H6602">
        <v>5</v>
      </c>
      <c r="I6602">
        <f>VLOOKUP(B6602,BRAND!B:D,3,FALSE)</f>
        <v>3</v>
      </c>
      <c r="J6602">
        <v>5</v>
      </c>
      <c r="K6602" t="s">
        <v>821</v>
      </c>
      <c r="L6602">
        <v>0</v>
      </c>
      <c r="M6602">
        <v>0</v>
      </c>
    </row>
    <row r="6603" spans="1:13">
      <c r="A6603" t="s">
        <v>2790</v>
      </c>
      <c r="B6603" t="s">
        <v>312</v>
      </c>
      <c r="C6603" s="34" t="s">
        <v>1438</v>
      </c>
      <c r="F6603" t="s">
        <v>1438</v>
      </c>
      <c r="H6603">
        <v>5</v>
      </c>
      <c r="I6603">
        <f>VLOOKUP(B6603,BRAND!B:D,3,FALSE)</f>
        <v>3</v>
      </c>
      <c r="J6603">
        <v>4</v>
      </c>
      <c r="K6603" t="s">
        <v>821</v>
      </c>
      <c r="L6603">
        <v>0</v>
      </c>
      <c r="M6603">
        <v>0</v>
      </c>
    </row>
    <row r="6604" spans="1:13">
      <c r="A6604" t="s">
        <v>2825</v>
      </c>
      <c r="B6604" t="s">
        <v>312</v>
      </c>
      <c r="C6604" s="34" t="s">
        <v>781</v>
      </c>
      <c r="F6604" t="s">
        <v>781</v>
      </c>
      <c r="H6604">
        <v>5</v>
      </c>
      <c r="I6604">
        <f>VLOOKUP(B6604,BRAND!B:D,3,FALSE)</f>
        <v>3</v>
      </c>
      <c r="J6604">
        <v>4</v>
      </c>
      <c r="K6604" t="s">
        <v>821</v>
      </c>
      <c r="L6604">
        <v>0</v>
      </c>
      <c r="M6604">
        <v>0</v>
      </c>
    </row>
    <row r="6605" spans="1:13">
      <c r="A6605" t="s">
        <v>3055</v>
      </c>
      <c r="B6605" t="s">
        <v>312</v>
      </c>
      <c r="C6605" s="34" t="s">
        <v>897</v>
      </c>
      <c r="F6605" t="s">
        <v>897</v>
      </c>
      <c r="H6605">
        <v>5</v>
      </c>
      <c r="I6605">
        <f>VLOOKUP(B6605,BRAND!B:D,3,FALSE)</f>
        <v>3</v>
      </c>
      <c r="J6605">
        <v>4</v>
      </c>
      <c r="K6605" t="s">
        <v>821</v>
      </c>
      <c r="L6605">
        <v>0</v>
      </c>
      <c r="M6605">
        <v>0</v>
      </c>
    </row>
    <row r="6606" spans="1:13">
      <c r="A6606" t="s">
        <v>9130</v>
      </c>
      <c r="B6606" t="s">
        <v>312</v>
      </c>
      <c r="C6606" s="34" t="s">
        <v>1438</v>
      </c>
      <c r="F6606" t="s">
        <v>1438</v>
      </c>
      <c r="G6606" t="s">
        <v>6932</v>
      </c>
      <c r="H6606">
        <v>5</v>
      </c>
      <c r="I6606">
        <f>VLOOKUP(B6606,BRAND!B:D,3,FALSE)</f>
        <v>3</v>
      </c>
      <c r="J6606">
        <v>4</v>
      </c>
      <c r="L6606">
        <v>0</v>
      </c>
      <c r="M6606">
        <v>0</v>
      </c>
    </row>
    <row r="6607" spans="1:13">
      <c r="A6607" t="s">
        <v>2969</v>
      </c>
      <c r="B6607" t="s">
        <v>312</v>
      </c>
      <c r="C6607" s="34" t="s">
        <v>775</v>
      </c>
      <c r="F6607" t="s">
        <v>775</v>
      </c>
      <c r="H6607">
        <v>5</v>
      </c>
      <c r="I6607">
        <f>VLOOKUP(B6607,BRAND!B:D,3,FALSE)</f>
        <v>3</v>
      </c>
      <c r="J6607">
        <v>3</v>
      </c>
      <c r="K6607" t="s">
        <v>821</v>
      </c>
      <c r="L6607">
        <v>0</v>
      </c>
      <c r="M6607">
        <v>0</v>
      </c>
    </row>
    <row r="6608" spans="1:13">
      <c r="A6608" t="s">
        <v>9809</v>
      </c>
      <c r="B6608" t="s">
        <v>312</v>
      </c>
      <c r="C6608" s="34" t="s">
        <v>10005</v>
      </c>
      <c r="G6608" t="s">
        <v>6932</v>
      </c>
      <c r="H6608">
        <v>5</v>
      </c>
      <c r="I6608">
        <f>VLOOKUP(B6608,BRAND!B:D,3,FALSE)</f>
        <v>3</v>
      </c>
      <c r="J6608">
        <f>LEN(F6608)</f>
        <v>0</v>
      </c>
      <c r="L6608">
        <v>0</v>
      </c>
      <c r="M6608">
        <v>0</v>
      </c>
    </row>
    <row r="6609" spans="1:13">
      <c r="A6609" t="s">
        <v>9809</v>
      </c>
      <c r="B6609" t="s">
        <v>312</v>
      </c>
      <c r="C6609" s="34" t="s">
        <v>10005</v>
      </c>
      <c r="G6609" t="s">
        <v>6932</v>
      </c>
      <c r="H6609">
        <v>5</v>
      </c>
      <c r="I6609">
        <f>VLOOKUP(B6609,BRAND!B:D,3,FALSE)</f>
        <v>3</v>
      </c>
      <c r="J6609">
        <v>0</v>
      </c>
      <c r="M6609">
        <v>1</v>
      </c>
    </row>
    <row r="6610" spans="1:13">
      <c r="A6610" t="s">
        <v>3036</v>
      </c>
      <c r="B6610" t="s">
        <v>574</v>
      </c>
      <c r="C6610" s="34" t="s">
        <v>1438</v>
      </c>
      <c r="F6610" t="s">
        <v>1438</v>
      </c>
      <c r="H6610">
        <v>15</v>
      </c>
      <c r="I6610">
        <f>VLOOKUP(B6610,BRAND!B:D,3,FALSE)</f>
        <v>3</v>
      </c>
      <c r="J6610">
        <v>4</v>
      </c>
      <c r="K6610" t="s">
        <v>821</v>
      </c>
      <c r="M6610">
        <v>1</v>
      </c>
    </row>
    <row r="6611" spans="1:13">
      <c r="A6611" t="s">
        <v>9811</v>
      </c>
      <c r="B6611" t="s">
        <v>10007</v>
      </c>
      <c r="C6611" s="34" t="s">
        <v>1438</v>
      </c>
      <c r="H6611">
        <v>5</v>
      </c>
      <c r="I6611">
        <f>VLOOKUP(B6611,BRAND!B:D,3,FALSE)</f>
        <v>5.5</v>
      </c>
      <c r="J6611">
        <f>LEN(F6611)</f>
        <v>0</v>
      </c>
      <c r="L6611">
        <v>0</v>
      </c>
      <c r="M6611">
        <v>0</v>
      </c>
    </row>
    <row r="6612" spans="1:13">
      <c r="A6612" t="s">
        <v>9811</v>
      </c>
      <c r="B6612" t="s">
        <v>10007</v>
      </c>
      <c r="C6612" s="34" t="s">
        <v>1438</v>
      </c>
      <c r="H6612">
        <v>5</v>
      </c>
      <c r="I6612">
        <f>VLOOKUP(B6612,BRAND!B:D,3,FALSE)</f>
        <v>5.5</v>
      </c>
      <c r="J6612">
        <v>0</v>
      </c>
      <c r="L6612" s="29"/>
      <c r="M6612">
        <v>1</v>
      </c>
    </row>
    <row r="6613" spans="1:13">
      <c r="A6613" t="s">
        <v>9810</v>
      </c>
      <c r="B6613" t="s">
        <v>10006</v>
      </c>
      <c r="C6613" s="34" t="s">
        <v>788</v>
      </c>
      <c r="H6613">
        <v>5</v>
      </c>
      <c r="I6613">
        <f>VLOOKUP(B6613,BRAND!B:D,3,FALSE)</f>
        <v>5.5</v>
      </c>
      <c r="J6613">
        <f>LEN(F6613)</f>
        <v>0</v>
      </c>
      <c r="L6613">
        <v>0</v>
      </c>
      <c r="M6613">
        <v>0</v>
      </c>
    </row>
    <row r="6614" spans="1:13">
      <c r="A6614" t="s">
        <v>9810</v>
      </c>
      <c r="B6614" t="s">
        <v>10006</v>
      </c>
      <c r="C6614" s="34" t="s">
        <v>788</v>
      </c>
      <c r="H6614">
        <v>5</v>
      </c>
      <c r="I6614">
        <f>VLOOKUP(B6614,BRAND!B:D,3,FALSE)</f>
        <v>5.5</v>
      </c>
      <c r="J6614">
        <v>0</v>
      </c>
      <c r="M6614">
        <v>1</v>
      </c>
    </row>
    <row r="6615" spans="1:13">
      <c r="A6615" t="s">
        <v>6855</v>
      </c>
      <c r="B6615" t="s">
        <v>6856</v>
      </c>
      <c r="C6615" s="34" t="s">
        <v>6857</v>
      </c>
      <c r="F6615" t="s">
        <v>6858</v>
      </c>
      <c r="H6615">
        <v>5</v>
      </c>
      <c r="I6615">
        <f>VLOOKUP(B6615,BRAND!B:D,3,FALSE)</f>
        <v>5</v>
      </c>
      <c r="J6615">
        <v>4</v>
      </c>
      <c r="M6615">
        <v>1</v>
      </c>
    </row>
    <row r="6616" spans="1:13">
      <c r="A6616" t="s">
        <v>3555</v>
      </c>
      <c r="B6616" t="s">
        <v>1814</v>
      </c>
      <c r="C6616" s="34" t="s">
        <v>772</v>
      </c>
      <c r="F6616" t="s">
        <v>772</v>
      </c>
      <c r="H6616">
        <v>5</v>
      </c>
      <c r="I6616">
        <f>VLOOKUP(B6616,BRAND!B:D,3,FALSE)</f>
        <v>3</v>
      </c>
      <c r="J6616">
        <v>6</v>
      </c>
      <c r="K6616" t="s">
        <v>821</v>
      </c>
      <c r="L6616">
        <v>0</v>
      </c>
      <c r="M6616">
        <v>0</v>
      </c>
    </row>
    <row r="6617" spans="1:13">
      <c r="A6617" t="s">
        <v>3554</v>
      </c>
      <c r="B6617" t="s">
        <v>1814</v>
      </c>
      <c r="C6617" s="34" t="s">
        <v>536</v>
      </c>
      <c r="F6617" t="s">
        <v>536</v>
      </c>
      <c r="H6617">
        <v>5</v>
      </c>
      <c r="I6617">
        <f>VLOOKUP(B6617,BRAND!B:D,3,FALSE)</f>
        <v>3</v>
      </c>
      <c r="J6617">
        <v>5</v>
      </c>
      <c r="K6617" t="s">
        <v>821</v>
      </c>
      <c r="L6617">
        <v>0</v>
      </c>
      <c r="M6617">
        <v>0</v>
      </c>
    </row>
    <row r="6618" spans="1:13">
      <c r="A6618" t="s">
        <v>9131</v>
      </c>
      <c r="B6618" t="s">
        <v>9132</v>
      </c>
      <c r="C6618" s="34" t="s">
        <v>1438</v>
      </c>
      <c r="F6618" t="s">
        <v>1438</v>
      </c>
      <c r="G6618" t="s">
        <v>6932</v>
      </c>
      <c r="H6618">
        <v>5</v>
      </c>
      <c r="I6618">
        <f>VLOOKUP(B6618,BRAND!B:D,3,FALSE)</f>
        <v>5.5</v>
      </c>
      <c r="J6618">
        <v>4</v>
      </c>
      <c r="M6618">
        <v>1</v>
      </c>
    </row>
    <row r="6619" spans="1:13">
      <c r="A6619" t="s">
        <v>4653</v>
      </c>
      <c r="B6619" t="s">
        <v>491</v>
      </c>
      <c r="C6619" s="34" t="s">
        <v>776</v>
      </c>
      <c r="F6619" t="s">
        <v>776</v>
      </c>
      <c r="H6619">
        <v>5</v>
      </c>
      <c r="I6619">
        <f>VLOOKUP(B6619,BRAND!B:D,3,FALSE)</f>
        <v>3</v>
      </c>
      <c r="J6619">
        <v>5</v>
      </c>
      <c r="K6619" t="s">
        <v>821</v>
      </c>
      <c r="L6619">
        <v>0</v>
      </c>
      <c r="M6619">
        <v>0</v>
      </c>
    </row>
    <row r="6620" spans="1:13">
      <c r="A6620" t="s">
        <v>9133</v>
      </c>
      <c r="B6620" t="s">
        <v>491</v>
      </c>
      <c r="C6620" s="34" t="s">
        <v>1438</v>
      </c>
      <c r="F6620" t="s">
        <v>1438</v>
      </c>
      <c r="G6620" t="s">
        <v>6932</v>
      </c>
      <c r="H6620">
        <v>5</v>
      </c>
      <c r="I6620">
        <f>VLOOKUP(B6620,BRAND!B:D,3,FALSE)</f>
        <v>3</v>
      </c>
      <c r="J6620">
        <v>4</v>
      </c>
      <c r="L6620">
        <v>0</v>
      </c>
      <c r="M6620">
        <v>0</v>
      </c>
    </row>
    <row r="6621" spans="1:13">
      <c r="A6621" t="s">
        <v>3068</v>
      </c>
      <c r="B6621" t="s">
        <v>491</v>
      </c>
      <c r="C6621" s="34" t="s">
        <v>1438</v>
      </c>
      <c r="F6621" t="s">
        <v>1438</v>
      </c>
      <c r="H6621">
        <v>15</v>
      </c>
      <c r="I6621">
        <f>VLOOKUP(B6621,BRAND!B:D,3,FALSE)</f>
        <v>3</v>
      </c>
      <c r="J6621">
        <v>4</v>
      </c>
      <c r="K6621" t="s">
        <v>821</v>
      </c>
      <c r="L6621">
        <v>0</v>
      </c>
      <c r="M6621">
        <v>0</v>
      </c>
    </row>
    <row r="6622" spans="1:13">
      <c r="A6622" t="s">
        <v>7088</v>
      </c>
      <c r="B6622" t="s">
        <v>6614</v>
      </c>
      <c r="C6622" s="34" t="s">
        <v>6615</v>
      </c>
      <c r="F6622" t="s">
        <v>6616</v>
      </c>
      <c r="H6622">
        <v>5</v>
      </c>
      <c r="I6622">
        <f>VLOOKUP(B6622,BRAND!B:D,3,FALSE)</f>
        <v>5</v>
      </c>
      <c r="J6622">
        <v>4</v>
      </c>
      <c r="M6622">
        <v>1</v>
      </c>
    </row>
    <row r="6623" spans="1:13">
      <c r="A6623" t="s">
        <v>7088</v>
      </c>
      <c r="B6623" t="s">
        <v>6614</v>
      </c>
      <c r="C6623" s="34" t="s">
        <v>6615</v>
      </c>
      <c r="F6623" t="s">
        <v>6616</v>
      </c>
      <c r="H6623">
        <v>5</v>
      </c>
      <c r="I6623">
        <f>VLOOKUP(B6623,BRAND!B:D,3,FALSE)</f>
        <v>5</v>
      </c>
      <c r="J6623">
        <v>4</v>
      </c>
      <c r="M6623">
        <v>1</v>
      </c>
    </row>
    <row r="6624" spans="1:13">
      <c r="A6624" t="s">
        <v>9812</v>
      </c>
      <c r="B6624" t="s">
        <v>6614</v>
      </c>
      <c r="C6624" s="34" t="s">
        <v>751</v>
      </c>
      <c r="H6624">
        <v>5</v>
      </c>
      <c r="I6624">
        <f>VLOOKUP(B6624,BRAND!B:D,3,FALSE)</f>
        <v>5</v>
      </c>
      <c r="J6624">
        <f>LEN(F6624)</f>
        <v>0</v>
      </c>
      <c r="L6624">
        <v>0</v>
      </c>
      <c r="M6624">
        <v>0</v>
      </c>
    </row>
    <row r="6625" spans="1:13">
      <c r="A6625" t="s">
        <v>9812</v>
      </c>
      <c r="B6625" t="s">
        <v>6614</v>
      </c>
      <c r="C6625" s="34" t="s">
        <v>751</v>
      </c>
      <c r="H6625">
        <v>5</v>
      </c>
      <c r="I6625">
        <f>VLOOKUP(B6625,BRAND!B:D,3,FALSE)</f>
        <v>5</v>
      </c>
      <c r="J6625">
        <v>0</v>
      </c>
      <c r="M6625">
        <v>1</v>
      </c>
    </row>
    <row r="6626" spans="1:13">
      <c r="A6626" t="s">
        <v>10845</v>
      </c>
      <c r="B6626" t="s">
        <v>150</v>
      </c>
      <c r="C6626" t="s">
        <v>6631</v>
      </c>
      <c r="D6626" s="34" t="s">
        <v>6632</v>
      </c>
      <c r="F6626" t="s">
        <v>6632</v>
      </c>
      <c r="H6626">
        <v>5</v>
      </c>
      <c r="I6626" t="e">
        <f>VLOOKUP(C6626,BRAND!B:D,3,FALSE)</f>
        <v>#N/A</v>
      </c>
      <c r="J6626">
        <v>8</v>
      </c>
      <c r="M6626">
        <v>1</v>
      </c>
    </row>
    <row r="6627" spans="1:13">
      <c r="A6627" t="s">
        <v>4628</v>
      </c>
      <c r="B6627" t="s">
        <v>150</v>
      </c>
      <c r="C6627" s="34" t="s">
        <v>1992</v>
      </c>
      <c r="F6627" t="s">
        <v>1992</v>
      </c>
      <c r="H6627">
        <v>5</v>
      </c>
      <c r="I6627">
        <f>VLOOKUP(B6627,BRAND!B:D,3,FALSE)</f>
        <v>3</v>
      </c>
      <c r="J6627">
        <v>3</v>
      </c>
      <c r="K6627" t="s">
        <v>821</v>
      </c>
      <c r="L6627">
        <v>0</v>
      </c>
      <c r="M6627">
        <v>0</v>
      </c>
    </row>
    <row r="6628" spans="1:13">
      <c r="A6628" t="s">
        <v>10861</v>
      </c>
      <c r="B6628" t="s">
        <v>150</v>
      </c>
      <c r="C6628" s="34" t="s">
        <v>10860</v>
      </c>
      <c r="F6628" t="s">
        <v>1438</v>
      </c>
      <c r="G6628" t="s">
        <v>801</v>
      </c>
      <c r="H6628">
        <v>6</v>
      </c>
      <c r="I6628">
        <f>VLOOKUP(B6628,BRAND!B:D,3,FALSE)</f>
        <v>3</v>
      </c>
      <c r="J6628">
        <v>4</v>
      </c>
      <c r="K6628" t="s">
        <v>821</v>
      </c>
      <c r="L6628">
        <v>0</v>
      </c>
      <c r="M6628">
        <v>0</v>
      </c>
    </row>
    <row r="6629" spans="1:13">
      <c r="A6629" t="s">
        <v>10889</v>
      </c>
      <c r="B6629" t="s">
        <v>150</v>
      </c>
      <c r="C6629" s="34" t="s">
        <v>10860</v>
      </c>
      <c r="F6629" t="s">
        <v>1438</v>
      </c>
      <c r="H6629">
        <v>15</v>
      </c>
      <c r="I6629">
        <f>VLOOKUP(B6629,BRAND!B:D,3,FALSE)</f>
        <v>3</v>
      </c>
      <c r="J6629">
        <v>4</v>
      </c>
      <c r="K6629" t="s">
        <v>821</v>
      </c>
      <c r="L6629">
        <v>0</v>
      </c>
      <c r="M6629">
        <v>0</v>
      </c>
    </row>
    <row r="6630" spans="1:13">
      <c r="A6630" t="s">
        <v>1529</v>
      </c>
      <c r="B6630" t="s">
        <v>151</v>
      </c>
      <c r="C6630" s="34" t="s">
        <v>1438</v>
      </c>
      <c r="F6630" t="s">
        <v>1438</v>
      </c>
      <c r="H6630">
        <v>15</v>
      </c>
      <c r="I6630">
        <f>VLOOKUP(B6630,BRAND!B:D,3,FALSE)</f>
        <v>3</v>
      </c>
      <c r="J6630">
        <v>4</v>
      </c>
      <c r="K6630" t="s">
        <v>821</v>
      </c>
      <c r="M6630">
        <v>1</v>
      </c>
    </row>
    <row r="6631" spans="1:13">
      <c r="A6631" t="s">
        <v>4718</v>
      </c>
      <c r="B6631" t="s">
        <v>1191</v>
      </c>
      <c r="C6631" s="34" t="s">
        <v>1511</v>
      </c>
      <c r="F6631" t="s">
        <v>1511</v>
      </c>
      <c r="H6631">
        <v>5</v>
      </c>
      <c r="I6631">
        <f>VLOOKUP(B6631,BRAND!B:D,3,FALSE)</f>
        <v>3</v>
      </c>
      <c r="J6631">
        <v>6</v>
      </c>
      <c r="K6631" t="s">
        <v>821</v>
      </c>
      <c r="M6631">
        <v>1</v>
      </c>
    </row>
    <row r="6632" spans="1:13">
      <c r="A6632" t="s">
        <v>4712</v>
      </c>
      <c r="B6632" t="s">
        <v>1191</v>
      </c>
      <c r="C6632" s="34" t="s">
        <v>1515</v>
      </c>
      <c r="F6632" t="s">
        <v>1515</v>
      </c>
      <c r="H6632">
        <v>5</v>
      </c>
      <c r="I6632">
        <f>VLOOKUP(B6632,BRAND!B:D,3,FALSE)</f>
        <v>3</v>
      </c>
      <c r="J6632">
        <v>4</v>
      </c>
      <c r="K6632" t="s">
        <v>821</v>
      </c>
      <c r="M6632">
        <v>1</v>
      </c>
    </row>
    <row r="6633" spans="1:13">
      <c r="A6633" t="s">
        <v>2364</v>
      </c>
      <c r="B6633" t="s">
        <v>1191</v>
      </c>
      <c r="C6633" s="34" t="s">
        <v>1438</v>
      </c>
      <c r="F6633" t="s">
        <v>1438</v>
      </c>
      <c r="H6633">
        <v>15</v>
      </c>
      <c r="I6633">
        <f>VLOOKUP(B6633,BRAND!B:D,3,FALSE)</f>
        <v>3</v>
      </c>
      <c r="J6633">
        <v>4</v>
      </c>
      <c r="K6633" t="s">
        <v>821</v>
      </c>
      <c r="M6633">
        <v>1</v>
      </c>
    </row>
    <row r="6634" spans="1:13">
      <c r="A6634" t="s">
        <v>3182</v>
      </c>
      <c r="B6634" t="s">
        <v>1333</v>
      </c>
      <c r="C6634" s="34" t="s">
        <v>1438</v>
      </c>
      <c r="F6634" t="s">
        <v>1438</v>
      </c>
      <c r="H6634">
        <v>15</v>
      </c>
      <c r="I6634">
        <f>VLOOKUP(B6634,BRAND!B:D,3,FALSE)</f>
        <v>3</v>
      </c>
      <c r="J6634">
        <v>4</v>
      </c>
      <c r="K6634" t="s">
        <v>821</v>
      </c>
      <c r="L6634">
        <v>0</v>
      </c>
      <c r="M6634">
        <v>0</v>
      </c>
    </row>
    <row r="6635" spans="1:13">
      <c r="A6635" t="s">
        <v>2763</v>
      </c>
      <c r="B6635" t="s">
        <v>1334</v>
      </c>
      <c r="C6635" s="34" t="s">
        <v>1438</v>
      </c>
      <c r="F6635" t="s">
        <v>1438</v>
      </c>
      <c r="H6635">
        <v>15</v>
      </c>
      <c r="I6635">
        <f>VLOOKUP(B6635,BRAND!B:D,3,FALSE)</f>
        <v>3</v>
      </c>
      <c r="J6635">
        <v>4</v>
      </c>
      <c r="K6635" t="s">
        <v>821</v>
      </c>
      <c r="L6635">
        <v>0</v>
      </c>
      <c r="M6635">
        <v>0</v>
      </c>
    </row>
    <row r="6636" spans="1:13">
      <c r="A6636" t="s">
        <v>2852</v>
      </c>
      <c r="B6636" t="s">
        <v>1335</v>
      </c>
      <c r="C6636" s="34" t="s">
        <v>1438</v>
      </c>
      <c r="F6636" t="s">
        <v>1438</v>
      </c>
      <c r="H6636">
        <v>15</v>
      </c>
      <c r="I6636">
        <f>VLOOKUP(B6636,BRAND!B:D,3,FALSE)</f>
        <v>3</v>
      </c>
      <c r="J6636">
        <v>4</v>
      </c>
      <c r="K6636" t="s">
        <v>821</v>
      </c>
      <c r="L6636">
        <v>0</v>
      </c>
      <c r="M6636">
        <v>0</v>
      </c>
    </row>
    <row r="6637" spans="1:13">
      <c r="A6637" t="s">
        <v>4442</v>
      </c>
      <c r="B6637" t="s">
        <v>975</v>
      </c>
      <c r="C6637" s="34" t="s">
        <v>1476</v>
      </c>
      <c r="F6637" t="s">
        <v>1476</v>
      </c>
      <c r="H6637">
        <v>5</v>
      </c>
      <c r="I6637">
        <f>VLOOKUP(B6637,BRAND!B:D,3,FALSE)</f>
        <v>6</v>
      </c>
      <c r="J6637">
        <f>LEN(F6637)</f>
        <v>11</v>
      </c>
      <c r="K6637" t="s">
        <v>821</v>
      </c>
      <c r="L6637">
        <v>0</v>
      </c>
      <c r="M6637">
        <v>0</v>
      </c>
    </row>
    <row r="6638" spans="1:13">
      <c r="A6638" t="s">
        <v>3120</v>
      </c>
      <c r="B6638" t="s">
        <v>975</v>
      </c>
      <c r="C6638" s="34" t="s">
        <v>798</v>
      </c>
      <c r="F6638" t="s">
        <v>798</v>
      </c>
      <c r="H6638">
        <v>5</v>
      </c>
      <c r="I6638">
        <f>VLOOKUP(B6638,BRAND!B:D,3,FALSE)</f>
        <v>6</v>
      </c>
      <c r="J6638">
        <v>9</v>
      </c>
      <c r="K6638" t="s">
        <v>821</v>
      </c>
      <c r="L6638">
        <v>0</v>
      </c>
      <c r="M6638">
        <v>0</v>
      </c>
    </row>
    <row r="6639" spans="1:13">
      <c r="A6639" t="s">
        <v>4732</v>
      </c>
      <c r="B6639" t="s">
        <v>975</v>
      </c>
      <c r="C6639" s="34" t="s">
        <v>1489</v>
      </c>
      <c r="F6639" t="s">
        <v>1489</v>
      </c>
      <c r="H6639">
        <v>5</v>
      </c>
      <c r="I6639">
        <f>VLOOKUP(B6639,BRAND!B:D,3,FALSE)</f>
        <v>6</v>
      </c>
      <c r="J6639">
        <v>7</v>
      </c>
      <c r="K6639" t="s">
        <v>821</v>
      </c>
      <c r="L6639">
        <v>0</v>
      </c>
      <c r="M6639">
        <v>0</v>
      </c>
    </row>
    <row r="6640" spans="1:13">
      <c r="A6640" t="s">
        <v>4507</v>
      </c>
      <c r="B6640" t="s">
        <v>975</v>
      </c>
      <c r="C6640" s="34" t="s">
        <v>995</v>
      </c>
      <c r="F6640" t="s">
        <v>995</v>
      </c>
      <c r="H6640">
        <v>5</v>
      </c>
      <c r="I6640">
        <f>VLOOKUP(B6640,BRAND!B:D,3,FALSE)</f>
        <v>6</v>
      </c>
      <c r="J6640">
        <v>6</v>
      </c>
      <c r="K6640" t="s">
        <v>821</v>
      </c>
      <c r="L6640">
        <v>0</v>
      </c>
      <c r="M6640">
        <v>0</v>
      </c>
    </row>
    <row r="6641" spans="1:13">
      <c r="A6641" t="s">
        <v>4554</v>
      </c>
      <c r="B6641" t="s">
        <v>975</v>
      </c>
      <c r="C6641" s="34" t="s">
        <v>535</v>
      </c>
      <c r="F6641" t="s">
        <v>535</v>
      </c>
      <c r="H6641">
        <v>5</v>
      </c>
      <c r="I6641">
        <f>VLOOKUP(B6641,BRAND!B:D,3,FALSE)</f>
        <v>6</v>
      </c>
      <c r="J6641">
        <v>6</v>
      </c>
      <c r="K6641" t="s">
        <v>821</v>
      </c>
      <c r="L6641">
        <v>0</v>
      </c>
      <c r="M6641">
        <v>0</v>
      </c>
    </row>
    <row r="6642" spans="1:13">
      <c r="A6642" t="s">
        <v>4259</v>
      </c>
      <c r="B6642" t="s">
        <v>975</v>
      </c>
      <c r="C6642" s="34" t="s">
        <v>872</v>
      </c>
      <c r="F6642" t="s">
        <v>872</v>
      </c>
      <c r="H6642">
        <v>5</v>
      </c>
      <c r="I6642">
        <f>VLOOKUP(B6642,BRAND!B:D,3,FALSE)</f>
        <v>6</v>
      </c>
      <c r="J6642">
        <v>5</v>
      </c>
      <c r="K6642" t="s">
        <v>821</v>
      </c>
      <c r="L6642">
        <v>0</v>
      </c>
      <c r="M6642">
        <v>0</v>
      </c>
    </row>
    <row r="6643" spans="1:13">
      <c r="A6643" t="s">
        <v>3142</v>
      </c>
      <c r="B6643" t="s">
        <v>975</v>
      </c>
      <c r="C6643" s="34" t="s">
        <v>776</v>
      </c>
      <c r="F6643" t="s">
        <v>776</v>
      </c>
      <c r="H6643">
        <v>5</v>
      </c>
      <c r="I6643">
        <f>VLOOKUP(B6643,BRAND!B:D,3,FALSE)</f>
        <v>6</v>
      </c>
      <c r="J6643">
        <v>5</v>
      </c>
      <c r="K6643" t="s">
        <v>821</v>
      </c>
      <c r="L6643">
        <v>0</v>
      </c>
      <c r="M6643">
        <v>0</v>
      </c>
    </row>
    <row r="6644" spans="1:13">
      <c r="A6644" t="s">
        <v>3142</v>
      </c>
      <c r="B6644" t="s">
        <v>975</v>
      </c>
      <c r="C6644" s="34" t="s">
        <v>776</v>
      </c>
      <c r="F6644" t="s">
        <v>776</v>
      </c>
      <c r="H6644">
        <v>5</v>
      </c>
      <c r="I6644">
        <f>VLOOKUP(B6644,BRAND!B:D,3,FALSE)</f>
        <v>6</v>
      </c>
      <c r="J6644">
        <v>5</v>
      </c>
      <c r="K6644" t="s">
        <v>821</v>
      </c>
      <c r="L6644">
        <v>0</v>
      </c>
      <c r="M6644">
        <v>0</v>
      </c>
    </row>
    <row r="6645" spans="1:13">
      <c r="A6645" t="s">
        <v>3062</v>
      </c>
      <c r="B6645" t="s">
        <v>975</v>
      </c>
      <c r="C6645" s="34" t="s">
        <v>897</v>
      </c>
      <c r="F6645" t="s">
        <v>897</v>
      </c>
      <c r="H6645">
        <v>5</v>
      </c>
      <c r="I6645">
        <f>VLOOKUP(B6645,BRAND!B:D,3,FALSE)</f>
        <v>6</v>
      </c>
      <c r="J6645">
        <v>4</v>
      </c>
      <c r="K6645" t="s">
        <v>821</v>
      </c>
      <c r="L6645">
        <v>0</v>
      </c>
      <c r="M6645">
        <v>0</v>
      </c>
    </row>
    <row r="6646" spans="1:13">
      <c r="A6646" t="s">
        <v>4674</v>
      </c>
      <c r="B6646" t="s">
        <v>975</v>
      </c>
      <c r="C6646" s="34" t="s">
        <v>773</v>
      </c>
      <c r="F6646" t="s">
        <v>773</v>
      </c>
      <c r="H6646">
        <v>5</v>
      </c>
      <c r="I6646">
        <f>VLOOKUP(B6646,BRAND!B:D,3,FALSE)</f>
        <v>6</v>
      </c>
      <c r="J6646">
        <v>4</v>
      </c>
      <c r="K6646" t="s">
        <v>821</v>
      </c>
      <c r="L6646">
        <v>0</v>
      </c>
      <c r="M6646">
        <v>0</v>
      </c>
    </row>
    <row r="6647" spans="1:13">
      <c r="A6647" t="s">
        <v>9134</v>
      </c>
      <c r="B6647" t="s">
        <v>975</v>
      </c>
      <c r="C6647" s="34" t="s">
        <v>1438</v>
      </c>
      <c r="F6647" t="s">
        <v>1438</v>
      </c>
      <c r="G6647" t="s">
        <v>6932</v>
      </c>
      <c r="H6647">
        <v>5</v>
      </c>
      <c r="I6647">
        <f>VLOOKUP(B6647,BRAND!B:D,3,FALSE)</f>
        <v>6</v>
      </c>
      <c r="J6647">
        <v>4</v>
      </c>
      <c r="L6647">
        <v>0</v>
      </c>
      <c r="M6647">
        <v>0</v>
      </c>
    </row>
    <row r="6648" spans="1:13">
      <c r="A6648" t="s">
        <v>3831</v>
      </c>
      <c r="B6648" t="s">
        <v>975</v>
      </c>
      <c r="C6648" s="34" t="s">
        <v>775</v>
      </c>
      <c r="F6648" t="s">
        <v>775</v>
      </c>
      <c r="H6648">
        <v>5</v>
      </c>
      <c r="I6648">
        <f>VLOOKUP(B6648,BRAND!B:D,3,FALSE)</f>
        <v>6</v>
      </c>
      <c r="J6648">
        <v>3</v>
      </c>
      <c r="K6648" t="s">
        <v>821</v>
      </c>
      <c r="L6648">
        <v>0</v>
      </c>
      <c r="M6648">
        <v>0</v>
      </c>
    </row>
    <row r="6649" spans="1:13">
      <c r="A6649" t="s">
        <v>2232</v>
      </c>
      <c r="B6649" t="s">
        <v>975</v>
      </c>
      <c r="C6649" s="34" t="s">
        <v>1438</v>
      </c>
      <c r="F6649" t="s">
        <v>1438</v>
      </c>
      <c r="H6649">
        <v>15</v>
      </c>
      <c r="I6649">
        <f>VLOOKUP(B6649,BRAND!B:D,3,FALSE)</f>
        <v>6</v>
      </c>
      <c r="J6649">
        <v>4</v>
      </c>
      <c r="K6649" t="s">
        <v>821</v>
      </c>
      <c r="L6649">
        <v>0</v>
      </c>
      <c r="M6649">
        <v>0</v>
      </c>
    </row>
    <row r="6650" spans="1:13">
      <c r="A6650" t="s">
        <v>9135</v>
      </c>
      <c r="B6650" t="s">
        <v>9136</v>
      </c>
      <c r="C6650" s="34" t="s">
        <v>220</v>
      </c>
      <c r="F6650" t="s">
        <v>220</v>
      </c>
      <c r="G6650" t="s">
        <v>6932</v>
      </c>
      <c r="H6650">
        <v>5</v>
      </c>
      <c r="I6650">
        <f>VLOOKUP(B6650,BRAND!B:D,3,FALSE)</f>
        <v>5.5</v>
      </c>
      <c r="J6650">
        <f>LEN(F6650)</f>
        <v>10</v>
      </c>
      <c r="M6650">
        <v>1</v>
      </c>
    </row>
    <row r="6651" spans="1:13">
      <c r="A6651" t="s">
        <v>9813</v>
      </c>
      <c r="B6651" t="s">
        <v>9136</v>
      </c>
      <c r="C6651" s="34" t="s">
        <v>9139</v>
      </c>
      <c r="G6651" t="s">
        <v>6932</v>
      </c>
      <c r="H6651">
        <v>5</v>
      </c>
      <c r="I6651">
        <f>VLOOKUP(B6651,BRAND!B:D,3,FALSE)</f>
        <v>5.5</v>
      </c>
      <c r="J6651">
        <f>LEN(F6651)</f>
        <v>0</v>
      </c>
      <c r="L6651">
        <v>0</v>
      </c>
      <c r="M6651">
        <v>0</v>
      </c>
    </row>
    <row r="6652" spans="1:13">
      <c r="A6652" t="s">
        <v>9813</v>
      </c>
      <c r="B6652" t="s">
        <v>9136</v>
      </c>
      <c r="C6652" s="34" t="s">
        <v>9139</v>
      </c>
      <c r="G6652" t="s">
        <v>6932</v>
      </c>
      <c r="H6652">
        <v>5</v>
      </c>
      <c r="I6652">
        <f>VLOOKUP(B6652,BRAND!B:D,3,FALSE)</f>
        <v>5.5</v>
      </c>
      <c r="J6652">
        <v>0</v>
      </c>
      <c r="M6652">
        <v>1</v>
      </c>
    </row>
    <row r="6653" spans="1:13">
      <c r="A6653" t="s">
        <v>9137</v>
      </c>
      <c r="B6653" t="s">
        <v>9138</v>
      </c>
      <c r="C6653" s="34" t="s">
        <v>9139</v>
      </c>
      <c r="F6653" t="s">
        <v>9139</v>
      </c>
      <c r="G6653" t="s">
        <v>6932</v>
      </c>
      <c r="H6653">
        <v>5</v>
      </c>
      <c r="I6653">
        <f>VLOOKUP(B6653,BRAND!B:D,3,FALSE)</f>
        <v>5.5</v>
      </c>
      <c r="J6653">
        <v>7</v>
      </c>
      <c r="L6653">
        <v>0</v>
      </c>
      <c r="M6653">
        <v>0</v>
      </c>
    </row>
    <row r="6654" spans="1:13">
      <c r="A6654" t="s">
        <v>9814</v>
      </c>
      <c r="B6654" t="s">
        <v>281</v>
      </c>
      <c r="C6654" s="34" t="s">
        <v>985</v>
      </c>
      <c r="F6654" t="s">
        <v>985</v>
      </c>
      <c r="H6654">
        <v>5</v>
      </c>
      <c r="I6654">
        <f>VLOOKUP(B6654,BRAND!B:D,3,FALSE)</f>
        <v>3</v>
      </c>
      <c r="J6654">
        <v>9</v>
      </c>
      <c r="K6654" t="s">
        <v>821</v>
      </c>
      <c r="M6654">
        <v>1</v>
      </c>
    </row>
    <row r="6655" spans="1:13">
      <c r="A6655" t="s">
        <v>9141</v>
      </c>
      <c r="B6655" t="s">
        <v>281</v>
      </c>
      <c r="C6655" s="34" t="s">
        <v>655</v>
      </c>
      <c r="F6655" t="s">
        <v>655</v>
      </c>
      <c r="G6655" t="s">
        <v>6932</v>
      </c>
      <c r="H6655">
        <v>5</v>
      </c>
      <c r="I6655">
        <f>VLOOKUP(B6655,BRAND!B:D,3,FALSE)</f>
        <v>3</v>
      </c>
      <c r="J6655">
        <v>9</v>
      </c>
      <c r="M6655">
        <v>1</v>
      </c>
    </row>
    <row r="6656" spans="1:13">
      <c r="A6656" t="s">
        <v>4631</v>
      </c>
      <c r="B6656" t="s">
        <v>281</v>
      </c>
      <c r="C6656" s="34" t="s">
        <v>1970</v>
      </c>
      <c r="F6656" t="s">
        <v>1970</v>
      </c>
      <c r="H6656">
        <v>5</v>
      </c>
      <c r="I6656">
        <f>VLOOKUP(B6656,BRAND!B:D,3,FALSE)</f>
        <v>3</v>
      </c>
      <c r="J6656">
        <v>8</v>
      </c>
      <c r="K6656" t="s">
        <v>821</v>
      </c>
      <c r="L6656">
        <v>0</v>
      </c>
      <c r="M6656">
        <v>0</v>
      </c>
    </row>
    <row r="6657" spans="1:13">
      <c r="A6657" t="s">
        <v>9140</v>
      </c>
      <c r="B6657" t="s">
        <v>281</v>
      </c>
      <c r="C6657" s="34" t="s">
        <v>878</v>
      </c>
      <c r="F6657" t="s">
        <v>878</v>
      </c>
      <c r="G6657" t="s">
        <v>6932</v>
      </c>
      <c r="H6657">
        <v>5</v>
      </c>
      <c r="I6657">
        <f>VLOOKUP(B6657,BRAND!B:D,3,FALSE)</f>
        <v>3</v>
      </c>
      <c r="J6657">
        <v>8</v>
      </c>
      <c r="M6657">
        <v>1</v>
      </c>
    </row>
    <row r="6658" spans="1:13">
      <c r="A6658" t="s">
        <v>3966</v>
      </c>
      <c r="B6658" t="s">
        <v>281</v>
      </c>
      <c r="C6658" s="34" t="s">
        <v>5251</v>
      </c>
      <c r="F6658" t="s">
        <v>772</v>
      </c>
      <c r="H6658">
        <v>5</v>
      </c>
      <c r="I6658">
        <f>VLOOKUP(B6658,BRAND!B:D,3,FALSE)</f>
        <v>3</v>
      </c>
      <c r="J6658">
        <v>6</v>
      </c>
      <c r="K6658" t="s">
        <v>821</v>
      </c>
      <c r="M6658">
        <v>1</v>
      </c>
    </row>
    <row r="6659" spans="1:13">
      <c r="A6659" t="s">
        <v>3965</v>
      </c>
      <c r="B6659" t="s">
        <v>281</v>
      </c>
      <c r="C6659" s="34" t="s">
        <v>534</v>
      </c>
      <c r="F6659" t="s">
        <v>534</v>
      </c>
      <c r="H6659">
        <v>5</v>
      </c>
      <c r="I6659">
        <f>VLOOKUP(B6659,BRAND!B:D,3,FALSE)</f>
        <v>3</v>
      </c>
      <c r="J6659">
        <v>6</v>
      </c>
      <c r="K6659" t="s">
        <v>821</v>
      </c>
      <c r="M6659">
        <v>1</v>
      </c>
    </row>
    <row r="6660" spans="1:13">
      <c r="A6660" t="s">
        <v>3964</v>
      </c>
      <c r="B6660" t="s">
        <v>281</v>
      </c>
      <c r="C6660" s="34" t="s">
        <v>5232</v>
      </c>
      <c r="F6660" t="s">
        <v>536</v>
      </c>
      <c r="H6660">
        <v>5</v>
      </c>
      <c r="I6660">
        <f>VLOOKUP(B6660,BRAND!B:D,3,FALSE)</f>
        <v>3</v>
      </c>
      <c r="J6660">
        <v>5</v>
      </c>
      <c r="K6660" t="s">
        <v>821</v>
      </c>
      <c r="M6660">
        <v>1</v>
      </c>
    </row>
    <row r="6661" spans="1:13">
      <c r="A6661" t="s">
        <v>9815</v>
      </c>
      <c r="B6661" t="s">
        <v>281</v>
      </c>
      <c r="C6661" s="34" t="s">
        <v>1998</v>
      </c>
      <c r="F6661" t="s">
        <v>1998</v>
      </c>
      <c r="H6661">
        <v>5</v>
      </c>
      <c r="I6661">
        <f>VLOOKUP(B6661,BRAND!B:D,3,FALSE)</f>
        <v>3</v>
      </c>
      <c r="J6661">
        <v>5</v>
      </c>
      <c r="K6661" t="s">
        <v>821</v>
      </c>
      <c r="M6661">
        <v>1</v>
      </c>
    </row>
    <row r="6662" spans="1:13">
      <c r="A6662" t="s">
        <v>3605</v>
      </c>
      <c r="B6662" t="s">
        <v>281</v>
      </c>
      <c r="C6662" s="34" t="s">
        <v>5420</v>
      </c>
      <c r="F6662" t="s">
        <v>775</v>
      </c>
      <c r="H6662">
        <v>5</v>
      </c>
      <c r="I6662">
        <f>VLOOKUP(B6662,BRAND!B:D,3,FALSE)</f>
        <v>3</v>
      </c>
      <c r="J6662">
        <v>3</v>
      </c>
      <c r="K6662" t="s">
        <v>821</v>
      </c>
      <c r="L6662">
        <v>0</v>
      </c>
      <c r="M6662">
        <v>0</v>
      </c>
    </row>
    <row r="6663" spans="1:13">
      <c r="A6663" t="s">
        <v>9142</v>
      </c>
      <c r="B6663" t="s">
        <v>281</v>
      </c>
      <c r="C6663" s="34" t="s">
        <v>775</v>
      </c>
      <c r="F6663" t="s">
        <v>775</v>
      </c>
      <c r="G6663" t="s">
        <v>6932</v>
      </c>
      <c r="H6663">
        <v>5</v>
      </c>
      <c r="I6663">
        <f>VLOOKUP(B6663,BRAND!B:D,3,FALSE)</f>
        <v>3</v>
      </c>
      <c r="J6663">
        <v>3</v>
      </c>
      <c r="M6663">
        <v>1</v>
      </c>
    </row>
    <row r="6664" spans="1:13">
      <c r="A6664" t="s">
        <v>7276</v>
      </c>
      <c r="B6664" t="s">
        <v>281</v>
      </c>
      <c r="C6664" s="34" t="s">
        <v>7277</v>
      </c>
      <c r="F6664" t="s">
        <v>7277</v>
      </c>
      <c r="H6664">
        <v>5</v>
      </c>
      <c r="I6664">
        <f>VLOOKUP(B6664,BRAND!B:D,3,FALSE)</f>
        <v>3</v>
      </c>
      <c r="M6664">
        <v>1</v>
      </c>
    </row>
    <row r="6665" spans="1:13">
      <c r="A6665" t="s">
        <v>5336</v>
      </c>
      <c r="B6665" t="s">
        <v>281</v>
      </c>
      <c r="C6665" s="34" t="s">
        <v>5419</v>
      </c>
      <c r="F6665" t="s">
        <v>5337</v>
      </c>
      <c r="H6665">
        <v>15</v>
      </c>
      <c r="I6665">
        <f>VLOOKUP(B6665,BRAND!B:D,3,FALSE)</f>
        <v>3</v>
      </c>
      <c r="J6665">
        <v>4</v>
      </c>
      <c r="K6665" t="s">
        <v>821</v>
      </c>
      <c r="L6665">
        <v>0</v>
      </c>
      <c r="M6665">
        <v>0</v>
      </c>
    </row>
    <row r="6666" spans="1:13">
      <c r="A6666" t="s">
        <v>9143</v>
      </c>
      <c r="B6666" t="s">
        <v>9144</v>
      </c>
      <c r="C6666" s="34" t="s">
        <v>781</v>
      </c>
      <c r="F6666" t="s">
        <v>781</v>
      </c>
      <c r="G6666" t="s">
        <v>6932</v>
      </c>
      <c r="H6666">
        <v>5</v>
      </c>
      <c r="I6666">
        <f>VLOOKUP(B6666,BRAND!B:D,3,FALSE)</f>
        <v>5.5</v>
      </c>
      <c r="J6666">
        <v>4</v>
      </c>
      <c r="M6666">
        <v>1</v>
      </c>
    </row>
    <row r="6667" spans="1:13">
      <c r="A6667" t="s">
        <v>7830</v>
      </c>
      <c r="B6667" t="s">
        <v>7829</v>
      </c>
      <c r="C6667" s="34" t="s">
        <v>534</v>
      </c>
      <c r="F6667" t="s">
        <v>534</v>
      </c>
      <c r="G6667" t="s">
        <v>6932</v>
      </c>
      <c r="H6667">
        <v>5</v>
      </c>
      <c r="I6667">
        <f>VLOOKUP(B6667,BRAND!B:D,3,FALSE)</f>
        <v>5.5</v>
      </c>
      <c r="J6667">
        <v>6</v>
      </c>
      <c r="M6667">
        <v>1</v>
      </c>
    </row>
    <row r="6668" spans="1:13">
      <c r="A6668" t="s">
        <v>7833</v>
      </c>
      <c r="B6668" t="s">
        <v>7829</v>
      </c>
      <c r="C6668" s="34" t="s">
        <v>7834</v>
      </c>
      <c r="F6668" t="s">
        <v>763</v>
      </c>
      <c r="G6668" t="s">
        <v>6932</v>
      </c>
      <c r="H6668">
        <v>5</v>
      </c>
      <c r="I6668">
        <f>VLOOKUP(B6668,BRAND!B:D,3,FALSE)</f>
        <v>5.5</v>
      </c>
      <c r="J6668">
        <v>5</v>
      </c>
      <c r="M6668">
        <v>1</v>
      </c>
    </row>
    <row r="6669" spans="1:13">
      <c r="A6669" t="s">
        <v>7831</v>
      </c>
      <c r="B6669" t="s">
        <v>7829</v>
      </c>
      <c r="C6669" s="34" t="s">
        <v>7832</v>
      </c>
      <c r="F6669" t="s">
        <v>7832</v>
      </c>
      <c r="G6669" t="s">
        <v>6932</v>
      </c>
      <c r="H6669">
        <v>5</v>
      </c>
      <c r="I6669">
        <f>VLOOKUP(B6669,BRAND!B:D,3,FALSE)</f>
        <v>5.5</v>
      </c>
      <c r="J6669">
        <v>4</v>
      </c>
      <c r="M6669">
        <v>1</v>
      </c>
    </row>
    <row r="6670" spans="1:13">
      <c r="A6670" t="s">
        <v>7828</v>
      </c>
      <c r="B6670" t="s">
        <v>7829</v>
      </c>
      <c r="C6670" s="34" t="s">
        <v>561</v>
      </c>
      <c r="F6670" t="s">
        <v>561</v>
      </c>
      <c r="G6670" t="s">
        <v>6932</v>
      </c>
      <c r="H6670">
        <v>5</v>
      </c>
      <c r="I6670">
        <f>VLOOKUP(B6670,BRAND!B:D,3,FALSE)</f>
        <v>5.5</v>
      </c>
      <c r="J6670">
        <v>3</v>
      </c>
      <c r="M6670">
        <v>1</v>
      </c>
    </row>
    <row r="6671" spans="1:13">
      <c r="A6671" t="s">
        <v>4736</v>
      </c>
      <c r="B6671" t="s">
        <v>337</v>
      </c>
      <c r="C6671" s="34" t="s">
        <v>858</v>
      </c>
      <c r="F6671" t="s">
        <v>858</v>
      </c>
      <c r="H6671">
        <v>5</v>
      </c>
      <c r="I6671">
        <f>VLOOKUP(B6671,BRAND!B:D,3,FALSE)</f>
        <v>3</v>
      </c>
      <c r="J6671">
        <v>9</v>
      </c>
      <c r="K6671" t="s">
        <v>821</v>
      </c>
      <c r="L6671">
        <v>0</v>
      </c>
      <c r="M6671">
        <v>0</v>
      </c>
    </row>
    <row r="6672" spans="1:13">
      <c r="A6672" t="s">
        <v>9145</v>
      </c>
      <c r="B6672" t="s">
        <v>337</v>
      </c>
      <c r="C6672" s="34" t="s">
        <v>9146</v>
      </c>
      <c r="F6672" t="s">
        <v>9146</v>
      </c>
      <c r="G6672" t="s">
        <v>6932</v>
      </c>
      <c r="H6672">
        <v>5</v>
      </c>
      <c r="I6672">
        <f>VLOOKUP(B6672,BRAND!B:D,3,FALSE)</f>
        <v>3</v>
      </c>
      <c r="J6672">
        <v>7</v>
      </c>
      <c r="M6672">
        <v>1</v>
      </c>
    </row>
    <row r="6673" spans="1:13">
      <c r="A6673" t="s">
        <v>4633</v>
      </c>
      <c r="B6673" t="s">
        <v>337</v>
      </c>
      <c r="C6673" s="34" t="s">
        <v>986</v>
      </c>
      <c r="F6673" t="s">
        <v>986</v>
      </c>
      <c r="H6673">
        <v>5</v>
      </c>
      <c r="I6673">
        <f>VLOOKUP(B6673,BRAND!B:D,3,FALSE)</f>
        <v>3</v>
      </c>
      <c r="J6673">
        <v>7</v>
      </c>
      <c r="K6673" t="s">
        <v>821</v>
      </c>
      <c r="M6673">
        <v>1</v>
      </c>
    </row>
    <row r="6674" spans="1:13">
      <c r="A6674" t="s">
        <v>3010</v>
      </c>
      <c r="B6674" t="s">
        <v>337</v>
      </c>
      <c r="C6674" s="34" t="s">
        <v>534</v>
      </c>
      <c r="F6674" t="s">
        <v>534</v>
      </c>
      <c r="H6674">
        <v>5</v>
      </c>
      <c r="I6674">
        <f>VLOOKUP(B6674,BRAND!B:D,3,FALSE)</f>
        <v>3</v>
      </c>
      <c r="J6674">
        <v>6</v>
      </c>
      <c r="K6674" t="s">
        <v>821</v>
      </c>
      <c r="L6674">
        <v>0</v>
      </c>
      <c r="M6674">
        <v>0</v>
      </c>
    </row>
    <row r="6675" spans="1:13">
      <c r="A6675" t="s">
        <v>2922</v>
      </c>
      <c r="B6675" t="s">
        <v>337</v>
      </c>
      <c r="C6675" s="34" t="s">
        <v>536</v>
      </c>
      <c r="F6675" t="s">
        <v>536</v>
      </c>
      <c r="H6675">
        <v>5</v>
      </c>
      <c r="I6675">
        <f>VLOOKUP(B6675,BRAND!B:D,3,FALSE)</f>
        <v>3</v>
      </c>
      <c r="J6675">
        <v>5</v>
      </c>
      <c r="K6675" t="s">
        <v>821</v>
      </c>
      <c r="L6675">
        <v>0</v>
      </c>
      <c r="M6675">
        <v>0</v>
      </c>
    </row>
    <row r="6676" spans="1:13">
      <c r="A6676" t="s">
        <v>9816</v>
      </c>
      <c r="B6676" t="s">
        <v>337</v>
      </c>
      <c r="C6676" s="34" t="s">
        <v>895</v>
      </c>
      <c r="G6676" t="s">
        <v>6932</v>
      </c>
      <c r="H6676">
        <v>5</v>
      </c>
      <c r="I6676">
        <f>VLOOKUP(B6676,BRAND!B:D,3,FALSE)</f>
        <v>3</v>
      </c>
      <c r="J6676">
        <f>LEN(F6676)</f>
        <v>0</v>
      </c>
      <c r="L6676">
        <v>0</v>
      </c>
      <c r="M6676">
        <v>0</v>
      </c>
    </row>
    <row r="6677" spans="1:13">
      <c r="A6677" t="s">
        <v>9817</v>
      </c>
      <c r="B6677" t="s">
        <v>337</v>
      </c>
      <c r="C6677" s="34" t="s">
        <v>786</v>
      </c>
      <c r="G6677" t="s">
        <v>6932</v>
      </c>
      <c r="H6677">
        <v>5</v>
      </c>
      <c r="I6677">
        <f>VLOOKUP(B6677,BRAND!B:D,3,FALSE)</f>
        <v>3</v>
      </c>
      <c r="J6677">
        <f>LEN(F6677)</f>
        <v>0</v>
      </c>
      <c r="L6677">
        <v>0</v>
      </c>
      <c r="M6677">
        <v>0</v>
      </c>
    </row>
    <row r="6678" spans="1:13">
      <c r="A6678" t="s">
        <v>9816</v>
      </c>
      <c r="B6678" t="s">
        <v>337</v>
      </c>
      <c r="C6678" s="34" t="s">
        <v>895</v>
      </c>
      <c r="G6678" t="s">
        <v>6932</v>
      </c>
      <c r="H6678">
        <v>5</v>
      </c>
      <c r="I6678">
        <f>VLOOKUP(B6678,BRAND!B:D,3,FALSE)</f>
        <v>3</v>
      </c>
      <c r="J6678">
        <v>0</v>
      </c>
      <c r="M6678">
        <v>1</v>
      </c>
    </row>
    <row r="6679" spans="1:13">
      <c r="A6679" t="s">
        <v>9817</v>
      </c>
      <c r="B6679" t="s">
        <v>337</v>
      </c>
      <c r="C6679" s="34" t="s">
        <v>786</v>
      </c>
      <c r="G6679" t="s">
        <v>6932</v>
      </c>
      <c r="H6679">
        <v>5</v>
      </c>
      <c r="I6679">
        <f>VLOOKUP(B6679,BRAND!B:D,3,FALSE)</f>
        <v>3</v>
      </c>
      <c r="J6679">
        <v>0</v>
      </c>
      <c r="M6679">
        <v>1</v>
      </c>
    </row>
    <row r="6680" spans="1:13">
      <c r="A6680" t="s">
        <v>2742</v>
      </c>
      <c r="B6680" t="s">
        <v>337</v>
      </c>
      <c r="C6680" s="34" t="s">
        <v>1438</v>
      </c>
      <c r="F6680" t="s">
        <v>1438</v>
      </c>
      <c r="H6680">
        <v>15</v>
      </c>
      <c r="I6680">
        <f>VLOOKUP(B6680,BRAND!B:D,3,FALSE)</f>
        <v>3</v>
      </c>
      <c r="J6680">
        <v>4</v>
      </c>
      <c r="K6680" t="s">
        <v>821</v>
      </c>
      <c r="L6680">
        <v>0</v>
      </c>
      <c r="M6680">
        <v>0</v>
      </c>
    </row>
    <row r="6681" spans="1:13">
      <c r="A6681" t="s">
        <v>9147</v>
      </c>
      <c r="B6681" t="s">
        <v>9148</v>
      </c>
      <c r="C6681" s="34" t="s">
        <v>786</v>
      </c>
      <c r="F6681" t="s">
        <v>786</v>
      </c>
      <c r="G6681" t="s">
        <v>6932</v>
      </c>
      <c r="H6681">
        <v>5</v>
      </c>
      <c r="I6681">
        <f>VLOOKUP(B6681,BRAND!B:D,3,FALSE)</f>
        <v>5.5</v>
      </c>
      <c r="J6681">
        <v>3</v>
      </c>
      <c r="L6681">
        <v>0</v>
      </c>
      <c r="M6681">
        <v>0</v>
      </c>
    </row>
    <row r="6682" spans="1:13">
      <c r="A6682" t="s">
        <v>14981</v>
      </c>
      <c r="B6682" t="s">
        <v>14982</v>
      </c>
      <c r="C6682" s="34" t="s">
        <v>8921</v>
      </c>
      <c r="F6682" t="s">
        <v>8921</v>
      </c>
      <c r="G6682" t="s">
        <v>6932</v>
      </c>
      <c r="H6682">
        <v>5</v>
      </c>
      <c r="I6682">
        <f>VLOOKUP(B6682,BRAND!B:D,3,FALSE)</f>
        <v>5</v>
      </c>
      <c r="J6682">
        <v>0</v>
      </c>
      <c r="K6682" t="s">
        <v>821</v>
      </c>
      <c r="L6682">
        <v>0</v>
      </c>
      <c r="M6682">
        <v>0</v>
      </c>
    </row>
    <row r="6683" spans="1:13">
      <c r="A6683" t="s">
        <v>4537</v>
      </c>
      <c r="B6683" t="s">
        <v>1336</v>
      </c>
      <c r="C6683" s="34" t="s">
        <v>1513</v>
      </c>
      <c r="F6683" t="s">
        <v>1513</v>
      </c>
      <c r="H6683">
        <v>5</v>
      </c>
      <c r="I6683">
        <f>VLOOKUP(B6683,BRAND!B:D,3,FALSE)</f>
        <v>3</v>
      </c>
      <c r="J6683">
        <v>5</v>
      </c>
      <c r="K6683" t="s">
        <v>821</v>
      </c>
      <c r="L6683">
        <v>0</v>
      </c>
      <c r="M6683">
        <v>0</v>
      </c>
    </row>
    <row r="6684" spans="1:13">
      <c r="A6684" t="s">
        <v>2894</v>
      </c>
      <c r="B6684" t="s">
        <v>1336</v>
      </c>
      <c r="C6684" s="34" t="s">
        <v>1438</v>
      </c>
      <c r="F6684" t="s">
        <v>1438</v>
      </c>
      <c r="H6684">
        <v>15</v>
      </c>
      <c r="I6684">
        <f>VLOOKUP(B6684,BRAND!B:D,3,FALSE)</f>
        <v>3</v>
      </c>
      <c r="J6684">
        <v>4</v>
      </c>
      <c r="K6684" t="s">
        <v>821</v>
      </c>
      <c r="L6684">
        <v>0</v>
      </c>
      <c r="M6684">
        <v>0</v>
      </c>
    </row>
    <row r="6685" spans="1:13">
      <c r="A6685" t="s">
        <v>9818</v>
      </c>
      <c r="B6685" t="s">
        <v>575</v>
      </c>
      <c r="C6685" s="34" t="s">
        <v>536</v>
      </c>
      <c r="G6685" t="s">
        <v>6932</v>
      </c>
      <c r="H6685">
        <v>5</v>
      </c>
      <c r="I6685">
        <f>VLOOKUP(B6685,BRAND!B:D,3,FALSE)</f>
        <v>3</v>
      </c>
      <c r="J6685">
        <f>LEN(F6685)</f>
        <v>0</v>
      </c>
      <c r="L6685">
        <v>0</v>
      </c>
      <c r="M6685">
        <v>0</v>
      </c>
    </row>
    <row r="6686" spans="1:13">
      <c r="A6686" t="s">
        <v>9819</v>
      </c>
      <c r="B6686" t="s">
        <v>575</v>
      </c>
      <c r="C6686" s="34" t="s">
        <v>534</v>
      </c>
      <c r="G6686" t="s">
        <v>6932</v>
      </c>
      <c r="H6686">
        <v>5</v>
      </c>
      <c r="I6686">
        <f>VLOOKUP(B6686,BRAND!B:D,3,FALSE)</f>
        <v>3</v>
      </c>
      <c r="J6686">
        <f>LEN(F6686)</f>
        <v>0</v>
      </c>
      <c r="L6686">
        <v>0</v>
      </c>
      <c r="M6686">
        <v>0</v>
      </c>
    </row>
    <row r="6687" spans="1:13">
      <c r="A6687" t="s">
        <v>9818</v>
      </c>
      <c r="B6687" t="s">
        <v>575</v>
      </c>
      <c r="C6687" s="34" t="s">
        <v>536</v>
      </c>
      <c r="G6687" t="s">
        <v>6932</v>
      </c>
      <c r="H6687">
        <v>5</v>
      </c>
      <c r="I6687">
        <f>VLOOKUP(B6687,BRAND!B:D,3,FALSE)</f>
        <v>3</v>
      </c>
      <c r="J6687">
        <v>0</v>
      </c>
      <c r="M6687">
        <v>1</v>
      </c>
    </row>
    <row r="6688" spans="1:13">
      <c r="A6688" t="s">
        <v>9819</v>
      </c>
      <c r="B6688" t="s">
        <v>575</v>
      </c>
      <c r="C6688" s="34" t="s">
        <v>534</v>
      </c>
      <c r="G6688" t="s">
        <v>6932</v>
      </c>
      <c r="H6688">
        <v>5</v>
      </c>
      <c r="I6688">
        <f>VLOOKUP(B6688,BRAND!B:D,3,FALSE)</f>
        <v>3</v>
      </c>
      <c r="J6688">
        <v>0</v>
      </c>
      <c r="M6688">
        <v>1</v>
      </c>
    </row>
    <row r="6689" spans="1:13">
      <c r="A6689" t="s">
        <v>3319</v>
      </c>
      <c r="B6689" t="s">
        <v>152</v>
      </c>
      <c r="C6689" s="34" t="s">
        <v>940</v>
      </c>
      <c r="F6689" t="s">
        <v>940</v>
      </c>
      <c r="H6689">
        <v>4</v>
      </c>
      <c r="I6689">
        <f>VLOOKUP(B6689,BRAND!B:D,3,FALSE)</f>
        <v>3</v>
      </c>
      <c r="J6689">
        <f>LEN(F6689)</f>
        <v>15</v>
      </c>
      <c r="K6689" t="s">
        <v>821</v>
      </c>
      <c r="L6689">
        <v>0</v>
      </c>
      <c r="M6689">
        <v>0</v>
      </c>
    </row>
    <row r="6690" spans="1:13">
      <c r="A6690" t="s">
        <v>4952</v>
      </c>
      <c r="B6690" t="s">
        <v>152</v>
      </c>
      <c r="C6690" s="34" t="s">
        <v>1438</v>
      </c>
      <c r="F6690" t="s">
        <v>1438</v>
      </c>
      <c r="G6690" t="s">
        <v>801</v>
      </c>
      <c r="H6690">
        <v>6</v>
      </c>
      <c r="I6690">
        <f>VLOOKUP(B6690,BRAND!B:D,3,FALSE)</f>
        <v>3</v>
      </c>
      <c r="J6690">
        <v>4</v>
      </c>
      <c r="K6690" t="s">
        <v>821</v>
      </c>
      <c r="M6690">
        <v>1</v>
      </c>
    </row>
    <row r="6691" spans="1:13">
      <c r="A6691" t="s">
        <v>2670</v>
      </c>
      <c r="B6691" t="s">
        <v>152</v>
      </c>
      <c r="C6691" s="34" t="s">
        <v>1438</v>
      </c>
      <c r="F6691" t="s">
        <v>1438</v>
      </c>
      <c r="H6691">
        <v>15</v>
      </c>
      <c r="I6691">
        <f>VLOOKUP(B6691,BRAND!B:D,3,FALSE)</f>
        <v>3</v>
      </c>
      <c r="J6691">
        <v>4</v>
      </c>
      <c r="K6691" t="s">
        <v>821</v>
      </c>
      <c r="L6691">
        <v>0</v>
      </c>
      <c r="M6691">
        <v>0</v>
      </c>
    </row>
    <row r="6692" spans="1:13">
      <c r="A6692" t="s">
        <v>7278</v>
      </c>
      <c r="B6692" t="s">
        <v>7279</v>
      </c>
      <c r="C6692" s="34" t="s">
        <v>1438</v>
      </c>
      <c r="F6692" t="s">
        <v>1438</v>
      </c>
      <c r="G6692" t="s">
        <v>801</v>
      </c>
      <c r="H6692">
        <v>5</v>
      </c>
      <c r="I6692">
        <f>VLOOKUP(B6692,BRAND!B:D,3,FALSE)</f>
        <v>5.5</v>
      </c>
      <c r="M6692">
        <v>1</v>
      </c>
    </row>
    <row r="6693" spans="1:13">
      <c r="A6693" t="s">
        <v>3795</v>
      </c>
      <c r="B6693" t="s">
        <v>1119</v>
      </c>
      <c r="C6693" s="34" t="s">
        <v>776</v>
      </c>
      <c r="F6693" t="s">
        <v>776</v>
      </c>
      <c r="H6693">
        <v>5</v>
      </c>
      <c r="I6693">
        <f>VLOOKUP(B6693,BRAND!B:D,3,FALSE)</f>
        <v>3</v>
      </c>
      <c r="J6693">
        <v>5</v>
      </c>
      <c r="K6693" t="s">
        <v>821</v>
      </c>
      <c r="L6693">
        <v>0</v>
      </c>
      <c r="M6693">
        <v>0</v>
      </c>
    </row>
    <row r="6694" spans="1:13">
      <c r="A6694" t="s">
        <v>3795</v>
      </c>
      <c r="B6694" t="s">
        <v>1119</v>
      </c>
      <c r="C6694" s="34" t="s">
        <v>776</v>
      </c>
      <c r="F6694" t="s">
        <v>776</v>
      </c>
      <c r="H6694">
        <v>5</v>
      </c>
      <c r="I6694">
        <f>VLOOKUP(B6694,BRAND!B:D,3,FALSE)</f>
        <v>3</v>
      </c>
      <c r="J6694">
        <v>5</v>
      </c>
      <c r="K6694" t="s">
        <v>821</v>
      </c>
      <c r="L6694">
        <v>0</v>
      </c>
      <c r="M6694">
        <v>0</v>
      </c>
    </row>
    <row r="6695" spans="1:13">
      <c r="A6695" t="s">
        <v>4756</v>
      </c>
      <c r="B6695" t="s">
        <v>1119</v>
      </c>
      <c r="C6695" s="34" t="s">
        <v>781</v>
      </c>
      <c r="F6695" t="s">
        <v>781</v>
      </c>
      <c r="H6695">
        <v>5</v>
      </c>
      <c r="I6695">
        <f>VLOOKUP(B6695,BRAND!B:D,3,FALSE)</f>
        <v>3</v>
      </c>
      <c r="J6695">
        <v>4</v>
      </c>
      <c r="K6695" t="s">
        <v>821</v>
      </c>
      <c r="L6695">
        <v>0</v>
      </c>
      <c r="M6695">
        <v>0</v>
      </c>
    </row>
    <row r="6696" spans="1:13">
      <c r="A6696" t="s">
        <v>2293</v>
      </c>
      <c r="B6696" t="s">
        <v>1119</v>
      </c>
      <c r="C6696" s="34" t="s">
        <v>1438</v>
      </c>
      <c r="F6696" t="s">
        <v>1438</v>
      </c>
      <c r="H6696">
        <v>15</v>
      </c>
      <c r="I6696">
        <f>VLOOKUP(B6696,BRAND!B:D,3,FALSE)</f>
        <v>3</v>
      </c>
      <c r="J6696">
        <v>4</v>
      </c>
      <c r="K6696" t="s">
        <v>821</v>
      </c>
      <c r="L6696">
        <v>0</v>
      </c>
      <c r="M6696">
        <v>0</v>
      </c>
    </row>
    <row r="6697" spans="1:13">
      <c r="A6697" t="s">
        <v>9820</v>
      </c>
      <c r="B6697" t="s">
        <v>812</v>
      </c>
      <c r="C6697" s="34" t="s">
        <v>10263</v>
      </c>
      <c r="G6697" t="s">
        <v>6932</v>
      </c>
      <c r="H6697">
        <v>5</v>
      </c>
      <c r="I6697">
        <f>VLOOKUP(B6697,BRAND!B:D,3,FALSE)</f>
        <v>3</v>
      </c>
      <c r="J6697">
        <f>LEN(F6697)</f>
        <v>0</v>
      </c>
      <c r="L6697">
        <v>0</v>
      </c>
      <c r="M6697">
        <v>0</v>
      </c>
    </row>
    <row r="6698" spans="1:13">
      <c r="A6698" t="s">
        <v>10833</v>
      </c>
      <c r="B6698" t="s">
        <v>812</v>
      </c>
      <c r="C6698" s="34" t="s">
        <v>5232</v>
      </c>
      <c r="G6698" t="s">
        <v>6932</v>
      </c>
      <c r="H6698">
        <v>5</v>
      </c>
      <c r="I6698">
        <f>VLOOKUP(B6698,BRAND!B:D,3,FALSE)</f>
        <v>3</v>
      </c>
      <c r="J6698">
        <f>LEN(F6698)</f>
        <v>0</v>
      </c>
      <c r="L6698">
        <v>0</v>
      </c>
      <c r="M6698">
        <v>0</v>
      </c>
    </row>
    <row r="6699" spans="1:13">
      <c r="A6699" t="s">
        <v>9822</v>
      </c>
      <c r="B6699" t="s">
        <v>812</v>
      </c>
      <c r="C6699" s="34" t="s">
        <v>777</v>
      </c>
      <c r="G6699" t="s">
        <v>6932</v>
      </c>
      <c r="H6699">
        <v>5</v>
      </c>
      <c r="I6699">
        <f>VLOOKUP(B6699,BRAND!B:D,3,FALSE)</f>
        <v>3</v>
      </c>
      <c r="J6699">
        <f>LEN(F6699)</f>
        <v>0</v>
      </c>
      <c r="L6699">
        <v>0</v>
      </c>
      <c r="M6699">
        <v>0</v>
      </c>
    </row>
    <row r="6700" spans="1:13">
      <c r="A6700" t="s">
        <v>9823</v>
      </c>
      <c r="B6700" t="s">
        <v>812</v>
      </c>
      <c r="C6700" s="34" t="s">
        <v>534</v>
      </c>
      <c r="G6700" t="s">
        <v>6932</v>
      </c>
      <c r="H6700">
        <v>5</v>
      </c>
      <c r="I6700">
        <f>VLOOKUP(B6700,BRAND!B:D,3,FALSE)</f>
        <v>3</v>
      </c>
      <c r="J6700">
        <f>LEN(F6700)</f>
        <v>0</v>
      </c>
      <c r="L6700">
        <v>0</v>
      </c>
      <c r="M6700">
        <v>0</v>
      </c>
    </row>
    <row r="6701" spans="1:13">
      <c r="A6701" t="s">
        <v>9820</v>
      </c>
      <c r="B6701" t="s">
        <v>812</v>
      </c>
      <c r="C6701" s="34" t="s">
        <v>842</v>
      </c>
      <c r="G6701" t="s">
        <v>6932</v>
      </c>
      <c r="H6701">
        <v>5</v>
      </c>
      <c r="I6701">
        <f>VLOOKUP(B6701,BRAND!B:D,3,FALSE)</f>
        <v>3</v>
      </c>
      <c r="J6701">
        <v>0</v>
      </c>
      <c r="M6701">
        <v>1</v>
      </c>
    </row>
    <row r="6702" spans="1:13">
      <c r="A6702" t="s">
        <v>9823</v>
      </c>
      <c r="B6702" t="s">
        <v>812</v>
      </c>
      <c r="C6702" s="34" t="s">
        <v>534</v>
      </c>
      <c r="G6702" t="s">
        <v>6932</v>
      </c>
      <c r="H6702">
        <v>5</v>
      </c>
      <c r="I6702">
        <f>VLOOKUP(B6702,BRAND!B:D,3,FALSE)</f>
        <v>3</v>
      </c>
      <c r="J6702">
        <v>0</v>
      </c>
      <c r="M6702">
        <v>1</v>
      </c>
    </row>
    <row r="6703" spans="1:13">
      <c r="A6703" t="s">
        <v>9822</v>
      </c>
      <c r="B6703" t="s">
        <v>812</v>
      </c>
      <c r="C6703" s="34" t="s">
        <v>777</v>
      </c>
      <c r="G6703" t="s">
        <v>6932</v>
      </c>
      <c r="H6703">
        <v>5</v>
      </c>
      <c r="I6703">
        <f>VLOOKUP(B6703,BRAND!B:D,3,FALSE)</f>
        <v>3</v>
      </c>
      <c r="J6703">
        <v>0</v>
      </c>
      <c r="M6703">
        <v>1</v>
      </c>
    </row>
    <row r="6704" spans="1:13">
      <c r="A6704" t="s">
        <v>9821</v>
      </c>
      <c r="B6704" t="s">
        <v>812</v>
      </c>
      <c r="C6704" s="34" t="s">
        <v>1438</v>
      </c>
      <c r="G6704" t="s">
        <v>6932</v>
      </c>
      <c r="H6704">
        <v>5</v>
      </c>
      <c r="I6704">
        <f>VLOOKUP(B6704,BRAND!B:D,3,FALSE)</f>
        <v>3</v>
      </c>
      <c r="J6704">
        <v>0</v>
      </c>
      <c r="M6704">
        <v>1</v>
      </c>
    </row>
    <row r="6705" spans="1:13">
      <c r="A6705" t="s">
        <v>4117</v>
      </c>
      <c r="B6705" t="s">
        <v>656</v>
      </c>
      <c r="C6705" s="34" t="s">
        <v>781</v>
      </c>
      <c r="F6705" t="s">
        <v>781</v>
      </c>
      <c r="H6705">
        <v>5</v>
      </c>
      <c r="I6705">
        <f>VLOOKUP(B6705,BRAND!B:D,3,FALSE)</f>
        <v>3</v>
      </c>
      <c r="J6705">
        <v>4</v>
      </c>
      <c r="K6705" t="s">
        <v>821</v>
      </c>
      <c r="L6705">
        <v>0</v>
      </c>
      <c r="M6705">
        <v>0</v>
      </c>
    </row>
    <row r="6706" spans="1:13">
      <c r="A6706" t="s">
        <v>9149</v>
      </c>
      <c r="B6706" t="s">
        <v>656</v>
      </c>
      <c r="C6706" s="34" t="s">
        <v>1438</v>
      </c>
      <c r="F6706" t="s">
        <v>1438</v>
      </c>
      <c r="G6706" t="s">
        <v>6932</v>
      </c>
      <c r="H6706">
        <v>5</v>
      </c>
      <c r="I6706">
        <f>VLOOKUP(B6706,BRAND!B:D,3,FALSE)</f>
        <v>3</v>
      </c>
      <c r="J6706">
        <v>4</v>
      </c>
      <c r="M6706">
        <v>1</v>
      </c>
    </row>
    <row r="6707" spans="1:13">
      <c r="A6707" t="s">
        <v>2418</v>
      </c>
      <c r="B6707" t="s">
        <v>656</v>
      </c>
      <c r="C6707" s="34" t="s">
        <v>1438</v>
      </c>
      <c r="F6707" t="s">
        <v>1438</v>
      </c>
      <c r="H6707">
        <v>15</v>
      </c>
      <c r="I6707">
        <f>VLOOKUP(B6707,BRAND!B:D,3,FALSE)</f>
        <v>3</v>
      </c>
      <c r="J6707">
        <v>4</v>
      </c>
      <c r="K6707" t="s">
        <v>821</v>
      </c>
      <c r="L6707">
        <v>0</v>
      </c>
      <c r="M6707">
        <v>0</v>
      </c>
    </row>
    <row r="6708" spans="1:13">
      <c r="A6708" t="s">
        <v>14561</v>
      </c>
      <c r="B6708" t="s">
        <v>14559</v>
      </c>
      <c r="C6708" s="34" t="s">
        <v>14562</v>
      </c>
      <c r="F6708" t="s">
        <v>14562</v>
      </c>
      <c r="G6708" t="s">
        <v>6932</v>
      </c>
      <c r="H6708">
        <v>5</v>
      </c>
      <c r="I6708">
        <f>VLOOKUP(B6708,BRAND!B:D,3,FALSE)</f>
        <v>0</v>
      </c>
      <c r="J6708">
        <f t="shared" ref="J6708:J6716" si="58">LEN(F6708)</f>
        <v>6</v>
      </c>
      <c r="K6708" t="s">
        <v>821</v>
      </c>
      <c r="L6708">
        <v>0</v>
      </c>
      <c r="M6708">
        <v>1</v>
      </c>
    </row>
    <row r="6709" spans="1:13">
      <c r="A6709" t="s">
        <v>14558</v>
      </c>
      <c r="B6709" t="s">
        <v>14559</v>
      </c>
      <c r="C6709" s="34" t="s">
        <v>10023</v>
      </c>
      <c r="F6709" t="s">
        <v>10023</v>
      </c>
      <c r="G6709" t="s">
        <v>6932</v>
      </c>
      <c r="H6709">
        <v>5</v>
      </c>
      <c r="I6709">
        <f>VLOOKUP(B6709,BRAND!B:D,3,FALSE)</f>
        <v>0</v>
      </c>
      <c r="J6709">
        <f t="shared" si="58"/>
        <v>6</v>
      </c>
      <c r="K6709" t="s">
        <v>821</v>
      </c>
      <c r="L6709">
        <v>0</v>
      </c>
      <c r="M6709">
        <v>1</v>
      </c>
    </row>
    <row r="6710" spans="1:13">
      <c r="A6710" t="s">
        <v>14563</v>
      </c>
      <c r="B6710" t="s">
        <v>14559</v>
      </c>
      <c r="C6710" s="34" t="s">
        <v>755</v>
      </c>
      <c r="F6710" t="s">
        <v>755</v>
      </c>
      <c r="G6710" t="s">
        <v>6932</v>
      </c>
      <c r="H6710">
        <v>5</v>
      </c>
      <c r="I6710">
        <f>VLOOKUP(B6710,BRAND!B:D,3,FALSE)</f>
        <v>0</v>
      </c>
      <c r="J6710">
        <f t="shared" si="58"/>
        <v>6</v>
      </c>
      <c r="K6710" t="s">
        <v>821</v>
      </c>
      <c r="L6710">
        <v>0</v>
      </c>
      <c r="M6710">
        <v>1</v>
      </c>
    </row>
    <row r="6711" spans="1:13">
      <c r="A6711" t="s">
        <v>14567</v>
      </c>
      <c r="B6711" t="s">
        <v>14559</v>
      </c>
      <c r="C6711" s="34" t="s">
        <v>536</v>
      </c>
      <c r="F6711" t="s">
        <v>536</v>
      </c>
      <c r="G6711" t="s">
        <v>6932</v>
      </c>
      <c r="H6711">
        <v>5</v>
      </c>
      <c r="I6711">
        <f>VLOOKUP(B6711,BRAND!B:D,3,FALSE)</f>
        <v>0</v>
      </c>
      <c r="J6711">
        <f t="shared" si="58"/>
        <v>5</v>
      </c>
      <c r="K6711" t="s">
        <v>821</v>
      </c>
      <c r="L6711">
        <v>0</v>
      </c>
      <c r="M6711">
        <v>1</v>
      </c>
    </row>
    <row r="6712" spans="1:13">
      <c r="A6712" t="s">
        <v>14564</v>
      </c>
      <c r="B6712" t="s">
        <v>14559</v>
      </c>
      <c r="C6712" s="34" t="s">
        <v>776</v>
      </c>
      <c r="F6712" t="s">
        <v>776</v>
      </c>
      <c r="G6712" t="s">
        <v>6932</v>
      </c>
      <c r="H6712">
        <v>5</v>
      </c>
      <c r="I6712">
        <f>VLOOKUP(B6712,BRAND!B:D,3,FALSE)</f>
        <v>0</v>
      </c>
      <c r="J6712">
        <f t="shared" si="58"/>
        <v>5</v>
      </c>
      <c r="K6712" t="s">
        <v>821</v>
      </c>
      <c r="L6712">
        <v>0</v>
      </c>
      <c r="M6712">
        <v>1</v>
      </c>
    </row>
    <row r="6713" spans="1:13">
      <c r="A6713" t="s">
        <v>14565</v>
      </c>
      <c r="B6713" t="s">
        <v>14559</v>
      </c>
      <c r="C6713" s="34" t="s">
        <v>14566</v>
      </c>
      <c r="F6713" t="s">
        <v>14566</v>
      </c>
      <c r="G6713" t="s">
        <v>6932</v>
      </c>
      <c r="H6713">
        <v>5</v>
      </c>
      <c r="I6713">
        <f>VLOOKUP(B6713,BRAND!B:D,3,FALSE)</f>
        <v>0</v>
      </c>
      <c r="J6713">
        <f t="shared" si="58"/>
        <v>5</v>
      </c>
      <c r="K6713" t="s">
        <v>821</v>
      </c>
      <c r="L6713">
        <v>0</v>
      </c>
      <c r="M6713">
        <v>1</v>
      </c>
    </row>
    <row r="6714" spans="1:13">
      <c r="A6714" t="s">
        <v>14568</v>
      </c>
      <c r="B6714" t="s">
        <v>14559</v>
      </c>
      <c r="C6714" s="34" t="s">
        <v>1513</v>
      </c>
      <c r="F6714" t="s">
        <v>1513</v>
      </c>
      <c r="G6714" t="s">
        <v>6932</v>
      </c>
      <c r="H6714">
        <v>5</v>
      </c>
      <c r="I6714">
        <f>VLOOKUP(B6714,BRAND!B:D,3,FALSE)</f>
        <v>0</v>
      </c>
      <c r="J6714">
        <f t="shared" si="58"/>
        <v>5</v>
      </c>
      <c r="K6714" t="s">
        <v>821</v>
      </c>
      <c r="L6714">
        <v>0</v>
      </c>
      <c r="M6714">
        <v>1</v>
      </c>
    </row>
    <row r="6715" spans="1:13">
      <c r="A6715" t="s">
        <v>14569</v>
      </c>
      <c r="B6715" t="s">
        <v>14559</v>
      </c>
      <c r="C6715" s="34" t="s">
        <v>788</v>
      </c>
      <c r="F6715" t="s">
        <v>788</v>
      </c>
      <c r="G6715" t="s">
        <v>6932</v>
      </c>
      <c r="H6715">
        <v>5</v>
      </c>
      <c r="I6715">
        <f>VLOOKUP(B6715,BRAND!B:D,3,FALSE)</f>
        <v>0</v>
      </c>
      <c r="J6715">
        <f t="shared" si="58"/>
        <v>4</v>
      </c>
      <c r="K6715" t="s">
        <v>821</v>
      </c>
      <c r="L6715">
        <v>0</v>
      </c>
      <c r="M6715">
        <v>1</v>
      </c>
    </row>
    <row r="6716" spans="1:13">
      <c r="A6716" t="s">
        <v>14560</v>
      </c>
      <c r="B6716" t="s">
        <v>14559</v>
      </c>
      <c r="C6716" s="34" t="s">
        <v>561</v>
      </c>
      <c r="F6716" t="s">
        <v>561</v>
      </c>
      <c r="G6716" t="s">
        <v>6932</v>
      </c>
      <c r="H6716">
        <v>5</v>
      </c>
      <c r="I6716">
        <f>VLOOKUP(B6716,BRAND!B:D,3,FALSE)</f>
        <v>0</v>
      </c>
      <c r="J6716">
        <f t="shared" si="58"/>
        <v>3</v>
      </c>
      <c r="K6716" t="s">
        <v>821</v>
      </c>
      <c r="L6716">
        <v>0</v>
      </c>
      <c r="M6716">
        <v>1</v>
      </c>
    </row>
    <row r="6717" spans="1:13">
      <c r="A6717" t="s">
        <v>7357</v>
      </c>
      <c r="B6717" t="s">
        <v>7358</v>
      </c>
      <c r="C6717" s="34" t="s">
        <v>1438</v>
      </c>
      <c r="F6717" t="s">
        <v>1438</v>
      </c>
      <c r="G6717" t="s">
        <v>6932</v>
      </c>
      <c r="H6717">
        <v>5</v>
      </c>
      <c r="I6717">
        <f>VLOOKUP(B6717,BRAND!B:D,3,FALSE)</f>
        <v>5.5</v>
      </c>
      <c r="J6717">
        <v>4</v>
      </c>
      <c r="M6717">
        <v>1</v>
      </c>
    </row>
    <row r="6718" spans="1:13">
      <c r="A6718" t="s">
        <v>4805</v>
      </c>
      <c r="B6718" t="s">
        <v>664</v>
      </c>
      <c r="C6718" s="34" t="s">
        <v>777</v>
      </c>
      <c r="F6718" t="s">
        <v>777</v>
      </c>
      <c r="H6718">
        <v>5</v>
      </c>
      <c r="I6718">
        <f>VLOOKUP(B6718,BRAND!B:D,3,FALSE)</f>
        <v>3</v>
      </c>
      <c r="J6718">
        <v>7</v>
      </c>
      <c r="K6718" t="s">
        <v>821</v>
      </c>
      <c r="M6718">
        <v>1</v>
      </c>
    </row>
    <row r="6719" spans="1:13">
      <c r="A6719" t="s">
        <v>3249</v>
      </c>
      <c r="B6719" t="s">
        <v>664</v>
      </c>
      <c r="C6719" s="34" t="s">
        <v>1438</v>
      </c>
      <c r="F6719" t="s">
        <v>1438</v>
      </c>
      <c r="H6719">
        <v>15</v>
      </c>
      <c r="I6719">
        <f>VLOOKUP(B6719,BRAND!B:D,3,FALSE)</f>
        <v>3</v>
      </c>
      <c r="J6719">
        <v>4</v>
      </c>
      <c r="K6719" t="s">
        <v>821</v>
      </c>
      <c r="L6719">
        <v>0</v>
      </c>
      <c r="M6719">
        <v>0</v>
      </c>
    </row>
    <row r="6720" spans="1:13">
      <c r="A6720" t="s">
        <v>11635</v>
      </c>
      <c r="B6720" t="s">
        <v>10932</v>
      </c>
      <c r="C6720" s="34" t="s">
        <v>11102</v>
      </c>
      <c r="F6720" t="s">
        <v>11102</v>
      </c>
      <c r="G6720" t="s">
        <v>6932</v>
      </c>
      <c r="H6720">
        <v>5</v>
      </c>
    </row>
    <row r="6721" spans="1:13">
      <c r="A6721" t="s">
        <v>11636</v>
      </c>
      <c r="B6721" t="s">
        <v>10932</v>
      </c>
      <c r="C6721" s="34" t="s">
        <v>11103</v>
      </c>
      <c r="F6721" t="s">
        <v>11103</v>
      </c>
      <c r="G6721" t="s">
        <v>6932</v>
      </c>
      <c r="H6721">
        <v>5</v>
      </c>
    </row>
    <row r="6722" spans="1:13">
      <c r="A6722" t="s">
        <v>11637</v>
      </c>
      <c r="B6722" t="s">
        <v>10932</v>
      </c>
      <c r="C6722" s="34" t="s">
        <v>11104</v>
      </c>
      <c r="F6722" t="s">
        <v>11104</v>
      </c>
      <c r="G6722" t="s">
        <v>6932</v>
      </c>
      <c r="H6722">
        <v>5</v>
      </c>
    </row>
    <row r="6723" spans="1:13">
      <c r="A6723" t="s">
        <v>11638</v>
      </c>
      <c r="B6723" t="s">
        <v>10932</v>
      </c>
      <c r="C6723" s="34" t="s">
        <v>11105</v>
      </c>
      <c r="F6723" t="s">
        <v>11105</v>
      </c>
      <c r="G6723" t="s">
        <v>6932</v>
      </c>
      <c r="H6723">
        <v>5</v>
      </c>
    </row>
    <row r="6724" spans="1:13">
      <c r="A6724" t="s">
        <v>11639</v>
      </c>
      <c r="B6724" t="s">
        <v>10932</v>
      </c>
      <c r="C6724" s="34" t="s">
        <v>11106</v>
      </c>
      <c r="F6724" t="s">
        <v>11106</v>
      </c>
      <c r="G6724" t="s">
        <v>6932</v>
      </c>
      <c r="H6724">
        <v>5</v>
      </c>
    </row>
    <row r="6725" spans="1:13">
      <c r="A6725" t="s">
        <v>11640</v>
      </c>
      <c r="B6725" t="s">
        <v>10932</v>
      </c>
      <c r="C6725" s="34" t="s">
        <v>11107</v>
      </c>
      <c r="F6725" t="s">
        <v>11107</v>
      </c>
      <c r="G6725" t="s">
        <v>6932</v>
      </c>
      <c r="H6725">
        <v>5</v>
      </c>
    </row>
    <row r="6726" spans="1:13">
      <c r="A6726" t="s">
        <v>11641</v>
      </c>
      <c r="B6726" t="s">
        <v>10932</v>
      </c>
      <c r="C6726" s="34" t="s">
        <v>11108</v>
      </c>
      <c r="F6726" t="s">
        <v>11108</v>
      </c>
      <c r="G6726" t="s">
        <v>6932</v>
      </c>
      <c r="H6726">
        <v>5</v>
      </c>
    </row>
    <row r="6727" spans="1:13">
      <c r="A6727" t="s">
        <v>11642</v>
      </c>
      <c r="B6727" t="s">
        <v>10932</v>
      </c>
      <c r="C6727" s="34" t="s">
        <v>11109</v>
      </c>
      <c r="F6727" t="s">
        <v>11109</v>
      </c>
      <c r="G6727" t="s">
        <v>6932</v>
      </c>
      <c r="H6727">
        <v>5</v>
      </c>
    </row>
    <row r="6728" spans="1:13">
      <c r="A6728" t="s">
        <v>11643</v>
      </c>
      <c r="B6728" t="s">
        <v>10932</v>
      </c>
      <c r="C6728" s="34" t="s">
        <v>11110</v>
      </c>
      <c r="F6728" t="s">
        <v>11110</v>
      </c>
      <c r="G6728" t="s">
        <v>6932</v>
      </c>
      <c r="H6728">
        <v>5</v>
      </c>
    </row>
    <row r="6729" spans="1:13">
      <c r="A6729" t="s">
        <v>11644</v>
      </c>
      <c r="B6729" t="s">
        <v>10932</v>
      </c>
      <c r="C6729" s="34" t="s">
        <v>11111</v>
      </c>
      <c r="F6729" t="s">
        <v>11111</v>
      </c>
      <c r="G6729" t="s">
        <v>6932</v>
      </c>
      <c r="H6729">
        <v>5</v>
      </c>
    </row>
    <row r="6730" spans="1:13">
      <c r="A6730" t="s">
        <v>11645</v>
      </c>
      <c r="B6730" t="s">
        <v>10932</v>
      </c>
      <c r="C6730" s="34" t="s">
        <v>11112</v>
      </c>
      <c r="F6730" t="s">
        <v>11112</v>
      </c>
      <c r="G6730" t="s">
        <v>6932</v>
      </c>
      <c r="H6730">
        <v>5</v>
      </c>
    </row>
    <row r="6731" spans="1:13">
      <c r="A6731" t="s">
        <v>11646</v>
      </c>
      <c r="B6731" t="s">
        <v>10932</v>
      </c>
      <c r="C6731" s="34" t="s">
        <v>11113</v>
      </c>
      <c r="F6731" t="s">
        <v>11113</v>
      </c>
      <c r="G6731" t="s">
        <v>6932</v>
      </c>
      <c r="H6731">
        <v>5</v>
      </c>
    </row>
    <row r="6732" spans="1:13">
      <c r="A6732" t="s">
        <v>4402</v>
      </c>
      <c r="B6732" t="s">
        <v>1924</v>
      </c>
      <c r="C6732" s="34" t="s">
        <v>772</v>
      </c>
      <c r="F6732" t="s">
        <v>772</v>
      </c>
      <c r="H6732">
        <v>5</v>
      </c>
      <c r="I6732">
        <f>VLOOKUP(B6732,BRAND!B:D,3,FALSE)</f>
        <v>9</v>
      </c>
      <c r="J6732">
        <v>6</v>
      </c>
      <c r="K6732" t="s">
        <v>821</v>
      </c>
      <c r="L6732">
        <v>0</v>
      </c>
      <c r="M6732">
        <v>0</v>
      </c>
    </row>
    <row r="6733" spans="1:13">
      <c r="A6733" t="s">
        <v>4396</v>
      </c>
      <c r="B6733" t="s">
        <v>1924</v>
      </c>
      <c r="C6733" s="34" t="s">
        <v>995</v>
      </c>
      <c r="F6733" t="s">
        <v>995</v>
      </c>
      <c r="H6733">
        <v>5</v>
      </c>
      <c r="I6733">
        <f>VLOOKUP(B6733,BRAND!B:D,3,FALSE)</f>
        <v>9</v>
      </c>
      <c r="J6733">
        <v>6</v>
      </c>
      <c r="K6733" t="s">
        <v>821</v>
      </c>
      <c r="L6733">
        <v>0</v>
      </c>
      <c r="M6733">
        <v>0</v>
      </c>
    </row>
    <row r="6734" spans="1:13">
      <c r="A6734" t="s">
        <v>4203</v>
      </c>
      <c r="B6734" t="s">
        <v>1924</v>
      </c>
      <c r="C6734" s="34" t="s">
        <v>776</v>
      </c>
      <c r="F6734" t="s">
        <v>776</v>
      </c>
      <c r="H6734">
        <v>5</v>
      </c>
      <c r="I6734">
        <f>VLOOKUP(B6734,BRAND!B:D,3,FALSE)</f>
        <v>9</v>
      </c>
      <c r="J6734">
        <v>5</v>
      </c>
      <c r="K6734" t="s">
        <v>821</v>
      </c>
      <c r="L6734">
        <v>0</v>
      </c>
      <c r="M6734">
        <v>0</v>
      </c>
    </row>
    <row r="6735" spans="1:13">
      <c r="A6735" t="s">
        <v>4501</v>
      </c>
      <c r="B6735" t="s">
        <v>1924</v>
      </c>
      <c r="C6735" s="34" t="s">
        <v>781</v>
      </c>
      <c r="F6735" t="s">
        <v>781</v>
      </c>
      <c r="H6735">
        <v>5</v>
      </c>
      <c r="I6735">
        <f>VLOOKUP(B6735,BRAND!B:D,3,FALSE)</f>
        <v>9</v>
      </c>
      <c r="J6735">
        <v>4</v>
      </c>
      <c r="K6735" t="s">
        <v>821</v>
      </c>
      <c r="L6735">
        <v>0</v>
      </c>
      <c r="M6735">
        <v>0</v>
      </c>
    </row>
    <row r="6736" spans="1:13">
      <c r="A6736" t="s">
        <v>4455</v>
      </c>
      <c r="B6736" t="s">
        <v>1924</v>
      </c>
      <c r="C6736" s="34" t="s">
        <v>775</v>
      </c>
      <c r="F6736" t="s">
        <v>775</v>
      </c>
      <c r="H6736">
        <v>5</v>
      </c>
      <c r="I6736">
        <f>VLOOKUP(B6736,BRAND!B:D,3,FALSE)</f>
        <v>9</v>
      </c>
      <c r="J6736">
        <v>3</v>
      </c>
      <c r="K6736" t="s">
        <v>821</v>
      </c>
      <c r="L6736">
        <v>0</v>
      </c>
      <c r="M6736">
        <v>0</v>
      </c>
    </row>
    <row r="6737" spans="1:13">
      <c r="A6737" t="s">
        <v>4160</v>
      </c>
      <c r="B6737" t="s">
        <v>1924</v>
      </c>
      <c r="C6737" s="34" t="s">
        <v>1438</v>
      </c>
      <c r="F6737" t="s">
        <v>1438</v>
      </c>
      <c r="H6737">
        <v>15</v>
      </c>
      <c r="I6737">
        <f>VLOOKUP(B6737,BRAND!B:D,3,FALSE)</f>
        <v>9</v>
      </c>
      <c r="J6737">
        <v>4</v>
      </c>
      <c r="K6737" t="s">
        <v>821</v>
      </c>
      <c r="L6737">
        <v>0</v>
      </c>
      <c r="M6737">
        <v>0</v>
      </c>
    </row>
    <row r="6738" spans="1:13">
      <c r="A6738" t="s">
        <v>7098</v>
      </c>
      <c r="B6738" t="s">
        <v>6626</v>
      </c>
      <c r="C6738" s="34" t="s">
        <v>1438</v>
      </c>
      <c r="F6738" t="s">
        <v>1438</v>
      </c>
      <c r="H6738">
        <v>5</v>
      </c>
      <c r="I6738">
        <f>VLOOKUP(B6738,BRAND!B:D,3,FALSE)</f>
        <v>5</v>
      </c>
      <c r="J6738">
        <v>4</v>
      </c>
      <c r="M6738">
        <v>1</v>
      </c>
    </row>
    <row r="6739" spans="1:13">
      <c r="A6739" t="s">
        <v>7098</v>
      </c>
      <c r="B6739" t="s">
        <v>6626</v>
      </c>
      <c r="C6739" s="34" t="s">
        <v>1438</v>
      </c>
      <c r="F6739" t="s">
        <v>1438</v>
      </c>
      <c r="H6739">
        <v>5</v>
      </c>
      <c r="I6739">
        <f>VLOOKUP(B6739,BRAND!B:D,3,FALSE)</f>
        <v>5</v>
      </c>
      <c r="J6739">
        <v>4</v>
      </c>
      <c r="M6739">
        <v>1</v>
      </c>
    </row>
    <row r="6740" spans="1:13">
      <c r="A6740" t="s">
        <v>4490</v>
      </c>
      <c r="B6740" t="s">
        <v>636</v>
      </c>
      <c r="C6740" s="34" t="s">
        <v>1965</v>
      </c>
      <c r="F6740" t="s">
        <v>1965</v>
      </c>
      <c r="H6740">
        <v>5</v>
      </c>
      <c r="I6740">
        <f>VLOOKUP(B6740,BRAND!B:D,3,FALSE)</f>
        <v>3</v>
      </c>
      <c r="J6740">
        <f>LEN(F6740)</f>
        <v>10</v>
      </c>
      <c r="K6740" t="s">
        <v>821</v>
      </c>
      <c r="L6740">
        <v>0</v>
      </c>
      <c r="M6740">
        <v>0</v>
      </c>
    </row>
    <row r="6741" spans="1:13">
      <c r="A6741" t="s">
        <v>9150</v>
      </c>
      <c r="B6741" t="s">
        <v>636</v>
      </c>
      <c r="C6741" s="34" t="s">
        <v>1438</v>
      </c>
      <c r="F6741" t="s">
        <v>1438</v>
      </c>
      <c r="G6741" t="s">
        <v>6932</v>
      </c>
      <c r="H6741">
        <v>5</v>
      </c>
      <c r="I6741">
        <f>VLOOKUP(B6741,BRAND!B:D,3,FALSE)</f>
        <v>3</v>
      </c>
      <c r="J6741">
        <v>4</v>
      </c>
      <c r="M6741">
        <v>1</v>
      </c>
    </row>
    <row r="6742" spans="1:13">
      <c r="A6742" t="s">
        <v>2010</v>
      </c>
      <c r="B6742" t="s">
        <v>636</v>
      </c>
      <c r="C6742" s="34" t="s">
        <v>1438</v>
      </c>
      <c r="F6742" t="s">
        <v>1438</v>
      </c>
      <c r="H6742">
        <v>15</v>
      </c>
      <c r="I6742">
        <f>VLOOKUP(B6742,BRAND!B:D,3,FALSE)</f>
        <v>3</v>
      </c>
      <c r="J6742">
        <v>4</v>
      </c>
      <c r="K6742" t="s">
        <v>821</v>
      </c>
      <c r="L6742">
        <v>0</v>
      </c>
      <c r="M6742">
        <v>0</v>
      </c>
    </row>
    <row r="6743" spans="1:13">
      <c r="A6743" t="s">
        <v>9151</v>
      </c>
      <c r="B6743" t="s">
        <v>9152</v>
      </c>
      <c r="C6743" s="34" t="s">
        <v>1438</v>
      </c>
      <c r="F6743" t="s">
        <v>1438</v>
      </c>
      <c r="G6743" t="s">
        <v>6932</v>
      </c>
      <c r="H6743">
        <v>5</v>
      </c>
      <c r="I6743">
        <f>VLOOKUP(B6743,BRAND!B:D,3,FALSE)</f>
        <v>5.5</v>
      </c>
      <c r="J6743">
        <v>4</v>
      </c>
      <c r="M6743">
        <v>1</v>
      </c>
    </row>
    <row r="6744" spans="1:13">
      <c r="A6744" t="s">
        <v>4025</v>
      </c>
      <c r="B6744" t="s">
        <v>153</v>
      </c>
      <c r="C6744" s="34" t="s">
        <v>939</v>
      </c>
      <c r="F6744" t="s">
        <v>939</v>
      </c>
      <c r="H6744">
        <v>5</v>
      </c>
      <c r="I6744">
        <f>VLOOKUP(B6744,BRAND!B:D,3,FALSE)</f>
        <v>3</v>
      </c>
      <c r="J6744">
        <f>LEN(F6744)</f>
        <v>10</v>
      </c>
      <c r="K6744" t="s">
        <v>821</v>
      </c>
      <c r="M6744">
        <v>1</v>
      </c>
    </row>
    <row r="6745" spans="1:13">
      <c r="A6745" t="s">
        <v>9153</v>
      </c>
      <c r="B6745" t="s">
        <v>153</v>
      </c>
      <c r="C6745" s="34" t="s">
        <v>8864</v>
      </c>
      <c r="F6745" t="s">
        <v>8864</v>
      </c>
      <c r="G6745" t="s">
        <v>6932</v>
      </c>
      <c r="H6745">
        <v>5</v>
      </c>
      <c r="I6745">
        <f>VLOOKUP(B6745,BRAND!B:D,3,FALSE)</f>
        <v>3</v>
      </c>
      <c r="J6745">
        <v>7</v>
      </c>
      <c r="M6745">
        <v>1</v>
      </c>
    </row>
    <row r="6746" spans="1:13">
      <c r="A6746" t="s">
        <v>4834</v>
      </c>
      <c r="B6746" t="s">
        <v>153</v>
      </c>
      <c r="C6746" s="34" t="s">
        <v>536</v>
      </c>
      <c r="F6746" t="s">
        <v>536</v>
      </c>
      <c r="H6746">
        <v>5</v>
      </c>
      <c r="I6746">
        <f>VLOOKUP(B6746,BRAND!B:D,3,FALSE)</f>
        <v>3</v>
      </c>
      <c r="J6746">
        <v>5</v>
      </c>
      <c r="K6746" t="s">
        <v>821</v>
      </c>
      <c r="L6746">
        <v>0</v>
      </c>
      <c r="M6746">
        <v>0</v>
      </c>
    </row>
    <row r="6747" spans="1:13">
      <c r="A6747" t="s">
        <v>4024</v>
      </c>
      <c r="B6747" t="s">
        <v>153</v>
      </c>
      <c r="C6747" s="34" t="s">
        <v>775</v>
      </c>
      <c r="F6747" t="s">
        <v>775</v>
      </c>
      <c r="H6747">
        <v>5</v>
      </c>
      <c r="I6747">
        <f>VLOOKUP(B6747,BRAND!B:D,3,FALSE)</f>
        <v>3</v>
      </c>
      <c r="J6747">
        <v>3</v>
      </c>
      <c r="K6747" t="s">
        <v>821</v>
      </c>
      <c r="L6747">
        <v>0</v>
      </c>
      <c r="M6747">
        <v>0</v>
      </c>
    </row>
    <row r="6748" spans="1:13">
      <c r="A6748" t="s">
        <v>9154</v>
      </c>
      <c r="B6748" t="s">
        <v>153</v>
      </c>
      <c r="C6748" s="34" t="s">
        <v>775</v>
      </c>
      <c r="F6748" t="s">
        <v>775</v>
      </c>
      <c r="G6748" t="s">
        <v>6932</v>
      </c>
      <c r="H6748">
        <v>5</v>
      </c>
      <c r="I6748">
        <f>VLOOKUP(B6748,BRAND!B:D,3,FALSE)</f>
        <v>3</v>
      </c>
      <c r="J6748">
        <v>3</v>
      </c>
      <c r="M6748">
        <v>1</v>
      </c>
    </row>
    <row r="6749" spans="1:13">
      <c r="A6749" t="s">
        <v>9824</v>
      </c>
      <c r="B6749" t="s">
        <v>153</v>
      </c>
      <c r="C6749" s="34" t="s">
        <v>1438</v>
      </c>
      <c r="G6749" t="s">
        <v>6932</v>
      </c>
      <c r="H6749">
        <v>5</v>
      </c>
      <c r="I6749">
        <f>VLOOKUP(B6749,BRAND!B:D,3,FALSE)</f>
        <v>3</v>
      </c>
      <c r="J6749">
        <f>LEN(F6749)</f>
        <v>0</v>
      </c>
      <c r="L6749">
        <v>0</v>
      </c>
      <c r="M6749">
        <v>0</v>
      </c>
    </row>
    <row r="6750" spans="1:13">
      <c r="A6750" t="s">
        <v>9824</v>
      </c>
      <c r="B6750" t="s">
        <v>153</v>
      </c>
      <c r="C6750" s="34" t="s">
        <v>1438</v>
      </c>
      <c r="G6750" t="s">
        <v>6932</v>
      </c>
      <c r="H6750">
        <v>5</v>
      </c>
      <c r="I6750">
        <f>VLOOKUP(B6750,BRAND!B:D,3,FALSE)</f>
        <v>3</v>
      </c>
      <c r="J6750">
        <v>0</v>
      </c>
      <c r="M6750">
        <v>1</v>
      </c>
    </row>
    <row r="6751" spans="1:13">
      <c r="A6751" t="s">
        <v>2039</v>
      </c>
      <c r="B6751" t="s">
        <v>153</v>
      </c>
      <c r="C6751" s="34" t="s">
        <v>1438</v>
      </c>
      <c r="F6751" t="s">
        <v>1438</v>
      </c>
      <c r="H6751">
        <v>15</v>
      </c>
      <c r="I6751">
        <f>VLOOKUP(B6751,BRAND!B:D,3,FALSE)</f>
        <v>3</v>
      </c>
      <c r="J6751">
        <v>4</v>
      </c>
      <c r="K6751" t="s">
        <v>821</v>
      </c>
      <c r="L6751">
        <v>0</v>
      </c>
      <c r="M6751">
        <v>0</v>
      </c>
    </row>
    <row r="6752" spans="1:13">
      <c r="A6752" t="s">
        <v>9155</v>
      </c>
      <c r="B6752" t="s">
        <v>9156</v>
      </c>
      <c r="C6752" s="34" t="s">
        <v>1438</v>
      </c>
      <c r="F6752" t="s">
        <v>1438</v>
      </c>
      <c r="G6752" t="s">
        <v>6932</v>
      </c>
      <c r="H6752">
        <v>5</v>
      </c>
      <c r="I6752">
        <f>VLOOKUP(B6752,BRAND!B:D,3,FALSE)</f>
        <v>5.5</v>
      </c>
      <c r="J6752">
        <v>4</v>
      </c>
      <c r="M6752">
        <v>1</v>
      </c>
    </row>
    <row r="6753" spans="1:13">
      <c r="A6753" t="s">
        <v>9157</v>
      </c>
      <c r="B6753" t="s">
        <v>9158</v>
      </c>
      <c r="C6753" s="34" t="s">
        <v>1438</v>
      </c>
      <c r="F6753" t="s">
        <v>1438</v>
      </c>
      <c r="G6753" t="s">
        <v>6932</v>
      </c>
      <c r="H6753">
        <v>5</v>
      </c>
      <c r="I6753">
        <f>VLOOKUP(B6753,BRAND!B:D,3,FALSE)</f>
        <v>5.5</v>
      </c>
      <c r="J6753">
        <v>4</v>
      </c>
      <c r="M6753">
        <v>1</v>
      </c>
    </row>
    <row r="6754" spans="1:13">
      <c r="A6754" t="s">
        <v>9159</v>
      </c>
      <c r="B6754" t="s">
        <v>9160</v>
      </c>
      <c r="C6754" s="34" t="s">
        <v>1438</v>
      </c>
      <c r="F6754" t="s">
        <v>1438</v>
      </c>
      <c r="G6754" t="s">
        <v>6932</v>
      </c>
      <c r="H6754">
        <v>5</v>
      </c>
      <c r="I6754">
        <f>VLOOKUP(B6754,BRAND!B:D,3,FALSE)</f>
        <v>5.5</v>
      </c>
      <c r="J6754">
        <v>4</v>
      </c>
      <c r="M6754">
        <v>1</v>
      </c>
    </row>
    <row r="6755" spans="1:13">
      <c r="A6755" t="s">
        <v>10105</v>
      </c>
      <c r="B6755" t="s">
        <v>6997</v>
      </c>
      <c r="C6755" s="34" t="s">
        <v>1438</v>
      </c>
      <c r="F6755" t="s">
        <v>1438</v>
      </c>
      <c r="H6755">
        <v>15</v>
      </c>
      <c r="I6755">
        <f>VLOOKUP(B6755,BRAND!B:D,3,FALSE)</f>
        <v>11</v>
      </c>
      <c r="J6755">
        <v>4</v>
      </c>
      <c r="L6755">
        <v>0</v>
      </c>
      <c r="M6755">
        <v>0</v>
      </c>
    </row>
    <row r="6756" spans="1:13">
      <c r="A6756" t="s">
        <v>9161</v>
      </c>
      <c r="B6756" t="s">
        <v>377</v>
      </c>
      <c r="C6756" s="34" t="s">
        <v>880</v>
      </c>
      <c r="F6756" t="s">
        <v>880</v>
      </c>
      <c r="G6756" t="s">
        <v>6932</v>
      </c>
      <c r="H6756">
        <v>5</v>
      </c>
      <c r="I6756">
        <f>VLOOKUP(B6756,BRAND!B:D,3,FALSE)</f>
        <v>3</v>
      </c>
      <c r="J6756">
        <v>7</v>
      </c>
      <c r="M6756">
        <v>1</v>
      </c>
    </row>
    <row r="6757" spans="1:13">
      <c r="A6757" t="s">
        <v>9162</v>
      </c>
      <c r="B6757" t="s">
        <v>377</v>
      </c>
      <c r="C6757" s="34" t="s">
        <v>781</v>
      </c>
      <c r="F6757" t="s">
        <v>781</v>
      </c>
      <c r="G6757" t="s">
        <v>6932</v>
      </c>
      <c r="H6757">
        <v>5</v>
      </c>
      <c r="I6757">
        <f>VLOOKUP(B6757,BRAND!B:D,3,FALSE)</f>
        <v>3</v>
      </c>
      <c r="J6757">
        <v>4</v>
      </c>
      <c r="M6757">
        <v>1</v>
      </c>
    </row>
    <row r="6758" spans="1:13">
      <c r="A6758" t="s">
        <v>9825</v>
      </c>
      <c r="B6758" t="s">
        <v>377</v>
      </c>
      <c r="C6758" s="34" t="s">
        <v>536</v>
      </c>
      <c r="H6758">
        <v>5</v>
      </c>
      <c r="I6758">
        <f>VLOOKUP(B6758,BRAND!B:D,3,FALSE)</f>
        <v>3</v>
      </c>
      <c r="J6758">
        <f>LEN(F6758)</f>
        <v>0</v>
      </c>
      <c r="L6758">
        <v>0</v>
      </c>
      <c r="M6758">
        <v>0</v>
      </c>
    </row>
    <row r="6759" spans="1:13">
      <c r="A6759" t="s">
        <v>9825</v>
      </c>
      <c r="B6759" t="s">
        <v>377</v>
      </c>
      <c r="C6759" s="34" t="s">
        <v>536</v>
      </c>
      <c r="H6759">
        <v>5</v>
      </c>
      <c r="I6759">
        <f>VLOOKUP(B6759,BRAND!B:D,3,FALSE)</f>
        <v>3</v>
      </c>
      <c r="J6759">
        <v>0</v>
      </c>
      <c r="M6759">
        <v>1</v>
      </c>
    </row>
    <row r="6760" spans="1:13">
      <c r="A6760" t="s">
        <v>2424</v>
      </c>
      <c r="B6760" t="s">
        <v>377</v>
      </c>
      <c r="C6760" s="34" t="s">
        <v>1438</v>
      </c>
      <c r="F6760" t="s">
        <v>1438</v>
      </c>
      <c r="H6760">
        <v>15</v>
      </c>
      <c r="I6760">
        <f>VLOOKUP(B6760,BRAND!B:D,3,FALSE)</f>
        <v>3</v>
      </c>
      <c r="J6760">
        <v>4</v>
      </c>
      <c r="K6760" t="s">
        <v>821</v>
      </c>
      <c r="L6760">
        <v>0</v>
      </c>
      <c r="M6760">
        <v>0</v>
      </c>
    </row>
    <row r="6761" spans="1:13">
      <c r="A6761" t="s">
        <v>2658</v>
      </c>
      <c r="B6761" t="s">
        <v>1192</v>
      </c>
      <c r="C6761" s="34" t="s">
        <v>1438</v>
      </c>
      <c r="F6761" t="s">
        <v>1438</v>
      </c>
      <c r="H6761">
        <v>15</v>
      </c>
      <c r="I6761">
        <f>VLOOKUP(B6761,BRAND!B:D,3,FALSE)</f>
        <v>3</v>
      </c>
      <c r="J6761">
        <v>4</v>
      </c>
      <c r="K6761" t="s">
        <v>821</v>
      </c>
      <c r="L6761">
        <v>0</v>
      </c>
      <c r="M6761">
        <v>0</v>
      </c>
    </row>
    <row r="6762" spans="1:13">
      <c r="A6762" t="s">
        <v>9163</v>
      </c>
      <c r="B6762" t="s">
        <v>9164</v>
      </c>
      <c r="C6762" s="34" t="s">
        <v>1438</v>
      </c>
      <c r="F6762" t="s">
        <v>1438</v>
      </c>
      <c r="G6762" t="s">
        <v>6932</v>
      </c>
      <c r="H6762">
        <v>5</v>
      </c>
      <c r="I6762">
        <f>VLOOKUP(B6762,BRAND!B:D,3,FALSE)</f>
        <v>5.5</v>
      </c>
      <c r="J6762">
        <v>4</v>
      </c>
      <c r="M6762">
        <v>1</v>
      </c>
    </row>
    <row r="6763" spans="1:13">
      <c r="A6763" t="s">
        <v>9165</v>
      </c>
      <c r="B6763" t="s">
        <v>154</v>
      </c>
      <c r="C6763" s="34" t="s">
        <v>1438</v>
      </c>
      <c r="F6763" t="s">
        <v>1438</v>
      </c>
      <c r="G6763" t="s">
        <v>801</v>
      </c>
      <c r="H6763">
        <v>5</v>
      </c>
      <c r="I6763" t="e">
        <f>VLOOKUP(B6763,BRAND!B:D,3,FALSE)</f>
        <v>#N/A</v>
      </c>
      <c r="J6763">
        <v>4</v>
      </c>
      <c r="L6763" s="29"/>
      <c r="M6763">
        <v>1</v>
      </c>
    </row>
    <row r="6764" spans="1:13">
      <c r="A6764" t="s">
        <v>3756</v>
      </c>
      <c r="B6764" t="s">
        <v>154</v>
      </c>
      <c r="C6764" s="34" t="s">
        <v>6441</v>
      </c>
      <c r="F6764" t="s">
        <v>561</v>
      </c>
      <c r="H6764">
        <v>5</v>
      </c>
      <c r="I6764" t="e">
        <f>VLOOKUP(B6764,BRAND!B:D,3,FALSE)</f>
        <v>#N/A</v>
      </c>
      <c r="J6764">
        <v>3</v>
      </c>
      <c r="K6764" t="s">
        <v>821</v>
      </c>
      <c r="M6764">
        <v>1</v>
      </c>
    </row>
    <row r="6765" spans="1:13">
      <c r="A6765" t="s">
        <v>5001</v>
      </c>
      <c r="B6765" t="s">
        <v>154</v>
      </c>
      <c r="C6765" s="34" t="s">
        <v>561</v>
      </c>
      <c r="F6765" t="s">
        <v>561</v>
      </c>
      <c r="G6765" t="s">
        <v>801</v>
      </c>
      <c r="H6765">
        <v>6</v>
      </c>
      <c r="I6765" t="e">
        <f>VLOOKUP(B6765,BRAND!B:D,3,FALSE)</f>
        <v>#N/A</v>
      </c>
      <c r="J6765">
        <v>3</v>
      </c>
      <c r="K6765" t="s">
        <v>821</v>
      </c>
      <c r="L6765">
        <v>0</v>
      </c>
      <c r="M6765">
        <v>0</v>
      </c>
    </row>
    <row r="6766" spans="1:13">
      <c r="A6766" t="s">
        <v>2240</v>
      </c>
      <c r="B6766" t="s">
        <v>1120</v>
      </c>
      <c r="C6766" s="34" t="s">
        <v>775</v>
      </c>
      <c r="F6766" t="s">
        <v>775</v>
      </c>
      <c r="H6766">
        <v>5</v>
      </c>
      <c r="I6766">
        <f>VLOOKUP(B6766,BRAND!B:D,3,FALSE)</f>
        <v>3</v>
      </c>
      <c r="J6766">
        <v>3</v>
      </c>
      <c r="K6766" t="s">
        <v>821</v>
      </c>
      <c r="L6766">
        <v>0</v>
      </c>
      <c r="M6766">
        <v>0</v>
      </c>
    </row>
    <row r="6767" spans="1:13">
      <c r="A6767" t="s">
        <v>3816</v>
      </c>
      <c r="B6767" t="s">
        <v>987</v>
      </c>
      <c r="C6767" s="34" t="s">
        <v>534</v>
      </c>
      <c r="F6767" t="s">
        <v>534</v>
      </c>
      <c r="H6767">
        <v>5</v>
      </c>
      <c r="I6767">
        <f>VLOOKUP(B6767,BRAND!B:D,3,FALSE)</f>
        <v>3</v>
      </c>
      <c r="J6767">
        <v>6</v>
      </c>
      <c r="K6767" t="s">
        <v>821</v>
      </c>
      <c r="L6767">
        <v>0</v>
      </c>
      <c r="M6767">
        <v>0</v>
      </c>
    </row>
    <row r="6768" spans="1:13">
      <c r="A6768" t="s">
        <v>2249</v>
      </c>
      <c r="B6768" t="s">
        <v>987</v>
      </c>
      <c r="C6768" s="34" t="s">
        <v>536</v>
      </c>
      <c r="F6768" t="s">
        <v>536</v>
      </c>
      <c r="H6768">
        <v>5</v>
      </c>
      <c r="I6768">
        <f>VLOOKUP(B6768,BRAND!B:D,3,FALSE)</f>
        <v>3</v>
      </c>
      <c r="J6768">
        <v>5</v>
      </c>
      <c r="K6768" t="s">
        <v>821</v>
      </c>
      <c r="L6768">
        <v>0</v>
      </c>
      <c r="M6768">
        <v>0</v>
      </c>
    </row>
    <row r="6769" spans="1:13">
      <c r="A6769" t="s">
        <v>4564</v>
      </c>
      <c r="B6769" t="s">
        <v>987</v>
      </c>
      <c r="C6769" s="34" t="s">
        <v>842</v>
      </c>
      <c r="F6769" t="s">
        <v>842</v>
      </c>
      <c r="H6769">
        <v>5</v>
      </c>
      <c r="I6769">
        <f>VLOOKUP(B6769,BRAND!B:D,3,FALSE)</f>
        <v>3</v>
      </c>
      <c r="J6769">
        <v>5</v>
      </c>
      <c r="K6769" t="s">
        <v>821</v>
      </c>
      <c r="L6769">
        <v>0</v>
      </c>
      <c r="M6769">
        <v>0</v>
      </c>
    </row>
    <row r="6770" spans="1:13">
      <c r="A6770" t="s">
        <v>2247</v>
      </c>
      <c r="B6770" t="s">
        <v>987</v>
      </c>
      <c r="C6770" s="34" t="s">
        <v>775</v>
      </c>
      <c r="F6770" t="s">
        <v>775</v>
      </c>
      <c r="H6770">
        <v>5</v>
      </c>
      <c r="I6770">
        <f>VLOOKUP(B6770,BRAND!B:D,3,FALSE)</f>
        <v>3</v>
      </c>
      <c r="J6770">
        <v>3</v>
      </c>
      <c r="K6770" t="s">
        <v>821</v>
      </c>
      <c r="L6770">
        <v>0</v>
      </c>
      <c r="M6770">
        <v>0</v>
      </c>
    </row>
    <row r="6771" spans="1:13">
      <c r="A6771" t="s">
        <v>9166</v>
      </c>
      <c r="B6771" t="s">
        <v>9167</v>
      </c>
      <c r="C6771" s="34" t="s">
        <v>1438</v>
      </c>
      <c r="F6771" t="s">
        <v>1438</v>
      </c>
      <c r="G6771" t="s">
        <v>6932</v>
      </c>
      <c r="H6771">
        <v>5</v>
      </c>
      <c r="I6771">
        <f>VLOOKUP(B6771,BRAND!B:D,3,FALSE)</f>
        <v>5.5</v>
      </c>
      <c r="J6771">
        <v>4</v>
      </c>
      <c r="M6771">
        <v>1</v>
      </c>
    </row>
    <row r="6772" spans="1:13">
      <c r="A6772" t="s">
        <v>2248</v>
      </c>
      <c r="B6772" t="s">
        <v>576</v>
      </c>
      <c r="C6772" s="34" t="s">
        <v>1438</v>
      </c>
      <c r="F6772" t="s">
        <v>1438</v>
      </c>
      <c r="H6772">
        <v>15</v>
      </c>
      <c r="I6772">
        <f>VLOOKUP(B6772,BRAND!B:D,3,FALSE)</f>
        <v>3</v>
      </c>
      <c r="J6772">
        <v>4</v>
      </c>
      <c r="K6772" t="s">
        <v>821</v>
      </c>
      <c r="L6772">
        <v>0</v>
      </c>
      <c r="M6772">
        <v>0</v>
      </c>
    </row>
    <row r="6773" spans="1:13">
      <c r="A6773" t="s">
        <v>9168</v>
      </c>
      <c r="B6773" t="s">
        <v>9169</v>
      </c>
      <c r="C6773" s="34" t="s">
        <v>1438</v>
      </c>
      <c r="F6773" t="s">
        <v>1438</v>
      </c>
      <c r="G6773" t="s">
        <v>6932</v>
      </c>
      <c r="H6773">
        <v>5</v>
      </c>
      <c r="I6773">
        <f>VLOOKUP(B6773,BRAND!B:D,3,FALSE)</f>
        <v>5.5</v>
      </c>
      <c r="J6773">
        <v>4</v>
      </c>
      <c r="M6773">
        <v>1</v>
      </c>
    </row>
    <row r="6774" spans="1:13">
      <c r="A6774" t="s">
        <v>9170</v>
      </c>
      <c r="B6774" t="s">
        <v>9171</v>
      </c>
      <c r="C6774" s="34" t="s">
        <v>1438</v>
      </c>
      <c r="F6774" t="s">
        <v>1438</v>
      </c>
      <c r="G6774" t="s">
        <v>6932</v>
      </c>
      <c r="H6774">
        <v>5</v>
      </c>
      <c r="I6774">
        <f>VLOOKUP(B6774,BRAND!B:D,3,FALSE)</f>
        <v>5.5</v>
      </c>
      <c r="J6774">
        <v>4</v>
      </c>
      <c r="M6774">
        <v>1</v>
      </c>
    </row>
    <row r="6775" spans="1:13">
      <c r="A6775" t="s">
        <v>12889</v>
      </c>
      <c r="B6775" t="s">
        <v>12048</v>
      </c>
      <c r="C6775" s="34" t="s">
        <v>12890</v>
      </c>
      <c r="F6775" t="s">
        <v>12891</v>
      </c>
      <c r="G6775" t="s">
        <v>6932</v>
      </c>
      <c r="H6775">
        <v>4</v>
      </c>
    </row>
    <row r="6776" spans="1:13">
      <c r="A6776" t="s">
        <v>12896</v>
      </c>
      <c r="B6776" t="s">
        <v>12048</v>
      </c>
      <c r="C6776" s="34" t="s">
        <v>12897</v>
      </c>
      <c r="F6776" t="s">
        <v>12898</v>
      </c>
      <c r="G6776" t="s">
        <v>6932</v>
      </c>
      <c r="H6776">
        <v>4</v>
      </c>
    </row>
    <row r="6777" spans="1:13">
      <c r="A6777" t="s">
        <v>12910</v>
      </c>
      <c r="B6777" t="s">
        <v>12048</v>
      </c>
      <c r="C6777" s="34" t="s">
        <v>12911</v>
      </c>
      <c r="F6777" t="s">
        <v>12912</v>
      </c>
      <c r="G6777" t="s">
        <v>6932</v>
      </c>
      <c r="H6777">
        <v>4</v>
      </c>
    </row>
    <row r="6778" spans="1:13">
      <c r="A6778" t="s">
        <v>12844</v>
      </c>
      <c r="B6778" t="s">
        <v>12048</v>
      </c>
      <c r="C6778" s="34" t="s">
        <v>12845</v>
      </c>
      <c r="F6778" t="s">
        <v>12845</v>
      </c>
      <c r="G6778" t="s">
        <v>6932</v>
      </c>
      <c r="H6778">
        <v>5</v>
      </c>
    </row>
    <row r="6779" spans="1:13">
      <c r="A6779" t="s">
        <v>12846</v>
      </c>
      <c r="B6779" t="s">
        <v>12048</v>
      </c>
      <c r="C6779" s="34" t="s">
        <v>12847</v>
      </c>
      <c r="F6779" t="s">
        <v>12848</v>
      </c>
      <c r="G6779" t="s">
        <v>6932</v>
      </c>
      <c r="H6779">
        <v>5</v>
      </c>
    </row>
    <row r="6780" spans="1:13">
      <c r="A6780" t="s">
        <v>12849</v>
      </c>
      <c r="B6780" t="s">
        <v>12048</v>
      </c>
      <c r="C6780" s="34" t="s">
        <v>11234</v>
      </c>
      <c r="F6780" t="s">
        <v>11234</v>
      </c>
      <c r="G6780" t="s">
        <v>6932</v>
      </c>
      <c r="H6780">
        <v>5</v>
      </c>
    </row>
    <row r="6781" spans="1:13">
      <c r="A6781" t="s">
        <v>12850</v>
      </c>
      <c r="B6781" t="s">
        <v>12048</v>
      </c>
      <c r="C6781" s="34" t="s">
        <v>12851</v>
      </c>
      <c r="F6781" t="s">
        <v>12851</v>
      </c>
      <c r="G6781" t="s">
        <v>6932</v>
      </c>
      <c r="H6781">
        <v>5</v>
      </c>
    </row>
    <row r="6782" spans="1:13">
      <c r="A6782" t="s">
        <v>12852</v>
      </c>
      <c r="B6782" t="s">
        <v>12048</v>
      </c>
      <c r="C6782" s="34" t="s">
        <v>1999</v>
      </c>
      <c r="F6782" t="s">
        <v>12853</v>
      </c>
      <c r="G6782" t="s">
        <v>6932</v>
      </c>
      <c r="H6782">
        <v>5</v>
      </c>
    </row>
    <row r="6783" spans="1:13">
      <c r="A6783" t="s">
        <v>12854</v>
      </c>
      <c r="B6783" t="s">
        <v>12048</v>
      </c>
      <c r="C6783" s="34" t="s">
        <v>12855</v>
      </c>
      <c r="F6783" t="s">
        <v>12856</v>
      </c>
      <c r="G6783" t="s">
        <v>6932</v>
      </c>
      <c r="H6783">
        <v>5</v>
      </c>
    </row>
    <row r="6784" spans="1:13">
      <c r="A6784" t="s">
        <v>12857</v>
      </c>
      <c r="B6784" t="s">
        <v>12048</v>
      </c>
      <c r="C6784" s="34" t="s">
        <v>12858</v>
      </c>
      <c r="F6784" t="s">
        <v>12859</v>
      </c>
      <c r="G6784" t="s">
        <v>6932</v>
      </c>
      <c r="H6784">
        <v>5</v>
      </c>
    </row>
    <row r="6785" spans="1:8">
      <c r="A6785" t="s">
        <v>12860</v>
      </c>
      <c r="B6785" t="s">
        <v>12048</v>
      </c>
      <c r="C6785" s="34" t="s">
        <v>12861</v>
      </c>
      <c r="F6785" t="s">
        <v>12862</v>
      </c>
      <c r="G6785" t="s">
        <v>6932</v>
      </c>
      <c r="H6785">
        <v>5</v>
      </c>
    </row>
    <row r="6786" spans="1:8">
      <c r="A6786" t="s">
        <v>12863</v>
      </c>
      <c r="B6786" t="s">
        <v>12048</v>
      </c>
      <c r="C6786" s="34" t="s">
        <v>847</v>
      </c>
      <c r="F6786" t="s">
        <v>847</v>
      </c>
      <c r="G6786" t="s">
        <v>6932</v>
      </c>
      <c r="H6786">
        <v>5</v>
      </c>
    </row>
    <row r="6787" spans="1:8">
      <c r="A6787" t="s">
        <v>12864</v>
      </c>
      <c r="B6787" t="s">
        <v>12048</v>
      </c>
      <c r="C6787" s="34" t="s">
        <v>12865</v>
      </c>
      <c r="F6787" t="s">
        <v>12866</v>
      </c>
      <c r="G6787" t="s">
        <v>6932</v>
      </c>
      <c r="H6787">
        <v>5</v>
      </c>
    </row>
    <row r="6788" spans="1:8">
      <c r="A6788" t="s">
        <v>12867</v>
      </c>
      <c r="B6788" t="s">
        <v>12048</v>
      </c>
      <c r="C6788" s="34" t="s">
        <v>12868</v>
      </c>
      <c r="F6788" t="s">
        <v>12869</v>
      </c>
      <c r="G6788" t="s">
        <v>6932</v>
      </c>
      <c r="H6788">
        <v>5</v>
      </c>
    </row>
    <row r="6789" spans="1:8">
      <c r="A6789" t="s">
        <v>12870</v>
      </c>
      <c r="B6789" t="s">
        <v>12048</v>
      </c>
      <c r="C6789" s="34" t="s">
        <v>12871</v>
      </c>
      <c r="F6789" t="s">
        <v>12872</v>
      </c>
      <c r="G6789" t="s">
        <v>6932</v>
      </c>
      <c r="H6789">
        <v>5</v>
      </c>
    </row>
    <row r="6790" spans="1:8">
      <c r="A6790" t="s">
        <v>12873</v>
      </c>
      <c r="B6790" t="s">
        <v>12048</v>
      </c>
      <c r="C6790" s="34" t="s">
        <v>12874</v>
      </c>
      <c r="F6790" t="s">
        <v>12875</v>
      </c>
      <c r="G6790" t="s">
        <v>6932</v>
      </c>
      <c r="H6790">
        <v>5</v>
      </c>
    </row>
    <row r="6791" spans="1:8">
      <c r="A6791" t="s">
        <v>12876</v>
      </c>
      <c r="B6791" t="s">
        <v>12048</v>
      </c>
      <c r="C6791" s="34" t="s">
        <v>12877</v>
      </c>
      <c r="F6791" t="s">
        <v>12878</v>
      </c>
      <c r="G6791" t="s">
        <v>6932</v>
      </c>
      <c r="H6791">
        <v>5</v>
      </c>
    </row>
    <row r="6792" spans="1:8">
      <c r="A6792" t="s">
        <v>12879</v>
      </c>
      <c r="B6792" t="s">
        <v>12048</v>
      </c>
      <c r="C6792" s="34" t="s">
        <v>12880</v>
      </c>
      <c r="F6792" t="s">
        <v>12880</v>
      </c>
      <c r="G6792" t="s">
        <v>6932</v>
      </c>
      <c r="H6792">
        <v>5</v>
      </c>
    </row>
    <row r="6793" spans="1:8">
      <c r="A6793" t="s">
        <v>12881</v>
      </c>
      <c r="B6793" t="s">
        <v>12048</v>
      </c>
      <c r="C6793" s="34" t="s">
        <v>12882</v>
      </c>
      <c r="F6793" t="s">
        <v>12882</v>
      </c>
      <c r="G6793" t="s">
        <v>6932</v>
      </c>
      <c r="H6793">
        <v>5</v>
      </c>
    </row>
    <row r="6794" spans="1:8">
      <c r="A6794" t="s">
        <v>12883</v>
      </c>
      <c r="B6794" t="s">
        <v>12048</v>
      </c>
      <c r="C6794" s="34" t="s">
        <v>12884</v>
      </c>
      <c r="F6794" t="s">
        <v>12885</v>
      </c>
      <c r="G6794" t="s">
        <v>6932</v>
      </c>
      <c r="H6794">
        <v>5</v>
      </c>
    </row>
    <row r="6795" spans="1:8">
      <c r="A6795" t="s">
        <v>12886</v>
      </c>
      <c r="B6795" t="s">
        <v>12048</v>
      </c>
      <c r="C6795" s="34" t="s">
        <v>12887</v>
      </c>
      <c r="F6795" t="s">
        <v>12888</v>
      </c>
      <c r="G6795" t="s">
        <v>6932</v>
      </c>
      <c r="H6795">
        <v>5</v>
      </c>
    </row>
    <row r="6796" spans="1:8">
      <c r="A6796" t="s">
        <v>12892</v>
      </c>
      <c r="B6796" t="s">
        <v>12048</v>
      </c>
      <c r="C6796" s="34" t="s">
        <v>12893</v>
      </c>
      <c r="F6796" t="s">
        <v>12893</v>
      </c>
      <c r="G6796" t="s">
        <v>6932</v>
      </c>
      <c r="H6796">
        <v>5</v>
      </c>
    </row>
    <row r="6797" spans="1:8">
      <c r="A6797" t="s">
        <v>12894</v>
      </c>
      <c r="B6797" t="s">
        <v>12048</v>
      </c>
      <c r="C6797" s="34" t="s">
        <v>12895</v>
      </c>
      <c r="F6797" t="s">
        <v>12895</v>
      </c>
      <c r="G6797" t="s">
        <v>6932</v>
      </c>
      <c r="H6797">
        <v>5</v>
      </c>
    </row>
    <row r="6798" spans="1:8">
      <c r="A6798" t="s">
        <v>12899</v>
      </c>
      <c r="B6798" t="s">
        <v>12048</v>
      </c>
      <c r="C6798" s="34" t="s">
        <v>12900</v>
      </c>
      <c r="F6798" t="s">
        <v>12901</v>
      </c>
      <c r="G6798" t="s">
        <v>6932</v>
      </c>
      <c r="H6798">
        <v>5</v>
      </c>
    </row>
    <row r="6799" spans="1:8">
      <c r="A6799" t="s">
        <v>12902</v>
      </c>
      <c r="B6799" t="s">
        <v>12048</v>
      </c>
      <c r="C6799" s="34" t="s">
        <v>12903</v>
      </c>
      <c r="F6799" t="s">
        <v>12904</v>
      </c>
      <c r="G6799" t="s">
        <v>6932</v>
      </c>
      <c r="H6799">
        <v>5</v>
      </c>
    </row>
    <row r="6800" spans="1:8">
      <c r="A6800" t="s">
        <v>12905</v>
      </c>
      <c r="B6800" t="s">
        <v>12048</v>
      </c>
      <c r="C6800" s="34" t="s">
        <v>175</v>
      </c>
      <c r="F6800" t="s">
        <v>12906</v>
      </c>
      <c r="G6800" t="s">
        <v>6932</v>
      </c>
      <c r="H6800">
        <v>5</v>
      </c>
    </row>
    <row r="6801" spans="1:8">
      <c r="A6801" t="s">
        <v>12907</v>
      </c>
      <c r="B6801" t="s">
        <v>12048</v>
      </c>
      <c r="C6801" s="34" t="s">
        <v>12908</v>
      </c>
      <c r="F6801" t="s">
        <v>12909</v>
      </c>
      <c r="G6801" t="s">
        <v>6932</v>
      </c>
      <c r="H6801">
        <v>5</v>
      </c>
    </row>
    <row r="6802" spans="1:8">
      <c r="A6802" t="s">
        <v>12913</v>
      </c>
      <c r="B6802" t="s">
        <v>12048</v>
      </c>
      <c r="C6802" s="34" t="s">
        <v>12914</v>
      </c>
      <c r="F6802" t="s">
        <v>12914</v>
      </c>
      <c r="G6802" t="s">
        <v>6932</v>
      </c>
      <c r="H6802">
        <v>5</v>
      </c>
    </row>
    <row r="6803" spans="1:8">
      <c r="A6803" t="s">
        <v>12915</v>
      </c>
      <c r="B6803" t="s">
        <v>12048</v>
      </c>
      <c r="C6803" s="34" t="s">
        <v>12916</v>
      </c>
      <c r="F6803" t="s">
        <v>12917</v>
      </c>
      <c r="G6803" t="s">
        <v>6932</v>
      </c>
      <c r="H6803">
        <v>5</v>
      </c>
    </row>
    <row r="6804" spans="1:8">
      <c r="A6804" t="s">
        <v>12918</v>
      </c>
      <c r="B6804" t="s">
        <v>12048</v>
      </c>
      <c r="C6804" s="34" t="s">
        <v>11000</v>
      </c>
      <c r="F6804" t="s">
        <v>12919</v>
      </c>
      <c r="G6804" t="s">
        <v>6932</v>
      </c>
      <c r="H6804">
        <v>5</v>
      </c>
    </row>
    <row r="6805" spans="1:8">
      <c r="A6805" t="s">
        <v>12920</v>
      </c>
      <c r="B6805" t="s">
        <v>12048</v>
      </c>
      <c r="C6805" s="34" t="s">
        <v>12921</v>
      </c>
      <c r="F6805" t="s">
        <v>12922</v>
      </c>
      <c r="G6805" t="s">
        <v>6932</v>
      </c>
      <c r="H6805">
        <v>5</v>
      </c>
    </row>
    <row r="6806" spans="1:8">
      <c r="A6806" t="s">
        <v>11949</v>
      </c>
      <c r="B6806" t="s">
        <v>10956</v>
      </c>
      <c r="C6806" s="34" t="s">
        <v>11335</v>
      </c>
      <c r="F6806" t="s">
        <v>11335</v>
      </c>
      <c r="G6806" t="s">
        <v>6932</v>
      </c>
      <c r="H6806">
        <v>5</v>
      </c>
    </row>
    <row r="6807" spans="1:8">
      <c r="A6807" t="s">
        <v>11950</v>
      </c>
      <c r="B6807" t="s">
        <v>10956</v>
      </c>
      <c r="C6807" s="34" t="s">
        <v>11336</v>
      </c>
      <c r="F6807" t="s">
        <v>11336</v>
      </c>
      <c r="G6807" t="s">
        <v>6932</v>
      </c>
      <c r="H6807">
        <v>5</v>
      </c>
    </row>
    <row r="6808" spans="1:8">
      <c r="A6808" t="s">
        <v>11951</v>
      </c>
      <c r="B6808" t="s">
        <v>10956</v>
      </c>
      <c r="C6808" s="34" t="s">
        <v>11337</v>
      </c>
      <c r="F6808" t="s">
        <v>11337</v>
      </c>
      <c r="G6808" t="s">
        <v>6932</v>
      </c>
      <c r="H6808">
        <v>5</v>
      </c>
    </row>
    <row r="6809" spans="1:8">
      <c r="A6809" t="s">
        <v>11952</v>
      </c>
      <c r="B6809" t="s">
        <v>10956</v>
      </c>
      <c r="C6809" s="34" t="s">
        <v>11338</v>
      </c>
      <c r="F6809" t="s">
        <v>11338</v>
      </c>
      <c r="G6809" t="s">
        <v>6932</v>
      </c>
      <c r="H6809">
        <v>5</v>
      </c>
    </row>
    <row r="6810" spans="1:8">
      <c r="A6810" t="s">
        <v>11953</v>
      </c>
      <c r="B6810" t="s">
        <v>10956</v>
      </c>
      <c r="C6810" s="34" t="s">
        <v>11339</v>
      </c>
      <c r="F6810" t="s">
        <v>11339</v>
      </c>
      <c r="G6810" t="s">
        <v>6932</v>
      </c>
      <c r="H6810">
        <v>5</v>
      </c>
    </row>
    <row r="6811" spans="1:8">
      <c r="A6811" t="s">
        <v>11954</v>
      </c>
      <c r="B6811" t="s">
        <v>10956</v>
      </c>
      <c r="C6811" s="34" t="s">
        <v>11340</v>
      </c>
      <c r="F6811" t="s">
        <v>11340</v>
      </c>
      <c r="G6811" t="s">
        <v>6932</v>
      </c>
      <c r="H6811">
        <v>5</v>
      </c>
    </row>
    <row r="6812" spans="1:8">
      <c r="A6812" t="s">
        <v>11955</v>
      </c>
      <c r="B6812" t="s">
        <v>10956</v>
      </c>
      <c r="C6812" s="34" t="s">
        <v>11341</v>
      </c>
      <c r="F6812" t="s">
        <v>11341</v>
      </c>
      <c r="G6812" t="s">
        <v>6932</v>
      </c>
      <c r="H6812">
        <v>5</v>
      </c>
    </row>
    <row r="6813" spans="1:8">
      <c r="A6813" t="s">
        <v>11956</v>
      </c>
      <c r="B6813" t="s">
        <v>10956</v>
      </c>
      <c r="C6813" s="34" t="s">
        <v>11342</v>
      </c>
      <c r="F6813" t="s">
        <v>11342</v>
      </c>
      <c r="G6813" t="s">
        <v>6932</v>
      </c>
      <c r="H6813">
        <v>5</v>
      </c>
    </row>
    <row r="6814" spans="1:8">
      <c r="A6814" t="s">
        <v>11957</v>
      </c>
      <c r="B6814" t="s">
        <v>10956</v>
      </c>
      <c r="C6814" s="34" t="s">
        <v>11343</v>
      </c>
      <c r="F6814" t="s">
        <v>11343</v>
      </c>
      <c r="G6814" t="s">
        <v>6932</v>
      </c>
      <c r="H6814">
        <v>5</v>
      </c>
    </row>
    <row r="6815" spans="1:8">
      <c r="A6815" t="s">
        <v>11958</v>
      </c>
      <c r="B6815" t="s">
        <v>10956</v>
      </c>
      <c r="C6815" s="34" t="s">
        <v>11344</v>
      </c>
      <c r="F6815" t="s">
        <v>11344</v>
      </c>
      <c r="G6815" t="s">
        <v>6932</v>
      </c>
      <c r="H6815">
        <v>5</v>
      </c>
    </row>
    <row r="6816" spans="1:8">
      <c r="A6816" t="s">
        <v>11959</v>
      </c>
      <c r="B6816" t="s">
        <v>10956</v>
      </c>
      <c r="C6816" s="34" t="s">
        <v>11345</v>
      </c>
      <c r="F6816" t="s">
        <v>11345</v>
      </c>
      <c r="G6816" t="s">
        <v>6932</v>
      </c>
      <c r="H6816">
        <v>5</v>
      </c>
    </row>
    <row r="6817" spans="1:13">
      <c r="A6817" t="s">
        <v>11960</v>
      </c>
      <c r="B6817" t="s">
        <v>10956</v>
      </c>
      <c r="C6817" s="34" t="s">
        <v>11346</v>
      </c>
      <c r="F6817" t="s">
        <v>11346</v>
      </c>
      <c r="G6817" t="s">
        <v>6932</v>
      </c>
      <c r="H6817">
        <v>5</v>
      </c>
    </row>
    <row r="6818" spans="1:13">
      <c r="A6818" t="s">
        <v>11961</v>
      </c>
      <c r="B6818" t="s">
        <v>10956</v>
      </c>
      <c r="C6818" s="34" t="s">
        <v>11347</v>
      </c>
      <c r="F6818" t="s">
        <v>11347</v>
      </c>
      <c r="G6818" t="s">
        <v>6932</v>
      </c>
      <c r="H6818">
        <v>5</v>
      </c>
    </row>
    <row r="6819" spans="1:13">
      <c r="A6819" t="s">
        <v>11962</v>
      </c>
      <c r="B6819" t="s">
        <v>10956</v>
      </c>
      <c r="C6819" s="34" t="s">
        <v>11348</v>
      </c>
      <c r="F6819" t="s">
        <v>11348</v>
      </c>
      <c r="G6819" t="s">
        <v>6932</v>
      </c>
      <c r="H6819">
        <v>5</v>
      </c>
    </row>
    <row r="6820" spans="1:13">
      <c r="A6820" t="s">
        <v>11963</v>
      </c>
      <c r="B6820" t="s">
        <v>10956</v>
      </c>
      <c r="C6820" s="34" t="s">
        <v>11349</v>
      </c>
      <c r="F6820" t="s">
        <v>11349</v>
      </c>
      <c r="G6820" t="s">
        <v>6932</v>
      </c>
      <c r="H6820">
        <v>5</v>
      </c>
    </row>
    <row r="6821" spans="1:13">
      <c r="A6821" t="s">
        <v>11964</v>
      </c>
      <c r="B6821" t="s">
        <v>10956</v>
      </c>
      <c r="C6821" s="34" t="s">
        <v>11350</v>
      </c>
      <c r="F6821" t="s">
        <v>11350</v>
      </c>
      <c r="G6821" t="s">
        <v>6932</v>
      </c>
      <c r="H6821">
        <v>5</v>
      </c>
    </row>
    <row r="6822" spans="1:13">
      <c r="A6822" t="s">
        <v>11965</v>
      </c>
      <c r="B6822" t="s">
        <v>10956</v>
      </c>
      <c r="C6822" s="34" t="s">
        <v>11351</v>
      </c>
      <c r="F6822" t="s">
        <v>11351</v>
      </c>
      <c r="G6822" t="s">
        <v>6932</v>
      </c>
      <c r="H6822">
        <v>5</v>
      </c>
    </row>
    <row r="6823" spans="1:13">
      <c r="A6823" t="s">
        <v>11966</v>
      </c>
      <c r="B6823" t="s">
        <v>10956</v>
      </c>
      <c r="C6823" s="34" t="s">
        <v>11352</v>
      </c>
      <c r="F6823" t="s">
        <v>11352</v>
      </c>
      <c r="G6823" t="s">
        <v>6932</v>
      </c>
      <c r="H6823">
        <v>5</v>
      </c>
    </row>
    <row r="6824" spans="1:13">
      <c r="A6824" t="s">
        <v>11967</v>
      </c>
      <c r="B6824" t="s">
        <v>10956</v>
      </c>
      <c r="C6824" s="34" t="s">
        <v>11353</v>
      </c>
      <c r="F6824" t="s">
        <v>11353</v>
      </c>
      <c r="G6824" t="s">
        <v>6932</v>
      </c>
      <c r="H6824">
        <v>5</v>
      </c>
    </row>
    <row r="6825" spans="1:13">
      <c r="A6825" t="s">
        <v>11968</v>
      </c>
      <c r="B6825" t="s">
        <v>10956</v>
      </c>
      <c r="C6825" s="34" t="s">
        <v>11354</v>
      </c>
      <c r="F6825" t="s">
        <v>11354</v>
      </c>
      <c r="G6825" t="s">
        <v>6932</v>
      </c>
      <c r="H6825">
        <v>5</v>
      </c>
    </row>
    <row r="6826" spans="1:13">
      <c r="A6826" t="s">
        <v>11969</v>
      </c>
      <c r="B6826" t="s">
        <v>10956</v>
      </c>
      <c r="C6826" s="34" t="s">
        <v>11355</v>
      </c>
      <c r="F6826" t="s">
        <v>11355</v>
      </c>
      <c r="G6826" t="s">
        <v>6932</v>
      </c>
      <c r="H6826">
        <v>5</v>
      </c>
    </row>
    <row r="6827" spans="1:13">
      <c r="A6827" t="s">
        <v>11970</v>
      </c>
      <c r="B6827" t="s">
        <v>10956</v>
      </c>
      <c r="C6827" s="34" t="s">
        <v>11356</v>
      </c>
      <c r="F6827" t="s">
        <v>11356</v>
      </c>
      <c r="G6827" t="s">
        <v>6932</v>
      </c>
      <c r="H6827">
        <v>5</v>
      </c>
    </row>
    <row r="6828" spans="1:13">
      <c r="A6828" t="s">
        <v>11971</v>
      </c>
      <c r="B6828" t="s">
        <v>10956</v>
      </c>
      <c r="C6828" s="34" t="s">
        <v>11357</v>
      </c>
      <c r="F6828" t="s">
        <v>11357</v>
      </c>
      <c r="G6828" t="s">
        <v>6932</v>
      </c>
      <c r="H6828">
        <v>5</v>
      </c>
    </row>
    <row r="6829" spans="1:13">
      <c r="A6829" t="s">
        <v>11972</v>
      </c>
      <c r="B6829" t="s">
        <v>10956</v>
      </c>
      <c r="C6829" s="34" t="s">
        <v>11358</v>
      </c>
      <c r="F6829" t="s">
        <v>11358</v>
      </c>
      <c r="G6829" t="s">
        <v>6932</v>
      </c>
      <c r="H6829">
        <v>5</v>
      </c>
    </row>
    <row r="6830" spans="1:13">
      <c r="A6830" t="s">
        <v>11973</v>
      </c>
      <c r="B6830" t="s">
        <v>10956</v>
      </c>
      <c r="C6830" s="34" t="s">
        <v>11359</v>
      </c>
      <c r="F6830" t="s">
        <v>11359</v>
      </c>
      <c r="G6830" t="s">
        <v>6932</v>
      </c>
      <c r="H6830">
        <v>5</v>
      </c>
    </row>
    <row r="6831" spans="1:13">
      <c r="A6831" t="s">
        <v>7735</v>
      </c>
      <c r="B6831" t="s">
        <v>1079</v>
      </c>
      <c r="C6831" s="34" t="s">
        <v>1438</v>
      </c>
      <c r="F6831" t="s">
        <v>1438</v>
      </c>
      <c r="G6831" t="s">
        <v>6932</v>
      </c>
      <c r="H6831">
        <v>5</v>
      </c>
      <c r="I6831">
        <f>VLOOKUP(B6831,BRAND!B:D,3,FALSE)</f>
        <v>3</v>
      </c>
      <c r="J6831">
        <v>4</v>
      </c>
      <c r="M6831">
        <v>1</v>
      </c>
    </row>
    <row r="6832" spans="1:13">
      <c r="A6832" t="s">
        <v>2368</v>
      </c>
      <c r="B6832" t="s">
        <v>1079</v>
      </c>
      <c r="C6832" s="34" t="s">
        <v>1438</v>
      </c>
      <c r="F6832" t="s">
        <v>1438</v>
      </c>
      <c r="H6832">
        <v>15</v>
      </c>
      <c r="I6832">
        <f>VLOOKUP(B6832,BRAND!B:D,3,FALSE)</f>
        <v>3</v>
      </c>
      <c r="J6832">
        <v>4</v>
      </c>
      <c r="K6832" t="s">
        <v>821</v>
      </c>
      <c r="L6832">
        <v>0</v>
      </c>
      <c r="M6832">
        <v>0</v>
      </c>
    </row>
    <row r="6833" spans="1:13">
      <c r="A6833" t="s">
        <v>9172</v>
      </c>
      <c r="B6833" t="s">
        <v>9173</v>
      </c>
      <c r="C6833" s="34" t="s">
        <v>1438</v>
      </c>
      <c r="F6833" t="s">
        <v>1438</v>
      </c>
      <c r="G6833" t="s">
        <v>6932</v>
      </c>
      <c r="H6833">
        <v>5</v>
      </c>
      <c r="I6833">
        <f>VLOOKUP(B6833,BRAND!B:D,3,FALSE)</f>
        <v>5.5</v>
      </c>
      <c r="J6833">
        <v>4</v>
      </c>
      <c r="M6833">
        <v>1</v>
      </c>
    </row>
    <row r="6834" spans="1:13">
      <c r="A6834" t="s">
        <v>9826</v>
      </c>
      <c r="B6834" t="s">
        <v>6601</v>
      </c>
      <c r="C6834" s="34" t="s">
        <v>6602</v>
      </c>
      <c r="F6834" t="s">
        <v>777</v>
      </c>
      <c r="H6834">
        <v>5</v>
      </c>
      <c r="I6834">
        <f>VLOOKUP(B6834,BRAND!B:D,3,FALSE)</f>
        <v>5</v>
      </c>
      <c r="J6834">
        <v>7</v>
      </c>
      <c r="M6834">
        <v>1</v>
      </c>
    </row>
    <row r="6835" spans="1:13">
      <c r="A6835" s="29" t="s">
        <v>9174</v>
      </c>
      <c r="B6835" s="29" t="s">
        <v>9175</v>
      </c>
      <c r="C6835" s="36" t="s">
        <v>1438</v>
      </c>
      <c r="D6835" s="29"/>
      <c r="E6835" s="29"/>
      <c r="F6835" s="29" t="s">
        <v>1438</v>
      </c>
      <c r="G6835" s="29" t="s">
        <v>6932</v>
      </c>
      <c r="H6835" s="29">
        <v>5</v>
      </c>
      <c r="I6835">
        <f>VLOOKUP(B6835,BRAND!B:D,3,FALSE)</f>
        <v>5.5</v>
      </c>
      <c r="J6835">
        <v>4</v>
      </c>
      <c r="M6835">
        <v>1</v>
      </c>
    </row>
    <row r="6836" spans="1:13">
      <c r="A6836" t="s">
        <v>4616</v>
      </c>
      <c r="B6836" t="s">
        <v>1879</v>
      </c>
      <c r="C6836" s="34" t="s">
        <v>534</v>
      </c>
      <c r="F6836" t="s">
        <v>534</v>
      </c>
      <c r="H6836">
        <v>5</v>
      </c>
      <c r="I6836">
        <f>VLOOKUP(B6836,BRAND!B:D,3,FALSE)</f>
        <v>5</v>
      </c>
      <c r="J6836">
        <v>6</v>
      </c>
      <c r="K6836" t="s">
        <v>821</v>
      </c>
      <c r="L6836">
        <v>0</v>
      </c>
      <c r="M6836">
        <v>0</v>
      </c>
    </row>
    <row r="6837" spans="1:13">
      <c r="A6837" t="s">
        <v>4267</v>
      </c>
      <c r="B6837" t="s">
        <v>1879</v>
      </c>
      <c r="C6837" s="34" t="s">
        <v>1438</v>
      </c>
      <c r="F6837" t="s">
        <v>1438</v>
      </c>
      <c r="H6837">
        <v>15</v>
      </c>
      <c r="I6837">
        <f>VLOOKUP(B6837,BRAND!B:D,3,FALSE)</f>
        <v>5</v>
      </c>
      <c r="J6837">
        <v>4</v>
      </c>
      <c r="K6837" t="s">
        <v>821</v>
      </c>
      <c r="L6837">
        <v>0</v>
      </c>
      <c r="M6837">
        <v>0</v>
      </c>
    </row>
    <row r="6838" spans="1:13">
      <c r="A6838" t="s">
        <v>6919</v>
      </c>
      <c r="B6838" t="s">
        <v>1463</v>
      </c>
      <c r="C6838" s="34" t="s">
        <v>1438</v>
      </c>
      <c r="F6838" t="s">
        <v>1438</v>
      </c>
      <c r="H6838">
        <v>5</v>
      </c>
      <c r="I6838">
        <f>VLOOKUP(B6838,BRAND!B:D,3,FALSE)</f>
        <v>11</v>
      </c>
      <c r="J6838">
        <v>4</v>
      </c>
      <c r="M6838">
        <v>1</v>
      </c>
    </row>
    <row r="6839" spans="1:13">
      <c r="A6839" t="s">
        <v>3316</v>
      </c>
      <c r="B6839" t="s">
        <v>282</v>
      </c>
      <c r="C6839" s="34" t="s">
        <v>777</v>
      </c>
      <c r="F6839" t="s">
        <v>777</v>
      </c>
      <c r="H6839">
        <v>5</v>
      </c>
      <c r="I6839">
        <f>VLOOKUP(B6839,BRAND!B:D,3,FALSE)</f>
        <v>3</v>
      </c>
      <c r="J6839">
        <v>7</v>
      </c>
      <c r="K6839" t="s">
        <v>821</v>
      </c>
      <c r="L6839">
        <v>0</v>
      </c>
      <c r="M6839">
        <v>0</v>
      </c>
    </row>
    <row r="6840" spans="1:13">
      <c r="A6840" t="s">
        <v>2941</v>
      </c>
      <c r="B6840" t="s">
        <v>282</v>
      </c>
      <c r="C6840" s="34" t="s">
        <v>1999</v>
      </c>
      <c r="F6840" t="s">
        <v>1999</v>
      </c>
      <c r="H6840">
        <v>5</v>
      </c>
      <c r="I6840">
        <f>VLOOKUP(B6840,BRAND!B:D,3,FALSE)</f>
        <v>3</v>
      </c>
      <c r="J6840">
        <v>7</v>
      </c>
      <c r="K6840" t="s">
        <v>821</v>
      </c>
      <c r="L6840">
        <v>0</v>
      </c>
      <c r="M6840">
        <v>0</v>
      </c>
    </row>
    <row r="6841" spans="1:13">
      <c r="A6841" t="s">
        <v>3449</v>
      </c>
      <c r="B6841" t="s">
        <v>282</v>
      </c>
      <c r="C6841" s="34" t="s">
        <v>536</v>
      </c>
      <c r="F6841" t="s">
        <v>536</v>
      </c>
      <c r="H6841">
        <v>5</v>
      </c>
      <c r="I6841">
        <f>VLOOKUP(B6841,BRAND!B:D,3,FALSE)</f>
        <v>3</v>
      </c>
      <c r="J6841">
        <v>5</v>
      </c>
      <c r="K6841" t="s">
        <v>821</v>
      </c>
      <c r="M6841">
        <v>1</v>
      </c>
    </row>
    <row r="6842" spans="1:13">
      <c r="A6842" t="s">
        <v>3697</v>
      </c>
      <c r="B6842" t="s">
        <v>282</v>
      </c>
      <c r="C6842" s="34" t="s">
        <v>988</v>
      </c>
      <c r="F6842" t="s">
        <v>988</v>
      </c>
      <c r="H6842">
        <v>5</v>
      </c>
      <c r="I6842">
        <f>VLOOKUP(B6842,BRAND!B:D,3,FALSE)</f>
        <v>3</v>
      </c>
      <c r="J6842">
        <v>4</v>
      </c>
      <c r="K6842" t="s">
        <v>821</v>
      </c>
      <c r="L6842">
        <v>0</v>
      </c>
      <c r="M6842">
        <v>0</v>
      </c>
    </row>
    <row r="6843" spans="1:13">
      <c r="A6843" t="s">
        <v>9176</v>
      </c>
      <c r="B6843" t="s">
        <v>282</v>
      </c>
      <c r="C6843" s="34" t="s">
        <v>1438</v>
      </c>
      <c r="F6843" t="s">
        <v>1438</v>
      </c>
      <c r="G6843" t="s">
        <v>6932</v>
      </c>
      <c r="H6843">
        <v>5</v>
      </c>
      <c r="I6843">
        <f>VLOOKUP(B6843,BRAND!B:D,3,FALSE)</f>
        <v>3</v>
      </c>
      <c r="J6843">
        <v>4</v>
      </c>
      <c r="L6843">
        <v>0</v>
      </c>
      <c r="M6843">
        <v>0</v>
      </c>
    </row>
    <row r="6844" spans="1:13">
      <c r="A6844" t="s">
        <v>3288</v>
      </c>
      <c r="B6844" t="s">
        <v>282</v>
      </c>
      <c r="C6844" s="34" t="s">
        <v>561</v>
      </c>
      <c r="F6844" t="s">
        <v>561</v>
      </c>
      <c r="H6844">
        <v>5</v>
      </c>
      <c r="I6844">
        <f>VLOOKUP(B6844,BRAND!B:D,3,FALSE)</f>
        <v>3</v>
      </c>
      <c r="J6844">
        <v>3</v>
      </c>
      <c r="K6844" t="s">
        <v>821</v>
      </c>
      <c r="L6844">
        <v>0</v>
      </c>
      <c r="M6844">
        <v>0</v>
      </c>
    </row>
    <row r="6845" spans="1:13">
      <c r="A6845" t="s">
        <v>2845</v>
      </c>
      <c r="B6845" t="s">
        <v>282</v>
      </c>
      <c r="C6845" s="34" t="s">
        <v>1438</v>
      </c>
      <c r="F6845" t="s">
        <v>1438</v>
      </c>
      <c r="H6845">
        <v>15</v>
      </c>
      <c r="I6845">
        <f>VLOOKUP(B6845,BRAND!B:D,3,FALSE)</f>
        <v>3</v>
      </c>
      <c r="J6845">
        <v>4</v>
      </c>
      <c r="K6845" t="s">
        <v>821</v>
      </c>
      <c r="L6845">
        <v>0</v>
      </c>
      <c r="M6845">
        <v>0</v>
      </c>
    </row>
    <row r="6846" spans="1:13">
      <c r="A6846" t="s">
        <v>9177</v>
      </c>
      <c r="B6846" t="s">
        <v>439</v>
      </c>
      <c r="C6846" s="34" t="s">
        <v>1438</v>
      </c>
      <c r="F6846" t="s">
        <v>1438</v>
      </c>
      <c r="G6846" t="s">
        <v>6932</v>
      </c>
      <c r="H6846">
        <v>5</v>
      </c>
      <c r="I6846">
        <f>VLOOKUP(B6846,BRAND!B:D,3,FALSE)</f>
        <v>3</v>
      </c>
      <c r="J6846">
        <v>4</v>
      </c>
      <c r="M6846">
        <v>1</v>
      </c>
    </row>
    <row r="6847" spans="1:13">
      <c r="A6847" t="s">
        <v>2781</v>
      </c>
      <c r="B6847" t="s">
        <v>439</v>
      </c>
      <c r="C6847" s="34" t="s">
        <v>1438</v>
      </c>
      <c r="F6847" t="s">
        <v>1438</v>
      </c>
      <c r="H6847">
        <v>15</v>
      </c>
      <c r="I6847">
        <f>VLOOKUP(B6847,BRAND!B:D,3,FALSE)</f>
        <v>3</v>
      </c>
      <c r="J6847">
        <v>4</v>
      </c>
      <c r="K6847" t="s">
        <v>821</v>
      </c>
      <c r="L6847">
        <v>0</v>
      </c>
      <c r="M6847">
        <v>0</v>
      </c>
    </row>
    <row r="6848" spans="1:13">
      <c r="A6848" t="s">
        <v>2755</v>
      </c>
      <c r="B6848" t="s">
        <v>1193</v>
      </c>
      <c r="C6848" s="34" t="s">
        <v>1438</v>
      </c>
      <c r="F6848" t="s">
        <v>1438</v>
      </c>
      <c r="H6848">
        <v>15</v>
      </c>
      <c r="I6848">
        <f>VLOOKUP(B6848,BRAND!B:D,3,FALSE)</f>
        <v>3</v>
      </c>
      <c r="J6848">
        <v>4</v>
      </c>
      <c r="K6848" t="s">
        <v>821</v>
      </c>
      <c r="L6848">
        <v>0</v>
      </c>
      <c r="M6848">
        <v>0</v>
      </c>
    </row>
    <row r="6849" spans="1:13">
      <c r="A6849" t="s">
        <v>3301</v>
      </c>
      <c r="B6849" t="s">
        <v>1337</v>
      </c>
      <c r="C6849" s="34" t="s">
        <v>1438</v>
      </c>
      <c r="F6849" t="s">
        <v>1438</v>
      </c>
      <c r="H6849">
        <v>15</v>
      </c>
      <c r="I6849">
        <f>VLOOKUP(B6849,BRAND!B:D,3,FALSE)</f>
        <v>3</v>
      </c>
      <c r="J6849">
        <v>4</v>
      </c>
      <c r="K6849" t="s">
        <v>821</v>
      </c>
      <c r="L6849">
        <v>0</v>
      </c>
      <c r="M6849">
        <v>0</v>
      </c>
    </row>
    <row r="6850" spans="1:13">
      <c r="A6850" t="s">
        <v>2914</v>
      </c>
      <c r="B6850" t="s">
        <v>283</v>
      </c>
      <c r="C6850" s="34" t="s">
        <v>777</v>
      </c>
      <c r="F6850" t="s">
        <v>777</v>
      </c>
      <c r="H6850">
        <v>5</v>
      </c>
      <c r="I6850">
        <f>VLOOKUP(B6850,BRAND!B:D,3,FALSE)</f>
        <v>3</v>
      </c>
      <c r="J6850">
        <v>7</v>
      </c>
      <c r="K6850" t="s">
        <v>821</v>
      </c>
      <c r="M6850">
        <v>1</v>
      </c>
    </row>
    <row r="6851" spans="1:13">
      <c r="A6851" t="s">
        <v>2983</v>
      </c>
      <c r="B6851" t="s">
        <v>283</v>
      </c>
      <c r="C6851" s="34" t="s">
        <v>536</v>
      </c>
      <c r="F6851" t="s">
        <v>536</v>
      </c>
      <c r="H6851">
        <v>5</v>
      </c>
      <c r="I6851">
        <f>VLOOKUP(B6851,BRAND!B:D,3,FALSE)</f>
        <v>3</v>
      </c>
      <c r="J6851">
        <v>5</v>
      </c>
      <c r="K6851" t="s">
        <v>821</v>
      </c>
      <c r="L6851">
        <v>0</v>
      </c>
      <c r="M6851">
        <v>0</v>
      </c>
    </row>
    <row r="6852" spans="1:13">
      <c r="A6852" t="s">
        <v>3266</v>
      </c>
      <c r="B6852" t="s">
        <v>283</v>
      </c>
      <c r="C6852" s="34" t="s">
        <v>778</v>
      </c>
      <c r="F6852" t="s">
        <v>778</v>
      </c>
      <c r="H6852">
        <v>5</v>
      </c>
      <c r="I6852">
        <f>VLOOKUP(B6852,BRAND!B:D,3,FALSE)</f>
        <v>3</v>
      </c>
      <c r="J6852">
        <v>4</v>
      </c>
      <c r="K6852" t="s">
        <v>821</v>
      </c>
      <c r="L6852">
        <v>0</v>
      </c>
      <c r="M6852">
        <v>0</v>
      </c>
    </row>
    <row r="6853" spans="1:13">
      <c r="A6853" t="s">
        <v>4824</v>
      </c>
      <c r="B6853" t="s">
        <v>283</v>
      </c>
      <c r="C6853" s="34" t="s">
        <v>786</v>
      </c>
      <c r="F6853" t="s">
        <v>786</v>
      </c>
      <c r="H6853">
        <v>5</v>
      </c>
      <c r="I6853">
        <f>VLOOKUP(B6853,BRAND!B:D,3,FALSE)</f>
        <v>3</v>
      </c>
      <c r="J6853">
        <v>3</v>
      </c>
      <c r="K6853" t="s">
        <v>821</v>
      </c>
      <c r="L6853">
        <v>0</v>
      </c>
      <c r="M6853">
        <v>0</v>
      </c>
    </row>
    <row r="6854" spans="1:13">
      <c r="A6854" t="s">
        <v>3267</v>
      </c>
      <c r="B6854" t="s">
        <v>283</v>
      </c>
      <c r="C6854" s="34" t="s">
        <v>561</v>
      </c>
      <c r="F6854" t="s">
        <v>561</v>
      </c>
      <c r="H6854">
        <v>5</v>
      </c>
      <c r="I6854">
        <f>VLOOKUP(B6854,BRAND!B:D,3,FALSE)</f>
        <v>3</v>
      </c>
      <c r="J6854">
        <v>3</v>
      </c>
      <c r="K6854" t="s">
        <v>821</v>
      </c>
      <c r="L6854">
        <v>0</v>
      </c>
      <c r="M6854">
        <v>0</v>
      </c>
    </row>
    <row r="6855" spans="1:13">
      <c r="A6855" t="s">
        <v>7155</v>
      </c>
      <c r="B6855" t="s">
        <v>283</v>
      </c>
      <c r="C6855" s="34" t="s">
        <v>776</v>
      </c>
      <c r="F6855" t="s">
        <v>776</v>
      </c>
      <c r="H6855">
        <v>5</v>
      </c>
      <c r="I6855">
        <f>VLOOKUP(B6855,BRAND!B:D,3,FALSE)</f>
        <v>3</v>
      </c>
      <c r="M6855">
        <v>1</v>
      </c>
    </row>
    <row r="6856" spans="1:13">
      <c r="A6856" t="s">
        <v>2646</v>
      </c>
      <c r="B6856" t="s">
        <v>283</v>
      </c>
      <c r="C6856" s="34" t="s">
        <v>1438</v>
      </c>
      <c r="F6856" t="s">
        <v>1438</v>
      </c>
      <c r="H6856">
        <v>15</v>
      </c>
      <c r="I6856">
        <f>VLOOKUP(B6856,BRAND!B:D,3,FALSE)</f>
        <v>3</v>
      </c>
      <c r="J6856">
        <v>4</v>
      </c>
      <c r="K6856" t="s">
        <v>821</v>
      </c>
      <c r="L6856">
        <v>0</v>
      </c>
      <c r="M6856">
        <v>0</v>
      </c>
    </row>
    <row r="6857" spans="1:13">
      <c r="A6857" t="s">
        <v>3453</v>
      </c>
      <c r="B6857" t="s">
        <v>284</v>
      </c>
      <c r="C6857" s="34" t="s">
        <v>5251</v>
      </c>
      <c r="F6857" t="s">
        <v>772</v>
      </c>
      <c r="H6857">
        <v>5</v>
      </c>
      <c r="I6857">
        <f>VLOOKUP(B6857,BRAND!B:D,3,FALSE)</f>
        <v>3</v>
      </c>
      <c r="J6857">
        <v>6</v>
      </c>
      <c r="K6857" t="s">
        <v>821</v>
      </c>
      <c r="M6857">
        <v>1</v>
      </c>
    </row>
    <row r="6858" spans="1:13">
      <c r="A6858" t="s">
        <v>3692</v>
      </c>
      <c r="B6858" t="s">
        <v>284</v>
      </c>
      <c r="C6858" s="34" t="s">
        <v>534</v>
      </c>
      <c r="F6858" t="s">
        <v>534</v>
      </c>
      <c r="H6858">
        <v>5</v>
      </c>
      <c r="I6858">
        <f>VLOOKUP(B6858,BRAND!B:D,3,FALSE)</f>
        <v>3</v>
      </c>
      <c r="J6858">
        <v>6</v>
      </c>
      <c r="K6858" t="s">
        <v>821</v>
      </c>
      <c r="M6858">
        <v>1</v>
      </c>
    </row>
    <row r="6859" spans="1:13">
      <c r="A6859" t="s">
        <v>3496</v>
      </c>
      <c r="B6859" t="s">
        <v>284</v>
      </c>
      <c r="C6859" s="34" t="s">
        <v>5232</v>
      </c>
      <c r="F6859" t="s">
        <v>536</v>
      </c>
      <c r="H6859">
        <v>5</v>
      </c>
      <c r="I6859">
        <f>VLOOKUP(B6859,BRAND!B:D,3,FALSE)</f>
        <v>3</v>
      </c>
      <c r="J6859">
        <v>5</v>
      </c>
      <c r="K6859" t="s">
        <v>821</v>
      </c>
      <c r="M6859">
        <v>1</v>
      </c>
    </row>
    <row r="6860" spans="1:13">
      <c r="A6860" t="s">
        <v>4438</v>
      </c>
      <c r="B6860" t="s">
        <v>1338</v>
      </c>
      <c r="C6860" s="34" t="s">
        <v>536</v>
      </c>
      <c r="F6860" t="s">
        <v>536</v>
      </c>
      <c r="H6860">
        <v>5</v>
      </c>
      <c r="I6860">
        <f>VLOOKUP(B6860,BRAND!B:D,3,FALSE)</f>
        <v>3</v>
      </c>
      <c r="J6860">
        <v>5</v>
      </c>
      <c r="K6860" t="s">
        <v>821</v>
      </c>
      <c r="L6860">
        <v>0</v>
      </c>
      <c r="M6860">
        <v>0</v>
      </c>
    </row>
    <row r="6861" spans="1:13">
      <c r="A6861" t="s">
        <v>2958</v>
      </c>
      <c r="B6861" t="s">
        <v>1338</v>
      </c>
      <c r="C6861" s="34" t="s">
        <v>872</v>
      </c>
      <c r="F6861" t="s">
        <v>872</v>
      </c>
      <c r="H6861">
        <v>5</v>
      </c>
      <c r="I6861">
        <f>VLOOKUP(B6861,BRAND!B:D,3,FALSE)</f>
        <v>3</v>
      </c>
      <c r="J6861">
        <v>5</v>
      </c>
      <c r="K6861" t="s">
        <v>821</v>
      </c>
      <c r="L6861">
        <v>0</v>
      </c>
      <c r="M6861">
        <v>0</v>
      </c>
    </row>
    <row r="6862" spans="1:13">
      <c r="A6862" t="s">
        <v>3053</v>
      </c>
      <c r="B6862" t="s">
        <v>1338</v>
      </c>
      <c r="C6862" s="34" t="s">
        <v>776</v>
      </c>
      <c r="F6862" t="s">
        <v>776</v>
      </c>
      <c r="H6862">
        <v>5</v>
      </c>
      <c r="I6862">
        <f>VLOOKUP(B6862,BRAND!B:D,3,FALSE)</f>
        <v>3</v>
      </c>
      <c r="J6862">
        <v>5</v>
      </c>
      <c r="K6862" t="s">
        <v>821</v>
      </c>
      <c r="L6862">
        <v>0</v>
      </c>
      <c r="M6862">
        <v>0</v>
      </c>
    </row>
    <row r="6863" spans="1:13">
      <c r="A6863" t="s">
        <v>4710</v>
      </c>
      <c r="B6863" t="s">
        <v>1338</v>
      </c>
      <c r="C6863" s="34" t="s">
        <v>781</v>
      </c>
      <c r="F6863" t="s">
        <v>781</v>
      </c>
      <c r="H6863">
        <v>5</v>
      </c>
      <c r="I6863">
        <f>VLOOKUP(B6863,BRAND!B:D,3,FALSE)</f>
        <v>3</v>
      </c>
      <c r="J6863">
        <v>4</v>
      </c>
      <c r="K6863" t="s">
        <v>821</v>
      </c>
      <c r="L6863">
        <v>0</v>
      </c>
      <c r="M6863">
        <v>0</v>
      </c>
    </row>
    <row r="6864" spans="1:13">
      <c r="A6864" t="s">
        <v>4689</v>
      </c>
      <c r="B6864" t="s">
        <v>1338</v>
      </c>
      <c r="C6864" s="34" t="s">
        <v>775</v>
      </c>
      <c r="F6864" t="s">
        <v>775</v>
      </c>
      <c r="H6864">
        <v>5</v>
      </c>
      <c r="I6864">
        <f>VLOOKUP(B6864,BRAND!B:D,3,FALSE)</f>
        <v>3</v>
      </c>
      <c r="J6864">
        <v>3</v>
      </c>
      <c r="K6864" t="s">
        <v>821</v>
      </c>
      <c r="L6864">
        <v>0</v>
      </c>
      <c r="M6864">
        <v>0</v>
      </c>
    </row>
    <row r="6865" spans="1:13">
      <c r="A6865" t="s">
        <v>2768</v>
      </c>
      <c r="B6865" t="s">
        <v>1338</v>
      </c>
      <c r="C6865" s="34" t="s">
        <v>1438</v>
      </c>
      <c r="F6865" t="s">
        <v>1438</v>
      </c>
      <c r="H6865">
        <v>15</v>
      </c>
      <c r="I6865">
        <f>VLOOKUP(B6865,BRAND!B:D,3,FALSE)</f>
        <v>3</v>
      </c>
      <c r="J6865">
        <v>4</v>
      </c>
      <c r="K6865" t="s">
        <v>821</v>
      </c>
      <c r="L6865">
        <v>0</v>
      </c>
      <c r="M6865">
        <v>0</v>
      </c>
    </row>
    <row r="6866" spans="1:13">
      <c r="A6866" t="s">
        <v>10552</v>
      </c>
      <c r="B6866" t="s">
        <v>5312</v>
      </c>
      <c r="C6866" s="34" t="s">
        <v>10415</v>
      </c>
      <c r="F6866" t="s">
        <v>10415</v>
      </c>
      <c r="G6866" t="s">
        <v>6932</v>
      </c>
      <c r="H6866">
        <v>5</v>
      </c>
      <c r="I6866">
        <f>VLOOKUP(B6866,BRAND!B:D,3,FALSE)</f>
        <v>3</v>
      </c>
      <c r="J6866">
        <f>LEN(F6866)</f>
        <v>5</v>
      </c>
      <c r="L6866">
        <v>0</v>
      </c>
    </row>
    <row r="6867" spans="1:13">
      <c r="A6867" t="s">
        <v>10106</v>
      </c>
      <c r="B6867" t="s">
        <v>5312</v>
      </c>
      <c r="C6867" s="34" t="s">
        <v>5445</v>
      </c>
      <c r="F6867" t="s">
        <v>761</v>
      </c>
      <c r="H6867">
        <v>5</v>
      </c>
      <c r="I6867">
        <f>VLOOKUP(B6867,BRAND!B:D,3,FALSE)</f>
        <v>3</v>
      </c>
      <c r="J6867">
        <v>5</v>
      </c>
      <c r="K6867" t="s">
        <v>821</v>
      </c>
      <c r="L6867">
        <v>0</v>
      </c>
      <c r="M6867">
        <v>0</v>
      </c>
    </row>
    <row r="6868" spans="1:13">
      <c r="A6868" t="s">
        <v>10107</v>
      </c>
      <c r="B6868" t="s">
        <v>5312</v>
      </c>
      <c r="C6868" s="34" t="s">
        <v>782</v>
      </c>
      <c r="F6868" t="s">
        <v>782</v>
      </c>
      <c r="H6868">
        <v>5</v>
      </c>
      <c r="I6868">
        <f>VLOOKUP(B6868,BRAND!B:D,3,FALSE)</f>
        <v>3</v>
      </c>
      <c r="J6868">
        <v>4</v>
      </c>
      <c r="K6868" t="s">
        <v>821</v>
      </c>
      <c r="L6868">
        <v>0</v>
      </c>
      <c r="M6868">
        <v>0</v>
      </c>
    </row>
    <row r="6869" spans="1:13">
      <c r="A6869" t="s">
        <v>10452</v>
      </c>
      <c r="B6869" t="s">
        <v>10450</v>
      </c>
      <c r="C6869" s="34" t="s">
        <v>10453</v>
      </c>
      <c r="F6869" t="s">
        <v>10454</v>
      </c>
      <c r="G6869" t="s">
        <v>6932</v>
      </c>
      <c r="H6869">
        <v>5</v>
      </c>
      <c r="I6869" t="e">
        <f>VLOOKUP(B6869,BRAND!B:D,3,FALSE)</f>
        <v>#N/A</v>
      </c>
      <c r="J6869">
        <f>LEN(F6869)</f>
        <v>10</v>
      </c>
      <c r="L6869">
        <v>0</v>
      </c>
    </row>
    <row r="6870" spans="1:13">
      <c r="A6870" t="s">
        <v>10451</v>
      </c>
      <c r="B6870" t="s">
        <v>10450</v>
      </c>
      <c r="C6870" s="34" t="s">
        <v>995</v>
      </c>
      <c r="F6870" t="s">
        <v>995</v>
      </c>
      <c r="G6870" t="s">
        <v>6932</v>
      </c>
      <c r="H6870">
        <v>5</v>
      </c>
      <c r="I6870" t="e">
        <f>VLOOKUP(B6870,BRAND!B:D,3,FALSE)</f>
        <v>#N/A</v>
      </c>
      <c r="J6870">
        <f>LEN(F6870)</f>
        <v>6</v>
      </c>
      <c r="L6870">
        <v>0</v>
      </c>
    </row>
    <row r="6871" spans="1:13">
      <c r="A6871" t="s">
        <v>10451</v>
      </c>
      <c r="B6871" t="s">
        <v>10450</v>
      </c>
      <c r="C6871" s="34" t="s">
        <v>995</v>
      </c>
      <c r="D6871" t="s">
        <v>791</v>
      </c>
      <c r="F6871" t="s">
        <v>995</v>
      </c>
      <c r="G6871" t="s">
        <v>6932</v>
      </c>
      <c r="H6871">
        <v>5</v>
      </c>
      <c r="I6871" t="e">
        <f>VLOOKUP(B6871,BRAND!B:D,3,FALSE)</f>
        <v>#N/A</v>
      </c>
      <c r="J6871">
        <f>LEN(F6871)</f>
        <v>6</v>
      </c>
      <c r="L6871">
        <v>0</v>
      </c>
    </row>
    <row r="6872" spans="1:13">
      <c r="A6872" t="s">
        <v>10451</v>
      </c>
      <c r="B6872" t="s">
        <v>10450</v>
      </c>
      <c r="C6872" s="34" t="s">
        <v>995</v>
      </c>
      <c r="D6872" t="s">
        <v>10397</v>
      </c>
      <c r="F6872" t="s">
        <v>995</v>
      </c>
      <c r="G6872" t="s">
        <v>6932</v>
      </c>
      <c r="H6872">
        <v>5</v>
      </c>
      <c r="I6872" t="e">
        <f>VLOOKUP(B6872,BRAND!B:D,3,FALSE)</f>
        <v>#N/A</v>
      </c>
      <c r="J6872">
        <f>LEN(F6872)</f>
        <v>6</v>
      </c>
      <c r="L6872">
        <v>0</v>
      </c>
    </row>
    <row r="6873" spans="1:13">
      <c r="A6873" t="s">
        <v>10449</v>
      </c>
      <c r="B6873" t="s">
        <v>10450</v>
      </c>
      <c r="C6873" s="34" t="s">
        <v>764</v>
      </c>
      <c r="D6873" t="s">
        <v>10397</v>
      </c>
      <c r="F6873" t="s">
        <v>764</v>
      </c>
      <c r="G6873" t="s">
        <v>6932</v>
      </c>
      <c r="H6873">
        <v>5</v>
      </c>
      <c r="I6873" t="e">
        <f>VLOOKUP(B6873,BRAND!B:D,3,FALSE)</f>
        <v>#N/A</v>
      </c>
      <c r="J6873">
        <f>LEN(F6873)</f>
        <v>5</v>
      </c>
      <c r="L6873">
        <v>0</v>
      </c>
    </row>
    <row r="6874" spans="1:13">
      <c r="A6874" t="s">
        <v>3038</v>
      </c>
      <c r="B6874" t="s">
        <v>338</v>
      </c>
      <c r="C6874" s="34" t="s">
        <v>840</v>
      </c>
      <c r="F6874" t="s">
        <v>840</v>
      </c>
      <c r="H6874">
        <v>5</v>
      </c>
      <c r="I6874">
        <f>VLOOKUP(B6874,BRAND!B:D,3,FALSE)</f>
        <v>3</v>
      </c>
      <c r="J6874">
        <v>9</v>
      </c>
      <c r="K6874" t="s">
        <v>821</v>
      </c>
      <c r="M6874">
        <v>1</v>
      </c>
    </row>
    <row r="6875" spans="1:13">
      <c r="A6875" t="s">
        <v>3037</v>
      </c>
      <c r="B6875" t="s">
        <v>338</v>
      </c>
      <c r="C6875" s="34" t="s">
        <v>536</v>
      </c>
      <c r="F6875" t="s">
        <v>536</v>
      </c>
      <c r="H6875">
        <v>5</v>
      </c>
      <c r="I6875">
        <f>VLOOKUP(B6875,BRAND!B:D,3,FALSE)</f>
        <v>3</v>
      </c>
      <c r="J6875">
        <v>5</v>
      </c>
      <c r="K6875" t="s">
        <v>821</v>
      </c>
      <c r="M6875">
        <v>1</v>
      </c>
    </row>
    <row r="6876" spans="1:13">
      <c r="A6876" t="s">
        <v>9178</v>
      </c>
      <c r="B6876" t="s">
        <v>338</v>
      </c>
      <c r="C6876" s="34" t="s">
        <v>1438</v>
      </c>
      <c r="F6876" t="s">
        <v>1438</v>
      </c>
      <c r="G6876" t="s">
        <v>6932</v>
      </c>
      <c r="H6876">
        <v>5</v>
      </c>
      <c r="I6876">
        <f>VLOOKUP(B6876,BRAND!B:D,3,FALSE)</f>
        <v>3</v>
      </c>
      <c r="J6876">
        <v>4</v>
      </c>
      <c r="L6876">
        <v>0</v>
      </c>
      <c r="M6876">
        <v>0</v>
      </c>
    </row>
    <row r="6877" spans="1:13">
      <c r="A6877" t="s">
        <v>3720</v>
      </c>
      <c r="B6877" t="s">
        <v>338</v>
      </c>
      <c r="C6877" s="34" t="s">
        <v>561</v>
      </c>
      <c r="F6877" t="s">
        <v>561</v>
      </c>
      <c r="H6877">
        <v>5</v>
      </c>
      <c r="I6877">
        <f>VLOOKUP(B6877,BRAND!B:D,3,FALSE)</f>
        <v>3</v>
      </c>
      <c r="J6877">
        <v>3</v>
      </c>
      <c r="K6877" t="s">
        <v>821</v>
      </c>
      <c r="L6877">
        <v>0</v>
      </c>
      <c r="M6877">
        <v>0</v>
      </c>
    </row>
    <row r="6878" spans="1:13">
      <c r="A6878" t="s">
        <v>9827</v>
      </c>
      <c r="B6878" t="s">
        <v>338</v>
      </c>
      <c r="C6878" s="34" t="s">
        <v>1992</v>
      </c>
      <c r="G6878" t="s">
        <v>6932</v>
      </c>
      <c r="H6878">
        <v>5</v>
      </c>
      <c r="I6878">
        <f>VLOOKUP(B6878,BRAND!B:D,3,FALSE)</f>
        <v>3</v>
      </c>
      <c r="J6878">
        <f>LEN(F6878)</f>
        <v>0</v>
      </c>
      <c r="L6878">
        <v>0</v>
      </c>
      <c r="M6878">
        <v>0</v>
      </c>
    </row>
    <row r="6879" spans="1:13">
      <c r="A6879" t="s">
        <v>9827</v>
      </c>
      <c r="B6879" t="s">
        <v>338</v>
      </c>
      <c r="C6879" s="34" t="s">
        <v>1992</v>
      </c>
      <c r="G6879" t="s">
        <v>6932</v>
      </c>
      <c r="H6879">
        <v>5</v>
      </c>
      <c r="I6879">
        <f>VLOOKUP(B6879,BRAND!B:D,3,FALSE)</f>
        <v>3</v>
      </c>
      <c r="J6879">
        <v>0</v>
      </c>
      <c r="M6879">
        <v>1</v>
      </c>
    </row>
    <row r="6880" spans="1:13">
      <c r="A6880" t="s">
        <v>9828</v>
      </c>
      <c r="B6880" t="s">
        <v>339</v>
      </c>
      <c r="C6880" s="34" t="s">
        <v>4896</v>
      </c>
      <c r="G6880" t="s">
        <v>6932</v>
      </c>
      <c r="H6880">
        <v>5</v>
      </c>
      <c r="I6880">
        <f>VLOOKUP(B6880,BRAND!B:D,3,FALSE)</f>
        <v>3</v>
      </c>
      <c r="J6880">
        <f>LEN(F6880)</f>
        <v>0</v>
      </c>
      <c r="L6880">
        <v>0</v>
      </c>
      <c r="M6880">
        <v>0</v>
      </c>
    </row>
    <row r="6881" spans="1:13">
      <c r="A6881" t="s">
        <v>9828</v>
      </c>
      <c r="B6881" t="s">
        <v>339</v>
      </c>
      <c r="C6881" s="34" t="s">
        <v>4896</v>
      </c>
      <c r="G6881" t="s">
        <v>6932</v>
      </c>
      <c r="H6881">
        <v>5</v>
      </c>
      <c r="I6881">
        <f>VLOOKUP(B6881,BRAND!B:D,3,FALSE)</f>
        <v>3</v>
      </c>
      <c r="J6881">
        <v>0</v>
      </c>
      <c r="M6881">
        <v>1</v>
      </c>
    </row>
    <row r="6882" spans="1:13">
      <c r="A6882" t="s">
        <v>9179</v>
      </c>
      <c r="B6882" t="s">
        <v>9180</v>
      </c>
      <c r="C6882" s="34" t="s">
        <v>1438</v>
      </c>
      <c r="F6882" t="s">
        <v>1438</v>
      </c>
      <c r="G6882" t="s">
        <v>6932</v>
      </c>
      <c r="H6882">
        <v>5</v>
      </c>
      <c r="I6882">
        <f>VLOOKUP(B6882,BRAND!B:D,3,FALSE)</f>
        <v>5.5</v>
      </c>
      <c r="J6882">
        <v>4</v>
      </c>
      <c r="L6882">
        <v>0</v>
      </c>
      <c r="M6882">
        <v>0</v>
      </c>
    </row>
    <row r="6883" spans="1:13">
      <c r="A6883" t="s">
        <v>9181</v>
      </c>
      <c r="B6883" t="s">
        <v>9182</v>
      </c>
      <c r="C6883" s="34" t="s">
        <v>1438</v>
      </c>
      <c r="F6883" t="s">
        <v>1438</v>
      </c>
      <c r="G6883" t="s">
        <v>801</v>
      </c>
      <c r="H6883">
        <v>5</v>
      </c>
      <c r="I6883">
        <f>VLOOKUP(B6883,BRAND!B:D,3,FALSE)</f>
        <v>5.5</v>
      </c>
      <c r="J6883">
        <v>4</v>
      </c>
      <c r="L6883">
        <v>0</v>
      </c>
      <c r="M6883">
        <v>0</v>
      </c>
    </row>
    <row r="6884" spans="1:13">
      <c r="A6884" t="s">
        <v>9829</v>
      </c>
      <c r="B6884" t="s">
        <v>6600</v>
      </c>
      <c r="C6884" s="34" t="s">
        <v>763</v>
      </c>
      <c r="F6884" t="s">
        <v>763</v>
      </c>
      <c r="H6884">
        <v>5</v>
      </c>
      <c r="I6884">
        <f>VLOOKUP(B6884,BRAND!B:D,3,FALSE)</f>
        <v>5</v>
      </c>
      <c r="J6884">
        <v>5</v>
      </c>
      <c r="M6884">
        <v>1</v>
      </c>
    </row>
    <row r="6885" spans="1:13">
      <c r="A6885" t="s">
        <v>9830</v>
      </c>
      <c r="B6885" t="s">
        <v>6600</v>
      </c>
      <c r="C6885" s="34" t="s">
        <v>1438</v>
      </c>
      <c r="F6885" t="s">
        <v>1438</v>
      </c>
      <c r="H6885">
        <v>5</v>
      </c>
      <c r="I6885">
        <f>VLOOKUP(B6885,BRAND!B:D,3,FALSE)</f>
        <v>5</v>
      </c>
      <c r="J6885">
        <v>4</v>
      </c>
      <c r="M6885">
        <v>1</v>
      </c>
    </row>
    <row r="6886" spans="1:13">
      <c r="A6886" t="s">
        <v>9831</v>
      </c>
      <c r="B6886" t="s">
        <v>6600</v>
      </c>
      <c r="C6886" s="34" t="s">
        <v>1438</v>
      </c>
      <c r="F6886" t="s">
        <v>1438</v>
      </c>
      <c r="G6886" t="s">
        <v>2000</v>
      </c>
      <c r="H6886">
        <v>5</v>
      </c>
      <c r="I6886">
        <f>VLOOKUP(B6886,BRAND!B:D,3,FALSE)</f>
        <v>5</v>
      </c>
      <c r="J6886">
        <v>4</v>
      </c>
      <c r="M6886">
        <v>1</v>
      </c>
    </row>
    <row r="6887" spans="1:13">
      <c r="A6887" t="s">
        <v>9832</v>
      </c>
      <c r="B6887" t="s">
        <v>6600</v>
      </c>
      <c r="C6887" s="34" t="s">
        <v>781</v>
      </c>
      <c r="F6887" t="s">
        <v>781</v>
      </c>
      <c r="H6887">
        <v>5</v>
      </c>
      <c r="I6887">
        <f>VLOOKUP(B6887,BRAND!B:D,3,FALSE)</f>
        <v>5</v>
      </c>
      <c r="J6887">
        <v>4</v>
      </c>
      <c r="M6887">
        <v>1</v>
      </c>
    </row>
    <row r="6888" spans="1:13">
      <c r="A6888" t="s">
        <v>9183</v>
      </c>
      <c r="B6888" t="s">
        <v>9184</v>
      </c>
      <c r="C6888" s="34" t="s">
        <v>1438</v>
      </c>
      <c r="F6888" t="s">
        <v>1438</v>
      </c>
      <c r="G6888" t="s">
        <v>6932</v>
      </c>
      <c r="H6888">
        <v>5</v>
      </c>
      <c r="I6888">
        <f>VLOOKUP(B6888,BRAND!B:D,3,FALSE)</f>
        <v>5.5</v>
      </c>
      <c r="J6888">
        <v>4</v>
      </c>
      <c r="M6888">
        <v>1</v>
      </c>
    </row>
    <row r="6889" spans="1:13">
      <c r="A6889" t="s">
        <v>3728</v>
      </c>
      <c r="B6889" t="s">
        <v>155</v>
      </c>
      <c r="C6889" s="34" t="s">
        <v>5397</v>
      </c>
      <c r="F6889" t="s">
        <v>777</v>
      </c>
      <c r="H6889">
        <v>5</v>
      </c>
      <c r="I6889">
        <f>VLOOKUP(B6889,BRAND!B:D,3,FALSE)</f>
        <v>3</v>
      </c>
      <c r="J6889">
        <v>7</v>
      </c>
      <c r="K6889" t="s">
        <v>821</v>
      </c>
      <c r="M6889">
        <v>1</v>
      </c>
    </row>
    <row r="6890" spans="1:13">
      <c r="A6890" t="s">
        <v>9185</v>
      </c>
      <c r="B6890" t="s">
        <v>155</v>
      </c>
      <c r="C6890" s="34" t="s">
        <v>1438</v>
      </c>
      <c r="F6890" t="s">
        <v>1438</v>
      </c>
      <c r="G6890" t="s">
        <v>6932</v>
      </c>
      <c r="H6890">
        <v>5</v>
      </c>
      <c r="I6890">
        <f>VLOOKUP(B6890,BRAND!B:D,3,FALSE)</f>
        <v>3</v>
      </c>
      <c r="J6890">
        <v>4</v>
      </c>
      <c r="L6890">
        <v>0</v>
      </c>
      <c r="M6890">
        <v>0</v>
      </c>
    </row>
    <row r="6891" spans="1:13">
      <c r="A6891" t="s">
        <v>7035</v>
      </c>
      <c r="B6891" t="s">
        <v>1339</v>
      </c>
      <c r="C6891" s="34" t="s">
        <v>1438</v>
      </c>
      <c r="F6891" t="s">
        <v>1438</v>
      </c>
      <c r="H6891">
        <v>5</v>
      </c>
      <c r="I6891">
        <f>VLOOKUP(B6891,BRAND!B:D,3,FALSE)</f>
        <v>3</v>
      </c>
      <c r="J6891">
        <v>4</v>
      </c>
      <c r="M6891">
        <v>1</v>
      </c>
    </row>
    <row r="6892" spans="1:13">
      <c r="A6892" t="s">
        <v>2442</v>
      </c>
      <c r="B6892" t="s">
        <v>1339</v>
      </c>
      <c r="C6892" s="34" t="s">
        <v>1438</v>
      </c>
      <c r="F6892" t="s">
        <v>1438</v>
      </c>
      <c r="H6892">
        <v>15</v>
      </c>
      <c r="I6892">
        <f>VLOOKUP(B6892,BRAND!B:D,3,FALSE)</f>
        <v>3</v>
      </c>
      <c r="J6892">
        <v>4</v>
      </c>
      <c r="K6892" t="s">
        <v>821</v>
      </c>
      <c r="L6892">
        <v>0</v>
      </c>
      <c r="M6892">
        <v>0</v>
      </c>
    </row>
    <row r="6893" spans="1:13">
      <c r="A6893" t="s">
        <v>11554</v>
      </c>
      <c r="B6893" t="s">
        <v>10924</v>
      </c>
      <c r="C6893" s="34" t="s">
        <v>6349</v>
      </c>
      <c r="F6893" t="s">
        <v>6349</v>
      </c>
      <c r="G6893" t="s">
        <v>6932</v>
      </c>
      <c r="H6893">
        <v>5</v>
      </c>
    </row>
    <row r="6894" spans="1:13">
      <c r="A6894" t="s">
        <v>10151</v>
      </c>
      <c r="B6894" t="s">
        <v>10152</v>
      </c>
      <c r="C6894" s="34" t="s">
        <v>1438</v>
      </c>
      <c r="F6894" t="s">
        <v>1438</v>
      </c>
      <c r="H6894">
        <v>5</v>
      </c>
      <c r="I6894">
        <f>VLOOKUP(B6894,BRAND!B:D,3,FALSE)</f>
        <v>5.5</v>
      </c>
      <c r="J6894">
        <v>3</v>
      </c>
      <c r="L6894">
        <v>1</v>
      </c>
      <c r="M6894">
        <v>1</v>
      </c>
    </row>
    <row r="6895" spans="1:13">
      <c r="A6895" t="s">
        <v>9188</v>
      </c>
      <c r="B6895" t="s">
        <v>9189</v>
      </c>
      <c r="C6895" s="34" t="s">
        <v>1438</v>
      </c>
      <c r="F6895" t="s">
        <v>1438</v>
      </c>
      <c r="G6895" t="s">
        <v>6932</v>
      </c>
      <c r="H6895">
        <v>5</v>
      </c>
      <c r="I6895">
        <f>VLOOKUP(B6895,BRAND!B:D,3,FALSE)</f>
        <v>5.5</v>
      </c>
      <c r="J6895">
        <v>4</v>
      </c>
      <c r="L6895">
        <v>0</v>
      </c>
      <c r="M6895">
        <v>0</v>
      </c>
    </row>
    <row r="6896" spans="1:13">
      <c r="A6896" t="s">
        <v>2830</v>
      </c>
      <c r="B6896" t="s">
        <v>848</v>
      </c>
      <c r="C6896" s="34" t="s">
        <v>776</v>
      </c>
      <c r="F6896" t="s">
        <v>776</v>
      </c>
      <c r="H6896">
        <v>5</v>
      </c>
      <c r="I6896">
        <f>VLOOKUP(B6896,BRAND!B:D,3,FALSE)</f>
        <v>5.5</v>
      </c>
      <c r="J6896">
        <v>5</v>
      </c>
      <c r="K6896" t="e">
        <v>#N/A</v>
      </c>
      <c r="L6896">
        <v>0</v>
      </c>
      <c r="M6896">
        <v>0</v>
      </c>
    </row>
    <row r="6897" spans="1:13">
      <c r="A6897" t="s">
        <v>3461</v>
      </c>
      <c r="B6897" t="s">
        <v>1086</v>
      </c>
      <c r="C6897" s="34" t="s">
        <v>840</v>
      </c>
      <c r="F6897" t="s">
        <v>840</v>
      </c>
      <c r="H6897">
        <v>5</v>
      </c>
      <c r="I6897">
        <f>VLOOKUP(B6897,BRAND!B:D,3,FALSE)</f>
        <v>5.5</v>
      </c>
      <c r="J6897">
        <v>9</v>
      </c>
      <c r="K6897" t="e">
        <v>#N/A</v>
      </c>
      <c r="L6897">
        <v>0</v>
      </c>
      <c r="M6897">
        <v>0</v>
      </c>
    </row>
    <row r="6898" spans="1:13">
      <c r="A6898" t="s">
        <v>9190</v>
      </c>
      <c r="B6898" t="s">
        <v>9191</v>
      </c>
      <c r="C6898" s="34" t="s">
        <v>1438</v>
      </c>
      <c r="F6898" t="s">
        <v>1438</v>
      </c>
      <c r="G6898" t="s">
        <v>6932</v>
      </c>
      <c r="H6898">
        <v>5</v>
      </c>
      <c r="I6898">
        <f>VLOOKUP(B6898,BRAND!B:D,3,FALSE)</f>
        <v>5.5</v>
      </c>
      <c r="J6898">
        <v>4</v>
      </c>
      <c r="L6898">
        <v>0</v>
      </c>
      <c r="M6898">
        <v>0</v>
      </c>
    </row>
    <row r="6899" spans="1:13">
      <c r="A6899" t="s">
        <v>9192</v>
      </c>
      <c r="B6899" t="s">
        <v>577</v>
      </c>
      <c r="C6899" s="34" t="s">
        <v>655</v>
      </c>
      <c r="F6899" t="s">
        <v>655</v>
      </c>
      <c r="G6899" t="s">
        <v>6932</v>
      </c>
      <c r="H6899">
        <v>5</v>
      </c>
      <c r="I6899">
        <f>VLOOKUP(B6899,BRAND!B:D,3,FALSE)</f>
        <v>3</v>
      </c>
      <c r="J6899">
        <v>9</v>
      </c>
      <c r="M6899">
        <v>1</v>
      </c>
    </row>
    <row r="6900" spans="1:13">
      <c r="A6900" t="s">
        <v>9195</v>
      </c>
      <c r="B6900" t="s">
        <v>577</v>
      </c>
      <c r="C6900" s="34" t="s">
        <v>534</v>
      </c>
      <c r="F6900" t="s">
        <v>534</v>
      </c>
      <c r="G6900" t="s">
        <v>6932</v>
      </c>
      <c r="H6900">
        <v>5</v>
      </c>
      <c r="I6900">
        <f>VLOOKUP(B6900,BRAND!B:D,3,FALSE)</f>
        <v>3</v>
      </c>
      <c r="J6900">
        <v>6</v>
      </c>
      <c r="L6900">
        <v>0</v>
      </c>
      <c r="M6900">
        <v>0</v>
      </c>
    </row>
    <row r="6901" spans="1:13">
      <c r="A6901" t="s">
        <v>3951</v>
      </c>
      <c r="B6901" t="s">
        <v>577</v>
      </c>
      <c r="C6901" s="34" t="s">
        <v>534</v>
      </c>
      <c r="F6901" t="s">
        <v>534</v>
      </c>
      <c r="H6901">
        <v>5</v>
      </c>
      <c r="I6901">
        <f>VLOOKUP(B6901,BRAND!B:D,3,FALSE)</f>
        <v>3</v>
      </c>
      <c r="J6901">
        <v>6</v>
      </c>
      <c r="K6901" t="s">
        <v>821</v>
      </c>
      <c r="M6901">
        <v>1</v>
      </c>
    </row>
    <row r="6902" spans="1:13">
      <c r="A6902" t="s">
        <v>4483</v>
      </c>
      <c r="B6902" t="s">
        <v>577</v>
      </c>
      <c r="C6902" s="34" t="s">
        <v>751</v>
      </c>
      <c r="F6902" t="s">
        <v>751</v>
      </c>
      <c r="H6902">
        <v>5</v>
      </c>
      <c r="I6902">
        <f>VLOOKUP(B6902,BRAND!B:D,3,FALSE)</f>
        <v>3</v>
      </c>
      <c r="J6902">
        <v>5</v>
      </c>
      <c r="K6902" t="s">
        <v>821</v>
      </c>
      <c r="L6902">
        <v>0</v>
      </c>
      <c r="M6902">
        <v>0</v>
      </c>
    </row>
    <row r="6903" spans="1:13">
      <c r="A6903" t="s">
        <v>3466</v>
      </c>
      <c r="B6903" t="s">
        <v>577</v>
      </c>
      <c r="C6903" s="34" t="s">
        <v>536</v>
      </c>
      <c r="F6903" t="s">
        <v>536</v>
      </c>
      <c r="H6903">
        <v>5</v>
      </c>
      <c r="I6903">
        <f>VLOOKUP(B6903,BRAND!B:D,3,FALSE)</f>
        <v>3</v>
      </c>
      <c r="J6903">
        <v>5</v>
      </c>
      <c r="K6903" t="s">
        <v>821</v>
      </c>
      <c r="M6903">
        <v>1</v>
      </c>
    </row>
    <row r="6904" spans="1:13">
      <c r="A6904" t="s">
        <v>9194</v>
      </c>
      <c r="B6904" t="s">
        <v>577</v>
      </c>
      <c r="C6904" s="34" t="s">
        <v>751</v>
      </c>
      <c r="F6904" t="s">
        <v>751</v>
      </c>
      <c r="G6904" t="s">
        <v>6932</v>
      </c>
      <c r="H6904">
        <v>5</v>
      </c>
      <c r="I6904">
        <f>VLOOKUP(B6904,BRAND!B:D,3,FALSE)</f>
        <v>3</v>
      </c>
      <c r="J6904">
        <v>5</v>
      </c>
      <c r="M6904">
        <v>1</v>
      </c>
    </row>
    <row r="6905" spans="1:13">
      <c r="A6905" t="s">
        <v>3910</v>
      </c>
      <c r="B6905" t="s">
        <v>577</v>
      </c>
      <c r="C6905" s="34" t="s">
        <v>842</v>
      </c>
      <c r="F6905" t="s">
        <v>842</v>
      </c>
      <c r="H6905">
        <v>5</v>
      </c>
      <c r="I6905">
        <f>VLOOKUP(B6905,BRAND!B:D,3,FALSE)</f>
        <v>3</v>
      </c>
      <c r="J6905">
        <v>5</v>
      </c>
      <c r="K6905" t="s">
        <v>821</v>
      </c>
      <c r="M6905">
        <v>1</v>
      </c>
    </row>
    <row r="6906" spans="1:13">
      <c r="A6906" t="s">
        <v>2537</v>
      </c>
      <c r="B6906" t="s">
        <v>577</v>
      </c>
      <c r="C6906" s="34" t="s">
        <v>797</v>
      </c>
      <c r="F6906" t="s">
        <v>797</v>
      </c>
      <c r="H6906">
        <v>5</v>
      </c>
      <c r="I6906">
        <f>VLOOKUP(B6906,BRAND!B:D,3,FALSE)</f>
        <v>3</v>
      </c>
      <c r="J6906">
        <v>5</v>
      </c>
      <c r="K6906" t="s">
        <v>821</v>
      </c>
      <c r="M6906">
        <v>1</v>
      </c>
    </row>
    <row r="6907" spans="1:13">
      <c r="A6907" t="s">
        <v>3950</v>
      </c>
      <c r="B6907" t="s">
        <v>577</v>
      </c>
      <c r="C6907" s="34" t="s">
        <v>775</v>
      </c>
      <c r="F6907" t="s">
        <v>775</v>
      </c>
      <c r="H6907">
        <v>5</v>
      </c>
      <c r="I6907">
        <f>VLOOKUP(B6907,BRAND!B:D,3,FALSE)</f>
        <v>3</v>
      </c>
      <c r="J6907">
        <v>3</v>
      </c>
      <c r="K6907" t="s">
        <v>821</v>
      </c>
      <c r="L6907">
        <v>0</v>
      </c>
      <c r="M6907">
        <v>0</v>
      </c>
    </row>
    <row r="6908" spans="1:13">
      <c r="A6908" t="s">
        <v>9193</v>
      </c>
      <c r="B6908" t="s">
        <v>577</v>
      </c>
      <c r="C6908" s="34" t="s">
        <v>775</v>
      </c>
      <c r="F6908" t="s">
        <v>775</v>
      </c>
      <c r="G6908" t="s">
        <v>6932</v>
      </c>
      <c r="H6908">
        <v>5</v>
      </c>
      <c r="I6908">
        <f>VLOOKUP(B6908,BRAND!B:D,3,FALSE)</f>
        <v>3</v>
      </c>
      <c r="J6908">
        <v>3</v>
      </c>
      <c r="M6908">
        <v>1</v>
      </c>
    </row>
    <row r="6909" spans="1:13">
      <c r="A6909" t="s">
        <v>2113</v>
      </c>
      <c r="B6909" t="s">
        <v>577</v>
      </c>
      <c r="C6909" s="34" t="s">
        <v>1438</v>
      </c>
      <c r="F6909" t="s">
        <v>1438</v>
      </c>
      <c r="H6909">
        <v>15</v>
      </c>
      <c r="I6909">
        <f>VLOOKUP(B6909,BRAND!B:D,3,FALSE)</f>
        <v>3</v>
      </c>
      <c r="J6909">
        <v>4</v>
      </c>
      <c r="K6909" t="s">
        <v>821</v>
      </c>
      <c r="L6909">
        <v>0</v>
      </c>
      <c r="M6909">
        <v>0</v>
      </c>
    </row>
    <row r="6910" spans="1:13">
      <c r="A6910" t="s">
        <v>7112</v>
      </c>
      <c r="B6910" t="s">
        <v>6641</v>
      </c>
      <c r="C6910" s="34" t="s">
        <v>6548</v>
      </c>
      <c r="F6910" t="s">
        <v>753</v>
      </c>
      <c r="H6910">
        <v>5</v>
      </c>
      <c r="I6910">
        <f>VLOOKUP(B6910,BRAND!B:D,3,FALSE)</f>
        <v>5</v>
      </c>
      <c r="J6910">
        <v>7</v>
      </c>
      <c r="M6910">
        <v>1</v>
      </c>
    </row>
    <row r="6911" spans="1:13">
      <c r="A6911" t="s">
        <v>7112</v>
      </c>
      <c r="B6911" t="s">
        <v>6641</v>
      </c>
      <c r="C6911" s="34" t="s">
        <v>6548</v>
      </c>
      <c r="F6911" t="s">
        <v>753</v>
      </c>
      <c r="H6911">
        <v>5</v>
      </c>
      <c r="I6911">
        <f>VLOOKUP(B6911,BRAND!B:D,3,FALSE)</f>
        <v>5</v>
      </c>
      <c r="J6911">
        <v>7</v>
      </c>
      <c r="M6911">
        <v>1</v>
      </c>
    </row>
    <row r="6912" spans="1:13">
      <c r="A6912" t="s">
        <v>7113</v>
      </c>
      <c r="B6912" t="s">
        <v>6641</v>
      </c>
      <c r="C6912" s="34" t="s">
        <v>913</v>
      </c>
      <c r="F6912" t="s">
        <v>913</v>
      </c>
      <c r="H6912">
        <v>5</v>
      </c>
      <c r="I6912">
        <f>VLOOKUP(B6912,BRAND!B:D,3,FALSE)</f>
        <v>5</v>
      </c>
      <c r="J6912">
        <v>5</v>
      </c>
      <c r="M6912">
        <v>1</v>
      </c>
    </row>
    <row r="6913" spans="1:13">
      <c r="A6913" t="s">
        <v>7113</v>
      </c>
      <c r="B6913" t="s">
        <v>6641</v>
      </c>
      <c r="C6913" s="34" t="s">
        <v>913</v>
      </c>
      <c r="F6913" t="s">
        <v>913</v>
      </c>
      <c r="H6913">
        <v>5</v>
      </c>
      <c r="I6913">
        <f>VLOOKUP(B6913,BRAND!B:D,3,FALSE)</f>
        <v>5</v>
      </c>
      <c r="J6913">
        <v>5</v>
      </c>
      <c r="M6913">
        <v>1</v>
      </c>
    </row>
    <row r="6914" spans="1:13">
      <c r="A6914" t="s">
        <v>9196</v>
      </c>
      <c r="B6914" t="s">
        <v>9197</v>
      </c>
      <c r="C6914" s="34" t="s">
        <v>536</v>
      </c>
      <c r="F6914" t="s">
        <v>536</v>
      </c>
      <c r="G6914" t="s">
        <v>6932</v>
      </c>
      <c r="H6914">
        <v>5</v>
      </c>
      <c r="I6914">
        <f>VLOOKUP(B6914,BRAND!B:D,3,FALSE)</f>
        <v>5.5</v>
      </c>
      <c r="J6914">
        <v>5</v>
      </c>
      <c r="M6914">
        <v>1</v>
      </c>
    </row>
    <row r="6915" spans="1:13">
      <c r="A6915" t="s">
        <v>7286</v>
      </c>
      <c r="B6915" t="s">
        <v>7283</v>
      </c>
      <c r="C6915" s="34" t="s">
        <v>7287</v>
      </c>
      <c r="F6915" t="s">
        <v>7287</v>
      </c>
      <c r="H6915">
        <v>5</v>
      </c>
      <c r="I6915">
        <f>VLOOKUP(B6915,BRAND!B:D,3,FALSE)</f>
        <v>5.5</v>
      </c>
      <c r="M6915">
        <v>1</v>
      </c>
    </row>
    <row r="6916" spans="1:13">
      <c r="A6916" t="s">
        <v>7284</v>
      </c>
      <c r="B6916" t="s">
        <v>7283</v>
      </c>
      <c r="C6916" s="34" t="s">
        <v>536</v>
      </c>
      <c r="F6916" t="s">
        <v>536</v>
      </c>
      <c r="H6916">
        <v>5</v>
      </c>
      <c r="I6916">
        <f>VLOOKUP(B6916,BRAND!B:D,3,FALSE)</f>
        <v>5.5</v>
      </c>
      <c r="M6916">
        <v>1</v>
      </c>
    </row>
    <row r="6917" spans="1:13">
      <c r="A6917" t="s">
        <v>7285</v>
      </c>
      <c r="B6917" t="s">
        <v>7283</v>
      </c>
      <c r="C6917" s="34" t="s">
        <v>751</v>
      </c>
      <c r="F6917" t="s">
        <v>751</v>
      </c>
      <c r="H6917">
        <v>5</v>
      </c>
      <c r="I6917">
        <f>VLOOKUP(B6917,BRAND!B:D,3,FALSE)</f>
        <v>5.5</v>
      </c>
      <c r="M6917">
        <v>1</v>
      </c>
    </row>
    <row r="6918" spans="1:13">
      <c r="A6918" t="s">
        <v>7288</v>
      </c>
      <c r="B6918" t="s">
        <v>7283</v>
      </c>
      <c r="C6918" s="34">
        <v>30</v>
      </c>
      <c r="F6918">
        <v>30</v>
      </c>
      <c r="H6918">
        <v>5</v>
      </c>
      <c r="I6918">
        <f>VLOOKUP(B6918,BRAND!B:D,3,FALSE)</f>
        <v>5.5</v>
      </c>
      <c r="L6918" s="29"/>
      <c r="M6918">
        <v>1</v>
      </c>
    </row>
    <row r="6919" spans="1:13">
      <c r="A6919" t="s">
        <v>7282</v>
      </c>
      <c r="B6919" t="s">
        <v>7283</v>
      </c>
      <c r="C6919" s="34" t="s">
        <v>788</v>
      </c>
      <c r="F6919" t="s">
        <v>788</v>
      </c>
      <c r="H6919">
        <v>5</v>
      </c>
      <c r="I6919">
        <f>VLOOKUP(B6919,BRAND!B:D,3,FALSE)</f>
        <v>5.5</v>
      </c>
      <c r="M6919">
        <v>1</v>
      </c>
    </row>
    <row r="6920" spans="1:13">
      <c r="A6920" t="s">
        <v>3666</v>
      </c>
      <c r="B6920" t="s">
        <v>578</v>
      </c>
      <c r="C6920" s="34" t="s">
        <v>534</v>
      </c>
      <c r="F6920" t="s">
        <v>534</v>
      </c>
      <c r="H6920">
        <v>5</v>
      </c>
      <c r="I6920">
        <f>VLOOKUP(B6920,BRAND!B:D,3,FALSE)</f>
        <v>3</v>
      </c>
      <c r="J6920">
        <v>6</v>
      </c>
      <c r="K6920" t="s">
        <v>821</v>
      </c>
      <c r="M6920">
        <v>1</v>
      </c>
    </row>
    <row r="6921" spans="1:13">
      <c r="A6921" t="s">
        <v>2441</v>
      </c>
      <c r="B6921" t="s">
        <v>578</v>
      </c>
      <c r="C6921" s="34" t="s">
        <v>1438</v>
      </c>
      <c r="F6921" t="s">
        <v>1438</v>
      </c>
      <c r="H6921">
        <v>15</v>
      </c>
      <c r="I6921">
        <f>VLOOKUP(B6921,BRAND!B:D,3,FALSE)</f>
        <v>3</v>
      </c>
      <c r="J6921">
        <v>4</v>
      </c>
      <c r="K6921" t="s">
        <v>821</v>
      </c>
      <c r="L6921">
        <v>0</v>
      </c>
      <c r="M6921">
        <v>0</v>
      </c>
    </row>
    <row r="6922" spans="1:13">
      <c r="A6922" t="s">
        <v>4690</v>
      </c>
      <c r="B6922" t="s">
        <v>1194</v>
      </c>
      <c r="C6922" s="34" t="s">
        <v>1513</v>
      </c>
      <c r="F6922" t="s">
        <v>1513</v>
      </c>
      <c r="H6922">
        <v>5</v>
      </c>
      <c r="I6922">
        <f>VLOOKUP(B6922,BRAND!B:D,3,FALSE)</f>
        <v>3</v>
      </c>
      <c r="J6922">
        <v>5</v>
      </c>
      <c r="K6922" t="s">
        <v>821</v>
      </c>
      <c r="L6922">
        <v>0</v>
      </c>
      <c r="M6922">
        <v>0</v>
      </c>
    </row>
    <row r="6923" spans="1:13">
      <c r="A6923" t="s">
        <v>2071</v>
      </c>
      <c r="B6923" t="s">
        <v>1194</v>
      </c>
      <c r="C6923" s="34" t="s">
        <v>1438</v>
      </c>
      <c r="F6923" t="s">
        <v>1438</v>
      </c>
      <c r="H6923">
        <v>15</v>
      </c>
      <c r="I6923">
        <f>VLOOKUP(B6923,BRAND!B:D,3,FALSE)</f>
        <v>3</v>
      </c>
      <c r="J6923">
        <v>4</v>
      </c>
      <c r="K6923" t="s">
        <v>821</v>
      </c>
      <c r="L6923">
        <v>0</v>
      </c>
      <c r="M6923">
        <v>0</v>
      </c>
    </row>
    <row r="6924" spans="1:13">
      <c r="A6924" t="s">
        <v>2198</v>
      </c>
      <c r="B6924" t="s">
        <v>156</v>
      </c>
      <c r="C6924" s="34" t="s">
        <v>1438</v>
      </c>
      <c r="F6924" t="s">
        <v>1438</v>
      </c>
      <c r="H6924">
        <v>15</v>
      </c>
      <c r="I6924">
        <f>VLOOKUP(B6924,BRAND!B:D,3,FALSE)</f>
        <v>3</v>
      </c>
      <c r="J6924">
        <v>4</v>
      </c>
      <c r="K6924" t="s">
        <v>821</v>
      </c>
      <c r="L6924">
        <v>0</v>
      </c>
      <c r="M6924">
        <v>0</v>
      </c>
    </row>
    <row r="6925" spans="1:13">
      <c r="A6925" t="s">
        <v>3318</v>
      </c>
      <c r="B6925" t="s">
        <v>157</v>
      </c>
      <c r="C6925" s="34" t="s">
        <v>777</v>
      </c>
      <c r="F6925" t="s">
        <v>777</v>
      </c>
      <c r="H6925">
        <v>5</v>
      </c>
      <c r="I6925">
        <f>VLOOKUP(B6925,BRAND!B:D,3,FALSE)</f>
        <v>3</v>
      </c>
      <c r="J6925">
        <v>7</v>
      </c>
      <c r="K6925" t="s">
        <v>821</v>
      </c>
      <c r="L6925">
        <v>0</v>
      </c>
      <c r="M6925">
        <v>0</v>
      </c>
    </row>
    <row r="6926" spans="1:13">
      <c r="A6926" t="s">
        <v>3138</v>
      </c>
      <c r="B6926" t="s">
        <v>157</v>
      </c>
      <c r="C6926" s="34" t="s">
        <v>536</v>
      </c>
      <c r="F6926" t="s">
        <v>536</v>
      </c>
      <c r="H6926">
        <v>5</v>
      </c>
      <c r="I6926">
        <f>VLOOKUP(B6926,BRAND!B:D,3,FALSE)</f>
        <v>3</v>
      </c>
      <c r="J6926">
        <v>5</v>
      </c>
      <c r="K6926" t="s">
        <v>821</v>
      </c>
      <c r="L6926">
        <v>0</v>
      </c>
      <c r="M6926">
        <v>0</v>
      </c>
    </row>
    <row r="6927" spans="1:13">
      <c r="A6927" t="s">
        <v>3198</v>
      </c>
      <c r="B6927" t="s">
        <v>157</v>
      </c>
      <c r="C6927" s="34" t="s">
        <v>2000</v>
      </c>
      <c r="F6927" t="s">
        <v>2000</v>
      </c>
      <c r="H6927">
        <v>5</v>
      </c>
      <c r="I6927">
        <f>VLOOKUP(B6927,BRAND!B:D,3,FALSE)</f>
        <v>3</v>
      </c>
      <c r="J6927">
        <v>5</v>
      </c>
      <c r="K6927" t="s">
        <v>821</v>
      </c>
      <c r="L6927">
        <v>0</v>
      </c>
      <c r="M6927">
        <v>0</v>
      </c>
    </row>
    <row r="6928" spans="1:13">
      <c r="A6928" t="s">
        <v>4986</v>
      </c>
      <c r="B6928" t="s">
        <v>157</v>
      </c>
      <c r="C6928" s="34" t="s">
        <v>1438</v>
      </c>
      <c r="F6928" t="s">
        <v>1438</v>
      </c>
      <c r="G6928" t="s">
        <v>801</v>
      </c>
      <c r="H6928">
        <v>5</v>
      </c>
      <c r="I6928">
        <f>VLOOKUP(B6928,BRAND!B:D,3,FALSE)</f>
        <v>3</v>
      </c>
      <c r="J6928">
        <v>4</v>
      </c>
      <c r="M6928">
        <v>1</v>
      </c>
    </row>
    <row r="6929" spans="1:13">
      <c r="A6929" t="s">
        <v>4986</v>
      </c>
      <c r="B6929" t="s">
        <v>157</v>
      </c>
      <c r="C6929" s="34" t="s">
        <v>1438</v>
      </c>
      <c r="F6929" t="s">
        <v>1438</v>
      </c>
      <c r="G6929" t="s">
        <v>801</v>
      </c>
      <c r="H6929">
        <v>6</v>
      </c>
      <c r="I6929">
        <f>VLOOKUP(B6929,BRAND!B:D,3,FALSE)</f>
        <v>3</v>
      </c>
      <c r="J6929">
        <v>4</v>
      </c>
      <c r="K6929" t="s">
        <v>821</v>
      </c>
      <c r="M6929">
        <v>1</v>
      </c>
    </row>
    <row r="6930" spans="1:13">
      <c r="A6930" t="s">
        <v>2111</v>
      </c>
      <c r="B6930" t="s">
        <v>157</v>
      </c>
      <c r="C6930" s="34" t="s">
        <v>1438</v>
      </c>
      <c r="F6930" t="s">
        <v>1438</v>
      </c>
      <c r="H6930">
        <v>15</v>
      </c>
      <c r="I6930">
        <f>VLOOKUP(B6930,BRAND!B:D,3,FALSE)</f>
        <v>3</v>
      </c>
      <c r="J6930">
        <v>4</v>
      </c>
      <c r="K6930" t="s">
        <v>821</v>
      </c>
      <c r="M6930">
        <v>1</v>
      </c>
    </row>
    <row r="6931" spans="1:13">
      <c r="A6931" t="s">
        <v>13916</v>
      </c>
      <c r="B6931" t="s">
        <v>13917</v>
      </c>
      <c r="C6931" s="34" t="s">
        <v>1438</v>
      </c>
      <c r="F6931" t="s">
        <v>1438</v>
      </c>
      <c r="G6931" t="s">
        <v>6932</v>
      </c>
      <c r="H6931">
        <v>5</v>
      </c>
      <c r="I6931">
        <f>VLOOKUP(B6931,BRAND!B:D,3,FALSE)</f>
        <v>0</v>
      </c>
      <c r="J6931">
        <f>LEN(F6931)</f>
        <v>4</v>
      </c>
      <c r="K6931" t="s">
        <v>821</v>
      </c>
      <c r="L6931">
        <v>0</v>
      </c>
      <c r="M6931">
        <v>1</v>
      </c>
    </row>
    <row r="6932" spans="1:13">
      <c r="A6932" t="s">
        <v>14751</v>
      </c>
      <c r="B6932" t="s">
        <v>14752</v>
      </c>
      <c r="C6932" s="34" t="s">
        <v>1438</v>
      </c>
      <c r="F6932" t="s">
        <v>1438</v>
      </c>
      <c r="G6932" t="s">
        <v>6932</v>
      </c>
      <c r="H6932">
        <v>5</v>
      </c>
      <c r="I6932">
        <f>VLOOKUP(B6932,BRAND!B:D,3,FALSE)</f>
        <v>0</v>
      </c>
      <c r="J6932">
        <f>LEN(F6932)</f>
        <v>4</v>
      </c>
      <c r="K6932" t="s">
        <v>821</v>
      </c>
      <c r="L6932">
        <v>0</v>
      </c>
      <c r="M6932">
        <v>1</v>
      </c>
    </row>
    <row r="6933" spans="1:13">
      <c r="A6933" t="s">
        <v>9202</v>
      </c>
      <c r="B6933" t="s">
        <v>9203</v>
      </c>
      <c r="C6933" s="34" t="s">
        <v>799</v>
      </c>
      <c r="F6933" t="s">
        <v>799</v>
      </c>
      <c r="G6933" t="s">
        <v>6932</v>
      </c>
      <c r="H6933">
        <v>5</v>
      </c>
      <c r="I6933">
        <f>VLOOKUP(B6933,BRAND!B:D,3,FALSE)</f>
        <v>5.5</v>
      </c>
      <c r="J6933">
        <v>5</v>
      </c>
      <c r="M6933">
        <v>1</v>
      </c>
    </row>
    <row r="6934" spans="1:13">
      <c r="A6934" t="s">
        <v>9204</v>
      </c>
      <c r="B6934" t="s">
        <v>9203</v>
      </c>
      <c r="C6934" s="34" t="s">
        <v>1515</v>
      </c>
      <c r="F6934" t="s">
        <v>1515</v>
      </c>
      <c r="G6934" t="s">
        <v>6932</v>
      </c>
      <c r="H6934">
        <v>5</v>
      </c>
      <c r="I6934">
        <f>VLOOKUP(B6934,BRAND!B:D,3,FALSE)</f>
        <v>5.5</v>
      </c>
      <c r="J6934">
        <v>4</v>
      </c>
      <c r="M6934">
        <v>1</v>
      </c>
    </row>
    <row r="6935" spans="1:13">
      <c r="A6935" t="s">
        <v>9833</v>
      </c>
      <c r="B6935" t="s">
        <v>9203</v>
      </c>
      <c r="C6935" s="34" t="s">
        <v>751</v>
      </c>
      <c r="G6935" t="s">
        <v>6932</v>
      </c>
      <c r="H6935">
        <v>5</v>
      </c>
      <c r="I6935">
        <f>VLOOKUP(B6935,BRAND!B:D,3,FALSE)</f>
        <v>5.5</v>
      </c>
      <c r="J6935">
        <f>LEN(F6935)</f>
        <v>0</v>
      </c>
      <c r="L6935">
        <v>0</v>
      </c>
      <c r="M6935">
        <v>0</v>
      </c>
    </row>
    <row r="6936" spans="1:13">
      <c r="A6936" t="s">
        <v>9833</v>
      </c>
      <c r="B6936" t="s">
        <v>9203</v>
      </c>
      <c r="C6936" s="34" t="s">
        <v>751</v>
      </c>
      <c r="G6936" t="s">
        <v>6932</v>
      </c>
      <c r="H6936">
        <v>5</v>
      </c>
      <c r="I6936">
        <f>VLOOKUP(B6936,BRAND!B:D,3,FALSE)</f>
        <v>5.5</v>
      </c>
      <c r="J6936">
        <v>0</v>
      </c>
      <c r="M6936">
        <v>1</v>
      </c>
    </row>
    <row r="6937" spans="1:13">
      <c r="A6937" t="s">
        <v>2655</v>
      </c>
      <c r="B6937" t="s">
        <v>1195</v>
      </c>
      <c r="C6937" s="34" t="s">
        <v>1438</v>
      </c>
      <c r="F6937" t="s">
        <v>1438</v>
      </c>
      <c r="H6937">
        <v>15</v>
      </c>
      <c r="I6937">
        <f>VLOOKUP(B6937,BRAND!B:D,3,FALSE)</f>
        <v>3</v>
      </c>
      <c r="J6937">
        <v>4</v>
      </c>
      <c r="K6937" t="s">
        <v>821</v>
      </c>
      <c r="L6937">
        <v>0</v>
      </c>
      <c r="M6937">
        <v>0</v>
      </c>
    </row>
    <row r="6938" spans="1:13">
      <c r="A6938" t="s">
        <v>9198</v>
      </c>
      <c r="B6938" t="s">
        <v>9199</v>
      </c>
      <c r="C6938" s="34" t="s">
        <v>9200</v>
      </c>
      <c r="F6938" t="s">
        <v>9201</v>
      </c>
      <c r="G6938" t="s">
        <v>6932</v>
      </c>
      <c r="H6938">
        <v>5</v>
      </c>
      <c r="I6938">
        <f>VLOOKUP(B6938,BRAND!B:D,3,FALSE)</f>
        <v>5.5</v>
      </c>
      <c r="J6938">
        <v>9</v>
      </c>
      <c r="M6938">
        <v>1</v>
      </c>
    </row>
    <row r="6939" spans="1:13">
      <c r="A6939" t="s">
        <v>15045</v>
      </c>
      <c r="B6939" t="s">
        <v>15046</v>
      </c>
      <c r="C6939" s="34" t="s">
        <v>1438</v>
      </c>
      <c r="F6939" t="s">
        <v>1438</v>
      </c>
      <c r="G6939" t="s">
        <v>6932</v>
      </c>
      <c r="H6939">
        <v>5</v>
      </c>
      <c r="I6939">
        <f>VLOOKUP(B6939,BRAND!B:D,3,FALSE)</f>
        <v>5</v>
      </c>
      <c r="J6939">
        <v>0</v>
      </c>
      <c r="K6939" t="s">
        <v>821</v>
      </c>
      <c r="L6939">
        <v>0</v>
      </c>
      <c r="M6939">
        <v>0</v>
      </c>
    </row>
    <row r="6940" spans="1:13">
      <c r="A6940" t="s">
        <v>9205</v>
      </c>
      <c r="B6940" t="s">
        <v>9206</v>
      </c>
      <c r="C6940" s="34" t="s">
        <v>1438</v>
      </c>
      <c r="F6940" t="s">
        <v>1438</v>
      </c>
      <c r="G6940" t="s">
        <v>6932</v>
      </c>
      <c r="H6940">
        <v>5</v>
      </c>
      <c r="I6940">
        <f>VLOOKUP(B6940,BRAND!B:D,3,FALSE)</f>
        <v>5.5</v>
      </c>
      <c r="J6940">
        <v>4</v>
      </c>
      <c r="M6940">
        <v>1</v>
      </c>
    </row>
    <row r="6941" spans="1:13">
      <c r="A6941" t="s">
        <v>6816</v>
      </c>
      <c r="B6941" t="s">
        <v>6813</v>
      </c>
      <c r="C6941" s="34" t="s">
        <v>6817</v>
      </c>
      <c r="F6941" t="s">
        <v>6818</v>
      </c>
      <c r="H6941">
        <v>5</v>
      </c>
      <c r="I6941">
        <f>VLOOKUP(B6941,BRAND!B:D,3,FALSE)</f>
        <v>5</v>
      </c>
      <c r="J6941">
        <f>LEN(F6941)</f>
        <v>15</v>
      </c>
      <c r="L6941">
        <v>0</v>
      </c>
      <c r="M6941">
        <v>0</v>
      </c>
    </row>
    <row r="6942" spans="1:13">
      <c r="A6942" t="s">
        <v>6822</v>
      </c>
      <c r="B6942" t="s">
        <v>6813</v>
      </c>
      <c r="C6942" s="34" t="s">
        <v>6823</v>
      </c>
      <c r="F6942" t="s">
        <v>6823</v>
      </c>
      <c r="H6942">
        <v>5</v>
      </c>
      <c r="I6942">
        <f>VLOOKUP(B6942,BRAND!B:D,3,FALSE)</f>
        <v>5</v>
      </c>
      <c r="J6942">
        <v>9</v>
      </c>
      <c r="M6942">
        <v>1</v>
      </c>
    </row>
    <row r="6943" spans="1:13">
      <c r="A6943" t="s">
        <v>6815</v>
      </c>
      <c r="B6943" t="s">
        <v>6813</v>
      </c>
      <c r="C6943" s="34" t="s">
        <v>1489</v>
      </c>
      <c r="F6943" t="s">
        <v>1489</v>
      </c>
      <c r="H6943">
        <v>5</v>
      </c>
      <c r="I6943">
        <f>VLOOKUP(B6943,BRAND!B:D,3,FALSE)</f>
        <v>5</v>
      </c>
      <c r="J6943">
        <v>7</v>
      </c>
      <c r="M6943">
        <v>1</v>
      </c>
    </row>
    <row r="6944" spans="1:13">
      <c r="A6944" t="s">
        <v>6821</v>
      </c>
      <c r="B6944" t="s">
        <v>6813</v>
      </c>
      <c r="C6944" s="34" t="s">
        <v>995</v>
      </c>
      <c r="F6944" t="s">
        <v>995</v>
      </c>
      <c r="H6944">
        <v>5</v>
      </c>
      <c r="I6944">
        <f>VLOOKUP(B6944,BRAND!B:D,3,FALSE)</f>
        <v>5</v>
      </c>
      <c r="J6944">
        <v>6</v>
      </c>
      <c r="M6944">
        <v>1</v>
      </c>
    </row>
    <row r="6945" spans="1:13">
      <c r="A6945" t="s">
        <v>6812</v>
      </c>
      <c r="B6945" t="s">
        <v>6813</v>
      </c>
      <c r="C6945" s="34" t="s">
        <v>1466</v>
      </c>
      <c r="F6945" t="s">
        <v>1466</v>
      </c>
      <c r="H6945">
        <v>5</v>
      </c>
      <c r="I6945">
        <f>VLOOKUP(B6945,BRAND!B:D,3,FALSE)</f>
        <v>5</v>
      </c>
      <c r="J6945">
        <v>4</v>
      </c>
      <c r="M6945">
        <v>1</v>
      </c>
    </row>
    <row r="6946" spans="1:13">
      <c r="A6946" t="s">
        <v>6814</v>
      </c>
      <c r="B6946" t="s">
        <v>6813</v>
      </c>
      <c r="C6946" s="34" t="s">
        <v>1466</v>
      </c>
      <c r="F6946" t="s">
        <v>1466</v>
      </c>
      <c r="G6946" t="s">
        <v>801</v>
      </c>
      <c r="H6946">
        <v>5</v>
      </c>
      <c r="I6946">
        <f>VLOOKUP(B6946,BRAND!B:D,3,FALSE)</f>
        <v>5</v>
      </c>
      <c r="J6946">
        <v>4</v>
      </c>
      <c r="M6946">
        <v>1</v>
      </c>
    </row>
    <row r="6947" spans="1:13">
      <c r="A6947" t="s">
        <v>9207</v>
      </c>
      <c r="B6947" t="s">
        <v>9208</v>
      </c>
      <c r="C6947" s="34" t="s">
        <v>1438</v>
      </c>
      <c r="F6947" t="s">
        <v>1438</v>
      </c>
      <c r="G6947" t="s">
        <v>6932</v>
      </c>
      <c r="H6947">
        <v>5</v>
      </c>
      <c r="I6947">
        <f>VLOOKUP(B6947,BRAND!B:D,3,FALSE)</f>
        <v>5.5</v>
      </c>
      <c r="J6947">
        <v>4</v>
      </c>
      <c r="M6947">
        <v>1</v>
      </c>
    </row>
    <row r="6948" spans="1:13">
      <c r="A6948" t="s">
        <v>3445</v>
      </c>
      <c r="B6948" t="s">
        <v>158</v>
      </c>
      <c r="C6948" s="34" t="s">
        <v>534</v>
      </c>
      <c r="F6948" t="s">
        <v>534</v>
      </c>
      <c r="H6948">
        <v>5</v>
      </c>
      <c r="I6948">
        <f>VLOOKUP(B6948,BRAND!B:D,3,FALSE)</f>
        <v>3</v>
      </c>
      <c r="J6948">
        <v>6</v>
      </c>
      <c r="K6948" t="s">
        <v>821</v>
      </c>
      <c r="L6948">
        <v>0</v>
      </c>
      <c r="M6948">
        <v>0</v>
      </c>
    </row>
    <row r="6949" spans="1:13">
      <c r="A6949" t="s">
        <v>4835</v>
      </c>
      <c r="B6949" t="s">
        <v>158</v>
      </c>
      <c r="C6949" s="34" t="s">
        <v>536</v>
      </c>
      <c r="F6949" t="s">
        <v>536</v>
      </c>
      <c r="H6949">
        <v>5</v>
      </c>
      <c r="I6949">
        <f>VLOOKUP(B6949,BRAND!B:D,3,FALSE)</f>
        <v>3</v>
      </c>
      <c r="J6949">
        <v>5</v>
      </c>
      <c r="K6949" t="s">
        <v>821</v>
      </c>
      <c r="L6949">
        <v>0</v>
      </c>
      <c r="M6949">
        <v>0</v>
      </c>
    </row>
    <row r="6950" spans="1:13">
      <c r="A6950" t="s">
        <v>9209</v>
      </c>
      <c r="B6950" t="s">
        <v>158</v>
      </c>
      <c r="C6950" s="34" t="s">
        <v>1438</v>
      </c>
      <c r="F6950" t="s">
        <v>1438</v>
      </c>
      <c r="G6950" t="s">
        <v>6932</v>
      </c>
      <c r="H6950">
        <v>5</v>
      </c>
      <c r="I6950">
        <f>VLOOKUP(B6950,BRAND!B:D,3,FALSE)</f>
        <v>3</v>
      </c>
      <c r="J6950">
        <v>4</v>
      </c>
      <c r="L6950">
        <v>0</v>
      </c>
      <c r="M6950">
        <v>0</v>
      </c>
    </row>
    <row r="6951" spans="1:13">
      <c r="A6951" t="s">
        <v>2168</v>
      </c>
      <c r="B6951" t="s">
        <v>158</v>
      </c>
      <c r="C6951" s="34" t="s">
        <v>1438</v>
      </c>
      <c r="F6951" t="s">
        <v>1438</v>
      </c>
      <c r="H6951">
        <v>15</v>
      </c>
      <c r="I6951">
        <f>VLOOKUP(B6951,BRAND!B:D,3,FALSE)</f>
        <v>3</v>
      </c>
      <c r="J6951">
        <v>4</v>
      </c>
      <c r="K6951" t="s">
        <v>821</v>
      </c>
      <c r="M6951">
        <v>1</v>
      </c>
    </row>
    <row r="6952" spans="1:13">
      <c r="A6952" t="s">
        <v>2665</v>
      </c>
      <c r="B6952" t="s">
        <v>579</v>
      </c>
      <c r="C6952" s="34" t="s">
        <v>1438</v>
      </c>
      <c r="F6952" t="s">
        <v>1438</v>
      </c>
      <c r="H6952">
        <v>15</v>
      </c>
      <c r="I6952">
        <f>VLOOKUP(B6952,BRAND!B:D,3,FALSE)</f>
        <v>3</v>
      </c>
      <c r="J6952">
        <v>4</v>
      </c>
      <c r="K6952" t="s">
        <v>821</v>
      </c>
      <c r="M6952">
        <v>1</v>
      </c>
    </row>
    <row r="6953" spans="1:13">
      <c r="A6953" t="s">
        <v>7714</v>
      </c>
      <c r="B6953" t="s">
        <v>7715</v>
      </c>
      <c r="C6953" s="34" t="s">
        <v>1438</v>
      </c>
      <c r="F6953" t="s">
        <v>1438</v>
      </c>
      <c r="G6953" t="s">
        <v>6932</v>
      </c>
      <c r="H6953">
        <v>5</v>
      </c>
      <c r="I6953">
        <f>VLOOKUP(B6953,BRAND!B:D,3,FALSE)</f>
        <v>5.5</v>
      </c>
      <c r="J6953">
        <v>4</v>
      </c>
      <c r="M6953">
        <v>1</v>
      </c>
    </row>
    <row r="6954" spans="1:13">
      <c r="A6954" t="s">
        <v>10555</v>
      </c>
      <c r="B6954" t="s">
        <v>159</v>
      </c>
      <c r="C6954" s="34" t="s">
        <v>10679</v>
      </c>
      <c r="D6954" t="s">
        <v>782</v>
      </c>
      <c r="F6954" t="s">
        <v>10556</v>
      </c>
      <c r="G6954" t="s">
        <v>6932</v>
      </c>
      <c r="H6954">
        <v>5</v>
      </c>
      <c r="I6954">
        <f>VLOOKUP(B6954,BRAND!B:D,3,FALSE)</f>
        <v>3</v>
      </c>
      <c r="J6954">
        <f>LEN(F6954)</f>
        <v>10</v>
      </c>
      <c r="L6954">
        <v>0</v>
      </c>
    </row>
    <row r="6955" spans="1:13">
      <c r="A6955" t="s">
        <v>4721</v>
      </c>
      <c r="B6955" t="s">
        <v>159</v>
      </c>
      <c r="C6955" s="34" t="s">
        <v>942</v>
      </c>
      <c r="F6955" t="s">
        <v>942</v>
      </c>
      <c r="H6955">
        <v>5</v>
      </c>
      <c r="I6955">
        <f>VLOOKUP(B6955,BRAND!B:D,3,FALSE)</f>
        <v>3</v>
      </c>
      <c r="J6955">
        <v>8</v>
      </c>
      <c r="K6955" t="s">
        <v>821</v>
      </c>
      <c r="M6955">
        <v>1</v>
      </c>
    </row>
    <row r="6956" spans="1:13">
      <c r="A6956" t="s">
        <v>4861</v>
      </c>
      <c r="B6956" t="s">
        <v>159</v>
      </c>
      <c r="C6956" s="34" t="s">
        <v>769</v>
      </c>
      <c r="F6956" t="s">
        <v>769</v>
      </c>
      <c r="H6956">
        <v>5</v>
      </c>
      <c r="I6956">
        <f>VLOOKUP(B6956,BRAND!B:D,3,FALSE)</f>
        <v>3</v>
      </c>
      <c r="J6956">
        <v>8</v>
      </c>
      <c r="K6956" t="s">
        <v>821</v>
      </c>
      <c r="M6956">
        <v>1</v>
      </c>
    </row>
    <row r="6957" spans="1:13">
      <c r="A6957" t="s">
        <v>4428</v>
      </c>
      <c r="B6957" t="s">
        <v>159</v>
      </c>
      <c r="C6957" s="34" t="s">
        <v>1488</v>
      </c>
      <c r="F6957" t="s">
        <v>1488</v>
      </c>
      <c r="H6957">
        <v>5</v>
      </c>
      <c r="I6957">
        <f>VLOOKUP(B6957,BRAND!B:D,3,FALSE)</f>
        <v>3</v>
      </c>
      <c r="J6957">
        <v>7</v>
      </c>
      <c r="K6957" t="s">
        <v>821</v>
      </c>
      <c r="M6957">
        <v>1</v>
      </c>
    </row>
    <row r="6958" spans="1:13">
      <c r="A6958" t="s">
        <v>10557</v>
      </c>
      <c r="B6958" t="s">
        <v>159</v>
      </c>
      <c r="C6958" s="34" t="s">
        <v>776</v>
      </c>
      <c r="F6958" t="s">
        <v>776</v>
      </c>
      <c r="G6958" t="s">
        <v>6932</v>
      </c>
      <c r="H6958">
        <v>5</v>
      </c>
      <c r="I6958">
        <f>VLOOKUP(B6958,BRAND!B:D,3,FALSE)</f>
        <v>3</v>
      </c>
      <c r="J6958">
        <f>LEN(F6958)</f>
        <v>5</v>
      </c>
      <c r="L6958">
        <v>0</v>
      </c>
    </row>
    <row r="6959" spans="1:13">
      <c r="A6959" t="s">
        <v>10554</v>
      </c>
      <c r="B6959" t="s">
        <v>159</v>
      </c>
      <c r="C6959" s="34" t="s">
        <v>799</v>
      </c>
      <c r="F6959" t="s">
        <v>799</v>
      </c>
      <c r="G6959" t="s">
        <v>6932</v>
      </c>
      <c r="H6959">
        <v>5</v>
      </c>
      <c r="I6959">
        <f>VLOOKUP(B6959,BRAND!B:D,3,FALSE)</f>
        <v>3</v>
      </c>
      <c r="J6959">
        <f>LEN(F6959)</f>
        <v>5</v>
      </c>
      <c r="L6959">
        <v>0</v>
      </c>
    </row>
    <row r="6960" spans="1:13">
      <c r="A6960" t="s">
        <v>4208</v>
      </c>
      <c r="B6960" t="s">
        <v>159</v>
      </c>
      <c r="C6960" s="34" t="s">
        <v>799</v>
      </c>
      <c r="F6960" t="s">
        <v>799</v>
      </c>
      <c r="H6960">
        <v>5</v>
      </c>
      <c r="I6960">
        <f>VLOOKUP(B6960,BRAND!B:D,3,FALSE)</f>
        <v>3</v>
      </c>
      <c r="J6960">
        <v>5</v>
      </c>
      <c r="K6960" t="s">
        <v>821</v>
      </c>
      <c r="M6960">
        <v>1</v>
      </c>
    </row>
    <row r="6961" spans="1:13">
      <c r="A6961" t="s">
        <v>10553</v>
      </c>
      <c r="B6961" t="s">
        <v>159</v>
      </c>
      <c r="C6961" s="34" t="s">
        <v>782</v>
      </c>
      <c r="F6961" t="s">
        <v>782</v>
      </c>
      <c r="G6961" t="s">
        <v>6932</v>
      </c>
      <c r="H6961">
        <v>5</v>
      </c>
      <c r="I6961">
        <f>VLOOKUP(B6961,BRAND!B:D,3,FALSE)</f>
        <v>3</v>
      </c>
      <c r="J6961">
        <f>LEN(F6961)</f>
        <v>4</v>
      </c>
      <c r="L6961">
        <v>0</v>
      </c>
    </row>
    <row r="6962" spans="1:13">
      <c r="A6962" t="s">
        <v>4153</v>
      </c>
      <c r="B6962" t="s">
        <v>159</v>
      </c>
      <c r="C6962" s="34" t="s">
        <v>775</v>
      </c>
      <c r="F6962" t="s">
        <v>775</v>
      </c>
      <c r="H6962">
        <v>5</v>
      </c>
      <c r="I6962">
        <f>VLOOKUP(B6962,BRAND!B:D,3,FALSE)</f>
        <v>3</v>
      </c>
      <c r="J6962">
        <v>3</v>
      </c>
      <c r="K6962" t="s">
        <v>821</v>
      </c>
      <c r="M6962">
        <v>1</v>
      </c>
    </row>
    <row r="6963" spans="1:13">
      <c r="A6963" s="29" t="s">
        <v>4454</v>
      </c>
      <c r="B6963" s="29" t="s">
        <v>159</v>
      </c>
      <c r="C6963" s="36" t="s">
        <v>882</v>
      </c>
      <c r="D6963" s="29"/>
      <c r="E6963" s="29"/>
      <c r="F6963" s="29" t="s">
        <v>882</v>
      </c>
      <c r="G6963" s="29" t="s">
        <v>801</v>
      </c>
      <c r="H6963">
        <v>6</v>
      </c>
      <c r="I6963">
        <f>VLOOKUP(B6963,BRAND!B:D,3,FALSE)</f>
        <v>3</v>
      </c>
      <c r="J6963">
        <f>LEN(F6963)</f>
        <v>10</v>
      </c>
      <c r="K6963" t="s">
        <v>821</v>
      </c>
      <c r="M6963">
        <v>1</v>
      </c>
    </row>
    <row r="6964" spans="1:13">
      <c r="A6964" t="s">
        <v>4245</v>
      </c>
      <c r="B6964" t="s">
        <v>159</v>
      </c>
      <c r="C6964" s="34" t="s">
        <v>775</v>
      </c>
      <c r="F6964" t="s">
        <v>775</v>
      </c>
      <c r="G6964" t="s">
        <v>801</v>
      </c>
      <c r="H6964">
        <v>6</v>
      </c>
      <c r="I6964">
        <f>VLOOKUP(B6964,BRAND!B:D,3,FALSE)</f>
        <v>3</v>
      </c>
      <c r="J6964">
        <v>3</v>
      </c>
      <c r="K6964" t="s">
        <v>821</v>
      </c>
      <c r="M6964">
        <v>1</v>
      </c>
    </row>
    <row r="6965" spans="1:13">
      <c r="A6965" t="s">
        <v>4533</v>
      </c>
      <c r="B6965" t="s">
        <v>159</v>
      </c>
      <c r="C6965" s="34" t="s">
        <v>1438</v>
      </c>
      <c r="F6965" t="s">
        <v>1438</v>
      </c>
      <c r="H6965">
        <v>15</v>
      </c>
      <c r="I6965">
        <f>VLOOKUP(B6965,BRAND!B:D,3,FALSE)</f>
        <v>3</v>
      </c>
      <c r="J6965">
        <v>4</v>
      </c>
      <c r="K6965" t="s">
        <v>821</v>
      </c>
      <c r="M6965">
        <v>1</v>
      </c>
    </row>
    <row r="6966" spans="1:13">
      <c r="A6966" t="s">
        <v>3117</v>
      </c>
      <c r="B6966" t="s">
        <v>1341</v>
      </c>
      <c r="C6966" s="34" t="s">
        <v>775</v>
      </c>
      <c r="F6966" t="s">
        <v>775</v>
      </c>
      <c r="H6966">
        <v>5</v>
      </c>
      <c r="I6966">
        <f>VLOOKUP(B6966,BRAND!B:D,3,FALSE)</f>
        <v>3</v>
      </c>
      <c r="J6966">
        <v>3</v>
      </c>
      <c r="K6966" t="s">
        <v>821</v>
      </c>
      <c r="L6966">
        <v>0</v>
      </c>
      <c r="M6966">
        <v>0</v>
      </c>
    </row>
    <row r="6967" spans="1:13">
      <c r="A6967" t="s">
        <v>3753</v>
      </c>
      <c r="B6967" t="s">
        <v>1342</v>
      </c>
      <c r="C6967" s="34" t="s">
        <v>773</v>
      </c>
      <c r="F6967" t="s">
        <v>773</v>
      </c>
      <c r="H6967">
        <v>5</v>
      </c>
      <c r="I6967">
        <f>VLOOKUP(B6967,BRAND!B:D,3,FALSE)</f>
        <v>3</v>
      </c>
      <c r="J6967">
        <v>4</v>
      </c>
      <c r="K6967" t="s">
        <v>821</v>
      </c>
      <c r="L6967">
        <v>0</v>
      </c>
      <c r="M6967">
        <v>0</v>
      </c>
    </row>
    <row r="6968" spans="1:13">
      <c r="A6968" t="s">
        <v>2900</v>
      </c>
      <c r="B6968" t="s">
        <v>1342</v>
      </c>
      <c r="C6968" s="34" t="s">
        <v>775</v>
      </c>
      <c r="F6968" t="s">
        <v>775</v>
      </c>
      <c r="H6968">
        <v>5</v>
      </c>
      <c r="I6968">
        <f>VLOOKUP(B6968,BRAND!B:D,3,FALSE)</f>
        <v>3</v>
      </c>
      <c r="J6968">
        <v>3</v>
      </c>
      <c r="K6968" t="s">
        <v>821</v>
      </c>
      <c r="L6968">
        <v>0</v>
      </c>
      <c r="M6968">
        <v>0</v>
      </c>
    </row>
    <row r="6969" spans="1:13">
      <c r="A6969" t="s">
        <v>9834</v>
      </c>
      <c r="B6969" t="s">
        <v>10008</v>
      </c>
      <c r="C6969" s="34" t="s">
        <v>536</v>
      </c>
      <c r="G6969" t="s">
        <v>6932</v>
      </c>
      <c r="H6969">
        <v>5</v>
      </c>
      <c r="I6969">
        <f>VLOOKUP(B6969,BRAND!B:D,3,FALSE)</f>
        <v>5.5</v>
      </c>
      <c r="J6969">
        <f>LEN(F6969)</f>
        <v>0</v>
      </c>
      <c r="L6969">
        <v>0</v>
      </c>
      <c r="M6969">
        <v>0</v>
      </c>
    </row>
    <row r="6970" spans="1:13">
      <c r="A6970" t="s">
        <v>9834</v>
      </c>
      <c r="B6970" t="s">
        <v>10008</v>
      </c>
      <c r="C6970" s="34" t="s">
        <v>536</v>
      </c>
      <c r="G6970" t="s">
        <v>6932</v>
      </c>
      <c r="H6970">
        <v>5</v>
      </c>
      <c r="I6970">
        <f>VLOOKUP(B6970,BRAND!B:D,3,FALSE)</f>
        <v>5.5</v>
      </c>
      <c r="J6970">
        <v>0</v>
      </c>
      <c r="M6970">
        <v>1</v>
      </c>
    </row>
    <row r="6971" spans="1:13">
      <c r="A6971" t="s">
        <v>10834</v>
      </c>
      <c r="B6971" t="s">
        <v>1340</v>
      </c>
      <c r="C6971" s="34" t="s">
        <v>561</v>
      </c>
      <c r="F6971" t="s">
        <v>561</v>
      </c>
      <c r="H6971">
        <v>5</v>
      </c>
      <c r="I6971">
        <f>VLOOKUP(B6971,BRAND!B:D,3,FALSE)</f>
        <v>3</v>
      </c>
      <c r="J6971">
        <v>3</v>
      </c>
      <c r="K6971" t="s">
        <v>821</v>
      </c>
      <c r="L6971">
        <v>0</v>
      </c>
      <c r="M6971">
        <v>0</v>
      </c>
    </row>
    <row r="6972" spans="1:13">
      <c r="A6972" t="s">
        <v>4181</v>
      </c>
      <c r="B6972" t="s">
        <v>1340</v>
      </c>
      <c r="C6972" s="34" t="s">
        <v>775</v>
      </c>
      <c r="F6972" t="s">
        <v>775</v>
      </c>
      <c r="H6972">
        <v>5</v>
      </c>
      <c r="I6972">
        <f>VLOOKUP(B6972,BRAND!B:D,3,FALSE)</f>
        <v>3</v>
      </c>
      <c r="J6972">
        <v>3</v>
      </c>
      <c r="K6972" t="s">
        <v>821</v>
      </c>
      <c r="L6972">
        <v>0</v>
      </c>
      <c r="M6972">
        <v>0</v>
      </c>
    </row>
    <row r="6973" spans="1:13">
      <c r="A6973" t="s">
        <v>2228</v>
      </c>
      <c r="B6973" t="s">
        <v>1340</v>
      </c>
      <c r="C6973" s="34" t="s">
        <v>1438</v>
      </c>
      <c r="F6973" t="s">
        <v>1438</v>
      </c>
      <c r="H6973">
        <v>15</v>
      </c>
      <c r="I6973">
        <f>VLOOKUP(B6973,BRAND!B:D,3,FALSE)</f>
        <v>3</v>
      </c>
      <c r="J6973">
        <v>4</v>
      </c>
      <c r="K6973" t="s">
        <v>821</v>
      </c>
      <c r="L6973">
        <v>0</v>
      </c>
      <c r="M6973">
        <v>0</v>
      </c>
    </row>
    <row r="6974" spans="1:13">
      <c r="A6974" t="s">
        <v>7226</v>
      </c>
      <c r="B6974" t="s">
        <v>7227</v>
      </c>
      <c r="C6974" s="34" t="s">
        <v>1438</v>
      </c>
      <c r="F6974" t="s">
        <v>1438</v>
      </c>
      <c r="G6974" t="s">
        <v>6932</v>
      </c>
      <c r="H6974">
        <v>5</v>
      </c>
      <c r="I6974">
        <f>VLOOKUP(B6974,BRAND!B:D,3,FALSE)</f>
        <v>5.5</v>
      </c>
      <c r="J6974">
        <v>4</v>
      </c>
      <c r="M6974">
        <v>1</v>
      </c>
    </row>
    <row r="6975" spans="1:13">
      <c r="A6975" t="s">
        <v>7226</v>
      </c>
      <c r="B6975" t="s">
        <v>7227</v>
      </c>
      <c r="C6975" s="34" t="s">
        <v>1438</v>
      </c>
      <c r="F6975" t="s">
        <v>1438</v>
      </c>
      <c r="H6975">
        <v>5</v>
      </c>
      <c r="I6975">
        <f>VLOOKUP(B6975,BRAND!B:D,3,FALSE)</f>
        <v>5.5</v>
      </c>
      <c r="M6975">
        <v>1</v>
      </c>
    </row>
    <row r="6976" spans="1:13">
      <c r="A6976" t="s">
        <v>9210</v>
      </c>
      <c r="B6976" t="s">
        <v>9211</v>
      </c>
      <c r="C6976" s="34" t="s">
        <v>534</v>
      </c>
      <c r="F6976" t="s">
        <v>534</v>
      </c>
      <c r="G6976" t="s">
        <v>6932</v>
      </c>
      <c r="H6976">
        <v>5</v>
      </c>
      <c r="I6976">
        <f>VLOOKUP(B6976,BRAND!B:D,3,FALSE)</f>
        <v>5.5</v>
      </c>
      <c r="J6976">
        <v>6</v>
      </c>
      <c r="M6976">
        <v>1</v>
      </c>
    </row>
    <row r="6977" spans="1:13">
      <c r="A6977" t="s">
        <v>9212</v>
      </c>
      <c r="B6977" t="s">
        <v>9211</v>
      </c>
      <c r="C6977" s="34" t="s">
        <v>1992</v>
      </c>
      <c r="F6977" t="s">
        <v>1992</v>
      </c>
      <c r="G6977" t="s">
        <v>6932</v>
      </c>
      <c r="H6977">
        <v>5</v>
      </c>
      <c r="I6977">
        <f>VLOOKUP(B6977,BRAND!B:D,3,FALSE)</f>
        <v>5.5</v>
      </c>
      <c r="J6977">
        <v>3</v>
      </c>
      <c r="M6977">
        <v>1</v>
      </c>
    </row>
    <row r="6978" spans="1:13">
      <c r="A6978" t="s">
        <v>3311</v>
      </c>
      <c r="B6978" t="s">
        <v>580</v>
      </c>
      <c r="C6978" s="34" t="s">
        <v>776</v>
      </c>
      <c r="F6978" t="s">
        <v>776</v>
      </c>
      <c r="H6978">
        <v>5</v>
      </c>
      <c r="I6978">
        <f>VLOOKUP(B6978,BRAND!B:D,3,FALSE)</f>
        <v>3</v>
      </c>
      <c r="J6978">
        <v>5</v>
      </c>
      <c r="K6978" t="s">
        <v>821</v>
      </c>
      <c r="L6978">
        <v>0</v>
      </c>
      <c r="M6978">
        <v>0</v>
      </c>
    </row>
    <row r="6979" spans="1:13">
      <c r="A6979" t="s">
        <v>9213</v>
      </c>
      <c r="B6979" t="s">
        <v>580</v>
      </c>
      <c r="C6979" s="34" t="s">
        <v>1438</v>
      </c>
      <c r="F6979" t="s">
        <v>1438</v>
      </c>
      <c r="G6979" t="s">
        <v>6932</v>
      </c>
      <c r="H6979">
        <v>5</v>
      </c>
      <c r="I6979">
        <f>VLOOKUP(B6979,BRAND!B:D,3,FALSE)</f>
        <v>3</v>
      </c>
      <c r="J6979">
        <v>4</v>
      </c>
      <c r="M6979">
        <v>1</v>
      </c>
    </row>
    <row r="6980" spans="1:13">
      <c r="A6980" t="s">
        <v>3174</v>
      </c>
      <c r="B6980" t="s">
        <v>1343</v>
      </c>
      <c r="C6980" s="34" t="s">
        <v>1438</v>
      </c>
      <c r="F6980" t="s">
        <v>1438</v>
      </c>
      <c r="H6980">
        <v>15</v>
      </c>
      <c r="I6980">
        <f>VLOOKUP(B6980,BRAND!B:D,3,FALSE)</f>
        <v>3</v>
      </c>
      <c r="J6980">
        <v>4</v>
      </c>
      <c r="K6980" t="s">
        <v>821</v>
      </c>
      <c r="L6980">
        <v>0</v>
      </c>
      <c r="M6980">
        <v>0</v>
      </c>
    </row>
    <row r="6981" spans="1:13">
      <c r="A6981" t="s">
        <v>4946</v>
      </c>
      <c r="B6981" t="s">
        <v>1344</v>
      </c>
      <c r="C6981" s="34" t="s">
        <v>1438</v>
      </c>
      <c r="F6981" t="s">
        <v>1438</v>
      </c>
      <c r="G6981" t="s">
        <v>801</v>
      </c>
      <c r="H6981">
        <v>6</v>
      </c>
      <c r="I6981">
        <f>VLOOKUP(B6981,BRAND!B:D,3,FALSE)</f>
        <v>5</v>
      </c>
      <c r="J6981">
        <v>4</v>
      </c>
      <c r="K6981" t="s">
        <v>821</v>
      </c>
      <c r="L6981">
        <v>0</v>
      </c>
      <c r="M6981">
        <v>0</v>
      </c>
    </row>
    <row r="6982" spans="1:13">
      <c r="A6982" t="s">
        <v>2640</v>
      </c>
      <c r="B6982" t="s">
        <v>1344</v>
      </c>
      <c r="C6982" s="34" t="s">
        <v>1438</v>
      </c>
      <c r="F6982" t="s">
        <v>1438</v>
      </c>
      <c r="H6982">
        <v>15</v>
      </c>
      <c r="I6982">
        <f>VLOOKUP(B6982,BRAND!B:D,3,FALSE)</f>
        <v>5</v>
      </c>
      <c r="J6982">
        <v>4</v>
      </c>
      <c r="K6982" t="s">
        <v>821</v>
      </c>
      <c r="L6982">
        <v>0</v>
      </c>
      <c r="M6982">
        <v>0</v>
      </c>
    </row>
    <row r="6983" spans="1:13">
      <c r="A6983" t="s">
        <v>3867</v>
      </c>
      <c r="B6983" t="s">
        <v>581</v>
      </c>
      <c r="C6983" s="34" t="s">
        <v>897</v>
      </c>
      <c r="F6983" t="s">
        <v>897</v>
      </c>
      <c r="H6983">
        <v>5</v>
      </c>
      <c r="I6983">
        <f>VLOOKUP(B6983,BRAND!B:D,3,FALSE)</f>
        <v>3</v>
      </c>
      <c r="J6983">
        <v>4</v>
      </c>
      <c r="K6983" t="s">
        <v>821</v>
      </c>
      <c r="L6983">
        <v>0</v>
      </c>
      <c r="M6983">
        <v>0</v>
      </c>
    </row>
    <row r="6984" spans="1:13">
      <c r="A6984" t="s">
        <v>9835</v>
      </c>
      <c r="B6984" t="s">
        <v>581</v>
      </c>
      <c r="C6984" s="34" t="s">
        <v>1438</v>
      </c>
      <c r="H6984">
        <v>5</v>
      </c>
      <c r="I6984">
        <f>VLOOKUP(B6984,BRAND!B:D,3,FALSE)</f>
        <v>3</v>
      </c>
      <c r="J6984">
        <f>LEN(F6984)</f>
        <v>0</v>
      </c>
      <c r="L6984">
        <v>0</v>
      </c>
      <c r="M6984">
        <v>0</v>
      </c>
    </row>
    <row r="6985" spans="1:13">
      <c r="A6985" t="s">
        <v>9835</v>
      </c>
      <c r="B6985" t="s">
        <v>581</v>
      </c>
      <c r="C6985" s="34" t="s">
        <v>1438</v>
      </c>
      <c r="H6985">
        <v>5</v>
      </c>
      <c r="I6985">
        <f>VLOOKUP(B6985,BRAND!B:D,3,FALSE)</f>
        <v>3</v>
      </c>
      <c r="J6985">
        <v>0</v>
      </c>
      <c r="M6985">
        <v>1</v>
      </c>
    </row>
    <row r="6986" spans="1:13">
      <c r="A6986" t="s">
        <v>9214</v>
      </c>
      <c r="B6986" t="s">
        <v>9215</v>
      </c>
      <c r="C6986" s="34" t="s">
        <v>1438</v>
      </c>
      <c r="F6986" t="s">
        <v>1438</v>
      </c>
      <c r="G6986" t="s">
        <v>6932</v>
      </c>
      <c r="H6986">
        <v>5</v>
      </c>
      <c r="I6986">
        <f>VLOOKUP(B6986,BRAND!B:D,3,FALSE)</f>
        <v>5.5</v>
      </c>
      <c r="J6986">
        <v>4</v>
      </c>
      <c r="M6986">
        <v>1</v>
      </c>
    </row>
    <row r="6987" spans="1:13">
      <c r="A6987" t="s">
        <v>7228</v>
      </c>
      <c r="B6987" t="s">
        <v>7229</v>
      </c>
      <c r="C6987" s="34" t="s">
        <v>1438</v>
      </c>
      <c r="F6987" t="s">
        <v>1438</v>
      </c>
      <c r="G6987" t="s">
        <v>6932</v>
      </c>
      <c r="H6987">
        <v>5</v>
      </c>
      <c r="I6987">
        <f>VLOOKUP(B6987,BRAND!B:D,3,FALSE)</f>
        <v>5.5</v>
      </c>
      <c r="J6987">
        <v>4</v>
      </c>
      <c r="M6987">
        <v>1</v>
      </c>
    </row>
    <row r="6988" spans="1:13">
      <c r="A6988" t="s">
        <v>7228</v>
      </c>
      <c r="B6988" t="s">
        <v>7229</v>
      </c>
      <c r="C6988" s="34" t="s">
        <v>1438</v>
      </c>
      <c r="F6988" t="s">
        <v>1438</v>
      </c>
      <c r="H6988">
        <v>5</v>
      </c>
      <c r="I6988">
        <f>VLOOKUP(B6988,BRAND!B:D,3,FALSE)</f>
        <v>5.5</v>
      </c>
      <c r="M6988">
        <v>1</v>
      </c>
    </row>
    <row r="6989" spans="1:13">
      <c r="A6989" t="s">
        <v>4821</v>
      </c>
      <c r="B6989" t="s">
        <v>1345</v>
      </c>
      <c r="C6989" s="34" t="s">
        <v>798</v>
      </c>
      <c r="F6989" t="s">
        <v>798</v>
      </c>
      <c r="H6989">
        <v>5</v>
      </c>
      <c r="I6989">
        <f>VLOOKUP(B6989,BRAND!B:D,3,FALSE)</f>
        <v>3</v>
      </c>
      <c r="J6989">
        <v>9</v>
      </c>
      <c r="K6989" t="s">
        <v>821</v>
      </c>
      <c r="L6989">
        <v>0</v>
      </c>
      <c r="M6989">
        <v>0</v>
      </c>
    </row>
    <row r="6990" spans="1:13">
      <c r="A6990" t="s">
        <v>4822</v>
      </c>
      <c r="B6990" t="s">
        <v>1345</v>
      </c>
      <c r="C6990" s="34" t="s">
        <v>1508</v>
      </c>
      <c r="F6990" t="s">
        <v>1508</v>
      </c>
      <c r="H6990">
        <v>5</v>
      </c>
      <c r="I6990">
        <f>VLOOKUP(B6990,BRAND!B:D,3,FALSE)</f>
        <v>3</v>
      </c>
      <c r="J6990">
        <v>6</v>
      </c>
      <c r="K6990" t="s">
        <v>821</v>
      </c>
      <c r="L6990">
        <v>0</v>
      </c>
      <c r="M6990">
        <v>0</v>
      </c>
    </row>
    <row r="6991" spans="1:13">
      <c r="A6991" t="s">
        <v>3265</v>
      </c>
      <c r="B6991" t="s">
        <v>1345</v>
      </c>
      <c r="C6991" s="34" t="s">
        <v>1438</v>
      </c>
      <c r="F6991" t="s">
        <v>1438</v>
      </c>
      <c r="H6991">
        <v>15</v>
      </c>
      <c r="I6991">
        <f>VLOOKUP(B6991,BRAND!B:D,3,FALSE)</f>
        <v>3</v>
      </c>
      <c r="J6991">
        <v>4</v>
      </c>
      <c r="K6991" t="s">
        <v>821</v>
      </c>
      <c r="L6991">
        <v>0</v>
      </c>
      <c r="M6991">
        <v>0</v>
      </c>
    </row>
    <row r="6992" spans="1:13">
      <c r="A6992" t="s">
        <v>9216</v>
      </c>
      <c r="B6992" t="s">
        <v>9217</v>
      </c>
      <c r="C6992" s="34" t="s">
        <v>1438</v>
      </c>
      <c r="F6992" t="s">
        <v>1438</v>
      </c>
      <c r="G6992" t="s">
        <v>6932</v>
      </c>
      <c r="H6992">
        <v>5</v>
      </c>
      <c r="I6992">
        <f>VLOOKUP(B6992,BRAND!B:D,3,FALSE)</f>
        <v>5.5</v>
      </c>
      <c r="J6992">
        <v>4</v>
      </c>
      <c r="M6992">
        <v>1</v>
      </c>
    </row>
    <row r="6993" spans="1:13">
      <c r="A6993" t="s">
        <v>4522</v>
      </c>
      <c r="B6993" t="s">
        <v>160</v>
      </c>
      <c r="C6993" s="34" t="s">
        <v>772</v>
      </c>
      <c r="F6993" t="s">
        <v>772</v>
      </c>
      <c r="H6993">
        <v>5</v>
      </c>
      <c r="I6993">
        <f>VLOOKUP(B6993,BRAND!B:D,3,FALSE)</f>
        <v>3</v>
      </c>
      <c r="J6993">
        <v>6</v>
      </c>
      <c r="K6993" t="s">
        <v>821</v>
      </c>
      <c r="L6993">
        <v>0</v>
      </c>
      <c r="M6993">
        <v>0</v>
      </c>
    </row>
    <row r="6994" spans="1:13">
      <c r="A6994" t="s">
        <v>4788</v>
      </c>
      <c r="B6994" t="s">
        <v>160</v>
      </c>
      <c r="C6994" s="34" t="s">
        <v>995</v>
      </c>
      <c r="F6994" t="s">
        <v>995</v>
      </c>
      <c r="H6994">
        <v>5</v>
      </c>
      <c r="I6994">
        <f>VLOOKUP(B6994,BRAND!B:D,3,FALSE)</f>
        <v>3</v>
      </c>
      <c r="J6994">
        <v>6</v>
      </c>
      <c r="K6994" t="s">
        <v>821</v>
      </c>
      <c r="L6994">
        <v>0</v>
      </c>
      <c r="M6994">
        <v>0</v>
      </c>
    </row>
    <row r="6995" spans="1:13">
      <c r="A6995" t="s">
        <v>4380</v>
      </c>
      <c r="B6995" t="s">
        <v>160</v>
      </c>
      <c r="C6995" s="34" t="s">
        <v>1511</v>
      </c>
      <c r="F6995" t="s">
        <v>1511</v>
      </c>
      <c r="H6995">
        <v>5</v>
      </c>
      <c r="I6995">
        <f>VLOOKUP(B6995,BRAND!B:D,3,FALSE)</f>
        <v>3</v>
      </c>
      <c r="J6995">
        <v>6</v>
      </c>
      <c r="K6995" t="s">
        <v>821</v>
      </c>
      <c r="L6995">
        <v>0</v>
      </c>
      <c r="M6995">
        <v>0</v>
      </c>
    </row>
    <row r="6996" spans="1:13">
      <c r="A6996" t="s">
        <v>4494</v>
      </c>
      <c r="B6996" t="s">
        <v>160</v>
      </c>
      <c r="C6996" s="34" t="s">
        <v>776</v>
      </c>
      <c r="F6996" t="s">
        <v>776</v>
      </c>
      <c r="H6996">
        <v>5</v>
      </c>
      <c r="I6996">
        <f>VLOOKUP(B6996,BRAND!B:D,3,FALSE)</f>
        <v>3</v>
      </c>
      <c r="J6996">
        <v>5</v>
      </c>
      <c r="K6996" t="s">
        <v>821</v>
      </c>
      <c r="L6996">
        <v>0</v>
      </c>
      <c r="M6996">
        <v>0</v>
      </c>
    </row>
    <row r="6997" spans="1:13">
      <c r="A6997" t="s">
        <v>2620</v>
      </c>
      <c r="B6997" t="s">
        <v>160</v>
      </c>
      <c r="C6997" s="34" t="s">
        <v>782</v>
      </c>
      <c r="F6997" t="s">
        <v>782</v>
      </c>
      <c r="H6997">
        <v>5</v>
      </c>
      <c r="I6997">
        <f>VLOOKUP(B6997,BRAND!B:D,3,FALSE)</f>
        <v>3</v>
      </c>
      <c r="J6997">
        <v>4</v>
      </c>
      <c r="K6997" t="s">
        <v>821</v>
      </c>
      <c r="L6997">
        <v>0</v>
      </c>
      <c r="M6997">
        <v>0</v>
      </c>
    </row>
    <row r="6998" spans="1:13">
      <c r="A6998" t="s">
        <v>4971</v>
      </c>
      <c r="B6998" t="s">
        <v>160</v>
      </c>
      <c r="C6998" s="34" t="s">
        <v>1438</v>
      </c>
      <c r="F6998" t="s">
        <v>1438</v>
      </c>
      <c r="G6998" t="s">
        <v>801</v>
      </c>
      <c r="H6998">
        <v>6</v>
      </c>
      <c r="I6998">
        <f>VLOOKUP(B6998,BRAND!B:D,3,FALSE)</f>
        <v>3</v>
      </c>
      <c r="J6998">
        <v>4</v>
      </c>
      <c r="K6998" t="s">
        <v>821</v>
      </c>
      <c r="L6998">
        <v>0</v>
      </c>
      <c r="M6998">
        <v>0</v>
      </c>
    </row>
    <row r="6999" spans="1:13">
      <c r="A6999" t="s">
        <v>2020</v>
      </c>
      <c r="B6999" t="s">
        <v>160</v>
      </c>
      <c r="C6999" s="34" t="s">
        <v>1438</v>
      </c>
      <c r="F6999" t="s">
        <v>1438</v>
      </c>
      <c r="H6999">
        <v>15</v>
      </c>
      <c r="I6999">
        <f>VLOOKUP(B6999,BRAND!B:D,3,FALSE)</f>
        <v>3</v>
      </c>
      <c r="J6999">
        <v>4</v>
      </c>
      <c r="K6999" t="s">
        <v>821</v>
      </c>
      <c r="L6999">
        <v>0</v>
      </c>
      <c r="M6999">
        <v>0</v>
      </c>
    </row>
    <row r="7000" spans="1:13">
      <c r="A7000" t="s">
        <v>4217</v>
      </c>
      <c r="B7000" t="s">
        <v>1121</v>
      </c>
      <c r="C7000" s="34" t="s">
        <v>536</v>
      </c>
      <c r="F7000" t="s">
        <v>536</v>
      </c>
      <c r="H7000">
        <v>5</v>
      </c>
      <c r="I7000">
        <f>VLOOKUP(B7000,BRAND!B:D,3,FALSE)</f>
        <v>5</v>
      </c>
      <c r="J7000">
        <v>5</v>
      </c>
      <c r="K7000" t="s">
        <v>821</v>
      </c>
      <c r="L7000">
        <v>0</v>
      </c>
      <c r="M7000">
        <v>0</v>
      </c>
    </row>
    <row r="7001" spans="1:13">
      <c r="A7001" t="s">
        <v>4218</v>
      </c>
      <c r="B7001" t="s">
        <v>1121</v>
      </c>
      <c r="C7001" s="34" t="s">
        <v>842</v>
      </c>
      <c r="F7001" t="s">
        <v>842</v>
      </c>
      <c r="H7001">
        <v>5</v>
      </c>
      <c r="I7001">
        <f>VLOOKUP(B7001,BRAND!B:D,3,FALSE)</f>
        <v>5</v>
      </c>
      <c r="J7001">
        <v>5</v>
      </c>
      <c r="K7001" t="s">
        <v>821</v>
      </c>
      <c r="L7001">
        <v>0</v>
      </c>
      <c r="M7001">
        <v>0</v>
      </c>
    </row>
    <row r="7002" spans="1:13">
      <c r="A7002" t="s">
        <v>1543</v>
      </c>
      <c r="B7002" t="s">
        <v>1444</v>
      </c>
      <c r="C7002" s="34" t="s">
        <v>1438</v>
      </c>
      <c r="F7002" t="s">
        <v>1438</v>
      </c>
      <c r="H7002">
        <v>15</v>
      </c>
      <c r="I7002">
        <f>VLOOKUP(B7002,BRAND!B:D,3,FALSE)</f>
        <v>3</v>
      </c>
      <c r="J7002">
        <v>4</v>
      </c>
      <c r="K7002" t="s">
        <v>821</v>
      </c>
      <c r="L7002">
        <v>0</v>
      </c>
      <c r="M7002">
        <v>0</v>
      </c>
    </row>
    <row r="7003" spans="1:13">
      <c r="A7003" t="s">
        <v>9218</v>
      </c>
      <c r="B7003" t="s">
        <v>582</v>
      </c>
      <c r="C7003" s="34" t="s">
        <v>1438</v>
      </c>
      <c r="F7003" t="s">
        <v>1438</v>
      </c>
      <c r="G7003" t="s">
        <v>6932</v>
      </c>
      <c r="H7003">
        <v>5</v>
      </c>
      <c r="I7003">
        <f>VLOOKUP(B7003,BRAND!B:D,3,FALSE)</f>
        <v>3</v>
      </c>
      <c r="J7003">
        <v>4</v>
      </c>
      <c r="L7003">
        <v>0</v>
      </c>
      <c r="M7003">
        <v>0</v>
      </c>
    </row>
    <row r="7004" spans="1:13">
      <c r="A7004" t="s">
        <v>3119</v>
      </c>
      <c r="B7004" t="s">
        <v>582</v>
      </c>
      <c r="C7004" s="34" t="s">
        <v>1438</v>
      </c>
      <c r="F7004" t="s">
        <v>1438</v>
      </c>
      <c r="H7004">
        <v>15</v>
      </c>
      <c r="I7004">
        <f>VLOOKUP(B7004,BRAND!B:D,3,FALSE)</f>
        <v>3</v>
      </c>
      <c r="J7004">
        <v>4</v>
      </c>
      <c r="K7004" t="s">
        <v>821</v>
      </c>
      <c r="L7004">
        <v>0</v>
      </c>
      <c r="M7004">
        <v>0</v>
      </c>
    </row>
    <row r="7005" spans="1:13">
      <c r="A7005" t="s">
        <v>4596</v>
      </c>
      <c r="B7005" t="s">
        <v>1346</v>
      </c>
      <c r="C7005" s="34" t="s">
        <v>775</v>
      </c>
      <c r="F7005" t="s">
        <v>775</v>
      </c>
      <c r="H7005">
        <v>5</v>
      </c>
      <c r="I7005">
        <f>VLOOKUP(B7005,BRAND!B:D,3,FALSE)</f>
        <v>3</v>
      </c>
      <c r="J7005">
        <v>3</v>
      </c>
      <c r="K7005" t="s">
        <v>821</v>
      </c>
      <c r="L7005">
        <v>0</v>
      </c>
      <c r="M7005">
        <v>0</v>
      </c>
    </row>
    <row r="7006" spans="1:13">
      <c r="A7006" t="s">
        <v>9223</v>
      </c>
      <c r="B7006" t="s">
        <v>9220</v>
      </c>
      <c r="C7006" s="34" t="s">
        <v>536</v>
      </c>
      <c r="F7006" t="s">
        <v>536</v>
      </c>
      <c r="G7006" t="s">
        <v>6932</v>
      </c>
      <c r="H7006">
        <v>5</v>
      </c>
      <c r="I7006">
        <f>VLOOKUP(B7006,BRAND!B:D,3,FALSE)</f>
        <v>5</v>
      </c>
      <c r="J7006">
        <v>5</v>
      </c>
      <c r="M7006">
        <v>1</v>
      </c>
    </row>
    <row r="7007" spans="1:13">
      <c r="A7007" t="s">
        <v>9219</v>
      </c>
      <c r="B7007" t="s">
        <v>9220</v>
      </c>
      <c r="C7007" s="34" t="s">
        <v>775</v>
      </c>
      <c r="F7007" t="s">
        <v>775</v>
      </c>
      <c r="G7007" t="s">
        <v>6932</v>
      </c>
      <c r="H7007">
        <v>5</v>
      </c>
      <c r="I7007">
        <f>VLOOKUP(B7007,BRAND!B:D,3,FALSE)</f>
        <v>5</v>
      </c>
      <c r="J7007">
        <v>3</v>
      </c>
      <c r="M7007">
        <v>1</v>
      </c>
    </row>
    <row r="7008" spans="1:13">
      <c r="A7008" t="s">
        <v>9221</v>
      </c>
      <c r="B7008" t="s">
        <v>9220</v>
      </c>
      <c r="C7008" s="34" t="s">
        <v>9222</v>
      </c>
      <c r="F7008" t="s">
        <v>561</v>
      </c>
      <c r="G7008" t="s">
        <v>6932</v>
      </c>
      <c r="H7008">
        <v>5</v>
      </c>
      <c r="I7008">
        <f>VLOOKUP(B7008,BRAND!B:D,3,FALSE)</f>
        <v>5</v>
      </c>
      <c r="J7008">
        <v>3</v>
      </c>
      <c r="M7008">
        <v>1</v>
      </c>
    </row>
    <row r="7009" spans="1:13">
      <c r="A7009" t="s">
        <v>15029</v>
      </c>
      <c r="B7009" t="s">
        <v>9220</v>
      </c>
      <c r="C7009" s="34" t="s">
        <v>1438</v>
      </c>
      <c r="F7009" t="s">
        <v>1438</v>
      </c>
      <c r="G7009" t="s">
        <v>6932</v>
      </c>
      <c r="H7009">
        <v>5</v>
      </c>
      <c r="I7009">
        <f>VLOOKUP(B7009,BRAND!B:D,3,FALSE)</f>
        <v>5</v>
      </c>
      <c r="J7009">
        <v>0</v>
      </c>
      <c r="K7009" t="s">
        <v>821</v>
      </c>
      <c r="L7009">
        <v>0</v>
      </c>
      <c r="M7009">
        <v>0</v>
      </c>
    </row>
    <row r="7010" spans="1:13">
      <c r="A7010" t="s">
        <v>15030</v>
      </c>
      <c r="B7010" t="s">
        <v>9220</v>
      </c>
      <c r="C7010" s="34" t="s">
        <v>841</v>
      </c>
      <c r="F7010" t="s">
        <v>841</v>
      </c>
      <c r="G7010" t="s">
        <v>6932</v>
      </c>
      <c r="H7010">
        <v>5</v>
      </c>
      <c r="I7010">
        <f>VLOOKUP(B7010,BRAND!B:D,3,FALSE)</f>
        <v>5</v>
      </c>
      <c r="J7010">
        <v>0</v>
      </c>
      <c r="K7010" t="s">
        <v>821</v>
      </c>
      <c r="L7010">
        <v>0</v>
      </c>
      <c r="M7010">
        <v>0</v>
      </c>
    </row>
    <row r="7011" spans="1:13">
      <c r="A7011" t="s">
        <v>15031</v>
      </c>
      <c r="B7011" t="s">
        <v>9220</v>
      </c>
      <c r="C7011" s="34" t="s">
        <v>872</v>
      </c>
      <c r="F7011" t="s">
        <v>872</v>
      </c>
      <c r="G7011" t="s">
        <v>6932</v>
      </c>
      <c r="H7011">
        <v>5</v>
      </c>
      <c r="I7011">
        <f>VLOOKUP(B7011,BRAND!B:D,3,FALSE)</f>
        <v>5</v>
      </c>
      <c r="J7011">
        <v>0</v>
      </c>
      <c r="K7011" t="s">
        <v>821</v>
      </c>
      <c r="L7011">
        <v>0</v>
      </c>
      <c r="M7011">
        <v>0</v>
      </c>
    </row>
    <row r="7012" spans="1:13">
      <c r="A7012" t="s">
        <v>15032</v>
      </c>
      <c r="B7012" t="s">
        <v>9220</v>
      </c>
      <c r="C7012" s="34" t="s">
        <v>15033</v>
      </c>
      <c r="F7012" t="s">
        <v>15033</v>
      </c>
      <c r="G7012" t="s">
        <v>6932</v>
      </c>
      <c r="H7012">
        <v>5</v>
      </c>
      <c r="I7012">
        <f>VLOOKUP(B7012,BRAND!B:D,3,FALSE)</f>
        <v>5</v>
      </c>
      <c r="J7012">
        <v>0</v>
      </c>
      <c r="K7012" t="s">
        <v>821</v>
      </c>
      <c r="L7012">
        <v>0</v>
      </c>
      <c r="M7012">
        <v>0</v>
      </c>
    </row>
    <row r="7013" spans="1:13">
      <c r="A7013" t="s">
        <v>15034</v>
      </c>
      <c r="B7013" t="s">
        <v>9220</v>
      </c>
      <c r="C7013" s="34" t="s">
        <v>534</v>
      </c>
      <c r="F7013" t="s">
        <v>534</v>
      </c>
      <c r="G7013" t="s">
        <v>6932</v>
      </c>
      <c r="H7013">
        <v>5</v>
      </c>
      <c r="I7013">
        <f>VLOOKUP(B7013,BRAND!B:D,3,FALSE)</f>
        <v>5</v>
      </c>
      <c r="J7013">
        <v>0</v>
      </c>
      <c r="K7013" t="s">
        <v>821</v>
      </c>
      <c r="L7013">
        <v>0</v>
      </c>
      <c r="M7013">
        <v>0</v>
      </c>
    </row>
    <row r="7014" spans="1:13">
      <c r="A7014" t="s">
        <v>9221</v>
      </c>
      <c r="B7014" t="s">
        <v>9220</v>
      </c>
      <c r="C7014" s="34" t="s">
        <v>561</v>
      </c>
      <c r="F7014" t="s">
        <v>561</v>
      </c>
      <c r="G7014" t="s">
        <v>6932</v>
      </c>
      <c r="H7014">
        <v>5</v>
      </c>
      <c r="I7014">
        <f>VLOOKUP(B7014,BRAND!B:D,3,FALSE)</f>
        <v>5</v>
      </c>
      <c r="J7014">
        <v>0</v>
      </c>
      <c r="K7014" t="s">
        <v>821</v>
      </c>
      <c r="L7014">
        <v>0</v>
      </c>
      <c r="M7014">
        <v>0</v>
      </c>
    </row>
    <row r="7015" spans="1:13">
      <c r="A7015" t="s">
        <v>9671</v>
      </c>
      <c r="B7015" t="s">
        <v>9991</v>
      </c>
      <c r="C7015" s="34" t="s">
        <v>1438</v>
      </c>
      <c r="F7015" t="s">
        <v>1438</v>
      </c>
      <c r="H7015">
        <v>5</v>
      </c>
      <c r="I7015">
        <f>VLOOKUP(B7015,BRAND!B:D,3,FALSE)</f>
        <v>5.5</v>
      </c>
      <c r="J7015">
        <v>4</v>
      </c>
      <c r="M7015">
        <v>1</v>
      </c>
    </row>
    <row r="7016" spans="1:13">
      <c r="A7016" t="s">
        <v>10108</v>
      </c>
      <c r="B7016" t="s">
        <v>711</v>
      </c>
      <c r="C7016" s="34" t="s">
        <v>877</v>
      </c>
      <c r="F7016" t="s">
        <v>877</v>
      </c>
      <c r="H7016">
        <v>4</v>
      </c>
      <c r="I7016">
        <f>VLOOKUP(B7016,BRAND!B:D,3,FALSE)</f>
        <v>3</v>
      </c>
      <c r="J7016">
        <f>LEN(F7016)</f>
        <v>12</v>
      </c>
      <c r="K7016" t="s">
        <v>1420</v>
      </c>
      <c r="L7016">
        <v>0</v>
      </c>
      <c r="M7016">
        <v>0</v>
      </c>
    </row>
    <row r="7017" spans="1:13">
      <c r="A7017" t="s">
        <v>5306</v>
      </c>
      <c r="B7017" t="s">
        <v>711</v>
      </c>
      <c r="C7017" s="34" t="s">
        <v>898</v>
      </c>
      <c r="F7017" t="s">
        <v>898</v>
      </c>
      <c r="H7017">
        <v>4</v>
      </c>
      <c r="I7017">
        <f>VLOOKUP(B7017,BRAND!B:D,3,FALSE)</f>
        <v>3</v>
      </c>
      <c r="J7017">
        <v>6</v>
      </c>
      <c r="K7017" t="s">
        <v>1420</v>
      </c>
      <c r="M7017">
        <v>1</v>
      </c>
    </row>
    <row r="7018" spans="1:13">
      <c r="A7018" t="s">
        <v>4207</v>
      </c>
      <c r="B7018" t="s">
        <v>711</v>
      </c>
      <c r="C7018" s="34" t="s">
        <v>1965</v>
      </c>
      <c r="F7018" t="s">
        <v>1965</v>
      </c>
      <c r="H7018">
        <v>5</v>
      </c>
      <c r="I7018">
        <f>VLOOKUP(B7018,BRAND!B:D,3,FALSE)</f>
        <v>3</v>
      </c>
      <c r="J7018">
        <f>LEN(F7018)</f>
        <v>10</v>
      </c>
      <c r="K7018" t="s">
        <v>1420</v>
      </c>
      <c r="M7018">
        <v>1</v>
      </c>
    </row>
    <row r="7019" spans="1:13">
      <c r="A7019" t="s">
        <v>10558</v>
      </c>
      <c r="B7019" t="s">
        <v>711</v>
      </c>
      <c r="C7019" s="34" t="s">
        <v>995</v>
      </c>
      <c r="F7019" t="s">
        <v>995</v>
      </c>
      <c r="G7019" t="s">
        <v>6932</v>
      </c>
      <c r="H7019">
        <v>5</v>
      </c>
      <c r="I7019">
        <f>VLOOKUP(B7019,BRAND!B:D,3,FALSE)</f>
        <v>3</v>
      </c>
      <c r="J7019">
        <f>LEN(F7019)</f>
        <v>6</v>
      </c>
      <c r="L7019">
        <v>0</v>
      </c>
    </row>
    <row r="7020" spans="1:13">
      <c r="A7020" t="s">
        <v>1576</v>
      </c>
      <c r="B7020" t="s">
        <v>711</v>
      </c>
      <c r="C7020" s="34" t="s">
        <v>995</v>
      </c>
      <c r="F7020" t="s">
        <v>995</v>
      </c>
      <c r="H7020">
        <v>5</v>
      </c>
      <c r="I7020">
        <f>VLOOKUP(B7020,BRAND!B:D,3,FALSE)</f>
        <v>3</v>
      </c>
      <c r="J7020">
        <v>6</v>
      </c>
      <c r="K7020" t="s">
        <v>1420</v>
      </c>
      <c r="M7020">
        <v>1</v>
      </c>
    </row>
    <row r="7021" spans="1:13">
      <c r="A7021" t="s">
        <v>10109</v>
      </c>
      <c r="B7021" t="s">
        <v>711</v>
      </c>
      <c r="C7021" s="34" t="s">
        <v>1466</v>
      </c>
      <c r="F7021" t="s">
        <v>1466</v>
      </c>
      <c r="H7021">
        <v>5</v>
      </c>
      <c r="I7021">
        <f>VLOOKUP(B7021,BRAND!B:D,3,FALSE)</f>
        <v>3</v>
      </c>
      <c r="J7021">
        <v>4</v>
      </c>
      <c r="K7021" t="s">
        <v>1420</v>
      </c>
      <c r="L7021">
        <v>0</v>
      </c>
      <c r="M7021">
        <v>0</v>
      </c>
    </row>
    <row r="7022" spans="1:13">
      <c r="A7022" t="s">
        <v>1575</v>
      </c>
      <c r="B7022" t="s">
        <v>711</v>
      </c>
      <c r="C7022" s="34" t="s">
        <v>1513</v>
      </c>
      <c r="F7022" t="s">
        <v>1513</v>
      </c>
      <c r="H7022">
        <v>6</v>
      </c>
      <c r="I7022">
        <f>VLOOKUP(B7022,BRAND!B:D,3,FALSE)</f>
        <v>3</v>
      </c>
      <c r="J7022">
        <v>5</v>
      </c>
      <c r="K7022" t="s">
        <v>1420</v>
      </c>
      <c r="M7022">
        <v>1</v>
      </c>
    </row>
    <row r="7023" spans="1:13">
      <c r="A7023" t="s">
        <v>5305</v>
      </c>
      <c r="B7023" t="s">
        <v>711</v>
      </c>
      <c r="C7023" s="34" t="s">
        <v>1466</v>
      </c>
      <c r="F7023" t="s">
        <v>1466</v>
      </c>
      <c r="G7023" t="s">
        <v>801</v>
      </c>
      <c r="H7023">
        <v>6</v>
      </c>
      <c r="I7023">
        <f>VLOOKUP(B7023,BRAND!B:D,3,FALSE)</f>
        <v>3</v>
      </c>
      <c r="J7023">
        <v>4</v>
      </c>
      <c r="K7023" t="s">
        <v>1420</v>
      </c>
      <c r="M7023">
        <v>1</v>
      </c>
    </row>
    <row r="7024" spans="1:13">
      <c r="A7024" t="s">
        <v>4777</v>
      </c>
      <c r="B7024" t="s">
        <v>1347</v>
      </c>
      <c r="C7024" s="34" t="s">
        <v>1469</v>
      </c>
      <c r="F7024" t="s">
        <v>1469</v>
      </c>
      <c r="H7024">
        <v>4</v>
      </c>
      <c r="I7024">
        <f>VLOOKUP(B7024,BRAND!B:D,3,FALSE)</f>
        <v>3</v>
      </c>
      <c r="J7024">
        <f>LEN(F7024)</f>
        <v>12</v>
      </c>
      <c r="K7024" t="s">
        <v>1420</v>
      </c>
      <c r="M7024">
        <v>1</v>
      </c>
    </row>
    <row r="7025" spans="1:13">
      <c r="A7025" t="s">
        <v>4744</v>
      </c>
      <c r="B7025" t="s">
        <v>1347</v>
      </c>
      <c r="C7025" s="34" t="s">
        <v>1483</v>
      </c>
      <c r="F7025" t="s">
        <v>1483</v>
      </c>
      <c r="H7025">
        <v>5</v>
      </c>
      <c r="I7025">
        <f>VLOOKUP(B7025,BRAND!B:D,3,FALSE)</f>
        <v>3</v>
      </c>
      <c r="J7025">
        <v>9</v>
      </c>
      <c r="K7025" t="s">
        <v>1420</v>
      </c>
      <c r="M7025">
        <v>1</v>
      </c>
    </row>
    <row r="7026" spans="1:13">
      <c r="A7026" s="29" t="s">
        <v>1726</v>
      </c>
      <c r="B7026" s="29" t="s">
        <v>1347</v>
      </c>
      <c r="C7026" s="36" t="s">
        <v>898</v>
      </c>
      <c r="D7026" s="29"/>
      <c r="E7026" s="29"/>
      <c r="F7026" s="29" t="s">
        <v>898</v>
      </c>
      <c r="G7026" s="29"/>
      <c r="H7026" s="29">
        <v>5</v>
      </c>
      <c r="I7026">
        <f>VLOOKUP(B7026,BRAND!B:D,3,FALSE)</f>
        <v>3</v>
      </c>
      <c r="J7026">
        <v>6</v>
      </c>
      <c r="K7026" t="s">
        <v>1420</v>
      </c>
      <c r="M7026">
        <v>1</v>
      </c>
    </row>
    <row r="7027" spans="1:13">
      <c r="A7027" t="s">
        <v>4815</v>
      </c>
      <c r="B7027" t="s">
        <v>1347</v>
      </c>
      <c r="C7027" s="34" t="s">
        <v>2000</v>
      </c>
      <c r="F7027" t="s">
        <v>2000</v>
      </c>
      <c r="H7027">
        <v>5</v>
      </c>
      <c r="I7027">
        <f>VLOOKUP(B7027,BRAND!B:D,3,FALSE)</f>
        <v>3</v>
      </c>
      <c r="J7027">
        <v>5</v>
      </c>
      <c r="K7027" t="s">
        <v>1420</v>
      </c>
      <c r="M7027">
        <v>1</v>
      </c>
    </row>
    <row r="7028" spans="1:13">
      <c r="A7028" t="s">
        <v>1584</v>
      </c>
      <c r="B7028" t="s">
        <v>1347</v>
      </c>
      <c r="C7028" s="34" t="s">
        <v>1438</v>
      </c>
      <c r="F7028" t="s">
        <v>1438</v>
      </c>
      <c r="H7028">
        <v>15</v>
      </c>
      <c r="I7028">
        <f>VLOOKUP(B7028,BRAND!B:D,3,FALSE)</f>
        <v>3</v>
      </c>
      <c r="J7028">
        <v>4</v>
      </c>
      <c r="K7028" t="s">
        <v>1420</v>
      </c>
      <c r="M7028">
        <v>1</v>
      </c>
    </row>
    <row r="7029" spans="1:13">
      <c r="A7029" t="s">
        <v>7178</v>
      </c>
      <c r="B7029" t="s">
        <v>7179</v>
      </c>
      <c r="C7029" s="34" t="s">
        <v>1438</v>
      </c>
      <c r="F7029" t="s">
        <v>1438</v>
      </c>
      <c r="H7029">
        <v>5</v>
      </c>
      <c r="I7029">
        <f>VLOOKUP(B7029,BRAND!B:D,3,FALSE)</f>
        <v>5.5</v>
      </c>
      <c r="M7029">
        <v>1</v>
      </c>
    </row>
    <row r="7030" spans="1:13">
      <c r="A7030" t="s">
        <v>9224</v>
      </c>
      <c r="B7030" t="s">
        <v>9225</v>
      </c>
      <c r="C7030" s="34" t="s">
        <v>1438</v>
      </c>
      <c r="F7030" t="s">
        <v>1438</v>
      </c>
      <c r="G7030" t="s">
        <v>6932</v>
      </c>
      <c r="H7030">
        <v>5</v>
      </c>
      <c r="I7030">
        <f>VLOOKUP(B7030,BRAND!B:D,3,FALSE)</f>
        <v>5.5</v>
      </c>
      <c r="J7030">
        <v>4</v>
      </c>
      <c r="M7030">
        <v>1</v>
      </c>
    </row>
    <row r="7031" spans="1:13">
      <c r="A7031" t="s">
        <v>4286</v>
      </c>
      <c r="B7031" t="s">
        <v>1894</v>
      </c>
      <c r="C7031" s="34" t="s">
        <v>777</v>
      </c>
      <c r="F7031" t="s">
        <v>777</v>
      </c>
      <c r="H7031">
        <v>5</v>
      </c>
      <c r="I7031">
        <f>VLOOKUP(B7031,BRAND!B:D,3,FALSE)</f>
        <v>5</v>
      </c>
      <c r="J7031">
        <v>7</v>
      </c>
      <c r="K7031" t="s">
        <v>821</v>
      </c>
      <c r="L7031">
        <v>0</v>
      </c>
      <c r="M7031">
        <v>0</v>
      </c>
    </row>
    <row r="7032" spans="1:13">
      <c r="A7032" t="s">
        <v>6505</v>
      </c>
      <c r="B7032" t="s">
        <v>285</v>
      </c>
      <c r="C7032" s="34" t="s">
        <v>5421</v>
      </c>
      <c r="F7032" t="s">
        <v>791</v>
      </c>
      <c r="H7032">
        <v>5</v>
      </c>
      <c r="I7032">
        <f>VLOOKUP(B7032,BRAND!B:D,3,FALSE)</f>
        <v>3</v>
      </c>
      <c r="J7032">
        <v>5</v>
      </c>
      <c r="K7032" t="s">
        <v>821</v>
      </c>
      <c r="M7032">
        <v>1</v>
      </c>
    </row>
    <row r="7033" spans="1:13">
      <c r="A7033" t="s">
        <v>3935</v>
      </c>
      <c r="B7033" t="s">
        <v>285</v>
      </c>
      <c r="C7033" s="34" t="s">
        <v>5518</v>
      </c>
      <c r="F7033" t="s">
        <v>757</v>
      </c>
      <c r="H7033">
        <v>5</v>
      </c>
      <c r="I7033">
        <f>VLOOKUP(B7033,BRAND!B:D,3,FALSE)</f>
        <v>3</v>
      </c>
      <c r="J7033">
        <v>2</v>
      </c>
      <c r="K7033" t="s">
        <v>821</v>
      </c>
      <c r="M7033">
        <v>1</v>
      </c>
    </row>
    <row r="7034" spans="1:13">
      <c r="A7034" t="s">
        <v>4001</v>
      </c>
      <c r="B7034" t="s">
        <v>285</v>
      </c>
      <c r="C7034" s="34" t="s">
        <v>5516</v>
      </c>
      <c r="F7034" t="s">
        <v>759</v>
      </c>
      <c r="H7034">
        <v>5</v>
      </c>
      <c r="I7034">
        <f>VLOOKUP(B7034,BRAND!B:D,3,FALSE)</f>
        <v>3</v>
      </c>
      <c r="J7034">
        <v>1</v>
      </c>
      <c r="K7034" t="s">
        <v>821</v>
      </c>
      <c r="M7034">
        <v>1</v>
      </c>
    </row>
    <row r="7035" spans="1:13">
      <c r="A7035" t="s">
        <v>3930</v>
      </c>
      <c r="B7035" t="s">
        <v>285</v>
      </c>
      <c r="C7035" s="34" t="s">
        <v>5515</v>
      </c>
      <c r="F7035" t="s">
        <v>762</v>
      </c>
      <c r="H7035">
        <v>5</v>
      </c>
      <c r="I7035">
        <f>VLOOKUP(B7035,BRAND!B:D,3,FALSE)</f>
        <v>3</v>
      </c>
      <c r="J7035">
        <v>1</v>
      </c>
      <c r="K7035" t="s">
        <v>821</v>
      </c>
      <c r="M7035">
        <v>1</v>
      </c>
    </row>
    <row r="7036" spans="1:13">
      <c r="A7036" t="s">
        <v>9226</v>
      </c>
      <c r="B7036" t="s">
        <v>340</v>
      </c>
      <c r="C7036" s="34" t="s">
        <v>798</v>
      </c>
      <c r="F7036" t="s">
        <v>798</v>
      </c>
      <c r="G7036" t="s">
        <v>6932</v>
      </c>
      <c r="H7036">
        <v>5</v>
      </c>
      <c r="I7036">
        <f>VLOOKUP(B7036,BRAND!B:D,3,FALSE)</f>
        <v>3</v>
      </c>
      <c r="J7036">
        <v>9</v>
      </c>
      <c r="M7036">
        <v>1</v>
      </c>
    </row>
    <row r="7037" spans="1:13">
      <c r="A7037" t="s">
        <v>9227</v>
      </c>
      <c r="B7037" t="s">
        <v>340</v>
      </c>
      <c r="C7037" s="34" t="s">
        <v>9119</v>
      </c>
      <c r="F7037" t="s">
        <v>9119</v>
      </c>
      <c r="G7037" t="s">
        <v>6932</v>
      </c>
      <c r="H7037">
        <v>5</v>
      </c>
      <c r="I7037">
        <f>VLOOKUP(B7037,BRAND!B:D,3,FALSE)</f>
        <v>3</v>
      </c>
      <c r="J7037">
        <v>8</v>
      </c>
      <c r="M7037">
        <v>1</v>
      </c>
    </row>
    <row r="7038" spans="1:13">
      <c r="A7038" t="s">
        <v>2312</v>
      </c>
      <c r="B7038" t="s">
        <v>340</v>
      </c>
      <c r="C7038" s="34" t="s">
        <v>534</v>
      </c>
      <c r="F7038" t="s">
        <v>534</v>
      </c>
      <c r="H7038">
        <v>5</v>
      </c>
      <c r="I7038">
        <f>VLOOKUP(B7038,BRAND!B:D,3,FALSE)</f>
        <v>3</v>
      </c>
      <c r="J7038">
        <v>6</v>
      </c>
      <c r="K7038" t="s">
        <v>821</v>
      </c>
      <c r="M7038">
        <v>1</v>
      </c>
    </row>
    <row r="7039" spans="1:13">
      <c r="A7039" t="s">
        <v>4666</v>
      </c>
      <c r="B7039" t="s">
        <v>340</v>
      </c>
      <c r="C7039" s="34" t="s">
        <v>751</v>
      </c>
      <c r="F7039" t="s">
        <v>751</v>
      </c>
      <c r="H7039">
        <v>5</v>
      </c>
      <c r="I7039">
        <f>VLOOKUP(B7039,BRAND!B:D,3,FALSE)</f>
        <v>3</v>
      </c>
      <c r="J7039">
        <v>5</v>
      </c>
      <c r="K7039" t="s">
        <v>821</v>
      </c>
      <c r="M7039">
        <v>1</v>
      </c>
    </row>
    <row r="7040" spans="1:13">
      <c r="A7040" t="s">
        <v>2489</v>
      </c>
      <c r="B7040" t="s">
        <v>340</v>
      </c>
      <c r="C7040" s="34" t="s">
        <v>536</v>
      </c>
      <c r="F7040" t="s">
        <v>536</v>
      </c>
      <c r="H7040">
        <v>5</v>
      </c>
      <c r="I7040">
        <f>VLOOKUP(B7040,BRAND!B:D,3,FALSE)</f>
        <v>3</v>
      </c>
      <c r="J7040">
        <v>5</v>
      </c>
      <c r="K7040" t="s">
        <v>821</v>
      </c>
      <c r="M7040">
        <v>1</v>
      </c>
    </row>
    <row r="7041" spans="1:13">
      <c r="A7041" t="s">
        <v>3162</v>
      </c>
      <c r="B7041" t="s">
        <v>340</v>
      </c>
      <c r="C7041" s="34" t="s">
        <v>842</v>
      </c>
      <c r="F7041" t="s">
        <v>842</v>
      </c>
      <c r="H7041">
        <v>5</v>
      </c>
      <c r="I7041">
        <f>VLOOKUP(B7041,BRAND!B:D,3,FALSE)</f>
        <v>3</v>
      </c>
      <c r="J7041">
        <v>5</v>
      </c>
      <c r="K7041" t="s">
        <v>821</v>
      </c>
      <c r="M7041">
        <v>1</v>
      </c>
    </row>
    <row r="7042" spans="1:13">
      <c r="A7042" t="s">
        <v>4146</v>
      </c>
      <c r="B7042" t="s">
        <v>340</v>
      </c>
      <c r="C7042" s="34" t="s">
        <v>775</v>
      </c>
      <c r="F7042" t="s">
        <v>775</v>
      </c>
      <c r="H7042">
        <v>5</v>
      </c>
      <c r="I7042">
        <f>VLOOKUP(B7042,BRAND!B:D,3,FALSE)</f>
        <v>3</v>
      </c>
      <c r="J7042">
        <v>3</v>
      </c>
      <c r="K7042" t="s">
        <v>821</v>
      </c>
      <c r="L7042">
        <v>0</v>
      </c>
      <c r="M7042">
        <v>0</v>
      </c>
    </row>
    <row r="7043" spans="1:13">
      <c r="A7043" t="s">
        <v>2490</v>
      </c>
      <c r="B7043" t="s">
        <v>340</v>
      </c>
      <c r="C7043" s="34" t="s">
        <v>561</v>
      </c>
      <c r="F7043" t="s">
        <v>561</v>
      </c>
      <c r="H7043">
        <v>5</v>
      </c>
      <c r="I7043">
        <f>VLOOKUP(B7043,BRAND!B:D,3,FALSE)</f>
        <v>3</v>
      </c>
      <c r="J7043">
        <v>3</v>
      </c>
      <c r="K7043" t="s">
        <v>821</v>
      </c>
      <c r="L7043" s="29"/>
      <c r="M7043">
        <v>1</v>
      </c>
    </row>
    <row r="7044" spans="1:13">
      <c r="A7044" t="s">
        <v>9836</v>
      </c>
      <c r="B7044" t="s">
        <v>340</v>
      </c>
      <c r="C7044" s="34" t="s">
        <v>6364</v>
      </c>
      <c r="H7044">
        <v>5</v>
      </c>
      <c r="I7044">
        <f>VLOOKUP(B7044,BRAND!B:D,3,FALSE)</f>
        <v>3</v>
      </c>
      <c r="J7044">
        <f>LEN(F7044)</f>
        <v>0</v>
      </c>
      <c r="L7044">
        <v>0</v>
      </c>
      <c r="M7044">
        <v>0</v>
      </c>
    </row>
    <row r="7045" spans="1:13">
      <c r="A7045" t="s">
        <v>9836</v>
      </c>
      <c r="B7045" t="s">
        <v>340</v>
      </c>
      <c r="C7045" s="34" t="s">
        <v>6364</v>
      </c>
      <c r="H7045">
        <v>5</v>
      </c>
      <c r="I7045">
        <f>VLOOKUP(B7045,BRAND!B:D,3,FALSE)</f>
        <v>3</v>
      </c>
      <c r="J7045">
        <v>0</v>
      </c>
      <c r="M7045">
        <v>1</v>
      </c>
    </row>
    <row r="7046" spans="1:13">
      <c r="A7046" t="s">
        <v>2600</v>
      </c>
      <c r="B7046" t="s">
        <v>340</v>
      </c>
      <c r="C7046" s="34" t="s">
        <v>1438</v>
      </c>
      <c r="F7046" t="s">
        <v>1438</v>
      </c>
      <c r="H7046">
        <v>15</v>
      </c>
      <c r="I7046">
        <f>VLOOKUP(B7046,BRAND!B:D,3,FALSE)</f>
        <v>3</v>
      </c>
      <c r="J7046">
        <v>4</v>
      </c>
      <c r="K7046" t="s">
        <v>821</v>
      </c>
      <c r="M7046">
        <v>1</v>
      </c>
    </row>
    <row r="7047" spans="1:13">
      <c r="A7047" t="s">
        <v>12943</v>
      </c>
      <c r="B7047" t="s">
        <v>12049</v>
      </c>
      <c r="C7047" s="34" t="s">
        <v>12941</v>
      </c>
      <c r="D7047" t="s">
        <v>561</v>
      </c>
      <c r="F7047" t="s">
        <v>12944</v>
      </c>
      <c r="G7047" t="s">
        <v>6932</v>
      </c>
      <c r="H7047">
        <v>4</v>
      </c>
    </row>
    <row r="7048" spans="1:13">
      <c r="A7048" t="s">
        <v>12949</v>
      </c>
      <c r="B7048" t="s">
        <v>12049</v>
      </c>
      <c r="C7048" s="34" t="s">
        <v>12941</v>
      </c>
      <c r="F7048" t="s">
        <v>12941</v>
      </c>
      <c r="G7048" t="s">
        <v>6932</v>
      </c>
      <c r="H7048">
        <v>4</v>
      </c>
    </row>
    <row r="7049" spans="1:13">
      <c r="A7049" t="s">
        <v>12925</v>
      </c>
      <c r="B7049" t="s">
        <v>12049</v>
      </c>
      <c r="C7049" s="34" t="s">
        <v>5366</v>
      </c>
      <c r="F7049" t="s">
        <v>12544</v>
      </c>
      <c r="G7049" t="s">
        <v>6932</v>
      </c>
      <c r="H7049">
        <v>5</v>
      </c>
    </row>
    <row r="7050" spans="1:13">
      <c r="A7050" t="s">
        <v>12928</v>
      </c>
      <c r="B7050" t="s">
        <v>12049</v>
      </c>
      <c r="C7050" s="34" t="s">
        <v>12929</v>
      </c>
      <c r="F7050" t="s">
        <v>12929</v>
      </c>
      <c r="G7050" t="s">
        <v>6932</v>
      </c>
      <c r="H7050">
        <v>5</v>
      </c>
    </row>
    <row r="7051" spans="1:13">
      <c r="A7051" t="s">
        <v>12930</v>
      </c>
      <c r="B7051" t="s">
        <v>12049</v>
      </c>
      <c r="C7051" s="34" t="s">
        <v>12931</v>
      </c>
      <c r="F7051" t="s">
        <v>12932</v>
      </c>
      <c r="G7051" t="s">
        <v>6932</v>
      </c>
      <c r="H7051">
        <v>5</v>
      </c>
    </row>
    <row r="7052" spans="1:13">
      <c r="A7052" t="s">
        <v>12933</v>
      </c>
      <c r="B7052" t="s">
        <v>12049</v>
      </c>
      <c r="C7052" s="34" t="s">
        <v>12934</v>
      </c>
      <c r="F7052" t="s">
        <v>12935</v>
      </c>
      <c r="G7052" t="s">
        <v>6932</v>
      </c>
      <c r="H7052">
        <v>5</v>
      </c>
    </row>
    <row r="7053" spans="1:13">
      <c r="A7053" t="s">
        <v>12936</v>
      </c>
      <c r="B7053" t="s">
        <v>12049</v>
      </c>
      <c r="C7053" s="34" t="s">
        <v>561</v>
      </c>
      <c r="F7053" t="s">
        <v>561</v>
      </c>
      <c r="G7053" t="s">
        <v>6932</v>
      </c>
      <c r="H7053">
        <v>5</v>
      </c>
    </row>
    <row r="7054" spans="1:13">
      <c r="A7054" t="s">
        <v>12940</v>
      </c>
      <c r="B7054" t="s">
        <v>12049</v>
      </c>
      <c r="C7054" s="34" t="s">
        <v>12941</v>
      </c>
      <c r="D7054" t="s">
        <v>930</v>
      </c>
      <c r="F7054" t="s">
        <v>12942</v>
      </c>
      <c r="G7054" t="s">
        <v>6932</v>
      </c>
      <c r="H7054">
        <v>5</v>
      </c>
    </row>
    <row r="7055" spans="1:13">
      <c r="A7055" t="s">
        <v>12945</v>
      </c>
      <c r="B7055" t="s">
        <v>12049</v>
      </c>
      <c r="C7055" s="34" t="s">
        <v>12946</v>
      </c>
      <c r="D7055" t="s">
        <v>561</v>
      </c>
      <c r="F7055" t="s">
        <v>12946</v>
      </c>
      <c r="G7055" t="s">
        <v>6932</v>
      </c>
      <c r="H7055">
        <v>5</v>
      </c>
    </row>
    <row r="7056" spans="1:13">
      <c r="A7056" t="s">
        <v>12947</v>
      </c>
      <c r="B7056" t="s">
        <v>12049</v>
      </c>
      <c r="C7056" s="34" t="s">
        <v>12941</v>
      </c>
      <c r="D7056" t="s">
        <v>776</v>
      </c>
      <c r="F7056" t="s">
        <v>12948</v>
      </c>
      <c r="G7056" t="s">
        <v>6932</v>
      </c>
      <c r="H7056">
        <v>5</v>
      </c>
    </row>
    <row r="7057" spans="1:13">
      <c r="A7057" t="s">
        <v>12950</v>
      </c>
      <c r="B7057" t="s">
        <v>12049</v>
      </c>
      <c r="C7057" s="34" t="s">
        <v>11003</v>
      </c>
      <c r="F7057" t="s">
        <v>12951</v>
      </c>
      <c r="G7057" t="s">
        <v>6932</v>
      </c>
      <c r="H7057">
        <v>5</v>
      </c>
    </row>
    <row r="7058" spans="1:13">
      <c r="A7058" t="s">
        <v>12952</v>
      </c>
      <c r="B7058" t="s">
        <v>12049</v>
      </c>
      <c r="C7058" s="34" t="s">
        <v>12953</v>
      </c>
      <c r="F7058" t="s">
        <v>12953</v>
      </c>
      <c r="G7058" t="s">
        <v>6932</v>
      </c>
      <c r="H7058">
        <v>5</v>
      </c>
    </row>
    <row r="7059" spans="1:13">
      <c r="A7059" t="s">
        <v>12933</v>
      </c>
      <c r="B7059" t="s">
        <v>12049</v>
      </c>
      <c r="C7059" s="34" t="s">
        <v>12954</v>
      </c>
      <c r="D7059" t="s">
        <v>781</v>
      </c>
      <c r="F7059" t="s">
        <v>12935</v>
      </c>
      <c r="G7059" t="s">
        <v>6932</v>
      </c>
      <c r="H7059">
        <v>5</v>
      </c>
    </row>
    <row r="7060" spans="1:13">
      <c r="A7060" t="s">
        <v>12955</v>
      </c>
      <c r="B7060" t="s">
        <v>12049</v>
      </c>
      <c r="C7060" s="34" t="s">
        <v>12956</v>
      </c>
      <c r="F7060" t="s">
        <v>12957</v>
      </c>
      <c r="G7060" t="s">
        <v>6932</v>
      </c>
      <c r="H7060">
        <v>5</v>
      </c>
    </row>
    <row r="7061" spans="1:13">
      <c r="A7061" t="s">
        <v>12958</v>
      </c>
      <c r="B7061" t="s">
        <v>12049</v>
      </c>
      <c r="C7061" s="34" t="s">
        <v>12959</v>
      </c>
      <c r="F7061" t="s">
        <v>12960</v>
      </c>
      <c r="G7061" t="s">
        <v>6932</v>
      </c>
      <c r="H7061">
        <v>5</v>
      </c>
    </row>
    <row r="7062" spans="1:13">
      <c r="A7062" t="s">
        <v>12961</v>
      </c>
      <c r="B7062" t="s">
        <v>12049</v>
      </c>
      <c r="C7062" s="34" t="s">
        <v>12962</v>
      </c>
      <c r="F7062" t="s">
        <v>12963</v>
      </c>
      <c r="G7062" t="s">
        <v>6932</v>
      </c>
      <c r="H7062">
        <v>5</v>
      </c>
    </row>
    <row r="7063" spans="1:13">
      <c r="A7063" t="s">
        <v>12964</v>
      </c>
      <c r="B7063" t="s">
        <v>12049</v>
      </c>
      <c r="C7063" s="34" t="s">
        <v>769</v>
      </c>
      <c r="F7063" t="s">
        <v>12965</v>
      </c>
      <c r="G7063" t="s">
        <v>6932</v>
      </c>
      <c r="H7063">
        <v>5</v>
      </c>
    </row>
    <row r="7064" spans="1:13">
      <c r="A7064" t="s">
        <v>12926</v>
      </c>
      <c r="B7064" t="s">
        <v>12049</v>
      </c>
      <c r="C7064" s="34" t="s">
        <v>12927</v>
      </c>
      <c r="F7064" t="s">
        <v>12927</v>
      </c>
      <c r="G7064" t="s">
        <v>6932</v>
      </c>
      <c r="H7064">
        <v>6</v>
      </c>
    </row>
    <row r="7065" spans="1:13">
      <c r="A7065" t="s">
        <v>12923</v>
      </c>
      <c r="B7065" t="s">
        <v>12049</v>
      </c>
      <c r="C7065" s="34" t="s">
        <v>12924</v>
      </c>
      <c r="F7065" t="s">
        <v>12924</v>
      </c>
      <c r="G7065" t="s">
        <v>6932</v>
      </c>
      <c r="H7065">
        <v>11</v>
      </c>
      <c r="I7065">
        <f>VLOOKUP(B7065,BRAND!B:D,3,FALSE)</f>
        <v>51</v>
      </c>
      <c r="J7065">
        <v>9</v>
      </c>
      <c r="K7065" t="s">
        <v>821</v>
      </c>
    </row>
    <row r="7066" spans="1:13">
      <c r="A7066" t="s">
        <v>12937</v>
      </c>
      <c r="B7066" t="s">
        <v>12049</v>
      </c>
      <c r="C7066" s="34" t="s">
        <v>12938</v>
      </c>
      <c r="F7066" t="s">
        <v>12939</v>
      </c>
      <c r="G7066" t="s">
        <v>6932</v>
      </c>
      <c r="H7066">
        <v>12</v>
      </c>
      <c r="I7066">
        <f>VLOOKUP(B7066,BRAND!B:D,3,FALSE)</f>
        <v>51</v>
      </c>
      <c r="J7066">
        <f>LEN(F7066)</f>
        <v>13</v>
      </c>
      <c r="K7066" t="s">
        <v>821</v>
      </c>
    </row>
    <row r="7067" spans="1:13">
      <c r="A7067" t="s">
        <v>7402</v>
      </c>
      <c r="B7067" t="s">
        <v>7400</v>
      </c>
      <c r="C7067" s="34" t="s">
        <v>7403</v>
      </c>
      <c r="F7067" t="s">
        <v>7403</v>
      </c>
      <c r="G7067" t="s">
        <v>6932</v>
      </c>
      <c r="H7067">
        <v>5</v>
      </c>
      <c r="I7067">
        <f>VLOOKUP(B7067,BRAND!B:D,3,FALSE)</f>
        <v>5.5</v>
      </c>
      <c r="J7067">
        <f>LEN(F7067)</f>
        <v>10</v>
      </c>
      <c r="M7067">
        <v>1</v>
      </c>
    </row>
    <row r="7068" spans="1:13">
      <c r="A7068" t="s">
        <v>7405</v>
      </c>
      <c r="B7068" t="s">
        <v>7400</v>
      </c>
      <c r="C7068" s="34" t="s">
        <v>534</v>
      </c>
      <c r="F7068" t="s">
        <v>534</v>
      </c>
      <c r="G7068" t="s">
        <v>6932</v>
      </c>
      <c r="H7068">
        <v>5</v>
      </c>
      <c r="I7068">
        <f>VLOOKUP(B7068,BRAND!B:D,3,FALSE)</f>
        <v>5.5</v>
      </c>
      <c r="J7068">
        <v>6</v>
      </c>
      <c r="M7068">
        <v>1</v>
      </c>
    </row>
    <row r="7069" spans="1:13">
      <c r="A7069" t="s">
        <v>7399</v>
      </c>
      <c r="B7069" t="s">
        <v>7400</v>
      </c>
      <c r="C7069" s="34" t="s">
        <v>7401</v>
      </c>
      <c r="F7069" t="s">
        <v>7401</v>
      </c>
      <c r="G7069" t="s">
        <v>6932</v>
      </c>
      <c r="H7069">
        <v>5</v>
      </c>
      <c r="I7069">
        <f>VLOOKUP(B7069,BRAND!B:D,3,FALSE)</f>
        <v>5.5</v>
      </c>
      <c r="J7069">
        <v>5</v>
      </c>
      <c r="M7069">
        <v>1</v>
      </c>
    </row>
    <row r="7070" spans="1:13">
      <c r="A7070" t="s">
        <v>7404</v>
      </c>
      <c r="B7070" t="s">
        <v>7400</v>
      </c>
      <c r="C7070" s="34" t="s">
        <v>788</v>
      </c>
      <c r="F7070" t="s">
        <v>788</v>
      </c>
      <c r="G7070" t="s">
        <v>6932</v>
      </c>
      <c r="H7070">
        <v>5</v>
      </c>
      <c r="I7070">
        <f>VLOOKUP(B7070,BRAND!B:D,3,FALSE)</f>
        <v>5.5</v>
      </c>
      <c r="J7070">
        <v>4</v>
      </c>
      <c r="M7070">
        <v>1</v>
      </c>
    </row>
    <row r="7071" spans="1:13">
      <c r="A7071" t="s">
        <v>9837</v>
      </c>
      <c r="B7071" t="s">
        <v>286</v>
      </c>
      <c r="C7071" s="34" t="s">
        <v>959</v>
      </c>
      <c r="F7071" t="s">
        <v>959</v>
      </c>
      <c r="H7071">
        <v>5</v>
      </c>
      <c r="I7071">
        <f>VLOOKUP(B7071,BRAND!B:D,3,FALSE)</f>
        <v>5</v>
      </c>
      <c r="J7071">
        <v>9</v>
      </c>
      <c r="K7071" t="s">
        <v>821</v>
      </c>
      <c r="L7071">
        <v>0</v>
      </c>
      <c r="M7071">
        <v>0</v>
      </c>
    </row>
    <row r="7072" spans="1:13">
      <c r="A7072" t="s">
        <v>3978</v>
      </c>
      <c r="B7072" t="s">
        <v>286</v>
      </c>
      <c r="C7072" s="34" t="s">
        <v>5391</v>
      </c>
      <c r="F7072" t="s">
        <v>774</v>
      </c>
      <c r="H7072">
        <v>5</v>
      </c>
      <c r="I7072">
        <f>VLOOKUP(B7072,BRAND!B:D,3,FALSE)</f>
        <v>5</v>
      </c>
      <c r="J7072">
        <v>9</v>
      </c>
      <c r="K7072" t="s">
        <v>821</v>
      </c>
      <c r="M7072">
        <v>1</v>
      </c>
    </row>
    <row r="7073" spans="1:13">
      <c r="A7073" t="s">
        <v>4177</v>
      </c>
      <c r="B7073" t="s">
        <v>286</v>
      </c>
      <c r="C7073" s="34" t="s">
        <v>803</v>
      </c>
      <c r="F7073" t="s">
        <v>803</v>
      </c>
      <c r="H7073">
        <v>5</v>
      </c>
      <c r="I7073">
        <f>VLOOKUP(B7073,BRAND!B:D,3,FALSE)</f>
        <v>5</v>
      </c>
      <c r="J7073">
        <v>8</v>
      </c>
      <c r="K7073" t="s">
        <v>821</v>
      </c>
      <c r="M7073">
        <v>1</v>
      </c>
    </row>
    <row r="7074" spans="1:13">
      <c r="A7074" t="s">
        <v>3913</v>
      </c>
      <c r="B7074" t="s">
        <v>286</v>
      </c>
      <c r="C7074" s="34" t="s">
        <v>804</v>
      </c>
      <c r="F7074" t="s">
        <v>804</v>
      </c>
      <c r="H7074">
        <v>5</v>
      </c>
      <c r="I7074">
        <f>VLOOKUP(B7074,BRAND!B:D,3,FALSE)</f>
        <v>5</v>
      </c>
      <c r="J7074">
        <v>7</v>
      </c>
      <c r="K7074" t="s">
        <v>821</v>
      </c>
      <c r="M7074">
        <v>1</v>
      </c>
    </row>
    <row r="7075" spans="1:13">
      <c r="A7075" t="s">
        <v>3335</v>
      </c>
      <c r="B7075" t="s">
        <v>286</v>
      </c>
      <c r="C7075" s="34" t="s">
        <v>772</v>
      </c>
      <c r="F7075" t="s">
        <v>772</v>
      </c>
      <c r="H7075">
        <v>5</v>
      </c>
      <c r="I7075">
        <f>VLOOKUP(B7075,BRAND!B:D,3,FALSE)</f>
        <v>5</v>
      </c>
      <c r="J7075">
        <v>6</v>
      </c>
      <c r="K7075" t="s">
        <v>821</v>
      </c>
      <c r="L7075">
        <v>0</v>
      </c>
      <c r="M7075">
        <v>0</v>
      </c>
    </row>
    <row r="7076" spans="1:13">
      <c r="A7076" t="s">
        <v>2985</v>
      </c>
      <c r="B7076" t="s">
        <v>286</v>
      </c>
      <c r="C7076" s="34" t="s">
        <v>780</v>
      </c>
      <c r="F7076" t="s">
        <v>780</v>
      </c>
      <c r="H7076">
        <v>5</v>
      </c>
      <c r="I7076">
        <f>VLOOKUP(B7076,BRAND!B:D,3,FALSE)</f>
        <v>5</v>
      </c>
      <c r="J7076">
        <v>6</v>
      </c>
      <c r="K7076" t="s">
        <v>821</v>
      </c>
      <c r="L7076">
        <v>0</v>
      </c>
      <c r="M7076">
        <v>0</v>
      </c>
    </row>
    <row r="7077" spans="1:13">
      <c r="A7077" t="s">
        <v>4692</v>
      </c>
      <c r="B7077" t="s">
        <v>286</v>
      </c>
      <c r="C7077" s="34" t="s">
        <v>535</v>
      </c>
      <c r="F7077" t="s">
        <v>535</v>
      </c>
      <c r="H7077">
        <v>5</v>
      </c>
      <c r="I7077">
        <f>VLOOKUP(B7077,BRAND!B:D,3,FALSE)</f>
        <v>5</v>
      </c>
      <c r="J7077">
        <v>6</v>
      </c>
      <c r="K7077" t="s">
        <v>821</v>
      </c>
      <c r="L7077">
        <v>0</v>
      </c>
      <c r="M7077">
        <v>0</v>
      </c>
    </row>
    <row r="7078" spans="1:13">
      <c r="A7078" t="s">
        <v>3238</v>
      </c>
      <c r="B7078" t="s">
        <v>286</v>
      </c>
      <c r="C7078" s="34" t="s">
        <v>534</v>
      </c>
      <c r="F7078" t="s">
        <v>534</v>
      </c>
      <c r="H7078">
        <v>5</v>
      </c>
      <c r="I7078">
        <f>VLOOKUP(B7078,BRAND!B:D,3,FALSE)</f>
        <v>5</v>
      </c>
      <c r="J7078">
        <v>6</v>
      </c>
      <c r="K7078" t="s">
        <v>821</v>
      </c>
      <c r="M7078">
        <v>1</v>
      </c>
    </row>
    <row r="7079" spans="1:13">
      <c r="A7079" t="s">
        <v>9839</v>
      </c>
      <c r="B7079" t="s">
        <v>286</v>
      </c>
      <c r="C7079" s="34" t="s">
        <v>842</v>
      </c>
      <c r="F7079" t="s">
        <v>842</v>
      </c>
      <c r="H7079">
        <v>5</v>
      </c>
      <c r="I7079">
        <f>VLOOKUP(B7079,BRAND!B:D,3,FALSE)</f>
        <v>5</v>
      </c>
      <c r="J7079">
        <v>5</v>
      </c>
      <c r="K7079" t="s">
        <v>821</v>
      </c>
      <c r="L7079">
        <v>0</v>
      </c>
      <c r="M7079">
        <v>0</v>
      </c>
    </row>
    <row r="7080" spans="1:13">
      <c r="A7080" t="s">
        <v>4178</v>
      </c>
      <c r="B7080" t="s">
        <v>286</v>
      </c>
      <c r="C7080" s="34" t="s">
        <v>1515</v>
      </c>
      <c r="F7080" t="s">
        <v>1515</v>
      </c>
      <c r="H7080">
        <v>5</v>
      </c>
      <c r="I7080">
        <f>VLOOKUP(B7080,BRAND!B:D,3,FALSE)</f>
        <v>5</v>
      </c>
      <c r="J7080">
        <v>4</v>
      </c>
      <c r="K7080" t="s">
        <v>821</v>
      </c>
      <c r="L7080">
        <v>0</v>
      </c>
      <c r="M7080">
        <v>0</v>
      </c>
    </row>
    <row r="7081" spans="1:13">
      <c r="A7081" t="s">
        <v>3743</v>
      </c>
      <c r="B7081" t="s">
        <v>286</v>
      </c>
      <c r="C7081" s="34" t="s">
        <v>773</v>
      </c>
      <c r="F7081" t="s">
        <v>773</v>
      </c>
      <c r="H7081">
        <v>5</v>
      </c>
      <c r="I7081">
        <f>VLOOKUP(B7081,BRAND!B:D,3,FALSE)</f>
        <v>5</v>
      </c>
      <c r="J7081">
        <v>4</v>
      </c>
      <c r="K7081" t="s">
        <v>821</v>
      </c>
      <c r="L7081">
        <v>0</v>
      </c>
      <c r="M7081">
        <v>0</v>
      </c>
    </row>
    <row r="7082" spans="1:13">
      <c r="A7082" t="s">
        <v>9839</v>
      </c>
      <c r="B7082" t="s">
        <v>286</v>
      </c>
      <c r="C7082" s="34" t="s">
        <v>6548</v>
      </c>
      <c r="F7082" t="s">
        <v>775</v>
      </c>
      <c r="H7082">
        <v>5</v>
      </c>
      <c r="I7082">
        <f>VLOOKUP(B7082,BRAND!B:D,3,FALSE)</f>
        <v>5</v>
      </c>
      <c r="J7082">
        <v>3</v>
      </c>
      <c r="K7082" t="s">
        <v>821</v>
      </c>
      <c r="L7082">
        <v>0</v>
      </c>
      <c r="M7082">
        <v>0</v>
      </c>
    </row>
    <row r="7083" spans="1:13">
      <c r="A7083" t="s">
        <v>7249</v>
      </c>
      <c r="B7083" t="s">
        <v>286</v>
      </c>
      <c r="C7083" s="34" t="s">
        <v>1992</v>
      </c>
      <c r="F7083" t="s">
        <v>1992</v>
      </c>
      <c r="G7083" t="s">
        <v>6932</v>
      </c>
      <c r="H7083">
        <v>5</v>
      </c>
      <c r="I7083">
        <f>VLOOKUP(B7083,BRAND!B:D,3,FALSE)</f>
        <v>5</v>
      </c>
      <c r="J7083">
        <v>3</v>
      </c>
      <c r="L7083">
        <v>0</v>
      </c>
      <c r="M7083">
        <v>0</v>
      </c>
    </row>
    <row r="7084" spans="1:13">
      <c r="A7084" t="s">
        <v>9837</v>
      </c>
      <c r="B7084" t="s">
        <v>286</v>
      </c>
      <c r="C7084" s="34" t="s">
        <v>959</v>
      </c>
      <c r="G7084" t="s">
        <v>6932</v>
      </c>
      <c r="H7084">
        <v>5</v>
      </c>
      <c r="I7084">
        <f>VLOOKUP(B7084,BRAND!B:D,3,FALSE)</f>
        <v>5</v>
      </c>
      <c r="J7084">
        <f>LEN(F7084)</f>
        <v>0</v>
      </c>
      <c r="L7084">
        <v>0</v>
      </c>
      <c r="M7084">
        <v>0</v>
      </c>
    </row>
    <row r="7085" spans="1:13">
      <c r="A7085" t="s">
        <v>9838</v>
      </c>
      <c r="B7085" t="s">
        <v>286</v>
      </c>
      <c r="C7085" s="34" t="s">
        <v>793</v>
      </c>
      <c r="H7085">
        <v>5</v>
      </c>
      <c r="I7085">
        <f>VLOOKUP(B7085,BRAND!B:D,3,FALSE)</f>
        <v>5</v>
      </c>
      <c r="J7085">
        <f>LEN(F7085)</f>
        <v>0</v>
      </c>
      <c r="L7085">
        <v>0</v>
      </c>
      <c r="M7085">
        <v>0</v>
      </c>
    </row>
    <row r="7086" spans="1:13">
      <c r="A7086" t="s">
        <v>9839</v>
      </c>
      <c r="B7086" t="s">
        <v>286</v>
      </c>
      <c r="C7086" s="34" t="s">
        <v>753</v>
      </c>
      <c r="H7086">
        <v>5</v>
      </c>
      <c r="I7086">
        <f>VLOOKUP(B7086,BRAND!B:D,3,FALSE)</f>
        <v>5</v>
      </c>
      <c r="J7086">
        <f>LEN(F7086)</f>
        <v>0</v>
      </c>
      <c r="L7086">
        <v>0</v>
      </c>
      <c r="M7086">
        <v>0</v>
      </c>
    </row>
    <row r="7087" spans="1:13">
      <c r="A7087" t="s">
        <v>9837</v>
      </c>
      <c r="B7087" t="s">
        <v>286</v>
      </c>
      <c r="C7087" s="34" t="s">
        <v>959</v>
      </c>
      <c r="G7087" t="s">
        <v>6932</v>
      </c>
      <c r="H7087">
        <v>5</v>
      </c>
      <c r="I7087">
        <f>VLOOKUP(B7087,BRAND!B:D,3,FALSE)</f>
        <v>5</v>
      </c>
      <c r="J7087">
        <v>0</v>
      </c>
      <c r="M7087">
        <v>1</v>
      </c>
    </row>
    <row r="7088" spans="1:13">
      <c r="A7088" t="s">
        <v>9839</v>
      </c>
      <c r="B7088" t="s">
        <v>286</v>
      </c>
      <c r="C7088" s="34" t="s">
        <v>753</v>
      </c>
      <c r="H7088">
        <v>5</v>
      </c>
      <c r="I7088">
        <f>VLOOKUP(B7088,BRAND!B:D,3,FALSE)</f>
        <v>5</v>
      </c>
      <c r="J7088">
        <v>0</v>
      </c>
      <c r="M7088">
        <v>1</v>
      </c>
    </row>
    <row r="7089" spans="1:13">
      <c r="A7089" t="s">
        <v>9838</v>
      </c>
      <c r="B7089" t="s">
        <v>286</v>
      </c>
      <c r="C7089" s="34" t="s">
        <v>793</v>
      </c>
      <c r="H7089">
        <v>5</v>
      </c>
      <c r="I7089">
        <f>VLOOKUP(B7089,BRAND!B:D,3,FALSE)</f>
        <v>5</v>
      </c>
      <c r="J7089">
        <v>0</v>
      </c>
      <c r="M7089">
        <v>1</v>
      </c>
    </row>
    <row r="7090" spans="1:13">
      <c r="A7090" t="s">
        <v>7249</v>
      </c>
      <c r="B7090" t="s">
        <v>286</v>
      </c>
      <c r="C7090" s="34" t="s">
        <v>774</v>
      </c>
      <c r="F7090" t="s">
        <v>774</v>
      </c>
      <c r="H7090">
        <v>5</v>
      </c>
      <c r="I7090">
        <f>VLOOKUP(B7090,BRAND!B:D,3,FALSE)</f>
        <v>5</v>
      </c>
      <c r="L7090">
        <v>0</v>
      </c>
      <c r="M7090">
        <v>0</v>
      </c>
    </row>
    <row r="7091" spans="1:13">
      <c r="A7091" t="s">
        <v>7250</v>
      </c>
      <c r="B7091" t="s">
        <v>286</v>
      </c>
      <c r="C7091" s="34" t="s">
        <v>7251</v>
      </c>
      <c r="F7091" t="s">
        <v>7251</v>
      </c>
      <c r="H7091">
        <v>5</v>
      </c>
      <c r="I7091">
        <f>VLOOKUP(B7091,BRAND!B:D,3,FALSE)</f>
        <v>5</v>
      </c>
      <c r="M7091">
        <v>1</v>
      </c>
    </row>
    <row r="7092" spans="1:13">
      <c r="A7092" t="s">
        <v>5020</v>
      </c>
      <c r="B7092" t="s">
        <v>286</v>
      </c>
      <c r="C7092" s="34" t="s">
        <v>803</v>
      </c>
      <c r="F7092" t="s">
        <v>803</v>
      </c>
      <c r="G7092" t="s">
        <v>801</v>
      </c>
      <c r="H7092">
        <v>6</v>
      </c>
      <c r="I7092">
        <f>VLOOKUP(B7092,BRAND!B:D,3,FALSE)</f>
        <v>5</v>
      </c>
      <c r="J7092">
        <v>8</v>
      </c>
      <c r="K7092" t="s">
        <v>821</v>
      </c>
      <c r="L7092">
        <v>0</v>
      </c>
      <c r="M7092">
        <v>0</v>
      </c>
    </row>
    <row r="7093" spans="1:13">
      <c r="A7093" t="s">
        <v>4928</v>
      </c>
      <c r="B7093" t="s">
        <v>286</v>
      </c>
      <c r="C7093" s="34" t="s">
        <v>1438</v>
      </c>
      <c r="F7093" t="s">
        <v>1438</v>
      </c>
      <c r="G7093" t="s">
        <v>801</v>
      </c>
      <c r="H7093">
        <v>6</v>
      </c>
      <c r="I7093">
        <f>VLOOKUP(B7093,BRAND!B:D,3,FALSE)</f>
        <v>5</v>
      </c>
      <c r="J7093">
        <v>4</v>
      </c>
      <c r="K7093" t="s">
        <v>821</v>
      </c>
      <c r="L7093">
        <v>0</v>
      </c>
      <c r="M7093">
        <v>0</v>
      </c>
    </row>
    <row r="7094" spans="1:13">
      <c r="A7094" t="s">
        <v>2011</v>
      </c>
      <c r="B7094" t="s">
        <v>286</v>
      </c>
      <c r="C7094" s="34" t="s">
        <v>1438</v>
      </c>
      <c r="F7094" t="s">
        <v>1438</v>
      </c>
      <c r="H7094">
        <v>15</v>
      </c>
      <c r="I7094">
        <f>VLOOKUP(B7094,BRAND!B:D,3,FALSE)</f>
        <v>5</v>
      </c>
      <c r="J7094">
        <v>4</v>
      </c>
      <c r="K7094" t="s">
        <v>821</v>
      </c>
      <c r="L7094">
        <v>0</v>
      </c>
      <c r="M7094">
        <v>0</v>
      </c>
    </row>
    <row r="7095" spans="1:13">
      <c r="A7095" t="s">
        <v>9228</v>
      </c>
      <c r="B7095" t="s">
        <v>9229</v>
      </c>
      <c r="C7095" s="34" t="s">
        <v>9230</v>
      </c>
      <c r="F7095" t="s">
        <v>9230</v>
      </c>
      <c r="G7095" t="s">
        <v>6932</v>
      </c>
      <c r="H7095">
        <v>5</v>
      </c>
      <c r="I7095">
        <f>VLOOKUP(B7095,BRAND!B:D,3,FALSE)</f>
        <v>5.5</v>
      </c>
      <c r="J7095">
        <v>5</v>
      </c>
      <c r="M7095">
        <v>1</v>
      </c>
    </row>
    <row r="7096" spans="1:13">
      <c r="A7096" t="s">
        <v>10169</v>
      </c>
      <c r="B7096" t="s">
        <v>9229</v>
      </c>
      <c r="C7096" s="34" t="s">
        <v>195</v>
      </c>
      <c r="F7096" t="s">
        <v>195</v>
      </c>
      <c r="H7096">
        <v>5</v>
      </c>
      <c r="I7096">
        <f>VLOOKUP(B7096,BRAND!B:D,3,FALSE)</f>
        <v>5.5</v>
      </c>
      <c r="J7096">
        <v>3</v>
      </c>
      <c r="L7096">
        <v>1</v>
      </c>
      <c r="M7096">
        <v>1</v>
      </c>
    </row>
    <row r="7097" spans="1:13">
      <c r="A7097" t="s">
        <v>10170</v>
      </c>
      <c r="B7097" t="s">
        <v>9229</v>
      </c>
      <c r="C7097" s="34" t="s">
        <v>1466</v>
      </c>
      <c r="F7097" t="s">
        <v>1466</v>
      </c>
      <c r="H7097">
        <v>5</v>
      </c>
      <c r="I7097">
        <f>VLOOKUP(B7097,BRAND!B:D,3,FALSE)</f>
        <v>5.5</v>
      </c>
      <c r="J7097">
        <v>3</v>
      </c>
      <c r="L7097">
        <v>1</v>
      </c>
      <c r="M7097">
        <v>1</v>
      </c>
    </row>
    <row r="7098" spans="1:13">
      <c r="A7098" t="s">
        <v>10171</v>
      </c>
      <c r="B7098" t="s">
        <v>9229</v>
      </c>
      <c r="C7098" s="34" t="s">
        <v>1466</v>
      </c>
      <c r="F7098" t="s">
        <v>1466</v>
      </c>
      <c r="G7098" t="s">
        <v>801</v>
      </c>
      <c r="H7098">
        <v>5</v>
      </c>
      <c r="I7098">
        <f>VLOOKUP(B7098,BRAND!B:D,3,FALSE)</f>
        <v>5.5</v>
      </c>
      <c r="J7098">
        <v>3</v>
      </c>
      <c r="L7098">
        <v>1</v>
      </c>
      <c r="M7098">
        <v>1</v>
      </c>
    </row>
    <row r="7099" spans="1:13">
      <c r="A7099" t="s">
        <v>10172</v>
      </c>
      <c r="B7099" t="s">
        <v>9229</v>
      </c>
      <c r="C7099" s="34" t="s">
        <v>995</v>
      </c>
      <c r="F7099" t="s">
        <v>995</v>
      </c>
      <c r="H7099">
        <v>5</v>
      </c>
      <c r="I7099">
        <f>VLOOKUP(B7099,BRAND!B:D,3,FALSE)</f>
        <v>5.5</v>
      </c>
      <c r="J7099">
        <v>3</v>
      </c>
      <c r="L7099">
        <v>1</v>
      </c>
      <c r="M7099">
        <v>1</v>
      </c>
    </row>
    <row r="7100" spans="1:13">
      <c r="A7100" t="s">
        <v>10173</v>
      </c>
      <c r="B7100" t="s">
        <v>9229</v>
      </c>
      <c r="C7100" s="34" t="s">
        <v>1513</v>
      </c>
      <c r="F7100" t="s">
        <v>1513</v>
      </c>
      <c r="H7100">
        <v>5</v>
      </c>
      <c r="I7100">
        <f>VLOOKUP(B7100,BRAND!B:D,3,FALSE)</f>
        <v>5.5</v>
      </c>
      <c r="J7100">
        <v>3</v>
      </c>
      <c r="L7100">
        <v>1</v>
      </c>
      <c r="M7100">
        <v>1</v>
      </c>
    </row>
    <row r="7101" spans="1:13">
      <c r="A7101" t="s">
        <v>9840</v>
      </c>
      <c r="B7101" t="s">
        <v>9229</v>
      </c>
      <c r="C7101" s="34" t="s">
        <v>777</v>
      </c>
      <c r="G7101" t="s">
        <v>6932</v>
      </c>
      <c r="H7101">
        <v>5</v>
      </c>
      <c r="I7101">
        <f>VLOOKUP(B7101,BRAND!B:D,3,FALSE)</f>
        <v>5.5</v>
      </c>
      <c r="J7101">
        <f>LEN(F7101)</f>
        <v>0</v>
      </c>
      <c r="L7101">
        <v>0</v>
      </c>
      <c r="M7101">
        <v>0</v>
      </c>
    </row>
    <row r="7102" spans="1:13">
      <c r="A7102" t="s">
        <v>9840</v>
      </c>
      <c r="B7102" t="s">
        <v>9229</v>
      </c>
      <c r="C7102" s="34" t="s">
        <v>777</v>
      </c>
      <c r="G7102" t="s">
        <v>6932</v>
      </c>
      <c r="H7102">
        <v>5</v>
      </c>
      <c r="I7102">
        <f>VLOOKUP(B7102,BRAND!B:D,3,FALSE)</f>
        <v>5.5</v>
      </c>
      <c r="J7102">
        <v>0</v>
      </c>
      <c r="M7102">
        <v>1</v>
      </c>
    </row>
    <row r="7103" spans="1:13">
      <c r="A7103" t="s">
        <v>7219</v>
      </c>
      <c r="B7103" t="s">
        <v>7220</v>
      </c>
      <c r="C7103" s="34" t="s">
        <v>777</v>
      </c>
      <c r="F7103" t="s">
        <v>5374</v>
      </c>
      <c r="H7103">
        <v>5</v>
      </c>
      <c r="I7103">
        <f>VLOOKUP(B7103,BRAND!B:D,3,FALSE)</f>
        <v>5.5</v>
      </c>
      <c r="L7103">
        <v>0</v>
      </c>
      <c r="M7103">
        <v>0</v>
      </c>
    </row>
    <row r="7104" spans="1:13">
      <c r="A7104" t="s">
        <v>3185</v>
      </c>
      <c r="B7104" t="s">
        <v>230</v>
      </c>
      <c r="C7104" s="34" t="s">
        <v>776</v>
      </c>
      <c r="F7104" t="s">
        <v>776</v>
      </c>
      <c r="H7104">
        <v>5</v>
      </c>
      <c r="I7104">
        <f>VLOOKUP(B7104,BRAND!B:D,3,FALSE)</f>
        <v>5.5</v>
      </c>
      <c r="J7104">
        <v>5</v>
      </c>
      <c r="K7104" t="e">
        <v>#N/A</v>
      </c>
      <c r="M7104">
        <v>1</v>
      </c>
    </row>
    <row r="7105" spans="1:13">
      <c r="A7105" t="s">
        <v>2795</v>
      </c>
      <c r="B7105" t="s">
        <v>1196</v>
      </c>
      <c r="C7105" s="34" t="s">
        <v>1438</v>
      </c>
      <c r="F7105" t="s">
        <v>1438</v>
      </c>
      <c r="H7105">
        <v>15</v>
      </c>
      <c r="I7105">
        <f>VLOOKUP(B7105,BRAND!B:D,3,FALSE)</f>
        <v>3</v>
      </c>
      <c r="J7105">
        <v>4</v>
      </c>
      <c r="K7105" t="s">
        <v>821</v>
      </c>
      <c r="L7105">
        <v>0</v>
      </c>
      <c r="M7105">
        <v>0</v>
      </c>
    </row>
    <row r="7106" spans="1:13">
      <c r="A7106" t="s">
        <v>9231</v>
      </c>
      <c r="B7106" t="s">
        <v>9232</v>
      </c>
      <c r="C7106" s="34" t="s">
        <v>1438</v>
      </c>
      <c r="F7106" t="s">
        <v>1438</v>
      </c>
      <c r="G7106" t="s">
        <v>6932</v>
      </c>
      <c r="H7106">
        <v>5</v>
      </c>
      <c r="I7106">
        <f>VLOOKUP(B7106,BRAND!B:D,3,FALSE)</f>
        <v>5.5</v>
      </c>
      <c r="J7106">
        <v>4</v>
      </c>
      <c r="M7106">
        <v>1</v>
      </c>
    </row>
    <row r="7107" spans="1:13">
      <c r="A7107" t="s">
        <v>7319</v>
      </c>
      <c r="B7107" t="s">
        <v>7320</v>
      </c>
      <c r="C7107" s="34" t="s">
        <v>534</v>
      </c>
      <c r="F7107" t="s">
        <v>534</v>
      </c>
      <c r="H7107">
        <v>5</v>
      </c>
      <c r="I7107">
        <f>VLOOKUP(B7107,BRAND!B:D,3,FALSE)</f>
        <v>5.5</v>
      </c>
      <c r="M7107">
        <v>1</v>
      </c>
    </row>
    <row r="7108" spans="1:13">
      <c r="A7108" t="s">
        <v>2909</v>
      </c>
      <c r="B7108" t="s">
        <v>1348</v>
      </c>
      <c r="C7108" s="34" t="s">
        <v>775</v>
      </c>
      <c r="F7108" t="s">
        <v>775</v>
      </c>
      <c r="H7108">
        <v>5</v>
      </c>
      <c r="I7108">
        <f>VLOOKUP(B7108,BRAND!B:D,3,FALSE)</f>
        <v>3</v>
      </c>
      <c r="J7108">
        <v>3</v>
      </c>
      <c r="K7108" t="s">
        <v>821</v>
      </c>
      <c r="L7108">
        <v>0</v>
      </c>
      <c r="M7108">
        <v>0</v>
      </c>
    </row>
    <row r="7109" spans="1:13">
      <c r="A7109" t="s">
        <v>4297</v>
      </c>
      <c r="B7109" t="s">
        <v>1909</v>
      </c>
      <c r="C7109" s="34" t="s">
        <v>534</v>
      </c>
      <c r="F7109" t="s">
        <v>534</v>
      </c>
      <c r="H7109">
        <v>5</v>
      </c>
      <c r="I7109">
        <f>VLOOKUP(B7109,BRAND!B:D,3,FALSE)</f>
        <v>5</v>
      </c>
      <c r="J7109">
        <v>6</v>
      </c>
      <c r="K7109" t="s">
        <v>821</v>
      </c>
      <c r="L7109">
        <v>0</v>
      </c>
      <c r="M7109">
        <v>0</v>
      </c>
    </row>
    <row r="7110" spans="1:13">
      <c r="A7110" t="s">
        <v>10559</v>
      </c>
      <c r="B7110" t="s">
        <v>10387</v>
      </c>
      <c r="C7110" s="34" t="s">
        <v>10560</v>
      </c>
      <c r="F7110" t="s">
        <v>10560</v>
      </c>
      <c r="G7110" t="s">
        <v>6932</v>
      </c>
      <c r="H7110">
        <v>5</v>
      </c>
      <c r="I7110">
        <f>VLOOKUP(B7110,BRAND!B:D,3,FALSE)</f>
        <v>5.5</v>
      </c>
      <c r="J7110">
        <f>LEN(F7110)</f>
        <v>8</v>
      </c>
      <c r="L7110">
        <v>0</v>
      </c>
    </row>
    <row r="7111" spans="1:13">
      <c r="A7111" t="s">
        <v>7156</v>
      </c>
      <c r="B7111" t="s">
        <v>7157</v>
      </c>
      <c r="C7111" s="34" t="s">
        <v>1438</v>
      </c>
      <c r="F7111" t="s">
        <v>1438</v>
      </c>
      <c r="G7111" t="s">
        <v>6932</v>
      </c>
      <c r="H7111">
        <v>5</v>
      </c>
      <c r="I7111">
        <f>VLOOKUP(B7111,BRAND!B:D,3,FALSE)</f>
        <v>5.5</v>
      </c>
      <c r="J7111">
        <v>4</v>
      </c>
      <c r="M7111">
        <v>1</v>
      </c>
    </row>
    <row r="7112" spans="1:13">
      <c r="A7112" t="s">
        <v>7156</v>
      </c>
      <c r="B7112" t="s">
        <v>7157</v>
      </c>
      <c r="C7112" s="34" t="s">
        <v>1438</v>
      </c>
      <c r="F7112" t="s">
        <v>1438</v>
      </c>
      <c r="H7112">
        <v>5</v>
      </c>
      <c r="I7112">
        <f>VLOOKUP(B7112,BRAND!B:D,3,FALSE)</f>
        <v>5.5</v>
      </c>
      <c r="M7112">
        <v>1</v>
      </c>
    </row>
    <row r="7113" spans="1:13">
      <c r="A7113" t="s">
        <v>14431</v>
      </c>
      <c r="B7113" t="s">
        <v>897</v>
      </c>
      <c r="C7113" s="34" t="s">
        <v>897</v>
      </c>
      <c r="F7113" t="s">
        <v>897</v>
      </c>
      <c r="G7113" t="s">
        <v>6932</v>
      </c>
      <c r="H7113">
        <v>5</v>
      </c>
      <c r="I7113">
        <f>VLOOKUP(B7113,BRAND!B:D,3,FALSE)</f>
        <v>0</v>
      </c>
      <c r="J7113">
        <f>LEN(F7113)</f>
        <v>4</v>
      </c>
      <c r="K7113" t="s">
        <v>821</v>
      </c>
      <c r="L7113">
        <v>0</v>
      </c>
      <c r="M7113">
        <v>1</v>
      </c>
    </row>
    <row r="7114" spans="1:13">
      <c r="A7114" t="s">
        <v>4521</v>
      </c>
      <c r="B7114" t="s">
        <v>1847</v>
      </c>
      <c r="C7114" s="34" t="s">
        <v>1470</v>
      </c>
      <c r="F7114" t="s">
        <v>1470</v>
      </c>
      <c r="H7114">
        <v>4</v>
      </c>
      <c r="I7114">
        <f>VLOOKUP(B7114,BRAND!B:D,3,FALSE)</f>
        <v>11</v>
      </c>
      <c r="J7114">
        <f>LEN(F7114)</f>
        <v>12</v>
      </c>
      <c r="K7114" t="s">
        <v>821</v>
      </c>
      <c r="L7114">
        <v>0</v>
      </c>
      <c r="M7114">
        <v>0</v>
      </c>
    </row>
    <row r="7115" spans="1:13">
      <c r="A7115" t="s">
        <v>2945</v>
      </c>
      <c r="B7115" t="s">
        <v>1847</v>
      </c>
      <c r="C7115" s="34" t="s">
        <v>798</v>
      </c>
      <c r="F7115" t="s">
        <v>798</v>
      </c>
      <c r="H7115">
        <v>5</v>
      </c>
      <c r="I7115">
        <f>VLOOKUP(B7115,BRAND!B:D,3,FALSE)</f>
        <v>11</v>
      </c>
      <c r="J7115">
        <v>9</v>
      </c>
      <c r="K7115" t="s">
        <v>821</v>
      </c>
      <c r="L7115">
        <v>0</v>
      </c>
      <c r="M7115">
        <v>0</v>
      </c>
    </row>
    <row r="7116" spans="1:13">
      <c r="A7116" t="s">
        <v>4563</v>
      </c>
      <c r="B7116" t="s">
        <v>1847</v>
      </c>
      <c r="C7116" s="34" t="s">
        <v>1491</v>
      </c>
      <c r="F7116" t="s">
        <v>1491</v>
      </c>
      <c r="H7116">
        <v>5</v>
      </c>
      <c r="I7116">
        <f>VLOOKUP(B7116,BRAND!B:D,3,FALSE)</f>
        <v>11</v>
      </c>
      <c r="J7116">
        <v>7</v>
      </c>
      <c r="K7116" t="s">
        <v>821</v>
      </c>
      <c r="L7116">
        <v>0</v>
      </c>
      <c r="M7116">
        <v>0</v>
      </c>
    </row>
    <row r="7117" spans="1:13">
      <c r="A7117" t="s">
        <v>4562</v>
      </c>
      <c r="B7117" t="s">
        <v>1847</v>
      </c>
      <c r="C7117" s="34" t="s">
        <v>1489</v>
      </c>
      <c r="F7117" t="s">
        <v>1489</v>
      </c>
      <c r="H7117">
        <v>5</v>
      </c>
      <c r="I7117">
        <f>VLOOKUP(B7117,BRAND!B:D,3,FALSE)</f>
        <v>11</v>
      </c>
      <c r="J7117">
        <v>7</v>
      </c>
      <c r="K7117" t="s">
        <v>821</v>
      </c>
      <c r="L7117">
        <v>0</v>
      </c>
      <c r="M7117">
        <v>0</v>
      </c>
    </row>
    <row r="7118" spans="1:13">
      <c r="A7118" t="s">
        <v>5007</v>
      </c>
      <c r="B7118" t="s">
        <v>1847</v>
      </c>
      <c r="C7118" s="34" t="s">
        <v>897</v>
      </c>
      <c r="F7118" t="s">
        <v>897</v>
      </c>
      <c r="G7118" t="s">
        <v>801</v>
      </c>
      <c r="H7118">
        <v>6</v>
      </c>
      <c r="I7118">
        <f>VLOOKUP(B7118,BRAND!B:D,3,FALSE)</f>
        <v>11</v>
      </c>
      <c r="J7118">
        <v>4</v>
      </c>
      <c r="K7118" t="s">
        <v>821</v>
      </c>
      <c r="L7118">
        <v>0</v>
      </c>
      <c r="M7118">
        <v>0</v>
      </c>
    </row>
    <row r="7119" spans="1:13">
      <c r="A7119" t="s">
        <v>10154</v>
      </c>
      <c r="B7119" t="s">
        <v>10155</v>
      </c>
      <c r="C7119" s="34" t="s">
        <v>10156</v>
      </c>
      <c r="F7119" t="s">
        <v>10157</v>
      </c>
      <c r="H7119">
        <v>5</v>
      </c>
      <c r="I7119">
        <f>VLOOKUP(B7119,BRAND!B:D,3,FALSE)</f>
        <v>5.5</v>
      </c>
      <c r="J7119">
        <v>3</v>
      </c>
      <c r="L7119">
        <v>1</v>
      </c>
      <c r="M7119">
        <v>1</v>
      </c>
    </row>
    <row r="7120" spans="1:13">
      <c r="A7120" t="s">
        <v>10158</v>
      </c>
      <c r="B7120" t="s">
        <v>10155</v>
      </c>
      <c r="C7120" s="34" t="s">
        <v>5190</v>
      </c>
      <c r="F7120" t="s">
        <v>5190</v>
      </c>
      <c r="H7120">
        <v>5</v>
      </c>
      <c r="I7120">
        <f>VLOOKUP(B7120,BRAND!B:D,3,FALSE)</f>
        <v>5.5</v>
      </c>
      <c r="J7120">
        <v>3</v>
      </c>
      <c r="L7120">
        <v>1</v>
      </c>
      <c r="M7120">
        <v>1</v>
      </c>
    </row>
    <row r="7121" spans="1:13">
      <c r="A7121" t="s">
        <v>10159</v>
      </c>
      <c r="B7121" t="s">
        <v>10155</v>
      </c>
      <c r="C7121" s="34" t="s">
        <v>10160</v>
      </c>
      <c r="F7121" t="s">
        <v>10161</v>
      </c>
      <c r="H7121">
        <v>5</v>
      </c>
      <c r="I7121">
        <f>VLOOKUP(B7121,BRAND!B:D,3,FALSE)</f>
        <v>5.5</v>
      </c>
      <c r="J7121">
        <v>3</v>
      </c>
      <c r="L7121">
        <v>1</v>
      </c>
      <c r="M7121">
        <v>1</v>
      </c>
    </row>
    <row r="7122" spans="1:13">
      <c r="A7122" t="s">
        <v>10162</v>
      </c>
      <c r="B7122" t="s">
        <v>10155</v>
      </c>
      <c r="C7122" s="34" t="s">
        <v>10163</v>
      </c>
      <c r="F7122" t="s">
        <v>10164</v>
      </c>
      <c r="H7122">
        <v>5</v>
      </c>
      <c r="I7122">
        <f>VLOOKUP(B7122,BRAND!B:D,3,FALSE)</f>
        <v>5.5</v>
      </c>
      <c r="J7122">
        <v>3</v>
      </c>
      <c r="L7122">
        <v>1</v>
      </c>
      <c r="M7122">
        <v>1</v>
      </c>
    </row>
    <row r="7123" spans="1:13">
      <c r="A7123" t="s">
        <v>10165</v>
      </c>
      <c r="B7123" t="s">
        <v>10155</v>
      </c>
      <c r="C7123" s="34" t="s">
        <v>1459</v>
      </c>
      <c r="F7123" t="s">
        <v>1459</v>
      </c>
      <c r="H7123">
        <v>5</v>
      </c>
      <c r="I7123">
        <f>VLOOKUP(B7123,BRAND!B:D,3,FALSE)</f>
        <v>5.5</v>
      </c>
      <c r="J7123">
        <v>3</v>
      </c>
      <c r="L7123">
        <v>1</v>
      </c>
      <c r="M7123">
        <v>1</v>
      </c>
    </row>
    <row r="7124" spans="1:13">
      <c r="A7124" t="s">
        <v>9233</v>
      </c>
      <c r="B7124" t="s">
        <v>7194</v>
      </c>
      <c r="C7124" s="34" t="s">
        <v>1438</v>
      </c>
      <c r="F7124" t="s">
        <v>1438</v>
      </c>
      <c r="G7124" t="s">
        <v>801</v>
      </c>
      <c r="H7124">
        <v>5</v>
      </c>
      <c r="I7124">
        <f>VLOOKUP(B7124,BRAND!B:D,3,FALSE)</f>
        <v>5.5</v>
      </c>
      <c r="J7124">
        <v>4</v>
      </c>
      <c r="M7124">
        <v>1</v>
      </c>
    </row>
    <row r="7125" spans="1:13">
      <c r="A7125" t="s">
        <v>7193</v>
      </c>
      <c r="B7125" t="s">
        <v>7194</v>
      </c>
      <c r="C7125" s="34" t="s">
        <v>1438</v>
      </c>
      <c r="F7125" t="s">
        <v>1438</v>
      </c>
      <c r="H7125">
        <v>5</v>
      </c>
      <c r="I7125">
        <f>VLOOKUP(B7125,BRAND!B:D,3,FALSE)</f>
        <v>5.5</v>
      </c>
      <c r="M7125">
        <v>1</v>
      </c>
    </row>
    <row r="7126" spans="1:13">
      <c r="A7126" t="s">
        <v>9234</v>
      </c>
      <c r="B7126" t="s">
        <v>341</v>
      </c>
      <c r="C7126" s="34" t="s">
        <v>1438</v>
      </c>
      <c r="F7126" t="s">
        <v>1438</v>
      </c>
      <c r="G7126" t="s">
        <v>6932</v>
      </c>
      <c r="H7126">
        <v>5</v>
      </c>
      <c r="I7126">
        <f>VLOOKUP(B7126,BRAND!B:D,3,FALSE)</f>
        <v>3</v>
      </c>
      <c r="J7126">
        <v>4</v>
      </c>
      <c r="M7126">
        <v>1</v>
      </c>
    </row>
    <row r="7127" spans="1:13">
      <c r="A7127" t="s">
        <v>2566</v>
      </c>
      <c r="B7127" t="s">
        <v>341</v>
      </c>
      <c r="C7127" s="34" t="s">
        <v>1438</v>
      </c>
      <c r="F7127" t="s">
        <v>1438</v>
      </c>
      <c r="H7127">
        <v>15</v>
      </c>
      <c r="I7127">
        <f>VLOOKUP(B7127,BRAND!B:D,3,FALSE)</f>
        <v>3</v>
      </c>
      <c r="J7127">
        <v>4</v>
      </c>
      <c r="K7127" t="s">
        <v>821</v>
      </c>
      <c r="L7127">
        <v>0</v>
      </c>
      <c r="M7127">
        <v>0</v>
      </c>
    </row>
    <row r="7128" spans="1:13">
      <c r="A7128" t="s">
        <v>7230</v>
      </c>
      <c r="B7128" t="s">
        <v>7231</v>
      </c>
      <c r="C7128" s="34" t="s">
        <v>775</v>
      </c>
      <c r="F7128" t="s">
        <v>775</v>
      </c>
      <c r="H7128">
        <v>5</v>
      </c>
      <c r="I7128">
        <f>VLOOKUP(B7128,BRAND!B:D,3,FALSE)</f>
        <v>5.5</v>
      </c>
      <c r="M7128">
        <v>1</v>
      </c>
    </row>
    <row r="7129" spans="1:13">
      <c r="A7129" t="s">
        <v>1696</v>
      </c>
      <c r="B7129" t="s">
        <v>161</v>
      </c>
      <c r="C7129" s="34" t="s">
        <v>1470</v>
      </c>
      <c r="F7129" t="s">
        <v>1470</v>
      </c>
      <c r="H7129">
        <v>4</v>
      </c>
      <c r="I7129">
        <f>VLOOKUP(B7129,BRAND!B:D,3,FALSE)</f>
        <v>5</v>
      </c>
      <c r="J7129">
        <f>LEN(F7129)</f>
        <v>12</v>
      </c>
      <c r="K7129" t="s">
        <v>821</v>
      </c>
      <c r="M7129">
        <v>1</v>
      </c>
    </row>
    <row r="7130" spans="1:13">
      <c r="A7130" t="s">
        <v>1548</v>
      </c>
      <c r="B7130" t="s">
        <v>161</v>
      </c>
      <c r="C7130" s="34" t="s">
        <v>1469</v>
      </c>
      <c r="F7130" t="s">
        <v>1469</v>
      </c>
      <c r="H7130">
        <v>4</v>
      </c>
      <c r="I7130">
        <f>VLOOKUP(B7130,BRAND!B:D,3,FALSE)</f>
        <v>5</v>
      </c>
      <c r="J7130">
        <f>LEN(F7130)</f>
        <v>12</v>
      </c>
      <c r="K7130" t="s">
        <v>821</v>
      </c>
      <c r="M7130">
        <v>1</v>
      </c>
    </row>
    <row r="7131" spans="1:13">
      <c r="A7131" t="s">
        <v>1546</v>
      </c>
      <c r="B7131" t="s">
        <v>161</v>
      </c>
      <c r="C7131" s="34" t="s">
        <v>5424</v>
      </c>
      <c r="F7131" t="s">
        <v>1476</v>
      </c>
      <c r="H7131">
        <v>5</v>
      </c>
      <c r="I7131">
        <f>VLOOKUP(B7131,BRAND!B:D,3,FALSE)</f>
        <v>5</v>
      </c>
      <c r="J7131">
        <f>LEN(F7131)</f>
        <v>11</v>
      </c>
      <c r="K7131" t="s">
        <v>821</v>
      </c>
      <c r="M7131">
        <v>1</v>
      </c>
    </row>
    <row r="7132" spans="1:13">
      <c r="A7132" t="s">
        <v>5323</v>
      </c>
      <c r="B7132" t="s">
        <v>161</v>
      </c>
      <c r="C7132" s="34" t="s">
        <v>5422</v>
      </c>
      <c r="F7132" t="s">
        <v>1493</v>
      </c>
      <c r="H7132">
        <v>5</v>
      </c>
      <c r="I7132">
        <f>VLOOKUP(B7132,BRAND!B:D,3,FALSE)</f>
        <v>5</v>
      </c>
      <c r="J7132">
        <v>7</v>
      </c>
      <c r="K7132" t="s">
        <v>821</v>
      </c>
      <c r="M7132">
        <v>1</v>
      </c>
    </row>
    <row r="7133" spans="1:13">
      <c r="A7133" t="s">
        <v>4566</v>
      </c>
      <c r="B7133" t="s">
        <v>161</v>
      </c>
      <c r="C7133" s="34" t="s">
        <v>760</v>
      </c>
      <c r="F7133" t="s">
        <v>760</v>
      </c>
      <c r="H7133">
        <v>5</v>
      </c>
      <c r="I7133">
        <f>VLOOKUP(B7133,BRAND!B:D,3,FALSE)</f>
        <v>5</v>
      </c>
      <c r="J7133">
        <v>6</v>
      </c>
      <c r="K7133" t="s">
        <v>821</v>
      </c>
      <c r="M7133">
        <v>1</v>
      </c>
    </row>
    <row r="7134" spans="1:13">
      <c r="A7134" t="s">
        <v>5322</v>
      </c>
      <c r="B7134" t="s">
        <v>161</v>
      </c>
      <c r="C7134" s="34" t="s">
        <v>5423</v>
      </c>
      <c r="F7134" t="s">
        <v>867</v>
      </c>
      <c r="H7134">
        <v>5</v>
      </c>
      <c r="I7134">
        <f>VLOOKUP(B7134,BRAND!B:D,3,FALSE)</f>
        <v>5</v>
      </c>
      <c r="J7134">
        <v>4</v>
      </c>
      <c r="K7134" t="s">
        <v>821</v>
      </c>
      <c r="M7134">
        <v>1</v>
      </c>
    </row>
    <row r="7135" spans="1:13">
      <c r="A7135" t="s">
        <v>1711</v>
      </c>
      <c r="B7135" t="s">
        <v>161</v>
      </c>
      <c r="C7135" s="34" t="s">
        <v>1472</v>
      </c>
      <c r="F7135" t="s">
        <v>1472</v>
      </c>
      <c r="H7135">
        <v>6</v>
      </c>
      <c r="I7135">
        <f>VLOOKUP(B7135,BRAND!B:D,3,FALSE)</f>
        <v>5</v>
      </c>
      <c r="J7135">
        <f>LEN(F7135)</f>
        <v>11</v>
      </c>
      <c r="K7135" t="s">
        <v>821</v>
      </c>
      <c r="M7135">
        <v>1</v>
      </c>
    </row>
    <row r="7136" spans="1:13">
      <c r="A7136" t="s">
        <v>4904</v>
      </c>
      <c r="B7136" t="s">
        <v>161</v>
      </c>
      <c r="C7136" s="34" t="s">
        <v>5424</v>
      </c>
      <c r="F7136" t="s">
        <v>1476</v>
      </c>
      <c r="G7136" t="s">
        <v>801</v>
      </c>
      <c r="H7136">
        <v>6</v>
      </c>
      <c r="I7136">
        <f>VLOOKUP(B7136,BRAND!B:D,3,FALSE)</f>
        <v>5</v>
      </c>
      <c r="J7136">
        <f>LEN(F7136)</f>
        <v>11</v>
      </c>
      <c r="K7136" t="s">
        <v>821</v>
      </c>
      <c r="M7136">
        <v>1</v>
      </c>
    </row>
    <row r="7137" spans="1:13">
      <c r="A7137" t="s">
        <v>1634</v>
      </c>
      <c r="B7137" t="s">
        <v>161</v>
      </c>
      <c r="C7137" s="34" t="s">
        <v>882</v>
      </c>
      <c r="F7137" t="s">
        <v>882</v>
      </c>
      <c r="H7137">
        <v>6</v>
      </c>
      <c r="I7137">
        <f>VLOOKUP(B7137,BRAND!B:D,3,FALSE)</f>
        <v>5</v>
      </c>
      <c r="J7137">
        <f>LEN(F7137)</f>
        <v>10</v>
      </c>
      <c r="K7137" t="s">
        <v>821</v>
      </c>
      <c r="M7137">
        <v>1</v>
      </c>
    </row>
    <row r="7138" spans="1:13">
      <c r="A7138" t="s">
        <v>4316</v>
      </c>
      <c r="B7138" t="s">
        <v>161</v>
      </c>
      <c r="C7138" s="34" t="s">
        <v>798</v>
      </c>
      <c r="F7138" t="s">
        <v>798</v>
      </c>
      <c r="H7138">
        <v>6</v>
      </c>
      <c r="I7138">
        <f>VLOOKUP(B7138,BRAND!B:D,3,FALSE)</f>
        <v>5</v>
      </c>
      <c r="J7138">
        <v>9</v>
      </c>
      <c r="K7138" t="s">
        <v>821</v>
      </c>
      <c r="M7138">
        <v>1</v>
      </c>
    </row>
    <row r="7139" spans="1:13">
      <c r="A7139" t="s">
        <v>4187</v>
      </c>
      <c r="B7139" t="s">
        <v>161</v>
      </c>
      <c r="C7139" s="34" t="s">
        <v>750</v>
      </c>
      <c r="F7139" t="s">
        <v>750</v>
      </c>
      <c r="H7139">
        <v>6</v>
      </c>
      <c r="I7139">
        <f>VLOOKUP(B7139,BRAND!B:D,3,FALSE)</f>
        <v>5</v>
      </c>
      <c r="J7139">
        <v>6</v>
      </c>
      <c r="K7139" t="s">
        <v>821</v>
      </c>
      <c r="M7139">
        <v>1</v>
      </c>
    </row>
    <row r="7140" spans="1:13">
      <c r="A7140" t="s">
        <v>1633</v>
      </c>
      <c r="B7140" t="s">
        <v>161</v>
      </c>
      <c r="C7140" s="34" t="s">
        <v>898</v>
      </c>
      <c r="F7140" t="s">
        <v>898</v>
      </c>
      <c r="H7140">
        <v>6</v>
      </c>
      <c r="I7140">
        <f>VLOOKUP(B7140,BRAND!B:D,3,FALSE)</f>
        <v>5</v>
      </c>
      <c r="J7140">
        <v>6</v>
      </c>
      <c r="K7140" t="s">
        <v>821</v>
      </c>
      <c r="M7140">
        <v>1</v>
      </c>
    </row>
    <row r="7141" spans="1:13">
      <c r="A7141" s="29" t="s">
        <v>4599</v>
      </c>
      <c r="B7141" s="29" t="s">
        <v>161</v>
      </c>
      <c r="C7141" s="36" t="s">
        <v>842</v>
      </c>
      <c r="D7141" s="29"/>
      <c r="E7141" s="29"/>
      <c r="F7141" s="29" t="s">
        <v>842</v>
      </c>
      <c r="G7141" s="29"/>
      <c r="H7141">
        <v>6</v>
      </c>
      <c r="I7141">
        <f>VLOOKUP(B7141,BRAND!B:D,3,FALSE)</f>
        <v>5</v>
      </c>
      <c r="J7141">
        <v>5</v>
      </c>
      <c r="K7141" t="s">
        <v>821</v>
      </c>
      <c r="M7141">
        <v>1</v>
      </c>
    </row>
    <row r="7142" spans="1:13">
      <c r="A7142" s="29" t="s">
        <v>1604</v>
      </c>
      <c r="B7142" s="29" t="s">
        <v>161</v>
      </c>
      <c r="C7142" s="36" t="s">
        <v>1513</v>
      </c>
      <c r="D7142" s="29"/>
      <c r="E7142" s="29"/>
      <c r="F7142" s="29" t="s">
        <v>1513</v>
      </c>
      <c r="G7142" s="29"/>
      <c r="H7142">
        <v>6</v>
      </c>
      <c r="I7142">
        <f>VLOOKUP(B7142,BRAND!B:D,3,FALSE)</f>
        <v>5</v>
      </c>
      <c r="J7142">
        <v>5</v>
      </c>
      <c r="K7142" t="s">
        <v>821</v>
      </c>
      <c r="M7142">
        <v>1</v>
      </c>
    </row>
    <row r="7143" spans="1:13">
      <c r="A7143" t="s">
        <v>4484</v>
      </c>
      <c r="B7143" t="s">
        <v>161</v>
      </c>
      <c r="C7143" s="34" t="s">
        <v>881</v>
      </c>
      <c r="F7143" t="s">
        <v>881</v>
      </c>
      <c r="H7143">
        <v>6</v>
      </c>
      <c r="I7143">
        <f>VLOOKUP(B7143,BRAND!B:D,3,FALSE)</f>
        <v>5</v>
      </c>
      <c r="J7143">
        <v>5</v>
      </c>
      <c r="K7143" t="s">
        <v>821</v>
      </c>
      <c r="M7143">
        <v>1</v>
      </c>
    </row>
    <row r="7144" spans="1:13">
      <c r="A7144" t="s">
        <v>1646</v>
      </c>
      <c r="B7144" t="s">
        <v>161</v>
      </c>
      <c r="C7144" s="34" t="s">
        <v>1515</v>
      </c>
      <c r="F7144" t="s">
        <v>1515</v>
      </c>
      <c r="H7144">
        <v>6</v>
      </c>
      <c r="I7144">
        <f>VLOOKUP(B7144,BRAND!B:D,3,FALSE)</f>
        <v>5</v>
      </c>
      <c r="J7144">
        <v>4</v>
      </c>
      <c r="K7144" t="s">
        <v>821</v>
      </c>
      <c r="M7144">
        <v>1</v>
      </c>
    </row>
    <row r="7145" spans="1:13">
      <c r="A7145" t="s">
        <v>1684</v>
      </c>
      <c r="B7145" t="s">
        <v>161</v>
      </c>
      <c r="C7145" s="34" t="s">
        <v>775</v>
      </c>
      <c r="F7145" t="s">
        <v>775</v>
      </c>
      <c r="H7145">
        <v>6</v>
      </c>
      <c r="I7145">
        <f>VLOOKUP(B7145,BRAND!B:D,3,FALSE)</f>
        <v>5</v>
      </c>
      <c r="J7145">
        <v>3</v>
      </c>
      <c r="K7145" t="s">
        <v>821</v>
      </c>
      <c r="M7145">
        <v>1</v>
      </c>
    </row>
    <row r="7146" spans="1:13">
      <c r="A7146" t="s">
        <v>6891</v>
      </c>
      <c r="B7146" t="s">
        <v>6888</v>
      </c>
      <c r="C7146" s="34" t="s">
        <v>6791</v>
      </c>
      <c r="F7146" t="s">
        <v>6791</v>
      </c>
      <c r="H7146">
        <v>5</v>
      </c>
      <c r="I7146">
        <f>VLOOKUP(B7146,BRAND!B:D,3,FALSE)</f>
        <v>5</v>
      </c>
      <c r="J7146">
        <f t="shared" ref="J7146:J7156" si="59">LEN(F7146)</f>
        <v>15</v>
      </c>
      <c r="M7146">
        <v>1</v>
      </c>
    </row>
    <row r="7147" spans="1:13">
      <c r="A7147" t="s">
        <v>6887</v>
      </c>
      <c r="B7147" t="s">
        <v>6888</v>
      </c>
      <c r="C7147" s="34" t="s">
        <v>6889</v>
      </c>
      <c r="F7147" t="s">
        <v>6890</v>
      </c>
      <c r="H7147">
        <v>5</v>
      </c>
      <c r="I7147">
        <f>VLOOKUP(B7147,BRAND!B:D,3,FALSE)</f>
        <v>5</v>
      </c>
      <c r="J7147">
        <f t="shared" si="59"/>
        <v>13</v>
      </c>
      <c r="M7147">
        <v>1</v>
      </c>
    </row>
    <row r="7148" spans="1:13">
      <c r="A7148" t="s">
        <v>6901</v>
      </c>
      <c r="B7148" t="s">
        <v>6888</v>
      </c>
      <c r="C7148" s="34" t="s">
        <v>6902</v>
      </c>
      <c r="F7148" t="s">
        <v>6903</v>
      </c>
      <c r="H7148">
        <v>5</v>
      </c>
      <c r="I7148">
        <f>VLOOKUP(B7148,BRAND!B:D,3,FALSE)</f>
        <v>5</v>
      </c>
      <c r="J7148">
        <f t="shared" si="59"/>
        <v>13</v>
      </c>
      <c r="M7148">
        <v>1</v>
      </c>
    </row>
    <row r="7149" spans="1:13">
      <c r="A7149" t="s">
        <v>6899</v>
      </c>
      <c r="B7149" t="s">
        <v>6888</v>
      </c>
      <c r="C7149" s="34" t="s">
        <v>1469</v>
      </c>
      <c r="F7149" t="s">
        <v>1469</v>
      </c>
      <c r="G7149" t="s">
        <v>6932</v>
      </c>
      <c r="H7149">
        <v>5</v>
      </c>
      <c r="I7149">
        <f>VLOOKUP(B7149,BRAND!B:D,3,FALSE)</f>
        <v>5</v>
      </c>
      <c r="J7149">
        <f t="shared" si="59"/>
        <v>12</v>
      </c>
      <c r="L7149">
        <v>0</v>
      </c>
    </row>
    <row r="7150" spans="1:13">
      <c r="A7150" t="s">
        <v>6899</v>
      </c>
      <c r="B7150" t="s">
        <v>6888</v>
      </c>
      <c r="C7150" s="34" t="s">
        <v>6900</v>
      </c>
      <c r="F7150" t="s">
        <v>1469</v>
      </c>
      <c r="H7150">
        <v>5</v>
      </c>
      <c r="I7150">
        <f>VLOOKUP(B7150,BRAND!B:D,3,FALSE)</f>
        <v>5</v>
      </c>
      <c r="J7150">
        <f t="shared" si="59"/>
        <v>12</v>
      </c>
      <c r="M7150">
        <v>1</v>
      </c>
    </row>
    <row r="7151" spans="1:13">
      <c r="A7151" t="s">
        <v>10564</v>
      </c>
      <c r="B7151" t="s">
        <v>6888</v>
      </c>
      <c r="C7151" s="34" t="s">
        <v>1476</v>
      </c>
      <c r="F7151" t="s">
        <v>1476</v>
      </c>
      <c r="G7151" t="s">
        <v>6932</v>
      </c>
      <c r="H7151">
        <v>5</v>
      </c>
      <c r="I7151">
        <f>VLOOKUP(B7151,BRAND!B:D,3,FALSE)</f>
        <v>5</v>
      </c>
      <c r="J7151">
        <f t="shared" si="59"/>
        <v>11</v>
      </c>
      <c r="L7151">
        <v>0</v>
      </c>
    </row>
    <row r="7152" spans="1:13">
      <c r="A7152" t="s">
        <v>6898</v>
      </c>
      <c r="B7152" t="s">
        <v>6888</v>
      </c>
      <c r="C7152" s="34" t="s">
        <v>79</v>
      </c>
      <c r="F7152" t="s">
        <v>79</v>
      </c>
      <c r="H7152">
        <v>5</v>
      </c>
      <c r="I7152">
        <f>VLOOKUP(B7152,BRAND!B:D,3,FALSE)</f>
        <v>5</v>
      </c>
      <c r="J7152">
        <f t="shared" si="59"/>
        <v>11</v>
      </c>
      <c r="M7152">
        <v>1</v>
      </c>
    </row>
    <row r="7153" spans="1:13">
      <c r="A7153" t="s">
        <v>6895</v>
      </c>
      <c r="B7153" t="s">
        <v>6888</v>
      </c>
      <c r="C7153" s="34" t="s">
        <v>6896</v>
      </c>
      <c r="F7153" t="s">
        <v>6897</v>
      </c>
      <c r="H7153">
        <v>5</v>
      </c>
      <c r="I7153">
        <f>VLOOKUP(B7153,BRAND!B:D,3,FALSE)</f>
        <v>5</v>
      </c>
      <c r="J7153">
        <f t="shared" si="59"/>
        <v>11</v>
      </c>
      <c r="M7153">
        <v>1</v>
      </c>
    </row>
    <row r="7154" spans="1:13">
      <c r="A7154" t="s">
        <v>10561</v>
      </c>
      <c r="B7154" t="s">
        <v>6888</v>
      </c>
      <c r="C7154" s="34" t="s">
        <v>10562</v>
      </c>
      <c r="F7154" t="s">
        <v>10563</v>
      </c>
      <c r="G7154" t="s">
        <v>6932</v>
      </c>
      <c r="H7154">
        <v>5</v>
      </c>
      <c r="I7154">
        <f>VLOOKUP(B7154,BRAND!B:D,3,FALSE)</f>
        <v>5</v>
      </c>
      <c r="J7154">
        <f t="shared" si="59"/>
        <v>10</v>
      </c>
      <c r="L7154">
        <v>0</v>
      </c>
    </row>
    <row r="7155" spans="1:13">
      <c r="A7155" t="s">
        <v>6904</v>
      </c>
      <c r="B7155" t="s">
        <v>6888</v>
      </c>
      <c r="C7155" s="34" t="s">
        <v>4901</v>
      </c>
      <c r="F7155" t="s">
        <v>4901</v>
      </c>
      <c r="G7155" t="s">
        <v>6932</v>
      </c>
      <c r="H7155">
        <v>5</v>
      </c>
      <c r="I7155">
        <f>VLOOKUP(B7155,BRAND!B:D,3,FALSE)</f>
        <v>5</v>
      </c>
      <c r="J7155">
        <f t="shared" si="59"/>
        <v>10</v>
      </c>
      <c r="L7155">
        <v>0</v>
      </c>
    </row>
    <row r="7156" spans="1:13">
      <c r="A7156" s="29" t="s">
        <v>6904</v>
      </c>
      <c r="B7156" s="29" t="s">
        <v>6888</v>
      </c>
      <c r="C7156" s="36" t="s">
        <v>6905</v>
      </c>
      <c r="D7156" s="29"/>
      <c r="E7156" s="29"/>
      <c r="F7156" s="29" t="s">
        <v>4901</v>
      </c>
      <c r="G7156" s="29"/>
      <c r="H7156" s="29">
        <v>5</v>
      </c>
      <c r="I7156">
        <f>VLOOKUP(B7156,BRAND!B:D,3,FALSE)</f>
        <v>5</v>
      </c>
      <c r="J7156">
        <f t="shared" si="59"/>
        <v>10</v>
      </c>
      <c r="M7156">
        <v>1</v>
      </c>
    </row>
    <row r="7157" spans="1:13">
      <c r="A7157" t="s">
        <v>6906</v>
      </c>
      <c r="B7157" t="s">
        <v>6888</v>
      </c>
      <c r="C7157" s="34" t="s">
        <v>749</v>
      </c>
      <c r="F7157" t="s">
        <v>749</v>
      </c>
      <c r="H7157">
        <v>5</v>
      </c>
      <c r="I7157">
        <f>VLOOKUP(B7157,BRAND!B:D,3,FALSE)</f>
        <v>5</v>
      </c>
      <c r="J7157">
        <v>6</v>
      </c>
      <c r="M7157">
        <v>1</v>
      </c>
    </row>
    <row r="7158" spans="1:13">
      <c r="A7158" t="s">
        <v>6908</v>
      </c>
      <c r="B7158" t="s">
        <v>6888</v>
      </c>
      <c r="C7158" s="34" t="s">
        <v>995</v>
      </c>
      <c r="F7158" t="s">
        <v>995</v>
      </c>
      <c r="H7158">
        <v>5</v>
      </c>
      <c r="I7158">
        <f>VLOOKUP(B7158,BRAND!B:D,3,FALSE)</f>
        <v>5</v>
      </c>
      <c r="J7158">
        <v>6</v>
      </c>
      <c r="M7158">
        <v>1</v>
      </c>
    </row>
    <row r="7159" spans="1:13">
      <c r="A7159" t="s">
        <v>6909</v>
      </c>
      <c r="B7159" t="s">
        <v>6888</v>
      </c>
      <c r="C7159" s="34" t="s">
        <v>1511</v>
      </c>
      <c r="F7159" t="s">
        <v>1511</v>
      </c>
      <c r="H7159">
        <v>5</v>
      </c>
      <c r="I7159">
        <f>VLOOKUP(B7159,BRAND!B:D,3,FALSE)</f>
        <v>5</v>
      </c>
      <c r="J7159">
        <v>6</v>
      </c>
      <c r="M7159">
        <v>1</v>
      </c>
    </row>
    <row r="7160" spans="1:13">
      <c r="A7160" t="s">
        <v>6894</v>
      </c>
      <c r="B7160" t="s">
        <v>6888</v>
      </c>
      <c r="C7160" s="34" t="s">
        <v>129</v>
      </c>
      <c r="F7160" t="s">
        <v>129</v>
      </c>
      <c r="H7160">
        <v>5</v>
      </c>
      <c r="I7160">
        <f>VLOOKUP(B7160,BRAND!B:D,3,FALSE)</f>
        <v>5</v>
      </c>
      <c r="J7160">
        <v>6</v>
      </c>
      <c r="M7160">
        <v>1</v>
      </c>
    </row>
    <row r="7161" spans="1:13">
      <c r="A7161" t="s">
        <v>6907</v>
      </c>
      <c r="B7161" t="s">
        <v>6888</v>
      </c>
      <c r="C7161" s="34" t="s">
        <v>764</v>
      </c>
      <c r="F7161" t="s">
        <v>764</v>
      </c>
      <c r="H7161">
        <v>5</v>
      </c>
      <c r="I7161">
        <f>VLOOKUP(B7161,BRAND!B:D,3,FALSE)</f>
        <v>5</v>
      </c>
      <c r="J7161">
        <v>5</v>
      </c>
      <c r="M7161">
        <v>1</v>
      </c>
    </row>
    <row r="7162" spans="1:13">
      <c r="A7162" t="s">
        <v>6915</v>
      </c>
      <c r="B7162" t="s">
        <v>6888</v>
      </c>
      <c r="C7162" s="34" t="s">
        <v>1513</v>
      </c>
      <c r="F7162" t="s">
        <v>1513</v>
      </c>
      <c r="H7162">
        <v>5</v>
      </c>
      <c r="I7162">
        <f>VLOOKUP(B7162,BRAND!B:D,3,FALSE)</f>
        <v>5</v>
      </c>
      <c r="J7162">
        <v>5</v>
      </c>
      <c r="M7162">
        <v>1</v>
      </c>
    </row>
    <row r="7163" spans="1:13">
      <c r="A7163" t="s">
        <v>6892</v>
      </c>
      <c r="B7163" t="s">
        <v>6888</v>
      </c>
      <c r="C7163" s="34" t="s">
        <v>6893</v>
      </c>
      <c r="F7163" t="s">
        <v>6893</v>
      </c>
      <c r="H7163">
        <v>5</v>
      </c>
      <c r="I7163">
        <f>VLOOKUP(B7163,BRAND!B:D,3,FALSE)</f>
        <v>5</v>
      </c>
      <c r="J7163">
        <v>3</v>
      </c>
      <c r="M7163">
        <v>1</v>
      </c>
    </row>
    <row r="7164" spans="1:13">
      <c r="A7164" t="s">
        <v>6819</v>
      </c>
      <c r="B7164" t="s">
        <v>6820</v>
      </c>
      <c r="C7164" s="34" t="s">
        <v>1466</v>
      </c>
      <c r="F7164" t="s">
        <v>1466</v>
      </c>
      <c r="H7164">
        <v>5</v>
      </c>
      <c r="I7164">
        <f>VLOOKUP(B7164,BRAND!B:D,3,FALSE)</f>
        <v>5</v>
      </c>
      <c r="J7164">
        <v>4</v>
      </c>
      <c r="M7164">
        <v>1</v>
      </c>
    </row>
    <row r="7165" spans="1:13">
      <c r="A7165" t="s">
        <v>9235</v>
      </c>
      <c r="B7165" t="s">
        <v>440</v>
      </c>
      <c r="C7165" s="34" t="s">
        <v>1438</v>
      </c>
      <c r="F7165" t="s">
        <v>1438</v>
      </c>
      <c r="G7165" t="s">
        <v>6932</v>
      </c>
      <c r="H7165">
        <v>5</v>
      </c>
      <c r="I7165">
        <f>VLOOKUP(B7165,BRAND!B:D,3,FALSE)</f>
        <v>3</v>
      </c>
      <c r="J7165">
        <v>4</v>
      </c>
      <c r="L7165">
        <v>0</v>
      </c>
      <c r="M7165">
        <v>0</v>
      </c>
    </row>
    <row r="7166" spans="1:13">
      <c r="A7166" t="s">
        <v>9842</v>
      </c>
      <c r="B7166" t="s">
        <v>440</v>
      </c>
      <c r="C7166" s="34" t="s">
        <v>772</v>
      </c>
      <c r="G7166" t="s">
        <v>6932</v>
      </c>
      <c r="H7166">
        <v>5</v>
      </c>
      <c r="I7166">
        <f>VLOOKUP(B7166,BRAND!B:D,3,FALSE)</f>
        <v>3</v>
      </c>
      <c r="J7166">
        <f>LEN(F7166)</f>
        <v>0</v>
      </c>
      <c r="L7166">
        <v>0</v>
      </c>
      <c r="M7166">
        <v>0</v>
      </c>
    </row>
    <row r="7167" spans="1:13">
      <c r="A7167" t="s">
        <v>9843</v>
      </c>
      <c r="B7167" t="s">
        <v>440</v>
      </c>
      <c r="C7167" s="34" t="s">
        <v>536</v>
      </c>
      <c r="G7167" t="s">
        <v>6932</v>
      </c>
      <c r="H7167">
        <v>5</v>
      </c>
      <c r="I7167">
        <f>VLOOKUP(B7167,BRAND!B:D,3,FALSE)</f>
        <v>3</v>
      </c>
      <c r="J7167">
        <f>LEN(F7167)</f>
        <v>0</v>
      </c>
      <c r="L7167">
        <v>0</v>
      </c>
      <c r="M7167">
        <v>0</v>
      </c>
    </row>
    <row r="7168" spans="1:13">
      <c r="A7168" t="s">
        <v>9844</v>
      </c>
      <c r="B7168" t="s">
        <v>440</v>
      </c>
      <c r="C7168" s="34" t="s">
        <v>534</v>
      </c>
      <c r="G7168" t="s">
        <v>6932</v>
      </c>
      <c r="H7168">
        <v>5</v>
      </c>
      <c r="I7168">
        <f>VLOOKUP(B7168,BRAND!B:D,3,FALSE)</f>
        <v>3</v>
      </c>
      <c r="J7168">
        <f>LEN(F7168)</f>
        <v>0</v>
      </c>
      <c r="L7168">
        <v>0</v>
      </c>
      <c r="M7168">
        <v>0</v>
      </c>
    </row>
    <row r="7169" spans="1:13">
      <c r="A7169" t="s">
        <v>9845</v>
      </c>
      <c r="B7169" t="s">
        <v>440</v>
      </c>
      <c r="C7169" s="34" t="s">
        <v>755</v>
      </c>
      <c r="G7169" t="s">
        <v>6932</v>
      </c>
      <c r="H7169">
        <v>5</v>
      </c>
      <c r="I7169">
        <f>VLOOKUP(B7169,BRAND!B:D,3,FALSE)</f>
        <v>3</v>
      </c>
      <c r="J7169">
        <f>LEN(F7169)</f>
        <v>0</v>
      </c>
      <c r="L7169">
        <v>0</v>
      </c>
      <c r="M7169">
        <v>0</v>
      </c>
    </row>
    <row r="7170" spans="1:13">
      <c r="A7170" t="s">
        <v>9843</v>
      </c>
      <c r="B7170" t="s">
        <v>440</v>
      </c>
      <c r="C7170" s="34" t="s">
        <v>536</v>
      </c>
      <c r="G7170" t="s">
        <v>6932</v>
      </c>
      <c r="H7170">
        <v>5</v>
      </c>
      <c r="I7170">
        <f>VLOOKUP(B7170,BRAND!B:D,3,FALSE)</f>
        <v>3</v>
      </c>
      <c r="J7170">
        <v>0</v>
      </c>
      <c r="M7170">
        <v>1</v>
      </c>
    </row>
    <row r="7171" spans="1:13">
      <c r="A7171" t="s">
        <v>9842</v>
      </c>
      <c r="B7171" t="s">
        <v>440</v>
      </c>
      <c r="C7171" s="34" t="s">
        <v>772</v>
      </c>
      <c r="G7171" t="s">
        <v>6932</v>
      </c>
      <c r="H7171">
        <v>5</v>
      </c>
      <c r="I7171">
        <f>VLOOKUP(B7171,BRAND!B:D,3,FALSE)</f>
        <v>3</v>
      </c>
      <c r="J7171">
        <v>0</v>
      </c>
      <c r="M7171">
        <v>1</v>
      </c>
    </row>
    <row r="7172" spans="1:13">
      <c r="A7172" t="s">
        <v>9844</v>
      </c>
      <c r="B7172" t="s">
        <v>440</v>
      </c>
      <c r="C7172" s="34" t="s">
        <v>534</v>
      </c>
      <c r="G7172" t="s">
        <v>6932</v>
      </c>
      <c r="H7172">
        <v>5</v>
      </c>
      <c r="I7172">
        <f>VLOOKUP(B7172,BRAND!B:D,3,FALSE)</f>
        <v>3</v>
      </c>
      <c r="J7172">
        <v>0</v>
      </c>
      <c r="M7172">
        <v>1</v>
      </c>
    </row>
    <row r="7173" spans="1:13">
      <c r="A7173" t="s">
        <v>9845</v>
      </c>
      <c r="B7173" t="s">
        <v>440</v>
      </c>
      <c r="C7173" s="34" t="s">
        <v>755</v>
      </c>
      <c r="G7173" t="s">
        <v>6932</v>
      </c>
      <c r="H7173">
        <v>5</v>
      </c>
      <c r="I7173">
        <f>VLOOKUP(B7173,BRAND!B:D,3,FALSE)</f>
        <v>3</v>
      </c>
      <c r="J7173">
        <v>0</v>
      </c>
      <c r="M7173">
        <v>1</v>
      </c>
    </row>
    <row r="7174" spans="1:13">
      <c r="A7174" t="s">
        <v>4104</v>
      </c>
      <c r="B7174" t="s">
        <v>1845</v>
      </c>
      <c r="C7174" s="34" t="s">
        <v>798</v>
      </c>
      <c r="F7174" t="s">
        <v>798</v>
      </c>
      <c r="H7174">
        <v>5</v>
      </c>
      <c r="I7174">
        <f>VLOOKUP(B7174,BRAND!B:D,3,FALSE)</f>
        <v>11</v>
      </c>
      <c r="J7174">
        <v>9</v>
      </c>
      <c r="K7174" t="s">
        <v>821</v>
      </c>
      <c r="L7174">
        <v>0</v>
      </c>
      <c r="M7174">
        <v>0</v>
      </c>
    </row>
    <row r="7175" spans="1:13">
      <c r="A7175" t="s">
        <v>3742</v>
      </c>
      <c r="B7175" t="s">
        <v>1845</v>
      </c>
      <c r="C7175" s="34" t="s">
        <v>792</v>
      </c>
      <c r="F7175" t="s">
        <v>792</v>
      </c>
      <c r="H7175">
        <v>5</v>
      </c>
      <c r="I7175">
        <f>VLOOKUP(B7175,BRAND!B:D,3,FALSE)</f>
        <v>11</v>
      </c>
      <c r="J7175">
        <v>4</v>
      </c>
      <c r="K7175" t="s">
        <v>821</v>
      </c>
      <c r="L7175">
        <v>0</v>
      </c>
      <c r="M7175">
        <v>0</v>
      </c>
    </row>
    <row r="7176" spans="1:13">
      <c r="A7176" t="s">
        <v>4693</v>
      </c>
      <c r="B7176" t="s">
        <v>1845</v>
      </c>
      <c r="C7176" s="34" t="s">
        <v>775</v>
      </c>
      <c r="F7176" t="s">
        <v>775</v>
      </c>
      <c r="H7176">
        <v>5</v>
      </c>
      <c r="I7176">
        <f>VLOOKUP(B7176,BRAND!B:D,3,FALSE)</f>
        <v>11</v>
      </c>
      <c r="J7176">
        <v>3</v>
      </c>
      <c r="K7176" t="s">
        <v>821</v>
      </c>
      <c r="L7176">
        <v>0</v>
      </c>
      <c r="M7176">
        <v>0</v>
      </c>
    </row>
    <row r="7177" spans="1:13">
      <c r="A7177" t="s">
        <v>4597</v>
      </c>
      <c r="B7177" t="s">
        <v>1349</v>
      </c>
      <c r="C7177" s="34" t="s">
        <v>1438</v>
      </c>
      <c r="F7177" t="s">
        <v>1438</v>
      </c>
      <c r="H7177">
        <v>15</v>
      </c>
      <c r="I7177">
        <f>VLOOKUP(B7177,BRAND!B:D,3,FALSE)</f>
        <v>3</v>
      </c>
      <c r="J7177">
        <v>4</v>
      </c>
      <c r="K7177" t="s">
        <v>821</v>
      </c>
      <c r="L7177">
        <v>0</v>
      </c>
      <c r="M7177">
        <v>0</v>
      </c>
    </row>
    <row r="7178" spans="1:13">
      <c r="A7178" t="s">
        <v>9236</v>
      </c>
      <c r="B7178" t="s">
        <v>9237</v>
      </c>
      <c r="C7178" s="34" t="s">
        <v>1470</v>
      </c>
      <c r="F7178" t="s">
        <v>1470</v>
      </c>
      <c r="G7178" t="s">
        <v>6932</v>
      </c>
      <c r="H7178">
        <v>5</v>
      </c>
      <c r="I7178">
        <f>VLOOKUP(B7178,BRAND!B:D,3,FALSE)</f>
        <v>5.5</v>
      </c>
      <c r="J7178">
        <f>LEN(F7178)</f>
        <v>12</v>
      </c>
      <c r="M7178">
        <v>1</v>
      </c>
    </row>
    <row r="7179" spans="1:13">
      <c r="A7179" t="s">
        <v>9238</v>
      </c>
      <c r="B7179" t="s">
        <v>9237</v>
      </c>
      <c r="C7179" s="34" t="s">
        <v>9239</v>
      </c>
      <c r="F7179" t="s">
        <v>9239</v>
      </c>
      <c r="G7179" t="s">
        <v>6932</v>
      </c>
      <c r="H7179">
        <v>5</v>
      </c>
      <c r="I7179">
        <f>VLOOKUP(B7179,BRAND!B:D,3,FALSE)</f>
        <v>5.5</v>
      </c>
      <c r="J7179">
        <v>6</v>
      </c>
      <c r="M7179">
        <v>1</v>
      </c>
    </row>
    <row r="7180" spans="1:13">
      <c r="A7180" t="s">
        <v>9240</v>
      </c>
      <c r="B7180" t="s">
        <v>9237</v>
      </c>
      <c r="C7180" s="34" t="s">
        <v>913</v>
      </c>
      <c r="F7180" t="s">
        <v>913</v>
      </c>
      <c r="G7180" t="s">
        <v>6932</v>
      </c>
      <c r="H7180">
        <v>5</v>
      </c>
      <c r="I7180">
        <f>VLOOKUP(B7180,BRAND!B:D,3,FALSE)</f>
        <v>5.5</v>
      </c>
      <c r="J7180">
        <v>5</v>
      </c>
      <c r="M7180">
        <v>1</v>
      </c>
    </row>
    <row r="7181" spans="1:13">
      <c r="A7181" t="s">
        <v>4251</v>
      </c>
      <c r="B7181" t="s">
        <v>834</v>
      </c>
      <c r="C7181" s="34" t="s">
        <v>1980</v>
      </c>
      <c r="F7181" t="s">
        <v>1980</v>
      </c>
      <c r="H7181">
        <v>5</v>
      </c>
      <c r="I7181">
        <f>VLOOKUP(B7181,BRAND!B:D,3,FALSE)</f>
        <v>3</v>
      </c>
      <c r="J7181">
        <f>LEN(F7181)</f>
        <v>10</v>
      </c>
      <c r="K7181" t="s">
        <v>821</v>
      </c>
      <c r="M7181">
        <v>1</v>
      </c>
    </row>
    <row r="7182" spans="1:13">
      <c r="A7182" t="s">
        <v>4083</v>
      </c>
      <c r="B7182" t="s">
        <v>834</v>
      </c>
      <c r="C7182" s="34" t="s">
        <v>764</v>
      </c>
      <c r="F7182" t="s">
        <v>764</v>
      </c>
      <c r="H7182">
        <v>5</v>
      </c>
      <c r="I7182">
        <f>VLOOKUP(B7182,BRAND!B:D,3,FALSE)</f>
        <v>3</v>
      </c>
      <c r="J7182">
        <v>5</v>
      </c>
      <c r="K7182" t="s">
        <v>821</v>
      </c>
      <c r="L7182">
        <v>0</v>
      </c>
      <c r="M7182">
        <v>0</v>
      </c>
    </row>
    <row r="7183" spans="1:13">
      <c r="A7183" t="s">
        <v>4556</v>
      </c>
      <c r="B7183" t="s">
        <v>834</v>
      </c>
      <c r="C7183" s="34" t="s">
        <v>776</v>
      </c>
      <c r="F7183" t="s">
        <v>776</v>
      </c>
      <c r="H7183">
        <v>5</v>
      </c>
      <c r="I7183">
        <f>VLOOKUP(B7183,BRAND!B:D,3,FALSE)</f>
        <v>3</v>
      </c>
      <c r="J7183">
        <v>5</v>
      </c>
      <c r="K7183" t="s">
        <v>821</v>
      </c>
      <c r="L7183">
        <v>0</v>
      </c>
      <c r="M7183">
        <v>0</v>
      </c>
    </row>
    <row r="7184" spans="1:13">
      <c r="A7184" t="s">
        <v>2013</v>
      </c>
      <c r="B7184" t="s">
        <v>834</v>
      </c>
      <c r="C7184" s="34" t="s">
        <v>1438</v>
      </c>
      <c r="F7184" t="s">
        <v>1438</v>
      </c>
      <c r="H7184">
        <v>15</v>
      </c>
      <c r="I7184">
        <f>VLOOKUP(B7184,BRAND!B:D,3,FALSE)</f>
        <v>3</v>
      </c>
      <c r="J7184">
        <v>4</v>
      </c>
      <c r="K7184" t="s">
        <v>821</v>
      </c>
      <c r="L7184">
        <v>0</v>
      </c>
      <c r="M7184">
        <v>0</v>
      </c>
    </row>
    <row r="7185" spans="1:13">
      <c r="A7185" t="s">
        <v>11479</v>
      </c>
      <c r="B7185" t="s">
        <v>10906</v>
      </c>
      <c r="C7185" s="34" t="s">
        <v>11008</v>
      </c>
      <c r="F7185" t="s">
        <v>11008</v>
      </c>
      <c r="G7185" t="s">
        <v>6932</v>
      </c>
      <c r="H7185">
        <v>5</v>
      </c>
    </row>
    <row r="7186" spans="1:13">
      <c r="A7186" t="s">
        <v>11480</v>
      </c>
      <c r="B7186" t="s">
        <v>10906</v>
      </c>
      <c r="C7186" s="34" t="s">
        <v>775</v>
      </c>
      <c r="F7186" t="s">
        <v>775</v>
      </c>
      <c r="G7186" t="s">
        <v>6932</v>
      </c>
      <c r="H7186">
        <v>5</v>
      </c>
    </row>
    <row r="7187" spans="1:13">
      <c r="A7187" t="s">
        <v>9241</v>
      </c>
      <c r="B7187" t="s">
        <v>9242</v>
      </c>
      <c r="C7187" s="34" t="s">
        <v>6948</v>
      </c>
      <c r="F7187" t="s">
        <v>6948</v>
      </c>
      <c r="G7187" t="s">
        <v>6932</v>
      </c>
      <c r="H7187">
        <v>5</v>
      </c>
      <c r="I7187">
        <f>VLOOKUP(B7187,BRAND!B:D,3,FALSE)</f>
        <v>5.5</v>
      </c>
      <c r="J7187">
        <v>6</v>
      </c>
      <c r="M7187">
        <v>1</v>
      </c>
    </row>
    <row r="7188" spans="1:13">
      <c r="A7188" t="s">
        <v>9243</v>
      </c>
      <c r="B7188" t="s">
        <v>9242</v>
      </c>
      <c r="C7188" s="34" t="s">
        <v>8349</v>
      </c>
      <c r="F7188" t="s">
        <v>8349</v>
      </c>
      <c r="G7188" t="s">
        <v>6932</v>
      </c>
      <c r="H7188">
        <v>5</v>
      </c>
      <c r="I7188">
        <f>VLOOKUP(B7188,BRAND!B:D,3,FALSE)</f>
        <v>5.5</v>
      </c>
      <c r="J7188">
        <v>6</v>
      </c>
      <c r="M7188">
        <v>1</v>
      </c>
    </row>
    <row r="7189" spans="1:13">
      <c r="A7189" t="s">
        <v>9244</v>
      </c>
      <c r="B7189" t="s">
        <v>9242</v>
      </c>
      <c r="C7189" s="34" t="s">
        <v>6364</v>
      </c>
      <c r="F7189" t="s">
        <v>6364</v>
      </c>
      <c r="G7189" t="s">
        <v>6932</v>
      </c>
      <c r="H7189">
        <v>5</v>
      </c>
      <c r="I7189">
        <f>VLOOKUP(B7189,BRAND!B:D,3,FALSE)</f>
        <v>5.5</v>
      </c>
      <c r="J7189">
        <v>6</v>
      </c>
      <c r="M7189">
        <v>1</v>
      </c>
    </row>
    <row r="7190" spans="1:13">
      <c r="A7190" t="s">
        <v>9846</v>
      </c>
      <c r="B7190" t="s">
        <v>9242</v>
      </c>
      <c r="C7190" s="34" t="s">
        <v>979</v>
      </c>
      <c r="G7190" t="s">
        <v>6932</v>
      </c>
      <c r="H7190">
        <v>5</v>
      </c>
      <c r="I7190">
        <f>VLOOKUP(B7190,BRAND!B:D,3,FALSE)</f>
        <v>5.5</v>
      </c>
      <c r="J7190">
        <f>LEN(F7190)</f>
        <v>0</v>
      </c>
      <c r="L7190">
        <v>0</v>
      </c>
      <c r="M7190">
        <v>0</v>
      </c>
    </row>
    <row r="7191" spans="1:13">
      <c r="A7191" t="s">
        <v>9846</v>
      </c>
      <c r="B7191" t="s">
        <v>9242</v>
      </c>
      <c r="C7191" s="34" t="s">
        <v>979</v>
      </c>
      <c r="G7191" t="s">
        <v>6932</v>
      </c>
      <c r="H7191">
        <v>5</v>
      </c>
      <c r="I7191">
        <f>VLOOKUP(B7191,BRAND!B:D,3,FALSE)</f>
        <v>5.5</v>
      </c>
      <c r="J7191">
        <v>0</v>
      </c>
      <c r="M7191">
        <v>1</v>
      </c>
    </row>
    <row r="7192" spans="1:13">
      <c r="A7192" t="s">
        <v>4866</v>
      </c>
      <c r="B7192" t="s">
        <v>1350</v>
      </c>
      <c r="C7192" s="34" t="s">
        <v>750</v>
      </c>
      <c r="F7192" t="s">
        <v>750</v>
      </c>
      <c r="H7192">
        <v>5</v>
      </c>
      <c r="I7192">
        <f>VLOOKUP(B7192,BRAND!B:D,3,FALSE)</f>
        <v>3</v>
      </c>
      <c r="J7192">
        <v>6</v>
      </c>
      <c r="K7192" t="s">
        <v>821</v>
      </c>
      <c r="M7192">
        <v>1</v>
      </c>
    </row>
    <row r="7193" spans="1:13">
      <c r="A7193" t="s">
        <v>4060</v>
      </c>
      <c r="B7193" t="s">
        <v>1350</v>
      </c>
      <c r="C7193" s="34" t="s">
        <v>995</v>
      </c>
      <c r="F7193" t="s">
        <v>995</v>
      </c>
      <c r="H7193">
        <v>5</v>
      </c>
      <c r="I7193">
        <f>VLOOKUP(B7193,BRAND!B:D,3,FALSE)</f>
        <v>3</v>
      </c>
      <c r="J7193">
        <v>6</v>
      </c>
      <c r="K7193" t="s">
        <v>821</v>
      </c>
      <c r="M7193">
        <v>1</v>
      </c>
    </row>
    <row r="7194" spans="1:13">
      <c r="A7194" t="s">
        <v>4755</v>
      </c>
      <c r="B7194" t="s">
        <v>1350</v>
      </c>
      <c r="C7194" s="34" t="s">
        <v>799</v>
      </c>
      <c r="F7194" t="s">
        <v>799</v>
      </c>
      <c r="H7194">
        <v>5</v>
      </c>
      <c r="I7194">
        <f>VLOOKUP(B7194,BRAND!B:D,3,FALSE)</f>
        <v>3</v>
      </c>
      <c r="J7194">
        <v>5</v>
      </c>
      <c r="K7194" t="s">
        <v>821</v>
      </c>
      <c r="M7194">
        <v>1</v>
      </c>
    </row>
    <row r="7195" spans="1:13">
      <c r="A7195" t="s">
        <v>2258</v>
      </c>
      <c r="B7195" t="s">
        <v>1350</v>
      </c>
      <c r="C7195" s="34" t="s">
        <v>1438</v>
      </c>
      <c r="F7195" t="s">
        <v>1438</v>
      </c>
      <c r="H7195">
        <v>15</v>
      </c>
      <c r="I7195">
        <f>VLOOKUP(B7195,BRAND!B:D,3,FALSE)</f>
        <v>3</v>
      </c>
      <c r="J7195">
        <v>4</v>
      </c>
      <c r="K7195" t="s">
        <v>821</v>
      </c>
      <c r="M7195">
        <v>1</v>
      </c>
    </row>
    <row r="7196" spans="1:13">
      <c r="A7196" t="s">
        <v>9245</v>
      </c>
      <c r="B7196" t="s">
        <v>385</v>
      </c>
      <c r="C7196" s="34" t="s">
        <v>1438</v>
      </c>
      <c r="F7196" t="s">
        <v>1438</v>
      </c>
      <c r="G7196" t="s">
        <v>6932</v>
      </c>
      <c r="H7196">
        <v>5</v>
      </c>
      <c r="I7196">
        <f>VLOOKUP(B7196,BRAND!B:D,3,FALSE)</f>
        <v>3</v>
      </c>
      <c r="J7196">
        <v>4</v>
      </c>
      <c r="L7196">
        <v>0</v>
      </c>
      <c r="M7196">
        <v>0</v>
      </c>
    </row>
    <row r="7197" spans="1:13">
      <c r="A7197" t="s">
        <v>2556</v>
      </c>
      <c r="B7197" t="s">
        <v>385</v>
      </c>
      <c r="C7197" s="34" t="s">
        <v>1438</v>
      </c>
      <c r="F7197" t="s">
        <v>1438</v>
      </c>
      <c r="H7197">
        <v>15</v>
      </c>
      <c r="I7197">
        <f>VLOOKUP(B7197,BRAND!B:D,3,FALSE)</f>
        <v>3</v>
      </c>
      <c r="J7197">
        <v>4</v>
      </c>
      <c r="K7197" t="s">
        <v>821</v>
      </c>
      <c r="M7197">
        <v>1</v>
      </c>
    </row>
    <row r="7198" spans="1:13">
      <c r="A7198" t="s">
        <v>7052</v>
      </c>
      <c r="B7198" t="s">
        <v>6588</v>
      </c>
      <c r="C7198" s="34" t="s">
        <v>1438</v>
      </c>
      <c r="F7198" t="s">
        <v>1438</v>
      </c>
      <c r="H7198">
        <v>5</v>
      </c>
      <c r="I7198">
        <f>VLOOKUP(B7198,BRAND!B:D,3,FALSE)</f>
        <v>5</v>
      </c>
      <c r="J7198">
        <v>4</v>
      </c>
      <c r="L7198">
        <v>1</v>
      </c>
      <c r="M7198">
        <v>1</v>
      </c>
    </row>
    <row r="7199" spans="1:13">
      <c r="A7199" t="s">
        <v>7052</v>
      </c>
      <c r="B7199" t="s">
        <v>6588</v>
      </c>
      <c r="C7199" s="34" t="s">
        <v>1438</v>
      </c>
      <c r="F7199" t="s">
        <v>1438</v>
      </c>
      <c r="H7199">
        <v>5</v>
      </c>
      <c r="I7199">
        <f>VLOOKUP(B7199,BRAND!B:D,3,FALSE)</f>
        <v>5</v>
      </c>
      <c r="J7199">
        <v>4</v>
      </c>
      <c r="L7199">
        <v>1</v>
      </c>
      <c r="M7199">
        <v>1</v>
      </c>
    </row>
    <row r="7200" spans="1:13">
      <c r="A7200" t="s">
        <v>9847</v>
      </c>
      <c r="B7200" t="s">
        <v>6588</v>
      </c>
      <c r="C7200" s="34" t="s">
        <v>766</v>
      </c>
      <c r="G7200" t="s">
        <v>6932</v>
      </c>
      <c r="H7200">
        <v>5</v>
      </c>
      <c r="I7200">
        <f>VLOOKUP(B7200,BRAND!B:D,3,FALSE)</f>
        <v>5</v>
      </c>
      <c r="J7200">
        <f>LEN(F7200)</f>
        <v>0</v>
      </c>
      <c r="L7200">
        <v>0</v>
      </c>
      <c r="M7200">
        <v>0</v>
      </c>
    </row>
    <row r="7201" spans="1:13">
      <c r="A7201" t="s">
        <v>9847</v>
      </c>
      <c r="B7201" t="s">
        <v>6588</v>
      </c>
      <c r="C7201" s="34" t="s">
        <v>766</v>
      </c>
      <c r="G7201" t="s">
        <v>6932</v>
      </c>
      <c r="H7201">
        <v>5</v>
      </c>
      <c r="I7201">
        <f>VLOOKUP(B7201,BRAND!B:D,3,FALSE)</f>
        <v>5</v>
      </c>
      <c r="J7201">
        <v>0</v>
      </c>
      <c r="L7201">
        <v>1</v>
      </c>
      <c r="M7201">
        <v>1</v>
      </c>
    </row>
    <row r="7202" spans="1:13">
      <c r="A7202" t="s">
        <v>3513</v>
      </c>
      <c r="B7202" t="s">
        <v>584</v>
      </c>
      <c r="C7202" s="34" t="s">
        <v>534</v>
      </c>
      <c r="F7202" t="s">
        <v>534</v>
      </c>
      <c r="H7202">
        <v>5</v>
      </c>
      <c r="I7202">
        <f>VLOOKUP(B7202,BRAND!B:D,3,FALSE)</f>
        <v>3</v>
      </c>
      <c r="J7202">
        <v>6</v>
      </c>
      <c r="K7202" t="s">
        <v>821</v>
      </c>
      <c r="M7202">
        <v>1</v>
      </c>
    </row>
    <row r="7203" spans="1:13">
      <c r="A7203" t="s">
        <v>9246</v>
      </c>
      <c r="B7203" t="s">
        <v>9247</v>
      </c>
      <c r="C7203" s="34" t="s">
        <v>775</v>
      </c>
      <c r="F7203" t="s">
        <v>775</v>
      </c>
      <c r="G7203" t="s">
        <v>6932</v>
      </c>
      <c r="H7203">
        <v>5</v>
      </c>
      <c r="I7203">
        <f>VLOOKUP(B7203,BRAND!B:D,3,FALSE)</f>
        <v>5.5</v>
      </c>
      <c r="J7203">
        <v>3</v>
      </c>
      <c r="L7203">
        <v>0</v>
      </c>
      <c r="M7203">
        <v>0</v>
      </c>
    </row>
    <row r="7204" spans="1:13">
      <c r="A7204" t="s">
        <v>9253</v>
      </c>
      <c r="B7204" t="s">
        <v>9254</v>
      </c>
      <c r="C7204" s="34" t="s">
        <v>1438</v>
      </c>
      <c r="F7204" t="s">
        <v>1438</v>
      </c>
      <c r="G7204" t="s">
        <v>6932</v>
      </c>
      <c r="H7204">
        <v>5</v>
      </c>
      <c r="I7204">
        <f>VLOOKUP(B7204,BRAND!B:D,3,FALSE)</f>
        <v>5.5</v>
      </c>
      <c r="J7204">
        <v>4</v>
      </c>
      <c r="M7204">
        <v>1</v>
      </c>
    </row>
    <row r="7205" spans="1:13">
      <c r="A7205" t="s">
        <v>9256</v>
      </c>
      <c r="B7205" t="s">
        <v>9249</v>
      </c>
      <c r="C7205" s="34" t="s">
        <v>534</v>
      </c>
      <c r="F7205" t="s">
        <v>534</v>
      </c>
      <c r="G7205" t="s">
        <v>6932</v>
      </c>
      <c r="H7205">
        <v>5</v>
      </c>
      <c r="I7205">
        <f>VLOOKUP(B7205,BRAND!B:D,3,FALSE)</f>
        <v>5.5</v>
      </c>
      <c r="J7205">
        <v>6</v>
      </c>
      <c r="M7205">
        <v>1</v>
      </c>
    </row>
    <row r="7206" spans="1:13">
      <c r="A7206" t="s">
        <v>9248</v>
      </c>
      <c r="B7206" t="s">
        <v>9249</v>
      </c>
      <c r="C7206" s="34" t="s">
        <v>535</v>
      </c>
      <c r="F7206" t="s">
        <v>535</v>
      </c>
      <c r="G7206" t="s">
        <v>6932</v>
      </c>
      <c r="H7206">
        <v>5</v>
      </c>
      <c r="I7206">
        <f>VLOOKUP(B7206,BRAND!B:D,3,FALSE)</f>
        <v>5.5</v>
      </c>
      <c r="J7206">
        <v>6</v>
      </c>
      <c r="M7206">
        <v>1</v>
      </c>
    </row>
    <row r="7207" spans="1:13">
      <c r="A7207" t="s">
        <v>9250</v>
      </c>
      <c r="B7207" t="s">
        <v>9249</v>
      </c>
      <c r="C7207" s="34" t="s">
        <v>842</v>
      </c>
      <c r="F7207" t="s">
        <v>842</v>
      </c>
      <c r="G7207" t="s">
        <v>6932</v>
      </c>
      <c r="H7207">
        <v>5</v>
      </c>
      <c r="I7207">
        <f>VLOOKUP(B7207,BRAND!B:D,3,FALSE)</f>
        <v>5.5</v>
      </c>
      <c r="J7207">
        <v>5</v>
      </c>
      <c r="M7207">
        <v>1</v>
      </c>
    </row>
    <row r="7208" spans="1:13">
      <c r="A7208" t="s">
        <v>9255</v>
      </c>
      <c r="B7208" t="s">
        <v>9249</v>
      </c>
      <c r="C7208" s="34" t="s">
        <v>998</v>
      </c>
      <c r="F7208" t="s">
        <v>998</v>
      </c>
      <c r="G7208" t="s">
        <v>6932</v>
      </c>
      <c r="H7208">
        <v>5</v>
      </c>
      <c r="I7208">
        <f>VLOOKUP(B7208,BRAND!B:D,3,FALSE)</f>
        <v>5.5</v>
      </c>
      <c r="J7208">
        <v>4</v>
      </c>
      <c r="M7208">
        <v>1</v>
      </c>
    </row>
    <row r="7209" spans="1:13">
      <c r="A7209" t="s">
        <v>9258</v>
      </c>
      <c r="B7209" t="s">
        <v>9249</v>
      </c>
      <c r="C7209" s="34" t="s">
        <v>561</v>
      </c>
      <c r="F7209" t="s">
        <v>561</v>
      </c>
      <c r="G7209" t="s">
        <v>6932</v>
      </c>
      <c r="H7209">
        <v>5</v>
      </c>
      <c r="I7209">
        <f>VLOOKUP(B7209,BRAND!B:D,3,FALSE)</f>
        <v>5.5</v>
      </c>
      <c r="J7209">
        <v>3</v>
      </c>
      <c r="M7209">
        <v>1</v>
      </c>
    </row>
    <row r="7210" spans="1:13">
      <c r="A7210" t="s">
        <v>9257</v>
      </c>
      <c r="B7210" t="s">
        <v>9249</v>
      </c>
      <c r="C7210" s="34">
        <v>2</v>
      </c>
      <c r="F7210">
        <v>2</v>
      </c>
      <c r="G7210" t="s">
        <v>6932</v>
      </c>
      <c r="H7210">
        <v>5</v>
      </c>
      <c r="I7210">
        <f>VLOOKUP(B7210,BRAND!B:D,3,FALSE)</f>
        <v>5.5</v>
      </c>
      <c r="J7210">
        <v>1</v>
      </c>
      <c r="M7210">
        <v>1</v>
      </c>
    </row>
    <row r="7211" spans="1:13">
      <c r="A7211" t="s">
        <v>9273</v>
      </c>
      <c r="B7211" t="s">
        <v>9270</v>
      </c>
      <c r="C7211" s="34" t="s">
        <v>9274</v>
      </c>
      <c r="F7211" t="s">
        <v>9274</v>
      </c>
      <c r="H7211">
        <v>4</v>
      </c>
      <c r="I7211">
        <f>VLOOKUP(B7211,BRAND!B:D,3,FALSE)</f>
        <v>5.5</v>
      </c>
      <c r="J7211">
        <f>LEN(F7211)</f>
        <v>10</v>
      </c>
      <c r="L7211">
        <v>0</v>
      </c>
      <c r="M7211">
        <v>0</v>
      </c>
    </row>
    <row r="7212" spans="1:13">
      <c r="A7212" t="s">
        <v>9275</v>
      </c>
      <c r="B7212" t="s">
        <v>9270</v>
      </c>
      <c r="C7212" s="34" t="s">
        <v>6364</v>
      </c>
      <c r="F7212" t="s">
        <v>6364</v>
      </c>
      <c r="G7212" t="s">
        <v>6932</v>
      </c>
      <c r="H7212">
        <v>5</v>
      </c>
      <c r="I7212">
        <f>VLOOKUP(B7212,BRAND!B:D,3,FALSE)</f>
        <v>5.5</v>
      </c>
      <c r="J7212">
        <v>6</v>
      </c>
      <c r="M7212">
        <v>1</v>
      </c>
    </row>
    <row r="7213" spans="1:13">
      <c r="A7213" t="s">
        <v>9272</v>
      </c>
      <c r="B7213" t="s">
        <v>9270</v>
      </c>
      <c r="C7213" s="34" t="s">
        <v>534</v>
      </c>
      <c r="F7213" t="s">
        <v>534</v>
      </c>
      <c r="G7213" t="s">
        <v>6932</v>
      </c>
      <c r="H7213">
        <v>5</v>
      </c>
      <c r="I7213">
        <f>VLOOKUP(B7213,BRAND!B:D,3,FALSE)</f>
        <v>5.5</v>
      </c>
      <c r="J7213">
        <v>6</v>
      </c>
      <c r="M7213">
        <v>1</v>
      </c>
    </row>
    <row r="7214" spans="1:13">
      <c r="A7214" t="s">
        <v>9269</v>
      </c>
      <c r="B7214" t="s">
        <v>9270</v>
      </c>
      <c r="C7214" s="34" t="s">
        <v>536</v>
      </c>
      <c r="F7214" t="s">
        <v>536</v>
      </c>
      <c r="G7214" t="s">
        <v>6932</v>
      </c>
      <c r="H7214">
        <v>5</v>
      </c>
      <c r="I7214">
        <f>VLOOKUP(B7214,BRAND!B:D,3,FALSE)</f>
        <v>5.5</v>
      </c>
      <c r="J7214">
        <v>5</v>
      </c>
      <c r="M7214">
        <v>1</v>
      </c>
    </row>
    <row r="7215" spans="1:13">
      <c r="A7215" t="s">
        <v>9271</v>
      </c>
      <c r="B7215" t="s">
        <v>9270</v>
      </c>
      <c r="C7215" s="34" t="s">
        <v>842</v>
      </c>
      <c r="F7215" t="s">
        <v>842</v>
      </c>
      <c r="G7215" t="s">
        <v>6932</v>
      </c>
      <c r="H7215">
        <v>5</v>
      </c>
      <c r="I7215">
        <f>VLOOKUP(B7215,BRAND!B:D,3,FALSE)</f>
        <v>5.5</v>
      </c>
      <c r="J7215">
        <v>5</v>
      </c>
      <c r="M7215">
        <v>1</v>
      </c>
    </row>
    <row r="7216" spans="1:13">
      <c r="A7216" t="s">
        <v>9276</v>
      </c>
      <c r="B7216" t="s">
        <v>9270</v>
      </c>
      <c r="C7216" s="34" t="s">
        <v>788</v>
      </c>
      <c r="F7216" t="s">
        <v>788</v>
      </c>
      <c r="G7216" t="s">
        <v>6932</v>
      </c>
      <c r="H7216">
        <v>5</v>
      </c>
      <c r="I7216">
        <f>VLOOKUP(B7216,BRAND!B:D,3,FALSE)</f>
        <v>5.5</v>
      </c>
      <c r="J7216">
        <v>4</v>
      </c>
      <c r="M7216">
        <v>1</v>
      </c>
    </row>
    <row r="7217" spans="1:13">
      <c r="A7217" t="s">
        <v>9848</v>
      </c>
      <c r="B7217" t="s">
        <v>9270</v>
      </c>
      <c r="C7217" s="34" t="s">
        <v>9274</v>
      </c>
      <c r="G7217" t="s">
        <v>6932</v>
      </c>
      <c r="H7217">
        <v>5</v>
      </c>
      <c r="I7217">
        <f>VLOOKUP(B7217,BRAND!B:D,3,FALSE)</f>
        <v>5.5</v>
      </c>
      <c r="J7217">
        <f>LEN(F7217)</f>
        <v>0</v>
      </c>
      <c r="L7217">
        <v>0</v>
      </c>
      <c r="M7217">
        <v>0</v>
      </c>
    </row>
    <row r="7218" spans="1:13">
      <c r="A7218" t="s">
        <v>9848</v>
      </c>
      <c r="B7218" t="s">
        <v>9270</v>
      </c>
      <c r="C7218" s="34" t="s">
        <v>9274</v>
      </c>
      <c r="G7218" t="s">
        <v>6932</v>
      </c>
      <c r="H7218">
        <v>5</v>
      </c>
      <c r="I7218">
        <f>VLOOKUP(B7218,BRAND!B:D,3,FALSE)</f>
        <v>5.5</v>
      </c>
      <c r="J7218">
        <v>0</v>
      </c>
      <c r="M7218">
        <v>1</v>
      </c>
    </row>
    <row r="7219" spans="1:13">
      <c r="A7219" t="s">
        <v>3731</v>
      </c>
      <c r="B7219" t="s">
        <v>1122</v>
      </c>
      <c r="C7219" s="34" t="s">
        <v>536</v>
      </c>
      <c r="F7219" t="s">
        <v>536</v>
      </c>
      <c r="H7219">
        <v>5</v>
      </c>
      <c r="I7219">
        <f>VLOOKUP(B7219,BRAND!B:D,3,FALSE)</f>
        <v>3</v>
      </c>
      <c r="J7219">
        <v>5</v>
      </c>
      <c r="K7219" t="s">
        <v>821</v>
      </c>
      <c r="L7219">
        <v>0</v>
      </c>
      <c r="M7219">
        <v>0</v>
      </c>
    </row>
    <row r="7220" spans="1:13">
      <c r="A7220" t="s">
        <v>9251</v>
      </c>
      <c r="B7220" t="s">
        <v>9252</v>
      </c>
      <c r="C7220" s="34" t="s">
        <v>751</v>
      </c>
      <c r="F7220" t="s">
        <v>751</v>
      </c>
      <c r="G7220" t="s">
        <v>6932</v>
      </c>
      <c r="H7220">
        <v>5</v>
      </c>
      <c r="I7220">
        <f>VLOOKUP(B7220,BRAND!B:D,3,FALSE)</f>
        <v>5.5</v>
      </c>
      <c r="J7220">
        <v>5</v>
      </c>
      <c r="M7220">
        <v>1</v>
      </c>
    </row>
    <row r="7221" spans="1:13">
      <c r="A7221" t="s">
        <v>9259</v>
      </c>
      <c r="B7221" t="s">
        <v>9252</v>
      </c>
      <c r="C7221" s="34" t="s">
        <v>1438</v>
      </c>
      <c r="F7221" t="s">
        <v>1438</v>
      </c>
      <c r="G7221" t="s">
        <v>6932</v>
      </c>
      <c r="H7221">
        <v>5</v>
      </c>
      <c r="I7221">
        <f>VLOOKUP(B7221,BRAND!B:D,3,FALSE)</f>
        <v>5.5</v>
      </c>
      <c r="J7221">
        <v>4</v>
      </c>
      <c r="M7221">
        <v>1</v>
      </c>
    </row>
    <row r="7222" spans="1:13">
      <c r="A7222" t="s">
        <v>2306</v>
      </c>
      <c r="B7222" t="s">
        <v>628</v>
      </c>
      <c r="C7222" s="34" t="s">
        <v>786</v>
      </c>
      <c r="F7222" t="s">
        <v>786</v>
      </c>
      <c r="H7222">
        <v>5</v>
      </c>
      <c r="I7222">
        <f>VLOOKUP(B7222,BRAND!B:D,3,FALSE)</f>
        <v>3</v>
      </c>
      <c r="J7222">
        <v>3</v>
      </c>
      <c r="K7222" t="s">
        <v>821</v>
      </c>
      <c r="L7222">
        <v>0</v>
      </c>
      <c r="M7222">
        <v>0</v>
      </c>
    </row>
    <row r="7223" spans="1:13">
      <c r="A7223" t="s">
        <v>9849</v>
      </c>
      <c r="B7223" t="s">
        <v>628</v>
      </c>
      <c r="C7223" s="34" t="s">
        <v>751</v>
      </c>
      <c r="G7223" t="s">
        <v>6932</v>
      </c>
      <c r="H7223">
        <v>5</v>
      </c>
      <c r="I7223">
        <f>VLOOKUP(B7223,BRAND!B:D,3,FALSE)</f>
        <v>3</v>
      </c>
      <c r="J7223">
        <f>LEN(F7223)</f>
        <v>0</v>
      </c>
      <c r="L7223">
        <v>0</v>
      </c>
      <c r="M7223">
        <v>0</v>
      </c>
    </row>
    <row r="7224" spans="1:13">
      <c r="A7224" t="s">
        <v>9850</v>
      </c>
      <c r="B7224" t="s">
        <v>628</v>
      </c>
      <c r="C7224" s="34" t="s">
        <v>842</v>
      </c>
      <c r="G7224" t="s">
        <v>6932</v>
      </c>
      <c r="H7224">
        <v>5</v>
      </c>
      <c r="I7224">
        <f>VLOOKUP(B7224,BRAND!B:D,3,FALSE)</f>
        <v>3</v>
      </c>
      <c r="J7224">
        <f>LEN(F7224)</f>
        <v>0</v>
      </c>
      <c r="L7224">
        <v>0</v>
      </c>
      <c r="M7224">
        <v>0</v>
      </c>
    </row>
    <row r="7225" spans="1:13">
      <c r="A7225" t="s">
        <v>9851</v>
      </c>
      <c r="B7225" t="s">
        <v>628</v>
      </c>
      <c r="C7225" s="34" t="s">
        <v>879</v>
      </c>
      <c r="G7225" t="s">
        <v>6932</v>
      </c>
      <c r="H7225">
        <v>5</v>
      </c>
      <c r="I7225">
        <f>VLOOKUP(B7225,BRAND!B:D,3,FALSE)</f>
        <v>3</v>
      </c>
      <c r="J7225">
        <f>LEN(F7225)</f>
        <v>0</v>
      </c>
      <c r="L7225">
        <v>0</v>
      </c>
      <c r="M7225">
        <v>0</v>
      </c>
    </row>
    <row r="7226" spans="1:13">
      <c r="A7226" t="s">
        <v>9852</v>
      </c>
      <c r="B7226" t="s">
        <v>628</v>
      </c>
      <c r="C7226" s="34" t="s">
        <v>10009</v>
      </c>
      <c r="G7226" t="s">
        <v>6932</v>
      </c>
      <c r="H7226">
        <v>5</v>
      </c>
      <c r="I7226">
        <f>VLOOKUP(B7226,BRAND!B:D,3,FALSE)</f>
        <v>3</v>
      </c>
      <c r="J7226">
        <f>LEN(F7226)</f>
        <v>0</v>
      </c>
      <c r="L7226">
        <v>0</v>
      </c>
      <c r="M7226">
        <v>0</v>
      </c>
    </row>
    <row r="7227" spans="1:13">
      <c r="A7227" t="s">
        <v>9849</v>
      </c>
      <c r="B7227" t="s">
        <v>628</v>
      </c>
      <c r="C7227" s="34" t="s">
        <v>751</v>
      </c>
      <c r="G7227" t="s">
        <v>6932</v>
      </c>
      <c r="H7227">
        <v>5</v>
      </c>
      <c r="I7227">
        <f>VLOOKUP(B7227,BRAND!B:D,3,FALSE)</f>
        <v>3</v>
      </c>
      <c r="J7227">
        <v>0</v>
      </c>
      <c r="M7227">
        <v>1</v>
      </c>
    </row>
    <row r="7228" spans="1:13">
      <c r="A7228" t="s">
        <v>9850</v>
      </c>
      <c r="B7228" t="s">
        <v>628</v>
      </c>
      <c r="C7228" s="34" t="s">
        <v>842</v>
      </c>
      <c r="G7228" t="s">
        <v>6932</v>
      </c>
      <c r="H7228">
        <v>5</v>
      </c>
      <c r="I7228">
        <f>VLOOKUP(B7228,BRAND!B:D,3,FALSE)</f>
        <v>3</v>
      </c>
      <c r="J7228">
        <v>0</v>
      </c>
      <c r="M7228">
        <v>1</v>
      </c>
    </row>
    <row r="7229" spans="1:13">
      <c r="A7229" t="s">
        <v>9851</v>
      </c>
      <c r="B7229" t="s">
        <v>628</v>
      </c>
      <c r="C7229" s="34" t="s">
        <v>879</v>
      </c>
      <c r="G7229" t="s">
        <v>6932</v>
      </c>
      <c r="H7229">
        <v>5</v>
      </c>
      <c r="I7229">
        <f>VLOOKUP(B7229,BRAND!B:D,3,FALSE)</f>
        <v>3</v>
      </c>
      <c r="J7229">
        <v>0</v>
      </c>
      <c r="M7229">
        <v>1</v>
      </c>
    </row>
    <row r="7230" spans="1:13">
      <c r="A7230" t="s">
        <v>9852</v>
      </c>
      <c r="B7230" t="s">
        <v>628</v>
      </c>
      <c r="C7230" s="34" t="s">
        <v>10009</v>
      </c>
      <c r="G7230" t="s">
        <v>6932</v>
      </c>
      <c r="H7230">
        <v>5</v>
      </c>
      <c r="I7230">
        <f>VLOOKUP(B7230,BRAND!B:D,3,FALSE)</f>
        <v>3</v>
      </c>
      <c r="J7230">
        <v>0</v>
      </c>
      <c r="M7230">
        <v>1</v>
      </c>
    </row>
    <row r="7231" spans="1:13">
      <c r="A7231" t="s">
        <v>14946</v>
      </c>
      <c r="B7231" t="s">
        <v>14947</v>
      </c>
      <c r="C7231" s="34" t="s">
        <v>536</v>
      </c>
      <c r="F7231" t="s">
        <v>536</v>
      </c>
      <c r="G7231" t="s">
        <v>6932</v>
      </c>
      <c r="H7231">
        <v>5</v>
      </c>
      <c r="I7231">
        <f>VLOOKUP(B7231,BRAND!B:D,3,FALSE)</f>
        <v>5</v>
      </c>
      <c r="J7231">
        <v>0</v>
      </c>
      <c r="K7231" t="s">
        <v>821</v>
      </c>
      <c r="L7231">
        <v>0</v>
      </c>
      <c r="M7231">
        <v>0</v>
      </c>
    </row>
    <row r="7232" spans="1:13">
      <c r="A7232" t="s">
        <v>14948</v>
      </c>
      <c r="B7232" t="s">
        <v>14947</v>
      </c>
      <c r="C7232" s="34" t="s">
        <v>762</v>
      </c>
      <c r="F7232" t="s">
        <v>762</v>
      </c>
      <c r="G7232" t="s">
        <v>6932</v>
      </c>
      <c r="H7232">
        <v>5</v>
      </c>
      <c r="I7232">
        <f>VLOOKUP(B7232,BRAND!B:D,3,FALSE)</f>
        <v>5</v>
      </c>
      <c r="J7232">
        <v>0</v>
      </c>
      <c r="K7232" t="s">
        <v>821</v>
      </c>
      <c r="L7232">
        <v>0</v>
      </c>
      <c r="M7232">
        <v>0</v>
      </c>
    </row>
    <row r="7233" spans="1:13">
      <c r="A7233" t="s">
        <v>14949</v>
      </c>
      <c r="B7233" t="s">
        <v>14947</v>
      </c>
      <c r="C7233" s="34" t="s">
        <v>757</v>
      </c>
      <c r="F7233" t="s">
        <v>757</v>
      </c>
      <c r="G7233" t="s">
        <v>6932</v>
      </c>
      <c r="H7233">
        <v>5</v>
      </c>
      <c r="I7233">
        <f>VLOOKUP(B7233,BRAND!B:D,3,FALSE)</f>
        <v>5</v>
      </c>
      <c r="J7233">
        <v>0</v>
      </c>
      <c r="K7233" t="s">
        <v>821</v>
      </c>
      <c r="L7233">
        <v>0</v>
      </c>
      <c r="M7233">
        <v>0</v>
      </c>
    </row>
    <row r="7234" spans="1:13">
      <c r="A7234" t="s">
        <v>14950</v>
      </c>
      <c r="B7234" t="s">
        <v>14947</v>
      </c>
      <c r="C7234" s="34" t="s">
        <v>758</v>
      </c>
      <c r="F7234" t="s">
        <v>758</v>
      </c>
      <c r="G7234" t="s">
        <v>6932</v>
      </c>
      <c r="H7234">
        <v>5</v>
      </c>
      <c r="I7234">
        <f>VLOOKUP(B7234,BRAND!B:D,3,FALSE)</f>
        <v>5</v>
      </c>
      <c r="J7234">
        <v>0</v>
      </c>
      <c r="K7234" t="s">
        <v>821</v>
      </c>
      <c r="L7234">
        <v>0</v>
      </c>
      <c r="M7234">
        <v>0</v>
      </c>
    </row>
    <row r="7235" spans="1:13">
      <c r="A7235" t="s">
        <v>14951</v>
      </c>
      <c r="B7235" t="s">
        <v>14947</v>
      </c>
      <c r="C7235" s="34" t="s">
        <v>14952</v>
      </c>
      <c r="F7235" t="s">
        <v>14952</v>
      </c>
      <c r="G7235" t="s">
        <v>6932</v>
      </c>
      <c r="H7235">
        <v>5</v>
      </c>
      <c r="I7235">
        <f>VLOOKUP(B7235,BRAND!B:D,3,FALSE)</f>
        <v>5</v>
      </c>
      <c r="J7235">
        <v>0</v>
      </c>
      <c r="K7235" t="s">
        <v>821</v>
      </c>
      <c r="L7235">
        <v>0</v>
      </c>
      <c r="M7235">
        <v>0</v>
      </c>
    </row>
    <row r="7236" spans="1:13">
      <c r="A7236" t="s">
        <v>14953</v>
      </c>
      <c r="B7236" t="s">
        <v>14947</v>
      </c>
      <c r="C7236" s="34" t="s">
        <v>13581</v>
      </c>
      <c r="F7236" t="s">
        <v>13581</v>
      </c>
      <c r="G7236" t="s">
        <v>6932</v>
      </c>
      <c r="H7236">
        <v>5</v>
      </c>
      <c r="I7236">
        <f>VLOOKUP(B7236,BRAND!B:D,3,FALSE)</f>
        <v>5</v>
      </c>
      <c r="J7236">
        <v>0</v>
      </c>
      <c r="K7236" t="s">
        <v>821</v>
      </c>
      <c r="L7236">
        <v>0</v>
      </c>
      <c r="M7236">
        <v>0</v>
      </c>
    </row>
    <row r="7237" spans="1:13">
      <c r="A7237" t="s">
        <v>14954</v>
      </c>
      <c r="B7237" t="s">
        <v>14947</v>
      </c>
      <c r="C7237" s="34" t="s">
        <v>14955</v>
      </c>
      <c r="F7237" t="s">
        <v>14955</v>
      </c>
      <c r="G7237" t="s">
        <v>6932</v>
      </c>
      <c r="H7237">
        <v>5</v>
      </c>
      <c r="I7237">
        <f>VLOOKUP(B7237,BRAND!B:D,3,FALSE)</f>
        <v>5</v>
      </c>
      <c r="J7237">
        <v>0</v>
      </c>
      <c r="K7237" t="s">
        <v>821</v>
      </c>
      <c r="L7237">
        <v>0</v>
      </c>
      <c r="M7237">
        <v>0</v>
      </c>
    </row>
    <row r="7238" spans="1:13">
      <c r="A7238" t="s">
        <v>14956</v>
      </c>
      <c r="B7238" t="s">
        <v>14947</v>
      </c>
      <c r="C7238" s="34" t="s">
        <v>952</v>
      </c>
      <c r="F7238" t="s">
        <v>952</v>
      </c>
      <c r="G7238" t="s">
        <v>6932</v>
      </c>
      <c r="H7238">
        <v>5</v>
      </c>
      <c r="I7238">
        <f>VLOOKUP(B7238,BRAND!B:D,3,FALSE)</f>
        <v>5</v>
      </c>
      <c r="J7238">
        <v>0</v>
      </c>
      <c r="K7238" t="s">
        <v>821</v>
      </c>
      <c r="L7238">
        <v>0</v>
      </c>
      <c r="M7238">
        <v>0</v>
      </c>
    </row>
    <row r="7239" spans="1:13">
      <c r="A7239" t="s">
        <v>14957</v>
      </c>
      <c r="B7239" t="s">
        <v>14947</v>
      </c>
      <c r="C7239" s="34" t="s">
        <v>881</v>
      </c>
      <c r="F7239" t="s">
        <v>881</v>
      </c>
      <c r="G7239" t="s">
        <v>6932</v>
      </c>
      <c r="H7239">
        <v>5</v>
      </c>
      <c r="I7239">
        <f>VLOOKUP(B7239,BRAND!B:D,3,FALSE)</f>
        <v>5</v>
      </c>
      <c r="J7239">
        <v>0</v>
      </c>
      <c r="K7239" t="s">
        <v>821</v>
      </c>
      <c r="L7239">
        <v>0</v>
      </c>
      <c r="M7239">
        <v>0</v>
      </c>
    </row>
    <row r="7240" spans="1:13">
      <c r="A7240" t="s">
        <v>4658</v>
      </c>
      <c r="B7240" t="s">
        <v>1351</v>
      </c>
      <c r="C7240" s="34" t="s">
        <v>776</v>
      </c>
      <c r="F7240" t="s">
        <v>776</v>
      </c>
      <c r="H7240">
        <v>5</v>
      </c>
      <c r="I7240">
        <f>VLOOKUP(B7240,BRAND!B:D,3,FALSE)</f>
        <v>3</v>
      </c>
      <c r="J7240">
        <v>5</v>
      </c>
      <c r="K7240" t="s">
        <v>821</v>
      </c>
      <c r="L7240">
        <v>0</v>
      </c>
      <c r="M7240">
        <v>0</v>
      </c>
    </row>
    <row r="7241" spans="1:13">
      <c r="A7241" t="s">
        <v>4694</v>
      </c>
      <c r="B7241" t="s">
        <v>1351</v>
      </c>
      <c r="C7241" s="34" t="s">
        <v>1993</v>
      </c>
      <c r="F7241" t="s">
        <v>1993</v>
      </c>
      <c r="H7241">
        <v>5</v>
      </c>
      <c r="I7241">
        <f>VLOOKUP(B7241,BRAND!B:D,3,FALSE)</f>
        <v>3</v>
      </c>
      <c r="J7241">
        <v>3</v>
      </c>
      <c r="K7241" t="s">
        <v>821</v>
      </c>
      <c r="L7241">
        <v>0</v>
      </c>
      <c r="M7241">
        <v>0</v>
      </c>
    </row>
    <row r="7242" spans="1:13">
      <c r="A7242" t="s">
        <v>2831</v>
      </c>
      <c r="B7242" t="s">
        <v>1351</v>
      </c>
      <c r="C7242" s="34" t="s">
        <v>1438</v>
      </c>
      <c r="F7242" t="s">
        <v>1438</v>
      </c>
      <c r="H7242">
        <v>15</v>
      </c>
      <c r="I7242">
        <f>VLOOKUP(B7242,BRAND!B:D,3,FALSE)</f>
        <v>3</v>
      </c>
      <c r="J7242">
        <v>4</v>
      </c>
      <c r="K7242" t="s">
        <v>821</v>
      </c>
      <c r="L7242">
        <v>0</v>
      </c>
      <c r="M7242">
        <v>0</v>
      </c>
    </row>
    <row r="7243" spans="1:13">
      <c r="A7243" t="s">
        <v>9265</v>
      </c>
      <c r="B7243" t="s">
        <v>9266</v>
      </c>
      <c r="C7243" s="34" t="s">
        <v>1438</v>
      </c>
      <c r="F7243" t="s">
        <v>1438</v>
      </c>
      <c r="G7243" t="s">
        <v>6932</v>
      </c>
      <c r="H7243">
        <v>5</v>
      </c>
      <c r="I7243">
        <f>VLOOKUP(B7243,BRAND!B:D,3,FALSE)</f>
        <v>5.5</v>
      </c>
      <c r="J7243">
        <v>4</v>
      </c>
      <c r="M7243">
        <v>1</v>
      </c>
    </row>
    <row r="7244" spans="1:13">
      <c r="A7244" t="s">
        <v>9267</v>
      </c>
      <c r="B7244" t="s">
        <v>583</v>
      </c>
      <c r="C7244" s="34" t="s">
        <v>9268</v>
      </c>
      <c r="F7244" t="s">
        <v>9268</v>
      </c>
      <c r="G7244" t="s">
        <v>6932</v>
      </c>
      <c r="H7244">
        <v>5</v>
      </c>
      <c r="I7244">
        <f>VLOOKUP(B7244,BRAND!B:D,3,FALSE)</f>
        <v>3</v>
      </c>
      <c r="J7244">
        <v>7</v>
      </c>
      <c r="M7244">
        <v>1</v>
      </c>
    </row>
    <row r="7245" spans="1:13">
      <c r="A7245" t="s">
        <v>3920</v>
      </c>
      <c r="B7245" t="s">
        <v>583</v>
      </c>
      <c r="C7245" s="34" t="s">
        <v>534</v>
      </c>
      <c r="F7245" t="s">
        <v>534</v>
      </c>
      <c r="H7245">
        <v>5</v>
      </c>
      <c r="I7245">
        <f>VLOOKUP(B7245,BRAND!B:D,3,FALSE)</f>
        <v>3</v>
      </c>
      <c r="J7245">
        <v>6</v>
      </c>
      <c r="K7245" t="s">
        <v>821</v>
      </c>
      <c r="M7245">
        <v>1</v>
      </c>
    </row>
    <row r="7246" spans="1:13">
      <c r="A7246" t="s">
        <v>9262</v>
      </c>
      <c r="B7246" t="s">
        <v>583</v>
      </c>
      <c r="C7246" s="34" t="s">
        <v>9263</v>
      </c>
      <c r="F7246" t="s">
        <v>9263</v>
      </c>
      <c r="G7246" t="s">
        <v>6932</v>
      </c>
      <c r="H7246">
        <v>5</v>
      </c>
      <c r="I7246">
        <f>VLOOKUP(B7246,BRAND!B:D,3,FALSE)</f>
        <v>3</v>
      </c>
      <c r="J7246">
        <v>6</v>
      </c>
      <c r="M7246">
        <v>1</v>
      </c>
    </row>
    <row r="7247" spans="1:13">
      <c r="A7247" t="s">
        <v>4111</v>
      </c>
      <c r="B7247" t="s">
        <v>583</v>
      </c>
      <c r="C7247" s="34" t="s">
        <v>842</v>
      </c>
      <c r="F7247" t="s">
        <v>842</v>
      </c>
      <c r="H7247">
        <v>5</v>
      </c>
      <c r="I7247">
        <f>VLOOKUP(B7247,BRAND!B:D,3,FALSE)</f>
        <v>3</v>
      </c>
      <c r="J7247">
        <v>5</v>
      </c>
      <c r="K7247" t="s">
        <v>821</v>
      </c>
      <c r="M7247">
        <v>1</v>
      </c>
    </row>
    <row r="7248" spans="1:13">
      <c r="A7248" t="s">
        <v>9264</v>
      </c>
      <c r="B7248" t="s">
        <v>583</v>
      </c>
      <c r="C7248" s="34" t="s">
        <v>881</v>
      </c>
      <c r="F7248" t="s">
        <v>881</v>
      </c>
      <c r="G7248" t="s">
        <v>6932</v>
      </c>
      <c r="H7248">
        <v>5</v>
      </c>
      <c r="I7248">
        <f>VLOOKUP(B7248,BRAND!B:D,3,FALSE)</f>
        <v>3</v>
      </c>
      <c r="J7248">
        <v>5</v>
      </c>
      <c r="M7248">
        <v>1</v>
      </c>
    </row>
    <row r="7249" spans="1:13">
      <c r="A7249" t="s">
        <v>9260</v>
      </c>
      <c r="B7249" t="s">
        <v>583</v>
      </c>
      <c r="C7249" s="34" t="s">
        <v>776</v>
      </c>
      <c r="F7249" t="s">
        <v>776</v>
      </c>
      <c r="G7249" t="s">
        <v>6932</v>
      </c>
      <c r="H7249">
        <v>5</v>
      </c>
      <c r="I7249">
        <f>VLOOKUP(B7249,BRAND!B:D,3,FALSE)</f>
        <v>3</v>
      </c>
      <c r="J7249">
        <v>5</v>
      </c>
      <c r="M7249">
        <v>1</v>
      </c>
    </row>
    <row r="7250" spans="1:13">
      <c r="A7250" t="s">
        <v>9261</v>
      </c>
      <c r="B7250" t="s">
        <v>583</v>
      </c>
      <c r="C7250" s="34" t="s">
        <v>788</v>
      </c>
      <c r="F7250" t="s">
        <v>788</v>
      </c>
      <c r="G7250" t="s">
        <v>6932</v>
      </c>
      <c r="H7250">
        <v>5</v>
      </c>
      <c r="I7250">
        <f>VLOOKUP(B7250,BRAND!B:D,3,FALSE)</f>
        <v>3</v>
      </c>
      <c r="J7250">
        <v>4</v>
      </c>
      <c r="M7250">
        <v>1</v>
      </c>
    </row>
    <row r="7251" spans="1:13">
      <c r="A7251" t="s">
        <v>9853</v>
      </c>
      <c r="B7251" t="s">
        <v>583</v>
      </c>
      <c r="C7251" s="34" t="s">
        <v>536</v>
      </c>
      <c r="H7251">
        <v>5</v>
      </c>
      <c r="I7251">
        <f>VLOOKUP(B7251,BRAND!B:D,3,FALSE)</f>
        <v>3</v>
      </c>
      <c r="J7251">
        <f>LEN(F7251)</f>
        <v>0</v>
      </c>
      <c r="L7251">
        <v>0</v>
      </c>
      <c r="M7251">
        <v>0</v>
      </c>
    </row>
    <row r="7252" spans="1:13">
      <c r="A7252" t="s">
        <v>9853</v>
      </c>
      <c r="B7252" t="s">
        <v>583</v>
      </c>
      <c r="C7252" s="34" t="s">
        <v>536</v>
      </c>
      <c r="H7252">
        <v>5</v>
      </c>
      <c r="I7252">
        <f>VLOOKUP(B7252,BRAND!B:D,3,FALSE)</f>
        <v>3</v>
      </c>
      <c r="J7252">
        <v>0</v>
      </c>
      <c r="M7252">
        <v>1</v>
      </c>
    </row>
    <row r="7253" spans="1:13">
      <c r="A7253" t="s">
        <v>2460</v>
      </c>
      <c r="B7253" t="s">
        <v>583</v>
      </c>
      <c r="C7253" s="34" t="s">
        <v>1438</v>
      </c>
      <c r="F7253" t="s">
        <v>1438</v>
      </c>
      <c r="H7253">
        <v>15</v>
      </c>
      <c r="I7253">
        <f>VLOOKUP(B7253,BRAND!B:D,3,FALSE)</f>
        <v>3</v>
      </c>
      <c r="J7253">
        <v>4</v>
      </c>
      <c r="K7253" t="s">
        <v>821</v>
      </c>
      <c r="L7253">
        <v>0</v>
      </c>
      <c r="M7253">
        <v>0</v>
      </c>
    </row>
    <row r="7254" spans="1:13">
      <c r="A7254" t="s">
        <v>8213</v>
      </c>
      <c r="B7254" t="s">
        <v>8214</v>
      </c>
      <c r="C7254" s="34" t="s">
        <v>1438</v>
      </c>
      <c r="F7254" t="s">
        <v>1438</v>
      </c>
      <c r="G7254" t="s">
        <v>6932</v>
      </c>
      <c r="H7254">
        <v>5</v>
      </c>
      <c r="I7254">
        <f>VLOOKUP(B7254,BRAND!B:D,3,FALSE)</f>
        <v>5.5</v>
      </c>
      <c r="J7254">
        <v>4</v>
      </c>
      <c r="L7254">
        <v>0</v>
      </c>
      <c r="M7254">
        <v>0</v>
      </c>
    </row>
    <row r="7255" spans="1:13">
      <c r="A7255" t="s">
        <v>10255</v>
      </c>
      <c r="B7255" t="s">
        <v>5488</v>
      </c>
      <c r="C7255" s="34" t="s">
        <v>10254</v>
      </c>
      <c r="F7255" t="s">
        <v>5488</v>
      </c>
      <c r="H7255">
        <v>5</v>
      </c>
      <c r="I7255">
        <f>VLOOKUP(B7255,BRAND!B:D,3,FALSE)</f>
        <v>5</v>
      </c>
      <c r="J7255">
        <f>LEN(F7255)</f>
        <v>15</v>
      </c>
      <c r="K7255" t="s">
        <v>821</v>
      </c>
      <c r="L7255">
        <v>0</v>
      </c>
      <c r="M7255">
        <v>0</v>
      </c>
    </row>
    <row r="7256" spans="1:13">
      <c r="A7256" t="s">
        <v>5496</v>
      </c>
      <c r="B7256" t="s">
        <v>5488</v>
      </c>
      <c r="C7256" s="34" t="s">
        <v>535</v>
      </c>
      <c r="F7256" t="s">
        <v>535</v>
      </c>
      <c r="H7256">
        <v>5</v>
      </c>
      <c r="I7256">
        <f>VLOOKUP(B7256,BRAND!B:D,3,FALSE)</f>
        <v>5</v>
      </c>
      <c r="J7256">
        <v>6</v>
      </c>
      <c r="K7256" t="s">
        <v>821</v>
      </c>
      <c r="L7256">
        <v>0</v>
      </c>
      <c r="M7256">
        <v>0</v>
      </c>
    </row>
    <row r="7257" spans="1:13">
      <c r="A7257" t="s">
        <v>9854</v>
      </c>
      <c r="B7257" t="s">
        <v>10010</v>
      </c>
      <c r="C7257" s="34" t="s">
        <v>1438</v>
      </c>
      <c r="G7257" t="s">
        <v>6932</v>
      </c>
      <c r="H7257">
        <v>5</v>
      </c>
      <c r="I7257">
        <f>VLOOKUP(B7257,BRAND!B:D,3,FALSE)</f>
        <v>5.5</v>
      </c>
      <c r="J7257">
        <f>LEN(F7257)</f>
        <v>0</v>
      </c>
      <c r="L7257">
        <v>0</v>
      </c>
      <c r="M7257">
        <v>0</v>
      </c>
    </row>
    <row r="7258" spans="1:13">
      <c r="A7258" t="s">
        <v>9854</v>
      </c>
      <c r="B7258" t="s">
        <v>10010</v>
      </c>
      <c r="C7258" s="34" t="s">
        <v>1438</v>
      </c>
      <c r="G7258" t="s">
        <v>6932</v>
      </c>
      <c r="H7258">
        <v>5</v>
      </c>
      <c r="I7258">
        <f>VLOOKUP(B7258,BRAND!B:D,3,FALSE)</f>
        <v>5.5</v>
      </c>
      <c r="J7258">
        <v>0</v>
      </c>
      <c r="M7258">
        <v>1</v>
      </c>
    </row>
    <row r="7259" spans="1:13">
      <c r="A7259" t="s">
        <v>8215</v>
      </c>
      <c r="B7259" t="s">
        <v>8216</v>
      </c>
      <c r="C7259" s="34" t="s">
        <v>1438</v>
      </c>
      <c r="F7259" t="s">
        <v>1438</v>
      </c>
      <c r="G7259" t="s">
        <v>6932</v>
      </c>
      <c r="H7259">
        <v>5</v>
      </c>
      <c r="I7259">
        <f>VLOOKUP(B7259,BRAND!B:D,3,FALSE)</f>
        <v>5.5</v>
      </c>
      <c r="J7259">
        <v>4</v>
      </c>
      <c r="M7259">
        <v>1</v>
      </c>
    </row>
    <row r="7260" spans="1:13">
      <c r="A7260" t="s">
        <v>3736</v>
      </c>
      <c r="B7260" t="s">
        <v>537</v>
      </c>
      <c r="C7260" s="34" t="s">
        <v>535</v>
      </c>
      <c r="F7260" t="s">
        <v>535</v>
      </c>
      <c r="H7260">
        <v>5</v>
      </c>
      <c r="I7260">
        <f>VLOOKUP(B7260,BRAND!B:D,3,FALSE)</f>
        <v>3</v>
      </c>
      <c r="J7260">
        <v>6</v>
      </c>
      <c r="K7260" t="s">
        <v>821</v>
      </c>
      <c r="M7260">
        <v>1</v>
      </c>
    </row>
    <row r="7261" spans="1:13">
      <c r="A7261" t="s">
        <v>8217</v>
      </c>
      <c r="B7261" t="s">
        <v>537</v>
      </c>
      <c r="C7261" s="34" t="s">
        <v>1438</v>
      </c>
      <c r="F7261" t="s">
        <v>1438</v>
      </c>
      <c r="G7261" t="s">
        <v>6932</v>
      </c>
      <c r="H7261">
        <v>5</v>
      </c>
      <c r="I7261">
        <f>VLOOKUP(B7261,BRAND!B:D,3,FALSE)</f>
        <v>3</v>
      </c>
      <c r="J7261">
        <v>4</v>
      </c>
      <c r="M7261">
        <v>1</v>
      </c>
    </row>
    <row r="7262" spans="1:13">
      <c r="A7262" t="s">
        <v>3733</v>
      </c>
      <c r="B7262" t="s">
        <v>689</v>
      </c>
      <c r="C7262" s="34" t="s">
        <v>535</v>
      </c>
      <c r="F7262" t="s">
        <v>535</v>
      </c>
      <c r="H7262">
        <v>5</v>
      </c>
      <c r="I7262">
        <f>VLOOKUP(B7262,BRAND!B:D,3,FALSE)</f>
        <v>3</v>
      </c>
      <c r="J7262">
        <v>6</v>
      </c>
      <c r="K7262" t="s">
        <v>821</v>
      </c>
      <c r="L7262">
        <v>0</v>
      </c>
      <c r="M7262">
        <v>0</v>
      </c>
    </row>
    <row r="7263" spans="1:13">
      <c r="A7263" t="s">
        <v>8201</v>
      </c>
      <c r="B7263" t="s">
        <v>8202</v>
      </c>
      <c r="C7263" s="34" t="s">
        <v>1438</v>
      </c>
      <c r="F7263" t="s">
        <v>1438</v>
      </c>
      <c r="G7263" t="s">
        <v>6932</v>
      </c>
      <c r="H7263">
        <v>5</v>
      </c>
      <c r="I7263">
        <f>VLOOKUP(B7263,BRAND!B:D,3,FALSE)</f>
        <v>5.5</v>
      </c>
      <c r="J7263">
        <v>4</v>
      </c>
      <c r="M7263">
        <v>1</v>
      </c>
    </row>
    <row r="7264" spans="1:13">
      <c r="A7264" t="s">
        <v>3924</v>
      </c>
      <c r="B7264" t="s">
        <v>162</v>
      </c>
      <c r="C7264" s="34" t="s">
        <v>535</v>
      </c>
      <c r="F7264" t="s">
        <v>535</v>
      </c>
      <c r="H7264">
        <v>5</v>
      </c>
      <c r="I7264">
        <f>VLOOKUP(B7264,BRAND!B:D,3,FALSE)</f>
        <v>3</v>
      </c>
      <c r="J7264">
        <v>6</v>
      </c>
      <c r="K7264" t="s">
        <v>821</v>
      </c>
      <c r="M7264">
        <v>1</v>
      </c>
    </row>
    <row r="7265" spans="1:13">
      <c r="A7265" t="s">
        <v>3568</v>
      </c>
      <c r="B7265" t="s">
        <v>162</v>
      </c>
      <c r="C7265" s="34" t="s">
        <v>913</v>
      </c>
      <c r="F7265" t="s">
        <v>913</v>
      </c>
      <c r="H7265">
        <v>5</v>
      </c>
      <c r="I7265">
        <f>VLOOKUP(B7265,BRAND!B:D,3,FALSE)</f>
        <v>3</v>
      </c>
      <c r="J7265">
        <v>5</v>
      </c>
      <c r="K7265" t="s">
        <v>821</v>
      </c>
      <c r="L7265">
        <v>0</v>
      </c>
      <c r="M7265">
        <v>0</v>
      </c>
    </row>
    <row r="7266" spans="1:13">
      <c r="A7266" t="s">
        <v>8204</v>
      </c>
      <c r="B7266" t="s">
        <v>162</v>
      </c>
      <c r="C7266" s="34" t="s">
        <v>872</v>
      </c>
      <c r="F7266" t="s">
        <v>872</v>
      </c>
      <c r="G7266" t="s">
        <v>6932</v>
      </c>
      <c r="H7266">
        <v>5</v>
      </c>
      <c r="I7266">
        <f>VLOOKUP(B7266,BRAND!B:D,3,FALSE)</f>
        <v>3</v>
      </c>
      <c r="J7266">
        <v>5</v>
      </c>
      <c r="M7266">
        <v>1</v>
      </c>
    </row>
    <row r="7267" spans="1:13">
      <c r="A7267" t="s">
        <v>8205</v>
      </c>
      <c r="B7267" t="s">
        <v>162</v>
      </c>
      <c r="C7267" s="34" t="s">
        <v>1438</v>
      </c>
      <c r="F7267" t="s">
        <v>1438</v>
      </c>
      <c r="G7267" t="s">
        <v>6932</v>
      </c>
      <c r="H7267">
        <v>5</v>
      </c>
      <c r="I7267">
        <f>VLOOKUP(B7267,BRAND!B:D,3,FALSE)</f>
        <v>3</v>
      </c>
      <c r="J7267">
        <v>4</v>
      </c>
      <c r="M7267">
        <v>1</v>
      </c>
    </row>
    <row r="7268" spans="1:13">
      <c r="A7268" t="s">
        <v>8203</v>
      </c>
      <c r="B7268" t="s">
        <v>162</v>
      </c>
      <c r="C7268" s="34" t="s">
        <v>7515</v>
      </c>
      <c r="F7268" t="s">
        <v>7515</v>
      </c>
      <c r="G7268" t="s">
        <v>6932</v>
      </c>
      <c r="H7268">
        <v>5</v>
      </c>
      <c r="I7268">
        <f>VLOOKUP(B7268,BRAND!B:D,3,FALSE)</f>
        <v>3</v>
      </c>
      <c r="J7268">
        <v>3</v>
      </c>
      <c r="M7268">
        <v>1</v>
      </c>
    </row>
    <row r="7269" spans="1:13">
      <c r="A7269" t="s">
        <v>4888</v>
      </c>
      <c r="B7269" t="s">
        <v>162</v>
      </c>
      <c r="C7269" s="34" t="s">
        <v>1438</v>
      </c>
      <c r="F7269" t="s">
        <v>1438</v>
      </c>
      <c r="H7269">
        <v>15</v>
      </c>
      <c r="I7269">
        <f>VLOOKUP(B7269,BRAND!B:D,3,FALSE)</f>
        <v>3</v>
      </c>
      <c r="J7269">
        <v>4</v>
      </c>
      <c r="K7269" t="s">
        <v>821</v>
      </c>
      <c r="L7269">
        <v>0</v>
      </c>
      <c r="M7269">
        <v>0</v>
      </c>
    </row>
    <row r="7270" spans="1:13">
      <c r="A7270" t="s">
        <v>2326</v>
      </c>
      <c r="B7270" t="s">
        <v>162</v>
      </c>
      <c r="C7270" s="34" t="s">
        <v>1438</v>
      </c>
      <c r="F7270" t="s">
        <v>1438</v>
      </c>
      <c r="H7270">
        <v>15</v>
      </c>
      <c r="I7270">
        <f>VLOOKUP(B7270,BRAND!B:D,3,FALSE)</f>
        <v>3</v>
      </c>
      <c r="J7270">
        <v>4</v>
      </c>
      <c r="K7270" t="s">
        <v>821</v>
      </c>
      <c r="L7270">
        <v>0</v>
      </c>
      <c r="M7270">
        <v>0</v>
      </c>
    </row>
    <row r="7271" spans="1:13">
      <c r="A7271" t="s">
        <v>4553</v>
      </c>
      <c r="B7271" t="s">
        <v>1083</v>
      </c>
      <c r="C7271" s="34" t="s">
        <v>994</v>
      </c>
      <c r="F7271" t="s">
        <v>994</v>
      </c>
      <c r="H7271">
        <v>5</v>
      </c>
      <c r="I7271">
        <f>VLOOKUP(B7271,BRAND!B:D,3,FALSE)</f>
        <v>5.5</v>
      </c>
      <c r="J7271">
        <f>LEN(F7271)</f>
        <v>10</v>
      </c>
      <c r="K7271" t="e">
        <v>#N/A</v>
      </c>
      <c r="L7271">
        <v>0</v>
      </c>
      <c r="M7271">
        <v>0</v>
      </c>
    </row>
    <row r="7272" spans="1:13">
      <c r="A7272" t="s">
        <v>4050</v>
      </c>
      <c r="B7272" t="s">
        <v>1083</v>
      </c>
      <c r="C7272" s="34" t="s">
        <v>535</v>
      </c>
      <c r="F7272" t="s">
        <v>535</v>
      </c>
      <c r="H7272">
        <v>5</v>
      </c>
      <c r="I7272">
        <f>VLOOKUP(B7272,BRAND!B:D,3,FALSE)</f>
        <v>5.5</v>
      </c>
      <c r="J7272">
        <v>6</v>
      </c>
      <c r="K7272" t="e">
        <v>#N/A</v>
      </c>
      <c r="L7272">
        <v>0</v>
      </c>
      <c r="M7272">
        <v>0</v>
      </c>
    </row>
    <row r="7273" spans="1:13">
      <c r="A7273" t="s">
        <v>7305</v>
      </c>
      <c r="B7273" t="s">
        <v>7306</v>
      </c>
      <c r="C7273" s="34" t="s">
        <v>1438</v>
      </c>
      <c r="F7273" t="s">
        <v>1438</v>
      </c>
      <c r="G7273" t="s">
        <v>6932</v>
      </c>
      <c r="H7273">
        <v>5</v>
      </c>
      <c r="I7273">
        <f>VLOOKUP(B7273,BRAND!B:D,3,FALSE)</f>
        <v>5.5</v>
      </c>
      <c r="J7273">
        <v>4</v>
      </c>
      <c r="M7273">
        <v>1</v>
      </c>
    </row>
    <row r="7274" spans="1:13">
      <c r="A7274" t="s">
        <v>7305</v>
      </c>
      <c r="B7274" t="s">
        <v>7306</v>
      </c>
      <c r="C7274" s="34" t="s">
        <v>1438</v>
      </c>
      <c r="F7274" t="s">
        <v>1438</v>
      </c>
      <c r="H7274">
        <v>5</v>
      </c>
      <c r="I7274">
        <f>VLOOKUP(B7274,BRAND!B:D,3,FALSE)</f>
        <v>5.5</v>
      </c>
      <c r="M7274">
        <v>1</v>
      </c>
    </row>
    <row r="7275" spans="1:13">
      <c r="A7275" t="s">
        <v>3076</v>
      </c>
      <c r="B7275" t="s">
        <v>586</v>
      </c>
      <c r="C7275" s="34" t="s">
        <v>535</v>
      </c>
      <c r="F7275" t="s">
        <v>535</v>
      </c>
      <c r="H7275">
        <v>5</v>
      </c>
      <c r="I7275">
        <f>VLOOKUP(B7275,BRAND!B:D,3,FALSE)</f>
        <v>3</v>
      </c>
      <c r="J7275">
        <v>6</v>
      </c>
      <c r="K7275" t="s">
        <v>821</v>
      </c>
      <c r="L7275">
        <v>0</v>
      </c>
      <c r="M7275">
        <v>0</v>
      </c>
    </row>
    <row r="7276" spans="1:13">
      <c r="A7276" t="s">
        <v>8218</v>
      </c>
      <c r="B7276" t="s">
        <v>586</v>
      </c>
      <c r="C7276" s="34" t="s">
        <v>1438</v>
      </c>
      <c r="F7276" t="s">
        <v>1438</v>
      </c>
      <c r="G7276" t="s">
        <v>6932</v>
      </c>
      <c r="H7276">
        <v>5</v>
      </c>
      <c r="I7276">
        <f>VLOOKUP(B7276,BRAND!B:D,3,FALSE)</f>
        <v>3</v>
      </c>
      <c r="J7276">
        <v>4</v>
      </c>
      <c r="M7276">
        <v>1</v>
      </c>
    </row>
    <row r="7277" spans="1:13">
      <c r="A7277" t="s">
        <v>8206</v>
      </c>
      <c r="B7277" t="s">
        <v>8207</v>
      </c>
      <c r="C7277" s="34" t="s">
        <v>1438</v>
      </c>
      <c r="F7277" t="s">
        <v>1438</v>
      </c>
      <c r="G7277" t="s">
        <v>6932</v>
      </c>
      <c r="H7277">
        <v>5</v>
      </c>
      <c r="I7277">
        <f>VLOOKUP(B7277,BRAND!B:D,3,FALSE)</f>
        <v>5.5</v>
      </c>
      <c r="J7277">
        <v>4</v>
      </c>
      <c r="M7277">
        <v>1</v>
      </c>
    </row>
    <row r="7278" spans="1:13">
      <c r="A7278" t="s">
        <v>8208</v>
      </c>
      <c r="B7278" t="s">
        <v>8209</v>
      </c>
      <c r="C7278" s="34" t="s">
        <v>751</v>
      </c>
      <c r="F7278" t="s">
        <v>751</v>
      </c>
      <c r="G7278" t="s">
        <v>6932</v>
      </c>
      <c r="H7278">
        <v>5</v>
      </c>
      <c r="I7278">
        <f>VLOOKUP(B7278,BRAND!B:D,3,FALSE)</f>
        <v>5.5</v>
      </c>
      <c r="J7278">
        <v>5</v>
      </c>
      <c r="M7278">
        <v>1</v>
      </c>
    </row>
    <row r="7279" spans="1:13">
      <c r="A7279" t="s">
        <v>8210</v>
      </c>
      <c r="B7279" t="s">
        <v>8209</v>
      </c>
      <c r="C7279" s="34" t="s">
        <v>842</v>
      </c>
      <c r="F7279" t="s">
        <v>842</v>
      </c>
      <c r="G7279" t="s">
        <v>6932</v>
      </c>
      <c r="H7279">
        <v>5</v>
      </c>
      <c r="I7279">
        <f>VLOOKUP(B7279,BRAND!B:D,3,FALSE)</f>
        <v>5.5</v>
      </c>
      <c r="J7279">
        <v>5</v>
      </c>
      <c r="M7279">
        <v>1</v>
      </c>
    </row>
    <row r="7280" spans="1:13">
      <c r="A7280" t="s">
        <v>8211</v>
      </c>
      <c r="B7280" t="s">
        <v>8212</v>
      </c>
      <c r="C7280" s="34" t="s">
        <v>1438</v>
      </c>
      <c r="F7280" t="s">
        <v>1438</v>
      </c>
      <c r="G7280" t="s">
        <v>6932</v>
      </c>
      <c r="H7280">
        <v>5</v>
      </c>
      <c r="I7280">
        <f>VLOOKUP(B7280,BRAND!B:D,3,FALSE)</f>
        <v>5.5</v>
      </c>
      <c r="J7280">
        <v>4</v>
      </c>
      <c r="M7280">
        <v>1</v>
      </c>
    </row>
    <row r="7281" spans="1:13">
      <c r="A7281" t="s">
        <v>7321</v>
      </c>
      <c r="B7281" t="s">
        <v>7322</v>
      </c>
      <c r="C7281" s="34" t="s">
        <v>1438</v>
      </c>
      <c r="F7281" t="s">
        <v>1438</v>
      </c>
      <c r="H7281">
        <v>5</v>
      </c>
      <c r="I7281">
        <f>VLOOKUP(B7281,BRAND!B:D,3,FALSE)</f>
        <v>5.5</v>
      </c>
      <c r="L7281">
        <v>0</v>
      </c>
      <c r="M7281">
        <v>0</v>
      </c>
    </row>
    <row r="7282" spans="1:13">
      <c r="A7282" t="s">
        <v>3150</v>
      </c>
      <c r="B7282" t="s">
        <v>163</v>
      </c>
      <c r="C7282" s="34" t="s">
        <v>791</v>
      </c>
      <c r="F7282" t="s">
        <v>791</v>
      </c>
      <c r="H7282">
        <v>5</v>
      </c>
      <c r="I7282">
        <f>VLOOKUP(B7282,BRAND!B:D,3,FALSE)</f>
        <v>5.5</v>
      </c>
      <c r="J7282">
        <v>5</v>
      </c>
      <c r="K7282" t="e">
        <v>#N/A</v>
      </c>
      <c r="L7282">
        <v>0</v>
      </c>
      <c r="M7282">
        <v>0</v>
      </c>
    </row>
    <row r="7283" spans="1:13">
      <c r="A7283" t="s">
        <v>8219</v>
      </c>
      <c r="B7283" t="s">
        <v>163</v>
      </c>
      <c r="C7283" s="34" t="s">
        <v>1438</v>
      </c>
      <c r="F7283" t="s">
        <v>1438</v>
      </c>
      <c r="G7283" t="s">
        <v>6932</v>
      </c>
      <c r="H7283">
        <v>5</v>
      </c>
      <c r="I7283">
        <f>VLOOKUP(B7283,BRAND!B:D,3,FALSE)</f>
        <v>5.5</v>
      </c>
      <c r="J7283">
        <v>4</v>
      </c>
      <c r="M7283">
        <v>1</v>
      </c>
    </row>
    <row r="7284" spans="1:13">
      <c r="A7284" t="s">
        <v>2313</v>
      </c>
      <c r="B7284" t="s">
        <v>163</v>
      </c>
      <c r="C7284" s="34" t="s">
        <v>1438</v>
      </c>
      <c r="F7284" t="s">
        <v>1438</v>
      </c>
      <c r="H7284">
        <v>15</v>
      </c>
      <c r="I7284">
        <f>VLOOKUP(B7284,BRAND!B:D,3,FALSE)</f>
        <v>5.5</v>
      </c>
      <c r="J7284">
        <v>4</v>
      </c>
      <c r="K7284" t="e">
        <v>#N/A</v>
      </c>
      <c r="L7284">
        <v>0</v>
      </c>
      <c r="M7284">
        <v>0</v>
      </c>
    </row>
    <row r="7285" spans="1:13">
      <c r="A7285" t="s">
        <v>2933</v>
      </c>
      <c r="B7285" t="s">
        <v>1774</v>
      </c>
      <c r="C7285" s="34" t="s">
        <v>535</v>
      </c>
      <c r="F7285" t="s">
        <v>535</v>
      </c>
      <c r="H7285">
        <v>5</v>
      </c>
      <c r="I7285">
        <f>VLOOKUP(B7285,BRAND!B:D,3,FALSE)</f>
        <v>3</v>
      </c>
      <c r="J7285">
        <v>6</v>
      </c>
      <c r="K7285" t="s">
        <v>821</v>
      </c>
      <c r="L7285">
        <v>0</v>
      </c>
      <c r="M7285">
        <v>0</v>
      </c>
    </row>
    <row r="7286" spans="1:13">
      <c r="A7286" t="s">
        <v>2662</v>
      </c>
      <c r="B7286" t="s">
        <v>1774</v>
      </c>
      <c r="C7286" s="34" t="s">
        <v>1438</v>
      </c>
      <c r="F7286" t="s">
        <v>1438</v>
      </c>
      <c r="H7286">
        <v>15</v>
      </c>
      <c r="I7286">
        <f>VLOOKUP(B7286,BRAND!B:D,3,FALSE)</f>
        <v>3</v>
      </c>
      <c r="J7286">
        <v>4</v>
      </c>
      <c r="K7286" t="s">
        <v>821</v>
      </c>
      <c r="L7286">
        <v>0</v>
      </c>
      <c r="M7286">
        <v>0</v>
      </c>
    </row>
    <row r="7287" spans="1:13">
      <c r="A7287" t="s">
        <v>6851</v>
      </c>
      <c r="B7287" t="s">
        <v>6852</v>
      </c>
      <c r="C7287" s="34" t="s">
        <v>1438</v>
      </c>
      <c r="F7287" t="s">
        <v>1438</v>
      </c>
      <c r="H7287">
        <v>5</v>
      </c>
      <c r="I7287">
        <f>VLOOKUP(B7287,BRAND!B:D,3,FALSE)</f>
        <v>5</v>
      </c>
      <c r="J7287">
        <v>4</v>
      </c>
      <c r="M7287">
        <v>1</v>
      </c>
    </row>
    <row r="7288" spans="1:13">
      <c r="A7288" t="s">
        <v>4754</v>
      </c>
      <c r="B7288" t="s">
        <v>164</v>
      </c>
      <c r="C7288" s="34" t="s">
        <v>994</v>
      </c>
      <c r="F7288" t="s">
        <v>994</v>
      </c>
      <c r="H7288">
        <v>5</v>
      </c>
      <c r="I7288">
        <f>VLOOKUP(B7288,BRAND!B:D,3,FALSE)</f>
        <v>3</v>
      </c>
      <c r="J7288">
        <f>LEN(F7288)</f>
        <v>10</v>
      </c>
      <c r="K7288" t="s">
        <v>821</v>
      </c>
      <c r="L7288">
        <v>0</v>
      </c>
      <c r="M7288">
        <v>0</v>
      </c>
    </row>
    <row r="7289" spans="1:13">
      <c r="A7289" t="s">
        <v>4657</v>
      </c>
      <c r="B7289" t="s">
        <v>164</v>
      </c>
      <c r="C7289" s="34" t="s">
        <v>995</v>
      </c>
      <c r="F7289" t="s">
        <v>995</v>
      </c>
      <c r="H7289">
        <v>5</v>
      </c>
      <c r="I7289">
        <f>VLOOKUP(B7289,BRAND!B:D,3,FALSE)</f>
        <v>3</v>
      </c>
      <c r="J7289">
        <v>6</v>
      </c>
      <c r="K7289" t="s">
        <v>821</v>
      </c>
      <c r="L7289">
        <v>0</v>
      </c>
      <c r="M7289">
        <v>0</v>
      </c>
    </row>
    <row r="7290" spans="1:13">
      <c r="A7290" t="s">
        <v>4558</v>
      </c>
      <c r="B7290" t="s">
        <v>164</v>
      </c>
      <c r="C7290" s="34" t="s">
        <v>536</v>
      </c>
      <c r="F7290" t="s">
        <v>536</v>
      </c>
      <c r="H7290">
        <v>5</v>
      </c>
      <c r="I7290">
        <f>VLOOKUP(B7290,BRAND!B:D,3,FALSE)</f>
        <v>3</v>
      </c>
      <c r="J7290">
        <v>5</v>
      </c>
      <c r="K7290" t="s">
        <v>821</v>
      </c>
      <c r="L7290">
        <v>0</v>
      </c>
      <c r="M7290">
        <v>0</v>
      </c>
    </row>
    <row r="7291" spans="1:13">
      <c r="A7291" t="s">
        <v>3158</v>
      </c>
      <c r="B7291" t="s">
        <v>164</v>
      </c>
      <c r="C7291" s="34" t="s">
        <v>776</v>
      </c>
      <c r="F7291" t="s">
        <v>776</v>
      </c>
      <c r="H7291">
        <v>5</v>
      </c>
      <c r="I7291">
        <f>VLOOKUP(B7291,BRAND!B:D,3,FALSE)</f>
        <v>3</v>
      </c>
      <c r="J7291">
        <v>5</v>
      </c>
      <c r="K7291" t="s">
        <v>821</v>
      </c>
      <c r="L7291">
        <v>0</v>
      </c>
      <c r="M7291">
        <v>0</v>
      </c>
    </row>
    <row r="7292" spans="1:13">
      <c r="A7292" t="s">
        <v>7057</v>
      </c>
      <c r="B7292" t="s">
        <v>164</v>
      </c>
      <c r="C7292" s="34" t="s">
        <v>5393</v>
      </c>
      <c r="F7292" t="s">
        <v>1438</v>
      </c>
      <c r="H7292">
        <v>5</v>
      </c>
      <c r="I7292">
        <f>VLOOKUP(B7292,BRAND!B:D,3,FALSE)</f>
        <v>3</v>
      </c>
      <c r="J7292">
        <v>4</v>
      </c>
      <c r="M7292">
        <v>1</v>
      </c>
    </row>
    <row r="7293" spans="1:13">
      <c r="A7293" t="s">
        <v>4626</v>
      </c>
      <c r="B7293" t="s">
        <v>164</v>
      </c>
      <c r="C7293" s="34" t="s">
        <v>775</v>
      </c>
      <c r="F7293" t="s">
        <v>775</v>
      </c>
      <c r="H7293">
        <v>5</v>
      </c>
      <c r="I7293">
        <f>VLOOKUP(B7293,BRAND!B:D,3,FALSE)</f>
        <v>3</v>
      </c>
      <c r="J7293">
        <v>3</v>
      </c>
      <c r="K7293" t="s">
        <v>821</v>
      </c>
      <c r="L7293">
        <v>0</v>
      </c>
      <c r="M7293">
        <v>0</v>
      </c>
    </row>
    <row r="7294" spans="1:13">
      <c r="A7294" t="s">
        <v>2133</v>
      </c>
      <c r="B7294" t="s">
        <v>164</v>
      </c>
      <c r="C7294" s="34" t="s">
        <v>1438</v>
      </c>
      <c r="F7294" t="s">
        <v>1438</v>
      </c>
      <c r="H7294">
        <v>15</v>
      </c>
      <c r="I7294">
        <f>VLOOKUP(B7294,BRAND!B:D,3,FALSE)</f>
        <v>3</v>
      </c>
      <c r="J7294">
        <v>4</v>
      </c>
      <c r="K7294" t="s">
        <v>821</v>
      </c>
      <c r="L7294">
        <v>0</v>
      </c>
      <c r="M7294">
        <v>0</v>
      </c>
    </row>
    <row r="7295" spans="1:13">
      <c r="A7295" t="s">
        <v>9277</v>
      </c>
      <c r="B7295" t="s">
        <v>9278</v>
      </c>
      <c r="C7295" s="34" t="s">
        <v>1438</v>
      </c>
      <c r="F7295" t="s">
        <v>1438</v>
      </c>
      <c r="G7295" t="s">
        <v>6932</v>
      </c>
      <c r="H7295">
        <v>5</v>
      </c>
      <c r="I7295">
        <f>VLOOKUP(B7295,BRAND!B:D,3,FALSE)</f>
        <v>5.5</v>
      </c>
      <c r="J7295">
        <v>4</v>
      </c>
      <c r="M7295">
        <v>1</v>
      </c>
    </row>
    <row r="7296" spans="1:13">
      <c r="A7296" t="s">
        <v>4479</v>
      </c>
      <c r="B7296" t="s">
        <v>165</v>
      </c>
      <c r="C7296" s="34" t="s">
        <v>1513</v>
      </c>
      <c r="F7296" t="s">
        <v>1513</v>
      </c>
      <c r="H7296">
        <v>5</v>
      </c>
      <c r="I7296">
        <f>VLOOKUP(B7296,BRAND!B:D,3,FALSE)</f>
        <v>3</v>
      </c>
      <c r="J7296">
        <v>5</v>
      </c>
      <c r="K7296" t="s">
        <v>1420</v>
      </c>
      <c r="L7296">
        <v>0</v>
      </c>
      <c r="M7296">
        <v>0</v>
      </c>
    </row>
    <row r="7297" spans="1:13">
      <c r="A7297" t="s">
        <v>2239</v>
      </c>
      <c r="B7297" t="s">
        <v>165</v>
      </c>
      <c r="C7297" s="34" t="s">
        <v>1438</v>
      </c>
      <c r="F7297" t="s">
        <v>1438</v>
      </c>
      <c r="H7297">
        <v>15</v>
      </c>
      <c r="I7297">
        <f>VLOOKUP(B7297,BRAND!B:D,3,FALSE)</f>
        <v>3</v>
      </c>
      <c r="J7297">
        <v>4</v>
      </c>
      <c r="K7297" t="s">
        <v>1420</v>
      </c>
      <c r="L7297">
        <v>0</v>
      </c>
      <c r="M7297">
        <v>0</v>
      </c>
    </row>
    <row r="7298" spans="1:13">
      <c r="A7298" t="s">
        <v>4811</v>
      </c>
      <c r="B7298" t="s">
        <v>1352</v>
      </c>
      <c r="C7298" s="34" t="s">
        <v>763</v>
      </c>
      <c r="F7298" t="s">
        <v>763</v>
      </c>
      <c r="H7298">
        <v>5</v>
      </c>
      <c r="I7298">
        <f>VLOOKUP(B7298,BRAND!B:D,3,FALSE)</f>
        <v>5.5</v>
      </c>
      <c r="J7298">
        <v>5</v>
      </c>
      <c r="K7298" t="e">
        <v>#N/A</v>
      </c>
      <c r="L7298">
        <v>0</v>
      </c>
      <c r="M7298">
        <v>0</v>
      </c>
    </row>
    <row r="7299" spans="1:13">
      <c r="A7299" t="s">
        <v>2776</v>
      </c>
      <c r="B7299" t="s">
        <v>1352</v>
      </c>
      <c r="C7299" s="34" t="s">
        <v>1438</v>
      </c>
      <c r="F7299" t="s">
        <v>1438</v>
      </c>
      <c r="H7299">
        <v>15</v>
      </c>
      <c r="I7299">
        <f>VLOOKUP(B7299,BRAND!B:D,3,FALSE)</f>
        <v>5.5</v>
      </c>
      <c r="J7299">
        <v>4</v>
      </c>
      <c r="K7299" t="e">
        <v>#N/A</v>
      </c>
      <c r="L7299">
        <v>0</v>
      </c>
      <c r="M7299">
        <v>0</v>
      </c>
    </row>
    <row r="7300" spans="1:13">
      <c r="A7300" t="s">
        <v>2553</v>
      </c>
      <c r="B7300" t="s">
        <v>1137</v>
      </c>
      <c r="C7300" s="34" t="s">
        <v>1438</v>
      </c>
      <c r="F7300" t="s">
        <v>1438</v>
      </c>
      <c r="H7300">
        <v>15</v>
      </c>
      <c r="I7300">
        <f>VLOOKUP(B7300,BRAND!B:D,3,FALSE)</f>
        <v>3</v>
      </c>
      <c r="J7300">
        <v>4</v>
      </c>
      <c r="K7300" t="s">
        <v>821</v>
      </c>
      <c r="L7300">
        <v>0</v>
      </c>
      <c r="M7300">
        <v>0</v>
      </c>
    </row>
    <row r="7301" spans="1:13">
      <c r="A7301" t="s">
        <v>5167</v>
      </c>
      <c r="B7301" t="s">
        <v>5065</v>
      </c>
      <c r="C7301" s="34" t="s">
        <v>1438</v>
      </c>
      <c r="F7301" t="s">
        <v>1438</v>
      </c>
      <c r="H7301">
        <v>15</v>
      </c>
      <c r="I7301">
        <f>VLOOKUP(B7301,BRAND!B:D,3,FALSE)</f>
        <v>3</v>
      </c>
      <c r="J7301">
        <v>4</v>
      </c>
      <c r="K7301" t="s">
        <v>821</v>
      </c>
      <c r="L7301">
        <v>0</v>
      </c>
      <c r="M7301">
        <v>0</v>
      </c>
    </row>
    <row r="7302" spans="1:13">
      <c r="A7302" t="s">
        <v>9279</v>
      </c>
      <c r="B7302" t="s">
        <v>166</v>
      </c>
      <c r="C7302" s="34" t="s">
        <v>1438</v>
      </c>
      <c r="F7302" t="s">
        <v>1438</v>
      </c>
      <c r="G7302" t="s">
        <v>6932</v>
      </c>
      <c r="H7302">
        <v>5</v>
      </c>
      <c r="I7302">
        <f>VLOOKUP(B7302,BRAND!B:D,3,FALSE)</f>
        <v>3</v>
      </c>
      <c r="J7302">
        <v>4</v>
      </c>
      <c r="L7302">
        <v>0</v>
      </c>
      <c r="M7302">
        <v>0</v>
      </c>
    </row>
    <row r="7303" spans="1:13">
      <c r="A7303" t="s">
        <v>4984</v>
      </c>
      <c r="B7303" t="s">
        <v>166</v>
      </c>
      <c r="C7303" s="34" t="s">
        <v>1438</v>
      </c>
      <c r="F7303" t="s">
        <v>1438</v>
      </c>
      <c r="G7303" t="s">
        <v>801</v>
      </c>
      <c r="H7303">
        <v>5</v>
      </c>
      <c r="I7303">
        <f>VLOOKUP(B7303,BRAND!B:D,3,FALSE)</f>
        <v>3</v>
      </c>
      <c r="J7303">
        <v>4</v>
      </c>
      <c r="M7303">
        <v>1</v>
      </c>
    </row>
    <row r="7304" spans="1:13">
      <c r="A7304" t="s">
        <v>4984</v>
      </c>
      <c r="B7304" t="s">
        <v>166</v>
      </c>
      <c r="C7304" s="34" t="s">
        <v>1438</v>
      </c>
      <c r="F7304" t="s">
        <v>1438</v>
      </c>
      <c r="G7304" t="s">
        <v>801</v>
      </c>
      <c r="H7304">
        <v>6</v>
      </c>
      <c r="I7304">
        <f>VLOOKUP(B7304,BRAND!B:D,3,FALSE)</f>
        <v>3</v>
      </c>
      <c r="J7304">
        <v>4</v>
      </c>
      <c r="K7304" t="s">
        <v>821</v>
      </c>
      <c r="M7304">
        <v>1</v>
      </c>
    </row>
    <row r="7305" spans="1:13">
      <c r="A7305" t="s">
        <v>2784</v>
      </c>
      <c r="B7305" t="s">
        <v>166</v>
      </c>
      <c r="C7305" s="34" t="s">
        <v>1438</v>
      </c>
      <c r="F7305" t="s">
        <v>1438</v>
      </c>
      <c r="H7305">
        <v>15</v>
      </c>
      <c r="I7305">
        <f>VLOOKUP(B7305,BRAND!B:D,3,FALSE)</f>
        <v>3</v>
      </c>
      <c r="J7305">
        <v>4</v>
      </c>
      <c r="K7305" t="s">
        <v>821</v>
      </c>
      <c r="M7305">
        <v>1</v>
      </c>
    </row>
    <row r="7306" spans="1:13">
      <c r="A7306" t="s">
        <v>10565</v>
      </c>
      <c r="B7306" t="s">
        <v>63</v>
      </c>
      <c r="C7306" s="34" t="s">
        <v>877</v>
      </c>
      <c r="F7306" t="s">
        <v>877</v>
      </c>
      <c r="G7306" t="s">
        <v>6932</v>
      </c>
      <c r="H7306">
        <v>5</v>
      </c>
      <c r="I7306">
        <f>VLOOKUP(B7306,BRAND!B:D,3,FALSE)</f>
        <v>3</v>
      </c>
      <c r="J7306">
        <f>LEN(F7306)</f>
        <v>12</v>
      </c>
      <c r="L7306">
        <v>0</v>
      </c>
    </row>
    <row r="7307" spans="1:13">
      <c r="A7307" t="s">
        <v>1566</v>
      </c>
      <c r="B7307" t="s">
        <v>63</v>
      </c>
      <c r="C7307" s="34" t="s">
        <v>1476</v>
      </c>
      <c r="F7307" t="s">
        <v>1476</v>
      </c>
      <c r="H7307">
        <v>5</v>
      </c>
      <c r="I7307">
        <f>VLOOKUP(B7307,BRAND!B:D,3,FALSE)</f>
        <v>3</v>
      </c>
      <c r="J7307">
        <f>LEN(F7307)</f>
        <v>11</v>
      </c>
      <c r="K7307" t="s">
        <v>821</v>
      </c>
      <c r="M7307">
        <v>1</v>
      </c>
    </row>
    <row r="7308" spans="1:13">
      <c r="A7308" t="s">
        <v>10566</v>
      </c>
      <c r="B7308" t="s">
        <v>63</v>
      </c>
      <c r="C7308" s="34" t="s">
        <v>865</v>
      </c>
      <c r="F7308" t="s">
        <v>865</v>
      </c>
      <c r="G7308" t="s">
        <v>6932</v>
      </c>
      <c r="H7308">
        <v>5</v>
      </c>
      <c r="I7308">
        <f>VLOOKUP(B7308,BRAND!B:D,3,FALSE)</f>
        <v>3</v>
      </c>
      <c r="J7308">
        <f>LEN(F7308)</f>
        <v>10</v>
      </c>
      <c r="L7308">
        <v>0</v>
      </c>
    </row>
    <row r="7309" spans="1:13">
      <c r="A7309" t="s">
        <v>10568</v>
      </c>
      <c r="B7309" t="s">
        <v>63</v>
      </c>
      <c r="C7309" s="34" t="s">
        <v>1459</v>
      </c>
      <c r="F7309" t="s">
        <v>1459</v>
      </c>
      <c r="G7309" t="s">
        <v>6932</v>
      </c>
      <c r="H7309">
        <v>5</v>
      </c>
      <c r="I7309">
        <f>VLOOKUP(B7309,BRAND!B:D,3,FALSE)</f>
        <v>3</v>
      </c>
      <c r="J7309">
        <f>LEN(F7309)</f>
        <v>9</v>
      </c>
      <c r="L7309">
        <v>0</v>
      </c>
    </row>
    <row r="7310" spans="1:13">
      <c r="A7310" t="s">
        <v>6968</v>
      </c>
      <c r="B7310" t="s">
        <v>63</v>
      </c>
      <c r="C7310" s="34" t="s">
        <v>5176</v>
      </c>
      <c r="F7310" t="s">
        <v>5176</v>
      </c>
      <c r="H7310">
        <v>5</v>
      </c>
      <c r="I7310">
        <f>VLOOKUP(B7310,BRAND!B:D,3,FALSE)</f>
        <v>3</v>
      </c>
      <c r="J7310">
        <v>6</v>
      </c>
      <c r="K7310" t="s">
        <v>821</v>
      </c>
      <c r="L7310">
        <v>0</v>
      </c>
      <c r="M7310">
        <v>0</v>
      </c>
    </row>
    <row r="7311" spans="1:13">
      <c r="A7311" t="s">
        <v>1567</v>
      </c>
      <c r="B7311" t="s">
        <v>63</v>
      </c>
      <c r="C7311" s="34" t="s">
        <v>995</v>
      </c>
      <c r="F7311" t="s">
        <v>995</v>
      </c>
      <c r="H7311">
        <v>5</v>
      </c>
      <c r="I7311">
        <f>VLOOKUP(B7311,BRAND!B:D,3,FALSE)</f>
        <v>3</v>
      </c>
      <c r="J7311">
        <v>6</v>
      </c>
      <c r="K7311" t="s">
        <v>821</v>
      </c>
      <c r="M7311">
        <v>1</v>
      </c>
    </row>
    <row r="7312" spans="1:13">
      <c r="A7312" t="s">
        <v>10567</v>
      </c>
      <c r="B7312" t="s">
        <v>63</v>
      </c>
      <c r="C7312" s="34" t="s">
        <v>1513</v>
      </c>
      <c r="F7312" t="s">
        <v>1513</v>
      </c>
      <c r="G7312" t="s">
        <v>6932</v>
      </c>
      <c r="H7312">
        <v>5</v>
      </c>
      <c r="I7312">
        <f>VLOOKUP(B7312,BRAND!B:D,3,FALSE)</f>
        <v>3</v>
      </c>
      <c r="J7312">
        <f>LEN(F7312)</f>
        <v>5</v>
      </c>
      <c r="L7312">
        <v>0</v>
      </c>
    </row>
    <row r="7313" spans="1:13">
      <c r="A7313" t="s">
        <v>4435</v>
      </c>
      <c r="B7313" t="s">
        <v>63</v>
      </c>
      <c r="C7313" s="34" t="s">
        <v>2000</v>
      </c>
      <c r="F7313" t="s">
        <v>2000</v>
      </c>
      <c r="H7313">
        <v>5</v>
      </c>
      <c r="I7313">
        <f>VLOOKUP(B7313,BRAND!B:D,3,FALSE)</f>
        <v>3</v>
      </c>
      <c r="J7313">
        <v>5</v>
      </c>
      <c r="K7313" t="s">
        <v>821</v>
      </c>
      <c r="L7313">
        <v>0</v>
      </c>
      <c r="M7313">
        <v>0</v>
      </c>
    </row>
    <row r="7314" spans="1:13">
      <c r="A7314" t="s">
        <v>4823</v>
      </c>
      <c r="B7314" t="s">
        <v>63</v>
      </c>
      <c r="C7314" s="34" t="s">
        <v>764</v>
      </c>
      <c r="F7314" t="s">
        <v>764</v>
      </c>
      <c r="H7314">
        <v>5</v>
      </c>
      <c r="I7314">
        <f>VLOOKUP(B7314,BRAND!B:D,3,FALSE)</f>
        <v>3</v>
      </c>
      <c r="J7314">
        <v>5</v>
      </c>
      <c r="K7314" t="s">
        <v>821</v>
      </c>
      <c r="M7314">
        <v>1</v>
      </c>
    </row>
    <row r="7315" spans="1:13">
      <c r="A7315" t="s">
        <v>1568</v>
      </c>
      <c r="B7315" t="s">
        <v>63</v>
      </c>
      <c r="C7315" s="34" t="s">
        <v>1513</v>
      </c>
      <c r="F7315" t="s">
        <v>1513</v>
      </c>
      <c r="H7315">
        <v>5</v>
      </c>
      <c r="I7315">
        <f>VLOOKUP(B7315,BRAND!B:D,3,FALSE)</f>
        <v>3</v>
      </c>
      <c r="J7315">
        <v>5</v>
      </c>
      <c r="K7315" t="s">
        <v>821</v>
      </c>
      <c r="M7315">
        <v>1</v>
      </c>
    </row>
    <row r="7316" spans="1:13">
      <c r="A7316" t="s">
        <v>1661</v>
      </c>
      <c r="B7316" t="s">
        <v>63</v>
      </c>
      <c r="C7316" s="34" t="s">
        <v>1515</v>
      </c>
      <c r="F7316" t="s">
        <v>1515</v>
      </c>
      <c r="H7316">
        <v>5</v>
      </c>
      <c r="I7316">
        <f>VLOOKUP(B7316,BRAND!B:D,3,FALSE)</f>
        <v>3</v>
      </c>
      <c r="J7316">
        <v>4</v>
      </c>
      <c r="K7316" t="s">
        <v>821</v>
      </c>
      <c r="L7316">
        <v>0</v>
      </c>
      <c r="M7316">
        <v>0</v>
      </c>
    </row>
    <row r="7317" spans="1:13">
      <c r="A7317" t="s">
        <v>4543</v>
      </c>
      <c r="B7317" t="s">
        <v>63</v>
      </c>
      <c r="C7317" s="34" t="s">
        <v>757</v>
      </c>
      <c r="F7317" t="s">
        <v>757</v>
      </c>
      <c r="H7317">
        <v>5</v>
      </c>
      <c r="I7317">
        <f>VLOOKUP(B7317,BRAND!B:D,3,FALSE)</f>
        <v>3</v>
      </c>
      <c r="J7317">
        <v>2</v>
      </c>
      <c r="K7317" t="s">
        <v>821</v>
      </c>
      <c r="L7317">
        <v>0</v>
      </c>
      <c r="M7317">
        <v>0</v>
      </c>
    </row>
    <row r="7318" spans="1:13">
      <c r="A7318" t="s">
        <v>1435</v>
      </c>
      <c r="B7318" t="s">
        <v>63</v>
      </c>
      <c r="C7318" s="34" t="s">
        <v>1438</v>
      </c>
      <c r="F7318" t="s">
        <v>1438</v>
      </c>
      <c r="H7318">
        <v>15</v>
      </c>
      <c r="I7318">
        <f>VLOOKUP(B7318,BRAND!B:D,3,FALSE)</f>
        <v>3</v>
      </c>
      <c r="J7318">
        <v>4</v>
      </c>
      <c r="K7318" t="s">
        <v>821</v>
      </c>
      <c r="M7318">
        <v>1</v>
      </c>
    </row>
    <row r="7319" spans="1:13">
      <c r="A7319" t="s">
        <v>4386</v>
      </c>
      <c r="B7319" t="s">
        <v>1353</v>
      </c>
      <c r="C7319" s="34" t="s">
        <v>783</v>
      </c>
      <c r="F7319" t="s">
        <v>783</v>
      </c>
      <c r="H7319">
        <v>5</v>
      </c>
      <c r="I7319">
        <f>VLOOKUP(B7319,BRAND!B:D,3,FALSE)</f>
        <v>3</v>
      </c>
      <c r="J7319">
        <f>LEN(F7319)</f>
        <v>10</v>
      </c>
      <c r="K7319" t="s">
        <v>821</v>
      </c>
      <c r="L7319">
        <v>0</v>
      </c>
      <c r="M7319">
        <v>0</v>
      </c>
    </row>
    <row r="7320" spans="1:13">
      <c r="A7320" t="s">
        <v>2865</v>
      </c>
      <c r="B7320" t="s">
        <v>1353</v>
      </c>
      <c r="C7320" s="34" t="s">
        <v>772</v>
      </c>
      <c r="F7320" t="s">
        <v>772</v>
      </c>
      <c r="H7320">
        <v>5</v>
      </c>
      <c r="I7320">
        <f>VLOOKUP(B7320,BRAND!B:D,3,FALSE)</f>
        <v>3</v>
      </c>
      <c r="J7320">
        <v>6</v>
      </c>
      <c r="K7320" t="s">
        <v>821</v>
      </c>
      <c r="L7320">
        <v>0</v>
      </c>
      <c r="M7320">
        <v>0</v>
      </c>
    </row>
    <row r="7321" spans="1:13">
      <c r="A7321" t="s">
        <v>4655</v>
      </c>
      <c r="B7321" t="s">
        <v>1353</v>
      </c>
      <c r="C7321" s="34" t="s">
        <v>872</v>
      </c>
      <c r="F7321" t="s">
        <v>872</v>
      </c>
      <c r="H7321">
        <v>5</v>
      </c>
      <c r="I7321">
        <f>VLOOKUP(B7321,BRAND!B:D,3,FALSE)</f>
        <v>3</v>
      </c>
      <c r="J7321">
        <v>5</v>
      </c>
      <c r="K7321" t="s">
        <v>821</v>
      </c>
      <c r="L7321">
        <v>0</v>
      </c>
      <c r="M7321">
        <v>0</v>
      </c>
    </row>
    <row r="7322" spans="1:13">
      <c r="A7322" t="s">
        <v>3874</v>
      </c>
      <c r="B7322" t="s">
        <v>1353</v>
      </c>
      <c r="C7322" s="34" t="s">
        <v>776</v>
      </c>
      <c r="F7322" t="s">
        <v>776</v>
      </c>
      <c r="H7322">
        <v>5</v>
      </c>
      <c r="I7322">
        <f>VLOOKUP(B7322,BRAND!B:D,3,FALSE)</f>
        <v>3</v>
      </c>
      <c r="J7322">
        <v>5</v>
      </c>
      <c r="K7322" t="s">
        <v>821</v>
      </c>
      <c r="L7322">
        <v>0</v>
      </c>
      <c r="M7322">
        <v>0</v>
      </c>
    </row>
    <row r="7323" spans="1:13">
      <c r="A7323" t="s">
        <v>4480</v>
      </c>
      <c r="B7323" t="s">
        <v>1353</v>
      </c>
      <c r="C7323" s="34" t="s">
        <v>897</v>
      </c>
      <c r="F7323" t="s">
        <v>897</v>
      </c>
      <c r="H7323">
        <v>5</v>
      </c>
      <c r="I7323">
        <f>VLOOKUP(B7323,BRAND!B:D,3,FALSE)</f>
        <v>3</v>
      </c>
      <c r="J7323">
        <v>4</v>
      </c>
      <c r="K7323" t="s">
        <v>821</v>
      </c>
      <c r="L7323">
        <v>0</v>
      </c>
      <c r="M7323">
        <v>0</v>
      </c>
    </row>
    <row r="7324" spans="1:13">
      <c r="A7324" t="s">
        <v>3021</v>
      </c>
      <c r="B7324" t="s">
        <v>1353</v>
      </c>
      <c r="C7324" s="34" t="s">
        <v>775</v>
      </c>
      <c r="F7324" t="s">
        <v>775</v>
      </c>
      <c r="H7324">
        <v>5</v>
      </c>
      <c r="I7324">
        <f>VLOOKUP(B7324,BRAND!B:D,3,FALSE)</f>
        <v>3</v>
      </c>
      <c r="J7324">
        <v>3</v>
      </c>
      <c r="K7324" t="s">
        <v>821</v>
      </c>
      <c r="L7324">
        <v>0</v>
      </c>
      <c r="M7324">
        <v>0</v>
      </c>
    </row>
    <row r="7325" spans="1:13">
      <c r="A7325" t="s">
        <v>2740</v>
      </c>
      <c r="B7325" t="s">
        <v>1353</v>
      </c>
      <c r="C7325" s="34" t="s">
        <v>1438</v>
      </c>
      <c r="F7325" t="s">
        <v>1438</v>
      </c>
      <c r="H7325">
        <v>15</v>
      </c>
      <c r="I7325">
        <f>VLOOKUP(B7325,BRAND!B:D,3,FALSE)</f>
        <v>3</v>
      </c>
      <c r="J7325">
        <v>4</v>
      </c>
      <c r="K7325" t="s">
        <v>821</v>
      </c>
      <c r="L7325">
        <v>0</v>
      </c>
      <c r="M7325">
        <v>0</v>
      </c>
    </row>
    <row r="7326" spans="1:13">
      <c r="A7326" t="s">
        <v>12320</v>
      </c>
      <c r="B7326" t="s">
        <v>12012</v>
      </c>
      <c r="C7326" s="34" t="s">
        <v>536</v>
      </c>
      <c r="F7326" t="s">
        <v>536</v>
      </c>
      <c r="G7326" t="s">
        <v>6932</v>
      </c>
      <c r="H7326">
        <v>5</v>
      </c>
    </row>
    <row r="7327" spans="1:13">
      <c r="A7327" t="s">
        <v>12321</v>
      </c>
      <c r="B7327" t="s">
        <v>12012</v>
      </c>
      <c r="C7327" s="34" t="s">
        <v>12322</v>
      </c>
      <c r="F7327" t="s">
        <v>12322</v>
      </c>
      <c r="G7327" t="s">
        <v>6932</v>
      </c>
      <c r="H7327">
        <v>5</v>
      </c>
    </row>
    <row r="7328" spans="1:13">
      <c r="A7328" t="s">
        <v>12323</v>
      </c>
      <c r="B7328" t="s">
        <v>12012</v>
      </c>
      <c r="C7328" s="34" t="s">
        <v>12324</v>
      </c>
      <c r="F7328" t="s">
        <v>12325</v>
      </c>
      <c r="G7328" t="s">
        <v>6932</v>
      </c>
      <c r="H7328">
        <v>5</v>
      </c>
    </row>
    <row r="7329" spans="1:13">
      <c r="A7329" t="s">
        <v>12326</v>
      </c>
      <c r="B7329" t="s">
        <v>12012</v>
      </c>
      <c r="C7329" s="34" t="s">
        <v>12327</v>
      </c>
      <c r="F7329" t="s">
        <v>12328</v>
      </c>
      <c r="G7329" t="s">
        <v>6932</v>
      </c>
      <c r="H7329">
        <v>5</v>
      </c>
    </row>
    <row r="7330" spans="1:13">
      <c r="A7330" t="s">
        <v>12329</v>
      </c>
      <c r="B7330" t="s">
        <v>12012</v>
      </c>
      <c r="C7330" s="34" t="s">
        <v>12330</v>
      </c>
      <c r="F7330" t="s">
        <v>12330</v>
      </c>
      <c r="G7330" t="s">
        <v>6932</v>
      </c>
      <c r="H7330">
        <v>5</v>
      </c>
    </row>
    <row r="7331" spans="1:13">
      <c r="A7331" t="s">
        <v>12331</v>
      </c>
      <c r="B7331" t="s">
        <v>12012</v>
      </c>
      <c r="C7331" s="34" t="s">
        <v>12332</v>
      </c>
      <c r="F7331" t="s">
        <v>12332</v>
      </c>
      <c r="G7331" t="s">
        <v>6932</v>
      </c>
      <c r="H7331">
        <v>5</v>
      </c>
    </row>
    <row r="7332" spans="1:13">
      <c r="A7332" t="s">
        <v>12333</v>
      </c>
      <c r="B7332" t="s">
        <v>12012</v>
      </c>
      <c r="C7332" s="34" t="s">
        <v>12334</v>
      </c>
      <c r="F7332" t="s">
        <v>12334</v>
      </c>
      <c r="G7332" t="s">
        <v>6932</v>
      </c>
      <c r="H7332">
        <v>5</v>
      </c>
    </row>
    <row r="7333" spans="1:13">
      <c r="A7333" t="s">
        <v>12335</v>
      </c>
      <c r="B7333" t="s">
        <v>12012</v>
      </c>
      <c r="C7333" s="34" t="s">
        <v>755</v>
      </c>
      <c r="F7333" t="s">
        <v>12336</v>
      </c>
      <c r="G7333" t="s">
        <v>6932</v>
      </c>
      <c r="H7333">
        <v>5</v>
      </c>
    </row>
    <row r="7334" spans="1:13">
      <c r="A7334" t="s">
        <v>4313</v>
      </c>
      <c r="B7334" t="s">
        <v>1124</v>
      </c>
      <c r="C7334" s="34" t="s">
        <v>768</v>
      </c>
      <c r="F7334" t="s">
        <v>768</v>
      </c>
      <c r="H7334">
        <v>5</v>
      </c>
      <c r="I7334">
        <f>VLOOKUP(B7334,BRAND!B:D,3,FALSE)</f>
        <v>3</v>
      </c>
      <c r="J7334">
        <v>5</v>
      </c>
      <c r="K7334" t="s">
        <v>821</v>
      </c>
      <c r="L7334">
        <v>0</v>
      </c>
      <c r="M7334">
        <v>0</v>
      </c>
    </row>
    <row r="7335" spans="1:13">
      <c r="A7335" t="s">
        <v>7056</v>
      </c>
      <c r="B7335" t="s">
        <v>1124</v>
      </c>
      <c r="C7335" s="34" t="s">
        <v>768</v>
      </c>
      <c r="F7335" t="s">
        <v>768</v>
      </c>
      <c r="H7335">
        <v>5</v>
      </c>
      <c r="I7335">
        <f>VLOOKUP(B7335,BRAND!B:D,3,FALSE)</f>
        <v>3</v>
      </c>
      <c r="J7335">
        <v>5</v>
      </c>
      <c r="M7335">
        <v>1</v>
      </c>
    </row>
    <row r="7336" spans="1:13">
      <c r="A7336" t="s">
        <v>2633</v>
      </c>
      <c r="B7336" t="s">
        <v>1124</v>
      </c>
      <c r="C7336" s="34" t="s">
        <v>1438</v>
      </c>
      <c r="F7336" t="s">
        <v>1438</v>
      </c>
      <c r="H7336">
        <v>15</v>
      </c>
      <c r="I7336">
        <f>VLOOKUP(B7336,BRAND!B:D,3,FALSE)</f>
        <v>3</v>
      </c>
      <c r="J7336">
        <v>4</v>
      </c>
      <c r="K7336" t="s">
        <v>821</v>
      </c>
      <c r="L7336">
        <v>0</v>
      </c>
      <c r="M7336">
        <v>0</v>
      </c>
    </row>
    <row r="7337" spans="1:13">
      <c r="A7337" t="s">
        <v>9280</v>
      </c>
      <c r="B7337" t="s">
        <v>9281</v>
      </c>
      <c r="C7337" s="34" t="s">
        <v>751</v>
      </c>
      <c r="F7337" t="s">
        <v>751</v>
      </c>
      <c r="G7337" t="s">
        <v>6932</v>
      </c>
      <c r="H7337">
        <v>5</v>
      </c>
      <c r="I7337">
        <f>VLOOKUP(B7337,BRAND!B:D,3,FALSE)</f>
        <v>5.5</v>
      </c>
      <c r="J7337">
        <v>5</v>
      </c>
      <c r="M7337">
        <v>1</v>
      </c>
    </row>
    <row r="7338" spans="1:13">
      <c r="A7338" t="s">
        <v>14552</v>
      </c>
      <c r="B7338" t="s">
        <v>14553</v>
      </c>
      <c r="C7338" s="34" t="s">
        <v>1438</v>
      </c>
      <c r="F7338" t="s">
        <v>1438</v>
      </c>
      <c r="G7338" t="s">
        <v>6932</v>
      </c>
      <c r="H7338">
        <v>5</v>
      </c>
      <c r="I7338">
        <f>VLOOKUP(B7338,BRAND!B:D,3,FALSE)</f>
        <v>0</v>
      </c>
      <c r="J7338">
        <f t="shared" ref="J7338:J7345" si="60">LEN(F7338)</f>
        <v>4</v>
      </c>
      <c r="K7338" t="s">
        <v>821</v>
      </c>
      <c r="L7338">
        <v>0</v>
      </c>
      <c r="M7338">
        <v>1</v>
      </c>
    </row>
    <row r="7339" spans="1:13">
      <c r="A7339" t="s">
        <v>14673</v>
      </c>
      <c r="B7339" t="s">
        <v>14671</v>
      </c>
      <c r="C7339" s="34" t="s">
        <v>11004</v>
      </c>
      <c r="F7339" t="s">
        <v>11004</v>
      </c>
      <c r="G7339" t="s">
        <v>6932</v>
      </c>
      <c r="H7339">
        <v>5</v>
      </c>
      <c r="I7339">
        <f>VLOOKUP(B7339,BRAND!B:D,3,FALSE)</f>
        <v>0</v>
      </c>
      <c r="J7339">
        <f t="shared" si="60"/>
        <v>10</v>
      </c>
      <c r="K7339" t="s">
        <v>821</v>
      </c>
      <c r="L7339">
        <v>0</v>
      </c>
      <c r="M7339">
        <v>1</v>
      </c>
    </row>
    <row r="7340" spans="1:13">
      <c r="A7340" t="s">
        <v>14676</v>
      </c>
      <c r="B7340" t="s">
        <v>14671</v>
      </c>
      <c r="C7340" s="34" t="s">
        <v>14677</v>
      </c>
      <c r="F7340" t="s">
        <v>14677</v>
      </c>
      <c r="G7340" t="s">
        <v>6932</v>
      </c>
      <c r="H7340">
        <v>5</v>
      </c>
      <c r="I7340">
        <f>VLOOKUP(B7340,BRAND!B:D,3,FALSE)</f>
        <v>0</v>
      </c>
      <c r="J7340">
        <f t="shared" si="60"/>
        <v>10</v>
      </c>
      <c r="K7340" t="s">
        <v>821</v>
      </c>
      <c r="L7340">
        <v>0</v>
      </c>
      <c r="M7340">
        <v>1</v>
      </c>
    </row>
    <row r="7341" spans="1:13">
      <c r="A7341" t="s">
        <v>14675</v>
      </c>
      <c r="B7341" t="s">
        <v>14671</v>
      </c>
      <c r="C7341" s="34" t="s">
        <v>534</v>
      </c>
      <c r="F7341" t="s">
        <v>534</v>
      </c>
      <c r="G7341" t="s">
        <v>6932</v>
      </c>
      <c r="H7341">
        <v>5</v>
      </c>
      <c r="I7341">
        <f>VLOOKUP(B7341,BRAND!B:D,3,FALSE)</f>
        <v>0</v>
      </c>
      <c r="J7341">
        <f t="shared" si="60"/>
        <v>6</v>
      </c>
      <c r="K7341" t="s">
        <v>821</v>
      </c>
      <c r="L7341">
        <v>0</v>
      </c>
      <c r="M7341">
        <v>1</v>
      </c>
    </row>
    <row r="7342" spans="1:13">
      <c r="A7342" t="s">
        <v>14670</v>
      </c>
      <c r="B7342" t="s">
        <v>14671</v>
      </c>
      <c r="C7342" s="34" t="s">
        <v>536</v>
      </c>
      <c r="F7342" t="s">
        <v>536</v>
      </c>
      <c r="G7342" t="s">
        <v>6932</v>
      </c>
      <c r="H7342">
        <v>5</v>
      </c>
      <c r="I7342">
        <f>VLOOKUP(B7342,BRAND!B:D,3,FALSE)</f>
        <v>0</v>
      </c>
      <c r="J7342">
        <f t="shared" si="60"/>
        <v>5</v>
      </c>
      <c r="K7342" t="s">
        <v>821</v>
      </c>
      <c r="L7342">
        <v>0</v>
      </c>
      <c r="M7342">
        <v>1</v>
      </c>
    </row>
    <row r="7343" spans="1:13">
      <c r="A7343" t="s">
        <v>14674</v>
      </c>
      <c r="B7343" t="s">
        <v>14671</v>
      </c>
      <c r="C7343" s="34" t="s">
        <v>841</v>
      </c>
      <c r="F7343" t="s">
        <v>841</v>
      </c>
      <c r="G7343" t="s">
        <v>6932</v>
      </c>
      <c r="H7343">
        <v>5</v>
      </c>
      <c r="I7343">
        <f>VLOOKUP(B7343,BRAND!B:D,3,FALSE)</f>
        <v>0</v>
      </c>
      <c r="J7343">
        <f t="shared" si="60"/>
        <v>5</v>
      </c>
      <c r="K7343" t="s">
        <v>821</v>
      </c>
      <c r="L7343">
        <v>0</v>
      </c>
      <c r="M7343">
        <v>1</v>
      </c>
    </row>
    <row r="7344" spans="1:13">
      <c r="A7344" t="s">
        <v>14672</v>
      </c>
      <c r="B7344" t="s">
        <v>14671</v>
      </c>
      <c r="C7344" s="34" t="s">
        <v>561</v>
      </c>
      <c r="F7344" t="s">
        <v>561</v>
      </c>
      <c r="G7344" t="s">
        <v>6932</v>
      </c>
      <c r="H7344">
        <v>5</v>
      </c>
      <c r="I7344">
        <f>VLOOKUP(B7344,BRAND!B:D,3,FALSE)</f>
        <v>0</v>
      </c>
      <c r="J7344">
        <f t="shared" si="60"/>
        <v>3</v>
      </c>
      <c r="K7344" t="s">
        <v>821</v>
      </c>
      <c r="L7344">
        <v>0</v>
      </c>
      <c r="M7344">
        <v>1</v>
      </c>
    </row>
    <row r="7345" spans="1:13">
      <c r="A7345" t="s">
        <v>9285</v>
      </c>
      <c r="B7345" t="s">
        <v>9283</v>
      </c>
      <c r="C7345" s="34" t="s">
        <v>9286</v>
      </c>
      <c r="F7345" t="s">
        <v>9286</v>
      </c>
      <c r="G7345" t="s">
        <v>6932</v>
      </c>
      <c r="H7345">
        <v>5</v>
      </c>
      <c r="I7345">
        <f>VLOOKUP(B7345,BRAND!B:D,3,FALSE)</f>
        <v>5.5</v>
      </c>
      <c r="J7345">
        <f t="shared" si="60"/>
        <v>10</v>
      </c>
      <c r="M7345">
        <v>1</v>
      </c>
    </row>
    <row r="7346" spans="1:13">
      <c r="A7346" t="s">
        <v>9282</v>
      </c>
      <c r="B7346" t="s">
        <v>9283</v>
      </c>
      <c r="C7346" s="34" t="s">
        <v>9284</v>
      </c>
      <c r="F7346" t="s">
        <v>9284</v>
      </c>
      <c r="G7346" t="s">
        <v>6932</v>
      </c>
      <c r="H7346">
        <v>5</v>
      </c>
      <c r="I7346">
        <f>VLOOKUP(B7346,BRAND!B:D,3,FALSE)</f>
        <v>5.5</v>
      </c>
      <c r="J7346">
        <v>7</v>
      </c>
      <c r="M7346">
        <v>1</v>
      </c>
    </row>
    <row r="7347" spans="1:13">
      <c r="A7347" t="s">
        <v>9287</v>
      </c>
      <c r="B7347" t="s">
        <v>167</v>
      </c>
      <c r="C7347" s="34" t="s">
        <v>1438</v>
      </c>
      <c r="F7347" t="s">
        <v>1438</v>
      </c>
      <c r="G7347" t="s">
        <v>801</v>
      </c>
      <c r="H7347">
        <v>5</v>
      </c>
      <c r="I7347">
        <f>VLOOKUP(B7347,BRAND!B:D,3,FALSE)</f>
        <v>3</v>
      </c>
      <c r="J7347">
        <v>4</v>
      </c>
      <c r="M7347">
        <v>1</v>
      </c>
    </row>
    <row r="7348" spans="1:13">
      <c r="A7348" t="s">
        <v>2106</v>
      </c>
      <c r="B7348" t="s">
        <v>167</v>
      </c>
      <c r="C7348" s="34" t="s">
        <v>1438</v>
      </c>
      <c r="F7348" t="s">
        <v>1438</v>
      </c>
      <c r="H7348">
        <v>15</v>
      </c>
      <c r="I7348">
        <f>VLOOKUP(B7348,BRAND!B:D,3,FALSE)</f>
        <v>3</v>
      </c>
      <c r="J7348">
        <v>4</v>
      </c>
      <c r="K7348" t="s">
        <v>821</v>
      </c>
      <c r="M7348">
        <v>1</v>
      </c>
    </row>
    <row r="7349" spans="1:13">
      <c r="A7349" t="s">
        <v>9290</v>
      </c>
      <c r="B7349" t="s">
        <v>9289</v>
      </c>
      <c r="C7349" s="34" t="s">
        <v>9291</v>
      </c>
      <c r="F7349" t="s">
        <v>9291</v>
      </c>
      <c r="G7349" t="s">
        <v>6932</v>
      </c>
      <c r="H7349">
        <v>5</v>
      </c>
      <c r="I7349">
        <f>VLOOKUP(B7349,BRAND!B:D,3,FALSE)</f>
        <v>5.5</v>
      </c>
      <c r="J7349">
        <v>9</v>
      </c>
      <c r="M7349">
        <v>1</v>
      </c>
    </row>
    <row r="7350" spans="1:13">
      <c r="A7350" t="s">
        <v>9288</v>
      </c>
      <c r="B7350" t="s">
        <v>9289</v>
      </c>
      <c r="C7350" s="34" t="s">
        <v>1438</v>
      </c>
      <c r="F7350" t="s">
        <v>1438</v>
      </c>
      <c r="G7350" t="s">
        <v>7515</v>
      </c>
      <c r="H7350">
        <v>5</v>
      </c>
      <c r="I7350">
        <f>VLOOKUP(B7350,BRAND!B:D,3,FALSE)</f>
        <v>5.5</v>
      </c>
      <c r="J7350">
        <v>4</v>
      </c>
      <c r="M7350">
        <v>1</v>
      </c>
    </row>
    <row r="7351" spans="1:13">
      <c r="A7351" t="s">
        <v>9296</v>
      </c>
      <c r="B7351" t="s">
        <v>9293</v>
      </c>
      <c r="C7351" s="34" t="s">
        <v>534</v>
      </c>
      <c r="F7351" t="s">
        <v>534</v>
      </c>
      <c r="G7351" t="s">
        <v>6932</v>
      </c>
      <c r="H7351">
        <v>5</v>
      </c>
      <c r="I7351">
        <f>VLOOKUP(B7351,BRAND!B:D,3,FALSE)</f>
        <v>5.5</v>
      </c>
      <c r="J7351">
        <v>6</v>
      </c>
      <c r="M7351">
        <v>1</v>
      </c>
    </row>
    <row r="7352" spans="1:13">
      <c r="A7352" t="s">
        <v>9295</v>
      </c>
      <c r="B7352" t="s">
        <v>9293</v>
      </c>
      <c r="C7352" s="34" t="s">
        <v>536</v>
      </c>
      <c r="F7352" t="s">
        <v>536</v>
      </c>
      <c r="G7352" t="s">
        <v>6932</v>
      </c>
      <c r="H7352">
        <v>5</v>
      </c>
      <c r="I7352">
        <f>VLOOKUP(B7352,BRAND!B:D,3,FALSE)</f>
        <v>5.5</v>
      </c>
      <c r="J7352">
        <v>5</v>
      </c>
      <c r="M7352">
        <v>1</v>
      </c>
    </row>
    <row r="7353" spans="1:13">
      <c r="A7353" t="s">
        <v>9294</v>
      </c>
      <c r="B7353" t="s">
        <v>9293</v>
      </c>
      <c r="C7353" s="34" t="s">
        <v>842</v>
      </c>
      <c r="F7353" t="s">
        <v>842</v>
      </c>
      <c r="G7353" t="s">
        <v>6932</v>
      </c>
      <c r="H7353">
        <v>5</v>
      </c>
      <c r="I7353">
        <f>VLOOKUP(B7353,BRAND!B:D,3,FALSE)</f>
        <v>5.5</v>
      </c>
      <c r="J7353">
        <v>5</v>
      </c>
      <c r="M7353">
        <v>1</v>
      </c>
    </row>
    <row r="7354" spans="1:13">
      <c r="A7354" t="s">
        <v>9292</v>
      </c>
      <c r="B7354" t="s">
        <v>9293</v>
      </c>
      <c r="C7354" s="34" t="s">
        <v>788</v>
      </c>
      <c r="F7354" t="s">
        <v>788</v>
      </c>
      <c r="G7354" t="s">
        <v>6932</v>
      </c>
      <c r="H7354">
        <v>5</v>
      </c>
      <c r="I7354">
        <f>VLOOKUP(B7354,BRAND!B:D,3,FALSE)</f>
        <v>5.5</v>
      </c>
      <c r="J7354">
        <v>4</v>
      </c>
      <c r="M7354">
        <v>1</v>
      </c>
    </row>
    <row r="7355" spans="1:13">
      <c r="A7355" t="s">
        <v>4752</v>
      </c>
      <c r="B7355" t="s">
        <v>1197</v>
      </c>
      <c r="C7355" s="34" t="s">
        <v>1513</v>
      </c>
      <c r="F7355" t="s">
        <v>1513</v>
      </c>
      <c r="H7355">
        <v>5</v>
      </c>
      <c r="I7355">
        <f>VLOOKUP(B7355,BRAND!B:D,3,FALSE)</f>
        <v>3</v>
      </c>
      <c r="J7355">
        <v>5</v>
      </c>
      <c r="K7355" t="s">
        <v>821</v>
      </c>
      <c r="L7355">
        <v>0</v>
      </c>
      <c r="M7355">
        <v>0</v>
      </c>
    </row>
    <row r="7356" spans="1:13">
      <c r="A7356" t="s">
        <v>4437</v>
      </c>
      <c r="B7356" t="s">
        <v>1197</v>
      </c>
      <c r="C7356" s="34" t="s">
        <v>1438</v>
      </c>
      <c r="F7356" t="s">
        <v>1438</v>
      </c>
      <c r="H7356">
        <v>15</v>
      </c>
      <c r="I7356">
        <f>VLOOKUP(B7356,BRAND!B:D,3,FALSE)</f>
        <v>3</v>
      </c>
      <c r="J7356">
        <v>4</v>
      </c>
      <c r="K7356" t="s">
        <v>821</v>
      </c>
      <c r="L7356">
        <v>0</v>
      </c>
      <c r="M7356">
        <v>0</v>
      </c>
    </row>
    <row r="7357" spans="1:13">
      <c r="A7357" t="s">
        <v>3856</v>
      </c>
      <c r="B7357" t="s">
        <v>441</v>
      </c>
      <c r="C7357" s="34" t="s">
        <v>781</v>
      </c>
      <c r="F7357" t="s">
        <v>781</v>
      </c>
      <c r="H7357">
        <v>5</v>
      </c>
      <c r="I7357">
        <f>VLOOKUP(B7357,BRAND!B:D,3,FALSE)</f>
        <v>3</v>
      </c>
      <c r="J7357">
        <v>4</v>
      </c>
      <c r="K7357" t="s">
        <v>821</v>
      </c>
      <c r="L7357">
        <v>0</v>
      </c>
      <c r="M7357">
        <v>0</v>
      </c>
    </row>
    <row r="7358" spans="1:13">
      <c r="A7358" t="s">
        <v>9297</v>
      </c>
      <c r="B7358" t="s">
        <v>441</v>
      </c>
      <c r="C7358" s="34" t="s">
        <v>781</v>
      </c>
      <c r="F7358" t="s">
        <v>781</v>
      </c>
      <c r="G7358" t="s">
        <v>6932</v>
      </c>
      <c r="H7358">
        <v>5</v>
      </c>
      <c r="I7358">
        <f>VLOOKUP(B7358,BRAND!B:D,3,FALSE)</f>
        <v>3</v>
      </c>
      <c r="J7358">
        <v>4</v>
      </c>
      <c r="M7358">
        <v>1</v>
      </c>
    </row>
    <row r="7359" spans="1:13">
      <c r="A7359" t="s">
        <v>9855</v>
      </c>
      <c r="B7359" t="s">
        <v>441</v>
      </c>
      <c r="C7359" s="34" t="s">
        <v>775</v>
      </c>
      <c r="H7359">
        <v>5</v>
      </c>
      <c r="I7359">
        <f>VLOOKUP(B7359,BRAND!B:D,3,FALSE)</f>
        <v>3</v>
      </c>
      <c r="J7359">
        <f>LEN(F7359)</f>
        <v>0</v>
      </c>
      <c r="L7359">
        <v>0</v>
      </c>
      <c r="M7359">
        <v>0</v>
      </c>
    </row>
    <row r="7360" spans="1:13">
      <c r="A7360" t="s">
        <v>9855</v>
      </c>
      <c r="B7360" t="s">
        <v>441</v>
      </c>
      <c r="C7360" s="34" t="s">
        <v>775</v>
      </c>
      <c r="H7360">
        <v>5</v>
      </c>
      <c r="I7360">
        <f>VLOOKUP(B7360,BRAND!B:D,3,FALSE)</f>
        <v>3</v>
      </c>
      <c r="J7360">
        <v>0</v>
      </c>
      <c r="M7360">
        <v>1</v>
      </c>
    </row>
    <row r="7361" spans="1:13">
      <c r="A7361" t="s">
        <v>2169</v>
      </c>
      <c r="B7361" t="s">
        <v>441</v>
      </c>
      <c r="C7361" s="34" t="s">
        <v>1438</v>
      </c>
      <c r="F7361" t="s">
        <v>1438</v>
      </c>
      <c r="H7361">
        <v>15</v>
      </c>
      <c r="I7361">
        <f>VLOOKUP(B7361,BRAND!B:D,3,FALSE)</f>
        <v>3</v>
      </c>
      <c r="J7361">
        <v>4</v>
      </c>
      <c r="K7361" t="s">
        <v>821</v>
      </c>
      <c r="L7361">
        <v>0</v>
      </c>
      <c r="M7361">
        <v>0</v>
      </c>
    </row>
    <row r="7362" spans="1:13">
      <c r="A7362" t="s">
        <v>3776</v>
      </c>
      <c r="B7362" t="s">
        <v>1355</v>
      </c>
      <c r="C7362" s="34" t="s">
        <v>776</v>
      </c>
      <c r="F7362" t="s">
        <v>776</v>
      </c>
      <c r="H7362">
        <v>5</v>
      </c>
      <c r="I7362">
        <f>VLOOKUP(B7362,BRAND!B:D,3,FALSE)</f>
        <v>5.5</v>
      </c>
      <c r="J7362">
        <v>5</v>
      </c>
      <c r="K7362" t="e">
        <v>#N/A</v>
      </c>
      <c r="L7362">
        <v>0</v>
      </c>
      <c r="M7362">
        <v>0</v>
      </c>
    </row>
    <row r="7363" spans="1:13">
      <c r="A7363" t="s">
        <v>3087</v>
      </c>
      <c r="B7363" t="s">
        <v>1355</v>
      </c>
      <c r="C7363" s="34" t="s">
        <v>988</v>
      </c>
      <c r="F7363" t="s">
        <v>988</v>
      </c>
      <c r="H7363">
        <v>5</v>
      </c>
      <c r="I7363">
        <f>VLOOKUP(B7363,BRAND!B:D,3,FALSE)</f>
        <v>5.5</v>
      </c>
      <c r="J7363">
        <v>4</v>
      </c>
      <c r="K7363" t="e">
        <v>#N/A</v>
      </c>
      <c r="L7363">
        <v>0</v>
      </c>
      <c r="M7363">
        <v>0</v>
      </c>
    </row>
    <row r="7364" spans="1:13">
      <c r="A7364" t="s">
        <v>14622</v>
      </c>
      <c r="B7364" t="s">
        <v>14621</v>
      </c>
      <c r="C7364" s="34" t="s">
        <v>8337</v>
      </c>
      <c r="F7364" t="s">
        <v>8337</v>
      </c>
      <c r="G7364" t="s">
        <v>6932</v>
      </c>
      <c r="H7364">
        <v>5</v>
      </c>
      <c r="I7364">
        <f>VLOOKUP(B7364,BRAND!B:D,3,FALSE)</f>
        <v>0</v>
      </c>
      <c r="J7364">
        <f>LEN(F7364)</f>
        <v>5</v>
      </c>
      <c r="K7364" t="s">
        <v>821</v>
      </c>
      <c r="L7364">
        <v>0</v>
      </c>
      <c r="M7364">
        <v>1</v>
      </c>
    </row>
    <row r="7365" spans="1:13">
      <c r="A7365" t="s">
        <v>14620</v>
      </c>
      <c r="B7365" t="s">
        <v>14621</v>
      </c>
      <c r="C7365" s="34" t="s">
        <v>536</v>
      </c>
      <c r="F7365" t="s">
        <v>536</v>
      </c>
      <c r="G7365" t="s">
        <v>6932</v>
      </c>
      <c r="H7365">
        <v>5</v>
      </c>
      <c r="I7365">
        <f>VLOOKUP(B7365,BRAND!B:D,3,FALSE)</f>
        <v>0</v>
      </c>
      <c r="J7365">
        <f>LEN(F7365)</f>
        <v>5</v>
      </c>
      <c r="K7365" t="s">
        <v>821</v>
      </c>
      <c r="L7365">
        <v>0</v>
      </c>
      <c r="M7365">
        <v>1</v>
      </c>
    </row>
    <row r="7366" spans="1:13">
      <c r="A7366" s="29" t="s">
        <v>9298</v>
      </c>
      <c r="B7366" s="29" t="s">
        <v>9299</v>
      </c>
      <c r="C7366" s="36" t="s">
        <v>536</v>
      </c>
      <c r="D7366" s="29"/>
      <c r="E7366" s="29"/>
      <c r="F7366" s="29" t="s">
        <v>536</v>
      </c>
      <c r="G7366" s="29" t="s">
        <v>6932</v>
      </c>
      <c r="H7366" s="29">
        <v>5</v>
      </c>
      <c r="I7366">
        <f>VLOOKUP(B7366,BRAND!B:D,3,FALSE)</f>
        <v>5.5</v>
      </c>
      <c r="J7366">
        <v>5</v>
      </c>
      <c r="M7366">
        <v>1</v>
      </c>
    </row>
    <row r="7367" spans="1:13">
      <c r="A7367" t="s">
        <v>9856</v>
      </c>
      <c r="B7367" t="s">
        <v>6606</v>
      </c>
      <c r="C7367" s="34" t="s">
        <v>1438</v>
      </c>
      <c r="F7367" t="s">
        <v>1438</v>
      </c>
      <c r="H7367">
        <v>5</v>
      </c>
      <c r="I7367">
        <f>VLOOKUP(B7367,BRAND!B:D,3,FALSE)</f>
        <v>5</v>
      </c>
      <c r="J7367">
        <v>4</v>
      </c>
      <c r="M7367">
        <v>1</v>
      </c>
    </row>
    <row r="7368" spans="1:13">
      <c r="A7368" t="s">
        <v>12984</v>
      </c>
      <c r="B7368" t="s">
        <v>12053</v>
      </c>
      <c r="C7368" s="34" t="s">
        <v>6361</v>
      </c>
      <c r="F7368" t="s">
        <v>6361</v>
      </c>
      <c r="G7368" t="s">
        <v>6932</v>
      </c>
      <c r="H7368">
        <v>5</v>
      </c>
    </row>
    <row r="7369" spans="1:13">
      <c r="A7369" t="s">
        <v>12966</v>
      </c>
      <c r="B7369" t="s">
        <v>12051</v>
      </c>
      <c r="C7369" s="34" t="s">
        <v>12967</v>
      </c>
      <c r="F7369" t="s">
        <v>899</v>
      </c>
      <c r="G7369" t="s">
        <v>6932</v>
      </c>
      <c r="H7369">
        <v>5</v>
      </c>
    </row>
    <row r="7370" spans="1:13">
      <c r="A7370" t="s">
        <v>12968</v>
      </c>
      <c r="B7370" t="s">
        <v>12051</v>
      </c>
      <c r="C7370" s="34" t="s">
        <v>12969</v>
      </c>
      <c r="F7370" t="s">
        <v>12969</v>
      </c>
      <c r="G7370" t="s">
        <v>6932</v>
      </c>
      <c r="H7370">
        <v>5</v>
      </c>
    </row>
    <row r="7371" spans="1:13">
      <c r="A7371" t="s">
        <v>12970</v>
      </c>
      <c r="B7371" t="s">
        <v>12051</v>
      </c>
      <c r="C7371" s="34" t="s">
        <v>6362</v>
      </c>
      <c r="F7371" t="s">
        <v>6362</v>
      </c>
      <c r="G7371" t="s">
        <v>6932</v>
      </c>
      <c r="H7371">
        <v>5</v>
      </c>
    </row>
    <row r="7372" spans="1:13">
      <c r="A7372" t="s">
        <v>12971</v>
      </c>
      <c r="B7372" t="s">
        <v>12051</v>
      </c>
      <c r="C7372" s="34" t="s">
        <v>6353</v>
      </c>
      <c r="F7372" t="s">
        <v>6353</v>
      </c>
      <c r="G7372" t="s">
        <v>6932</v>
      </c>
      <c r="H7372">
        <v>5</v>
      </c>
    </row>
    <row r="7373" spans="1:13">
      <c r="A7373" t="s">
        <v>12972</v>
      </c>
      <c r="B7373" t="s">
        <v>12051</v>
      </c>
      <c r="C7373" s="34" t="s">
        <v>12973</v>
      </c>
      <c r="F7373" t="s">
        <v>12973</v>
      </c>
      <c r="G7373" t="s">
        <v>6932</v>
      </c>
      <c r="H7373">
        <v>5</v>
      </c>
    </row>
    <row r="7374" spans="1:13">
      <c r="A7374" t="s">
        <v>12974</v>
      </c>
      <c r="B7374" t="s">
        <v>12051</v>
      </c>
      <c r="C7374" s="34" t="s">
        <v>819</v>
      </c>
      <c r="F7374" t="s">
        <v>819</v>
      </c>
      <c r="G7374" t="s">
        <v>6932</v>
      </c>
      <c r="H7374">
        <v>5</v>
      </c>
    </row>
    <row r="7375" spans="1:13">
      <c r="A7375" t="s">
        <v>13648</v>
      </c>
      <c r="B7375" t="s">
        <v>12051</v>
      </c>
      <c r="C7375" s="34" t="s">
        <v>11732</v>
      </c>
      <c r="F7375" t="s">
        <v>996</v>
      </c>
      <c r="G7375" t="s">
        <v>801</v>
      </c>
      <c r="H7375">
        <v>5</v>
      </c>
    </row>
    <row r="7376" spans="1:13">
      <c r="A7376" t="s">
        <v>12975</v>
      </c>
      <c r="B7376" t="s">
        <v>12051</v>
      </c>
      <c r="C7376" s="34" t="s">
        <v>8170</v>
      </c>
      <c r="F7376" t="s">
        <v>8170</v>
      </c>
      <c r="G7376" t="s">
        <v>6932</v>
      </c>
      <c r="H7376">
        <v>5</v>
      </c>
    </row>
    <row r="7377" spans="1:13">
      <c r="A7377" t="s">
        <v>12976</v>
      </c>
      <c r="B7377" t="s">
        <v>12051</v>
      </c>
      <c r="C7377" s="34" t="s">
        <v>12977</v>
      </c>
      <c r="F7377" t="s">
        <v>12977</v>
      </c>
      <c r="G7377" t="s">
        <v>6932</v>
      </c>
      <c r="H7377">
        <v>5</v>
      </c>
    </row>
    <row r="7378" spans="1:13">
      <c r="A7378" t="s">
        <v>12978</v>
      </c>
      <c r="B7378" t="s">
        <v>12051</v>
      </c>
      <c r="C7378" s="34" t="s">
        <v>5363</v>
      </c>
      <c r="F7378" t="s">
        <v>5363</v>
      </c>
      <c r="G7378" t="s">
        <v>6932</v>
      </c>
      <c r="H7378">
        <v>5</v>
      </c>
    </row>
    <row r="7379" spans="1:13">
      <c r="A7379" t="s">
        <v>12979</v>
      </c>
      <c r="B7379" t="s">
        <v>12051</v>
      </c>
      <c r="C7379" s="34" t="s">
        <v>12980</v>
      </c>
      <c r="F7379" t="s">
        <v>12980</v>
      </c>
      <c r="G7379" t="s">
        <v>6932</v>
      </c>
      <c r="H7379">
        <v>5</v>
      </c>
    </row>
    <row r="7380" spans="1:13">
      <c r="A7380" t="s">
        <v>12981</v>
      </c>
      <c r="B7380" t="s">
        <v>12051</v>
      </c>
      <c r="C7380" s="34" t="s">
        <v>11732</v>
      </c>
      <c r="F7380" t="s">
        <v>996</v>
      </c>
      <c r="G7380" t="s">
        <v>6932</v>
      </c>
      <c r="H7380">
        <v>5</v>
      </c>
    </row>
    <row r="7381" spans="1:13">
      <c r="A7381" t="s">
        <v>12982</v>
      </c>
      <c r="B7381" t="s">
        <v>12051</v>
      </c>
      <c r="C7381" s="34" t="s">
        <v>12983</v>
      </c>
      <c r="F7381" t="s">
        <v>12983</v>
      </c>
      <c r="G7381" t="s">
        <v>6932</v>
      </c>
      <c r="H7381">
        <v>5</v>
      </c>
    </row>
    <row r="7382" spans="1:13">
      <c r="A7382" t="s">
        <v>4367</v>
      </c>
      <c r="B7382" t="s">
        <v>1760</v>
      </c>
      <c r="C7382" s="34" t="s">
        <v>776</v>
      </c>
      <c r="F7382" t="s">
        <v>776</v>
      </c>
      <c r="H7382">
        <v>5</v>
      </c>
      <c r="I7382">
        <f>VLOOKUP(B7382,BRAND!B:D,3,FALSE)</f>
        <v>3</v>
      </c>
      <c r="J7382">
        <v>5</v>
      </c>
      <c r="K7382" t="s">
        <v>821</v>
      </c>
      <c r="L7382">
        <v>0</v>
      </c>
      <c r="M7382">
        <v>0</v>
      </c>
    </row>
    <row r="7383" spans="1:13">
      <c r="A7383" t="s">
        <v>2733</v>
      </c>
      <c r="B7383" t="s">
        <v>1760</v>
      </c>
      <c r="C7383" s="34" t="s">
        <v>1438</v>
      </c>
      <c r="F7383" t="s">
        <v>1438</v>
      </c>
      <c r="H7383">
        <v>15</v>
      </c>
      <c r="I7383">
        <f>VLOOKUP(B7383,BRAND!B:D,3,FALSE)</f>
        <v>3</v>
      </c>
      <c r="J7383">
        <v>4</v>
      </c>
      <c r="K7383" t="s">
        <v>821</v>
      </c>
      <c r="L7383">
        <v>0</v>
      </c>
      <c r="M7383">
        <v>0</v>
      </c>
    </row>
    <row r="7384" spans="1:13">
      <c r="A7384" t="s">
        <v>6920</v>
      </c>
      <c r="B7384" t="s">
        <v>6921</v>
      </c>
      <c r="C7384" s="34" t="s">
        <v>764</v>
      </c>
      <c r="F7384" t="s">
        <v>764</v>
      </c>
      <c r="H7384">
        <v>5</v>
      </c>
      <c r="I7384">
        <f>VLOOKUP(B7384,BRAND!B:D,3,FALSE)</f>
        <v>5</v>
      </c>
      <c r="J7384">
        <v>5</v>
      </c>
      <c r="M7384">
        <v>1</v>
      </c>
    </row>
    <row r="7385" spans="1:13">
      <c r="A7385" t="s">
        <v>11364</v>
      </c>
      <c r="B7385" t="s">
        <v>10893</v>
      </c>
      <c r="C7385" s="34" t="s">
        <v>777</v>
      </c>
      <c r="F7385" t="s">
        <v>777</v>
      </c>
      <c r="G7385" t="s">
        <v>6932</v>
      </c>
      <c r="H7385">
        <v>5</v>
      </c>
    </row>
    <row r="7386" spans="1:13">
      <c r="A7386" t="s">
        <v>11365</v>
      </c>
      <c r="B7386" t="s">
        <v>10893</v>
      </c>
      <c r="C7386" s="34" t="s">
        <v>561</v>
      </c>
      <c r="F7386" t="s">
        <v>561</v>
      </c>
      <c r="G7386" t="s">
        <v>6932</v>
      </c>
      <c r="H7386">
        <v>5</v>
      </c>
    </row>
    <row r="7387" spans="1:13">
      <c r="A7387" t="s">
        <v>11366</v>
      </c>
      <c r="B7387" t="s">
        <v>10893</v>
      </c>
      <c r="C7387" s="34" t="s">
        <v>11367</v>
      </c>
      <c r="F7387" t="s">
        <v>10958</v>
      </c>
      <c r="G7387" t="s">
        <v>6932</v>
      </c>
      <c r="H7387">
        <v>5</v>
      </c>
    </row>
    <row r="7388" spans="1:13">
      <c r="A7388" t="s">
        <v>11368</v>
      </c>
      <c r="B7388" t="s">
        <v>10893</v>
      </c>
      <c r="C7388" s="34" t="s">
        <v>794</v>
      </c>
      <c r="F7388" t="s">
        <v>794</v>
      </c>
      <c r="G7388" t="s">
        <v>6932</v>
      </c>
      <c r="H7388">
        <v>5</v>
      </c>
    </row>
    <row r="7389" spans="1:13">
      <c r="A7389" t="s">
        <v>11369</v>
      </c>
      <c r="B7389" t="s">
        <v>10893</v>
      </c>
      <c r="C7389" s="34" t="s">
        <v>819</v>
      </c>
      <c r="F7389" t="s">
        <v>819</v>
      </c>
      <c r="G7389" t="s">
        <v>6932</v>
      </c>
      <c r="H7389">
        <v>5</v>
      </c>
    </row>
    <row r="7390" spans="1:13">
      <c r="A7390" t="s">
        <v>11370</v>
      </c>
      <c r="B7390" t="s">
        <v>10893</v>
      </c>
      <c r="C7390" s="34" t="s">
        <v>745</v>
      </c>
      <c r="F7390" t="s">
        <v>745</v>
      </c>
      <c r="G7390" t="s">
        <v>6932</v>
      </c>
      <c r="H7390">
        <v>5</v>
      </c>
    </row>
    <row r="7391" spans="1:13">
      <c r="A7391" t="s">
        <v>11371</v>
      </c>
      <c r="B7391" t="s">
        <v>10893</v>
      </c>
      <c r="C7391" s="34" t="s">
        <v>930</v>
      </c>
      <c r="F7391" t="s">
        <v>930</v>
      </c>
      <c r="G7391" t="s">
        <v>6932</v>
      </c>
      <c r="H7391">
        <v>5</v>
      </c>
    </row>
    <row r="7392" spans="1:13">
      <c r="A7392" t="s">
        <v>11372</v>
      </c>
      <c r="B7392" t="s">
        <v>10893</v>
      </c>
      <c r="C7392" s="34" t="s">
        <v>742</v>
      </c>
      <c r="F7392" t="s">
        <v>742</v>
      </c>
      <c r="G7392" t="s">
        <v>6932</v>
      </c>
      <c r="H7392">
        <v>5</v>
      </c>
    </row>
    <row r="7393" spans="1:8">
      <c r="A7393" t="s">
        <v>11373</v>
      </c>
      <c r="B7393" t="s">
        <v>10893</v>
      </c>
      <c r="C7393" s="34" t="s">
        <v>10959</v>
      </c>
      <c r="F7393" t="s">
        <v>10959</v>
      </c>
      <c r="G7393" t="s">
        <v>6932</v>
      </c>
      <c r="H7393">
        <v>5</v>
      </c>
    </row>
    <row r="7394" spans="1:8">
      <c r="A7394" t="s">
        <v>11374</v>
      </c>
      <c r="B7394" t="s">
        <v>10893</v>
      </c>
      <c r="C7394" s="34" t="s">
        <v>769</v>
      </c>
      <c r="F7394" t="s">
        <v>769</v>
      </c>
      <c r="G7394" t="s">
        <v>6932</v>
      </c>
      <c r="H7394">
        <v>5</v>
      </c>
    </row>
    <row r="7395" spans="1:8">
      <c r="A7395" t="s">
        <v>11375</v>
      </c>
      <c r="B7395" t="s">
        <v>10893</v>
      </c>
      <c r="C7395" s="34" t="s">
        <v>10960</v>
      </c>
      <c r="F7395" t="s">
        <v>10960</v>
      </c>
      <c r="G7395" t="s">
        <v>6932</v>
      </c>
      <c r="H7395">
        <v>5</v>
      </c>
    </row>
    <row r="7396" spans="1:8">
      <c r="A7396" t="s">
        <v>11376</v>
      </c>
      <c r="B7396" t="s">
        <v>10893</v>
      </c>
      <c r="C7396" s="34" t="s">
        <v>10961</v>
      </c>
      <c r="F7396" t="s">
        <v>10961</v>
      </c>
      <c r="G7396" t="s">
        <v>6932</v>
      </c>
      <c r="H7396">
        <v>5</v>
      </c>
    </row>
    <row r="7397" spans="1:8">
      <c r="A7397" t="s">
        <v>11377</v>
      </c>
      <c r="B7397" t="s">
        <v>10893</v>
      </c>
      <c r="C7397" s="34" t="s">
        <v>742</v>
      </c>
      <c r="F7397" t="s">
        <v>742</v>
      </c>
      <c r="G7397" t="s">
        <v>801</v>
      </c>
      <c r="H7397">
        <v>5</v>
      </c>
    </row>
    <row r="7398" spans="1:8">
      <c r="A7398" t="s">
        <v>11378</v>
      </c>
      <c r="B7398" t="s">
        <v>10893</v>
      </c>
      <c r="C7398" s="34" t="s">
        <v>900</v>
      </c>
      <c r="F7398" t="s">
        <v>900</v>
      </c>
      <c r="G7398" t="s">
        <v>801</v>
      </c>
      <c r="H7398">
        <v>5</v>
      </c>
    </row>
    <row r="7399" spans="1:8">
      <c r="A7399" t="s">
        <v>11379</v>
      </c>
      <c r="B7399" t="s">
        <v>10893</v>
      </c>
      <c r="C7399" s="34" t="s">
        <v>10962</v>
      </c>
      <c r="F7399" t="s">
        <v>10962</v>
      </c>
      <c r="G7399" t="s">
        <v>801</v>
      </c>
      <c r="H7399">
        <v>5</v>
      </c>
    </row>
    <row r="7400" spans="1:8">
      <c r="A7400" t="s">
        <v>11380</v>
      </c>
      <c r="B7400" t="s">
        <v>10893</v>
      </c>
      <c r="C7400" s="34" t="s">
        <v>766</v>
      </c>
      <c r="F7400" t="s">
        <v>766</v>
      </c>
      <c r="G7400" t="s">
        <v>6932</v>
      </c>
      <c r="H7400">
        <v>5</v>
      </c>
    </row>
    <row r="7401" spans="1:8">
      <c r="A7401" t="s">
        <v>11381</v>
      </c>
      <c r="B7401" t="s">
        <v>10893</v>
      </c>
      <c r="C7401" s="34" t="s">
        <v>6924</v>
      </c>
      <c r="F7401" t="s">
        <v>6924</v>
      </c>
      <c r="G7401" t="s">
        <v>7515</v>
      </c>
      <c r="H7401">
        <v>5</v>
      </c>
    </row>
    <row r="7402" spans="1:8">
      <c r="A7402" t="s">
        <v>11382</v>
      </c>
      <c r="B7402" t="s">
        <v>10893</v>
      </c>
      <c r="C7402" s="34" t="s">
        <v>1019</v>
      </c>
      <c r="F7402" t="s">
        <v>1019</v>
      </c>
      <c r="H7402">
        <v>5</v>
      </c>
    </row>
    <row r="7403" spans="1:8">
      <c r="A7403" t="s">
        <v>11383</v>
      </c>
      <c r="B7403" t="s">
        <v>10893</v>
      </c>
      <c r="C7403" s="34" t="s">
        <v>795</v>
      </c>
      <c r="F7403" t="s">
        <v>795</v>
      </c>
      <c r="H7403">
        <v>5</v>
      </c>
    </row>
    <row r="7404" spans="1:8">
      <c r="A7404" t="s">
        <v>11384</v>
      </c>
      <c r="B7404" t="s">
        <v>10893</v>
      </c>
      <c r="C7404" s="34" t="s">
        <v>1965</v>
      </c>
      <c r="F7404" t="s">
        <v>1965</v>
      </c>
      <c r="H7404">
        <v>5</v>
      </c>
    </row>
    <row r="7405" spans="1:8">
      <c r="A7405" t="s">
        <v>11385</v>
      </c>
      <c r="B7405" t="s">
        <v>10893</v>
      </c>
      <c r="C7405" s="34" t="s">
        <v>10963</v>
      </c>
      <c r="F7405" t="s">
        <v>10963</v>
      </c>
      <c r="H7405">
        <v>5</v>
      </c>
    </row>
    <row r="7406" spans="1:8">
      <c r="A7406" t="s">
        <v>12074</v>
      </c>
      <c r="B7406" t="s">
        <v>10893</v>
      </c>
      <c r="C7406" s="34" t="s">
        <v>12075</v>
      </c>
      <c r="F7406" t="s">
        <v>12076</v>
      </c>
      <c r="G7406" t="s">
        <v>6932</v>
      </c>
      <c r="H7406">
        <v>5</v>
      </c>
    </row>
    <row r="7407" spans="1:8">
      <c r="A7407" t="s">
        <v>12077</v>
      </c>
      <c r="B7407" t="s">
        <v>10893</v>
      </c>
      <c r="C7407" s="34" t="s">
        <v>12078</v>
      </c>
      <c r="F7407" t="s">
        <v>12079</v>
      </c>
      <c r="G7407" t="s">
        <v>6932</v>
      </c>
      <c r="H7407">
        <v>5</v>
      </c>
    </row>
    <row r="7408" spans="1:8">
      <c r="A7408" t="s">
        <v>12080</v>
      </c>
      <c r="B7408" t="s">
        <v>10893</v>
      </c>
      <c r="C7408" s="34" t="s">
        <v>12081</v>
      </c>
      <c r="F7408" t="s">
        <v>12082</v>
      </c>
      <c r="G7408" t="s">
        <v>6932</v>
      </c>
      <c r="H7408">
        <v>5</v>
      </c>
    </row>
    <row r="7409" spans="1:13">
      <c r="A7409" t="s">
        <v>12083</v>
      </c>
      <c r="B7409" t="s">
        <v>10893</v>
      </c>
      <c r="C7409" s="34" t="s">
        <v>12084</v>
      </c>
      <c r="F7409" t="s">
        <v>12084</v>
      </c>
      <c r="G7409" t="s">
        <v>6932</v>
      </c>
      <c r="H7409">
        <v>5</v>
      </c>
    </row>
    <row r="7410" spans="1:13">
      <c r="A7410" t="s">
        <v>12085</v>
      </c>
      <c r="B7410" t="s">
        <v>10893</v>
      </c>
      <c r="C7410" s="34" t="s">
        <v>12086</v>
      </c>
      <c r="F7410" t="s">
        <v>12086</v>
      </c>
      <c r="G7410" t="s">
        <v>6932</v>
      </c>
      <c r="H7410">
        <v>5</v>
      </c>
    </row>
    <row r="7411" spans="1:13">
      <c r="A7411" t="s">
        <v>12087</v>
      </c>
      <c r="B7411" t="s">
        <v>10893</v>
      </c>
      <c r="C7411" s="34" t="s">
        <v>6948</v>
      </c>
      <c r="F7411" t="s">
        <v>12088</v>
      </c>
      <c r="G7411" t="s">
        <v>6932</v>
      </c>
      <c r="H7411">
        <v>5</v>
      </c>
    </row>
    <row r="7412" spans="1:13">
      <c r="A7412" t="s">
        <v>12089</v>
      </c>
      <c r="B7412" t="s">
        <v>10893</v>
      </c>
      <c r="C7412" s="34" t="s">
        <v>774</v>
      </c>
      <c r="F7412" t="s">
        <v>12090</v>
      </c>
      <c r="G7412" t="s">
        <v>6932</v>
      </c>
      <c r="H7412">
        <v>5</v>
      </c>
    </row>
    <row r="7413" spans="1:13">
      <c r="A7413" t="s">
        <v>9300</v>
      </c>
      <c r="B7413" t="s">
        <v>168</v>
      </c>
      <c r="C7413" s="34" t="s">
        <v>534</v>
      </c>
      <c r="F7413" t="s">
        <v>534</v>
      </c>
      <c r="G7413" t="s">
        <v>6932</v>
      </c>
      <c r="H7413">
        <v>5</v>
      </c>
      <c r="I7413">
        <f>VLOOKUP(B7413,BRAND!B:D,3,FALSE)</f>
        <v>5.5</v>
      </c>
      <c r="J7413">
        <v>6</v>
      </c>
      <c r="L7413">
        <v>0</v>
      </c>
      <c r="M7413">
        <v>0</v>
      </c>
    </row>
    <row r="7414" spans="1:13">
      <c r="A7414" t="s">
        <v>9302</v>
      </c>
      <c r="B7414" t="s">
        <v>168</v>
      </c>
      <c r="C7414" s="34" t="s">
        <v>9303</v>
      </c>
      <c r="F7414" t="s">
        <v>9303</v>
      </c>
      <c r="G7414" t="s">
        <v>6932</v>
      </c>
      <c r="H7414">
        <v>5</v>
      </c>
      <c r="I7414">
        <f>VLOOKUP(B7414,BRAND!B:D,3,FALSE)</f>
        <v>5.5</v>
      </c>
      <c r="J7414">
        <v>6</v>
      </c>
      <c r="M7414">
        <v>1</v>
      </c>
    </row>
    <row r="7415" spans="1:13">
      <c r="A7415" t="s">
        <v>9304</v>
      </c>
      <c r="B7415" t="s">
        <v>168</v>
      </c>
      <c r="C7415" s="34" t="s">
        <v>9305</v>
      </c>
      <c r="F7415" t="s">
        <v>9305</v>
      </c>
      <c r="G7415" t="s">
        <v>6932</v>
      </c>
      <c r="H7415">
        <v>5</v>
      </c>
      <c r="I7415">
        <f>VLOOKUP(B7415,BRAND!B:D,3,FALSE)</f>
        <v>5.5</v>
      </c>
      <c r="J7415">
        <v>4</v>
      </c>
      <c r="M7415">
        <v>1</v>
      </c>
    </row>
    <row r="7416" spans="1:13">
      <c r="A7416" t="s">
        <v>9301</v>
      </c>
      <c r="B7416" t="s">
        <v>168</v>
      </c>
      <c r="C7416" s="34" t="s">
        <v>1992</v>
      </c>
      <c r="F7416" t="s">
        <v>1992</v>
      </c>
      <c r="G7416" t="s">
        <v>6932</v>
      </c>
      <c r="H7416">
        <v>5</v>
      </c>
      <c r="I7416">
        <f>VLOOKUP(B7416,BRAND!B:D,3,FALSE)</f>
        <v>5.5</v>
      </c>
      <c r="J7416">
        <v>3</v>
      </c>
      <c r="M7416">
        <v>1</v>
      </c>
    </row>
    <row r="7417" spans="1:13">
      <c r="A7417" t="s">
        <v>9857</v>
      </c>
      <c r="B7417" t="s">
        <v>168</v>
      </c>
      <c r="C7417" s="34" t="s">
        <v>6364</v>
      </c>
      <c r="H7417">
        <v>5</v>
      </c>
      <c r="I7417">
        <f>VLOOKUP(B7417,BRAND!B:D,3,FALSE)</f>
        <v>5.5</v>
      </c>
      <c r="J7417">
        <f>LEN(F7417)</f>
        <v>0</v>
      </c>
      <c r="L7417">
        <v>0</v>
      </c>
      <c r="M7417">
        <v>0</v>
      </c>
    </row>
    <row r="7418" spans="1:13">
      <c r="A7418" t="s">
        <v>9857</v>
      </c>
      <c r="B7418" t="s">
        <v>168</v>
      </c>
      <c r="C7418" s="34" t="s">
        <v>6364</v>
      </c>
      <c r="H7418">
        <v>5</v>
      </c>
      <c r="I7418">
        <f>VLOOKUP(B7418,BRAND!B:D,3,FALSE)</f>
        <v>5.5</v>
      </c>
      <c r="J7418">
        <v>0</v>
      </c>
      <c r="M7418">
        <v>1</v>
      </c>
    </row>
    <row r="7419" spans="1:13">
      <c r="A7419" t="s">
        <v>9306</v>
      </c>
      <c r="B7419" t="s">
        <v>9307</v>
      </c>
      <c r="C7419" s="34" t="s">
        <v>1438</v>
      </c>
      <c r="F7419" t="s">
        <v>1438</v>
      </c>
      <c r="G7419" t="s">
        <v>6932</v>
      </c>
      <c r="H7419">
        <v>5</v>
      </c>
      <c r="I7419">
        <f>VLOOKUP(B7419,BRAND!B:D,3,FALSE)</f>
        <v>5.5</v>
      </c>
      <c r="J7419">
        <v>4</v>
      </c>
      <c r="M7419">
        <v>1</v>
      </c>
    </row>
    <row r="7420" spans="1:13">
      <c r="A7420" t="s">
        <v>3562</v>
      </c>
      <c r="B7420" t="s">
        <v>1125</v>
      </c>
      <c r="C7420" s="34" t="s">
        <v>855</v>
      </c>
      <c r="F7420" t="s">
        <v>855</v>
      </c>
      <c r="H7420">
        <v>4</v>
      </c>
      <c r="I7420">
        <f>VLOOKUP(B7420,BRAND!B:D,3,FALSE)</f>
        <v>3</v>
      </c>
      <c r="J7420">
        <f>LEN(F7420)</f>
        <v>11</v>
      </c>
      <c r="K7420" t="s">
        <v>821</v>
      </c>
      <c r="L7420">
        <v>0</v>
      </c>
      <c r="M7420">
        <v>0</v>
      </c>
    </row>
    <row r="7421" spans="1:13">
      <c r="A7421" t="s">
        <v>3025</v>
      </c>
      <c r="B7421" t="s">
        <v>1125</v>
      </c>
      <c r="C7421" s="34" t="s">
        <v>774</v>
      </c>
      <c r="F7421" t="s">
        <v>774</v>
      </c>
      <c r="H7421">
        <v>5</v>
      </c>
      <c r="I7421">
        <f>VLOOKUP(B7421,BRAND!B:D,3,FALSE)</f>
        <v>3</v>
      </c>
      <c r="J7421">
        <v>9</v>
      </c>
      <c r="K7421" t="s">
        <v>821</v>
      </c>
      <c r="L7421">
        <v>0</v>
      </c>
      <c r="M7421">
        <v>0</v>
      </c>
    </row>
    <row r="7422" spans="1:13">
      <c r="A7422" t="s">
        <v>9858</v>
      </c>
      <c r="B7422" t="s">
        <v>1125</v>
      </c>
      <c r="C7422" s="34" t="s">
        <v>6596</v>
      </c>
      <c r="F7422" t="s">
        <v>6596</v>
      </c>
      <c r="H7422">
        <v>5</v>
      </c>
      <c r="I7422">
        <f>VLOOKUP(B7422,BRAND!B:D,3,FALSE)</f>
        <v>3</v>
      </c>
      <c r="J7422">
        <v>8</v>
      </c>
      <c r="M7422">
        <v>1</v>
      </c>
    </row>
    <row r="7423" spans="1:13">
      <c r="A7423" t="s">
        <v>3379</v>
      </c>
      <c r="B7423" t="s">
        <v>1125</v>
      </c>
      <c r="C7423" s="34" t="s">
        <v>534</v>
      </c>
      <c r="F7423" t="s">
        <v>534</v>
      </c>
      <c r="H7423">
        <v>5</v>
      </c>
      <c r="I7423">
        <f>VLOOKUP(B7423,BRAND!B:D,3,FALSE)</f>
        <v>3</v>
      </c>
      <c r="J7423">
        <v>6</v>
      </c>
      <c r="K7423" t="s">
        <v>821</v>
      </c>
      <c r="M7423">
        <v>1</v>
      </c>
    </row>
    <row r="7424" spans="1:13">
      <c r="A7424" t="s">
        <v>4638</v>
      </c>
      <c r="B7424" t="s">
        <v>1125</v>
      </c>
      <c r="C7424" s="34" t="s">
        <v>1992</v>
      </c>
      <c r="F7424" t="s">
        <v>1992</v>
      </c>
      <c r="H7424">
        <v>5</v>
      </c>
      <c r="I7424">
        <f>VLOOKUP(B7424,BRAND!B:D,3,FALSE)</f>
        <v>3</v>
      </c>
      <c r="J7424">
        <v>3</v>
      </c>
      <c r="K7424" t="s">
        <v>821</v>
      </c>
      <c r="L7424">
        <v>0</v>
      </c>
      <c r="M7424">
        <v>0</v>
      </c>
    </row>
    <row r="7425" spans="1:13">
      <c r="A7425" t="s">
        <v>4947</v>
      </c>
      <c r="B7425" t="s">
        <v>1125</v>
      </c>
      <c r="C7425" s="34" t="s">
        <v>1438</v>
      </c>
      <c r="F7425" t="s">
        <v>1438</v>
      </c>
      <c r="G7425" t="s">
        <v>801</v>
      </c>
      <c r="H7425">
        <v>6</v>
      </c>
      <c r="I7425">
        <f>VLOOKUP(B7425,BRAND!B:D,3,FALSE)</f>
        <v>3</v>
      </c>
      <c r="J7425">
        <v>4</v>
      </c>
      <c r="K7425" t="s">
        <v>821</v>
      </c>
      <c r="L7425">
        <v>0</v>
      </c>
      <c r="M7425">
        <v>0</v>
      </c>
    </row>
    <row r="7426" spans="1:13">
      <c r="A7426" t="s">
        <v>2382</v>
      </c>
      <c r="B7426" t="s">
        <v>1125</v>
      </c>
      <c r="C7426" s="34" t="s">
        <v>1438</v>
      </c>
      <c r="F7426" t="s">
        <v>1438</v>
      </c>
      <c r="H7426">
        <v>15</v>
      </c>
      <c r="I7426">
        <f>VLOOKUP(B7426,BRAND!B:D,3,FALSE)</f>
        <v>3</v>
      </c>
      <c r="J7426">
        <v>4</v>
      </c>
      <c r="K7426" t="s">
        <v>821</v>
      </c>
      <c r="L7426">
        <v>0</v>
      </c>
      <c r="M7426">
        <v>0</v>
      </c>
    </row>
    <row r="7427" spans="1:13">
      <c r="A7427" t="s">
        <v>11492</v>
      </c>
      <c r="B7427" t="s">
        <v>10914</v>
      </c>
      <c r="C7427" s="34" t="s">
        <v>6492</v>
      </c>
      <c r="F7427" t="s">
        <v>777</v>
      </c>
      <c r="G7427" t="s">
        <v>6932</v>
      </c>
      <c r="H7427">
        <v>5</v>
      </c>
    </row>
    <row r="7428" spans="1:13">
      <c r="A7428" t="s">
        <v>11493</v>
      </c>
      <c r="B7428" t="s">
        <v>10914</v>
      </c>
      <c r="C7428" s="34" t="s">
        <v>742</v>
      </c>
      <c r="F7428" t="s">
        <v>742</v>
      </c>
      <c r="G7428" t="s">
        <v>6932</v>
      </c>
      <c r="H7428">
        <v>5</v>
      </c>
    </row>
    <row r="7429" spans="1:13">
      <c r="A7429" t="s">
        <v>11494</v>
      </c>
      <c r="B7429" t="s">
        <v>10914</v>
      </c>
      <c r="C7429" s="34" t="s">
        <v>536</v>
      </c>
      <c r="F7429" t="s">
        <v>536</v>
      </c>
      <c r="G7429" t="s">
        <v>6932</v>
      </c>
      <c r="H7429">
        <v>5</v>
      </c>
    </row>
    <row r="7430" spans="1:13">
      <c r="A7430" t="s">
        <v>11495</v>
      </c>
      <c r="B7430" t="s">
        <v>10914</v>
      </c>
      <c r="C7430" s="34" t="s">
        <v>6492</v>
      </c>
      <c r="F7430" t="s">
        <v>777</v>
      </c>
      <c r="G7430" t="s">
        <v>801</v>
      </c>
      <c r="H7430">
        <v>5</v>
      </c>
    </row>
    <row r="7431" spans="1:13">
      <c r="A7431" t="s">
        <v>2046</v>
      </c>
      <c r="B7431" t="s">
        <v>1084</v>
      </c>
      <c r="C7431" s="34" t="s">
        <v>1438</v>
      </c>
      <c r="F7431" t="s">
        <v>1438</v>
      </c>
      <c r="H7431">
        <v>15</v>
      </c>
      <c r="I7431">
        <f>VLOOKUP(B7431,BRAND!B:D,3,FALSE)</f>
        <v>3</v>
      </c>
      <c r="J7431">
        <v>4</v>
      </c>
      <c r="K7431" t="s">
        <v>821</v>
      </c>
      <c r="L7431">
        <v>0</v>
      </c>
      <c r="M7431">
        <v>0</v>
      </c>
    </row>
    <row r="7432" spans="1:13">
      <c r="A7432" t="s">
        <v>1618</v>
      </c>
      <c r="B7432" t="s">
        <v>169</v>
      </c>
      <c r="C7432" s="34" t="s">
        <v>1469</v>
      </c>
      <c r="F7432" t="s">
        <v>1469</v>
      </c>
      <c r="H7432">
        <v>3</v>
      </c>
      <c r="I7432">
        <f>VLOOKUP(B7432,BRAND!B:D,3,FALSE)</f>
        <v>3</v>
      </c>
      <c r="J7432">
        <f>LEN(F7432)</f>
        <v>12</v>
      </c>
      <c r="K7432" t="s">
        <v>1420</v>
      </c>
      <c r="M7432">
        <v>1</v>
      </c>
    </row>
    <row r="7433" spans="1:13">
      <c r="A7433" t="s">
        <v>10110</v>
      </c>
      <c r="B7433" t="s">
        <v>169</v>
      </c>
      <c r="C7433" s="34" t="s">
        <v>79</v>
      </c>
      <c r="F7433" t="s">
        <v>79</v>
      </c>
      <c r="H7433">
        <v>3</v>
      </c>
      <c r="I7433">
        <f>VLOOKUP(B7433,BRAND!B:D,3,FALSE)</f>
        <v>3</v>
      </c>
      <c r="J7433">
        <f>LEN(F7433)</f>
        <v>11</v>
      </c>
      <c r="K7433" t="s">
        <v>1420</v>
      </c>
      <c r="L7433">
        <v>0</v>
      </c>
      <c r="M7433">
        <v>0</v>
      </c>
    </row>
    <row r="7434" spans="1:13">
      <c r="A7434" t="s">
        <v>5455</v>
      </c>
      <c r="B7434" t="s">
        <v>169</v>
      </c>
      <c r="C7434" s="34" t="s">
        <v>5456</v>
      </c>
      <c r="F7434" t="s">
        <v>5454</v>
      </c>
      <c r="H7434">
        <v>3</v>
      </c>
      <c r="I7434">
        <f>VLOOKUP(B7434,BRAND!B:D,3,FALSE)</f>
        <v>3</v>
      </c>
      <c r="J7434">
        <v>6</v>
      </c>
      <c r="K7434" t="s">
        <v>1420</v>
      </c>
      <c r="M7434">
        <v>1</v>
      </c>
    </row>
    <row r="7435" spans="1:13">
      <c r="A7435" t="s">
        <v>10570</v>
      </c>
      <c r="B7435" t="s">
        <v>169</v>
      </c>
      <c r="C7435" s="34" t="s">
        <v>1476</v>
      </c>
      <c r="F7435" t="s">
        <v>1476</v>
      </c>
      <c r="G7435" t="s">
        <v>6932</v>
      </c>
      <c r="H7435">
        <v>5</v>
      </c>
      <c r="I7435">
        <f>VLOOKUP(B7435,BRAND!B:D,3,FALSE)</f>
        <v>3</v>
      </c>
      <c r="J7435">
        <f>LEN(F7435)</f>
        <v>11</v>
      </c>
      <c r="L7435">
        <v>0</v>
      </c>
    </row>
    <row r="7436" spans="1:13">
      <c r="A7436" t="s">
        <v>4569</v>
      </c>
      <c r="B7436" t="s">
        <v>169</v>
      </c>
      <c r="C7436" s="34" t="s">
        <v>798</v>
      </c>
      <c r="F7436" t="s">
        <v>798</v>
      </c>
      <c r="H7436">
        <v>5</v>
      </c>
      <c r="I7436">
        <f>VLOOKUP(B7436,BRAND!B:D,3,FALSE)</f>
        <v>3</v>
      </c>
      <c r="J7436">
        <v>9</v>
      </c>
      <c r="K7436" t="s">
        <v>1420</v>
      </c>
      <c r="M7436">
        <v>1</v>
      </c>
    </row>
    <row r="7437" spans="1:13">
      <c r="A7437" t="s">
        <v>1581</v>
      </c>
      <c r="B7437" t="s">
        <v>169</v>
      </c>
      <c r="C7437" s="34" t="s">
        <v>942</v>
      </c>
      <c r="F7437" t="s">
        <v>942</v>
      </c>
      <c r="H7437">
        <v>5</v>
      </c>
      <c r="I7437">
        <f>VLOOKUP(B7437,BRAND!B:D,3,FALSE)</f>
        <v>3</v>
      </c>
      <c r="J7437">
        <v>8</v>
      </c>
      <c r="K7437" t="s">
        <v>1420</v>
      </c>
      <c r="M7437">
        <v>1</v>
      </c>
    </row>
    <row r="7438" spans="1:13">
      <c r="A7438" t="s">
        <v>4413</v>
      </c>
      <c r="B7438" t="s">
        <v>169</v>
      </c>
      <c r="C7438" s="34" t="s">
        <v>1085</v>
      </c>
      <c r="F7438" t="s">
        <v>1085</v>
      </c>
      <c r="H7438">
        <v>5</v>
      </c>
      <c r="I7438">
        <f>VLOOKUP(B7438,BRAND!B:D,3,FALSE)</f>
        <v>3</v>
      </c>
      <c r="J7438">
        <v>8</v>
      </c>
      <c r="K7438" t="s">
        <v>1420</v>
      </c>
      <c r="M7438">
        <v>1</v>
      </c>
    </row>
    <row r="7439" spans="1:13">
      <c r="A7439" t="s">
        <v>10569</v>
      </c>
      <c r="B7439" t="s">
        <v>169</v>
      </c>
      <c r="C7439" s="34" t="s">
        <v>1493</v>
      </c>
      <c r="F7439" t="s">
        <v>1493</v>
      </c>
      <c r="G7439" t="s">
        <v>6932</v>
      </c>
      <c r="H7439">
        <v>5</v>
      </c>
      <c r="I7439">
        <f>VLOOKUP(B7439,BRAND!B:D,3,FALSE)</f>
        <v>3</v>
      </c>
      <c r="J7439">
        <f>LEN(F7439)</f>
        <v>7</v>
      </c>
      <c r="L7439">
        <v>0</v>
      </c>
    </row>
    <row r="7440" spans="1:13">
      <c r="A7440" t="s">
        <v>1554</v>
      </c>
      <c r="B7440" t="s">
        <v>169</v>
      </c>
      <c r="C7440" s="34" t="s">
        <v>1493</v>
      </c>
      <c r="F7440" t="s">
        <v>1493</v>
      </c>
      <c r="H7440">
        <v>5</v>
      </c>
      <c r="I7440">
        <f>VLOOKUP(B7440,BRAND!B:D,3,FALSE)</f>
        <v>3</v>
      </c>
      <c r="J7440">
        <v>7</v>
      </c>
      <c r="K7440" t="s">
        <v>1420</v>
      </c>
      <c r="M7440">
        <v>1</v>
      </c>
    </row>
    <row r="7441" spans="1:13">
      <c r="A7441" t="s">
        <v>5453</v>
      </c>
      <c r="B7441" t="s">
        <v>169</v>
      </c>
      <c r="C7441" s="34" t="s">
        <v>898</v>
      </c>
      <c r="F7441" t="s">
        <v>898</v>
      </c>
      <c r="H7441">
        <v>5</v>
      </c>
      <c r="I7441">
        <f>VLOOKUP(B7441,BRAND!B:D,3,FALSE)</f>
        <v>3</v>
      </c>
      <c r="J7441">
        <v>6</v>
      </c>
      <c r="K7441" t="s">
        <v>1420</v>
      </c>
      <c r="M7441">
        <v>1</v>
      </c>
    </row>
    <row r="7442" spans="1:13">
      <c r="A7442" t="s">
        <v>5054</v>
      </c>
      <c r="B7442" t="s">
        <v>169</v>
      </c>
      <c r="C7442" s="34" t="s">
        <v>129</v>
      </c>
      <c r="F7442" t="s">
        <v>129</v>
      </c>
      <c r="H7442">
        <v>5</v>
      </c>
      <c r="I7442">
        <f>VLOOKUP(B7442,BRAND!B:D,3,FALSE)</f>
        <v>3</v>
      </c>
      <c r="J7442">
        <v>6</v>
      </c>
      <c r="K7442" t="s">
        <v>1420</v>
      </c>
      <c r="M7442">
        <v>1</v>
      </c>
    </row>
    <row r="7443" spans="1:13">
      <c r="A7443" t="s">
        <v>1672</v>
      </c>
      <c r="B7443" t="s">
        <v>169</v>
      </c>
      <c r="C7443" s="34" t="s">
        <v>1508</v>
      </c>
      <c r="F7443" t="s">
        <v>1508</v>
      </c>
      <c r="H7443">
        <v>5</v>
      </c>
      <c r="I7443">
        <f>VLOOKUP(B7443,BRAND!B:D,3,FALSE)</f>
        <v>3</v>
      </c>
      <c r="J7443">
        <v>6</v>
      </c>
      <c r="K7443" t="s">
        <v>1420</v>
      </c>
      <c r="M7443">
        <v>1</v>
      </c>
    </row>
    <row r="7444" spans="1:13">
      <c r="A7444" t="s">
        <v>1598</v>
      </c>
      <c r="B7444" t="s">
        <v>169</v>
      </c>
      <c r="C7444" s="34" t="s">
        <v>1513</v>
      </c>
      <c r="F7444" t="s">
        <v>1513</v>
      </c>
      <c r="H7444">
        <v>5</v>
      </c>
      <c r="I7444">
        <f>VLOOKUP(B7444,BRAND!B:D,3,FALSE)</f>
        <v>3</v>
      </c>
      <c r="J7444">
        <v>5</v>
      </c>
      <c r="K7444" t="s">
        <v>1420</v>
      </c>
      <c r="M7444">
        <v>1</v>
      </c>
    </row>
    <row r="7445" spans="1:13">
      <c r="A7445" t="s">
        <v>5452</v>
      </c>
      <c r="B7445" t="s">
        <v>169</v>
      </c>
      <c r="C7445" s="34" t="s">
        <v>1979</v>
      </c>
      <c r="F7445" t="s">
        <v>1979</v>
      </c>
      <c r="H7445">
        <v>5</v>
      </c>
      <c r="I7445">
        <f>VLOOKUP(B7445,BRAND!B:D,3,FALSE)</f>
        <v>3</v>
      </c>
      <c r="J7445">
        <v>5</v>
      </c>
      <c r="K7445" t="s">
        <v>1420</v>
      </c>
      <c r="M7445">
        <v>1</v>
      </c>
    </row>
    <row r="7446" spans="1:13">
      <c r="A7446" t="s">
        <v>5450</v>
      </c>
      <c r="B7446" t="s">
        <v>169</v>
      </c>
      <c r="C7446" s="34" t="s">
        <v>867</v>
      </c>
      <c r="F7446" t="s">
        <v>867</v>
      </c>
      <c r="H7446">
        <v>5</v>
      </c>
      <c r="I7446">
        <f>VLOOKUP(B7446,BRAND!B:D,3,FALSE)</f>
        <v>3</v>
      </c>
      <c r="J7446">
        <v>4</v>
      </c>
      <c r="K7446" t="s">
        <v>1420</v>
      </c>
      <c r="M7446">
        <v>1</v>
      </c>
    </row>
    <row r="7447" spans="1:13">
      <c r="A7447" t="s">
        <v>10153</v>
      </c>
      <c r="B7447" t="s">
        <v>169</v>
      </c>
      <c r="C7447" s="34" t="s">
        <v>995</v>
      </c>
      <c r="F7447" t="s">
        <v>995</v>
      </c>
      <c r="H7447">
        <v>5</v>
      </c>
      <c r="I7447">
        <f>VLOOKUP(B7447,BRAND!B:D,3,FALSE)</f>
        <v>3</v>
      </c>
      <c r="J7447">
        <v>3</v>
      </c>
      <c r="L7447">
        <v>1</v>
      </c>
      <c r="M7447">
        <v>1</v>
      </c>
    </row>
    <row r="7448" spans="1:13">
      <c r="A7448" t="s">
        <v>4903</v>
      </c>
      <c r="B7448" t="s">
        <v>169</v>
      </c>
      <c r="C7448" s="34" t="s">
        <v>5458</v>
      </c>
      <c r="F7448" t="s">
        <v>1493</v>
      </c>
      <c r="G7448" t="s">
        <v>801</v>
      </c>
      <c r="H7448">
        <v>6</v>
      </c>
      <c r="I7448">
        <f>VLOOKUP(B7448,BRAND!B:D,3,FALSE)</f>
        <v>3</v>
      </c>
      <c r="J7448">
        <v>7</v>
      </c>
      <c r="K7448" t="s">
        <v>1420</v>
      </c>
      <c r="M7448">
        <v>1</v>
      </c>
    </row>
    <row r="7449" spans="1:13">
      <c r="A7449" t="s">
        <v>5449</v>
      </c>
      <c r="B7449" t="s">
        <v>169</v>
      </c>
      <c r="C7449" s="34" t="s">
        <v>129</v>
      </c>
      <c r="F7449" t="s">
        <v>129</v>
      </c>
      <c r="G7449" t="s">
        <v>801</v>
      </c>
      <c r="H7449">
        <v>6</v>
      </c>
      <c r="I7449">
        <f>VLOOKUP(B7449,BRAND!B:D,3,FALSE)</f>
        <v>3</v>
      </c>
      <c r="J7449">
        <v>6</v>
      </c>
      <c r="K7449" t="s">
        <v>1420</v>
      </c>
      <c r="M7449">
        <v>1</v>
      </c>
    </row>
    <row r="7450" spans="1:13">
      <c r="A7450" t="s">
        <v>4916</v>
      </c>
      <c r="B7450" t="s">
        <v>169</v>
      </c>
      <c r="C7450" s="34" t="s">
        <v>1508</v>
      </c>
      <c r="F7450" t="s">
        <v>1508</v>
      </c>
      <c r="G7450" t="s">
        <v>801</v>
      </c>
      <c r="H7450">
        <v>6</v>
      </c>
      <c r="I7450">
        <f>VLOOKUP(B7450,BRAND!B:D,3,FALSE)</f>
        <v>3</v>
      </c>
      <c r="J7450">
        <v>6</v>
      </c>
      <c r="K7450" t="s">
        <v>1420</v>
      </c>
      <c r="M7450">
        <v>1</v>
      </c>
    </row>
    <row r="7451" spans="1:13">
      <c r="A7451" t="s">
        <v>5448</v>
      </c>
      <c r="B7451" t="s">
        <v>169</v>
      </c>
      <c r="C7451" s="34" t="s">
        <v>1513</v>
      </c>
      <c r="F7451" t="s">
        <v>1513</v>
      </c>
      <c r="G7451" t="s">
        <v>801</v>
      </c>
      <c r="H7451">
        <v>6</v>
      </c>
      <c r="I7451">
        <f>VLOOKUP(B7451,BRAND!B:D,3,FALSE)</f>
        <v>3</v>
      </c>
      <c r="J7451">
        <v>5</v>
      </c>
      <c r="K7451" t="s">
        <v>1420</v>
      </c>
      <c r="M7451">
        <v>1</v>
      </c>
    </row>
    <row r="7452" spans="1:13">
      <c r="A7452" t="s">
        <v>5451</v>
      </c>
      <c r="B7452" t="s">
        <v>169</v>
      </c>
      <c r="C7452" s="34" t="s">
        <v>867</v>
      </c>
      <c r="F7452" t="s">
        <v>867</v>
      </c>
      <c r="G7452" t="s">
        <v>801</v>
      </c>
      <c r="H7452">
        <v>6</v>
      </c>
      <c r="I7452">
        <f>VLOOKUP(B7452,BRAND!B:D,3,FALSE)</f>
        <v>3</v>
      </c>
      <c r="J7452">
        <v>4</v>
      </c>
      <c r="K7452" t="s">
        <v>1420</v>
      </c>
      <c r="M7452">
        <v>1</v>
      </c>
    </row>
    <row r="7453" spans="1:13">
      <c r="A7453" t="s">
        <v>5447</v>
      </c>
      <c r="B7453" t="s">
        <v>169</v>
      </c>
      <c r="C7453" s="34" t="s">
        <v>5459</v>
      </c>
      <c r="F7453" t="s">
        <v>1438</v>
      </c>
      <c r="G7453" t="s">
        <v>801</v>
      </c>
      <c r="H7453">
        <v>6</v>
      </c>
      <c r="I7453">
        <f>VLOOKUP(B7453,BRAND!B:D,3,FALSE)</f>
        <v>3</v>
      </c>
      <c r="J7453">
        <v>4</v>
      </c>
      <c r="K7453" t="s">
        <v>1420</v>
      </c>
      <c r="M7453">
        <v>1</v>
      </c>
    </row>
    <row r="7454" spans="1:13">
      <c r="A7454" t="s">
        <v>5446</v>
      </c>
      <c r="B7454" t="s">
        <v>169</v>
      </c>
      <c r="C7454" s="34" t="s">
        <v>1438</v>
      </c>
      <c r="F7454" t="s">
        <v>1438</v>
      </c>
      <c r="H7454">
        <v>15</v>
      </c>
      <c r="I7454">
        <f>VLOOKUP(B7454,BRAND!B:D,3,FALSE)</f>
        <v>3</v>
      </c>
      <c r="J7454">
        <v>4</v>
      </c>
      <c r="K7454" t="s">
        <v>1420</v>
      </c>
      <c r="M7454">
        <v>1</v>
      </c>
    </row>
    <row r="7455" spans="1:13">
      <c r="A7455" t="s">
        <v>2937</v>
      </c>
      <c r="B7455" t="s">
        <v>1834</v>
      </c>
      <c r="C7455" s="34" t="s">
        <v>772</v>
      </c>
      <c r="F7455" t="s">
        <v>772</v>
      </c>
      <c r="H7455">
        <v>5</v>
      </c>
      <c r="I7455">
        <f>VLOOKUP(B7455,BRAND!B:D,3,FALSE)</f>
        <v>5.5</v>
      </c>
      <c r="J7455">
        <v>6</v>
      </c>
      <c r="K7455" t="e">
        <v>#N/A</v>
      </c>
      <c r="L7455">
        <v>0</v>
      </c>
      <c r="M7455">
        <v>0</v>
      </c>
    </row>
    <row r="7456" spans="1:13">
      <c r="A7456" t="s">
        <v>3458</v>
      </c>
      <c r="B7456" t="s">
        <v>1834</v>
      </c>
      <c r="C7456" s="34" t="s">
        <v>946</v>
      </c>
      <c r="F7456" t="s">
        <v>946</v>
      </c>
      <c r="H7456">
        <v>5</v>
      </c>
      <c r="I7456">
        <f>VLOOKUP(B7456,BRAND!B:D,3,FALSE)</f>
        <v>5.5</v>
      </c>
      <c r="J7456">
        <v>6</v>
      </c>
      <c r="K7456" t="e">
        <v>#N/A</v>
      </c>
      <c r="L7456">
        <v>0</v>
      </c>
      <c r="M7456">
        <v>0</v>
      </c>
    </row>
    <row r="7457" spans="1:13">
      <c r="A7457" t="s">
        <v>4567</v>
      </c>
      <c r="B7457" t="s">
        <v>1834</v>
      </c>
      <c r="C7457" s="34" t="s">
        <v>775</v>
      </c>
      <c r="F7457" t="s">
        <v>775</v>
      </c>
      <c r="H7457">
        <v>5</v>
      </c>
      <c r="I7457">
        <f>VLOOKUP(B7457,BRAND!B:D,3,FALSE)</f>
        <v>5.5</v>
      </c>
      <c r="J7457">
        <v>3</v>
      </c>
      <c r="K7457" t="e">
        <v>#N/A</v>
      </c>
      <c r="L7457">
        <v>0</v>
      </c>
      <c r="M7457">
        <v>0</v>
      </c>
    </row>
    <row r="7458" spans="1:13">
      <c r="A7458" t="s">
        <v>2229</v>
      </c>
      <c r="B7458" t="s">
        <v>665</v>
      </c>
      <c r="C7458" s="34" t="s">
        <v>946</v>
      </c>
      <c r="F7458" t="s">
        <v>946</v>
      </c>
      <c r="H7458">
        <v>5</v>
      </c>
      <c r="I7458">
        <f>VLOOKUP(B7458,BRAND!B:D,3,FALSE)</f>
        <v>3</v>
      </c>
      <c r="J7458">
        <v>6</v>
      </c>
      <c r="K7458" t="s">
        <v>821</v>
      </c>
      <c r="L7458">
        <v>0</v>
      </c>
      <c r="M7458">
        <v>0</v>
      </c>
    </row>
    <row r="7459" spans="1:13">
      <c r="A7459" t="s">
        <v>4482</v>
      </c>
      <c r="B7459" t="s">
        <v>170</v>
      </c>
      <c r="C7459" s="34" t="s">
        <v>535</v>
      </c>
      <c r="F7459" t="s">
        <v>535</v>
      </c>
      <c r="H7459">
        <v>5</v>
      </c>
      <c r="I7459">
        <f>VLOOKUP(B7459,BRAND!B:D,3,FALSE)</f>
        <v>5.5</v>
      </c>
      <c r="J7459">
        <v>6</v>
      </c>
      <c r="K7459" t="e">
        <v>#N/A</v>
      </c>
      <c r="L7459">
        <v>0</v>
      </c>
      <c r="M7459">
        <v>0</v>
      </c>
    </row>
    <row r="7460" spans="1:13">
      <c r="A7460" t="s">
        <v>3985</v>
      </c>
      <c r="B7460" t="s">
        <v>170</v>
      </c>
      <c r="C7460" s="34" t="s">
        <v>946</v>
      </c>
      <c r="F7460" t="s">
        <v>946</v>
      </c>
      <c r="H7460">
        <v>5</v>
      </c>
      <c r="I7460">
        <f>VLOOKUP(B7460,BRAND!B:D,3,FALSE)</f>
        <v>5.5</v>
      </c>
      <c r="J7460">
        <v>6</v>
      </c>
      <c r="K7460" t="e">
        <v>#N/A</v>
      </c>
      <c r="L7460">
        <v>0</v>
      </c>
      <c r="M7460">
        <v>0</v>
      </c>
    </row>
    <row r="7461" spans="1:13">
      <c r="A7461" t="s">
        <v>4833</v>
      </c>
      <c r="B7461" t="s">
        <v>170</v>
      </c>
      <c r="C7461" s="34" t="s">
        <v>913</v>
      </c>
      <c r="F7461" t="s">
        <v>913</v>
      </c>
      <c r="H7461">
        <v>5</v>
      </c>
      <c r="I7461">
        <f>VLOOKUP(B7461,BRAND!B:D,3,FALSE)</f>
        <v>5.5</v>
      </c>
      <c r="J7461">
        <v>5</v>
      </c>
      <c r="K7461" t="e">
        <v>#N/A</v>
      </c>
      <c r="L7461">
        <v>0</v>
      </c>
      <c r="M7461">
        <v>0</v>
      </c>
    </row>
    <row r="7462" spans="1:13">
      <c r="A7462" t="s">
        <v>2263</v>
      </c>
      <c r="B7462" t="s">
        <v>170</v>
      </c>
      <c r="C7462" s="34" t="s">
        <v>1438</v>
      </c>
      <c r="F7462" t="s">
        <v>1438</v>
      </c>
      <c r="H7462">
        <v>15</v>
      </c>
      <c r="I7462">
        <f>VLOOKUP(B7462,BRAND!B:D,3,FALSE)</f>
        <v>5.5</v>
      </c>
      <c r="J7462">
        <v>4</v>
      </c>
      <c r="K7462" t="e">
        <v>#N/A</v>
      </c>
      <c r="L7462">
        <v>0</v>
      </c>
      <c r="M7462">
        <v>0</v>
      </c>
    </row>
    <row r="7463" spans="1:13">
      <c r="A7463" t="s">
        <v>9308</v>
      </c>
      <c r="B7463" t="s">
        <v>9309</v>
      </c>
      <c r="C7463" s="34" t="s">
        <v>1438</v>
      </c>
      <c r="F7463" t="s">
        <v>1438</v>
      </c>
      <c r="G7463" t="s">
        <v>6932</v>
      </c>
      <c r="H7463">
        <v>5</v>
      </c>
      <c r="I7463">
        <f>VLOOKUP(B7463,BRAND!B:D,3,FALSE)</f>
        <v>5.5</v>
      </c>
      <c r="J7463">
        <v>4</v>
      </c>
      <c r="L7463">
        <v>0</v>
      </c>
      <c r="M7463">
        <v>0</v>
      </c>
    </row>
    <row r="7464" spans="1:13">
      <c r="A7464" t="s">
        <v>2172</v>
      </c>
      <c r="B7464" t="s">
        <v>1809</v>
      </c>
      <c r="C7464" s="34" t="s">
        <v>534</v>
      </c>
      <c r="F7464" t="s">
        <v>534</v>
      </c>
      <c r="H7464">
        <v>5</v>
      </c>
      <c r="I7464">
        <f>VLOOKUP(B7464,BRAND!B:D,3,FALSE)</f>
        <v>3</v>
      </c>
      <c r="J7464">
        <v>6</v>
      </c>
      <c r="K7464" t="s">
        <v>821</v>
      </c>
      <c r="L7464">
        <v>0</v>
      </c>
      <c r="M7464">
        <v>0</v>
      </c>
    </row>
    <row r="7465" spans="1:13">
      <c r="A7465" t="s">
        <v>14814</v>
      </c>
      <c r="B7465" t="s">
        <v>14812</v>
      </c>
      <c r="C7465" s="34" t="s">
        <v>14815</v>
      </c>
      <c r="F7465" t="s">
        <v>14815</v>
      </c>
      <c r="G7465" t="s">
        <v>6932</v>
      </c>
      <c r="H7465">
        <v>5</v>
      </c>
      <c r="I7465">
        <f>VLOOKUP(B7465,BRAND!B:D,3,FALSE)</f>
        <v>0</v>
      </c>
      <c r="J7465">
        <f>LEN(F7465)</f>
        <v>7</v>
      </c>
      <c r="K7465" t="s">
        <v>821</v>
      </c>
      <c r="L7465">
        <v>0</v>
      </c>
      <c r="M7465">
        <v>1</v>
      </c>
    </row>
    <row r="7466" spans="1:13">
      <c r="A7466" t="s">
        <v>14813</v>
      </c>
      <c r="B7466" t="s">
        <v>14812</v>
      </c>
      <c r="C7466" s="34" t="s">
        <v>842</v>
      </c>
      <c r="F7466" t="s">
        <v>842</v>
      </c>
      <c r="G7466" t="s">
        <v>6932</v>
      </c>
      <c r="H7466">
        <v>5</v>
      </c>
      <c r="I7466">
        <f>VLOOKUP(B7466,BRAND!B:D,3,FALSE)</f>
        <v>0</v>
      </c>
      <c r="J7466">
        <f>LEN(F7466)</f>
        <v>5</v>
      </c>
      <c r="K7466" t="s">
        <v>821</v>
      </c>
      <c r="L7466">
        <v>0</v>
      </c>
      <c r="M7466">
        <v>1</v>
      </c>
    </row>
    <row r="7467" spans="1:13">
      <c r="A7467" t="s">
        <v>14811</v>
      </c>
      <c r="B7467" t="s">
        <v>14812</v>
      </c>
      <c r="C7467" s="34" t="s">
        <v>5235</v>
      </c>
      <c r="F7467" t="s">
        <v>536</v>
      </c>
      <c r="G7467" t="s">
        <v>6932</v>
      </c>
      <c r="H7467">
        <v>5</v>
      </c>
      <c r="I7467">
        <f>VLOOKUP(B7467,BRAND!B:D,3,FALSE)</f>
        <v>0</v>
      </c>
      <c r="J7467">
        <f>LEN(F7467)</f>
        <v>5</v>
      </c>
      <c r="K7467" t="s">
        <v>821</v>
      </c>
      <c r="L7467">
        <v>0</v>
      </c>
      <c r="M7467">
        <v>1</v>
      </c>
    </row>
    <row r="7468" spans="1:13">
      <c r="A7468" t="s">
        <v>14816</v>
      </c>
      <c r="B7468" t="s">
        <v>14812</v>
      </c>
      <c r="C7468" s="34" t="s">
        <v>775</v>
      </c>
      <c r="F7468" t="s">
        <v>775</v>
      </c>
      <c r="G7468" t="s">
        <v>6932</v>
      </c>
      <c r="H7468">
        <v>5</v>
      </c>
      <c r="I7468">
        <f>VLOOKUP(B7468,BRAND!B:D,3,FALSE)</f>
        <v>0</v>
      </c>
      <c r="J7468">
        <f>LEN(F7468)</f>
        <v>3</v>
      </c>
      <c r="K7468" t="s">
        <v>821</v>
      </c>
      <c r="L7468">
        <v>0</v>
      </c>
      <c r="M7468">
        <v>1</v>
      </c>
    </row>
    <row r="7469" spans="1:13">
      <c r="A7469" t="s">
        <v>4240</v>
      </c>
      <c r="B7469" t="s">
        <v>1896</v>
      </c>
      <c r="C7469" s="34" t="s">
        <v>1438</v>
      </c>
      <c r="F7469" t="s">
        <v>1438</v>
      </c>
      <c r="H7469">
        <v>15</v>
      </c>
      <c r="I7469">
        <f>VLOOKUP(B7469,BRAND!B:D,3,FALSE)</f>
        <v>5.5</v>
      </c>
      <c r="J7469">
        <v>4</v>
      </c>
      <c r="K7469" t="e">
        <v>#N/A</v>
      </c>
      <c r="L7469">
        <v>0</v>
      </c>
      <c r="M7469">
        <v>0</v>
      </c>
    </row>
    <row r="7470" spans="1:13">
      <c r="A7470" t="s">
        <v>9310</v>
      </c>
      <c r="B7470" t="s">
        <v>9311</v>
      </c>
      <c r="C7470" s="34" t="s">
        <v>1438</v>
      </c>
      <c r="F7470" t="s">
        <v>1438</v>
      </c>
      <c r="G7470" t="s">
        <v>6932</v>
      </c>
      <c r="H7470">
        <v>5</v>
      </c>
      <c r="I7470">
        <f>VLOOKUP(B7470,BRAND!B:D,3,FALSE)</f>
        <v>5.5</v>
      </c>
      <c r="J7470">
        <v>4</v>
      </c>
      <c r="L7470">
        <v>0</v>
      </c>
      <c r="M7470">
        <v>0</v>
      </c>
    </row>
    <row r="7471" spans="1:13">
      <c r="A7471" t="s">
        <v>3257</v>
      </c>
      <c r="B7471" t="s">
        <v>171</v>
      </c>
      <c r="C7471" s="34" t="s">
        <v>6555</v>
      </c>
      <c r="F7471" t="s">
        <v>777</v>
      </c>
      <c r="H7471">
        <v>5</v>
      </c>
      <c r="I7471">
        <f>VLOOKUP(B7471,BRAND!B:D,3,FALSE)</f>
        <v>3</v>
      </c>
      <c r="J7471">
        <v>7</v>
      </c>
      <c r="K7471" t="s">
        <v>821</v>
      </c>
      <c r="M7471">
        <v>1</v>
      </c>
    </row>
    <row r="7472" spans="1:13">
      <c r="A7472" t="s">
        <v>3857</v>
      </c>
      <c r="B7472" t="s">
        <v>1795</v>
      </c>
      <c r="C7472" s="34" t="s">
        <v>561</v>
      </c>
      <c r="F7472" t="s">
        <v>561</v>
      </c>
      <c r="H7472">
        <v>5</v>
      </c>
      <c r="I7472">
        <f>VLOOKUP(B7472,BRAND!B:D,3,FALSE)</f>
        <v>3</v>
      </c>
      <c r="J7472">
        <v>3</v>
      </c>
      <c r="K7472" t="s">
        <v>821</v>
      </c>
      <c r="L7472">
        <v>0</v>
      </c>
      <c r="M7472">
        <v>0</v>
      </c>
    </row>
    <row r="7473" spans="1:13">
      <c r="A7473" s="29" t="s">
        <v>2422</v>
      </c>
      <c r="B7473" s="29" t="s">
        <v>442</v>
      </c>
      <c r="C7473" s="36" t="s">
        <v>1438</v>
      </c>
      <c r="D7473" s="29"/>
      <c r="E7473" s="29"/>
      <c r="F7473" s="29" t="s">
        <v>1438</v>
      </c>
      <c r="G7473" s="29"/>
      <c r="H7473" s="29">
        <v>15</v>
      </c>
      <c r="I7473">
        <f>VLOOKUP(B7473,BRAND!B:D,3,FALSE)</f>
        <v>3</v>
      </c>
      <c r="J7473">
        <v>4</v>
      </c>
      <c r="K7473" t="s">
        <v>821</v>
      </c>
      <c r="M7473">
        <v>1</v>
      </c>
    </row>
    <row r="7474" spans="1:13">
      <c r="A7474" t="s">
        <v>14146</v>
      </c>
      <c r="B7474" t="s">
        <v>14145</v>
      </c>
      <c r="C7474" s="34" t="s">
        <v>536</v>
      </c>
      <c r="F7474" t="s">
        <v>536</v>
      </c>
      <c r="G7474" t="s">
        <v>6932</v>
      </c>
      <c r="H7474">
        <v>5</v>
      </c>
      <c r="I7474">
        <f>VLOOKUP(B7474,BRAND!B:D,3,FALSE)</f>
        <v>0</v>
      </c>
      <c r="J7474">
        <f>LEN(F7474)</f>
        <v>5</v>
      </c>
      <c r="K7474" t="s">
        <v>821</v>
      </c>
      <c r="L7474">
        <v>0</v>
      </c>
      <c r="M7474">
        <v>1</v>
      </c>
    </row>
    <row r="7475" spans="1:13">
      <c r="A7475" t="s">
        <v>14144</v>
      </c>
      <c r="B7475" t="s">
        <v>14145</v>
      </c>
      <c r="C7475" s="34" t="s">
        <v>561</v>
      </c>
      <c r="F7475" t="s">
        <v>561</v>
      </c>
      <c r="G7475" t="s">
        <v>6932</v>
      </c>
      <c r="H7475">
        <v>5</v>
      </c>
      <c r="I7475">
        <f>VLOOKUP(B7475,BRAND!B:D,3,FALSE)</f>
        <v>0</v>
      </c>
      <c r="J7475">
        <f>LEN(F7475)</f>
        <v>3</v>
      </c>
      <c r="K7475" t="s">
        <v>821</v>
      </c>
      <c r="L7475">
        <v>0</v>
      </c>
      <c r="M7475">
        <v>1</v>
      </c>
    </row>
    <row r="7476" spans="1:13">
      <c r="A7476" t="s">
        <v>14147</v>
      </c>
      <c r="B7476" t="s">
        <v>14145</v>
      </c>
      <c r="C7476" s="34" t="s">
        <v>776</v>
      </c>
      <c r="F7476" t="s">
        <v>776</v>
      </c>
      <c r="G7476" t="s">
        <v>6932</v>
      </c>
      <c r="H7476">
        <v>6</v>
      </c>
      <c r="I7476">
        <f>VLOOKUP(B7476,BRAND!B:D,3,FALSE)</f>
        <v>0</v>
      </c>
      <c r="J7476">
        <f>LEN(F7476)</f>
        <v>5</v>
      </c>
      <c r="K7476" t="s">
        <v>821</v>
      </c>
      <c r="L7476">
        <v>0</v>
      </c>
      <c r="M7476">
        <v>1</v>
      </c>
    </row>
    <row r="7477" spans="1:13">
      <c r="A7477" t="s">
        <v>14148</v>
      </c>
      <c r="B7477" t="s">
        <v>14145</v>
      </c>
      <c r="C7477" s="34" t="s">
        <v>534</v>
      </c>
      <c r="F7477" t="s">
        <v>534</v>
      </c>
      <c r="G7477" t="s">
        <v>6932</v>
      </c>
      <c r="H7477">
        <v>7</v>
      </c>
      <c r="I7477">
        <f>VLOOKUP(B7477,BRAND!B:D,3,FALSE)</f>
        <v>0</v>
      </c>
      <c r="J7477">
        <f>LEN(F7477)</f>
        <v>6</v>
      </c>
      <c r="K7477" t="s">
        <v>821</v>
      </c>
      <c r="L7477">
        <v>0</v>
      </c>
      <c r="M7477">
        <v>1</v>
      </c>
    </row>
    <row r="7478" spans="1:13">
      <c r="A7478" t="s">
        <v>14149</v>
      </c>
      <c r="B7478" t="s">
        <v>14145</v>
      </c>
      <c r="C7478" s="34" t="s">
        <v>10023</v>
      </c>
      <c r="F7478" t="s">
        <v>10023</v>
      </c>
      <c r="G7478" t="s">
        <v>6932</v>
      </c>
      <c r="H7478">
        <v>8</v>
      </c>
      <c r="I7478">
        <f>VLOOKUP(B7478,BRAND!B:D,3,FALSE)</f>
        <v>0</v>
      </c>
      <c r="J7478">
        <f>LEN(F7478)</f>
        <v>6</v>
      </c>
      <c r="K7478" t="s">
        <v>821</v>
      </c>
      <c r="L7478">
        <v>0</v>
      </c>
      <c r="M7478">
        <v>1</v>
      </c>
    </row>
    <row r="7479" spans="1:13">
      <c r="A7479" t="s">
        <v>15035</v>
      </c>
      <c r="B7479" t="s">
        <v>15036</v>
      </c>
      <c r="C7479" s="34" t="s">
        <v>536</v>
      </c>
      <c r="F7479" t="s">
        <v>536</v>
      </c>
      <c r="G7479" t="s">
        <v>6932</v>
      </c>
      <c r="H7479">
        <v>5</v>
      </c>
      <c r="I7479">
        <f>VLOOKUP(B7479,BRAND!B:D,3,FALSE)</f>
        <v>5</v>
      </c>
      <c r="J7479">
        <v>0</v>
      </c>
      <c r="K7479" t="s">
        <v>821</v>
      </c>
      <c r="L7479">
        <v>0</v>
      </c>
      <c r="M7479">
        <v>0</v>
      </c>
    </row>
    <row r="7480" spans="1:13">
      <c r="A7480" t="s">
        <v>15037</v>
      </c>
      <c r="B7480" t="s">
        <v>15036</v>
      </c>
      <c r="C7480" s="34" t="s">
        <v>10023</v>
      </c>
      <c r="F7480" t="s">
        <v>10023</v>
      </c>
      <c r="G7480" t="s">
        <v>6932</v>
      </c>
      <c r="H7480">
        <v>5</v>
      </c>
      <c r="I7480">
        <f>VLOOKUP(B7480,BRAND!B:D,3,FALSE)</f>
        <v>5</v>
      </c>
      <c r="J7480">
        <v>0</v>
      </c>
      <c r="K7480" t="s">
        <v>821</v>
      </c>
      <c r="L7480">
        <v>0</v>
      </c>
      <c r="M7480">
        <v>0</v>
      </c>
    </row>
    <row r="7481" spans="1:13">
      <c r="A7481" t="s">
        <v>15038</v>
      </c>
      <c r="B7481" t="s">
        <v>15036</v>
      </c>
      <c r="C7481" s="34" t="s">
        <v>776</v>
      </c>
      <c r="F7481" t="s">
        <v>776</v>
      </c>
      <c r="G7481" t="s">
        <v>6932</v>
      </c>
      <c r="H7481">
        <v>5</v>
      </c>
      <c r="I7481">
        <f>VLOOKUP(B7481,BRAND!B:D,3,FALSE)</f>
        <v>5</v>
      </c>
      <c r="J7481">
        <v>0</v>
      </c>
      <c r="K7481" t="s">
        <v>821</v>
      </c>
      <c r="L7481">
        <v>0</v>
      </c>
      <c r="M7481">
        <v>0</v>
      </c>
    </row>
    <row r="7482" spans="1:13">
      <c r="A7482" s="29" t="s">
        <v>2199</v>
      </c>
      <c r="B7482" s="29" t="s">
        <v>587</v>
      </c>
      <c r="C7482" s="36" t="s">
        <v>1438</v>
      </c>
      <c r="D7482" s="29"/>
      <c r="E7482" s="29"/>
      <c r="F7482" s="29" t="s">
        <v>1438</v>
      </c>
      <c r="G7482" s="29"/>
      <c r="H7482" s="29">
        <v>15</v>
      </c>
      <c r="I7482">
        <f>VLOOKUP(B7482,BRAND!B:D,3,FALSE)</f>
        <v>3</v>
      </c>
      <c r="J7482">
        <v>4</v>
      </c>
      <c r="K7482" t="s">
        <v>821</v>
      </c>
      <c r="M7482">
        <v>1</v>
      </c>
    </row>
    <row r="7483" spans="1:13">
      <c r="A7483" t="s">
        <v>3493</v>
      </c>
      <c r="B7483" t="s">
        <v>172</v>
      </c>
      <c r="C7483" s="34" t="s">
        <v>536</v>
      </c>
      <c r="F7483" t="s">
        <v>536</v>
      </c>
      <c r="H7483">
        <v>5</v>
      </c>
      <c r="I7483">
        <f>VLOOKUP(B7483,BRAND!B:D,3,FALSE)</f>
        <v>3</v>
      </c>
      <c r="J7483">
        <v>5</v>
      </c>
      <c r="K7483" t="s">
        <v>821</v>
      </c>
      <c r="L7483">
        <v>0</v>
      </c>
      <c r="M7483">
        <v>0</v>
      </c>
    </row>
    <row r="7484" spans="1:13">
      <c r="A7484" t="s">
        <v>3039</v>
      </c>
      <c r="B7484" t="s">
        <v>172</v>
      </c>
      <c r="C7484" s="34" t="s">
        <v>1438</v>
      </c>
      <c r="F7484" t="s">
        <v>1438</v>
      </c>
      <c r="H7484">
        <v>15</v>
      </c>
      <c r="I7484">
        <f>VLOOKUP(B7484,BRAND!B:D,3,FALSE)</f>
        <v>3</v>
      </c>
      <c r="J7484">
        <v>4</v>
      </c>
      <c r="K7484" t="s">
        <v>821</v>
      </c>
      <c r="L7484" s="29"/>
      <c r="M7484">
        <v>1</v>
      </c>
    </row>
    <row r="7485" spans="1:13">
      <c r="A7485" t="s">
        <v>3808</v>
      </c>
      <c r="B7485" t="s">
        <v>1802</v>
      </c>
      <c r="C7485" s="34" t="s">
        <v>777</v>
      </c>
      <c r="F7485" t="s">
        <v>777</v>
      </c>
      <c r="H7485">
        <v>5</v>
      </c>
      <c r="I7485">
        <f>VLOOKUP(B7485,BRAND!B:D,3,FALSE)</f>
        <v>3</v>
      </c>
      <c r="J7485">
        <v>7</v>
      </c>
      <c r="K7485" t="s">
        <v>821</v>
      </c>
      <c r="L7485">
        <v>0</v>
      </c>
      <c r="M7485">
        <v>0</v>
      </c>
    </row>
    <row r="7486" spans="1:13">
      <c r="A7486" t="s">
        <v>4719</v>
      </c>
      <c r="B7486" t="s">
        <v>1802</v>
      </c>
      <c r="C7486" s="34" t="s">
        <v>1438</v>
      </c>
      <c r="F7486" t="s">
        <v>1438</v>
      </c>
      <c r="H7486">
        <v>15</v>
      </c>
      <c r="I7486">
        <f>VLOOKUP(B7486,BRAND!B:D,3,FALSE)</f>
        <v>3</v>
      </c>
      <c r="J7486">
        <v>4</v>
      </c>
      <c r="K7486" t="s">
        <v>821</v>
      </c>
      <c r="L7486">
        <v>0</v>
      </c>
      <c r="M7486">
        <v>0</v>
      </c>
    </row>
    <row r="7487" spans="1:13">
      <c r="A7487" t="s">
        <v>9312</v>
      </c>
      <c r="B7487" t="s">
        <v>9313</v>
      </c>
      <c r="C7487" s="34" t="s">
        <v>1438</v>
      </c>
      <c r="F7487" t="s">
        <v>1438</v>
      </c>
      <c r="G7487" t="s">
        <v>6932</v>
      </c>
      <c r="H7487">
        <v>5</v>
      </c>
      <c r="I7487">
        <f>VLOOKUP(B7487,BRAND!B:D,3,FALSE)</f>
        <v>5.5</v>
      </c>
      <c r="J7487">
        <v>4</v>
      </c>
      <c r="M7487">
        <v>1</v>
      </c>
    </row>
    <row r="7488" spans="1:13">
      <c r="A7488" t="s">
        <v>9314</v>
      </c>
      <c r="B7488" t="s">
        <v>9315</v>
      </c>
      <c r="C7488" s="34" t="s">
        <v>1438</v>
      </c>
      <c r="F7488" t="s">
        <v>1438</v>
      </c>
      <c r="G7488" t="s">
        <v>6932</v>
      </c>
      <c r="H7488">
        <v>5</v>
      </c>
      <c r="I7488">
        <f>VLOOKUP(B7488,BRAND!B:D,3,FALSE)</f>
        <v>5.5</v>
      </c>
      <c r="J7488">
        <v>4</v>
      </c>
      <c r="M7488">
        <v>1</v>
      </c>
    </row>
    <row r="7489" spans="1:13">
      <c r="A7489" t="s">
        <v>2745</v>
      </c>
      <c r="B7489" t="s">
        <v>1198</v>
      </c>
      <c r="C7489" s="34" t="s">
        <v>1438</v>
      </c>
      <c r="F7489" t="s">
        <v>1438</v>
      </c>
      <c r="H7489">
        <v>15</v>
      </c>
      <c r="I7489">
        <f>VLOOKUP(B7489,BRAND!B:D,3,FALSE)</f>
        <v>3</v>
      </c>
      <c r="J7489">
        <v>4</v>
      </c>
      <c r="K7489" t="s">
        <v>821</v>
      </c>
      <c r="L7489">
        <v>0</v>
      </c>
      <c r="M7489">
        <v>0</v>
      </c>
    </row>
    <row r="7490" spans="1:13">
      <c r="A7490" t="s">
        <v>3673</v>
      </c>
      <c r="B7490" t="s">
        <v>443</v>
      </c>
      <c r="C7490" s="34" t="s">
        <v>751</v>
      </c>
      <c r="F7490" t="s">
        <v>751</v>
      </c>
      <c r="H7490">
        <v>5</v>
      </c>
      <c r="I7490">
        <f>VLOOKUP(B7490,BRAND!B:D,3,FALSE)</f>
        <v>3</v>
      </c>
      <c r="J7490">
        <v>5</v>
      </c>
      <c r="K7490" t="s">
        <v>821</v>
      </c>
      <c r="L7490">
        <v>0</v>
      </c>
      <c r="M7490">
        <v>0</v>
      </c>
    </row>
    <row r="7491" spans="1:13">
      <c r="A7491" t="s">
        <v>3670</v>
      </c>
      <c r="B7491" t="s">
        <v>443</v>
      </c>
      <c r="C7491" s="34" t="s">
        <v>536</v>
      </c>
      <c r="F7491" t="s">
        <v>536</v>
      </c>
      <c r="H7491">
        <v>5</v>
      </c>
      <c r="I7491">
        <f>VLOOKUP(B7491,BRAND!B:D,3,FALSE)</f>
        <v>3</v>
      </c>
      <c r="J7491">
        <v>5</v>
      </c>
      <c r="K7491" t="s">
        <v>821</v>
      </c>
      <c r="L7491">
        <v>0</v>
      </c>
      <c r="M7491">
        <v>0</v>
      </c>
    </row>
    <row r="7492" spans="1:13">
      <c r="A7492" t="s">
        <v>4331</v>
      </c>
      <c r="B7492" t="s">
        <v>443</v>
      </c>
      <c r="C7492" s="34" t="s">
        <v>776</v>
      </c>
      <c r="F7492" t="s">
        <v>776</v>
      </c>
      <c r="H7492">
        <v>5</v>
      </c>
      <c r="I7492">
        <f>VLOOKUP(B7492,BRAND!B:D,3,FALSE)</f>
        <v>3</v>
      </c>
      <c r="J7492">
        <v>5</v>
      </c>
      <c r="K7492" t="s">
        <v>821</v>
      </c>
      <c r="L7492">
        <v>0</v>
      </c>
      <c r="M7492">
        <v>0</v>
      </c>
    </row>
    <row r="7493" spans="1:13">
      <c r="A7493" t="s">
        <v>9316</v>
      </c>
      <c r="B7493" t="s">
        <v>443</v>
      </c>
      <c r="C7493" s="34" t="s">
        <v>1438</v>
      </c>
      <c r="F7493" t="s">
        <v>1438</v>
      </c>
      <c r="G7493" t="s">
        <v>6932</v>
      </c>
      <c r="H7493">
        <v>5</v>
      </c>
      <c r="I7493">
        <f>VLOOKUP(B7493,BRAND!B:D,3,FALSE)</f>
        <v>3</v>
      </c>
      <c r="J7493">
        <v>4</v>
      </c>
      <c r="M7493">
        <v>1</v>
      </c>
    </row>
    <row r="7494" spans="1:13">
      <c r="A7494" t="s">
        <v>2070</v>
      </c>
      <c r="B7494" t="s">
        <v>443</v>
      </c>
      <c r="C7494" s="34" t="s">
        <v>1438</v>
      </c>
      <c r="F7494" t="s">
        <v>1438</v>
      </c>
      <c r="H7494">
        <v>15</v>
      </c>
      <c r="I7494">
        <f>VLOOKUP(B7494,BRAND!B:D,3,FALSE)</f>
        <v>3</v>
      </c>
      <c r="J7494">
        <v>4</v>
      </c>
      <c r="K7494" t="s">
        <v>821</v>
      </c>
      <c r="L7494">
        <v>0</v>
      </c>
      <c r="M7494">
        <v>0</v>
      </c>
    </row>
    <row r="7495" spans="1:13">
      <c r="A7495" t="s">
        <v>9317</v>
      </c>
      <c r="B7495" t="s">
        <v>9318</v>
      </c>
      <c r="C7495" s="34" t="s">
        <v>1438</v>
      </c>
      <c r="F7495" t="s">
        <v>1438</v>
      </c>
      <c r="G7495" t="s">
        <v>6932</v>
      </c>
      <c r="H7495">
        <v>5</v>
      </c>
      <c r="I7495">
        <f>VLOOKUP(B7495,BRAND!B:D,3,FALSE)</f>
        <v>5.5</v>
      </c>
      <c r="J7495">
        <v>4</v>
      </c>
      <c r="M7495">
        <v>1</v>
      </c>
    </row>
    <row r="7496" spans="1:13">
      <c r="A7496" t="s">
        <v>9859</v>
      </c>
      <c r="B7496" t="s">
        <v>6587</v>
      </c>
      <c r="C7496" s="34" t="s">
        <v>1438</v>
      </c>
      <c r="F7496" t="s">
        <v>1438</v>
      </c>
      <c r="H7496">
        <v>5</v>
      </c>
      <c r="I7496">
        <f>VLOOKUP(B7496,BRAND!B:D,3,FALSE)</f>
        <v>3</v>
      </c>
      <c r="J7496">
        <v>4</v>
      </c>
      <c r="M7496">
        <v>1</v>
      </c>
    </row>
    <row r="7497" spans="1:13">
      <c r="A7497" t="s">
        <v>9319</v>
      </c>
      <c r="B7497" t="s">
        <v>9320</v>
      </c>
      <c r="C7497" s="34" t="s">
        <v>1438</v>
      </c>
      <c r="F7497" t="s">
        <v>1438</v>
      </c>
      <c r="G7497" t="s">
        <v>6932</v>
      </c>
      <c r="H7497">
        <v>5</v>
      </c>
      <c r="I7497">
        <f>VLOOKUP(B7497,BRAND!B:D,3,FALSE)</f>
        <v>5.5</v>
      </c>
      <c r="J7497">
        <v>4</v>
      </c>
      <c r="M7497">
        <v>1</v>
      </c>
    </row>
    <row r="7498" spans="1:13">
      <c r="A7498" t="s">
        <v>2757</v>
      </c>
      <c r="B7498" t="s">
        <v>1199</v>
      </c>
      <c r="C7498" s="34" t="s">
        <v>1438</v>
      </c>
      <c r="F7498" t="s">
        <v>1438</v>
      </c>
      <c r="H7498">
        <v>15</v>
      </c>
      <c r="I7498">
        <f>VLOOKUP(B7498,BRAND!B:D,3,FALSE)</f>
        <v>3</v>
      </c>
      <c r="J7498">
        <v>4</v>
      </c>
      <c r="K7498" t="s">
        <v>821</v>
      </c>
      <c r="L7498">
        <v>0</v>
      </c>
      <c r="M7498">
        <v>0</v>
      </c>
    </row>
    <row r="7499" spans="1:13">
      <c r="A7499" t="s">
        <v>2747</v>
      </c>
      <c r="B7499" t="s">
        <v>1356</v>
      </c>
      <c r="C7499" s="34" t="s">
        <v>1438</v>
      </c>
      <c r="F7499" t="s">
        <v>1438</v>
      </c>
      <c r="H7499">
        <v>15</v>
      </c>
      <c r="I7499">
        <f>VLOOKUP(B7499,BRAND!B:D,3,FALSE)</f>
        <v>3</v>
      </c>
      <c r="J7499">
        <v>4</v>
      </c>
      <c r="K7499" t="s">
        <v>821</v>
      </c>
      <c r="L7499">
        <v>0</v>
      </c>
      <c r="M7499">
        <v>0</v>
      </c>
    </row>
    <row r="7500" spans="1:13">
      <c r="A7500" t="s">
        <v>10604</v>
      </c>
      <c r="B7500" t="s">
        <v>7011</v>
      </c>
      <c r="C7500" s="34" t="s">
        <v>10657</v>
      </c>
      <c r="D7500" t="s">
        <v>10658</v>
      </c>
      <c r="F7500" t="s">
        <v>10429</v>
      </c>
      <c r="G7500" t="s">
        <v>5512</v>
      </c>
      <c r="H7500">
        <v>5</v>
      </c>
      <c r="I7500">
        <f>VLOOKUP(B7500,BRAND!B:D,3,FALSE)</f>
        <v>11</v>
      </c>
      <c r="J7500">
        <f t="shared" ref="J7500:J7507" si="61">LEN(F7500)</f>
        <v>23</v>
      </c>
      <c r="L7500">
        <v>0</v>
      </c>
    </row>
    <row r="7501" spans="1:13">
      <c r="A7501" t="s">
        <v>10573</v>
      </c>
      <c r="B7501" t="s">
        <v>7011</v>
      </c>
      <c r="C7501" s="34" t="s">
        <v>10646</v>
      </c>
      <c r="D7501" t="s">
        <v>10647</v>
      </c>
      <c r="F7501" t="s">
        <v>10420</v>
      </c>
      <c r="G7501" t="s">
        <v>6932</v>
      </c>
      <c r="H7501">
        <v>5</v>
      </c>
      <c r="I7501">
        <f>VLOOKUP(B7501,BRAND!B:D,3,FALSE)</f>
        <v>11</v>
      </c>
      <c r="J7501">
        <f t="shared" si="61"/>
        <v>23</v>
      </c>
      <c r="L7501">
        <v>0</v>
      </c>
    </row>
    <row r="7502" spans="1:13">
      <c r="A7502" t="s">
        <v>10574</v>
      </c>
      <c r="B7502" t="s">
        <v>7011</v>
      </c>
      <c r="C7502" s="34" t="s">
        <v>10651</v>
      </c>
      <c r="D7502" t="s">
        <v>10648</v>
      </c>
      <c r="F7502" t="s">
        <v>10421</v>
      </c>
      <c r="G7502" t="s">
        <v>6932</v>
      </c>
      <c r="H7502">
        <v>5</v>
      </c>
      <c r="I7502">
        <f>VLOOKUP(B7502,BRAND!B:D,3,FALSE)</f>
        <v>11</v>
      </c>
      <c r="J7502">
        <f t="shared" si="61"/>
        <v>22</v>
      </c>
      <c r="L7502">
        <v>0</v>
      </c>
    </row>
    <row r="7503" spans="1:13">
      <c r="A7503" t="s">
        <v>10572</v>
      </c>
      <c r="B7503" t="s">
        <v>7011</v>
      </c>
      <c r="C7503" s="34" t="s">
        <v>10645</v>
      </c>
      <c r="D7503" t="s">
        <v>10352</v>
      </c>
      <c r="F7503" t="s">
        <v>10419</v>
      </c>
      <c r="G7503" t="s">
        <v>6932</v>
      </c>
      <c r="H7503">
        <v>5</v>
      </c>
      <c r="I7503">
        <f>VLOOKUP(B7503,BRAND!B:D,3,FALSE)</f>
        <v>11</v>
      </c>
      <c r="J7503">
        <f t="shared" si="61"/>
        <v>21</v>
      </c>
      <c r="L7503">
        <v>0</v>
      </c>
    </row>
    <row r="7504" spans="1:13">
      <c r="A7504" t="s">
        <v>10575</v>
      </c>
      <c r="B7504" t="s">
        <v>7011</v>
      </c>
      <c r="C7504" s="34" t="s">
        <v>10652</v>
      </c>
      <c r="D7504" t="s">
        <v>10649</v>
      </c>
      <c r="F7504" t="s">
        <v>10422</v>
      </c>
      <c r="G7504" t="s">
        <v>6932</v>
      </c>
      <c r="H7504">
        <v>5</v>
      </c>
      <c r="I7504">
        <f>VLOOKUP(B7504,BRAND!B:D,3,FALSE)</f>
        <v>11</v>
      </c>
      <c r="J7504">
        <f t="shared" si="61"/>
        <v>20</v>
      </c>
      <c r="L7504">
        <v>0</v>
      </c>
    </row>
    <row r="7505" spans="1:13">
      <c r="A7505" t="s">
        <v>10603</v>
      </c>
      <c r="B7505" t="s">
        <v>7011</v>
      </c>
      <c r="C7505" s="34" t="s">
        <v>10656</v>
      </c>
      <c r="D7505" t="s">
        <v>764</v>
      </c>
      <c r="F7505" t="s">
        <v>10428</v>
      </c>
      <c r="G7505" t="s">
        <v>5512</v>
      </c>
      <c r="H7505">
        <v>5</v>
      </c>
      <c r="I7505">
        <f>VLOOKUP(B7505,BRAND!B:D,3,FALSE)</f>
        <v>11</v>
      </c>
      <c r="J7505">
        <f t="shared" si="61"/>
        <v>18</v>
      </c>
      <c r="L7505">
        <v>0</v>
      </c>
    </row>
    <row r="7506" spans="1:13">
      <c r="A7506" t="s">
        <v>10644</v>
      </c>
      <c r="B7506" t="s">
        <v>7011</v>
      </c>
      <c r="C7506" s="34" t="s">
        <v>10447</v>
      </c>
      <c r="F7506" t="s">
        <v>10448</v>
      </c>
      <c r="G7506" t="s">
        <v>6932</v>
      </c>
      <c r="H7506">
        <v>5</v>
      </c>
      <c r="I7506">
        <f>VLOOKUP(B7506,BRAND!B:D,3,FALSE)</f>
        <v>11</v>
      </c>
      <c r="J7506">
        <f t="shared" si="61"/>
        <v>13</v>
      </c>
      <c r="L7506">
        <v>0</v>
      </c>
    </row>
    <row r="7507" spans="1:13">
      <c r="A7507" t="s">
        <v>10602</v>
      </c>
      <c r="B7507" t="s">
        <v>7011</v>
      </c>
      <c r="C7507" s="34" t="s">
        <v>898</v>
      </c>
      <c r="F7507" t="s">
        <v>898</v>
      </c>
      <c r="G7507" t="s">
        <v>6932</v>
      </c>
      <c r="H7507">
        <v>5</v>
      </c>
      <c r="I7507">
        <f>VLOOKUP(B7507,BRAND!B:D,3,FALSE)</f>
        <v>11</v>
      </c>
      <c r="J7507">
        <f t="shared" si="61"/>
        <v>6</v>
      </c>
      <c r="L7507">
        <v>0</v>
      </c>
    </row>
    <row r="7508" spans="1:13">
      <c r="A7508" t="s">
        <v>10111</v>
      </c>
      <c r="B7508" t="s">
        <v>7011</v>
      </c>
      <c r="C7508" s="34" t="s">
        <v>1438</v>
      </c>
      <c r="F7508" t="s">
        <v>1438</v>
      </c>
      <c r="H7508">
        <v>15</v>
      </c>
      <c r="I7508">
        <f>VLOOKUP(B7508,BRAND!B:D,3,FALSE)</f>
        <v>11</v>
      </c>
      <c r="J7508">
        <v>4</v>
      </c>
      <c r="L7508">
        <v>0</v>
      </c>
      <c r="M7508">
        <v>0</v>
      </c>
    </row>
    <row r="7509" spans="1:13">
      <c r="A7509" t="s">
        <v>9321</v>
      </c>
      <c r="B7509" t="s">
        <v>9322</v>
      </c>
      <c r="C7509" s="34" t="s">
        <v>1438</v>
      </c>
      <c r="F7509" t="s">
        <v>1438</v>
      </c>
      <c r="G7509" t="s">
        <v>6932</v>
      </c>
      <c r="H7509">
        <v>5</v>
      </c>
      <c r="I7509">
        <f>VLOOKUP(B7509,BRAND!B:D,3,FALSE)</f>
        <v>5.5</v>
      </c>
      <c r="J7509">
        <v>4</v>
      </c>
      <c r="M7509">
        <v>1</v>
      </c>
    </row>
    <row r="7510" spans="1:13">
      <c r="A7510" t="s">
        <v>12997</v>
      </c>
      <c r="B7510" t="s">
        <v>9324</v>
      </c>
      <c r="C7510" s="34" t="s">
        <v>769</v>
      </c>
      <c r="F7510" t="s">
        <v>12998</v>
      </c>
      <c r="G7510" t="s">
        <v>6932</v>
      </c>
      <c r="H7510">
        <v>4</v>
      </c>
    </row>
    <row r="7511" spans="1:13">
      <c r="A7511" t="s">
        <v>13014</v>
      </c>
      <c r="B7511" t="s">
        <v>9324</v>
      </c>
      <c r="C7511" s="34" t="s">
        <v>13015</v>
      </c>
      <c r="F7511" t="s">
        <v>13016</v>
      </c>
      <c r="G7511" t="s">
        <v>6932</v>
      </c>
      <c r="H7511">
        <v>4</v>
      </c>
    </row>
    <row r="7512" spans="1:13">
      <c r="A7512" t="s">
        <v>9323</v>
      </c>
      <c r="B7512" t="s">
        <v>9324</v>
      </c>
      <c r="C7512" s="34" t="s">
        <v>1438</v>
      </c>
      <c r="F7512" t="s">
        <v>1438</v>
      </c>
      <c r="G7512" t="s">
        <v>6932</v>
      </c>
      <c r="H7512">
        <v>5</v>
      </c>
      <c r="I7512">
        <f>VLOOKUP(B7512,BRAND!B:D,3,FALSE)</f>
        <v>54</v>
      </c>
      <c r="J7512">
        <v>4</v>
      </c>
      <c r="M7512">
        <v>1</v>
      </c>
    </row>
    <row r="7513" spans="1:13">
      <c r="A7513" t="s">
        <v>12985</v>
      </c>
      <c r="B7513" t="s">
        <v>9324</v>
      </c>
      <c r="C7513" s="34" t="s">
        <v>933</v>
      </c>
      <c r="F7513" t="s">
        <v>933</v>
      </c>
      <c r="G7513" t="s">
        <v>6932</v>
      </c>
      <c r="H7513">
        <v>5</v>
      </c>
    </row>
    <row r="7514" spans="1:13">
      <c r="A7514" t="s">
        <v>12986</v>
      </c>
      <c r="B7514" t="s">
        <v>9324</v>
      </c>
      <c r="C7514" s="34" t="s">
        <v>12987</v>
      </c>
      <c r="F7514" t="s">
        <v>12988</v>
      </c>
      <c r="G7514" t="s">
        <v>6932</v>
      </c>
      <c r="H7514">
        <v>5</v>
      </c>
    </row>
    <row r="7515" spans="1:13">
      <c r="A7515" t="s">
        <v>12989</v>
      </c>
      <c r="B7515" t="s">
        <v>9324</v>
      </c>
      <c r="C7515" s="34" t="s">
        <v>12990</v>
      </c>
      <c r="F7515" t="s">
        <v>12991</v>
      </c>
      <c r="G7515" t="s">
        <v>6932</v>
      </c>
      <c r="H7515">
        <v>5</v>
      </c>
    </row>
    <row r="7516" spans="1:13">
      <c r="A7516" t="s">
        <v>12992</v>
      </c>
      <c r="B7516" t="s">
        <v>9324</v>
      </c>
      <c r="C7516" s="34" t="s">
        <v>12993</v>
      </c>
      <c r="F7516" t="s">
        <v>12993</v>
      </c>
      <c r="G7516" t="s">
        <v>6932</v>
      </c>
      <c r="H7516">
        <v>5</v>
      </c>
    </row>
    <row r="7517" spans="1:13">
      <c r="A7517" t="s">
        <v>12994</v>
      </c>
      <c r="B7517" t="s">
        <v>9324</v>
      </c>
      <c r="C7517" s="34" t="s">
        <v>12995</v>
      </c>
      <c r="F7517" t="s">
        <v>12996</v>
      </c>
      <c r="G7517" t="s">
        <v>6932</v>
      </c>
      <c r="H7517">
        <v>5</v>
      </c>
    </row>
    <row r="7518" spans="1:13">
      <c r="A7518" t="s">
        <v>12999</v>
      </c>
      <c r="B7518" t="s">
        <v>9324</v>
      </c>
      <c r="C7518" s="34" t="s">
        <v>13000</v>
      </c>
      <c r="F7518" t="s">
        <v>13001</v>
      </c>
      <c r="G7518" t="s">
        <v>6932</v>
      </c>
      <c r="H7518">
        <v>5</v>
      </c>
    </row>
    <row r="7519" spans="1:13">
      <c r="A7519" t="s">
        <v>13002</v>
      </c>
      <c r="B7519" t="s">
        <v>9324</v>
      </c>
      <c r="C7519" s="34" t="s">
        <v>13003</v>
      </c>
      <c r="F7519" t="s">
        <v>13003</v>
      </c>
      <c r="G7519" t="s">
        <v>6932</v>
      </c>
      <c r="H7519">
        <v>5</v>
      </c>
    </row>
    <row r="7520" spans="1:13">
      <c r="A7520" t="s">
        <v>13004</v>
      </c>
      <c r="B7520" t="s">
        <v>9324</v>
      </c>
      <c r="C7520" s="34" t="s">
        <v>13005</v>
      </c>
      <c r="F7520" t="s">
        <v>13005</v>
      </c>
      <c r="G7520" t="s">
        <v>6932</v>
      </c>
      <c r="H7520">
        <v>5</v>
      </c>
    </row>
    <row r="7521" spans="1:8">
      <c r="A7521" t="s">
        <v>13006</v>
      </c>
      <c r="B7521" t="s">
        <v>9324</v>
      </c>
      <c r="C7521" s="34" t="s">
        <v>13007</v>
      </c>
      <c r="F7521" t="s">
        <v>13007</v>
      </c>
      <c r="G7521" t="s">
        <v>6932</v>
      </c>
      <c r="H7521">
        <v>5</v>
      </c>
    </row>
    <row r="7522" spans="1:8">
      <c r="A7522" t="s">
        <v>13008</v>
      </c>
      <c r="B7522" t="s">
        <v>9324</v>
      </c>
      <c r="C7522" s="34" t="s">
        <v>13009</v>
      </c>
      <c r="F7522" t="s">
        <v>13009</v>
      </c>
      <c r="G7522" t="s">
        <v>6932</v>
      </c>
      <c r="H7522">
        <v>5</v>
      </c>
    </row>
    <row r="7523" spans="1:8">
      <c r="A7523" t="s">
        <v>13010</v>
      </c>
      <c r="B7523" t="s">
        <v>9324</v>
      </c>
      <c r="C7523" s="34" t="s">
        <v>13011</v>
      </c>
      <c r="F7523" t="s">
        <v>13011</v>
      </c>
      <c r="G7523" t="s">
        <v>6932</v>
      </c>
      <c r="H7523">
        <v>5</v>
      </c>
    </row>
    <row r="7524" spans="1:8">
      <c r="A7524" t="s">
        <v>13012</v>
      </c>
      <c r="B7524" t="s">
        <v>9324</v>
      </c>
      <c r="C7524" s="34" t="s">
        <v>13013</v>
      </c>
      <c r="F7524" t="s">
        <v>13013</v>
      </c>
      <c r="G7524" t="s">
        <v>6932</v>
      </c>
      <c r="H7524">
        <v>5</v>
      </c>
    </row>
    <row r="7525" spans="1:8">
      <c r="A7525" t="s">
        <v>13017</v>
      </c>
      <c r="B7525" t="s">
        <v>9324</v>
      </c>
      <c r="C7525" s="34" t="s">
        <v>13018</v>
      </c>
      <c r="F7525" t="s">
        <v>13018</v>
      </c>
      <c r="G7525" t="s">
        <v>6932</v>
      </c>
      <c r="H7525">
        <v>5</v>
      </c>
    </row>
    <row r="7526" spans="1:8">
      <c r="A7526" t="s">
        <v>13019</v>
      </c>
      <c r="B7526" t="s">
        <v>9324</v>
      </c>
      <c r="C7526" s="34" t="s">
        <v>6657</v>
      </c>
      <c r="F7526" t="s">
        <v>13020</v>
      </c>
      <c r="G7526" t="s">
        <v>6932</v>
      </c>
      <c r="H7526">
        <v>5</v>
      </c>
    </row>
    <row r="7527" spans="1:8">
      <c r="A7527" t="s">
        <v>13021</v>
      </c>
      <c r="B7527" t="s">
        <v>9324</v>
      </c>
      <c r="C7527" s="34" t="s">
        <v>988</v>
      </c>
      <c r="F7527" t="s">
        <v>13022</v>
      </c>
      <c r="G7527" t="s">
        <v>6932</v>
      </c>
      <c r="H7527">
        <v>5</v>
      </c>
    </row>
    <row r="7528" spans="1:8">
      <c r="A7528" t="s">
        <v>13023</v>
      </c>
      <c r="B7528" t="s">
        <v>9324</v>
      </c>
      <c r="C7528" s="34" t="s">
        <v>13024</v>
      </c>
      <c r="F7528" t="s">
        <v>13024</v>
      </c>
      <c r="G7528" t="s">
        <v>6932</v>
      </c>
      <c r="H7528">
        <v>5</v>
      </c>
    </row>
    <row r="7529" spans="1:8">
      <c r="A7529" t="s">
        <v>13025</v>
      </c>
      <c r="B7529" t="s">
        <v>9324</v>
      </c>
      <c r="C7529" s="34" t="s">
        <v>911</v>
      </c>
      <c r="F7529" t="s">
        <v>911</v>
      </c>
      <c r="G7529" t="s">
        <v>6932</v>
      </c>
      <c r="H7529">
        <v>5</v>
      </c>
    </row>
    <row r="7530" spans="1:8">
      <c r="A7530" t="s">
        <v>13026</v>
      </c>
      <c r="B7530" t="s">
        <v>9324</v>
      </c>
      <c r="C7530" s="34" t="s">
        <v>13027</v>
      </c>
      <c r="F7530" t="s">
        <v>13028</v>
      </c>
      <c r="G7530" t="s">
        <v>6932</v>
      </c>
      <c r="H7530">
        <v>5</v>
      </c>
    </row>
    <row r="7531" spans="1:8">
      <c r="A7531" t="s">
        <v>13029</v>
      </c>
      <c r="B7531" t="s">
        <v>9324</v>
      </c>
      <c r="C7531" s="34" t="s">
        <v>13030</v>
      </c>
      <c r="F7531" t="s">
        <v>13030</v>
      </c>
      <c r="G7531" t="s">
        <v>6932</v>
      </c>
      <c r="H7531">
        <v>5</v>
      </c>
    </row>
    <row r="7532" spans="1:8">
      <c r="A7532" t="s">
        <v>13031</v>
      </c>
      <c r="B7532" t="s">
        <v>9324</v>
      </c>
      <c r="C7532" s="34" t="s">
        <v>13032</v>
      </c>
      <c r="F7532" t="s">
        <v>13033</v>
      </c>
      <c r="G7532" t="s">
        <v>6932</v>
      </c>
      <c r="H7532">
        <v>5</v>
      </c>
    </row>
    <row r="7533" spans="1:8">
      <c r="A7533" t="s">
        <v>13034</v>
      </c>
      <c r="B7533" t="s">
        <v>9324</v>
      </c>
      <c r="C7533" s="34" t="s">
        <v>13035</v>
      </c>
      <c r="F7533" t="s">
        <v>13036</v>
      </c>
      <c r="G7533" t="s">
        <v>6932</v>
      </c>
      <c r="H7533">
        <v>5</v>
      </c>
    </row>
    <row r="7534" spans="1:8">
      <c r="A7534" t="s">
        <v>13037</v>
      </c>
      <c r="B7534" t="s">
        <v>9324</v>
      </c>
      <c r="C7534" s="34" t="s">
        <v>13038</v>
      </c>
      <c r="F7534" t="s">
        <v>13039</v>
      </c>
      <c r="G7534" t="s">
        <v>6932</v>
      </c>
      <c r="H7534">
        <v>5</v>
      </c>
    </row>
    <row r="7535" spans="1:8">
      <c r="A7535" t="s">
        <v>13040</v>
      </c>
      <c r="B7535" t="s">
        <v>9324</v>
      </c>
      <c r="C7535" s="34" t="s">
        <v>13041</v>
      </c>
      <c r="F7535" t="s">
        <v>13042</v>
      </c>
      <c r="G7535" t="s">
        <v>6932</v>
      </c>
      <c r="H7535">
        <v>5</v>
      </c>
    </row>
    <row r="7536" spans="1:8">
      <c r="A7536" t="s">
        <v>13043</v>
      </c>
      <c r="B7536" t="s">
        <v>9324</v>
      </c>
      <c r="C7536" s="34" t="s">
        <v>13044</v>
      </c>
      <c r="F7536" t="s">
        <v>13045</v>
      </c>
      <c r="G7536" t="s">
        <v>6932</v>
      </c>
      <c r="H7536">
        <v>5</v>
      </c>
    </row>
    <row r="7537" spans="1:8">
      <c r="A7537" t="s">
        <v>13046</v>
      </c>
      <c r="B7537" t="s">
        <v>9324</v>
      </c>
      <c r="C7537" s="34" t="s">
        <v>10164</v>
      </c>
      <c r="F7537" t="s">
        <v>13047</v>
      </c>
      <c r="G7537" t="s">
        <v>6932</v>
      </c>
      <c r="H7537">
        <v>5</v>
      </c>
    </row>
    <row r="7538" spans="1:8">
      <c r="A7538" t="s">
        <v>13048</v>
      </c>
      <c r="B7538" t="s">
        <v>9324</v>
      </c>
      <c r="C7538" s="34" t="s">
        <v>13049</v>
      </c>
      <c r="F7538" t="s">
        <v>13050</v>
      </c>
      <c r="G7538" t="s">
        <v>6932</v>
      </c>
      <c r="H7538">
        <v>5</v>
      </c>
    </row>
    <row r="7539" spans="1:8">
      <c r="A7539" t="s">
        <v>13051</v>
      </c>
      <c r="B7539" t="s">
        <v>9324</v>
      </c>
      <c r="C7539" s="34" t="s">
        <v>13052</v>
      </c>
      <c r="F7539" t="s">
        <v>13052</v>
      </c>
      <c r="G7539" t="s">
        <v>6932</v>
      </c>
      <c r="H7539">
        <v>5</v>
      </c>
    </row>
    <row r="7540" spans="1:8">
      <c r="A7540" t="s">
        <v>13053</v>
      </c>
      <c r="B7540" t="s">
        <v>9324</v>
      </c>
      <c r="C7540" s="34" t="s">
        <v>913</v>
      </c>
      <c r="F7540" t="s">
        <v>913</v>
      </c>
      <c r="G7540" t="s">
        <v>6932</v>
      </c>
      <c r="H7540">
        <v>5</v>
      </c>
    </row>
    <row r="7541" spans="1:8">
      <c r="A7541" t="s">
        <v>13054</v>
      </c>
      <c r="B7541" t="s">
        <v>9324</v>
      </c>
      <c r="C7541" s="34" t="s">
        <v>13055</v>
      </c>
      <c r="F7541" t="s">
        <v>13055</v>
      </c>
      <c r="G7541" t="s">
        <v>6932</v>
      </c>
      <c r="H7541">
        <v>5</v>
      </c>
    </row>
    <row r="7542" spans="1:8">
      <c r="A7542" t="s">
        <v>13056</v>
      </c>
      <c r="B7542" t="s">
        <v>9324</v>
      </c>
      <c r="C7542" s="34" t="s">
        <v>13057</v>
      </c>
      <c r="F7542" t="s">
        <v>13057</v>
      </c>
      <c r="G7542" t="s">
        <v>6932</v>
      </c>
      <c r="H7542">
        <v>5</v>
      </c>
    </row>
    <row r="7543" spans="1:8">
      <c r="A7543" t="s">
        <v>13058</v>
      </c>
      <c r="B7543" t="s">
        <v>9324</v>
      </c>
      <c r="C7543" s="34" t="s">
        <v>13059</v>
      </c>
      <c r="F7543" t="s">
        <v>13059</v>
      </c>
      <c r="G7543" t="s">
        <v>6932</v>
      </c>
      <c r="H7543">
        <v>5</v>
      </c>
    </row>
    <row r="7544" spans="1:8">
      <c r="A7544" t="s">
        <v>13060</v>
      </c>
      <c r="B7544" t="s">
        <v>9324</v>
      </c>
      <c r="C7544" s="34" t="s">
        <v>13061</v>
      </c>
      <c r="F7544" t="s">
        <v>13061</v>
      </c>
      <c r="G7544" t="s">
        <v>6932</v>
      </c>
      <c r="H7544">
        <v>5</v>
      </c>
    </row>
    <row r="7545" spans="1:8">
      <c r="A7545" t="s">
        <v>13062</v>
      </c>
      <c r="B7545" t="s">
        <v>9324</v>
      </c>
      <c r="C7545" s="34" t="s">
        <v>1999</v>
      </c>
      <c r="F7545" t="s">
        <v>13063</v>
      </c>
      <c r="G7545" t="s">
        <v>6932</v>
      </c>
      <c r="H7545">
        <v>5</v>
      </c>
    </row>
    <row r="7546" spans="1:8">
      <c r="A7546" t="s">
        <v>13064</v>
      </c>
      <c r="B7546" t="s">
        <v>9324</v>
      </c>
      <c r="C7546" s="34" t="s">
        <v>13065</v>
      </c>
      <c r="F7546" t="s">
        <v>13065</v>
      </c>
      <c r="G7546" t="s">
        <v>6932</v>
      </c>
      <c r="H7546">
        <v>5</v>
      </c>
    </row>
    <row r="7547" spans="1:8">
      <c r="A7547" t="s">
        <v>13066</v>
      </c>
      <c r="B7547" t="s">
        <v>9324</v>
      </c>
      <c r="C7547" s="34" t="s">
        <v>13067</v>
      </c>
      <c r="F7547" t="s">
        <v>13068</v>
      </c>
      <c r="G7547" t="s">
        <v>6932</v>
      </c>
      <c r="H7547">
        <v>5</v>
      </c>
    </row>
    <row r="7548" spans="1:8">
      <c r="A7548" t="s">
        <v>13069</v>
      </c>
      <c r="B7548" t="s">
        <v>9324</v>
      </c>
      <c r="C7548" s="34" t="s">
        <v>10960</v>
      </c>
      <c r="F7548" t="s">
        <v>13070</v>
      </c>
      <c r="G7548" t="s">
        <v>6932</v>
      </c>
      <c r="H7548">
        <v>5</v>
      </c>
    </row>
    <row r="7549" spans="1:8">
      <c r="A7549" t="s">
        <v>13071</v>
      </c>
      <c r="B7549" t="s">
        <v>9324</v>
      </c>
      <c r="C7549" s="34" t="s">
        <v>13072</v>
      </c>
      <c r="F7549" t="s">
        <v>13072</v>
      </c>
      <c r="G7549" t="s">
        <v>6932</v>
      </c>
      <c r="H7549">
        <v>5</v>
      </c>
    </row>
    <row r="7550" spans="1:8">
      <c r="A7550" t="s">
        <v>13073</v>
      </c>
      <c r="B7550" t="s">
        <v>9324</v>
      </c>
      <c r="C7550" s="34" t="s">
        <v>13074</v>
      </c>
      <c r="F7550" t="s">
        <v>13075</v>
      </c>
      <c r="G7550" t="s">
        <v>6932</v>
      </c>
      <c r="H7550">
        <v>5</v>
      </c>
    </row>
    <row r="7551" spans="1:8">
      <c r="A7551" t="s">
        <v>13076</v>
      </c>
      <c r="B7551" t="s">
        <v>9324</v>
      </c>
      <c r="C7551" s="34" t="s">
        <v>13077</v>
      </c>
      <c r="F7551" t="s">
        <v>13077</v>
      </c>
      <c r="G7551" t="s">
        <v>6932</v>
      </c>
      <c r="H7551">
        <v>5</v>
      </c>
    </row>
    <row r="7552" spans="1:8">
      <c r="A7552" t="s">
        <v>13078</v>
      </c>
      <c r="B7552" t="s">
        <v>9324</v>
      </c>
      <c r="C7552" s="34" t="s">
        <v>13079</v>
      </c>
      <c r="F7552" t="s">
        <v>13080</v>
      </c>
      <c r="G7552" t="s">
        <v>6932</v>
      </c>
      <c r="H7552">
        <v>5</v>
      </c>
    </row>
    <row r="7553" spans="1:13">
      <c r="A7553" t="s">
        <v>13081</v>
      </c>
      <c r="B7553" t="s">
        <v>9324</v>
      </c>
      <c r="C7553" s="34" t="s">
        <v>769</v>
      </c>
      <c r="D7553" t="s">
        <v>561</v>
      </c>
      <c r="F7553" t="s">
        <v>13082</v>
      </c>
      <c r="G7553" t="s">
        <v>6932</v>
      </c>
      <c r="H7553">
        <v>5</v>
      </c>
    </row>
    <row r="7554" spans="1:13">
      <c r="A7554" t="s">
        <v>13083</v>
      </c>
      <c r="B7554" t="s">
        <v>9324</v>
      </c>
      <c r="C7554" s="34" t="s">
        <v>12698</v>
      </c>
      <c r="F7554" t="s">
        <v>13084</v>
      </c>
      <c r="G7554" t="s">
        <v>6932</v>
      </c>
      <c r="H7554">
        <v>5</v>
      </c>
    </row>
    <row r="7555" spans="1:13">
      <c r="A7555" t="s">
        <v>13085</v>
      </c>
      <c r="B7555" t="s">
        <v>9324</v>
      </c>
      <c r="C7555" s="34" t="s">
        <v>13086</v>
      </c>
      <c r="F7555" t="s">
        <v>13087</v>
      </c>
      <c r="G7555" t="s">
        <v>6932</v>
      </c>
      <c r="H7555">
        <v>5</v>
      </c>
    </row>
    <row r="7556" spans="1:13">
      <c r="A7556" t="s">
        <v>13088</v>
      </c>
      <c r="B7556" t="s">
        <v>9324</v>
      </c>
      <c r="C7556" s="34" t="s">
        <v>13089</v>
      </c>
      <c r="F7556" t="s">
        <v>13090</v>
      </c>
      <c r="G7556" t="s">
        <v>6932</v>
      </c>
      <c r="H7556">
        <v>5</v>
      </c>
    </row>
    <row r="7557" spans="1:13">
      <c r="A7557" t="s">
        <v>13091</v>
      </c>
      <c r="B7557" t="s">
        <v>9324</v>
      </c>
      <c r="C7557" s="34" t="s">
        <v>13092</v>
      </c>
      <c r="F7557" t="s">
        <v>13093</v>
      </c>
      <c r="G7557" t="s">
        <v>6932</v>
      </c>
      <c r="H7557">
        <v>5</v>
      </c>
    </row>
    <row r="7558" spans="1:13">
      <c r="A7558" t="s">
        <v>13094</v>
      </c>
      <c r="B7558" t="s">
        <v>9324</v>
      </c>
      <c r="C7558" s="34" t="s">
        <v>819</v>
      </c>
      <c r="F7558" t="s">
        <v>13095</v>
      </c>
      <c r="G7558" t="s">
        <v>6932</v>
      </c>
      <c r="H7558">
        <v>5</v>
      </c>
    </row>
    <row r="7559" spans="1:13">
      <c r="A7559" t="s">
        <v>2206</v>
      </c>
      <c r="B7559" t="s">
        <v>1126</v>
      </c>
      <c r="C7559" s="34" t="s">
        <v>1438</v>
      </c>
      <c r="F7559" t="s">
        <v>1438</v>
      </c>
      <c r="H7559">
        <v>15</v>
      </c>
      <c r="I7559">
        <f>VLOOKUP(B7559,BRAND!B:D,3,FALSE)</f>
        <v>3</v>
      </c>
      <c r="J7559">
        <v>4</v>
      </c>
      <c r="K7559" t="s">
        <v>821</v>
      </c>
      <c r="L7559">
        <v>0</v>
      </c>
      <c r="M7559">
        <v>0</v>
      </c>
    </row>
    <row r="7560" spans="1:13">
      <c r="A7560" t="s">
        <v>4079</v>
      </c>
      <c r="B7560" t="s">
        <v>342</v>
      </c>
      <c r="C7560" s="34" t="s">
        <v>1999</v>
      </c>
      <c r="F7560" t="s">
        <v>1999</v>
      </c>
      <c r="H7560">
        <v>5</v>
      </c>
      <c r="I7560">
        <f>VLOOKUP(B7560,BRAND!B:D,3,FALSE)</f>
        <v>5.5</v>
      </c>
      <c r="J7560">
        <v>7</v>
      </c>
      <c r="K7560" t="e">
        <v>#N/A</v>
      </c>
      <c r="M7560">
        <v>1</v>
      </c>
    </row>
    <row r="7561" spans="1:13">
      <c r="A7561" t="s">
        <v>2551</v>
      </c>
      <c r="B7561" t="s">
        <v>342</v>
      </c>
      <c r="C7561" s="34" t="s">
        <v>777</v>
      </c>
      <c r="F7561" t="s">
        <v>777</v>
      </c>
      <c r="H7561">
        <v>5</v>
      </c>
      <c r="I7561">
        <f>VLOOKUP(B7561,BRAND!B:D,3,FALSE)</f>
        <v>5.5</v>
      </c>
      <c r="J7561">
        <v>7</v>
      </c>
      <c r="K7561" t="e">
        <v>#N/A</v>
      </c>
      <c r="M7561">
        <v>1</v>
      </c>
    </row>
    <row r="7562" spans="1:13">
      <c r="A7562" t="s">
        <v>3541</v>
      </c>
      <c r="B7562" t="s">
        <v>342</v>
      </c>
      <c r="C7562" s="34" t="s">
        <v>746</v>
      </c>
      <c r="F7562" t="s">
        <v>746</v>
      </c>
      <c r="H7562">
        <v>5</v>
      </c>
      <c r="I7562">
        <f>VLOOKUP(B7562,BRAND!B:D,3,FALSE)</f>
        <v>5.5</v>
      </c>
      <c r="J7562">
        <v>6</v>
      </c>
      <c r="K7562" t="e">
        <v>#N/A</v>
      </c>
      <c r="L7562">
        <v>0</v>
      </c>
      <c r="M7562">
        <v>0</v>
      </c>
    </row>
    <row r="7563" spans="1:13">
      <c r="A7563" t="s">
        <v>3546</v>
      </c>
      <c r="B7563" t="s">
        <v>342</v>
      </c>
      <c r="C7563" s="34" t="s">
        <v>946</v>
      </c>
      <c r="F7563" t="s">
        <v>946</v>
      </c>
      <c r="H7563">
        <v>5</v>
      </c>
      <c r="I7563">
        <f>VLOOKUP(B7563,BRAND!B:D,3,FALSE)</f>
        <v>5.5</v>
      </c>
      <c r="J7563">
        <v>6</v>
      </c>
      <c r="K7563" t="e">
        <v>#N/A</v>
      </c>
      <c r="L7563">
        <v>0</v>
      </c>
      <c r="M7563">
        <v>0</v>
      </c>
    </row>
    <row r="7564" spans="1:13">
      <c r="A7564" t="s">
        <v>3194</v>
      </c>
      <c r="B7564" t="s">
        <v>342</v>
      </c>
      <c r="C7564" s="34" t="s">
        <v>534</v>
      </c>
      <c r="F7564" t="s">
        <v>534</v>
      </c>
      <c r="H7564">
        <v>5</v>
      </c>
      <c r="I7564">
        <f>VLOOKUP(B7564,BRAND!B:D,3,FALSE)</f>
        <v>5.5</v>
      </c>
      <c r="J7564">
        <v>6</v>
      </c>
      <c r="K7564" t="e">
        <v>#N/A</v>
      </c>
      <c r="L7564">
        <v>0</v>
      </c>
      <c r="M7564">
        <v>0</v>
      </c>
    </row>
    <row r="7565" spans="1:13">
      <c r="A7565" t="s">
        <v>9327</v>
      </c>
      <c r="B7565" t="s">
        <v>342</v>
      </c>
      <c r="C7565" s="34" t="s">
        <v>534</v>
      </c>
      <c r="F7565" t="s">
        <v>534</v>
      </c>
      <c r="G7565" t="s">
        <v>6932</v>
      </c>
      <c r="H7565">
        <v>5</v>
      </c>
      <c r="I7565">
        <f>VLOOKUP(B7565,BRAND!B:D,3,FALSE)</f>
        <v>5.5</v>
      </c>
      <c r="J7565">
        <v>6</v>
      </c>
      <c r="M7565">
        <v>1</v>
      </c>
    </row>
    <row r="7566" spans="1:13">
      <c r="A7566" t="s">
        <v>3542</v>
      </c>
      <c r="B7566" t="s">
        <v>342</v>
      </c>
      <c r="C7566" s="34" t="s">
        <v>535</v>
      </c>
      <c r="F7566" t="s">
        <v>535</v>
      </c>
      <c r="H7566">
        <v>5</v>
      </c>
      <c r="I7566">
        <f>VLOOKUP(B7566,BRAND!B:D,3,FALSE)</f>
        <v>5.5</v>
      </c>
      <c r="J7566">
        <v>6</v>
      </c>
      <c r="K7566" t="e">
        <v>#N/A</v>
      </c>
      <c r="M7566">
        <v>1</v>
      </c>
    </row>
    <row r="7567" spans="1:13">
      <c r="A7567" t="s">
        <v>9328</v>
      </c>
      <c r="B7567" t="s">
        <v>342</v>
      </c>
      <c r="C7567" s="34" t="s">
        <v>746</v>
      </c>
      <c r="F7567" t="s">
        <v>746</v>
      </c>
      <c r="G7567" t="s">
        <v>6932</v>
      </c>
      <c r="H7567">
        <v>5</v>
      </c>
      <c r="I7567">
        <f>VLOOKUP(B7567,BRAND!B:D,3,FALSE)</f>
        <v>5.5</v>
      </c>
      <c r="J7567">
        <v>6</v>
      </c>
      <c r="M7567">
        <v>1</v>
      </c>
    </row>
    <row r="7568" spans="1:13">
      <c r="A7568" t="s">
        <v>9325</v>
      </c>
      <c r="B7568" t="s">
        <v>342</v>
      </c>
      <c r="C7568" s="34" t="s">
        <v>8070</v>
      </c>
      <c r="F7568" t="s">
        <v>8070</v>
      </c>
      <c r="G7568" t="s">
        <v>6932</v>
      </c>
      <c r="H7568">
        <v>5</v>
      </c>
      <c r="I7568">
        <f>VLOOKUP(B7568,BRAND!B:D,3,FALSE)</f>
        <v>5.5</v>
      </c>
      <c r="J7568">
        <v>6</v>
      </c>
      <c r="M7568">
        <v>1</v>
      </c>
    </row>
    <row r="7569" spans="1:13">
      <c r="A7569" t="s">
        <v>9326</v>
      </c>
      <c r="B7569" t="s">
        <v>342</v>
      </c>
      <c r="C7569" s="34" t="s">
        <v>946</v>
      </c>
      <c r="F7569" t="s">
        <v>946</v>
      </c>
      <c r="G7569" t="s">
        <v>6932</v>
      </c>
      <c r="H7569">
        <v>5</v>
      </c>
      <c r="I7569">
        <f>VLOOKUP(B7569,BRAND!B:D,3,FALSE)</f>
        <v>5.5</v>
      </c>
      <c r="J7569">
        <v>6</v>
      </c>
      <c r="M7569">
        <v>1</v>
      </c>
    </row>
    <row r="7570" spans="1:13">
      <c r="A7570" t="s">
        <v>2586</v>
      </c>
      <c r="B7570" t="s">
        <v>342</v>
      </c>
      <c r="C7570" s="34" t="s">
        <v>776</v>
      </c>
      <c r="F7570" t="s">
        <v>776</v>
      </c>
      <c r="H7570">
        <v>5</v>
      </c>
      <c r="I7570">
        <f>VLOOKUP(B7570,BRAND!B:D,3,FALSE)</f>
        <v>5.5</v>
      </c>
      <c r="J7570">
        <v>5</v>
      </c>
      <c r="K7570" t="e">
        <v>#N/A</v>
      </c>
      <c r="M7570">
        <v>1</v>
      </c>
    </row>
    <row r="7571" spans="1:13">
      <c r="A7571" t="s">
        <v>2559</v>
      </c>
      <c r="B7571" t="s">
        <v>342</v>
      </c>
      <c r="C7571" s="34" t="s">
        <v>561</v>
      </c>
      <c r="F7571" t="s">
        <v>561</v>
      </c>
      <c r="H7571">
        <v>5</v>
      </c>
      <c r="I7571">
        <f>VLOOKUP(B7571,BRAND!B:D,3,FALSE)</f>
        <v>5.5</v>
      </c>
      <c r="J7571">
        <v>3</v>
      </c>
      <c r="K7571" t="e">
        <v>#N/A</v>
      </c>
      <c r="L7571">
        <v>0</v>
      </c>
      <c r="M7571">
        <v>0</v>
      </c>
    </row>
    <row r="7572" spans="1:13">
      <c r="A7572" t="s">
        <v>3544</v>
      </c>
      <c r="B7572" t="s">
        <v>342</v>
      </c>
      <c r="C7572" s="34" t="s">
        <v>775</v>
      </c>
      <c r="F7572" t="s">
        <v>775</v>
      </c>
      <c r="H7572">
        <v>5</v>
      </c>
      <c r="I7572">
        <f>VLOOKUP(B7572,BRAND!B:D,3,FALSE)</f>
        <v>5.5</v>
      </c>
      <c r="J7572">
        <v>3</v>
      </c>
      <c r="K7572" t="e">
        <v>#N/A</v>
      </c>
      <c r="M7572">
        <v>1</v>
      </c>
    </row>
    <row r="7573" spans="1:13">
      <c r="A7573" t="s">
        <v>9860</v>
      </c>
      <c r="B7573" t="s">
        <v>342</v>
      </c>
      <c r="C7573" s="34" t="s">
        <v>777</v>
      </c>
      <c r="G7573" t="s">
        <v>7515</v>
      </c>
      <c r="H7573">
        <v>5</v>
      </c>
      <c r="I7573">
        <f>VLOOKUP(B7573,BRAND!B:D,3,FALSE)</f>
        <v>5.5</v>
      </c>
      <c r="J7573">
        <f>LEN(F7573)</f>
        <v>0</v>
      </c>
      <c r="L7573">
        <v>0</v>
      </c>
      <c r="M7573">
        <v>0</v>
      </c>
    </row>
    <row r="7574" spans="1:13">
      <c r="A7574" t="s">
        <v>9861</v>
      </c>
      <c r="B7574" t="s">
        <v>342</v>
      </c>
      <c r="C7574" s="34" t="s">
        <v>8784</v>
      </c>
      <c r="H7574">
        <v>5</v>
      </c>
      <c r="I7574">
        <f>VLOOKUP(B7574,BRAND!B:D,3,FALSE)</f>
        <v>5.5</v>
      </c>
      <c r="J7574">
        <f>LEN(F7574)</f>
        <v>0</v>
      </c>
      <c r="L7574">
        <v>0</v>
      </c>
      <c r="M7574">
        <v>0</v>
      </c>
    </row>
    <row r="7575" spans="1:13">
      <c r="A7575" t="s">
        <v>9861</v>
      </c>
      <c r="B7575" t="s">
        <v>342</v>
      </c>
      <c r="C7575" s="34" t="s">
        <v>8784</v>
      </c>
      <c r="H7575">
        <v>5</v>
      </c>
      <c r="I7575">
        <f>VLOOKUP(B7575,BRAND!B:D,3,FALSE)</f>
        <v>5.5</v>
      </c>
      <c r="J7575">
        <v>0</v>
      </c>
      <c r="M7575">
        <v>1</v>
      </c>
    </row>
    <row r="7576" spans="1:13">
      <c r="A7576" t="s">
        <v>9860</v>
      </c>
      <c r="B7576" t="s">
        <v>342</v>
      </c>
      <c r="C7576" s="34" t="s">
        <v>777</v>
      </c>
      <c r="G7576" t="s">
        <v>7515</v>
      </c>
      <c r="H7576">
        <v>5</v>
      </c>
      <c r="I7576">
        <f>VLOOKUP(B7576,BRAND!B:D,3,FALSE)</f>
        <v>5.5</v>
      </c>
      <c r="J7576">
        <v>0</v>
      </c>
      <c r="M7576">
        <v>1</v>
      </c>
    </row>
    <row r="7577" spans="1:13">
      <c r="A7577" t="s">
        <v>2663</v>
      </c>
      <c r="B7577" t="s">
        <v>342</v>
      </c>
      <c r="C7577" s="34" t="s">
        <v>1438</v>
      </c>
      <c r="F7577" t="s">
        <v>1438</v>
      </c>
      <c r="H7577">
        <v>15</v>
      </c>
      <c r="I7577">
        <f>VLOOKUP(B7577,BRAND!B:D,3,FALSE)</f>
        <v>5.5</v>
      </c>
      <c r="J7577">
        <v>4</v>
      </c>
      <c r="K7577" t="e">
        <v>#N/A</v>
      </c>
      <c r="L7577">
        <v>0</v>
      </c>
      <c r="M7577">
        <v>0</v>
      </c>
    </row>
    <row r="7578" spans="1:13">
      <c r="A7578" t="s">
        <v>15105</v>
      </c>
      <c r="B7578" t="s">
        <v>15106</v>
      </c>
      <c r="C7578" s="34" t="s">
        <v>1438</v>
      </c>
      <c r="F7578" t="s">
        <v>1438</v>
      </c>
      <c r="G7578" t="s">
        <v>6932</v>
      </c>
      <c r="H7578">
        <v>5</v>
      </c>
      <c r="I7578">
        <f>VLOOKUP(B7578,BRAND!B:D,3,FALSE)</f>
        <v>5</v>
      </c>
      <c r="J7578">
        <v>0</v>
      </c>
      <c r="K7578" t="s">
        <v>821</v>
      </c>
      <c r="L7578">
        <v>0</v>
      </c>
      <c r="M7578">
        <v>0</v>
      </c>
    </row>
    <row r="7579" spans="1:13">
      <c r="A7579" t="s">
        <v>3726</v>
      </c>
      <c r="B7579" t="s">
        <v>968</v>
      </c>
      <c r="C7579" s="34" t="s">
        <v>777</v>
      </c>
      <c r="F7579" t="s">
        <v>777</v>
      </c>
      <c r="H7579">
        <v>5</v>
      </c>
      <c r="I7579">
        <f>VLOOKUP(B7579,BRAND!B:D,3,FALSE)</f>
        <v>3</v>
      </c>
      <c r="J7579">
        <v>7</v>
      </c>
      <c r="K7579" t="s">
        <v>821</v>
      </c>
      <c r="L7579">
        <v>0</v>
      </c>
      <c r="M7579">
        <v>0</v>
      </c>
    </row>
    <row r="7580" spans="1:13">
      <c r="A7580" t="s">
        <v>3251</v>
      </c>
      <c r="B7580" t="s">
        <v>173</v>
      </c>
      <c r="C7580" s="34" t="s">
        <v>561</v>
      </c>
      <c r="F7580" t="s">
        <v>561</v>
      </c>
      <c r="H7580">
        <v>5</v>
      </c>
      <c r="I7580">
        <f>VLOOKUP(B7580,BRAND!B:D,3,FALSE)</f>
        <v>3</v>
      </c>
      <c r="J7580">
        <v>3</v>
      </c>
      <c r="K7580" t="s">
        <v>821</v>
      </c>
      <c r="L7580">
        <v>0</v>
      </c>
      <c r="M7580">
        <v>0</v>
      </c>
    </row>
    <row r="7581" spans="1:13">
      <c r="A7581" t="s">
        <v>9927</v>
      </c>
      <c r="B7581" t="s">
        <v>173</v>
      </c>
      <c r="C7581" s="34" t="s">
        <v>534</v>
      </c>
      <c r="H7581">
        <v>5</v>
      </c>
      <c r="I7581">
        <f>VLOOKUP(B7581,BRAND!B:D,3,FALSE)</f>
        <v>3</v>
      </c>
      <c r="J7581">
        <f>LEN(F7581)</f>
        <v>0</v>
      </c>
      <c r="L7581">
        <v>0</v>
      </c>
      <c r="M7581">
        <v>0</v>
      </c>
    </row>
    <row r="7582" spans="1:13">
      <c r="A7582" t="s">
        <v>9927</v>
      </c>
      <c r="B7582" t="s">
        <v>173</v>
      </c>
      <c r="C7582" s="34" t="s">
        <v>534</v>
      </c>
      <c r="H7582">
        <v>5</v>
      </c>
      <c r="I7582">
        <f>VLOOKUP(B7582,BRAND!B:D,3,FALSE)</f>
        <v>3</v>
      </c>
      <c r="J7582">
        <v>0</v>
      </c>
      <c r="M7582">
        <v>1</v>
      </c>
    </row>
    <row r="7583" spans="1:13">
      <c r="A7583" t="s">
        <v>2315</v>
      </c>
      <c r="B7583" t="s">
        <v>173</v>
      </c>
      <c r="C7583" s="34" t="s">
        <v>1438</v>
      </c>
      <c r="F7583" t="s">
        <v>1438</v>
      </c>
      <c r="H7583">
        <v>15</v>
      </c>
      <c r="I7583">
        <f>VLOOKUP(B7583,BRAND!B:D,3,FALSE)</f>
        <v>3</v>
      </c>
      <c r="J7583">
        <v>4</v>
      </c>
      <c r="K7583" t="s">
        <v>821</v>
      </c>
      <c r="L7583">
        <v>0</v>
      </c>
      <c r="M7583">
        <v>0</v>
      </c>
    </row>
    <row r="7584" spans="1:13">
      <c r="A7584" t="s">
        <v>4795</v>
      </c>
      <c r="B7584" t="s">
        <v>1200</v>
      </c>
      <c r="C7584" s="34" t="s">
        <v>900</v>
      </c>
      <c r="F7584" t="s">
        <v>900</v>
      </c>
      <c r="H7584">
        <v>5</v>
      </c>
      <c r="I7584">
        <f>VLOOKUP(B7584,BRAND!B:D,3,FALSE)</f>
        <v>3</v>
      </c>
      <c r="J7584">
        <v>5</v>
      </c>
      <c r="K7584" t="s">
        <v>821</v>
      </c>
      <c r="L7584">
        <v>0</v>
      </c>
      <c r="M7584">
        <v>0</v>
      </c>
    </row>
    <row r="7585" spans="1:13">
      <c r="A7585" t="s">
        <v>7037</v>
      </c>
      <c r="B7585" t="s">
        <v>1200</v>
      </c>
      <c r="C7585" s="34" t="s">
        <v>1438</v>
      </c>
      <c r="F7585" t="s">
        <v>1438</v>
      </c>
      <c r="H7585">
        <v>5</v>
      </c>
      <c r="I7585">
        <f>VLOOKUP(B7585,BRAND!B:D,3,FALSE)</f>
        <v>3</v>
      </c>
      <c r="J7585">
        <v>4</v>
      </c>
      <c r="L7585">
        <v>1</v>
      </c>
      <c r="M7585">
        <v>1</v>
      </c>
    </row>
    <row r="7586" spans="1:13">
      <c r="A7586" t="s">
        <v>2645</v>
      </c>
      <c r="B7586" t="s">
        <v>1200</v>
      </c>
      <c r="C7586" s="34" t="s">
        <v>1438</v>
      </c>
      <c r="F7586" t="s">
        <v>1438</v>
      </c>
      <c r="H7586">
        <v>15</v>
      </c>
      <c r="I7586">
        <f>VLOOKUP(B7586,BRAND!B:D,3,FALSE)</f>
        <v>3</v>
      </c>
      <c r="J7586">
        <v>4</v>
      </c>
      <c r="K7586" t="s">
        <v>821</v>
      </c>
      <c r="L7586">
        <v>0</v>
      </c>
      <c r="M7586">
        <v>0</v>
      </c>
    </row>
    <row r="7587" spans="1:13">
      <c r="A7587" t="s">
        <v>4262</v>
      </c>
      <c r="B7587" t="s">
        <v>1138</v>
      </c>
      <c r="C7587" s="34" t="s">
        <v>772</v>
      </c>
      <c r="F7587" t="s">
        <v>772</v>
      </c>
      <c r="H7587">
        <v>5</v>
      </c>
      <c r="I7587">
        <f>VLOOKUP(B7587,BRAND!B:D,3,FALSE)</f>
        <v>5</v>
      </c>
      <c r="J7587">
        <v>6</v>
      </c>
      <c r="K7587" t="s">
        <v>821</v>
      </c>
      <c r="L7587">
        <v>0</v>
      </c>
      <c r="M7587">
        <v>0</v>
      </c>
    </row>
    <row r="7588" spans="1:13">
      <c r="A7588" t="s">
        <v>2465</v>
      </c>
      <c r="B7588" t="s">
        <v>1138</v>
      </c>
      <c r="C7588" s="34" t="s">
        <v>536</v>
      </c>
      <c r="F7588" t="s">
        <v>536</v>
      </c>
      <c r="H7588">
        <v>5</v>
      </c>
      <c r="I7588">
        <f>VLOOKUP(B7588,BRAND!B:D,3,FALSE)</f>
        <v>5</v>
      </c>
      <c r="J7588">
        <v>5</v>
      </c>
      <c r="K7588" t="s">
        <v>821</v>
      </c>
      <c r="L7588">
        <v>0</v>
      </c>
      <c r="M7588">
        <v>0</v>
      </c>
    </row>
    <row r="7589" spans="1:13">
      <c r="A7589" t="s">
        <v>3006</v>
      </c>
      <c r="B7589" t="s">
        <v>444</v>
      </c>
      <c r="C7589" s="34" t="s">
        <v>804</v>
      </c>
      <c r="F7589" t="s">
        <v>804</v>
      </c>
      <c r="H7589">
        <v>5</v>
      </c>
      <c r="I7589">
        <f>VLOOKUP(B7589,BRAND!B:D,3,FALSE)</f>
        <v>5.5</v>
      </c>
      <c r="J7589">
        <v>7</v>
      </c>
      <c r="K7589" t="e">
        <v>#N/A</v>
      </c>
      <c r="L7589">
        <v>0</v>
      </c>
      <c r="M7589">
        <v>0</v>
      </c>
    </row>
    <row r="7590" spans="1:13">
      <c r="A7590" t="s">
        <v>3209</v>
      </c>
      <c r="B7590" t="s">
        <v>444</v>
      </c>
      <c r="C7590" s="34" t="s">
        <v>988</v>
      </c>
      <c r="F7590" t="s">
        <v>988</v>
      </c>
      <c r="H7590">
        <v>5</v>
      </c>
      <c r="I7590">
        <f>VLOOKUP(B7590,BRAND!B:D,3,FALSE)</f>
        <v>5.5</v>
      </c>
      <c r="J7590">
        <v>4</v>
      </c>
      <c r="K7590" t="e">
        <v>#N/A</v>
      </c>
      <c r="L7590">
        <v>0</v>
      </c>
      <c r="M7590">
        <v>0</v>
      </c>
    </row>
    <row r="7591" spans="1:13">
      <c r="A7591" t="s">
        <v>4282</v>
      </c>
      <c r="B7591" t="s">
        <v>1908</v>
      </c>
      <c r="C7591" s="34" t="s">
        <v>534</v>
      </c>
      <c r="F7591" t="s">
        <v>534</v>
      </c>
      <c r="H7591">
        <v>5</v>
      </c>
      <c r="I7591">
        <f>VLOOKUP(B7591,BRAND!B:D,3,FALSE)</f>
        <v>5</v>
      </c>
      <c r="J7591">
        <v>6</v>
      </c>
      <c r="K7591" t="s">
        <v>821</v>
      </c>
      <c r="L7591">
        <v>0</v>
      </c>
      <c r="M7591">
        <v>0</v>
      </c>
    </row>
    <row r="7592" spans="1:13">
      <c r="A7592" t="s">
        <v>3069</v>
      </c>
      <c r="B7592" t="s">
        <v>1357</v>
      </c>
      <c r="C7592" s="34" t="s">
        <v>1438</v>
      </c>
      <c r="F7592" t="s">
        <v>1438</v>
      </c>
      <c r="H7592">
        <v>15</v>
      </c>
      <c r="I7592">
        <f>VLOOKUP(B7592,BRAND!B:D,3,FALSE)</f>
        <v>3</v>
      </c>
      <c r="J7592">
        <v>4</v>
      </c>
      <c r="K7592" t="s">
        <v>821</v>
      </c>
      <c r="L7592">
        <v>0</v>
      </c>
      <c r="M7592">
        <v>0</v>
      </c>
    </row>
    <row r="7593" spans="1:13">
      <c r="A7593" t="s">
        <v>3905</v>
      </c>
      <c r="B7593" t="s">
        <v>615</v>
      </c>
      <c r="C7593" s="34" t="s">
        <v>772</v>
      </c>
      <c r="F7593" t="s">
        <v>772</v>
      </c>
      <c r="H7593">
        <v>5</v>
      </c>
      <c r="I7593">
        <f>VLOOKUP(B7593,BRAND!B:D,3,FALSE)</f>
        <v>3</v>
      </c>
      <c r="J7593">
        <v>6</v>
      </c>
      <c r="K7593" t="s">
        <v>821</v>
      </c>
      <c r="L7593">
        <v>0</v>
      </c>
      <c r="M7593">
        <v>0</v>
      </c>
    </row>
    <row r="7594" spans="1:13">
      <c r="A7594" t="s">
        <v>3669</v>
      </c>
      <c r="B7594" t="s">
        <v>615</v>
      </c>
      <c r="C7594" s="34" t="s">
        <v>534</v>
      </c>
      <c r="F7594" t="s">
        <v>534</v>
      </c>
      <c r="H7594">
        <v>5</v>
      </c>
      <c r="I7594">
        <f>VLOOKUP(B7594,BRAND!B:D,3,FALSE)</f>
        <v>3</v>
      </c>
      <c r="J7594">
        <v>6</v>
      </c>
      <c r="K7594" t="s">
        <v>821</v>
      </c>
      <c r="M7594">
        <v>1</v>
      </c>
    </row>
    <row r="7595" spans="1:13">
      <c r="A7595" t="s">
        <v>9862</v>
      </c>
      <c r="B7595" t="s">
        <v>615</v>
      </c>
      <c r="C7595" s="34" t="s">
        <v>772</v>
      </c>
      <c r="G7595" t="s">
        <v>6932</v>
      </c>
      <c r="H7595">
        <v>5</v>
      </c>
      <c r="I7595">
        <f>VLOOKUP(B7595,BRAND!B:D,3,FALSE)</f>
        <v>3</v>
      </c>
      <c r="J7595">
        <f>LEN(F7595)</f>
        <v>0</v>
      </c>
      <c r="L7595">
        <v>0</v>
      </c>
      <c r="M7595">
        <v>0</v>
      </c>
    </row>
    <row r="7596" spans="1:13">
      <c r="A7596" t="s">
        <v>9862</v>
      </c>
      <c r="B7596" t="s">
        <v>615</v>
      </c>
      <c r="C7596" s="34" t="s">
        <v>772</v>
      </c>
      <c r="G7596" t="s">
        <v>6932</v>
      </c>
      <c r="H7596">
        <v>5</v>
      </c>
      <c r="I7596">
        <f>VLOOKUP(B7596,BRAND!B:D,3,FALSE)</f>
        <v>3</v>
      </c>
      <c r="J7596">
        <v>0</v>
      </c>
      <c r="M7596">
        <v>1</v>
      </c>
    </row>
    <row r="7597" spans="1:13">
      <c r="A7597" t="s">
        <v>2131</v>
      </c>
      <c r="B7597" t="s">
        <v>615</v>
      </c>
      <c r="C7597" s="34" t="s">
        <v>1438</v>
      </c>
      <c r="F7597" t="s">
        <v>1438</v>
      </c>
      <c r="H7597">
        <v>15</v>
      </c>
      <c r="I7597">
        <f>VLOOKUP(B7597,BRAND!B:D,3,FALSE)</f>
        <v>3</v>
      </c>
      <c r="J7597">
        <v>4</v>
      </c>
      <c r="K7597" t="s">
        <v>821</v>
      </c>
      <c r="L7597">
        <v>0</v>
      </c>
      <c r="M7597">
        <v>0</v>
      </c>
    </row>
    <row r="7598" spans="1:13">
      <c r="A7598" t="s">
        <v>9329</v>
      </c>
      <c r="B7598" t="s">
        <v>9330</v>
      </c>
      <c r="C7598" s="34" t="s">
        <v>1438</v>
      </c>
      <c r="F7598" t="s">
        <v>1438</v>
      </c>
      <c r="G7598" t="s">
        <v>6932</v>
      </c>
      <c r="H7598">
        <v>5</v>
      </c>
      <c r="I7598">
        <f>VLOOKUP(B7598,BRAND!B:D,3,FALSE)</f>
        <v>5.5</v>
      </c>
      <c r="J7598">
        <v>4</v>
      </c>
      <c r="M7598">
        <v>1</v>
      </c>
    </row>
    <row r="7599" spans="1:13">
      <c r="A7599" t="s">
        <v>9331</v>
      </c>
      <c r="B7599" t="s">
        <v>9332</v>
      </c>
      <c r="C7599" s="34" t="s">
        <v>772</v>
      </c>
      <c r="F7599" t="s">
        <v>772</v>
      </c>
      <c r="G7599" t="s">
        <v>6932</v>
      </c>
      <c r="H7599">
        <v>5</v>
      </c>
      <c r="I7599">
        <f>VLOOKUP(B7599,BRAND!B:D,3,FALSE)</f>
        <v>5.5</v>
      </c>
      <c r="J7599">
        <v>6</v>
      </c>
      <c r="L7599">
        <v>0</v>
      </c>
      <c r="M7599">
        <v>0</v>
      </c>
    </row>
    <row r="7600" spans="1:13">
      <c r="A7600" t="s">
        <v>9333</v>
      </c>
      <c r="B7600" t="s">
        <v>9332</v>
      </c>
      <c r="C7600" s="34" t="s">
        <v>534</v>
      </c>
      <c r="F7600" t="s">
        <v>534</v>
      </c>
      <c r="G7600" t="s">
        <v>6932</v>
      </c>
      <c r="H7600">
        <v>5</v>
      </c>
      <c r="I7600">
        <f>VLOOKUP(B7600,BRAND!B:D,3,FALSE)</f>
        <v>5.5</v>
      </c>
      <c r="J7600">
        <v>6</v>
      </c>
      <c r="L7600">
        <v>0</v>
      </c>
      <c r="M7600">
        <v>0</v>
      </c>
    </row>
    <row r="7601" spans="1:13">
      <c r="A7601" t="s">
        <v>10571</v>
      </c>
      <c r="B7601" t="s">
        <v>10377</v>
      </c>
      <c r="C7601" s="34" t="s">
        <v>995</v>
      </c>
      <c r="F7601" t="s">
        <v>995</v>
      </c>
      <c r="G7601" t="s">
        <v>801</v>
      </c>
      <c r="H7601">
        <v>5</v>
      </c>
      <c r="I7601">
        <f>VLOOKUP(B7601,BRAND!B:D,3,FALSE)</f>
        <v>0</v>
      </c>
      <c r="J7601">
        <f>LEN(F7601)</f>
        <v>6</v>
      </c>
      <c r="L7601">
        <v>0</v>
      </c>
    </row>
    <row r="7602" spans="1:13">
      <c r="A7602" t="s">
        <v>9334</v>
      </c>
      <c r="B7602" t="s">
        <v>9335</v>
      </c>
      <c r="C7602" s="34" t="s">
        <v>1438</v>
      </c>
      <c r="F7602" t="s">
        <v>1438</v>
      </c>
      <c r="G7602" t="s">
        <v>6932</v>
      </c>
      <c r="H7602">
        <v>5</v>
      </c>
      <c r="I7602">
        <f>VLOOKUP(B7602,BRAND!B:D,3,FALSE)</f>
        <v>5.5</v>
      </c>
      <c r="J7602">
        <v>4</v>
      </c>
      <c r="M7602">
        <v>1</v>
      </c>
    </row>
    <row r="7603" spans="1:13">
      <c r="A7603" t="s">
        <v>2360</v>
      </c>
      <c r="B7603" t="s">
        <v>1201</v>
      </c>
      <c r="C7603" s="34" t="s">
        <v>1438</v>
      </c>
      <c r="F7603" t="s">
        <v>1438</v>
      </c>
      <c r="H7603">
        <v>15</v>
      </c>
      <c r="I7603">
        <f>VLOOKUP(B7603,BRAND!B:D,3,FALSE)</f>
        <v>3</v>
      </c>
      <c r="J7603">
        <v>4</v>
      </c>
      <c r="K7603" t="s">
        <v>821</v>
      </c>
      <c r="L7603">
        <v>0</v>
      </c>
      <c r="M7603">
        <v>0</v>
      </c>
    </row>
    <row r="7604" spans="1:13">
      <c r="A7604" t="s">
        <v>15039</v>
      </c>
      <c r="B7604" t="s">
        <v>15040</v>
      </c>
      <c r="C7604" s="34" t="s">
        <v>15041</v>
      </c>
      <c r="F7604" t="s">
        <v>15041</v>
      </c>
      <c r="G7604" t="s">
        <v>6932</v>
      </c>
      <c r="H7604">
        <v>5</v>
      </c>
      <c r="I7604">
        <f>VLOOKUP(B7604,BRAND!B:D,3,FALSE)</f>
        <v>5</v>
      </c>
      <c r="J7604">
        <v>0</v>
      </c>
      <c r="K7604" t="s">
        <v>821</v>
      </c>
      <c r="L7604">
        <v>0</v>
      </c>
      <c r="M7604">
        <v>0</v>
      </c>
    </row>
    <row r="7605" spans="1:13">
      <c r="A7605" t="s">
        <v>15042</v>
      </c>
      <c r="B7605" t="s">
        <v>15040</v>
      </c>
      <c r="C7605" s="34" t="s">
        <v>764</v>
      </c>
      <c r="F7605" t="s">
        <v>764</v>
      </c>
      <c r="G7605" t="s">
        <v>6932</v>
      </c>
      <c r="H7605">
        <v>5</v>
      </c>
      <c r="I7605">
        <f>VLOOKUP(B7605,BRAND!B:D,3,FALSE)</f>
        <v>5</v>
      </c>
      <c r="J7605">
        <v>0</v>
      </c>
      <c r="K7605" t="s">
        <v>821</v>
      </c>
      <c r="L7605">
        <v>0</v>
      </c>
      <c r="M7605">
        <v>0</v>
      </c>
    </row>
    <row r="7606" spans="1:13">
      <c r="A7606" t="s">
        <v>15043</v>
      </c>
      <c r="B7606" t="s">
        <v>15040</v>
      </c>
      <c r="C7606" s="34" t="s">
        <v>898</v>
      </c>
      <c r="F7606" t="s">
        <v>898</v>
      </c>
      <c r="G7606" t="s">
        <v>6932</v>
      </c>
      <c r="H7606">
        <v>5</v>
      </c>
      <c r="I7606">
        <f>VLOOKUP(B7606,BRAND!B:D,3,FALSE)</f>
        <v>5</v>
      </c>
      <c r="J7606">
        <v>0</v>
      </c>
      <c r="K7606" t="s">
        <v>821</v>
      </c>
      <c r="L7606">
        <v>0</v>
      </c>
      <c r="M7606">
        <v>0</v>
      </c>
    </row>
    <row r="7607" spans="1:13">
      <c r="A7607" t="s">
        <v>15044</v>
      </c>
      <c r="B7607" t="s">
        <v>15040</v>
      </c>
      <c r="C7607" s="34" t="s">
        <v>1979</v>
      </c>
      <c r="F7607" t="s">
        <v>1979</v>
      </c>
      <c r="G7607" t="s">
        <v>6932</v>
      </c>
      <c r="H7607">
        <v>5</v>
      </c>
      <c r="I7607">
        <f>VLOOKUP(B7607,BRAND!B:D,3,FALSE)</f>
        <v>5</v>
      </c>
      <c r="J7607">
        <v>0</v>
      </c>
      <c r="K7607" t="s">
        <v>821</v>
      </c>
      <c r="L7607">
        <v>0</v>
      </c>
      <c r="M7607">
        <v>0</v>
      </c>
    </row>
    <row r="7608" spans="1:13">
      <c r="A7608" t="s">
        <v>3529</v>
      </c>
      <c r="B7608" t="s">
        <v>287</v>
      </c>
      <c r="C7608" s="34" t="s">
        <v>772</v>
      </c>
      <c r="F7608" t="s">
        <v>772</v>
      </c>
      <c r="H7608">
        <v>5</v>
      </c>
      <c r="I7608">
        <f>VLOOKUP(B7608,BRAND!B:D,3,FALSE)</f>
        <v>3</v>
      </c>
      <c r="J7608">
        <v>6</v>
      </c>
      <c r="K7608" t="s">
        <v>821</v>
      </c>
      <c r="M7608">
        <v>1</v>
      </c>
    </row>
    <row r="7609" spans="1:13">
      <c r="A7609" t="s">
        <v>3427</v>
      </c>
      <c r="B7609" t="s">
        <v>287</v>
      </c>
      <c r="C7609" s="34" t="s">
        <v>534</v>
      </c>
      <c r="F7609" t="s">
        <v>534</v>
      </c>
      <c r="H7609">
        <v>5</v>
      </c>
      <c r="I7609">
        <f>VLOOKUP(B7609,BRAND!B:D,3,FALSE)</f>
        <v>3</v>
      </c>
      <c r="J7609">
        <v>6</v>
      </c>
      <c r="K7609" t="s">
        <v>821</v>
      </c>
      <c r="M7609">
        <v>1</v>
      </c>
    </row>
    <row r="7610" spans="1:13">
      <c r="A7610" t="s">
        <v>3221</v>
      </c>
      <c r="B7610" t="s">
        <v>287</v>
      </c>
      <c r="C7610" s="34" t="s">
        <v>536</v>
      </c>
      <c r="F7610" t="s">
        <v>536</v>
      </c>
      <c r="H7610">
        <v>5</v>
      </c>
      <c r="I7610">
        <f>VLOOKUP(B7610,BRAND!B:D,3,FALSE)</f>
        <v>3</v>
      </c>
      <c r="J7610">
        <v>5</v>
      </c>
      <c r="K7610" t="s">
        <v>821</v>
      </c>
      <c r="L7610">
        <v>0</v>
      </c>
      <c r="M7610">
        <v>0</v>
      </c>
    </row>
    <row r="7611" spans="1:13">
      <c r="A7611" t="s">
        <v>3222</v>
      </c>
      <c r="B7611" t="s">
        <v>287</v>
      </c>
      <c r="C7611" s="34" t="s">
        <v>842</v>
      </c>
      <c r="F7611" t="s">
        <v>842</v>
      </c>
      <c r="H7611">
        <v>5</v>
      </c>
      <c r="I7611">
        <f>VLOOKUP(B7611,BRAND!B:D,3,FALSE)</f>
        <v>3</v>
      </c>
      <c r="J7611">
        <v>5</v>
      </c>
      <c r="K7611" t="s">
        <v>821</v>
      </c>
      <c r="L7611">
        <v>0</v>
      </c>
      <c r="M7611">
        <v>0</v>
      </c>
    </row>
    <row r="7612" spans="1:13">
      <c r="A7612" t="s">
        <v>9863</v>
      </c>
      <c r="B7612" t="s">
        <v>287</v>
      </c>
      <c r="C7612" s="34" t="s">
        <v>776</v>
      </c>
      <c r="G7612" t="s">
        <v>6932</v>
      </c>
      <c r="H7612">
        <v>5</v>
      </c>
      <c r="I7612">
        <f>VLOOKUP(B7612,BRAND!B:D,3,FALSE)</f>
        <v>3</v>
      </c>
      <c r="J7612">
        <f>LEN(F7612)</f>
        <v>0</v>
      </c>
      <c r="L7612">
        <v>0</v>
      </c>
      <c r="M7612">
        <v>0</v>
      </c>
    </row>
    <row r="7613" spans="1:13">
      <c r="A7613" t="s">
        <v>9864</v>
      </c>
      <c r="B7613" t="s">
        <v>287</v>
      </c>
      <c r="C7613" s="34" t="s">
        <v>1987</v>
      </c>
      <c r="H7613">
        <v>5</v>
      </c>
      <c r="I7613">
        <f>VLOOKUP(B7613,BRAND!B:D,3,FALSE)</f>
        <v>3</v>
      </c>
      <c r="J7613">
        <f>LEN(F7613)</f>
        <v>0</v>
      </c>
      <c r="L7613">
        <v>0</v>
      </c>
      <c r="M7613">
        <v>0</v>
      </c>
    </row>
    <row r="7614" spans="1:13">
      <c r="A7614" t="s">
        <v>9865</v>
      </c>
      <c r="B7614" t="s">
        <v>287</v>
      </c>
      <c r="C7614" s="34" t="s">
        <v>788</v>
      </c>
      <c r="H7614">
        <v>5</v>
      </c>
      <c r="I7614">
        <f>VLOOKUP(B7614,BRAND!B:D,3,FALSE)</f>
        <v>3</v>
      </c>
      <c r="J7614">
        <f>LEN(F7614)</f>
        <v>0</v>
      </c>
      <c r="L7614">
        <v>0</v>
      </c>
      <c r="M7614">
        <v>0</v>
      </c>
    </row>
    <row r="7615" spans="1:13">
      <c r="A7615" t="s">
        <v>9863</v>
      </c>
      <c r="B7615" t="s">
        <v>287</v>
      </c>
      <c r="C7615" s="34" t="s">
        <v>776</v>
      </c>
      <c r="G7615" t="s">
        <v>6932</v>
      </c>
      <c r="H7615">
        <v>5</v>
      </c>
      <c r="I7615">
        <f>VLOOKUP(B7615,BRAND!B:D,3,FALSE)</f>
        <v>3</v>
      </c>
      <c r="J7615">
        <v>0</v>
      </c>
      <c r="M7615">
        <v>1</v>
      </c>
    </row>
    <row r="7616" spans="1:13">
      <c r="A7616" t="s">
        <v>9864</v>
      </c>
      <c r="B7616" t="s">
        <v>287</v>
      </c>
      <c r="C7616" s="34" t="s">
        <v>1987</v>
      </c>
      <c r="H7616">
        <v>5</v>
      </c>
      <c r="I7616">
        <f>VLOOKUP(B7616,BRAND!B:D,3,FALSE)</f>
        <v>3</v>
      </c>
      <c r="J7616">
        <v>0</v>
      </c>
      <c r="M7616">
        <v>1</v>
      </c>
    </row>
    <row r="7617" spans="1:13">
      <c r="A7617" t="s">
        <v>9865</v>
      </c>
      <c r="B7617" t="s">
        <v>287</v>
      </c>
      <c r="C7617" s="34" t="s">
        <v>788</v>
      </c>
      <c r="H7617">
        <v>5</v>
      </c>
      <c r="I7617">
        <f>VLOOKUP(B7617,BRAND!B:D,3,FALSE)</f>
        <v>3</v>
      </c>
      <c r="J7617">
        <v>0</v>
      </c>
      <c r="M7617">
        <v>1</v>
      </c>
    </row>
    <row r="7618" spans="1:13">
      <c r="A7618" t="s">
        <v>7307</v>
      </c>
      <c r="B7618" t="s">
        <v>287</v>
      </c>
      <c r="C7618" s="34" t="s">
        <v>534</v>
      </c>
      <c r="F7618" t="s">
        <v>534</v>
      </c>
      <c r="H7618">
        <v>5</v>
      </c>
      <c r="I7618">
        <f>VLOOKUP(B7618,BRAND!B:D,3,FALSE)</f>
        <v>3</v>
      </c>
      <c r="L7618">
        <v>0</v>
      </c>
      <c r="M7618">
        <v>0</v>
      </c>
    </row>
    <row r="7619" spans="1:13">
      <c r="A7619" t="s">
        <v>7309</v>
      </c>
      <c r="B7619" t="s">
        <v>287</v>
      </c>
      <c r="C7619" s="34" t="s">
        <v>788</v>
      </c>
      <c r="F7619" t="s">
        <v>788</v>
      </c>
      <c r="H7619">
        <v>5</v>
      </c>
      <c r="I7619">
        <f>VLOOKUP(B7619,BRAND!B:D,3,FALSE)</f>
        <v>3</v>
      </c>
      <c r="L7619">
        <v>0</v>
      </c>
      <c r="M7619">
        <v>0</v>
      </c>
    </row>
    <row r="7620" spans="1:13">
      <c r="A7620" t="s">
        <v>7312</v>
      </c>
      <c r="B7620" t="s">
        <v>287</v>
      </c>
      <c r="C7620" s="34" t="s">
        <v>772</v>
      </c>
      <c r="F7620" t="s">
        <v>772</v>
      </c>
      <c r="H7620">
        <v>5</v>
      </c>
      <c r="I7620">
        <f>VLOOKUP(B7620,BRAND!B:D,3,FALSE)</f>
        <v>3</v>
      </c>
      <c r="L7620">
        <v>0</v>
      </c>
      <c r="M7620">
        <v>0</v>
      </c>
    </row>
    <row r="7621" spans="1:13">
      <c r="A7621" t="s">
        <v>7318</v>
      </c>
      <c r="B7621" t="s">
        <v>287</v>
      </c>
      <c r="C7621" s="34" t="s">
        <v>1438</v>
      </c>
      <c r="F7621" t="s">
        <v>1438</v>
      </c>
      <c r="H7621">
        <v>5</v>
      </c>
      <c r="I7621">
        <f>VLOOKUP(B7621,BRAND!B:D,3,FALSE)</f>
        <v>3</v>
      </c>
      <c r="L7621">
        <v>0</v>
      </c>
      <c r="M7621">
        <v>0</v>
      </c>
    </row>
    <row r="7622" spans="1:13">
      <c r="A7622" s="29" t="s">
        <v>7308</v>
      </c>
      <c r="B7622" s="29" t="s">
        <v>287</v>
      </c>
      <c r="C7622" s="36" t="s">
        <v>536</v>
      </c>
      <c r="D7622" s="29"/>
      <c r="E7622" s="29"/>
      <c r="F7622" s="29" t="s">
        <v>536</v>
      </c>
      <c r="G7622" s="29"/>
      <c r="H7622">
        <v>5</v>
      </c>
      <c r="I7622">
        <f>VLOOKUP(B7622,BRAND!B:D,3,FALSE)</f>
        <v>3</v>
      </c>
      <c r="M7622">
        <v>1</v>
      </c>
    </row>
    <row r="7623" spans="1:13">
      <c r="A7623" t="s">
        <v>7313</v>
      </c>
      <c r="B7623" t="s">
        <v>287</v>
      </c>
      <c r="C7623" s="34" t="s">
        <v>786</v>
      </c>
      <c r="F7623" t="s">
        <v>786</v>
      </c>
      <c r="H7623">
        <v>5</v>
      </c>
      <c r="I7623">
        <f>VLOOKUP(B7623,BRAND!B:D,3,FALSE)</f>
        <v>3</v>
      </c>
      <c r="M7623">
        <v>1</v>
      </c>
    </row>
    <row r="7624" spans="1:13">
      <c r="A7624" t="s">
        <v>7314</v>
      </c>
      <c r="B7624" t="s">
        <v>287</v>
      </c>
      <c r="C7624" s="34" t="s">
        <v>842</v>
      </c>
      <c r="F7624" t="s">
        <v>842</v>
      </c>
      <c r="H7624">
        <v>5</v>
      </c>
      <c r="I7624">
        <f>VLOOKUP(B7624,BRAND!B:D,3,FALSE)</f>
        <v>3</v>
      </c>
      <c r="M7624">
        <v>1</v>
      </c>
    </row>
    <row r="7625" spans="1:13">
      <c r="A7625" t="s">
        <v>7310</v>
      </c>
      <c r="B7625" t="s">
        <v>287</v>
      </c>
      <c r="C7625" s="34" t="s">
        <v>7311</v>
      </c>
      <c r="F7625" t="s">
        <v>7311</v>
      </c>
      <c r="H7625">
        <v>5</v>
      </c>
      <c r="I7625">
        <f>VLOOKUP(B7625,BRAND!B:D,3,FALSE)</f>
        <v>3</v>
      </c>
      <c r="M7625">
        <v>1</v>
      </c>
    </row>
    <row r="7626" spans="1:13">
      <c r="A7626" t="s">
        <v>2641</v>
      </c>
      <c r="B7626" t="s">
        <v>287</v>
      </c>
      <c r="C7626" s="34" t="s">
        <v>1438</v>
      </c>
      <c r="F7626" t="s">
        <v>1438</v>
      </c>
      <c r="H7626">
        <v>15</v>
      </c>
      <c r="I7626">
        <f>VLOOKUP(B7626,BRAND!B:D,3,FALSE)</f>
        <v>3</v>
      </c>
      <c r="J7626">
        <v>4</v>
      </c>
      <c r="K7626" t="s">
        <v>821</v>
      </c>
      <c r="L7626">
        <v>0</v>
      </c>
      <c r="M7626">
        <v>0</v>
      </c>
    </row>
    <row r="7627" spans="1:13">
      <c r="A7627" t="s">
        <v>14828</v>
      </c>
      <c r="B7627" t="s">
        <v>14824</v>
      </c>
      <c r="C7627" s="34" t="s">
        <v>883</v>
      </c>
      <c r="F7627" t="s">
        <v>883</v>
      </c>
      <c r="G7627" t="s">
        <v>6932</v>
      </c>
      <c r="H7627">
        <v>5</v>
      </c>
      <c r="I7627">
        <f>VLOOKUP(B7627,BRAND!B:D,3,FALSE)</f>
        <v>0</v>
      </c>
      <c r="J7627">
        <f t="shared" ref="J7627:J7632" si="62">LEN(F7627)</f>
        <v>6</v>
      </c>
      <c r="K7627" t="s">
        <v>821</v>
      </c>
      <c r="L7627">
        <v>0</v>
      </c>
      <c r="M7627">
        <v>1</v>
      </c>
    </row>
    <row r="7628" spans="1:13">
      <c r="A7628" t="s">
        <v>14827</v>
      </c>
      <c r="B7628" t="s">
        <v>14824</v>
      </c>
      <c r="C7628" s="34" t="s">
        <v>1323</v>
      </c>
      <c r="F7628" t="s">
        <v>1323</v>
      </c>
      <c r="G7628" t="s">
        <v>6932</v>
      </c>
      <c r="H7628">
        <v>5</v>
      </c>
      <c r="I7628">
        <f>VLOOKUP(B7628,BRAND!B:D,3,FALSE)</f>
        <v>0</v>
      </c>
      <c r="J7628">
        <f t="shared" si="62"/>
        <v>6</v>
      </c>
      <c r="K7628" t="s">
        <v>821</v>
      </c>
      <c r="L7628">
        <v>0</v>
      </c>
      <c r="M7628">
        <v>1</v>
      </c>
    </row>
    <row r="7629" spans="1:13">
      <c r="A7629" t="s">
        <v>14825</v>
      </c>
      <c r="B7629" t="s">
        <v>14824</v>
      </c>
      <c r="C7629" s="34" t="s">
        <v>761</v>
      </c>
      <c r="F7629" t="s">
        <v>761</v>
      </c>
      <c r="G7629" t="s">
        <v>6932</v>
      </c>
      <c r="H7629">
        <v>5</v>
      </c>
      <c r="I7629">
        <f>VLOOKUP(B7629,BRAND!B:D,3,FALSE)</f>
        <v>0</v>
      </c>
      <c r="J7629">
        <f t="shared" si="62"/>
        <v>5</v>
      </c>
      <c r="K7629" t="s">
        <v>821</v>
      </c>
      <c r="L7629">
        <v>0</v>
      </c>
      <c r="M7629">
        <v>1</v>
      </c>
    </row>
    <row r="7630" spans="1:13">
      <c r="A7630" t="s">
        <v>14829</v>
      </c>
      <c r="B7630" t="s">
        <v>14824</v>
      </c>
      <c r="C7630" s="34" t="s">
        <v>1979</v>
      </c>
      <c r="F7630" t="s">
        <v>1979</v>
      </c>
      <c r="G7630" t="s">
        <v>6932</v>
      </c>
      <c r="H7630">
        <v>5</v>
      </c>
      <c r="I7630">
        <f>VLOOKUP(B7630,BRAND!B:D,3,FALSE)</f>
        <v>0</v>
      </c>
      <c r="J7630">
        <f t="shared" si="62"/>
        <v>5</v>
      </c>
      <c r="K7630" t="s">
        <v>821</v>
      </c>
      <c r="L7630">
        <v>0</v>
      </c>
      <c r="M7630">
        <v>1</v>
      </c>
    </row>
    <row r="7631" spans="1:13">
      <c r="A7631" t="s">
        <v>14826</v>
      </c>
      <c r="B7631" t="s">
        <v>14824</v>
      </c>
      <c r="C7631" s="34" t="s">
        <v>775</v>
      </c>
      <c r="F7631" t="s">
        <v>775</v>
      </c>
      <c r="G7631" t="s">
        <v>6932</v>
      </c>
      <c r="H7631">
        <v>5</v>
      </c>
      <c r="I7631">
        <f>VLOOKUP(B7631,BRAND!B:D,3,FALSE)</f>
        <v>0</v>
      </c>
      <c r="J7631">
        <f t="shared" si="62"/>
        <v>3</v>
      </c>
      <c r="K7631" t="s">
        <v>821</v>
      </c>
      <c r="L7631">
        <v>0</v>
      </c>
      <c r="M7631">
        <v>1</v>
      </c>
    </row>
    <row r="7632" spans="1:13">
      <c r="A7632" t="s">
        <v>14823</v>
      </c>
      <c r="B7632" t="s">
        <v>14824</v>
      </c>
      <c r="C7632" s="34" t="s">
        <v>561</v>
      </c>
      <c r="F7632" t="s">
        <v>561</v>
      </c>
      <c r="G7632" t="s">
        <v>6932</v>
      </c>
      <c r="H7632">
        <v>5</v>
      </c>
      <c r="I7632">
        <f>VLOOKUP(B7632,BRAND!B:D,3,FALSE)</f>
        <v>0</v>
      </c>
      <c r="J7632">
        <f t="shared" si="62"/>
        <v>3</v>
      </c>
      <c r="K7632" t="s">
        <v>821</v>
      </c>
      <c r="L7632">
        <v>0</v>
      </c>
      <c r="M7632">
        <v>1</v>
      </c>
    </row>
    <row r="7633" spans="1:13">
      <c r="A7633" t="s">
        <v>2375</v>
      </c>
      <c r="B7633" t="s">
        <v>174</v>
      </c>
      <c r="C7633" s="34" t="s">
        <v>561</v>
      </c>
      <c r="F7633" t="s">
        <v>561</v>
      </c>
      <c r="H7633">
        <v>5</v>
      </c>
      <c r="I7633">
        <f>VLOOKUP(B7633,BRAND!B:D,3,FALSE)</f>
        <v>3</v>
      </c>
      <c r="J7633">
        <v>3</v>
      </c>
      <c r="K7633" t="s">
        <v>821</v>
      </c>
      <c r="M7633">
        <v>1</v>
      </c>
    </row>
    <row r="7634" spans="1:13">
      <c r="A7634" t="s">
        <v>2523</v>
      </c>
      <c r="B7634" t="s">
        <v>174</v>
      </c>
      <c r="C7634" s="34" t="s">
        <v>1438</v>
      </c>
      <c r="F7634" t="s">
        <v>1438</v>
      </c>
      <c r="H7634">
        <v>15</v>
      </c>
      <c r="I7634">
        <f>VLOOKUP(B7634,BRAND!B:D,3,FALSE)</f>
        <v>3</v>
      </c>
      <c r="J7634">
        <v>4</v>
      </c>
      <c r="K7634" t="s">
        <v>821</v>
      </c>
      <c r="L7634">
        <v>0</v>
      </c>
      <c r="M7634">
        <v>0</v>
      </c>
    </row>
    <row r="7635" spans="1:13">
      <c r="A7635" t="s">
        <v>9336</v>
      </c>
      <c r="B7635" t="s">
        <v>9337</v>
      </c>
      <c r="C7635" s="34" t="s">
        <v>1438</v>
      </c>
      <c r="F7635" t="s">
        <v>1438</v>
      </c>
      <c r="G7635" t="s">
        <v>6932</v>
      </c>
      <c r="H7635">
        <v>5</v>
      </c>
      <c r="I7635">
        <f>VLOOKUP(B7635,BRAND!B:D,3,FALSE)</f>
        <v>5.5</v>
      </c>
      <c r="J7635">
        <v>4</v>
      </c>
      <c r="M7635">
        <v>1</v>
      </c>
    </row>
    <row r="7636" spans="1:13">
      <c r="A7636" t="s">
        <v>9338</v>
      </c>
      <c r="B7636" t="s">
        <v>175</v>
      </c>
      <c r="C7636" s="34" t="s">
        <v>1438</v>
      </c>
      <c r="F7636" t="s">
        <v>1438</v>
      </c>
      <c r="G7636" t="s">
        <v>6932</v>
      </c>
      <c r="H7636">
        <v>5</v>
      </c>
      <c r="I7636">
        <f>VLOOKUP(B7636,BRAND!B:D,3,FALSE)</f>
        <v>7</v>
      </c>
      <c r="J7636">
        <v>4</v>
      </c>
      <c r="L7636">
        <v>0</v>
      </c>
      <c r="M7636">
        <v>0</v>
      </c>
    </row>
    <row r="7637" spans="1:13">
      <c r="A7637" t="s">
        <v>9866</v>
      </c>
      <c r="B7637" t="s">
        <v>175</v>
      </c>
      <c r="C7637" s="34" t="s">
        <v>10028</v>
      </c>
      <c r="H7637">
        <v>5</v>
      </c>
      <c r="I7637">
        <f>VLOOKUP(B7637,BRAND!B:D,3,FALSE)</f>
        <v>7</v>
      </c>
      <c r="J7637">
        <f>LEN(F7637)</f>
        <v>0</v>
      </c>
      <c r="L7637">
        <v>0</v>
      </c>
      <c r="M7637">
        <v>0</v>
      </c>
    </row>
    <row r="7638" spans="1:13">
      <c r="A7638" t="s">
        <v>9867</v>
      </c>
      <c r="B7638" t="s">
        <v>175</v>
      </c>
      <c r="C7638" s="34" t="s">
        <v>933</v>
      </c>
      <c r="H7638">
        <v>5</v>
      </c>
      <c r="I7638">
        <f>VLOOKUP(B7638,BRAND!B:D,3,FALSE)</f>
        <v>7</v>
      </c>
      <c r="J7638">
        <f>LEN(F7638)</f>
        <v>0</v>
      </c>
      <c r="L7638">
        <v>0</v>
      </c>
      <c r="M7638">
        <v>0</v>
      </c>
    </row>
    <row r="7639" spans="1:13">
      <c r="A7639" t="s">
        <v>9868</v>
      </c>
      <c r="B7639" t="s">
        <v>175</v>
      </c>
      <c r="C7639" s="34" t="s">
        <v>777</v>
      </c>
      <c r="H7639">
        <v>5</v>
      </c>
      <c r="I7639">
        <f>VLOOKUP(B7639,BRAND!B:D,3,FALSE)</f>
        <v>7</v>
      </c>
      <c r="J7639">
        <f>LEN(F7639)</f>
        <v>0</v>
      </c>
      <c r="L7639">
        <v>0</v>
      </c>
      <c r="M7639">
        <v>0</v>
      </c>
    </row>
    <row r="7640" spans="1:13">
      <c r="A7640" t="s">
        <v>9867</v>
      </c>
      <c r="B7640" t="s">
        <v>175</v>
      </c>
      <c r="C7640" s="34" t="s">
        <v>933</v>
      </c>
      <c r="H7640">
        <v>5</v>
      </c>
      <c r="I7640">
        <f>VLOOKUP(B7640,BRAND!B:D,3,FALSE)</f>
        <v>7</v>
      </c>
      <c r="J7640">
        <v>0</v>
      </c>
      <c r="M7640">
        <v>1</v>
      </c>
    </row>
    <row r="7641" spans="1:13">
      <c r="A7641" t="s">
        <v>9866</v>
      </c>
      <c r="B7641" t="s">
        <v>175</v>
      </c>
      <c r="C7641" s="34" t="s">
        <v>10028</v>
      </c>
      <c r="H7641">
        <v>5</v>
      </c>
      <c r="I7641">
        <f>VLOOKUP(B7641,BRAND!B:D,3,FALSE)</f>
        <v>7</v>
      </c>
      <c r="J7641">
        <v>0</v>
      </c>
      <c r="M7641">
        <v>1</v>
      </c>
    </row>
    <row r="7642" spans="1:13">
      <c r="A7642" t="s">
        <v>9868</v>
      </c>
      <c r="B7642" t="s">
        <v>175</v>
      </c>
      <c r="C7642" s="34" t="s">
        <v>777</v>
      </c>
      <c r="H7642">
        <v>5</v>
      </c>
      <c r="I7642">
        <f>VLOOKUP(B7642,BRAND!B:D,3,FALSE)</f>
        <v>7</v>
      </c>
      <c r="J7642">
        <v>0</v>
      </c>
      <c r="M7642">
        <v>1</v>
      </c>
    </row>
    <row r="7643" spans="1:13">
      <c r="A7643" t="s">
        <v>9339</v>
      </c>
      <c r="B7643" t="s">
        <v>9340</v>
      </c>
      <c r="C7643" s="34" t="s">
        <v>1438</v>
      </c>
      <c r="F7643" t="s">
        <v>1438</v>
      </c>
      <c r="G7643" t="s">
        <v>6932</v>
      </c>
      <c r="H7643">
        <v>5</v>
      </c>
      <c r="I7643">
        <f>VLOOKUP(B7643,BRAND!B:D,3,FALSE)</f>
        <v>5.5</v>
      </c>
      <c r="J7643">
        <v>4</v>
      </c>
      <c r="M7643">
        <v>1</v>
      </c>
    </row>
    <row r="7644" spans="1:13">
      <c r="A7644" t="s">
        <v>2815</v>
      </c>
      <c r="B7644" t="s">
        <v>1202</v>
      </c>
      <c r="C7644" s="34" t="s">
        <v>1438</v>
      </c>
      <c r="F7644" t="s">
        <v>1438</v>
      </c>
      <c r="H7644">
        <v>15</v>
      </c>
      <c r="I7644">
        <f>VLOOKUP(B7644,BRAND!B:D,3,FALSE)</f>
        <v>3</v>
      </c>
      <c r="J7644">
        <v>4</v>
      </c>
      <c r="K7644" t="s">
        <v>1420</v>
      </c>
      <c r="L7644">
        <v>0</v>
      </c>
      <c r="M7644">
        <v>0</v>
      </c>
    </row>
    <row r="7645" spans="1:13">
      <c r="A7645" t="s">
        <v>9341</v>
      </c>
      <c r="B7645" t="s">
        <v>9342</v>
      </c>
      <c r="C7645" s="34" t="s">
        <v>1438</v>
      </c>
      <c r="F7645" t="s">
        <v>1438</v>
      </c>
      <c r="G7645" t="s">
        <v>6932</v>
      </c>
      <c r="H7645">
        <v>5</v>
      </c>
      <c r="I7645">
        <f>VLOOKUP(B7645,BRAND!B:D,3,FALSE)</f>
        <v>5.5</v>
      </c>
      <c r="J7645">
        <v>4</v>
      </c>
      <c r="M7645">
        <v>1</v>
      </c>
    </row>
    <row r="7646" spans="1:13">
      <c r="A7646" t="s">
        <v>10626</v>
      </c>
      <c r="B7646" t="s">
        <v>6998</v>
      </c>
      <c r="C7646" s="34" t="s">
        <v>10491</v>
      </c>
      <c r="D7646" t="s">
        <v>10658</v>
      </c>
      <c r="F7646" t="s">
        <v>10433</v>
      </c>
      <c r="G7646" t="s">
        <v>6932</v>
      </c>
      <c r="H7646">
        <v>5</v>
      </c>
      <c r="I7646">
        <f>VLOOKUP(B7646,BRAND!B:D,3,FALSE)</f>
        <v>11</v>
      </c>
      <c r="J7646">
        <f t="shared" ref="J7646:J7653" si="63">LEN(F7646)</f>
        <v>29</v>
      </c>
      <c r="L7646">
        <v>0</v>
      </c>
    </row>
    <row r="7647" spans="1:13">
      <c r="A7647" t="s">
        <v>10627</v>
      </c>
      <c r="B7647" t="s">
        <v>6998</v>
      </c>
      <c r="C7647" s="34" t="s">
        <v>10660</v>
      </c>
      <c r="D7647" t="s">
        <v>1467</v>
      </c>
      <c r="F7647" t="s">
        <v>10434</v>
      </c>
      <c r="G7647" t="s">
        <v>6932</v>
      </c>
      <c r="H7647">
        <v>5</v>
      </c>
      <c r="I7647">
        <f>VLOOKUP(B7647,BRAND!B:D,3,FALSE)</f>
        <v>11</v>
      </c>
      <c r="J7647">
        <f t="shared" si="63"/>
        <v>18</v>
      </c>
      <c r="L7647">
        <v>0</v>
      </c>
    </row>
    <row r="7648" spans="1:13">
      <c r="A7648" t="s">
        <v>10637</v>
      </c>
      <c r="B7648" t="s">
        <v>6998</v>
      </c>
      <c r="C7648" s="34" t="s">
        <v>10662</v>
      </c>
      <c r="D7648" t="s">
        <v>760</v>
      </c>
      <c r="F7648" t="s">
        <v>10440</v>
      </c>
      <c r="G7648" t="s">
        <v>5512</v>
      </c>
      <c r="H7648">
        <v>5</v>
      </c>
      <c r="I7648">
        <f>VLOOKUP(B7648,BRAND!B:D,3,FALSE)</f>
        <v>11</v>
      </c>
      <c r="J7648">
        <f t="shared" si="63"/>
        <v>17</v>
      </c>
      <c r="L7648">
        <v>0</v>
      </c>
    </row>
    <row r="7649" spans="1:13">
      <c r="A7649" t="s">
        <v>10625</v>
      </c>
      <c r="B7649" t="s">
        <v>6998</v>
      </c>
      <c r="C7649" s="34" t="s">
        <v>10431</v>
      </c>
      <c r="F7649" t="s">
        <v>10432</v>
      </c>
      <c r="G7649" t="s">
        <v>6932</v>
      </c>
      <c r="H7649">
        <v>5</v>
      </c>
      <c r="I7649">
        <f>VLOOKUP(B7649,BRAND!B:D,3,FALSE)</f>
        <v>11</v>
      </c>
      <c r="J7649">
        <f t="shared" si="63"/>
        <v>16</v>
      </c>
      <c r="L7649">
        <v>0</v>
      </c>
    </row>
    <row r="7650" spans="1:13">
      <c r="A7650" t="s">
        <v>10638</v>
      </c>
      <c r="B7650" t="s">
        <v>6998</v>
      </c>
      <c r="C7650" s="34" t="s">
        <v>761</v>
      </c>
      <c r="D7650" t="s">
        <v>1983</v>
      </c>
      <c r="F7650" t="s">
        <v>10441</v>
      </c>
      <c r="G7650" t="s">
        <v>5512</v>
      </c>
      <c r="H7650">
        <v>5</v>
      </c>
      <c r="I7650">
        <f>VLOOKUP(B7650,BRAND!B:D,3,FALSE)</f>
        <v>11</v>
      </c>
      <c r="J7650">
        <f t="shared" si="63"/>
        <v>15</v>
      </c>
      <c r="L7650">
        <v>0</v>
      </c>
    </row>
    <row r="7651" spans="1:13">
      <c r="A7651" t="s">
        <v>10639</v>
      </c>
      <c r="B7651" t="s">
        <v>6998</v>
      </c>
      <c r="C7651" s="34" t="s">
        <v>761</v>
      </c>
      <c r="D7651" t="s">
        <v>10416</v>
      </c>
      <c r="F7651" t="s">
        <v>10442</v>
      </c>
      <c r="G7651" t="s">
        <v>5512</v>
      </c>
      <c r="H7651">
        <v>5</v>
      </c>
      <c r="I7651">
        <f>VLOOKUP(B7651,BRAND!B:D,3,FALSE)</f>
        <v>11</v>
      </c>
      <c r="J7651">
        <f t="shared" si="63"/>
        <v>14</v>
      </c>
      <c r="L7651">
        <v>0</v>
      </c>
    </row>
    <row r="7652" spans="1:13">
      <c r="A7652" t="s">
        <v>10640</v>
      </c>
      <c r="B7652" t="s">
        <v>6998</v>
      </c>
      <c r="C7652" s="34" t="s">
        <v>761</v>
      </c>
      <c r="D7652" t="s">
        <v>995</v>
      </c>
      <c r="F7652" t="s">
        <v>10439</v>
      </c>
      <c r="G7652" t="s">
        <v>5512</v>
      </c>
      <c r="H7652">
        <v>5</v>
      </c>
      <c r="I7652">
        <f>VLOOKUP(B7652,BRAND!B:D,3,FALSE)</f>
        <v>11</v>
      </c>
      <c r="J7652">
        <f t="shared" si="63"/>
        <v>12</v>
      </c>
      <c r="L7652">
        <v>0</v>
      </c>
    </row>
    <row r="7653" spans="1:13">
      <c r="A7653" t="s">
        <v>10619</v>
      </c>
      <c r="B7653" t="s">
        <v>6998</v>
      </c>
      <c r="C7653" s="34" t="s">
        <v>10367</v>
      </c>
      <c r="F7653" t="s">
        <v>10367</v>
      </c>
      <c r="G7653" t="s">
        <v>6932</v>
      </c>
      <c r="H7653">
        <v>5</v>
      </c>
      <c r="I7653">
        <f>VLOOKUP(B7653,BRAND!B:D,3,FALSE)</f>
        <v>11</v>
      </c>
      <c r="J7653">
        <f t="shared" si="63"/>
        <v>9</v>
      </c>
      <c r="L7653">
        <v>0</v>
      </c>
    </row>
    <row r="7654" spans="1:13">
      <c r="A7654" t="s">
        <v>10112</v>
      </c>
      <c r="B7654" t="s">
        <v>6998</v>
      </c>
      <c r="C7654" s="34" t="s">
        <v>1438</v>
      </c>
      <c r="F7654" t="s">
        <v>1438</v>
      </c>
      <c r="H7654">
        <v>15</v>
      </c>
      <c r="I7654">
        <f>VLOOKUP(B7654,BRAND!B:D,3,FALSE)</f>
        <v>11</v>
      </c>
      <c r="J7654">
        <v>4</v>
      </c>
      <c r="L7654">
        <v>0</v>
      </c>
      <c r="M7654">
        <v>0</v>
      </c>
    </row>
    <row r="7655" spans="1:13">
      <c r="A7655" t="s">
        <v>6727</v>
      </c>
      <c r="B7655" t="s">
        <v>6728</v>
      </c>
      <c r="C7655" s="34" t="s">
        <v>764</v>
      </c>
      <c r="F7655" t="s">
        <v>764</v>
      </c>
      <c r="H7655">
        <v>5</v>
      </c>
      <c r="I7655">
        <f>VLOOKUP(B7655,BRAND!B:D,3,FALSE)</f>
        <v>5</v>
      </c>
      <c r="J7655">
        <v>5</v>
      </c>
      <c r="M7655">
        <v>1</v>
      </c>
    </row>
    <row r="7656" spans="1:13">
      <c r="A7656" t="s">
        <v>6729</v>
      </c>
      <c r="B7656" t="s">
        <v>6728</v>
      </c>
      <c r="C7656" s="34" t="s">
        <v>761</v>
      </c>
      <c r="F7656" t="s">
        <v>761</v>
      </c>
      <c r="H7656">
        <v>5</v>
      </c>
      <c r="I7656">
        <f>VLOOKUP(B7656,BRAND!B:D,3,FALSE)</f>
        <v>5</v>
      </c>
      <c r="J7656">
        <v>5</v>
      </c>
      <c r="M7656">
        <v>1</v>
      </c>
    </row>
    <row r="7657" spans="1:13">
      <c r="A7657" t="s">
        <v>7053</v>
      </c>
      <c r="B7657" t="s">
        <v>1203</v>
      </c>
      <c r="C7657" s="34" t="s">
        <v>1438</v>
      </c>
      <c r="F7657" t="s">
        <v>1438</v>
      </c>
      <c r="H7657">
        <v>5</v>
      </c>
      <c r="I7657">
        <f>VLOOKUP(B7657,BRAND!B:D,3,FALSE)</f>
        <v>3</v>
      </c>
      <c r="J7657">
        <v>4</v>
      </c>
      <c r="M7657">
        <v>1</v>
      </c>
    </row>
    <row r="7658" spans="1:13">
      <c r="A7658" t="s">
        <v>2731</v>
      </c>
      <c r="B7658" t="s">
        <v>1203</v>
      </c>
      <c r="C7658" s="34" t="s">
        <v>1438</v>
      </c>
      <c r="F7658" t="s">
        <v>1438</v>
      </c>
      <c r="H7658">
        <v>15</v>
      </c>
      <c r="I7658">
        <f>VLOOKUP(B7658,BRAND!B:D,3,FALSE)</f>
        <v>3</v>
      </c>
      <c r="J7658">
        <v>4</v>
      </c>
      <c r="K7658" t="s">
        <v>821</v>
      </c>
      <c r="L7658">
        <v>0</v>
      </c>
      <c r="M7658">
        <v>0</v>
      </c>
    </row>
    <row r="7659" spans="1:13">
      <c r="A7659" t="s">
        <v>4648</v>
      </c>
      <c r="B7659" t="s">
        <v>1127</v>
      </c>
      <c r="C7659" s="34" t="s">
        <v>1476</v>
      </c>
      <c r="F7659" t="s">
        <v>1476</v>
      </c>
      <c r="H7659">
        <v>5</v>
      </c>
      <c r="I7659">
        <f>VLOOKUP(B7659,BRAND!B:D,3,FALSE)</f>
        <v>3</v>
      </c>
      <c r="J7659">
        <f>LEN(F7659)</f>
        <v>11</v>
      </c>
      <c r="K7659" t="s">
        <v>821</v>
      </c>
      <c r="L7659">
        <v>0</v>
      </c>
      <c r="M7659">
        <v>0</v>
      </c>
    </row>
    <row r="7660" spans="1:13">
      <c r="A7660" t="s">
        <v>4103</v>
      </c>
      <c r="B7660" t="s">
        <v>1127</v>
      </c>
      <c r="C7660" s="34" t="s">
        <v>776</v>
      </c>
      <c r="F7660" t="s">
        <v>776</v>
      </c>
      <c r="H7660">
        <v>5</v>
      </c>
      <c r="I7660">
        <f>VLOOKUP(B7660,BRAND!B:D,3,FALSE)</f>
        <v>3</v>
      </c>
      <c r="J7660">
        <v>5</v>
      </c>
      <c r="K7660" t="s">
        <v>821</v>
      </c>
      <c r="L7660">
        <v>0</v>
      </c>
      <c r="M7660">
        <v>0</v>
      </c>
    </row>
    <row r="7661" spans="1:13">
      <c r="A7661" t="s">
        <v>2434</v>
      </c>
      <c r="B7661" t="s">
        <v>1127</v>
      </c>
      <c r="C7661" s="34" t="s">
        <v>1438</v>
      </c>
      <c r="F7661" t="s">
        <v>1438</v>
      </c>
      <c r="H7661">
        <v>15</v>
      </c>
      <c r="I7661">
        <f>VLOOKUP(B7661,BRAND!B:D,3,FALSE)</f>
        <v>3</v>
      </c>
      <c r="J7661">
        <v>4</v>
      </c>
      <c r="K7661" t="s">
        <v>821</v>
      </c>
      <c r="L7661">
        <v>0</v>
      </c>
      <c r="M7661">
        <v>0</v>
      </c>
    </row>
    <row r="7662" spans="1:13">
      <c r="A7662" t="s">
        <v>9343</v>
      </c>
      <c r="B7662" t="s">
        <v>9344</v>
      </c>
      <c r="C7662" s="34" t="s">
        <v>1438</v>
      </c>
      <c r="F7662" t="s">
        <v>1438</v>
      </c>
      <c r="G7662" t="s">
        <v>6932</v>
      </c>
      <c r="H7662">
        <v>5</v>
      </c>
      <c r="I7662">
        <f>VLOOKUP(B7662,BRAND!B:D,3,FALSE)</f>
        <v>5.5</v>
      </c>
      <c r="J7662">
        <v>4</v>
      </c>
      <c r="M7662">
        <v>1</v>
      </c>
    </row>
    <row r="7663" spans="1:13">
      <c r="A7663" t="s">
        <v>9345</v>
      </c>
      <c r="B7663" t="s">
        <v>9346</v>
      </c>
      <c r="C7663" s="34" t="s">
        <v>1438</v>
      </c>
      <c r="F7663" t="s">
        <v>1438</v>
      </c>
      <c r="G7663" t="s">
        <v>6932</v>
      </c>
      <c r="H7663">
        <v>5</v>
      </c>
      <c r="I7663">
        <f>VLOOKUP(B7663,BRAND!B:D,3,FALSE)</f>
        <v>5.5</v>
      </c>
      <c r="J7663">
        <v>4</v>
      </c>
      <c r="L7663">
        <v>0</v>
      </c>
      <c r="M7663">
        <v>0</v>
      </c>
    </row>
    <row r="7664" spans="1:13">
      <c r="A7664" t="s">
        <v>9869</v>
      </c>
      <c r="B7664" t="s">
        <v>9346</v>
      </c>
      <c r="C7664" s="34" t="s">
        <v>129</v>
      </c>
      <c r="G7664" t="s">
        <v>6932</v>
      </c>
      <c r="H7664">
        <v>5</v>
      </c>
      <c r="I7664">
        <f>VLOOKUP(B7664,BRAND!B:D,3,FALSE)</f>
        <v>5.5</v>
      </c>
      <c r="J7664">
        <f>LEN(F7664)</f>
        <v>0</v>
      </c>
      <c r="L7664">
        <v>0</v>
      </c>
      <c r="M7664">
        <v>0</v>
      </c>
    </row>
    <row r="7665" spans="1:13">
      <c r="A7665" t="s">
        <v>9870</v>
      </c>
      <c r="B7665" t="s">
        <v>9346</v>
      </c>
      <c r="C7665" s="34" t="s">
        <v>7473</v>
      </c>
      <c r="G7665" t="s">
        <v>6932</v>
      </c>
      <c r="H7665">
        <v>5</v>
      </c>
      <c r="I7665">
        <f>VLOOKUP(B7665,BRAND!B:D,3,FALSE)</f>
        <v>5.5</v>
      </c>
      <c r="J7665">
        <f>LEN(F7665)</f>
        <v>0</v>
      </c>
      <c r="L7665">
        <v>0</v>
      </c>
      <c r="M7665">
        <v>0</v>
      </c>
    </row>
    <row r="7666" spans="1:13">
      <c r="A7666" t="s">
        <v>9869</v>
      </c>
      <c r="B7666" t="s">
        <v>9346</v>
      </c>
      <c r="C7666" s="34" t="s">
        <v>129</v>
      </c>
      <c r="G7666" t="s">
        <v>6932</v>
      </c>
      <c r="H7666">
        <v>5</v>
      </c>
      <c r="I7666">
        <f>VLOOKUP(B7666,BRAND!B:D,3,FALSE)</f>
        <v>5.5</v>
      </c>
      <c r="J7666">
        <v>0</v>
      </c>
      <c r="M7666">
        <v>1</v>
      </c>
    </row>
    <row r="7667" spans="1:13">
      <c r="A7667" t="s">
        <v>9870</v>
      </c>
      <c r="B7667" t="s">
        <v>9346</v>
      </c>
      <c r="C7667" s="34" t="s">
        <v>7473</v>
      </c>
      <c r="G7667" t="s">
        <v>6932</v>
      </c>
      <c r="H7667">
        <v>5</v>
      </c>
      <c r="I7667">
        <f>VLOOKUP(B7667,BRAND!B:D,3,FALSE)</f>
        <v>5.5</v>
      </c>
      <c r="J7667">
        <v>0</v>
      </c>
      <c r="M7667">
        <v>1</v>
      </c>
    </row>
    <row r="7668" spans="1:13">
      <c r="A7668" t="s">
        <v>10835</v>
      </c>
      <c r="B7668" t="s">
        <v>288</v>
      </c>
      <c r="C7668" s="34" t="s">
        <v>1470</v>
      </c>
      <c r="F7668" t="s">
        <v>1470</v>
      </c>
      <c r="H7668">
        <v>4</v>
      </c>
      <c r="I7668">
        <f>VLOOKUP(B7668,BRAND!B:D,3,FALSE)</f>
        <v>3</v>
      </c>
      <c r="J7668">
        <f>LEN(F7668)</f>
        <v>12</v>
      </c>
      <c r="K7668" t="s">
        <v>821</v>
      </c>
      <c r="L7668">
        <v>0</v>
      </c>
      <c r="M7668">
        <v>0</v>
      </c>
    </row>
    <row r="7669" spans="1:13">
      <c r="A7669" t="s">
        <v>4459</v>
      </c>
      <c r="B7669" t="s">
        <v>288</v>
      </c>
      <c r="C7669" s="34" t="s">
        <v>882</v>
      </c>
      <c r="F7669" t="s">
        <v>882</v>
      </c>
      <c r="H7669">
        <v>5</v>
      </c>
      <c r="I7669">
        <f>VLOOKUP(B7669,BRAND!B:D,3,FALSE)</f>
        <v>3</v>
      </c>
      <c r="J7669">
        <f>LEN(F7669)</f>
        <v>10</v>
      </c>
      <c r="K7669" t="s">
        <v>821</v>
      </c>
      <c r="L7669">
        <v>0</v>
      </c>
      <c r="M7669">
        <v>0</v>
      </c>
    </row>
    <row r="7670" spans="1:13">
      <c r="A7670" t="s">
        <v>7046</v>
      </c>
      <c r="B7670" t="s">
        <v>288</v>
      </c>
      <c r="C7670" s="34" t="s">
        <v>1981</v>
      </c>
      <c r="F7670" t="s">
        <v>1981</v>
      </c>
      <c r="H7670">
        <v>5</v>
      </c>
      <c r="I7670">
        <f>VLOOKUP(B7670,BRAND!B:D,3,FALSE)</f>
        <v>3</v>
      </c>
      <c r="J7670">
        <f>LEN(F7670)</f>
        <v>10</v>
      </c>
      <c r="M7670">
        <v>1</v>
      </c>
    </row>
    <row r="7671" spans="1:13">
      <c r="A7671" t="s">
        <v>4682</v>
      </c>
      <c r="B7671" t="s">
        <v>288</v>
      </c>
      <c r="C7671" s="34" t="s">
        <v>535</v>
      </c>
      <c r="F7671" t="s">
        <v>535</v>
      </c>
      <c r="H7671">
        <v>5</v>
      </c>
      <c r="I7671">
        <f>VLOOKUP(B7671,BRAND!B:D,3,FALSE)</f>
        <v>3</v>
      </c>
      <c r="J7671">
        <v>6</v>
      </c>
      <c r="K7671" t="s">
        <v>821</v>
      </c>
      <c r="L7671">
        <v>0</v>
      </c>
      <c r="M7671">
        <v>0</v>
      </c>
    </row>
    <row r="7672" spans="1:13">
      <c r="A7672" t="s">
        <v>4126</v>
      </c>
      <c r="B7672" t="s">
        <v>288</v>
      </c>
      <c r="C7672" s="34" t="s">
        <v>1508</v>
      </c>
      <c r="F7672" t="s">
        <v>1508</v>
      </c>
      <c r="H7672">
        <v>5</v>
      </c>
      <c r="I7672">
        <f>VLOOKUP(B7672,BRAND!B:D,3,FALSE)</f>
        <v>3</v>
      </c>
      <c r="J7672">
        <v>6</v>
      </c>
      <c r="K7672" t="s">
        <v>821</v>
      </c>
      <c r="L7672">
        <v>0</v>
      </c>
      <c r="M7672">
        <v>0</v>
      </c>
    </row>
    <row r="7673" spans="1:13">
      <c r="A7673" t="s">
        <v>4059</v>
      </c>
      <c r="B7673" t="s">
        <v>288</v>
      </c>
      <c r="C7673" s="34" t="s">
        <v>764</v>
      </c>
      <c r="F7673" t="s">
        <v>764</v>
      </c>
      <c r="H7673">
        <v>5</v>
      </c>
      <c r="I7673">
        <f>VLOOKUP(B7673,BRAND!B:D,3,FALSE)</f>
        <v>3</v>
      </c>
      <c r="J7673">
        <v>5</v>
      </c>
      <c r="K7673" t="s">
        <v>821</v>
      </c>
      <c r="L7673">
        <v>0</v>
      </c>
      <c r="M7673">
        <v>0</v>
      </c>
    </row>
    <row r="7674" spans="1:13">
      <c r="A7674" t="s">
        <v>10835</v>
      </c>
      <c r="B7674" t="s">
        <v>288</v>
      </c>
      <c r="C7674" s="34" t="s">
        <v>763</v>
      </c>
      <c r="F7674" t="s">
        <v>763</v>
      </c>
      <c r="H7674">
        <v>5</v>
      </c>
      <c r="I7674">
        <f>VLOOKUP(B7674,BRAND!B:D,3,FALSE)</f>
        <v>3</v>
      </c>
      <c r="J7674">
        <v>5</v>
      </c>
      <c r="K7674" t="s">
        <v>821</v>
      </c>
      <c r="L7674">
        <v>0</v>
      </c>
      <c r="M7674">
        <v>0</v>
      </c>
    </row>
    <row r="7675" spans="1:13">
      <c r="A7675" t="s">
        <v>4677</v>
      </c>
      <c r="B7675" t="s">
        <v>288</v>
      </c>
      <c r="C7675" s="34" t="s">
        <v>1513</v>
      </c>
      <c r="F7675" t="s">
        <v>1513</v>
      </c>
      <c r="H7675">
        <v>5</v>
      </c>
      <c r="I7675">
        <f>VLOOKUP(B7675,BRAND!B:D,3,FALSE)</f>
        <v>3</v>
      </c>
      <c r="J7675">
        <v>5</v>
      </c>
      <c r="K7675" t="s">
        <v>821</v>
      </c>
      <c r="L7675">
        <v>0</v>
      </c>
      <c r="M7675">
        <v>0</v>
      </c>
    </row>
    <row r="7676" spans="1:13">
      <c r="A7676" t="s">
        <v>3380</v>
      </c>
      <c r="B7676" t="s">
        <v>288</v>
      </c>
      <c r="C7676" s="34" t="s">
        <v>761</v>
      </c>
      <c r="F7676" t="s">
        <v>761</v>
      </c>
      <c r="H7676">
        <v>5</v>
      </c>
      <c r="I7676">
        <f>VLOOKUP(B7676,BRAND!B:D,3,FALSE)</f>
        <v>3</v>
      </c>
      <c r="J7676">
        <v>5</v>
      </c>
      <c r="K7676" t="s">
        <v>821</v>
      </c>
      <c r="L7676">
        <v>0</v>
      </c>
      <c r="M7676">
        <v>0</v>
      </c>
    </row>
    <row r="7677" spans="1:13">
      <c r="A7677" t="s">
        <v>4574</v>
      </c>
      <c r="B7677" t="s">
        <v>288</v>
      </c>
      <c r="C7677" s="34" t="s">
        <v>881</v>
      </c>
      <c r="F7677" t="s">
        <v>881</v>
      </c>
      <c r="H7677">
        <v>5</v>
      </c>
      <c r="I7677">
        <f>VLOOKUP(B7677,BRAND!B:D,3,FALSE)</f>
        <v>3</v>
      </c>
      <c r="J7677">
        <v>5</v>
      </c>
      <c r="K7677" t="s">
        <v>821</v>
      </c>
      <c r="L7677">
        <v>0</v>
      </c>
      <c r="M7677">
        <v>0</v>
      </c>
    </row>
    <row r="7678" spans="1:13">
      <c r="A7678" t="s">
        <v>7047</v>
      </c>
      <c r="B7678" t="s">
        <v>288</v>
      </c>
      <c r="C7678" s="34" t="s">
        <v>764</v>
      </c>
      <c r="F7678" t="s">
        <v>764</v>
      </c>
      <c r="H7678">
        <v>5</v>
      </c>
      <c r="I7678">
        <f>VLOOKUP(B7678,BRAND!B:D,3,FALSE)</f>
        <v>3</v>
      </c>
      <c r="J7678">
        <v>5</v>
      </c>
      <c r="M7678">
        <v>1</v>
      </c>
    </row>
    <row r="7679" spans="1:13">
      <c r="A7679" t="s">
        <v>5014</v>
      </c>
      <c r="B7679" t="s">
        <v>288</v>
      </c>
      <c r="C7679" s="34" t="s">
        <v>764</v>
      </c>
      <c r="F7679" t="s">
        <v>764</v>
      </c>
      <c r="G7679" t="s">
        <v>801</v>
      </c>
      <c r="H7679">
        <v>5</v>
      </c>
      <c r="I7679">
        <f>VLOOKUP(B7679,BRAND!B:D,3,FALSE)</f>
        <v>3</v>
      </c>
      <c r="J7679">
        <v>5</v>
      </c>
      <c r="M7679">
        <v>1</v>
      </c>
    </row>
    <row r="7680" spans="1:13">
      <c r="A7680" t="s">
        <v>7048</v>
      </c>
      <c r="B7680" t="s">
        <v>288</v>
      </c>
      <c r="C7680" s="34" t="s">
        <v>6858</v>
      </c>
      <c r="F7680" t="s">
        <v>6858</v>
      </c>
      <c r="H7680">
        <v>5</v>
      </c>
      <c r="I7680">
        <f>VLOOKUP(B7680,BRAND!B:D,3,FALSE)</f>
        <v>3</v>
      </c>
      <c r="J7680">
        <v>4</v>
      </c>
      <c r="M7680">
        <v>1</v>
      </c>
    </row>
    <row r="7681" spans="1:13">
      <c r="A7681" t="s">
        <v>4323</v>
      </c>
      <c r="B7681" t="s">
        <v>288</v>
      </c>
      <c r="C7681" s="34" t="s">
        <v>1992</v>
      </c>
      <c r="F7681" t="s">
        <v>1992</v>
      </c>
      <c r="H7681">
        <v>5</v>
      </c>
      <c r="I7681">
        <f>VLOOKUP(B7681,BRAND!B:D,3,FALSE)</f>
        <v>3</v>
      </c>
      <c r="J7681">
        <v>3</v>
      </c>
      <c r="K7681" t="s">
        <v>821</v>
      </c>
      <c r="L7681">
        <v>0</v>
      </c>
      <c r="M7681">
        <v>0</v>
      </c>
    </row>
    <row r="7682" spans="1:13">
      <c r="A7682" t="s">
        <v>3662</v>
      </c>
      <c r="B7682" t="s">
        <v>288</v>
      </c>
      <c r="C7682" s="34" t="s">
        <v>775</v>
      </c>
      <c r="F7682" t="s">
        <v>775</v>
      </c>
      <c r="H7682">
        <v>5</v>
      </c>
      <c r="I7682">
        <f>VLOOKUP(B7682,BRAND!B:D,3,FALSE)</f>
        <v>3</v>
      </c>
      <c r="J7682">
        <v>3</v>
      </c>
      <c r="K7682" t="s">
        <v>821</v>
      </c>
      <c r="L7682">
        <v>0</v>
      </c>
      <c r="M7682">
        <v>0</v>
      </c>
    </row>
    <row r="7683" spans="1:13">
      <c r="A7683" t="s">
        <v>5014</v>
      </c>
      <c r="B7683" t="s">
        <v>288</v>
      </c>
      <c r="C7683" s="34" t="s">
        <v>764</v>
      </c>
      <c r="F7683" t="s">
        <v>764</v>
      </c>
      <c r="G7683" t="s">
        <v>801</v>
      </c>
      <c r="H7683">
        <v>6</v>
      </c>
      <c r="I7683">
        <f>VLOOKUP(B7683,BRAND!B:D,3,FALSE)</f>
        <v>3</v>
      </c>
      <c r="J7683">
        <v>5</v>
      </c>
      <c r="K7683" t="s">
        <v>821</v>
      </c>
      <c r="M7683">
        <v>1</v>
      </c>
    </row>
    <row r="7684" spans="1:13">
      <c r="A7684" t="s">
        <v>4942</v>
      </c>
      <c r="B7684" t="s">
        <v>288</v>
      </c>
      <c r="C7684" s="34" t="s">
        <v>1438</v>
      </c>
      <c r="F7684" t="s">
        <v>1438</v>
      </c>
      <c r="G7684" t="s">
        <v>801</v>
      </c>
      <c r="H7684">
        <v>6</v>
      </c>
      <c r="I7684">
        <f>VLOOKUP(B7684,BRAND!B:D,3,FALSE)</f>
        <v>3</v>
      </c>
      <c r="J7684">
        <v>4</v>
      </c>
      <c r="K7684" t="s">
        <v>821</v>
      </c>
      <c r="L7684">
        <v>0</v>
      </c>
      <c r="M7684">
        <v>0</v>
      </c>
    </row>
    <row r="7685" spans="1:13">
      <c r="A7685" t="s">
        <v>2055</v>
      </c>
      <c r="B7685" t="s">
        <v>288</v>
      </c>
      <c r="C7685" s="34" t="s">
        <v>1438</v>
      </c>
      <c r="F7685" t="s">
        <v>1438</v>
      </c>
      <c r="H7685">
        <v>15</v>
      </c>
      <c r="I7685">
        <f>VLOOKUP(B7685,BRAND!B:D,3,FALSE)</f>
        <v>3</v>
      </c>
      <c r="J7685">
        <v>4</v>
      </c>
      <c r="K7685" t="s">
        <v>821</v>
      </c>
      <c r="L7685">
        <v>0</v>
      </c>
      <c r="M7685">
        <v>0</v>
      </c>
    </row>
    <row r="7686" spans="1:13">
      <c r="A7686" t="s">
        <v>9347</v>
      </c>
      <c r="B7686" t="s">
        <v>9348</v>
      </c>
      <c r="C7686" s="34" t="s">
        <v>1438</v>
      </c>
      <c r="F7686" t="s">
        <v>1438</v>
      </c>
      <c r="G7686" t="s">
        <v>6932</v>
      </c>
      <c r="H7686">
        <v>5</v>
      </c>
      <c r="I7686">
        <f>VLOOKUP(B7686,BRAND!B:D,3,FALSE)</f>
        <v>5.5</v>
      </c>
      <c r="J7686">
        <v>4</v>
      </c>
      <c r="M7686">
        <v>1</v>
      </c>
    </row>
    <row r="7687" spans="1:13">
      <c r="A7687" t="s">
        <v>6467</v>
      </c>
      <c r="B7687" t="s">
        <v>176</v>
      </c>
      <c r="C7687" s="34" t="s">
        <v>1508</v>
      </c>
      <c r="F7687" t="s">
        <v>1508</v>
      </c>
      <c r="H7687">
        <v>5</v>
      </c>
      <c r="I7687">
        <f>VLOOKUP(B7687,BRAND!B:D,3,FALSE)</f>
        <v>3</v>
      </c>
      <c r="J7687">
        <v>6</v>
      </c>
      <c r="K7687" t="s">
        <v>822</v>
      </c>
      <c r="L7687">
        <v>0</v>
      </c>
      <c r="M7687">
        <v>0</v>
      </c>
    </row>
    <row r="7688" spans="1:13">
      <c r="A7688" t="s">
        <v>6466</v>
      </c>
      <c r="B7688" t="s">
        <v>176</v>
      </c>
      <c r="C7688" s="34" t="s">
        <v>995</v>
      </c>
      <c r="F7688" t="s">
        <v>995</v>
      </c>
      <c r="H7688">
        <v>5</v>
      </c>
      <c r="I7688">
        <f>VLOOKUP(B7688,BRAND!B:D,3,FALSE)</f>
        <v>3</v>
      </c>
      <c r="J7688">
        <v>6</v>
      </c>
      <c r="K7688" t="s">
        <v>822</v>
      </c>
      <c r="M7688">
        <v>1</v>
      </c>
    </row>
    <row r="7689" spans="1:13">
      <c r="A7689" t="s">
        <v>6468</v>
      </c>
      <c r="B7689" t="s">
        <v>176</v>
      </c>
      <c r="C7689" s="34" t="s">
        <v>7326</v>
      </c>
      <c r="F7689" t="s">
        <v>799</v>
      </c>
      <c r="H7689">
        <v>5</v>
      </c>
      <c r="I7689">
        <f>VLOOKUP(B7689,BRAND!B:D,3,FALSE)</f>
        <v>3</v>
      </c>
      <c r="J7689">
        <v>5</v>
      </c>
      <c r="K7689" t="s">
        <v>822</v>
      </c>
      <c r="L7689">
        <v>0</v>
      </c>
      <c r="M7689">
        <v>0</v>
      </c>
    </row>
    <row r="7690" spans="1:13">
      <c r="A7690" t="s">
        <v>6469</v>
      </c>
      <c r="B7690" t="s">
        <v>176</v>
      </c>
      <c r="C7690" s="34" t="s">
        <v>7325</v>
      </c>
      <c r="F7690" t="s">
        <v>1513</v>
      </c>
      <c r="H7690">
        <v>5</v>
      </c>
      <c r="I7690">
        <f>VLOOKUP(B7690,BRAND!B:D,3,FALSE)</f>
        <v>3</v>
      </c>
      <c r="J7690">
        <v>5</v>
      </c>
      <c r="K7690" t="s">
        <v>822</v>
      </c>
      <c r="L7690">
        <v>0</v>
      </c>
      <c r="M7690">
        <v>0</v>
      </c>
    </row>
    <row r="7691" spans="1:13">
      <c r="A7691" t="s">
        <v>6470</v>
      </c>
      <c r="B7691" t="s">
        <v>176</v>
      </c>
      <c r="C7691" s="34" t="s">
        <v>761</v>
      </c>
      <c r="F7691" t="s">
        <v>761</v>
      </c>
      <c r="H7691">
        <v>5</v>
      </c>
      <c r="I7691">
        <f>VLOOKUP(B7691,BRAND!B:D,3,FALSE)</f>
        <v>3</v>
      </c>
      <c r="J7691">
        <v>5</v>
      </c>
      <c r="K7691" t="s">
        <v>822</v>
      </c>
      <c r="L7691">
        <v>0</v>
      </c>
      <c r="M7691">
        <v>0</v>
      </c>
    </row>
    <row r="7692" spans="1:13">
      <c r="A7692" t="s">
        <v>6471</v>
      </c>
      <c r="B7692" t="s">
        <v>176</v>
      </c>
      <c r="C7692" s="34" t="s">
        <v>776</v>
      </c>
      <c r="F7692" t="s">
        <v>776</v>
      </c>
      <c r="H7692">
        <v>5</v>
      </c>
      <c r="I7692">
        <f>VLOOKUP(B7692,BRAND!B:D,3,FALSE)</f>
        <v>3</v>
      </c>
      <c r="J7692">
        <v>5</v>
      </c>
      <c r="K7692" t="s">
        <v>822</v>
      </c>
      <c r="L7692">
        <v>0</v>
      </c>
      <c r="M7692">
        <v>0</v>
      </c>
    </row>
    <row r="7693" spans="1:13">
      <c r="A7693" t="s">
        <v>6473</v>
      </c>
      <c r="B7693" t="s">
        <v>176</v>
      </c>
      <c r="C7693" s="34" t="s">
        <v>1515</v>
      </c>
      <c r="F7693" t="s">
        <v>1515</v>
      </c>
      <c r="H7693">
        <v>5</v>
      </c>
      <c r="I7693">
        <f>VLOOKUP(B7693,BRAND!B:D,3,FALSE)</f>
        <v>3</v>
      </c>
      <c r="J7693">
        <v>4</v>
      </c>
      <c r="K7693" t="s">
        <v>822</v>
      </c>
      <c r="L7693">
        <v>0</v>
      </c>
      <c r="M7693">
        <v>0</v>
      </c>
    </row>
    <row r="7694" spans="1:13">
      <c r="A7694" t="s">
        <v>6472</v>
      </c>
      <c r="B7694" t="s">
        <v>176</v>
      </c>
      <c r="C7694" s="34" t="s">
        <v>782</v>
      </c>
      <c r="F7694" t="s">
        <v>782</v>
      </c>
      <c r="H7694">
        <v>5</v>
      </c>
      <c r="I7694">
        <f>VLOOKUP(B7694,BRAND!B:D,3,FALSE)</f>
        <v>3</v>
      </c>
      <c r="J7694">
        <v>4</v>
      </c>
      <c r="K7694" t="s">
        <v>822</v>
      </c>
      <c r="M7694">
        <v>1</v>
      </c>
    </row>
    <row r="7695" spans="1:13">
      <c r="A7695" t="s">
        <v>6474</v>
      </c>
      <c r="B7695" t="s">
        <v>176</v>
      </c>
      <c r="C7695" s="34" t="s">
        <v>7327</v>
      </c>
      <c r="F7695" t="s">
        <v>775</v>
      </c>
      <c r="H7695">
        <v>5</v>
      </c>
      <c r="I7695">
        <f>VLOOKUP(B7695,BRAND!B:D,3,FALSE)</f>
        <v>3</v>
      </c>
      <c r="J7695">
        <v>3</v>
      </c>
      <c r="K7695" t="s">
        <v>822</v>
      </c>
      <c r="M7695">
        <v>1</v>
      </c>
    </row>
    <row r="7696" spans="1:13">
      <c r="A7696" t="s">
        <v>6475</v>
      </c>
      <c r="B7696" t="s">
        <v>176</v>
      </c>
      <c r="C7696" s="34" t="s">
        <v>994</v>
      </c>
      <c r="F7696" t="s">
        <v>994</v>
      </c>
      <c r="G7696" t="s">
        <v>801</v>
      </c>
      <c r="H7696">
        <v>6</v>
      </c>
      <c r="I7696">
        <f>VLOOKUP(B7696,BRAND!B:D,3,FALSE)</f>
        <v>3</v>
      </c>
      <c r="J7696">
        <f>LEN(F7696)</f>
        <v>10</v>
      </c>
      <c r="K7696" t="s">
        <v>822</v>
      </c>
      <c r="L7696">
        <v>0</v>
      </c>
      <c r="M7696">
        <v>0</v>
      </c>
    </row>
    <row r="7697" spans="1:13">
      <c r="A7697" t="s">
        <v>6476</v>
      </c>
      <c r="B7697" t="s">
        <v>176</v>
      </c>
      <c r="C7697" s="34" t="s">
        <v>880</v>
      </c>
      <c r="F7697" t="s">
        <v>880</v>
      </c>
      <c r="G7697" t="s">
        <v>801</v>
      </c>
      <c r="H7697">
        <v>6</v>
      </c>
      <c r="I7697">
        <f>VLOOKUP(B7697,BRAND!B:D,3,FALSE)</f>
        <v>3</v>
      </c>
      <c r="J7697">
        <v>7</v>
      </c>
      <c r="K7697" t="s">
        <v>822</v>
      </c>
      <c r="L7697">
        <v>0</v>
      </c>
      <c r="M7697">
        <v>0</v>
      </c>
    </row>
    <row r="7698" spans="1:13">
      <c r="A7698" t="s">
        <v>6477</v>
      </c>
      <c r="B7698" t="s">
        <v>176</v>
      </c>
      <c r="C7698" s="34" t="s">
        <v>995</v>
      </c>
      <c r="F7698" t="s">
        <v>995</v>
      </c>
      <c r="G7698" t="s">
        <v>801</v>
      </c>
      <c r="H7698">
        <v>6</v>
      </c>
      <c r="I7698">
        <f>VLOOKUP(B7698,BRAND!B:D,3,FALSE)</f>
        <v>3</v>
      </c>
      <c r="J7698">
        <v>6</v>
      </c>
      <c r="K7698" t="s">
        <v>822</v>
      </c>
      <c r="L7698">
        <v>0</v>
      </c>
      <c r="M7698">
        <v>0</v>
      </c>
    </row>
    <row r="7699" spans="1:13">
      <c r="A7699" t="s">
        <v>6478</v>
      </c>
      <c r="B7699" t="s">
        <v>176</v>
      </c>
      <c r="C7699" s="34" t="s">
        <v>1513</v>
      </c>
      <c r="F7699" t="s">
        <v>1513</v>
      </c>
      <c r="G7699" t="s">
        <v>801</v>
      </c>
      <c r="H7699">
        <v>6</v>
      </c>
      <c r="I7699">
        <f>VLOOKUP(B7699,BRAND!B:D,3,FALSE)</f>
        <v>3</v>
      </c>
      <c r="J7699">
        <v>5</v>
      </c>
      <c r="K7699" t="s">
        <v>822</v>
      </c>
      <c r="L7699">
        <v>0</v>
      </c>
      <c r="M7699">
        <v>0</v>
      </c>
    </row>
    <row r="7700" spans="1:13">
      <c r="A7700" t="s">
        <v>6479</v>
      </c>
      <c r="B7700" t="s">
        <v>176</v>
      </c>
      <c r="C7700" s="34" t="s">
        <v>782</v>
      </c>
      <c r="F7700" t="s">
        <v>782</v>
      </c>
      <c r="G7700" t="s">
        <v>801</v>
      </c>
      <c r="H7700">
        <v>6</v>
      </c>
      <c r="I7700">
        <f>VLOOKUP(B7700,BRAND!B:D,3,FALSE)</f>
        <v>3</v>
      </c>
      <c r="J7700">
        <v>4</v>
      </c>
      <c r="K7700" t="s">
        <v>822</v>
      </c>
      <c r="L7700">
        <v>0</v>
      </c>
      <c r="M7700">
        <v>0</v>
      </c>
    </row>
    <row r="7701" spans="1:13">
      <c r="A7701" t="s">
        <v>6481</v>
      </c>
      <c r="B7701" t="s">
        <v>176</v>
      </c>
      <c r="C7701" s="34" t="s">
        <v>1438</v>
      </c>
      <c r="F7701" t="s">
        <v>1438</v>
      </c>
      <c r="G7701" t="s">
        <v>801</v>
      </c>
      <c r="H7701">
        <v>6</v>
      </c>
      <c r="I7701">
        <f>VLOOKUP(B7701,BRAND!B:D,3,FALSE)</f>
        <v>3</v>
      </c>
      <c r="J7701">
        <v>4</v>
      </c>
      <c r="K7701" t="s">
        <v>822</v>
      </c>
      <c r="L7701">
        <v>0</v>
      </c>
      <c r="M7701">
        <v>0</v>
      </c>
    </row>
    <row r="7702" spans="1:13">
      <c r="A7702" t="s">
        <v>6480</v>
      </c>
      <c r="B7702" t="s">
        <v>176</v>
      </c>
      <c r="C7702" s="34" t="s">
        <v>773</v>
      </c>
      <c r="F7702" t="s">
        <v>773</v>
      </c>
      <c r="G7702" t="s">
        <v>801</v>
      </c>
      <c r="H7702">
        <v>6</v>
      </c>
      <c r="I7702">
        <f>VLOOKUP(B7702,BRAND!B:D,3,FALSE)</f>
        <v>3</v>
      </c>
      <c r="J7702">
        <v>4</v>
      </c>
      <c r="K7702" t="s">
        <v>822</v>
      </c>
      <c r="L7702">
        <v>0</v>
      </c>
      <c r="M7702">
        <v>0</v>
      </c>
    </row>
    <row r="7703" spans="1:13">
      <c r="A7703" t="s">
        <v>6482</v>
      </c>
      <c r="B7703" t="s">
        <v>176</v>
      </c>
      <c r="C7703" s="34" t="s">
        <v>1438</v>
      </c>
      <c r="F7703" t="s">
        <v>1438</v>
      </c>
      <c r="H7703">
        <v>15</v>
      </c>
      <c r="I7703">
        <f>VLOOKUP(B7703,BRAND!B:D,3,FALSE)</f>
        <v>3</v>
      </c>
      <c r="J7703">
        <v>4</v>
      </c>
      <c r="K7703" t="s">
        <v>822</v>
      </c>
      <c r="M7703">
        <v>1</v>
      </c>
    </row>
    <row r="7704" spans="1:13">
      <c r="A7704" t="s">
        <v>3446</v>
      </c>
      <c r="B7704" t="s">
        <v>177</v>
      </c>
      <c r="C7704" s="34" t="s">
        <v>776</v>
      </c>
      <c r="F7704" t="s">
        <v>776</v>
      </c>
      <c r="H7704">
        <v>5</v>
      </c>
      <c r="I7704">
        <f>VLOOKUP(B7704,BRAND!B:D,3,FALSE)</f>
        <v>3</v>
      </c>
      <c r="J7704">
        <v>5</v>
      </c>
      <c r="K7704" t="s">
        <v>821</v>
      </c>
      <c r="M7704">
        <v>1</v>
      </c>
    </row>
    <row r="7705" spans="1:13">
      <c r="A7705" t="s">
        <v>9349</v>
      </c>
      <c r="B7705" t="s">
        <v>177</v>
      </c>
      <c r="C7705" s="34" t="s">
        <v>1438</v>
      </c>
      <c r="F7705" t="s">
        <v>1438</v>
      </c>
      <c r="G7705" t="s">
        <v>6932</v>
      </c>
      <c r="H7705">
        <v>5</v>
      </c>
      <c r="I7705">
        <f>VLOOKUP(B7705,BRAND!B:D,3,FALSE)</f>
        <v>3</v>
      </c>
      <c r="J7705">
        <v>4</v>
      </c>
      <c r="L7705">
        <v>0</v>
      </c>
      <c r="M7705">
        <v>0</v>
      </c>
    </row>
    <row r="7706" spans="1:13">
      <c r="A7706" t="s">
        <v>9871</v>
      </c>
      <c r="B7706" t="s">
        <v>177</v>
      </c>
      <c r="C7706" s="34" t="s">
        <v>561</v>
      </c>
      <c r="G7706" t="s">
        <v>6932</v>
      </c>
      <c r="H7706">
        <v>5</v>
      </c>
      <c r="I7706">
        <f>VLOOKUP(B7706,BRAND!B:D,3,FALSE)</f>
        <v>3</v>
      </c>
      <c r="J7706">
        <f>LEN(F7706)</f>
        <v>0</v>
      </c>
      <c r="L7706">
        <v>0</v>
      </c>
      <c r="M7706">
        <v>0</v>
      </c>
    </row>
    <row r="7707" spans="1:13">
      <c r="A7707" t="s">
        <v>9871</v>
      </c>
      <c r="B7707" t="s">
        <v>177</v>
      </c>
      <c r="C7707" s="34" t="s">
        <v>561</v>
      </c>
      <c r="G7707" t="s">
        <v>6932</v>
      </c>
      <c r="H7707">
        <v>5</v>
      </c>
      <c r="I7707">
        <f>VLOOKUP(B7707,BRAND!B:D,3,FALSE)</f>
        <v>3</v>
      </c>
      <c r="J7707">
        <v>0</v>
      </c>
      <c r="M7707">
        <v>1</v>
      </c>
    </row>
    <row r="7708" spans="1:13">
      <c r="A7708" t="s">
        <v>2498</v>
      </c>
      <c r="B7708" t="s">
        <v>177</v>
      </c>
      <c r="C7708" s="34" t="s">
        <v>1438</v>
      </c>
      <c r="F7708" t="s">
        <v>1438</v>
      </c>
      <c r="H7708">
        <v>15</v>
      </c>
      <c r="I7708">
        <f>VLOOKUP(B7708,BRAND!B:D,3,FALSE)</f>
        <v>3</v>
      </c>
      <c r="J7708">
        <v>4</v>
      </c>
      <c r="K7708" t="s">
        <v>821</v>
      </c>
      <c r="L7708">
        <v>0</v>
      </c>
      <c r="M7708">
        <v>0</v>
      </c>
    </row>
    <row r="7709" spans="1:13">
      <c r="A7709" t="s">
        <v>4806</v>
      </c>
      <c r="B7709" t="s">
        <v>1358</v>
      </c>
      <c r="C7709" s="34" t="s">
        <v>764</v>
      </c>
      <c r="F7709" t="s">
        <v>764</v>
      </c>
      <c r="H7709">
        <v>5</v>
      </c>
      <c r="I7709">
        <f>VLOOKUP(B7709,BRAND!B:D,3,FALSE)</f>
        <v>3</v>
      </c>
      <c r="J7709">
        <v>5</v>
      </c>
      <c r="K7709" t="s">
        <v>821</v>
      </c>
      <c r="L7709">
        <v>0</v>
      </c>
      <c r="M7709">
        <v>0</v>
      </c>
    </row>
    <row r="7710" spans="1:13">
      <c r="A7710" t="s">
        <v>2764</v>
      </c>
      <c r="B7710" t="s">
        <v>1358</v>
      </c>
      <c r="C7710" s="34" t="s">
        <v>1438</v>
      </c>
      <c r="F7710" t="s">
        <v>1438</v>
      </c>
      <c r="H7710">
        <v>15</v>
      </c>
      <c r="I7710">
        <f>VLOOKUP(B7710,BRAND!B:D,3,FALSE)</f>
        <v>3</v>
      </c>
      <c r="J7710">
        <v>4</v>
      </c>
      <c r="K7710" t="s">
        <v>821</v>
      </c>
      <c r="L7710">
        <v>0</v>
      </c>
      <c r="M7710">
        <v>0</v>
      </c>
    </row>
    <row r="7711" spans="1:13">
      <c r="A7711" t="s">
        <v>3439</v>
      </c>
      <c r="B7711" t="s">
        <v>1359</v>
      </c>
      <c r="C7711" s="34" t="s">
        <v>777</v>
      </c>
      <c r="F7711" t="s">
        <v>777</v>
      </c>
      <c r="H7711">
        <v>5</v>
      </c>
      <c r="I7711">
        <f>VLOOKUP(B7711,BRAND!B:D,3,FALSE)</f>
        <v>3</v>
      </c>
      <c r="J7711">
        <v>7</v>
      </c>
      <c r="K7711" t="s">
        <v>821</v>
      </c>
      <c r="L7711">
        <v>0</v>
      </c>
      <c r="M7711">
        <v>0</v>
      </c>
    </row>
    <row r="7712" spans="1:13">
      <c r="A7712" t="s">
        <v>3320</v>
      </c>
      <c r="B7712" t="s">
        <v>1359</v>
      </c>
      <c r="C7712" s="34" t="s">
        <v>1438</v>
      </c>
      <c r="F7712" t="s">
        <v>1438</v>
      </c>
      <c r="H7712">
        <v>15</v>
      </c>
      <c r="I7712">
        <f>VLOOKUP(B7712,BRAND!B:D,3,FALSE)</f>
        <v>3</v>
      </c>
      <c r="J7712">
        <v>4</v>
      </c>
      <c r="K7712" t="s">
        <v>821</v>
      </c>
      <c r="L7712">
        <v>0</v>
      </c>
      <c r="M7712">
        <v>0</v>
      </c>
    </row>
    <row r="7713" spans="1:13">
      <c r="A7713" t="s">
        <v>10240</v>
      </c>
      <c r="B7713" t="s">
        <v>10241</v>
      </c>
      <c r="C7713" s="34" t="s">
        <v>1438</v>
      </c>
      <c r="F7713" t="s">
        <v>1438</v>
      </c>
      <c r="H7713">
        <v>5</v>
      </c>
      <c r="I7713">
        <f>VLOOKUP(B7713,BRAND!B:D,3,FALSE)</f>
        <v>5.5</v>
      </c>
      <c r="J7713">
        <v>3</v>
      </c>
      <c r="L7713">
        <v>1</v>
      </c>
    </row>
    <row r="7714" spans="1:13">
      <c r="A7714" t="s">
        <v>7186</v>
      </c>
      <c r="B7714" t="s">
        <v>7187</v>
      </c>
      <c r="C7714" s="34" t="s">
        <v>1438</v>
      </c>
      <c r="F7714" t="s">
        <v>1438</v>
      </c>
      <c r="H7714">
        <v>5</v>
      </c>
      <c r="I7714">
        <f>VLOOKUP(B7714,BRAND!B:D,3,FALSE)</f>
        <v>5.5</v>
      </c>
      <c r="M7714">
        <v>1</v>
      </c>
    </row>
    <row r="7715" spans="1:13">
      <c r="A7715" t="s">
        <v>2576</v>
      </c>
      <c r="B7715" t="s">
        <v>1360</v>
      </c>
      <c r="C7715" s="34" t="s">
        <v>1438</v>
      </c>
      <c r="F7715" t="s">
        <v>1438</v>
      </c>
      <c r="H7715">
        <v>15</v>
      </c>
      <c r="I7715">
        <f>VLOOKUP(B7715,BRAND!B:D,3,FALSE)</f>
        <v>3</v>
      </c>
      <c r="J7715">
        <v>4</v>
      </c>
      <c r="K7715" t="s">
        <v>821</v>
      </c>
      <c r="L7715">
        <v>0</v>
      </c>
      <c r="M7715">
        <v>0</v>
      </c>
    </row>
    <row r="7716" spans="1:13">
      <c r="A7716" t="s">
        <v>4209</v>
      </c>
      <c r="B7716" t="s">
        <v>857</v>
      </c>
      <c r="C7716" s="34" t="s">
        <v>783</v>
      </c>
      <c r="F7716" t="s">
        <v>783</v>
      </c>
      <c r="H7716">
        <v>5</v>
      </c>
      <c r="I7716">
        <f>VLOOKUP(B7716,BRAND!B:D,3,FALSE)</f>
        <v>5.5</v>
      </c>
      <c r="J7716">
        <f>LEN(F7716)</f>
        <v>10</v>
      </c>
      <c r="K7716" t="e">
        <v>#N/A</v>
      </c>
      <c r="L7716">
        <v>0</v>
      </c>
      <c r="M7716">
        <v>0</v>
      </c>
    </row>
    <row r="7717" spans="1:13">
      <c r="A7717" t="s">
        <v>4670</v>
      </c>
      <c r="B7717" t="s">
        <v>857</v>
      </c>
      <c r="C7717" s="34" t="s">
        <v>933</v>
      </c>
      <c r="F7717" t="s">
        <v>933</v>
      </c>
      <c r="H7717">
        <v>5</v>
      </c>
      <c r="I7717">
        <f>VLOOKUP(B7717,BRAND!B:D,3,FALSE)</f>
        <v>5.5</v>
      </c>
      <c r="J7717">
        <v>8</v>
      </c>
      <c r="K7717" t="e">
        <v>#N/A</v>
      </c>
      <c r="L7717">
        <v>0</v>
      </c>
      <c r="M7717">
        <v>0</v>
      </c>
    </row>
    <row r="7718" spans="1:13">
      <c r="A7718" t="s">
        <v>4322</v>
      </c>
      <c r="B7718" t="s">
        <v>857</v>
      </c>
      <c r="C7718" s="34" t="s">
        <v>535</v>
      </c>
      <c r="F7718" t="s">
        <v>535</v>
      </c>
      <c r="H7718">
        <v>5</v>
      </c>
      <c r="I7718">
        <f>VLOOKUP(B7718,BRAND!B:D,3,FALSE)</f>
        <v>5.5</v>
      </c>
      <c r="J7718">
        <v>6</v>
      </c>
      <c r="K7718" t="e">
        <v>#N/A</v>
      </c>
      <c r="L7718">
        <v>0</v>
      </c>
      <c r="M7718">
        <v>0</v>
      </c>
    </row>
    <row r="7719" spans="1:13">
      <c r="A7719" t="s">
        <v>3347</v>
      </c>
      <c r="B7719" t="s">
        <v>857</v>
      </c>
      <c r="C7719" s="34" t="s">
        <v>536</v>
      </c>
      <c r="F7719" t="s">
        <v>536</v>
      </c>
      <c r="H7719">
        <v>5</v>
      </c>
      <c r="I7719">
        <f>VLOOKUP(B7719,BRAND!B:D,3,FALSE)</f>
        <v>5.5</v>
      </c>
      <c r="J7719">
        <v>5</v>
      </c>
      <c r="K7719" t="e">
        <v>#N/A</v>
      </c>
      <c r="L7719">
        <v>0</v>
      </c>
      <c r="M7719">
        <v>0</v>
      </c>
    </row>
    <row r="7720" spans="1:13">
      <c r="A7720" t="s">
        <v>4814</v>
      </c>
      <c r="B7720" t="s">
        <v>857</v>
      </c>
      <c r="C7720" s="34" t="s">
        <v>776</v>
      </c>
      <c r="F7720" t="s">
        <v>776</v>
      </c>
      <c r="H7720">
        <v>5</v>
      </c>
      <c r="I7720">
        <f>VLOOKUP(B7720,BRAND!B:D,3,FALSE)</f>
        <v>5.5</v>
      </c>
      <c r="J7720">
        <v>5</v>
      </c>
      <c r="K7720" t="e">
        <v>#N/A</v>
      </c>
      <c r="L7720">
        <v>0</v>
      </c>
      <c r="M7720">
        <v>0</v>
      </c>
    </row>
    <row r="7721" spans="1:13">
      <c r="A7721" t="s">
        <v>4779</v>
      </c>
      <c r="B7721" t="s">
        <v>857</v>
      </c>
      <c r="C7721" s="34" t="s">
        <v>1993</v>
      </c>
      <c r="F7721" t="s">
        <v>1993</v>
      </c>
      <c r="H7721">
        <v>5</v>
      </c>
      <c r="I7721">
        <f>VLOOKUP(B7721,BRAND!B:D,3,FALSE)</f>
        <v>5.5</v>
      </c>
      <c r="J7721">
        <v>3</v>
      </c>
      <c r="K7721" t="e">
        <v>#N/A</v>
      </c>
      <c r="L7721">
        <v>0</v>
      </c>
      <c r="M7721">
        <v>0</v>
      </c>
    </row>
    <row r="7722" spans="1:13">
      <c r="A7722" t="s">
        <v>3323</v>
      </c>
      <c r="B7722" t="s">
        <v>857</v>
      </c>
      <c r="C7722" s="34" t="s">
        <v>775</v>
      </c>
      <c r="F7722" t="s">
        <v>775</v>
      </c>
      <c r="H7722">
        <v>5</v>
      </c>
      <c r="I7722">
        <f>VLOOKUP(B7722,BRAND!B:D,3,FALSE)</f>
        <v>5.5</v>
      </c>
      <c r="J7722">
        <v>3</v>
      </c>
      <c r="K7722" t="e">
        <v>#N/A</v>
      </c>
      <c r="L7722">
        <v>0</v>
      </c>
      <c r="M7722">
        <v>0</v>
      </c>
    </row>
    <row r="7723" spans="1:13">
      <c r="A7723" t="s">
        <v>2274</v>
      </c>
      <c r="B7723" t="s">
        <v>857</v>
      </c>
      <c r="C7723" s="34" t="s">
        <v>1438</v>
      </c>
      <c r="F7723" t="s">
        <v>1438</v>
      </c>
      <c r="H7723">
        <v>15</v>
      </c>
      <c r="I7723">
        <f>VLOOKUP(B7723,BRAND!B:D,3,FALSE)</f>
        <v>5.5</v>
      </c>
      <c r="J7723">
        <v>4</v>
      </c>
      <c r="K7723" t="e">
        <v>#N/A</v>
      </c>
      <c r="L7723">
        <v>0</v>
      </c>
      <c r="M7723">
        <v>0</v>
      </c>
    </row>
    <row r="7724" spans="1:13">
      <c r="A7724" t="s">
        <v>9350</v>
      </c>
      <c r="B7724" t="s">
        <v>9351</v>
      </c>
      <c r="C7724" s="34" t="s">
        <v>1438</v>
      </c>
      <c r="F7724" t="s">
        <v>1438</v>
      </c>
      <c r="G7724" t="s">
        <v>6932</v>
      </c>
      <c r="H7724">
        <v>5</v>
      </c>
      <c r="I7724">
        <f>VLOOKUP(B7724,BRAND!B:D,3,FALSE)</f>
        <v>5.5</v>
      </c>
      <c r="J7724">
        <v>4</v>
      </c>
      <c r="L7724">
        <v>0</v>
      </c>
      <c r="M7724">
        <v>0</v>
      </c>
    </row>
    <row r="7725" spans="1:13">
      <c r="A7725" t="s">
        <v>9872</v>
      </c>
      <c r="B7725" t="s">
        <v>10011</v>
      </c>
      <c r="C7725" s="34" t="s">
        <v>1438</v>
      </c>
      <c r="H7725">
        <v>5</v>
      </c>
      <c r="I7725">
        <f>VLOOKUP(B7725,BRAND!B:D,3,FALSE)</f>
        <v>5.5</v>
      </c>
      <c r="J7725">
        <f>LEN(F7725)</f>
        <v>0</v>
      </c>
      <c r="L7725">
        <v>0</v>
      </c>
      <c r="M7725">
        <v>0</v>
      </c>
    </row>
    <row r="7726" spans="1:13">
      <c r="A7726" t="s">
        <v>9872</v>
      </c>
      <c r="B7726" t="s">
        <v>10011</v>
      </c>
      <c r="C7726" s="34" t="s">
        <v>1438</v>
      </c>
      <c r="H7726">
        <v>5</v>
      </c>
      <c r="I7726">
        <f>VLOOKUP(B7726,BRAND!B:D,3,FALSE)</f>
        <v>5.5</v>
      </c>
      <c r="J7726">
        <v>0</v>
      </c>
      <c r="M7726">
        <v>1</v>
      </c>
    </row>
    <row r="7727" spans="1:13">
      <c r="A7727" t="s">
        <v>3264</v>
      </c>
      <c r="B7727" t="s">
        <v>1361</v>
      </c>
      <c r="C7727" s="34" t="s">
        <v>1438</v>
      </c>
      <c r="F7727" t="s">
        <v>1438</v>
      </c>
      <c r="H7727">
        <v>15</v>
      </c>
      <c r="I7727">
        <f>VLOOKUP(B7727,BRAND!B:D,3,FALSE)</f>
        <v>3</v>
      </c>
      <c r="J7727">
        <v>4</v>
      </c>
      <c r="K7727" t="s">
        <v>821</v>
      </c>
      <c r="L7727">
        <v>0</v>
      </c>
      <c r="M7727">
        <v>0</v>
      </c>
    </row>
    <row r="7728" spans="1:13">
      <c r="A7728" t="s">
        <v>15469</v>
      </c>
      <c r="B7728" t="s">
        <v>15470</v>
      </c>
      <c r="C7728" s="34" t="s">
        <v>1438</v>
      </c>
      <c r="F7728" t="s">
        <v>1438</v>
      </c>
      <c r="G7728" t="s">
        <v>6932</v>
      </c>
      <c r="H7728">
        <v>5</v>
      </c>
      <c r="I7728">
        <f>VLOOKUP(B7728,BRAND!B:D,3,FALSE)</f>
        <v>5</v>
      </c>
      <c r="J7728">
        <v>0</v>
      </c>
      <c r="K7728" t="s">
        <v>821</v>
      </c>
      <c r="L7728">
        <v>0</v>
      </c>
      <c r="M7728">
        <v>0</v>
      </c>
    </row>
    <row r="7729" spans="1:13">
      <c r="A7729" t="s">
        <v>9352</v>
      </c>
      <c r="B7729" t="s">
        <v>9353</v>
      </c>
      <c r="C7729" s="34" t="s">
        <v>1438</v>
      </c>
      <c r="F7729" t="s">
        <v>1438</v>
      </c>
      <c r="G7729" t="s">
        <v>6932</v>
      </c>
      <c r="H7729">
        <v>5</v>
      </c>
      <c r="I7729">
        <f>VLOOKUP(B7729,BRAND!B:D,3,FALSE)</f>
        <v>5.5</v>
      </c>
      <c r="J7729">
        <v>4</v>
      </c>
      <c r="M7729">
        <v>1</v>
      </c>
    </row>
    <row r="7730" spans="1:13">
      <c r="A7730" t="s">
        <v>9874</v>
      </c>
      <c r="B7730" t="s">
        <v>9353</v>
      </c>
      <c r="C7730" s="34" t="s">
        <v>913</v>
      </c>
      <c r="G7730" t="s">
        <v>6932</v>
      </c>
      <c r="H7730">
        <v>5</v>
      </c>
      <c r="I7730">
        <f>VLOOKUP(B7730,BRAND!B:D,3,FALSE)</f>
        <v>5.5</v>
      </c>
      <c r="J7730">
        <f>LEN(F7730)</f>
        <v>0</v>
      </c>
      <c r="L7730">
        <v>0</v>
      </c>
      <c r="M7730">
        <v>0</v>
      </c>
    </row>
    <row r="7731" spans="1:13">
      <c r="A7731" t="s">
        <v>9874</v>
      </c>
      <c r="B7731" t="s">
        <v>9353</v>
      </c>
      <c r="C7731" s="34" t="s">
        <v>913</v>
      </c>
      <c r="G7731" t="s">
        <v>6932</v>
      </c>
      <c r="H7731">
        <v>5</v>
      </c>
      <c r="I7731">
        <f>VLOOKUP(B7731,BRAND!B:D,3,FALSE)</f>
        <v>5.5</v>
      </c>
      <c r="J7731">
        <v>0</v>
      </c>
      <c r="M7731">
        <v>1</v>
      </c>
    </row>
    <row r="7732" spans="1:13">
      <c r="A7732" t="s">
        <v>9354</v>
      </c>
      <c r="B7732" t="s">
        <v>9355</v>
      </c>
      <c r="C7732" s="34" t="s">
        <v>1438</v>
      </c>
      <c r="F7732" t="s">
        <v>1438</v>
      </c>
      <c r="G7732" t="s">
        <v>6932</v>
      </c>
      <c r="H7732">
        <v>5</v>
      </c>
      <c r="I7732">
        <f>VLOOKUP(B7732,BRAND!B:D,3,FALSE)</f>
        <v>5.5</v>
      </c>
      <c r="J7732">
        <v>4</v>
      </c>
      <c r="M7732">
        <v>1</v>
      </c>
    </row>
    <row r="7733" spans="1:13">
      <c r="A7733" t="s">
        <v>2656</v>
      </c>
      <c r="B7733" t="s">
        <v>1204</v>
      </c>
      <c r="C7733" s="34" t="s">
        <v>1438</v>
      </c>
      <c r="F7733" t="s">
        <v>1438</v>
      </c>
      <c r="H7733">
        <v>15</v>
      </c>
      <c r="I7733">
        <f>VLOOKUP(B7733,BRAND!B:D,3,FALSE)</f>
        <v>3</v>
      </c>
      <c r="J7733">
        <v>4</v>
      </c>
      <c r="K7733" t="s">
        <v>821</v>
      </c>
      <c r="L7733">
        <v>0</v>
      </c>
      <c r="M7733">
        <v>0</v>
      </c>
    </row>
    <row r="7734" spans="1:13">
      <c r="A7734" t="s">
        <v>2573</v>
      </c>
      <c r="B7734" t="s">
        <v>1362</v>
      </c>
      <c r="C7734" s="34" t="s">
        <v>1438</v>
      </c>
      <c r="F7734" t="s">
        <v>1438</v>
      </c>
      <c r="H7734">
        <v>15</v>
      </c>
      <c r="I7734">
        <f>VLOOKUP(B7734,BRAND!B:D,3,FALSE)</f>
        <v>3</v>
      </c>
      <c r="J7734">
        <v>4</v>
      </c>
      <c r="K7734" t="s">
        <v>821</v>
      </c>
      <c r="L7734">
        <v>0</v>
      </c>
      <c r="M7734">
        <v>0</v>
      </c>
    </row>
    <row r="7735" spans="1:13">
      <c r="A7735" t="s">
        <v>9358</v>
      </c>
      <c r="B7735" t="s">
        <v>9357</v>
      </c>
      <c r="C7735" s="34" t="s">
        <v>842</v>
      </c>
      <c r="F7735" t="s">
        <v>842</v>
      </c>
      <c r="G7735" t="s">
        <v>6932</v>
      </c>
      <c r="H7735">
        <v>5</v>
      </c>
      <c r="I7735">
        <f>VLOOKUP(B7735,BRAND!B:D,3,FALSE)</f>
        <v>5.5</v>
      </c>
      <c r="J7735">
        <v>5</v>
      </c>
      <c r="M7735">
        <v>1</v>
      </c>
    </row>
    <row r="7736" spans="1:13">
      <c r="A7736" t="s">
        <v>9356</v>
      </c>
      <c r="B7736" t="s">
        <v>9357</v>
      </c>
      <c r="C7736" s="34" t="s">
        <v>776</v>
      </c>
      <c r="F7736" t="s">
        <v>776</v>
      </c>
      <c r="G7736" t="s">
        <v>6932</v>
      </c>
      <c r="H7736">
        <v>5</v>
      </c>
      <c r="I7736">
        <f>VLOOKUP(B7736,BRAND!B:D,3,FALSE)</f>
        <v>5.5</v>
      </c>
      <c r="J7736">
        <v>5</v>
      </c>
      <c r="M7736">
        <v>1</v>
      </c>
    </row>
    <row r="7737" spans="1:13">
      <c r="A7737" t="s">
        <v>10629</v>
      </c>
      <c r="B7737" t="s">
        <v>10312</v>
      </c>
      <c r="C7737" s="34" t="s">
        <v>995</v>
      </c>
      <c r="F7737" t="s">
        <v>995</v>
      </c>
      <c r="G7737" t="s">
        <v>6932</v>
      </c>
      <c r="H7737">
        <v>5</v>
      </c>
      <c r="I7737">
        <f>VLOOKUP(B7737,BRAND!B:D,3,FALSE)</f>
        <v>11</v>
      </c>
      <c r="J7737">
        <f>LEN(F7737)</f>
        <v>6</v>
      </c>
      <c r="L7737">
        <v>0</v>
      </c>
    </row>
    <row r="7738" spans="1:13">
      <c r="A7738" t="s">
        <v>10628</v>
      </c>
      <c r="B7738" t="s">
        <v>10312</v>
      </c>
      <c r="C7738" s="34" t="s">
        <v>782</v>
      </c>
      <c r="F7738" t="s">
        <v>782</v>
      </c>
      <c r="G7738" t="s">
        <v>6932</v>
      </c>
      <c r="H7738">
        <v>5</v>
      </c>
      <c r="I7738">
        <f>VLOOKUP(B7738,BRAND!B:D,3,FALSE)</f>
        <v>11</v>
      </c>
      <c r="J7738">
        <f>LEN(F7738)</f>
        <v>4</v>
      </c>
      <c r="L7738">
        <v>0</v>
      </c>
    </row>
    <row r="7739" spans="1:13">
      <c r="A7739" t="s">
        <v>4966</v>
      </c>
      <c r="B7739" t="s">
        <v>178</v>
      </c>
      <c r="C7739" s="34" t="s">
        <v>536</v>
      </c>
      <c r="F7739" t="s">
        <v>536</v>
      </c>
      <c r="G7739" t="s">
        <v>801</v>
      </c>
      <c r="H7739">
        <v>6</v>
      </c>
      <c r="I7739">
        <f>VLOOKUP(B7739,BRAND!B:D,3,FALSE)</f>
        <v>3</v>
      </c>
      <c r="J7739">
        <v>5</v>
      </c>
      <c r="K7739" t="s">
        <v>821</v>
      </c>
      <c r="L7739">
        <v>0</v>
      </c>
      <c r="M7739">
        <v>0</v>
      </c>
    </row>
    <row r="7740" spans="1:13">
      <c r="A7740" t="s">
        <v>4920</v>
      </c>
      <c r="B7740" t="s">
        <v>178</v>
      </c>
      <c r="C7740" s="34" t="s">
        <v>1438</v>
      </c>
      <c r="F7740" t="s">
        <v>1438</v>
      </c>
      <c r="G7740" t="s">
        <v>801</v>
      </c>
      <c r="H7740">
        <v>6</v>
      </c>
      <c r="I7740">
        <f>VLOOKUP(B7740,BRAND!B:D,3,FALSE)</f>
        <v>3</v>
      </c>
      <c r="J7740">
        <v>4</v>
      </c>
      <c r="K7740" t="s">
        <v>821</v>
      </c>
      <c r="M7740">
        <v>1</v>
      </c>
    </row>
    <row r="7741" spans="1:13">
      <c r="A7741" t="s">
        <v>2021</v>
      </c>
      <c r="B7741" t="s">
        <v>178</v>
      </c>
      <c r="C7741" s="34" t="s">
        <v>1438</v>
      </c>
      <c r="F7741" t="s">
        <v>1438</v>
      </c>
      <c r="H7741">
        <v>15</v>
      </c>
      <c r="I7741">
        <f>VLOOKUP(B7741,BRAND!B:D,3,FALSE)</f>
        <v>3</v>
      </c>
      <c r="J7741">
        <v>4</v>
      </c>
      <c r="K7741" t="s">
        <v>821</v>
      </c>
      <c r="L7741">
        <v>0</v>
      </c>
      <c r="M7741">
        <v>0</v>
      </c>
    </row>
    <row r="7742" spans="1:13">
      <c r="A7742" t="s">
        <v>1718</v>
      </c>
      <c r="B7742" t="s">
        <v>179</v>
      </c>
      <c r="C7742" s="34" t="s">
        <v>1470</v>
      </c>
      <c r="F7742" t="s">
        <v>1470</v>
      </c>
      <c r="H7742">
        <v>4</v>
      </c>
      <c r="I7742">
        <f>VLOOKUP(B7742,BRAND!B:D,3,FALSE)</f>
        <v>3</v>
      </c>
      <c r="J7742">
        <f>LEN(F7742)</f>
        <v>12</v>
      </c>
      <c r="K7742" t="s">
        <v>822</v>
      </c>
      <c r="L7742">
        <v>0</v>
      </c>
      <c r="M7742">
        <v>0</v>
      </c>
    </row>
    <row r="7743" spans="1:13">
      <c r="A7743" t="s">
        <v>4335</v>
      </c>
      <c r="B7743" t="s">
        <v>179</v>
      </c>
      <c r="C7743" s="34" t="s">
        <v>1476</v>
      </c>
      <c r="F7743" t="s">
        <v>1476</v>
      </c>
      <c r="H7743">
        <v>5</v>
      </c>
      <c r="I7743">
        <f>VLOOKUP(B7743,BRAND!B:D,3,FALSE)</f>
        <v>3</v>
      </c>
      <c r="J7743">
        <f>LEN(F7743)</f>
        <v>11</v>
      </c>
      <c r="K7743" t="s">
        <v>822</v>
      </c>
      <c r="L7743">
        <v>0</v>
      </c>
      <c r="M7743">
        <v>0</v>
      </c>
    </row>
    <row r="7744" spans="1:13">
      <c r="A7744" t="s">
        <v>4184</v>
      </c>
      <c r="B7744" t="s">
        <v>179</v>
      </c>
      <c r="C7744" s="34" t="s">
        <v>994</v>
      </c>
      <c r="F7744" t="s">
        <v>994</v>
      </c>
      <c r="H7744">
        <v>5</v>
      </c>
      <c r="I7744">
        <f>VLOOKUP(B7744,BRAND!B:D,3,FALSE)</f>
        <v>3</v>
      </c>
      <c r="J7744">
        <f>LEN(F7744)</f>
        <v>10</v>
      </c>
      <c r="K7744" t="s">
        <v>822</v>
      </c>
      <c r="L7744">
        <v>0</v>
      </c>
      <c r="M7744">
        <v>0</v>
      </c>
    </row>
    <row r="7745" spans="1:13">
      <c r="A7745" t="s">
        <v>4709</v>
      </c>
      <c r="B7745" t="s">
        <v>179</v>
      </c>
      <c r="C7745" s="34" t="s">
        <v>746</v>
      </c>
      <c r="F7745" t="s">
        <v>746</v>
      </c>
      <c r="H7745">
        <v>5</v>
      </c>
      <c r="I7745">
        <f>VLOOKUP(B7745,BRAND!B:D,3,FALSE)</f>
        <v>3</v>
      </c>
      <c r="J7745">
        <v>6</v>
      </c>
      <c r="K7745" t="s">
        <v>822</v>
      </c>
      <c r="L7745">
        <v>0</v>
      </c>
      <c r="M7745">
        <v>0</v>
      </c>
    </row>
    <row r="7746" spans="1:13">
      <c r="A7746" t="s">
        <v>1565</v>
      </c>
      <c r="B7746" t="s">
        <v>179</v>
      </c>
      <c r="C7746" s="34" t="s">
        <v>995</v>
      </c>
      <c r="F7746" t="s">
        <v>995</v>
      </c>
      <c r="H7746">
        <v>5</v>
      </c>
      <c r="I7746">
        <f>VLOOKUP(B7746,BRAND!B:D,3,FALSE)</f>
        <v>3</v>
      </c>
      <c r="J7746">
        <v>6</v>
      </c>
      <c r="K7746" t="s">
        <v>822</v>
      </c>
      <c r="L7746">
        <v>0</v>
      </c>
      <c r="M7746">
        <v>0</v>
      </c>
    </row>
    <row r="7747" spans="1:13">
      <c r="A7747" t="s">
        <v>4531</v>
      </c>
      <c r="B7747" t="s">
        <v>179</v>
      </c>
      <c r="C7747" s="34" t="s">
        <v>764</v>
      </c>
      <c r="F7747" t="s">
        <v>764</v>
      </c>
      <c r="H7747">
        <v>5</v>
      </c>
      <c r="I7747">
        <f>VLOOKUP(B7747,BRAND!B:D,3,FALSE)</f>
        <v>3</v>
      </c>
      <c r="J7747">
        <v>5</v>
      </c>
      <c r="K7747" t="s">
        <v>822</v>
      </c>
      <c r="L7747">
        <v>0</v>
      </c>
      <c r="M7747">
        <v>0</v>
      </c>
    </row>
    <row r="7748" spans="1:13">
      <c r="A7748" t="s">
        <v>1727</v>
      </c>
      <c r="B7748" t="s">
        <v>179</v>
      </c>
      <c r="C7748" s="34" t="s">
        <v>799</v>
      </c>
      <c r="F7748" t="s">
        <v>799</v>
      </c>
      <c r="H7748">
        <v>5</v>
      </c>
      <c r="I7748">
        <f>VLOOKUP(B7748,BRAND!B:D,3,FALSE)</f>
        <v>3</v>
      </c>
      <c r="J7748">
        <v>5</v>
      </c>
      <c r="K7748" t="s">
        <v>822</v>
      </c>
      <c r="L7748">
        <v>0</v>
      </c>
      <c r="M7748">
        <v>0</v>
      </c>
    </row>
    <row r="7749" spans="1:13">
      <c r="A7749" t="s">
        <v>4753</v>
      </c>
      <c r="B7749" t="s">
        <v>179</v>
      </c>
      <c r="C7749" s="34" t="s">
        <v>879</v>
      </c>
      <c r="F7749" t="s">
        <v>879</v>
      </c>
      <c r="H7749">
        <v>5</v>
      </c>
      <c r="I7749">
        <f>VLOOKUP(B7749,BRAND!B:D,3,FALSE)</f>
        <v>3</v>
      </c>
      <c r="J7749">
        <v>5</v>
      </c>
      <c r="K7749" t="s">
        <v>822</v>
      </c>
      <c r="L7749">
        <v>0</v>
      </c>
      <c r="M7749">
        <v>0</v>
      </c>
    </row>
    <row r="7750" spans="1:13">
      <c r="A7750" t="s">
        <v>4708</v>
      </c>
      <c r="B7750" t="s">
        <v>179</v>
      </c>
      <c r="C7750" s="34" t="s">
        <v>776</v>
      </c>
      <c r="F7750" t="s">
        <v>776</v>
      </c>
      <c r="H7750">
        <v>5</v>
      </c>
      <c r="I7750">
        <f>VLOOKUP(B7750,BRAND!B:D,3,FALSE)</f>
        <v>3</v>
      </c>
      <c r="J7750">
        <v>5</v>
      </c>
      <c r="K7750" t="s">
        <v>822</v>
      </c>
      <c r="L7750">
        <v>0</v>
      </c>
      <c r="M7750">
        <v>0</v>
      </c>
    </row>
    <row r="7751" spans="1:13">
      <c r="A7751" t="s">
        <v>4578</v>
      </c>
      <c r="B7751" t="s">
        <v>179</v>
      </c>
      <c r="C7751" s="34" t="s">
        <v>782</v>
      </c>
      <c r="F7751" t="s">
        <v>782</v>
      </c>
      <c r="H7751">
        <v>5</v>
      </c>
      <c r="I7751">
        <f>VLOOKUP(B7751,BRAND!B:D,3,FALSE)</f>
        <v>3</v>
      </c>
      <c r="J7751">
        <v>4</v>
      </c>
      <c r="K7751" t="s">
        <v>822</v>
      </c>
      <c r="L7751">
        <v>0</v>
      </c>
      <c r="M7751">
        <v>0</v>
      </c>
    </row>
    <row r="7752" spans="1:13">
      <c r="A7752" t="s">
        <v>4552</v>
      </c>
      <c r="B7752" t="s">
        <v>179</v>
      </c>
      <c r="C7752" s="34" t="s">
        <v>1515</v>
      </c>
      <c r="F7752" t="s">
        <v>1515</v>
      </c>
      <c r="H7752">
        <v>5</v>
      </c>
      <c r="I7752">
        <f>VLOOKUP(B7752,BRAND!B:D,3,FALSE)</f>
        <v>3</v>
      </c>
      <c r="J7752">
        <v>4</v>
      </c>
      <c r="K7752" t="s">
        <v>822</v>
      </c>
      <c r="L7752">
        <v>0</v>
      </c>
      <c r="M7752">
        <v>0</v>
      </c>
    </row>
    <row r="7753" spans="1:13">
      <c r="A7753" t="s">
        <v>5034</v>
      </c>
      <c r="B7753" t="s">
        <v>179</v>
      </c>
      <c r="C7753" s="34" t="s">
        <v>746</v>
      </c>
      <c r="F7753" t="s">
        <v>746</v>
      </c>
      <c r="G7753" t="s">
        <v>801</v>
      </c>
      <c r="H7753">
        <v>6</v>
      </c>
      <c r="I7753">
        <f>VLOOKUP(B7753,BRAND!B:D,3,FALSE)</f>
        <v>3</v>
      </c>
      <c r="J7753">
        <v>6</v>
      </c>
      <c r="K7753" t="s">
        <v>822</v>
      </c>
      <c r="M7753">
        <v>1</v>
      </c>
    </row>
    <row r="7754" spans="1:13">
      <c r="A7754" t="s">
        <v>5032</v>
      </c>
      <c r="B7754" t="s">
        <v>179</v>
      </c>
      <c r="C7754" s="34" t="s">
        <v>1515</v>
      </c>
      <c r="F7754" t="s">
        <v>1515</v>
      </c>
      <c r="G7754" t="s">
        <v>801</v>
      </c>
      <c r="H7754">
        <v>6</v>
      </c>
      <c r="I7754">
        <f>VLOOKUP(B7754,BRAND!B:D,3,FALSE)</f>
        <v>3</v>
      </c>
      <c r="J7754">
        <v>4</v>
      </c>
      <c r="K7754" t="s">
        <v>822</v>
      </c>
      <c r="L7754">
        <v>0</v>
      </c>
      <c r="M7754">
        <v>0</v>
      </c>
    </row>
    <row r="7755" spans="1:13">
      <c r="A7755" t="s">
        <v>1719</v>
      </c>
      <c r="B7755" t="s">
        <v>179</v>
      </c>
      <c r="C7755" s="34" t="s">
        <v>5425</v>
      </c>
      <c r="F7755" t="s">
        <v>1438</v>
      </c>
      <c r="G7755" t="s">
        <v>801</v>
      </c>
      <c r="H7755">
        <v>6</v>
      </c>
      <c r="I7755">
        <f>VLOOKUP(B7755,BRAND!B:D,3,FALSE)</f>
        <v>3</v>
      </c>
      <c r="J7755">
        <v>4</v>
      </c>
      <c r="K7755" t="s">
        <v>822</v>
      </c>
      <c r="M7755">
        <v>1</v>
      </c>
    </row>
    <row r="7756" spans="1:13">
      <c r="A7756" t="s">
        <v>1521</v>
      </c>
      <c r="B7756" t="s">
        <v>179</v>
      </c>
      <c r="C7756" s="34" t="s">
        <v>5425</v>
      </c>
      <c r="F7756" t="s">
        <v>1438</v>
      </c>
      <c r="H7756">
        <v>15</v>
      </c>
      <c r="I7756">
        <f>VLOOKUP(B7756,BRAND!B:D,3,FALSE)</f>
        <v>3</v>
      </c>
      <c r="J7756">
        <v>4</v>
      </c>
      <c r="K7756" t="s">
        <v>822</v>
      </c>
      <c r="L7756">
        <v>1</v>
      </c>
      <c r="M7756">
        <v>1</v>
      </c>
    </row>
    <row r="7757" spans="1:13">
      <c r="A7757" t="s">
        <v>9361</v>
      </c>
      <c r="B7757" t="s">
        <v>9360</v>
      </c>
      <c r="C7757" s="34" t="s">
        <v>776</v>
      </c>
      <c r="F7757" t="s">
        <v>776</v>
      </c>
      <c r="G7757" t="s">
        <v>6932</v>
      </c>
      <c r="H7757">
        <v>5</v>
      </c>
      <c r="I7757">
        <f>VLOOKUP(B7757,BRAND!B:D,3,FALSE)</f>
        <v>5.5</v>
      </c>
      <c r="J7757">
        <v>5</v>
      </c>
      <c r="M7757">
        <v>1</v>
      </c>
    </row>
    <row r="7758" spans="1:13">
      <c r="A7758" t="s">
        <v>9359</v>
      </c>
      <c r="B7758" t="s">
        <v>9360</v>
      </c>
      <c r="C7758" s="34" t="s">
        <v>998</v>
      </c>
      <c r="F7758" t="s">
        <v>998</v>
      </c>
      <c r="G7758" t="s">
        <v>6932</v>
      </c>
      <c r="H7758">
        <v>5</v>
      </c>
      <c r="I7758">
        <f>VLOOKUP(B7758,BRAND!B:D,3,FALSE)</f>
        <v>5.5</v>
      </c>
      <c r="J7758">
        <v>4</v>
      </c>
      <c r="M7758">
        <v>1</v>
      </c>
    </row>
    <row r="7759" spans="1:13">
      <c r="A7759" t="s">
        <v>9362</v>
      </c>
      <c r="B7759" t="s">
        <v>9360</v>
      </c>
      <c r="C7759" s="34" t="s">
        <v>561</v>
      </c>
      <c r="F7759" t="s">
        <v>561</v>
      </c>
      <c r="G7759" t="s">
        <v>6932</v>
      </c>
      <c r="H7759">
        <v>5</v>
      </c>
      <c r="I7759">
        <f>VLOOKUP(B7759,BRAND!B:D,3,FALSE)</f>
        <v>5.5</v>
      </c>
      <c r="J7759">
        <v>3</v>
      </c>
      <c r="M7759">
        <v>1</v>
      </c>
    </row>
    <row r="7760" spans="1:13">
      <c r="A7760" t="s">
        <v>12481</v>
      </c>
      <c r="B7760" t="s">
        <v>12022</v>
      </c>
      <c r="C7760" s="34" t="s">
        <v>1438</v>
      </c>
      <c r="F7760" t="s">
        <v>1438</v>
      </c>
      <c r="G7760" t="s">
        <v>6932</v>
      </c>
      <c r="H7760">
        <v>5</v>
      </c>
    </row>
    <row r="7761" spans="1:13">
      <c r="A7761" t="s">
        <v>5215</v>
      </c>
      <c r="B7761" t="s">
        <v>600</v>
      </c>
      <c r="C7761" s="34" t="s">
        <v>5426</v>
      </c>
      <c r="F7761" t="s">
        <v>791</v>
      </c>
      <c r="H7761">
        <v>4</v>
      </c>
      <c r="I7761">
        <f>VLOOKUP(B7761,BRAND!B:D,3,FALSE)</f>
        <v>3</v>
      </c>
      <c r="J7761">
        <v>5</v>
      </c>
      <c r="K7761" t="s">
        <v>821</v>
      </c>
      <c r="M7761">
        <v>1</v>
      </c>
    </row>
    <row r="7762" spans="1:13">
      <c r="A7762" t="s">
        <v>5214</v>
      </c>
      <c r="B7762" t="s">
        <v>600</v>
      </c>
      <c r="C7762" s="34" t="s">
        <v>5517</v>
      </c>
      <c r="F7762" t="s">
        <v>758</v>
      </c>
      <c r="H7762">
        <v>4</v>
      </c>
      <c r="I7762">
        <f>VLOOKUP(B7762,BRAND!B:D,3,FALSE)</f>
        <v>3</v>
      </c>
      <c r="J7762">
        <v>2</v>
      </c>
      <c r="K7762" t="s">
        <v>821</v>
      </c>
      <c r="M7762">
        <v>1</v>
      </c>
    </row>
    <row r="7763" spans="1:13">
      <c r="A7763" t="s">
        <v>4144</v>
      </c>
      <c r="B7763" t="s">
        <v>600</v>
      </c>
      <c r="C7763" s="34" t="s">
        <v>794</v>
      </c>
      <c r="F7763" t="s">
        <v>794</v>
      </c>
      <c r="H7763">
        <v>5</v>
      </c>
      <c r="I7763">
        <f>VLOOKUP(B7763,BRAND!B:D,3,FALSE)</f>
        <v>3</v>
      </c>
      <c r="J7763">
        <f>LEN(F7763)</f>
        <v>10</v>
      </c>
      <c r="K7763" t="s">
        <v>821</v>
      </c>
      <c r="L7763">
        <v>0</v>
      </c>
      <c r="M7763">
        <v>0</v>
      </c>
    </row>
    <row r="7764" spans="1:13">
      <c r="A7764" t="s">
        <v>3983</v>
      </c>
      <c r="B7764" t="s">
        <v>600</v>
      </c>
      <c r="C7764" s="34" t="s">
        <v>534</v>
      </c>
      <c r="F7764" t="s">
        <v>534</v>
      </c>
      <c r="H7764">
        <v>5</v>
      </c>
      <c r="I7764">
        <f>VLOOKUP(B7764,BRAND!B:D,3,FALSE)</f>
        <v>3</v>
      </c>
      <c r="J7764">
        <v>6</v>
      </c>
      <c r="K7764" t="s">
        <v>821</v>
      </c>
      <c r="M7764">
        <v>1</v>
      </c>
    </row>
    <row r="7765" spans="1:13">
      <c r="A7765" t="s">
        <v>5212</v>
      </c>
      <c r="B7765" t="s">
        <v>600</v>
      </c>
      <c r="C7765" s="34" t="s">
        <v>7145</v>
      </c>
      <c r="F7765" t="s">
        <v>748</v>
      </c>
      <c r="H7765">
        <v>5</v>
      </c>
      <c r="I7765">
        <f>VLOOKUP(B7765,BRAND!B:D,3,FALSE)</f>
        <v>3</v>
      </c>
      <c r="J7765">
        <v>5</v>
      </c>
      <c r="K7765" t="s">
        <v>821</v>
      </c>
      <c r="M7765">
        <v>1</v>
      </c>
    </row>
    <row r="7766" spans="1:13">
      <c r="A7766" t="s">
        <v>3992</v>
      </c>
      <c r="B7766" t="s">
        <v>600</v>
      </c>
      <c r="C7766" s="34" t="s">
        <v>776</v>
      </c>
      <c r="F7766" t="s">
        <v>776</v>
      </c>
      <c r="H7766">
        <v>5</v>
      </c>
      <c r="I7766">
        <f>VLOOKUP(B7766,BRAND!B:D,3,FALSE)</f>
        <v>3</v>
      </c>
      <c r="J7766">
        <v>5</v>
      </c>
      <c r="K7766" t="s">
        <v>821</v>
      </c>
      <c r="M7766">
        <v>1</v>
      </c>
    </row>
    <row r="7767" spans="1:13">
      <c r="A7767" t="s">
        <v>9363</v>
      </c>
      <c r="B7767" t="s">
        <v>600</v>
      </c>
      <c r="C7767" s="34" t="s">
        <v>1438</v>
      </c>
      <c r="F7767" t="s">
        <v>1438</v>
      </c>
      <c r="G7767" t="s">
        <v>6932</v>
      </c>
      <c r="H7767">
        <v>5</v>
      </c>
      <c r="I7767">
        <f>VLOOKUP(B7767,BRAND!B:D,3,FALSE)</f>
        <v>3</v>
      </c>
      <c r="J7767">
        <v>4</v>
      </c>
      <c r="L7767">
        <v>0</v>
      </c>
      <c r="M7767">
        <v>0</v>
      </c>
    </row>
    <row r="7768" spans="1:13">
      <c r="A7768" t="s">
        <v>2548</v>
      </c>
      <c r="B7768" t="s">
        <v>600</v>
      </c>
      <c r="C7768" s="34" t="s">
        <v>788</v>
      </c>
      <c r="F7768" t="s">
        <v>788</v>
      </c>
      <c r="H7768">
        <v>5</v>
      </c>
      <c r="I7768">
        <f>VLOOKUP(B7768,BRAND!B:D,3,FALSE)</f>
        <v>3</v>
      </c>
      <c r="J7768">
        <v>4</v>
      </c>
      <c r="K7768" t="s">
        <v>821</v>
      </c>
      <c r="M7768">
        <v>1</v>
      </c>
    </row>
    <row r="7769" spans="1:13">
      <c r="A7769" t="s">
        <v>5213</v>
      </c>
      <c r="B7769" t="s">
        <v>600</v>
      </c>
      <c r="C7769" s="34" t="s">
        <v>5514</v>
      </c>
      <c r="F7769" t="s">
        <v>762</v>
      </c>
      <c r="H7769">
        <v>5</v>
      </c>
      <c r="I7769">
        <f>VLOOKUP(B7769,BRAND!B:D,3,FALSE)</f>
        <v>3</v>
      </c>
      <c r="J7769">
        <v>1</v>
      </c>
      <c r="K7769" t="s">
        <v>821</v>
      </c>
      <c r="M7769">
        <v>1</v>
      </c>
    </row>
    <row r="7770" spans="1:13">
      <c r="A7770" t="s">
        <v>9875</v>
      </c>
      <c r="B7770" t="s">
        <v>600</v>
      </c>
      <c r="C7770" s="34" t="s">
        <v>10013</v>
      </c>
      <c r="G7770" t="s">
        <v>6932</v>
      </c>
      <c r="H7770">
        <v>5</v>
      </c>
      <c r="I7770">
        <f>VLOOKUP(B7770,BRAND!B:D,3,FALSE)</f>
        <v>3</v>
      </c>
      <c r="J7770">
        <f>LEN(F7770)</f>
        <v>0</v>
      </c>
      <c r="L7770">
        <v>0</v>
      </c>
      <c r="M7770">
        <v>0</v>
      </c>
    </row>
    <row r="7771" spans="1:13">
      <c r="A7771" t="s">
        <v>9875</v>
      </c>
      <c r="B7771" t="s">
        <v>600</v>
      </c>
      <c r="C7771" s="34" t="s">
        <v>10013</v>
      </c>
      <c r="G7771" t="s">
        <v>6932</v>
      </c>
      <c r="H7771">
        <v>5</v>
      </c>
      <c r="I7771">
        <f>VLOOKUP(B7771,BRAND!B:D,3,FALSE)</f>
        <v>3</v>
      </c>
      <c r="J7771">
        <v>0</v>
      </c>
      <c r="M7771">
        <v>1</v>
      </c>
    </row>
    <row r="7772" spans="1:13">
      <c r="A7772" t="s">
        <v>7289</v>
      </c>
      <c r="B7772" t="s">
        <v>600</v>
      </c>
      <c r="C7772" s="34" t="s">
        <v>7290</v>
      </c>
      <c r="F7772" t="s">
        <v>7290</v>
      </c>
      <c r="H7772">
        <v>5</v>
      </c>
      <c r="I7772">
        <f>VLOOKUP(B7772,BRAND!B:D,3,FALSE)</f>
        <v>3</v>
      </c>
      <c r="M7772">
        <v>1</v>
      </c>
    </row>
    <row r="7773" spans="1:13">
      <c r="A7773" t="s">
        <v>3393</v>
      </c>
      <c r="B7773" t="s">
        <v>1007</v>
      </c>
      <c r="C7773" s="34" t="s">
        <v>10257</v>
      </c>
      <c r="F7773" t="s">
        <v>774</v>
      </c>
      <c r="H7773">
        <v>4</v>
      </c>
      <c r="I7773">
        <f>VLOOKUP(B7773,BRAND!B:D,3,FALSE)</f>
        <v>3</v>
      </c>
      <c r="J7773">
        <v>9</v>
      </c>
      <c r="K7773" t="s">
        <v>821</v>
      </c>
      <c r="M7773">
        <v>1</v>
      </c>
    </row>
    <row r="7774" spans="1:13">
      <c r="A7774" t="s">
        <v>3846</v>
      </c>
      <c r="B7774" t="s">
        <v>1007</v>
      </c>
      <c r="C7774" s="34" t="s">
        <v>840</v>
      </c>
      <c r="F7774" t="s">
        <v>840</v>
      </c>
      <c r="H7774">
        <v>5</v>
      </c>
      <c r="I7774">
        <f>VLOOKUP(B7774,BRAND!B:D,3,FALSE)</f>
        <v>3</v>
      </c>
      <c r="J7774">
        <v>9</v>
      </c>
      <c r="K7774" t="s">
        <v>821</v>
      </c>
      <c r="M7774">
        <v>1</v>
      </c>
    </row>
    <row r="7775" spans="1:13">
      <c r="A7775" t="s">
        <v>2147</v>
      </c>
      <c r="B7775" t="s">
        <v>1007</v>
      </c>
      <c r="C7775" s="34" t="s">
        <v>772</v>
      </c>
      <c r="F7775" t="s">
        <v>772</v>
      </c>
      <c r="H7775">
        <v>5</v>
      </c>
      <c r="I7775">
        <f>VLOOKUP(B7775,BRAND!B:D,3,FALSE)</f>
        <v>3</v>
      </c>
      <c r="J7775">
        <v>6</v>
      </c>
      <c r="K7775" t="s">
        <v>821</v>
      </c>
      <c r="L7775">
        <v>0</v>
      </c>
      <c r="M7775">
        <v>0</v>
      </c>
    </row>
    <row r="7776" spans="1:13">
      <c r="A7776" t="s">
        <v>10298</v>
      </c>
      <c r="B7776" t="s">
        <v>1007</v>
      </c>
      <c r="C7776" s="34" t="s">
        <v>788</v>
      </c>
      <c r="F7776" t="s">
        <v>788</v>
      </c>
      <c r="H7776">
        <v>5</v>
      </c>
      <c r="I7776">
        <f>VLOOKUP(B7776,BRAND!B:D,3,FALSE)</f>
        <v>3</v>
      </c>
      <c r="J7776">
        <v>6</v>
      </c>
      <c r="K7776" t="s">
        <v>821</v>
      </c>
      <c r="L7776">
        <v>0</v>
      </c>
      <c r="M7776">
        <v>0</v>
      </c>
    </row>
    <row r="7777" spans="1:13">
      <c r="A7777" t="s">
        <v>3734</v>
      </c>
      <c r="B7777" t="s">
        <v>1007</v>
      </c>
      <c r="C7777" s="34" t="s">
        <v>535</v>
      </c>
      <c r="F7777" t="s">
        <v>535</v>
      </c>
      <c r="H7777">
        <v>5</v>
      </c>
      <c r="I7777">
        <f>VLOOKUP(B7777,BRAND!B:D,3,FALSE)</f>
        <v>3</v>
      </c>
      <c r="J7777">
        <v>6</v>
      </c>
      <c r="K7777" t="s">
        <v>821</v>
      </c>
      <c r="L7777">
        <v>0</v>
      </c>
      <c r="M7777">
        <v>0</v>
      </c>
    </row>
    <row r="7778" spans="1:13">
      <c r="A7778" t="s">
        <v>3510</v>
      </c>
      <c r="B7778" t="s">
        <v>1007</v>
      </c>
      <c r="C7778" s="34" t="s">
        <v>534</v>
      </c>
      <c r="F7778" t="s">
        <v>534</v>
      </c>
      <c r="H7778">
        <v>5</v>
      </c>
      <c r="I7778">
        <f>VLOOKUP(B7778,BRAND!B:D,3,FALSE)</f>
        <v>3</v>
      </c>
      <c r="J7778">
        <v>6</v>
      </c>
      <c r="K7778" t="s">
        <v>821</v>
      </c>
      <c r="M7778">
        <v>1</v>
      </c>
    </row>
    <row r="7779" spans="1:13">
      <c r="A7779" t="s">
        <v>4089</v>
      </c>
      <c r="B7779" t="s">
        <v>1007</v>
      </c>
      <c r="C7779" s="34" t="s">
        <v>799</v>
      </c>
      <c r="F7779" t="s">
        <v>799</v>
      </c>
      <c r="H7779">
        <v>5</v>
      </c>
      <c r="I7779">
        <f>VLOOKUP(B7779,BRAND!B:D,3,FALSE)</f>
        <v>3</v>
      </c>
      <c r="J7779">
        <v>5</v>
      </c>
      <c r="K7779" t="s">
        <v>821</v>
      </c>
      <c r="L7779">
        <v>0</v>
      </c>
      <c r="M7779">
        <v>0</v>
      </c>
    </row>
    <row r="7780" spans="1:13">
      <c r="A7780" t="s">
        <v>2362</v>
      </c>
      <c r="B7780" t="s">
        <v>1007</v>
      </c>
      <c r="C7780" s="34" t="s">
        <v>776</v>
      </c>
      <c r="F7780" t="s">
        <v>776</v>
      </c>
      <c r="H7780">
        <v>5</v>
      </c>
      <c r="I7780">
        <f>VLOOKUP(B7780,BRAND!B:D,3,FALSE)</f>
        <v>3</v>
      </c>
      <c r="J7780">
        <v>5</v>
      </c>
      <c r="K7780" t="s">
        <v>821</v>
      </c>
      <c r="L7780">
        <v>0</v>
      </c>
      <c r="M7780">
        <v>0</v>
      </c>
    </row>
    <row r="7781" spans="1:13">
      <c r="A7781" t="s">
        <v>3511</v>
      </c>
      <c r="B7781" t="s">
        <v>1007</v>
      </c>
      <c r="C7781" s="34" t="s">
        <v>536</v>
      </c>
      <c r="F7781" t="s">
        <v>536</v>
      </c>
      <c r="H7781">
        <v>5</v>
      </c>
      <c r="I7781">
        <f>VLOOKUP(B7781,BRAND!B:D,3,FALSE)</f>
        <v>3</v>
      </c>
      <c r="J7781">
        <v>5</v>
      </c>
      <c r="K7781" t="s">
        <v>821</v>
      </c>
      <c r="M7781">
        <v>1</v>
      </c>
    </row>
    <row r="7782" spans="1:13">
      <c r="A7782" t="s">
        <v>3349</v>
      </c>
      <c r="B7782" t="s">
        <v>1007</v>
      </c>
      <c r="C7782" s="34" t="s">
        <v>842</v>
      </c>
      <c r="F7782" t="s">
        <v>842</v>
      </c>
      <c r="H7782">
        <v>5</v>
      </c>
      <c r="I7782">
        <f>VLOOKUP(B7782,BRAND!B:D,3,FALSE)</f>
        <v>3</v>
      </c>
      <c r="J7782">
        <v>5</v>
      </c>
      <c r="K7782" t="s">
        <v>821</v>
      </c>
      <c r="M7782">
        <v>1</v>
      </c>
    </row>
    <row r="7783" spans="1:13">
      <c r="A7783" t="s">
        <v>3763</v>
      </c>
      <c r="B7783" t="s">
        <v>1007</v>
      </c>
      <c r="C7783" s="34" t="s">
        <v>872</v>
      </c>
      <c r="F7783" t="s">
        <v>872</v>
      </c>
      <c r="H7783">
        <v>5</v>
      </c>
      <c r="I7783">
        <f>VLOOKUP(B7783,BRAND!B:D,3,FALSE)</f>
        <v>3</v>
      </c>
      <c r="J7783">
        <v>5</v>
      </c>
      <c r="K7783" t="s">
        <v>821</v>
      </c>
      <c r="M7783">
        <v>1</v>
      </c>
    </row>
    <row r="7784" spans="1:13">
      <c r="A7784" t="s">
        <v>4182</v>
      </c>
      <c r="B7784" t="s">
        <v>1007</v>
      </c>
      <c r="C7784" s="34" t="s">
        <v>1992</v>
      </c>
      <c r="F7784" t="s">
        <v>1992</v>
      </c>
      <c r="H7784">
        <v>5</v>
      </c>
      <c r="I7784">
        <f>VLOOKUP(B7784,BRAND!B:D,3,FALSE)</f>
        <v>3</v>
      </c>
      <c r="J7784">
        <v>3</v>
      </c>
      <c r="K7784" t="s">
        <v>821</v>
      </c>
      <c r="L7784">
        <v>0</v>
      </c>
      <c r="M7784">
        <v>0</v>
      </c>
    </row>
    <row r="7785" spans="1:13">
      <c r="A7785" t="s">
        <v>3061</v>
      </c>
      <c r="B7785" t="s">
        <v>1007</v>
      </c>
      <c r="C7785" s="34" t="s">
        <v>561</v>
      </c>
      <c r="F7785" t="s">
        <v>561</v>
      </c>
      <c r="H7785">
        <v>5</v>
      </c>
      <c r="I7785">
        <f>VLOOKUP(B7785,BRAND!B:D,3,FALSE)</f>
        <v>3</v>
      </c>
      <c r="J7785">
        <v>3</v>
      </c>
      <c r="K7785" t="s">
        <v>821</v>
      </c>
      <c r="M7785">
        <v>1</v>
      </c>
    </row>
    <row r="7786" spans="1:13">
      <c r="A7786" t="str">
        <f>B7786&amp;" | "&amp;F7786&amp;" | "&amp;G7786</f>
        <v xml:space="preserve">ST_FEUILLIEN | XMAS | </v>
      </c>
      <c r="B7786" t="s">
        <v>1007</v>
      </c>
      <c r="C7786" t="s">
        <v>788</v>
      </c>
      <c r="F7786" t="s">
        <v>788</v>
      </c>
      <c r="H7786">
        <v>5</v>
      </c>
    </row>
    <row r="7787" spans="1:13">
      <c r="A7787" t="s">
        <v>2122</v>
      </c>
      <c r="B7787" t="s">
        <v>1007</v>
      </c>
      <c r="C7787" s="34" t="s">
        <v>1438</v>
      </c>
      <c r="F7787" t="s">
        <v>1438</v>
      </c>
      <c r="H7787">
        <v>15</v>
      </c>
      <c r="I7787">
        <f>VLOOKUP(B7787,BRAND!B:D,3,FALSE)</f>
        <v>3</v>
      </c>
      <c r="J7787">
        <v>4</v>
      </c>
      <c r="K7787" t="s">
        <v>821</v>
      </c>
      <c r="L7787">
        <v>0</v>
      </c>
      <c r="M7787">
        <v>0</v>
      </c>
    </row>
    <row r="7788" spans="1:13">
      <c r="A7788" t="s">
        <v>11496</v>
      </c>
      <c r="B7788" t="s">
        <v>10915</v>
      </c>
      <c r="C7788" s="34" t="s">
        <v>11497</v>
      </c>
      <c r="F7788" t="s">
        <v>534</v>
      </c>
      <c r="G7788" t="s">
        <v>6932</v>
      </c>
      <c r="H7788">
        <v>5</v>
      </c>
    </row>
    <row r="7789" spans="1:13">
      <c r="A7789" t="s">
        <v>11498</v>
      </c>
      <c r="B7789" t="s">
        <v>10915</v>
      </c>
      <c r="C7789" s="34" t="s">
        <v>536</v>
      </c>
      <c r="F7789" t="s">
        <v>536</v>
      </c>
      <c r="G7789" t="s">
        <v>6932</v>
      </c>
      <c r="H7789">
        <v>5</v>
      </c>
    </row>
    <row r="7790" spans="1:13">
      <c r="A7790" t="s">
        <v>5042</v>
      </c>
      <c r="B7790" t="s">
        <v>621</v>
      </c>
      <c r="C7790" s="34" t="s">
        <v>5427</v>
      </c>
      <c r="F7790" t="s">
        <v>853</v>
      </c>
      <c r="H7790">
        <v>3</v>
      </c>
      <c r="I7790">
        <f>VLOOKUP(B7790,BRAND!B:D,3,FALSE)</f>
        <v>3</v>
      </c>
      <c r="J7790">
        <f>LEN(F7790)</f>
        <v>12</v>
      </c>
      <c r="K7790" t="s">
        <v>821</v>
      </c>
      <c r="M7790">
        <v>1</v>
      </c>
    </row>
    <row r="7791" spans="1:13">
      <c r="A7791" t="s">
        <v>5339</v>
      </c>
      <c r="B7791" t="s">
        <v>621</v>
      </c>
      <c r="C7791" s="34" t="s">
        <v>5429</v>
      </c>
      <c r="F7791" t="s">
        <v>939</v>
      </c>
      <c r="H7791">
        <v>3</v>
      </c>
      <c r="I7791">
        <f>VLOOKUP(B7791,BRAND!B:D,3,FALSE)</f>
        <v>3</v>
      </c>
      <c r="J7791">
        <f>LEN(F7791)</f>
        <v>10</v>
      </c>
      <c r="K7791" t="s">
        <v>821</v>
      </c>
      <c r="M7791">
        <v>1</v>
      </c>
    </row>
    <row r="7792" spans="1:13">
      <c r="A7792" t="s">
        <v>5043</v>
      </c>
      <c r="B7792" t="s">
        <v>621</v>
      </c>
      <c r="C7792" s="34" t="s">
        <v>5428</v>
      </c>
      <c r="F7792" t="s">
        <v>846</v>
      </c>
      <c r="H7792">
        <v>4</v>
      </c>
      <c r="I7792">
        <f>VLOOKUP(B7792,BRAND!B:D,3,FALSE)</f>
        <v>3</v>
      </c>
      <c r="J7792">
        <f>LEN(F7792)</f>
        <v>12</v>
      </c>
      <c r="K7792" t="s">
        <v>821</v>
      </c>
      <c r="M7792">
        <v>1</v>
      </c>
    </row>
    <row r="7793" spans="1:13">
      <c r="A7793" t="s">
        <v>3465</v>
      </c>
      <c r="B7793" t="s">
        <v>621</v>
      </c>
      <c r="C7793" s="34" t="s">
        <v>776</v>
      </c>
      <c r="F7793" t="s">
        <v>776</v>
      </c>
      <c r="H7793">
        <v>5</v>
      </c>
      <c r="I7793">
        <f>VLOOKUP(B7793,BRAND!B:D,3,FALSE)</f>
        <v>3</v>
      </c>
      <c r="J7793">
        <v>5</v>
      </c>
      <c r="K7793" t="s">
        <v>821</v>
      </c>
      <c r="M7793">
        <v>1</v>
      </c>
    </row>
    <row r="7794" spans="1:13">
      <c r="A7794" t="s">
        <v>2273</v>
      </c>
      <c r="B7794" t="s">
        <v>621</v>
      </c>
      <c r="C7794" s="34" t="s">
        <v>988</v>
      </c>
      <c r="F7794" t="s">
        <v>988</v>
      </c>
      <c r="H7794">
        <v>5</v>
      </c>
      <c r="I7794">
        <f>VLOOKUP(B7794,BRAND!B:D,3,FALSE)</f>
        <v>3</v>
      </c>
      <c r="J7794">
        <v>4</v>
      </c>
      <c r="K7794" t="s">
        <v>821</v>
      </c>
      <c r="L7794">
        <v>0</v>
      </c>
      <c r="M7794">
        <v>0</v>
      </c>
    </row>
    <row r="7795" spans="1:13">
      <c r="A7795" t="s">
        <v>4614</v>
      </c>
      <c r="B7795" t="s">
        <v>621</v>
      </c>
      <c r="C7795" s="34" t="s">
        <v>1992</v>
      </c>
      <c r="F7795" t="s">
        <v>1992</v>
      </c>
      <c r="H7795">
        <v>5</v>
      </c>
      <c r="I7795">
        <f>VLOOKUP(B7795,BRAND!B:D,3,FALSE)</f>
        <v>3</v>
      </c>
      <c r="J7795">
        <v>3</v>
      </c>
      <c r="K7795" t="s">
        <v>821</v>
      </c>
      <c r="L7795">
        <v>0</v>
      </c>
      <c r="M7795">
        <v>0</v>
      </c>
    </row>
    <row r="7796" spans="1:13">
      <c r="A7796" t="s">
        <v>9364</v>
      </c>
      <c r="B7796" t="s">
        <v>1008</v>
      </c>
      <c r="C7796" s="34" t="s">
        <v>772</v>
      </c>
      <c r="F7796" t="s">
        <v>772</v>
      </c>
      <c r="G7796" t="s">
        <v>6932</v>
      </c>
      <c r="H7796">
        <v>5</v>
      </c>
      <c r="I7796">
        <f>VLOOKUP(B7796,BRAND!B:D,3,FALSE)</f>
        <v>3</v>
      </c>
      <c r="J7796">
        <v>6</v>
      </c>
      <c r="L7796">
        <v>0</v>
      </c>
      <c r="M7796">
        <v>0</v>
      </c>
    </row>
    <row r="7797" spans="1:13">
      <c r="A7797" t="s">
        <v>9365</v>
      </c>
      <c r="B7797" t="s">
        <v>1008</v>
      </c>
      <c r="C7797" s="34" t="s">
        <v>852</v>
      </c>
      <c r="F7797" t="s">
        <v>852</v>
      </c>
      <c r="G7797" t="s">
        <v>6932</v>
      </c>
      <c r="H7797">
        <v>5</v>
      </c>
      <c r="I7797">
        <f>VLOOKUP(B7797,BRAND!B:D,3,FALSE)</f>
        <v>3</v>
      </c>
      <c r="J7797">
        <v>6</v>
      </c>
      <c r="M7797">
        <v>1</v>
      </c>
    </row>
    <row r="7798" spans="1:13">
      <c r="A7798" t="s">
        <v>3539</v>
      </c>
      <c r="B7798" t="s">
        <v>1008</v>
      </c>
      <c r="C7798" s="34" t="s">
        <v>7139</v>
      </c>
      <c r="F7798" t="s">
        <v>772</v>
      </c>
      <c r="H7798">
        <v>5</v>
      </c>
      <c r="I7798">
        <f>VLOOKUP(B7798,BRAND!B:D,3,FALSE)</f>
        <v>3</v>
      </c>
      <c r="J7798">
        <v>6</v>
      </c>
      <c r="K7798" t="s">
        <v>821</v>
      </c>
      <c r="M7798">
        <v>1</v>
      </c>
    </row>
    <row r="7799" spans="1:13">
      <c r="A7799" t="s">
        <v>7144</v>
      </c>
      <c r="B7799" t="s">
        <v>1008</v>
      </c>
      <c r="C7799" s="34" t="s">
        <v>7143</v>
      </c>
      <c r="F7799" t="s">
        <v>751</v>
      </c>
      <c r="H7799">
        <v>5</v>
      </c>
      <c r="I7799">
        <f>VLOOKUP(B7799,BRAND!B:D,3,FALSE)</f>
        <v>3</v>
      </c>
      <c r="J7799">
        <v>5</v>
      </c>
      <c r="K7799" t="s">
        <v>821</v>
      </c>
      <c r="L7799">
        <v>0</v>
      </c>
      <c r="M7799">
        <v>0</v>
      </c>
    </row>
    <row r="7800" spans="1:13">
      <c r="A7800" t="s">
        <v>3467</v>
      </c>
      <c r="B7800" t="s">
        <v>1008</v>
      </c>
      <c r="C7800" s="34" t="s">
        <v>5232</v>
      </c>
      <c r="F7800" t="s">
        <v>536</v>
      </c>
      <c r="H7800">
        <v>5</v>
      </c>
      <c r="I7800">
        <f>VLOOKUP(B7800,BRAND!B:D,3,FALSE)</f>
        <v>3</v>
      </c>
      <c r="J7800">
        <v>5</v>
      </c>
      <c r="K7800" t="s">
        <v>821</v>
      </c>
      <c r="M7800">
        <v>1</v>
      </c>
    </row>
    <row r="7801" spans="1:13">
      <c r="A7801" t="s">
        <v>7189</v>
      </c>
      <c r="B7801" t="s">
        <v>1008</v>
      </c>
      <c r="C7801" s="34" t="s">
        <v>852</v>
      </c>
      <c r="F7801" t="s">
        <v>7190</v>
      </c>
      <c r="H7801">
        <v>5</v>
      </c>
      <c r="I7801">
        <f>VLOOKUP(B7801,BRAND!B:D,3,FALSE)</f>
        <v>3</v>
      </c>
      <c r="L7801">
        <v>0</v>
      </c>
      <c r="M7801">
        <v>0</v>
      </c>
    </row>
    <row r="7802" spans="1:13">
      <c r="A7802" t="s">
        <v>7191</v>
      </c>
      <c r="B7802" t="s">
        <v>1008</v>
      </c>
      <c r="C7802" s="34" t="s">
        <v>7192</v>
      </c>
      <c r="F7802" t="s">
        <v>7192</v>
      </c>
      <c r="H7802">
        <v>5</v>
      </c>
      <c r="I7802">
        <f>VLOOKUP(B7802,BRAND!B:D,3,FALSE)</f>
        <v>3</v>
      </c>
      <c r="M7802">
        <v>1</v>
      </c>
    </row>
    <row r="7803" spans="1:13">
      <c r="A7803" t="s">
        <v>7142</v>
      </c>
      <c r="B7803" t="s">
        <v>1008</v>
      </c>
      <c r="C7803" s="34" t="s">
        <v>7141</v>
      </c>
      <c r="F7803" t="s">
        <v>534</v>
      </c>
      <c r="H7803">
        <v>7</v>
      </c>
      <c r="I7803">
        <f>VLOOKUP(B7803,BRAND!B:D,3,FALSE)</f>
        <v>3</v>
      </c>
      <c r="J7803">
        <v>6</v>
      </c>
      <c r="K7803" t="s">
        <v>821</v>
      </c>
      <c r="M7803">
        <v>1</v>
      </c>
    </row>
    <row r="7804" spans="1:13">
      <c r="A7804" t="s">
        <v>5289</v>
      </c>
      <c r="B7804" t="s">
        <v>601</v>
      </c>
      <c r="C7804" s="34" t="s">
        <v>919</v>
      </c>
      <c r="F7804" t="s">
        <v>919</v>
      </c>
      <c r="H7804">
        <v>5</v>
      </c>
      <c r="I7804">
        <f>VLOOKUP(B7804,BRAND!B:D,3,FALSE)</f>
        <v>3</v>
      </c>
      <c r="J7804">
        <v>9</v>
      </c>
      <c r="K7804" t="s">
        <v>821</v>
      </c>
      <c r="L7804">
        <v>0</v>
      </c>
      <c r="M7804">
        <v>0</v>
      </c>
    </row>
    <row r="7805" spans="1:13">
      <c r="A7805" t="s">
        <v>3689</v>
      </c>
      <c r="B7805" t="s">
        <v>601</v>
      </c>
      <c r="C7805" s="34" t="s">
        <v>798</v>
      </c>
      <c r="F7805" t="s">
        <v>798</v>
      </c>
      <c r="H7805">
        <v>5</v>
      </c>
      <c r="I7805">
        <f>VLOOKUP(B7805,BRAND!B:D,3,FALSE)</f>
        <v>3</v>
      </c>
      <c r="J7805">
        <v>9</v>
      </c>
      <c r="K7805" t="s">
        <v>821</v>
      </c>
      <c r="M7805">
        <v>1</v>
      </c>
    </row>
    <row r="7806" spans="1:13">
      <c r="A7806" t="s">
        <v>5287</v>
      </c>
      <c r="B7806" t="s">
        <v>601</v>
      </c>
      <c r="C7806" s="34" t="s">
        <v>746</v>
      </c>
      <c r="F7806" t="s">
        <v>746</v>
      </c>
      <c r="H7806">
        <v>5</v>
      </c>
      <c r="I7806">
        <f>VLOOKUP(B7806,BRAND!B:D,3,FALSE)</f>
        <v>3</v>
      </c>
      <c r="J7806">
        <v>6</v>
      </c>
      <c r="K7806" t="s">
        <v>821</v>
      </c>
      <c r="L7806">
        <v>0</v>
      </c>
      <c r="M7806">
        <v>0</v>
      </c>
    </row>
    <row r="7807" spans="1:13">
      <c r="A7807" t="s">
        <v>5290</v>
      </c>
      <c r="B7807" t="s">
        <v>601</v>
      </c>
      <c r="C7807" s="34" t="s">
        <v>780</v>
      </c>
      <c r="F7807" t="s">
        <v>780</v>
      </c>
      <c r="H7807">
        <v>5</v>
      </c>
      <c r="I7807">
        <f>VLOOKUP(B7807,BRAND!B:D,3,FALSE)</f>
        <v>3</v>
      </c>
      <c r="J7807">
        <v>6</v>
      </c>
      <c r="K7807" t="s">
        <v>821</v>
      </c>
      <c r="L7807">
        <v>0</v>
      </c>
      <c r="M7807">
        <v>0</v>
      </c>
    </row>
    <row r="7808" spans="1:13">
      <c r="A7808" t="s">
        <v>5288</v>
      </c>
      <c r="B7808" t="s">
        <v>601</v>
      </c>
      <c r="C7808" s="34" t="s">
        <v>5283</v>
      </c>
      <c r="F7808" t="s">
        <v>5283</v>
      </c>
      <c r="H7808">
        <v>5</v>
      </c>
      <c r="I7808">
        <f>VLOOKUP(B7808,BRAND!B:D,3,FALSE)</f>
        <v>3</v>
      </c>
      <c r="J7808">
        <v>6</v>
      </c>
      <c r="K7808" t="s">
        <v>821</v>
      </c>
      <c r="L7808">
        <v>0</v>
      </c>
      <c r="M7808">
        <v>0</v>
      </c>
    </row>
    <row r="7809" spans="1:13">
      <c r="A7809" t="s">
        <v>3955</v>
      </c>
      <c r="B7809" t="s">
        <v>601</v>
      </c>
      <c r="C7809" s="34" t="s">
        <v>746</v>
      </c>
      <c r="F7809" t="s">
        <v>746</v>
      </c>
      <c r="H7809">
        <v>5</v>
      </c>
      <c r="I7809">
        <f>VLOOKUP(B7809,BRAND!B:D,3,FALSE)</f>
        <v>3</v>
      </c>
      <c r="J7809">
        <v>6</v>
      </c>
      <c r="K7809" t="s">
        <v>821</v>
      </c>
      <c r="M7809">
        <v>1</v>
      </c>
    </row>
    <row r="7810" spans="1:13">
      <c r="A7810" t="s">
        <v>2843</v>
      </c>
      <c r="B7810" t="s">
        <v>601</v>
      </c>
      <c r="C7810" s="34" t="s">
        <v>780</v>
      </c>
      <c r="F7810" t="s">
        <v>780</v>
      </c>
      <c r="H7810">
        <v>5</v>
      </c>
      <c r="I7810">
        <f>VLOOKUP(B7810,BRAND!B:D,3,FALSE)</f>
        <v>3</v>
      </c>
      <c r="J7810">
        <v>6</v>
      </c>
      <c r="K7810" t="s">
        <v>821</v>
      </c>
      <c r="M7810">
        <v>1</v>
      </c>
    </row>
    <row r="7811" spans="1:13">
      <c r="A7811" t="s">
        <v>2919</v>
      </c>
      <c r="B7811" t="s">
        <v>601</v>
      </c>
      <c r="C7811" s="34" t="s">
        <v>881</v>
      </c>
      <c r="F7811" t="s">
        <v>881</v>
      </c>
      <c r="H7811">
        <v>5</v>
      </c>
      <c r="I7811">
        <f>VLOOKUP(B7811,BRAND!B:D,3,FALSE)</f>
        <v>3</v>
      </c>
      <c r="J7811">
        <v>5</v>
      </c>
      <c r="K7811" t="s">
        <v>821</v>
      </c>
      <c r="M7811">
        <v>1</v>
      </c>
    </row>
    <row r="7812" spans="1:13">
      <c r="A7812" t="s">
        <v>5281</v>
      </c>
      <c r="B7812" t="s">
        <v>601</v>
      </c>
      <c r="C7812" s="34" t="s">
        <v>5430</v>
      </c>
      <c r="F7812" t="s">
        <v>1992</v>
      </c>
      <c r="H7812">
        <v>5</v>
      </c>
      <c r="I7812">
        <f>VLOOKUP(B7812,BRAND!B:D,3,FALSE)</f>
        <v>3</v>
      </c>
      <c r="J7812">
        <v>3</v>
      </c>
      <c r="K7812" t="s">
        <v>821</v>
      </c>
      <c r="L7812">
        <v>0</v>
      </c>
      <c r="M7812">
        <v>0</v>
      </c>
    </row>
    <row r="7813" spans="1:13">
      <c r="A7813" t="s">
        <v>3262</v>
      </c>
      <c r="B7813" t="s">
        <v>601</v>
      </c>
      <c r="C7813" s="34" t="s">
        <v>1438</v>
      </c>
      <c r="F7813" t="s">
        <v>1438</v>
      </c>
      <c r="H7813">
        <v>15</v>
      </c>
      <c r="I7813">
        <f>VLOOKUP(B7813,BRAND!B:D,3,FALSE)</f>
        <v>3</v>
      </c>
      <c r="J7813">
        <v>4</v>
      </c>
      <c r="K7813" t="s">
        <v>821</v>
      </c>
      <c r="M7813">
        <v>1</v>
      </c>
    </row>
    <row r="7814" spans="1:13">
      <c r="A7814" t="s">
        <v>12476</v>
      </c>
      <c r="B7814" t="s">
        <v>12021</v>
      </c>
      <c r="C7814" s="34" t="s">
        <v>12477</v>
      </c>
      <c r="F7814" t="s">
        <v>840</v>
      </c>
      <c r="G7814" t="s">
        <v>6932</v>
      </c>
      <c r="H7814">
        <v>5</v>
      </c>
    </row>
    <row r="7815" spans="1:13">
      <c r="A7815" t="s">
        <v>9877</v>
      </c>
      <c r="B7815" t="s">
        <v>9877</v>
      </c>
      <c r="H7815">
        <v>5</v>
      </c>
      <c r="I7815">
        <f>VLOOKUP(B7815,BRAND!B:D,3,FALSE)</f>
        <v>5.5</v>
      </c>
      <c r="J7815">
        <f>LEN(F7815)</f>
        <v>0</v>
      </c>
      <c r="L7815">
        <v>0</v>
      </c>
      <c r="M7815">
        <v>0</v>
      </c>
    </row>
    <row r="7816" spans="1:13">
      <c r="A7816" t="s">
        <v>9877</v>
      </c>
      <c r="B7816" t="s">
        <v>9877</v>
      </c>
      <c r="H7816">
        <v>5</v>
      </c>
      <c r="I7816">
        <f>VLOOKUP(B7816,BRAND!B:D,3,FALSE)</f>
        <v>5.5</v>
      </c>
      <c r="J7816">
        <v>0</v>
      </c>
      <c r="M7816">
        <v>1</v>
      </c>
    </row>
    <row r="7817" spans="1:13">
      <c r="A7817" t="s">
        <v>2961</v>
      </c>
      <c r="B7817" t="s">
        <v>1364</v>
      </c>
      <c r="C7817" s="34" t="s">
        <v>1438</v>
      </c>
      <c r="F7817" t="s">
        <v>1438</v>
      </c>
      <c r="H7817">
        <v>15</v>
      </c>
      <c r="I7817">
        <f>VLOOKUP(B7817,BRAND!B:D,3,FALSE)</f>
        <v>3</v>
      </c>
      <c r="J7817">
        <v>4</v>
      </c>
      <c r="K7817" t="s">
        <v>821</v>
      </c>
      <c r="L7817">
        <v>0</v>
      </c>
      <c r="M7817">
        <v>0</v>
      </c>
    </row>
    <row r="7818" spans="1:13">
      <c r="A7818" t="s">
        <v>9878</v>
      </c>
      <c r="B7818" t="s">
        <v>9878</v>
      </c>
      <c r="H7818">
        <v>5</v>
      </c>
      <c r="I7818">
        <f>VLOOKUP(B7818,BRAND!B:D,3,FALSE)</f>
        <v>5.5</v>
      </c>
      <c r="J7818">
        <f>LEN(F7818)</f>
        <v>0</v>
      </c>
      <c r="L7818">
        <v>0</v>
      </c>
      <c r="M7818">
        <v>0</v>
      </c>
    </row>
    <row r="7819" spans="1:13">
      <c r="A7819" t="s">
        <v>9878</v>
      </c>
      <c r="B7819" t="s">
        <v>9878</v>
      </c>
      <c r="H7819">
        <v>5</v>
      </c>
      <c r="I7819">
        <f>VLOOKUP(B7819,BRAND!B:D,3,FALSE)</f>
        <v>5.5</v>
      </c>
      <c r="J7819">
        <v>0</v>
      </c>
      <c r="M7819">
        <v>1</v>
      </c>
    </row>
    <row r="7820" spans="1:13">
      <c r="A7820" t="s">
        <v>9879</v>
      </c>
      <c r="B7820" t="s">
        <v>9879</v>
      </c>
      <c r="H7820">
        <v>5</v>
      </c>
      <c r="I7820">
        <f>VLOOKUP(B7820,BRAND!B:D,3,FALSE)</f>
        <v>5.5</v>
      </c>
      <c r="J7820">
        <f>LEN(F7820)</f>
        <v>0</v>
      </c>
      <c r="L7820">
        <v>0</v>
      </c>
      <c r="M7820">
        <v>0</v>
      </c>
    </row>
    <row r="7821" spans="1:13">
      <c r="A7821" t="s">
        <v>9879</v>
      </c>
      <c r="B7821" t="s">
        <v>9879</v>
      </c>
      <c r="H7821">
        <v>5</v>
      </c>
      <c r="I7821">
        <f>VLOOKUP(B7821,BRAND!B:D,3,FALSE)</f>
        <v>5.5</v>
      </c>
      <c r="J7821">
        <v>0</v>
      </c>
      <c r="M7821">
        <v>1</v>
      </c>
    </row>
    <row r="7822" spans="1:13">
      <c r="A7822" t="s">
        <v>13099</v>
      </c>
      <c r="B7822" t="s">
        <v>12055</v>
      </c>
      <c r="C7822" s="34" t="s">
        <v>13100</v>
      </c>
      <c r="F7822" t="s">
        <v>13101</v>
      </c>
      <c r="G7822" t="s">
        <v>6932</v>
      </c>
      <c r="H7822">
        <v>4</v>
      </c>
    </row>
    <row r="7823" spans="1:13">
      <c r="A7823" t="s">
        <v>13096</v>
      </c>
      <c r="B7823" t="s">
        <v>12055</v>
      </c>
      <c r="C7823" s="34" t="s">
        <v>13097</v>
      </c>
      <c r="F7823" t="s">
        <v>13098</v>
      </c>
      <c r="G7823" t="s">
        <v>6932</v>
      </c>
      <c r="H7823">
        <v>5</v>
      </c>
    </row>
    <row r="7824" spans="1:13">
      <c r="A7824" t="s">
        <v>13102</v>
      </c>
      <c r="B7824" t="s">
        <v>12055</v>
      </c>
      <c r="C7824" s="34" t="s">
        <v>13103</v>
      </c>
      <c r="F7824" t="s">
        <v>13104</v>
      </c>
      <c r="G7824" t="s">
        <v>6932</v>
      </c>
      <c r="H7824">
        <v>5</v>
      </c>
    </row>
    <row r="7825" spans="1:8">
      <c r="A7825" t="s">
        <v>13105</v>
      </c>
      <c r="B7825" t="s">
        <v>12055</v>
      </c>
      <c r="C7825" s="34" t="s">
        <v>13106</v>
      </c>
      <c r="F7825" t="s">
        <v>13107</v>
      </c>
      <c r="G7825" t="s">
        <v>6932</v>
      </c>
      <c r="H7825">
        <v>5</v>
      </c>
    </row>
    <row r="7826" spans="1:8">
      <c r="A7826" t="s">
        <v>13108</v>
      </c>
      <c r="B7826" t="s">
        <v>12055</v>
      </c>
      <c r="C7826" s="34" t="s">
        <v>13109</v>
      </c>
      <c r="F7826" t="s">
        <v>13110</v>
      </c>
      <c r="G7826" t="s">
        <v>6932</v>
      </c>
      <c r="H7826">
        <v>5</v>
      </c>
    </row>
    <row r="7827" spans="1:8">
      <c r="A7827" t="s">
        <v>13111</v>
      </c>
      <c r="B7827" t="s">
        <v>12055</v>
      </c>
      <c r="C7827" s="34" t="s">
        <v>13112</v>
      </c>
      <c r="F7827" t="s">
        <v>13113</v>
      </c>
      <c r="G7827" t="s">
        <v>6932</v>
      </c>
      <c r="H7827">
        <v>5</v>
      </c>
    </row>
    <row r="7828" spans="1:8">
      <c r="A7828" t="s">
        <v>13114</v>
      </c>
      <c r="B7828" t="s">
        <v>12055</v>
      </c>
      <c r="C7828" s="34" t="s">
        <v>13115</v>
      </c>
      <c r="F7828" t="s">
        <v>13116</v>
      </c>
      <c r="G7828" t="s">
        <v>6932</v>
      </c>
      <c r="H7828">
        <v>5</v>
      </c>
    </row>
    <row r="7829" spans="1:8">
      <c r="A7829" t="s">
        <v>13118</v>
      </c>
      <c r="B7829" t="s">
        <v>12055</v>
      </c>
      <c r="C7829" s="34" t="s">
        <v>561</v>
      </c>
      <c r="F7829" t="s">
        <v>13119</v>
      </c>
      <c r="G7829" t="s">
        <v>6932</v>
      </c>
      <c r="H7829">
        <v>5</v>
      </c>
    </row>
    <row r="7830" spans="1:8">
      <c r="A7830" t="s">
        <v>13120</v>
      </c>
      <c r="B7830" t="s">
        <v>12055</v>
      </c>
      <c r="C7830" s="34" t="s">
        <v>13121</v>
      </c>
      <c r="F7830" t="s">
        <v>13122</v>
      </c>
      <c r="G7830" t="s">
        <v>6932</v>
      </c>
      <c r="H7830">
        <v>5</v>
      </c>
    </row>
    <row r="7831" spans="1:8">
      <c r="A7831" t="s">
        <v>13123</v>
      </c>
      <c r="B7831" t="s">
        <v>12055</v>
      </c>
      <c r="C7831" s="34" t="s">
        <v>1250</v>
      </c>
      <c r="F7831" t="s">
        <v>13124</v>
      </c>
      <c r="G7831" t="s">
        <v>6932</v>
      </c>
      <c r="H7831">
        <v>5</v>
      </c>
    </row>
    <row r="7832" spans="1:8">
      <c r="A7832" t="s">
        <v>13125</v>
      </c>
      <c r="B7832" t="s">
        <v>12055</v>
      </c>
      <c r="C7832" s="34" t="s">
        <v>10968</v>
      </c>
      <c r="F7832" t="s">
        <v>13126</v>
      </c>
      <c r="G7832" t="s">
        <v>6932</v>
      </c>
      <c r="H7832">
        <v>5</v>
      </c>
    </row>
    <row r="7833" spans="1:8">
      <c r="A7833" t="s">
        <v>13127</v>
      </c>
      <c r="B7833" t="s">
        <v>12055</v>
      </c>
      <c r="C7833" s="34" t="s">
        <v>13128</v>
      </c>
      <c r="F7833" t="s">
        <v>13129</v>
      </c>
      <c r="G7833" t="s">
        <v>6932</v>
      </c>
      <c r="H7833">
        <v>5</v>
      </c>
    </row>
    <row r="7834" spans="1:8">
      <c r="A7834" t="s">
        <v>13130</v>
      </c>
      <c r="B7834" t="s">
        <v>12055</v>
      </c>
      <c r="C7834" s="34" t="s">
        <v>13097</v>
      </c>
      <c r="D7834" t="s">
        <v>7504</v>
      </c>
      <c r="F7834" t="s">
        <v>13131</v>
      </c>
      <c r="G7834" t="s">
        <v>6932</v>
      </c>
      <c r="H7834">
        <v>5</v>
      </c>
    </row>
    <row r="7835" spans="1:8">
      <c r="A7835" t="s">
        <v>13132</v>
      </c>
      <c r="B7835" t="s">
        <v>12055</v>
      </c>
      <c r="C7835" s="34" t="s">
        <v>911</v>
      </c>
      <c r="F7835" t="s">
        <v>911</v>
      </c>
      <c r="G7835" t="s">
        <v>6932</v>
      </c>
      <c r="H7835">
        <v>5</v>
      </c>
    </row>
    <row r="7836" spans="1:8">
      <c r="A7836" t="s">
        <v>13133</v>
      </c>
      <c r="B7836" t="s">
        <v>12055</v>
      </c>
      <c r="C7836" s="34" t="s">
        <v>13134</v>
      </c>
      <c r="F7836" t="s">
        <v>13135</v>
      </c>
      <c r="G7836" t="s">
        <v>801</v>
      </c>
      <c r="H7836">
        <v>5</v>
      </c>
    </row>
    <row r="7837" spans="1:8">
      <c r="A7837" t="s">
        <v>13136</v>
      </c>
      <c r="B7837" t="s">
        <v>12055</v>
      </c>
      <c r="C7837" s="34" t="s">
        <v>11176</v>
      </c>
      <c r="F7837" t="s">
        <v>13137</v>
      </c>
      <c r="G7837" t="s">
        <v>6932</v>
      </c>
      <c r="H7837">
        <v>5</v>
      </c>
    </row>
    <row r="7838" spans="1:8">
      <c r="A7838" t="s">
        <v>13138</v>
      </c>
      <c r="B7838" t="s">
        <v>12055</v>
      </c>
      <c r="C7838" s="34" t="s">
        <v>13139</v>
      </c>
      <c r="F7838" t="s">
        <v>13140</v>
      </c>
      <c r="G7838" t="s">
        <v>6932</v>
      </c>
      <c r="H7838">
        <v>5</v>
      </c>
    </row>
    <row r="7839" spans="1:8">
      <c r="A7839" t="s">
        <v>13141</v>
      </c>
      <c r="B7839" t="s">
        <v>12055</v>
      </c>
      <c r="C7839" s="34" t="s">
        <v>13142</v>
      </c>
      <c r="F7839" t="s">
        <v>13143</v>
      </c>
      <c r="G7839" t="s">
        <v>6932</v>
      </c>
      <c r="H7839">
        <v>5</v>
      </c>
    </row>
    <row r="7840" spans="1:8">
      <c r="A7840" t="s">
        <v>13146</v>
      </c>
      <c r="B7840" t="s">
        <v>12055</v>
      </c>
      <c r="C7840" s="34" t="s">
        <v>13106</v>
      </c>
      <c r="F7840" t="s">
        <v>13107</v>
      </c>
      <c r="G7840" t="s">
        <v>801</v>
      </c>
      <c r="H7840">
        <v>5</v>
      </c>
    </row>
    <row r="7841" spans="1:8">
      <c r="A7841" t="s">
        <v>13147</v>
      </c>
      <c r="B7841" t="s">
        <v>12055</v>
      </c>
      <c r="C7841" s="34" t="s">
        <v>13148</v>
      </c>
      <c r="F7841" t="s">
        <v>13149</v>
      </c>
      <c r="G7841" t="s">
        <v>6932</v>
      </c>
      <c r="H7841">
        <v>5</v>
      </c>
    </row>
    <row r="7842" spans="1:8">
      <c r="A7842" t="s">
        <v>13150</v>
      </c>
      <c r="B7842" t="s">
        <v>12055</v>
      </c>
      <c r="C7842" s="34" t="s">
        <v>13151</v>
      </c>
      <c r="F7842" t="s">
        <v>13152</v>
      </c>
      <c r="G7842" t="s">
        <v>6932</v>
      </c>
      <c r="H7842">
        <v>5</v>
      </c>
    </row>
    <row r="7843" spans="1:8">
      <c r="A7843" t="s">
        <v>13153</v>
      </c>
      <c r="B7843" t="s">
        <v>12055</v>
      </c>
      <c r="C7843" s="34" t="s">
        <v>13154</v>
      </c>
      <c r="F7843" t="s">
        <v>13155</v>
      </c>
      <c r="G7843" t="s">
        <v>6932</v>
      </c>
      <c r="H7843">
        <v>5</v>
      </c>
    </row>
    <row r="7844" spans="1:8">
      <c r="A7844" t="s">
        <v>13156</v>
      </c>
      <c r="B7844" t="s">
        <v>12055</v>
      </c>
      <c r="C7844" s="34">
        <v>23</v>
      </c>
      <c r="F7844" t="s">
        <v>13157</v>
      </c>
      <c r="G7844" t="s">
        <v>6932</v>
      </c>
      <c r="H7844">
        <v>5</v>
      </c>
    </row>
    <row r="7845" spans="1:8">
      <c r="A7845" t="s">
        <v>13108</v>
      </c>
      <c r="B7845" t="s">
        <v>12055</v>
      </c>
      <c r="C7845" s="34" t="s">
        <v>13109</v>
      </c>
      <c r="F7845" t="s">
        <v>13110</v>
      </c>
      <c r="G7845" t="s">
        <v>6932</v>
      </c>
      <c r="H7845">
        <v>5</v>
      </c>
    </row>
    <row r="7846" spans="1:8">
      <c r="A7846" t="s">
        <v>13158</v>
      </c>
      <c r="B7846" t="s">
        <v>12055</v>
      </c>
      <c r="C7846" s="34" t="s">
        <v>13159</v>
      </c>
      <c r="F7846" t="s">
        <v>13160</v>
      </c>
      <c r="G7846" t="s">
        <v>6932</v>
      </c>
      <c r="H7846">
        <v>5</v>
      </c>
    </row>
    <row r="7847" spans="1:8">
      <c r="A7847" t="s">
        <v>13161</v>
      </c>
      <c r="B7847" t="s">
        <v>12055</v>
      </c>
      <c r="C7847" s="34" t="s">
        <v>13162</v>
      </c>
      <c r="F7847" t="s">
        <v>13163</v>
      </c>
      <c r="G7847" t="s">
        <v>6932</v>
      </c>
      <c r="H7847">
        <v>5</v>
      </c>
    </row>
    <row r="7848" spans="1:8">
      <c r="A7848" t="s">
        <v>13164</v>
      </c>
      <c r="B7848" t="s">
        <v>12055</v>
      </c>
      <c r="C7848" s="34" t="s">
        <v>13165</v>
      </c>
      <c r="F7848" t="s">
        <v>13166</v>
      </c>
      <c r="G7848" t="s">
        <v>6932</v>
      </c>
      <c r="H7848">
        <v>5</v>
      </c>
    </row>
    <row r="7849" spans="1:8">
      <c r="A7849" t="s">
        <v>13167</v>
      </c>
      <c r="B7849" t="s">
        <v>12055</v>
      </c>
      <c r="C7849" s="34" t="s">
        <v>755</v>
      </c>
      <c r="F7849" t="s">
        <v>13168</v>
      </c>
      <c r="G7849" t="s">
        <v>6932</v>
      </c>
      <c r="H7849">
        <v>5</v>
      </c>
    </row>
    <row r="7850" spans="1:8">
      <c r="A7850" t="s">
        <v>13169</v>
      </c>
      <c r="B7850" t="s">
        <v>12055</v>
      </c>
      <c r="C7850" s="34" t="s">
        <v>13170</v>
      </c>
      <c r="F7850" t="s">
        <v>13171</v>
      </c>
      <c r="G7850" t="s">
        <v>6932</v>
      </c>
      <c r="H7850">
        <v>5</v>
      </c>
    </row>
    <row r="7851" spans="1:8">
      <c r="A7851" t="s">
        <v>13172</v>
      </c>
      <c r="B7851" t="s">
        <v>12055</v>
      </c>
      <c r="C7851" s="34" t="s">
        <v>371</v>
      </c>
      <c r="F7851" t="s">
        <v>13173</v>
      </c>
      <c r="G7851" t="s">
        <v>6932</v>
      </c>
      <c r="H7851">
        <v>5</v>
      </c>
    </row>
    <row r="7852" spans="1:8">
      <c r="A7852" t="s">
        <v>13174</v>
      </c>
      <c r="B7852" t="s">
        <v>12055</v>
      </c>
      <c r="C7852" s="34" t="s">
        <v>9508</v>
      </c>
      <c r="F7852" t="s">
        <v>13175</v>
      </c>
      <c r="G7852" t="s">
        <v>6932</v>
      </c>
      <c r="H7852">
        <v>5</v>
      </c>
    </row>
    <row r="7853" spans="1:8">
      <c r="A7853" t="s">
        <v>13176</v>
      </c>
      <c r="B7853" t="s">
        <v>12055</v>
      </c>
      <c r="C7853" s="34" t="s">
        <v>13177</v>
      </c>
      <c r="F7853" t="s">
        <v>13178</v>
      </c>
      <c r="G7853" t="s">
        <v>6932</v>
      </c>
      <c r="H7853">
        <v>5</v>
      </c>
    </row>
    <row r="7854" spans="1:8">
      <c r="A7854" t="s">
        <v>13133</v>
      </c>
      <c r="B7854" t="s">
        <v>12055</v>
      </c>
      <c r="C7854" s="34" t="s">
        <v>13134</v>
      </c>
      <c r="F7854" t="s">
        <v>13135</v>
      </c>
      <c r="G7854" t="s">
        <v>801</v>
      </c>
      <c r="H7854">
        <v>5</v>
      </c>
    </row>
    <row r="7855" spans="1:8">
      <c r="A7855" t="s">
        <v>13179</v>
      </c>
      <c r="B7855" t="s">
        <v>12055</v>
      </c>
      <c r="C7855" s="34" t="s">
        <v>13180</v>
      </c>
      <c r="F7855" t="s">
        <v>13181</v>
      </c>
      <c r="G7855" t="s">
        <v>6932</v>
      </c>
      <c r="H7855">
        <v>5</v>
      </c>
    </row>
    <row r="7856" spans="1:8">
      <c r="A7856" t="s">
        <v>13182</v>
      </c>
      <c r="B7856" t="s">
        <v>12055</v>
      </c>
      <c r="C7856" s="34" t="s">
        <v>13162</v>
      </c>
      <c r="F7856" t="s">
        <v>13183</v>
      </c>
      <c r="G7856" t="s">
        <v>6932</v>
      </c>
      <c r="H7856">
        <v>5</v>
      </c>
    </row>
    <row r="7857" spans="1:13">
      <c r="A7857" t="s">
        <v>13184</v>
      </c>
      <c r="B7857" t="s">
        <v>12055</v>
      </c>
      <c r="C7857" s="34" t="s">
        <v>13185</v>
      </c>
      <c r="F7857" t="s">
        <v>13185</v>
      </c>
      <c r="G7857" t="s">
        <v>6932</v>
      </c>
      <c r="H7857">
        <v>5</v>
      </c>
    </row>
    <row r="7858" spans="1:13">
      <c r="A7858" t="s">
        <v>13186</v>
      </c>
      <c r="B7858" t="s">
        <v>12055</v>
      </c>
      <c r="C7858" s="34" t="s">
        <v>13187</v>
      </c>
      <c r="F7858" t="s">
        <v>13187</v>
      </c>
      <c r="G7858" t="s">
        <v>6932</v>
      </c>
      <c r="H7858">
        <v>5</v>
      </c>
    </row>
    <row r="7859" spans="1:13">
      <c r="A7859" t="s">
        <v>13188</v>
      </c>
      <c r="B7859" t="s">
        <v>12055</v>
      </c>
      <c r="C7859" s="34" t="s">
        <v>13189</v>
      </c>
      <c r="F7859" t="s">
        <v>13189</v>
      </c>
      <c r="G7859" t="s">
        <v>6932</v>
      </c>
      <c r="H7859">
        <v>5</v>
      </c>
    </row>
    <row r="7860" spans="1:13">
      <c r="A7860" t="s">
        <v>13190</v>
      </c>
      <c r="B7860" t="s">
        <v>12055</v>
      </c>
      <c r="C7860" s="34" t="s">
        <v>13191</v>
      </c>
      <c r="F7860" t="s">
        <v>13191</v>
      </c>
      <c r="G7860" t="s">
        <v>6932</v>
      </c>
      <c r="H7860">
        <v>5</v>
      </c>
    </row>
    <row r="7861" spans="1:13">
      <c r="A7861" t="s">
        <v>13192</v>
      </c>
      <c r="B7861" t="s">
        <v>12055</v>
      </c>
      <c r="C7861" s="34" t="s">
        <v>13193</v>
      </c>
      <c r="F7861" t="s">
        <v>13193</v>
      </c>
      <c r="G7861" t="s">
        <v>6932</v>
      </c>
      <c r="H7861">
        <v>5</v>
      </c>
    </row>
    <row r="7862" spans="1:13">
      <c r="A7862" t="s">
        <v>13194</v>
      </c>
      <c r="B7862" t="s">
        <v>12055</v>
      </c>
      <c r="C7862" s="34" t="s">
        <v>13195</v>
      </c>
      <c r="D7862" t="s">
        <v>996</v>
      </c>
      <c r="F7862" t="s">
        <v>13196</v>
      </c>
      <c r="G7862" t="s">
        <v>6932</v>
      </c>
      <c r="H7862">
        <v>5</v>
      </c>
    </row>
    <row r="7863" spans="1:13">
      <c r="A7863" t="s">
        <v>13197</v>
      </c>
      <c r="B7863" t="s">
        <v>12055</v>
      </c>
      <c r="C7863" s="34" t="s">
        <v>13195</v>
      </c>
      <c r="D7863" t="s">
        <v>534</v>
      </c>
      <c r="F7863" t="s">
        <v>13198</v>
      </c>
      <c r="G7863" t="s">
        <v>6932</v>
      </c>
      <c r="H7863">
        <v>5</v>
      </c>
    </row>
    <row r="7864" spans="1:13">
      <c r="A7864" t="s">
        <v>13199</v>
      </c>
      <c r="B7864" t="s">
        <v>12055</v>
      </c>
      <c r="C7864" s="34" t="s">
        <v>6364</v>
      </c>
      <c r="F7864" t="s">
        <v>6364</v>
      </c>
      <c r="G7864" t="s">
        <v>6932</v>
      </c>
      <c r="H7864">
        <v>5</v>
      </c>
    </row>
    <row r="7865" spans="1:13">
      <c r="A7865" t="s">
        <v>13200</v>
      </c>
      <c r="B7865" t="s">
        <v>12055</v>
      </c>
      <c r="C7865" s="34" t="s">
        <v>996</v>
      </c>
      <c r="F7865" t="s">
        <v>996</v>
      </c>
      <c r="G7865" t="s">
        <v>6932</v>
      </c>
      <c r="H7865">
        <v>5</v>
      </c>
    </row>
    <row r="7866" spans="1:13">
      <c r="A7866" t="s">
        <v>13117</v>
      </c>
      <c r="B7866" t="s">
        <v>12055</v>
      </c>
      <c r="C7866" s="34" t="s">
        <v>534</v>
      </c>
      <c r="F7866" t="s">
        <v>534</v>
      </c>
      <c r="G7866" t="s">
        <v>6932</v>
      </c>
      <c r="H7866">
        <v>6</v>
      </c>
    </row>
    <row r="7867" spans="1:13">
      <c r="A7867" t="s">
        <v>13144</v>
      </c>
      <c r="B7867" t="s">
        <v>12055</v>
      </c>
      <c r="C7867" s="34">
        <v>22</v>
      </c>
      <c r="F7867" t="s">
        <v>13145</v>
      </c>
      <c r="G7867" t="s">
        <v>6932</v>
      </c>
      <c r="H7867">
        <v>13</v>
      </c>
      <c r="I7867">
        <f>VLOOKUP(B7867,BRAND!B:D,3,FALSE)</f>
        <v>55</v>
      </c>
      <c r="J7867">
        <f>LEN(F7867)</f>
        <v>10</v>
      </c>
      <c r="K7867" t="s">
        <v>821</v>
      </c>
    </row>
    <row r="7868" spans="1:13">
      <c r="A7868" t="s">
        <v>4068</v>
      </c>
      <c r="B7868" t="s">
        <v>1824</v>
      </c>
      <c r="C7868" s="34" t="s">
        <v>1467</v>
      </c>
      <c r="F7868" t="s">
        <v>1467</v>
      </c>
      <c r="H7868">
        <v>4</v>
      </c>
      <c r="I7868">
        <f>VLOOKUP(B7868,BRAND!B:D,3,FALSE)</f>
        <v>5</v>
      </c>
      <c r="J7868">
        <f>LEN(F7868)</f>
        <v>12</v>
      </c>
      <c r="K7868">
        <v>0</v>
      </c>
      <c r="L7868">
        <v>0</v>
      </c>
      <c r="M7868">
        <v>0</v>
      </c>
    </row>
    <row r="7869" spans="1:13">
      <c r="A7869" t="s">
        <v>4784</v>
      </c>
      <c r="B7869" t="s">
        <v>1824</v>
      </c>
      <c r="C7869" s="34" t="s">
        <v>1965</v>
      </c>
      <c r="F7869" t="s">
        <v>1965</v>
      </c>
      <c r="H7869">
        <v>5</v>
      </c>
      <c r="I7869">
        <f>VLOOKUP(B7869,BRAND!B:D,3,FALSE)</f>
        <v>5</v>
      </c>
      <c r="J7869">
        <f>LEN(F7869)</f>
        <v>10</v>
      </c>
      <c r="K7869">
        <v>0</v>
      </c>
      <c r="L7869">
        <v>0</v>
      </c>
      <c r="M7869">
        <v>0</v>
      </c>
    </row>
    <row r="7870" spans="1:13">
      <c r="A7870" t="s">
        <v>4860</v>
      </c>
      <c r="B7870" t="s">
        <v>1824</v>
      </c>
      <c r="C7870" s="34" t="s">
        <v>536</v>
      </c>
      <c r="F7870" t="s">
        <v>536</v>
      </c>
      <c r="H7870">
        <v>5</v>
      </c>
      <c r="I7870">
        <f>VLOOKUP(B7870,BRAND!B:D,3,FALSE)</f>
        <v>5</v>
      </c>
      <c r="J7870">
        <v>5</v>
      </c>
      <c r="K7870">
        <v>0</v>
      </c>
      <c r="L7870">
        <v>0</v>
      </c>
      <c r="M7870">
        <v>0</v>
      </c>
    </row>
    <row r="7871" spans="1:13">
      <c r="A7871" t="s">
        <v>4981</v>
      </c>
      <c r="B7871" t="s">
        <v>1824</v>
      </c>
      <c r="C7871" s="34" t="s">
        <v>1438</v>
      </c>
      <c r="F7871" t="s">
        <v>1438</v>
      </c>
      <c r="G7871" t="s">
        <v>801</v>
      </c>
      <c r="H7871">
        <v>5</v>
      </c>
      <c r="I7871">
        <f>VLOOKUP(B7871,BRAND!B:D,3,FALSE)</f>
        <v>5</v>
      </c>
      <c r="J7871">
        <v>4</v>
      </c>
      <c r="M7871">
        <v>1</v>
      </c>
    </row>
    <row r="7872" spans="1:13">
      <c r="A7872" t="s">
        <v>4981</v>
      </c>
      <c r="B7872" t="s">
        <v>1824</v>
      </c>
      <c r="C7872" s="34" t="s">
        <v>1438</v>
      </c>
      <c r="F7872" t="s">
        <v>1438</v>
      </c>
      <c r="G7872" t="s">
        <v>801</v>
      </c>
      <c r="H7872">
        <v>5</v>
      </c>
      <c r="I7872">
        <f>VLOOKUP(B7872,BRAND!B:D,3,FALSE)</f>
        <v>5</v>
      </c>
      <c r="J7872">
        <v>4</v>
      </c>
      <c r="M7872">
        <v>1</v>
      </c>
    </row>
    <row r="7873" spans="1:13">
      <c r="A7873" t="s">
        <v>4768</v>
      </c>
      <c r="B7873" t="s">
        <v>1824</v>
      </c>
      <c r="C7873" s="34" t="s">
        <v>1993</v>
      </c>
      <c r="F7873" t="s">
        <v>1993</v>
      </c>
      <c r="H7873">
        <v>5</v>
      </c>
      <c r="I7873">
        <f>VLOOKUP(B7873,BRAND!B:D,3,FALSE)</f>
        <v>5</v>
      </c>
      <c r="J7873">
        <v>3</v>
      </c>
      <c r="K7873">
        <v>0</v>
      </c>
      <c r="L7873">
        <v>0</v>
      </c>
      <c r="M7873">
        <v>0</v>
      </c>
    </row>
    <row r="7874" spans="1:13">
      <c r="A7874" t="s">
        <v>4669</v>
      </c>
      <c r="B7874" t="s">
        <v>1824</v>
      </c>
      <c r="C7874" s="34" t="s">
        <v>775</v>
      </c>
      <c r="F7874" t="s">
        <v>775</v>
      </c>
      <c r="H7874">
        <v>5</v>
      </c>
      <c r="I7874">
        <f>VLOOKUP(B7874,BRAND!B:D,3,FALSE)</f>
        <v>5</v>
      </c>
      <c r="J7874">
        <v>3</v>
      </c>
      <c r="K7874">
        <v>0</v>
      </c>
      <c r="L7874">
        <v>0</v>
      </c>
      <c r="M7874">
        <v>0</v>
      </c>
    </row>
    <row r="7875" spans="1:13">
      <c r="A7875" t="s">
        <v>5000</v>
      </c>
      <c r="B7875" t="s">
        <v>1824</v>
      </c>
      <c r="C7875" s="34" t="s">
        <v>777</v>
      </c>
      <c r="F7875" t="s">
        <v>777</v>
      </c>
      <c r="G7875" t="s">
        <v>801</v>
      </c>
      <c r="H7875">
        <v>6</v>
      </c>
      <c r="I7875">
        <f>VLOOKUP(B7875,BRAND!B:D,3,FALSE)</f>
        <v>5</v>
      </c>
      <c r="J7875">
        <v>7</v>
      </c>
      <c r="K7875">
        <v>0</v>
      </c>
      <c r="L7875">
        <v>0</v>
      </c>
      <c r="M7875">
        <v>0</v>
      </c>
    </row>
    <row r="7876" spans="1:13">
      <c r="A7876" t="s">
        <v>9880</v>
      </c>
      <c r="B7876" t="s">
        <v>1824</v>
      </c>
      <c r="C7876" s="34" t="s">
        <v>900</v>
      </c>
      <c r="F7876" t="s">
        <v>900</v>
      </c>
      <c r="H7876">
        <v>6</v>
      </c>
      <c r="I7876">
        <f>VLOOKUP(B7876,BRAND!B:D,3,FALSE)</f>
        <v>5</v>
      </c>
      <c r="J7876">
        <v>5</v>
      </c>
      <c r="L7876">
        <v>1</v>
      </c>
      <c r="M7876">
        <v>1</v>
      </c>
    </row>
    <row r="7877" spans="1:13">
      <c r="A7877" t="s">
        <v>4981</v>
      </c>
      <c r="B7877" t="s">
        <v>1824</v>
      </c>
      <c r="C7877" s="34" t="s">
        <v>1438</v>
      </c>
      <c r="F7877" t="s">
        <v>1438</v>
      </c>
      <c r="G7877" t="s">
        <v>801</v>
      </c>
      <c r="H7877">
        <v>6</v>
      </c>
      <c r="I7877">
        <f>VLOOKUP(B7877,BRAND!B:D,3,FALSE)</f>
        <v>5</v>
      </c>
      <c r="J7877">
        <v>4</v>
      </c>
      <c r="K7877">
        <v>0</v>
      </c>
      <c r="M7877">
        <v>1</v>
      </c>
    </row>
    <row r="7878" spans="1:13">
      <c r="A7878" t="s">
        <v>2685</v>
      </c>
      <c r="B7878" t="s">
        <v>1824</v>
      </c>
      <c r="C7878" s="34" t="s">
        <v>1438</v>
      </c>
      <c r="F7878" t="s">
        <v>1438</v>
      </c>
      <c r="H7878">
        <v>15</v>
      </c>
      <c r="I7878">
        <f>VLOOKUP(B7878,BRAND!B:D,3,FALSE)</f>
        <v>5</v>
      </c>
      <c r="J7878">
        <v>4</v>
      </c>
      <c r="K7878">
        <v>0</v>
      </c>
      <c r="L7878">
        <v>0</v>
      </c>
      <c r="M7878">
        <v>0</v>
      </c>
    </row>
    <row r="7879" spans="1:13">
      <c r="A7879" t="s">
        <v>3082</v>
      </c>
      <c r="B7879" t="s">
        <v>180</v>
      </c>
      <c r="C7879" s="34" t="s">
        <v>777</v>
      </c>
      <c r="F7879" t="s">
        <v>777</v>
      </c>
      <c r="H7879">
        <v>5</v>
      </c>
      <c r="I7879">
        <f>VLOOKUP(B7879,BRAND!B:D,3,FALSE)</f>
        <v>3</v>
      </c>
      <c r="J7879">
        <v>7</v>
      </c>
      <c r="K7879" t="s">
        <v>821</v>
      </c>
      <c r="L7879">
        <v>0</v>
      </c>
      <c r="M7879">
        <v>0</v>
      </c>
    </row>
    <row r="7880" spans="1:13">
      <c r="A7880" t="s">
        <v>2921</v>
      </c>
      <c r="B7880" t="s">
        <v>180</v>
      </c>
      <c r="C7880" s="34" t="s">
        <v>536</v>
      </c>
      <c r="F7880" t="s">
        <v>536</v>
      </c>
      <c r="H7880">
        <v>5</v>
      </c>
      <c r="I7880">
        <f>VLOOKUP(B7880,BRAND!B:D,3,FALSE)</f>
        <v>3</v>
      </c>
      <c r="J7880">
        <v>5</v>
      </c>
      <c r="K7880" t="s">
        <v>821</v>
      </c>
      <c r="L7880">
        <v>0</v>
      </c>
      <c r="M7880">
        <v>0</v>
      </c>
    </row>
    <row r="7881" spans="1:13">
      <c r="A7881" t="s">
        <v>3844</v>
      </c>
      <c r="B7881" t="s">
        <v>180</v>
      </c>
      <c r="C7881" s="34" t="s">
        <v>2000</v>
      </c>
      <c r="F7881" t="s">
        <v>2000</v>
      </c>
      <c r="H7881">
        <v>5</v>
      </c>
      <c r="I7881">
        <f>VLOOKUP(B7881,BRAND!B:D,3,FALSE)</f>
        <v>3</v>
      </c>
      <c r="J7881">
        <v>5</v>
      </c>
      <c r="K7881" t="s">
        <v>821</v>
      </c>
      <c r="M7881">
        <v>1</v>
      </c>
    </row>
    <row r="7882" spans="1:13">
      <c r="A7882" t="s">
        <v>4994</v>
      </c>
      <c r="B7882" t="s">
        <v>180</v>
      </c>
      <c r="C7882" s="34" t="s">
        <v>1438</v>
      </c>
      <c r="F7882" t="s">
        <v>1438</v>
      </c>
      <c r="G7882" t="s">
        <v>801</v>
      </c>
      <c r="H7882">
        <v>5</v>
      </c>
      <c r="I7882">
        <f>VLOOKUP(B7882,BRAND!B:D,3,FALSE)</f>
        <v>3</v>
      </c>
      <c r="J7882">
        <v>4</v>
      </c>
      <c r="L7882">
        <v>0</v>
      </c>
      <c r="M7882">
        <v>0</v>
      </c>
    </row>
    <row r="7883" spans="1:13">
      <c r="A7883" t="s">
        <v>4978</v>
      </c>
      <c r="B7883" t="s">
        <v>180</v>
      </c>
      <c r="C7883" s="34" t="s">
        <v>536</v>
      </c>
      <c r="F7883" t="s">
        <v>536</v>
      </c>
      <c r="G7883" t="s">
        <v>801</v>
      </c>
      <c r="H7883">
        <v>6</v>
      </c>
      <c r="I7883">
        <f>VLOOKUP(B7883,BRAND!B:D,3,FALSE)</f>
        <v>3</v>
      </c>
      <c r="J7883">
        <v>5</v>
      </c>
      <c r="K7883" t="s">
        <v>821</v>
      </c>
      <c r="L7883">
        <v>0</v>
      </c>
      <c r="M7883">
        <v>0</v>
      </c>
    </row>
    <row r="7884" spans="1:13">
      <c r="A7884" t="s">
        <v>4994</v>
      </c>
      <c r="B7884" t="s">
        <v>180</v>
      </c>
      <c r="C7884" s="34" t="s">
        <v>1438</v>
      </c>
      <c r="F7884" t="s">
        <v>1438</v>
      </c>
      <c r="G7884" t="s">
        <v>801</v>
      </c>
      <c r="H7884">
        <v>6</v>
      </c>
      <c r="I7884">
        <f>VLOOKUP(B7884,BRAND!B:D,3,FALSE)</f>
        <v>3</v>
      </c>
      <c r="J7884">
        <v>4</v>
      </c>
      <c r="K7884" t="s">
        <v>821</v>
      </c>
      <c r="L7884">
        <v>0</v>
      </c>
      <c r="M7884">
        <v>0</v>
      </c>
    </row>
    <row r="7885" spans="1:13">
      <c r="A7885" t="s">
        <v>2014</v>
      </c>
      <c r="B7885" t="s">
        <v>180</v>
      </c>
      <c r="C7885" s="34" t="s">
        <v>1438</v>
      </c>
      <c r="F7885" t="s">
        <v>1438</v>
      </c>
      <c r="H7885">
        <v>15</v>
      </c>
      <c r="I7885">
        <f>VLOOKUP(B7885,BRAND!B:D,3,FALSE)</f>
        <v>3</v>
      </c>
      <c r="J7885">
        <v>4</v>
      </c>
      <c r="K7885" t="s">
        <v>821</v>
      </c>
      <c r="L7885">
        <v>0</v>
      </c>
      <c r="M7885">
        <v>0</v>
      </c>
    </row>
    <row r="7886" spans="1:13">
      <c r="A7886" t="s">
        <v>10113</v>
      </c>
      <c r="B7886" t="s">
        <v>5309</v>
      </c>
      <c r="C7886" s="34" t="s">
        <v>5365</v>
      </c>
      <c r="F7886" t="s">
        <v>5365</v>
      </c>
      <c r="H7886">
        <v>4</v>
      </c>
      <c r="I7886">
        <f>VLOOKUP(B7886,BRAND!B:D,3,FALSE)</f>
        <v>3</v>
      </c>
      <c r="J7886">
        <f>LEN(F7886)</f>
        <v>13</v>
      </c>
      <c r="K7886" t="s">
        <v>821</v>
      </c>
      <c r="L7886">
        <v>0</v>
      </c>
      <c r="M7886">
        <v>0</v>
      </c>
    </row>
    <row r="7887" spans="1:13">
      <c r="A7887" t="s">
        <v>10114</v>
      </c>
      <c r="B7887" t="s">
        <v>5309</v>
      </c>
      <c r="C7887" s="34" t="s">
        <v>5370</v>
      </c>
      <c r="F7887" t="s">
        <v>5370</v>
      </c>
      <c r="H7887">
        <v>5</v>
      </c>
      <c r="I7887">
        <f>VLOOKUP(B7887,BRAND!B:D,3,FALSE)</f>
        <v>3</v>
      </c>
      <c r="J7887">
        <f>LEN(F7887)</f>
        <v>10</v>
      </c>
      <c r="K7887" t="s">
        <v>821</v>
      </c>
      <c r="L7887">
        <v>0</v>
      </c>
      <c r="M7887">
        <v>0</v>
      </c>
    </row>
    <row r="7888" spans="1:13">
      <c r="A7888" t="s">
        <v>10115</v>
      </c>
      <c r="B7888" t="s">
        <v>5309</v>
      </c>
      <c r="C7888" s="34" t="s">
        <v>1498</v>
      </c>
      <c r="F7888" t="s">
        <v>1498</v>
      </c>
      <c r="H7888">
        <v>5</v>
      </c>
      <c r="I7888">
        <f>VLOOKUP(B7888,BRAND!B:D,3,FALSE)</f>
        <v>3</v>
      </c>
      <c r="J7888">
        <v>6</v>
      </c>
      <c r="K7888" t="s">
        <v>821</v>
      </c>
      <c r="L7888">
        <v>0</v>
      </c>
      <c r="M7888">
        <v>0</v>
      </c>
    </row>
    <row r="7889" spans="1:13">
      <c r="A7889" t="s">
        <v>10116</v>
      </c>
      <c r="B7889" t="s">
        <v>5309</v>
      </c>
      <c r="C7889" s="34" t="s">
        <v>881</v>
      </c>
      <c r="F7889" t="s">
        <v>881</v>
      </c>
      <c r="H7889">
        <v>5</v>
      </c>
      <c r="I7889">
        <f>VLOOKUP(B7889,BRAND!B:D,3,FALSE)</f>
        <v>3</v>
      </c>
      <c r="J7889">
        <v>5</v>
      </c>
      <c r="K7889" t="s">
        <v>821</v>
      </c>
      <c r="L7889">
        <v>0</v>
      </c>
      <c r="M7889">
        <v>0</v>
      </c>
    </row>
    <row r="7890" spans="1:13">
      <c r="A7890" t="s">
        <v>10117</v>
      </c>
      <c r="B7890" t="s">
        <v>5309</v>
      </c>
      <c r="C7890" s="34" t="s">
        <v>798</v>
      </c>
      <c r="F7890" t="s">
        <v>798</v>
      </c>
      <c r="G7890" t="s">
        <v>801</v>
      </c>
      <c r="H7890">
        <v>6</v>
      </c>
      <c r="I7890">
        <f>VLOOKUP(B7890,BRAND!B:D,3,FALSE)</f>
        <v>3</v>
      </c>
      <c r="J7890">
        <v>9</v>
      </c>
      <c r="K7890" t="s">
        <v>821</v>
      </c>
      <c r="L7890">
        <v>0</v>
      </c>
      <c r="M7890">
        <v>0</v>
      </c>
    </row>
    <row r="7891" spans="1:13">
      <c r="A7891" t="s">
        <v>10118</v>
      </c>
      <c r="B7891" t="s">
        <v>5309</v>
      </c>
      <c r="C7891" s="34" t="s">
        <v>885</v>
      </c>
      <c r="F7891" t="s">
        <v>885</v>
      </c>
      <c r="G7891" t="s">
        <v>801</v>
      </c>
      <c r="H7891">
        <v>6</v>
      </c>
      <c r="I7891">
        <f>VLOOKUP(B7891,BRAND!B:D,3,FALSE)</f>
        <v>3</v>
      </c>
      <c r="J7891">
        <v>6</v>
      </c>
      <c r="K7891" t="s">
        <v>821</v>
      </c>
      <c r="L7891">
        <v>0</v>
      </c>
      <c r="M7891">
        <v>0</v>
      </c>
    </row>
    <row r="7892" spans="1:13">
      <c r="A7892" t="s">
        <v>10119</v>
      </c>
      <c r="B7892" t="s">
        <v>5309</v>
      </c>
      <c r="C7892" s="34" t="s">
        <v>881</v>
      </c>
      <c r="F7892" t="s">
        <v>881</v>
      </c>
      <c r="G7892" t="s">
        <v>801</v>
      </c>
      <c r="H7892">
        <v>6</v>
      </c>
      <c r="I7892">
        <f>VLOOKUP(B7892,BRAND!B:D,3,FALSE)</f>
        <v>3</v>
      </c>
      <c r="J7892">
        <v>5</v>
      </c>
      <c r="K7892" t="s">
        <v>821</v>
      </c>
      <c r="L7892">
        <v>0</v>
      </c>
      <c r="M7892">
        <v>0</v>
      </c>
    </row>
    <row r="7893" spans="1:13">
      <c r="A7893" t="s">
        <v>7336</v>
      </c>
      <c r="B7893" t="s">
        <v>7337</v>
      </c>
      <c r="C7893" s="34" t="s">
        <v>561</v>
      </c>
      <c r="F7893" t="s">
        <v>561</v>
      </c>
      <c r="G7893" t="s">
        <v>6932</v>
      </c>
      <c r="H7893">
        <v>5</v>
      </c>
      <c r="I7893">
        <f>VLOOKUP(B7893,BRAND!B:D,3,FALSE)</f>
        <v>5.5</v>
      </c>
      <c r="J7893">
        <v>3</v>
      </c>
      <c r="M7893">
        <v>1</v>
      </c>
    </row>
    <row r="7894" spans="1:13">
      <c r="A7894" t="s">
        <v>9368</v>
      </c>
      <c r="B7894" t="s">
        <v>9367</v>
      </c>
      <c r="C7894" s="34" t="s">
        <v>755</v>
      </c>
      <c r="F7894" t="s">
        <v>755</v>
      </c>
      <c r="G7894" t="s">
        <v>6932</v>
      </c>
      <c r="H7894">
        <v>5</v>
      </c>
      <c r="I7894">
        <f>VLOOKUP(B7894,BRAND!B:D,3,FALSE)</f>
        <v>5.5</v>
      </c>
      <c r="J7894">
        <v>6</v>
      </c>
      <c r="M7894">
        <v>1</v>
      </c>
    </row>
    <row r="7895" spans="1:13">
      <c r="A7895" t="s">
        <v>9366</v>
      </c>
      <c r="B7895" t="s">
        <v>9367</v>
      </c>
      <c r="C7895" s="34" t="s">
        <v>913</v>
      </c>
      <c r="F7895" t="s">
        <v>913</v>
      </c>
      <c r="G7895" t="s">
        <v>6932</v>
      </c>
      <c r="H7895">
        <v>5</v>
      </c>
      <c r="I7895">
        <f>VLOOKUP(B7895,BRAND!B:D,3,FALSE)</f>
        <v>5.5</v>
      </c>
      <c r="J7895">
        <v>5</v>
      </c>
      <c r="M7895">
        <v>1</v>
      </c>
    </row>
    <row r="7896" spans="1:13">
      <c r="A7896" t="s">
        <v>4856</v>
      </c>
      <c r="B7896" t="s">
        <v>1910</v>
      </c>
      <c r="C7896" s="34" t="s">
        <v>777</v>
      </c>
      <c r="F7896" t="s">
        <v>777</v>
      </c>
      <c r="H7896">
        <v>5</v>
      </c>
      <c r="I7896">
        <f>VLOOKUP(B7896,BRAND!B:D,3,FALSE)</f>
        <v>5</v>
      </c>
      <c r="J7896">
        <v>7</v>
      </c>
      <c r="K7896" t="s">
        <v>821</v>
      </c>
      <c r="L7896">
        <v>0</v>
      </c>
      <c r="M7896">
        <v>0</v>
      </c>
    </row>
    <row r="7897" spans="1:13">
      <c r="A7897" t="s">
        <v>4278</v>
      </c>
      <c r="B7897" t="s">
        <v>1910</v>
      </c>
      <c r="C7897" s="34" t="s">
        <v>1438</v>
      </c>
      <c r="F7897" t="s">
        <v>1438</v>
      </c>
      <c r="H7897">
        <v>15</v>
      </c>
      <c r="I7897">
        <f>VLOOKUP(B7897,BRAND!B:D,3,FALSE)</f>
        <v>5</v>
      </c>
      <c r="J7897">
        <v>4</v>
      </c>
      <c r="K7897" t="s">
        <v>821</v>
      </c>
      <c r="L7897">
        <v>0</v>
      </c>
      <c r="M7897">
        <v>0</v>
      </c>
    </row>
    <row r="7898" spans="1:13">
      <c r="A7898" t="s">
        <v>7044</v>
      </c>
      <c r="B7898" t="s">
        <v>289</v>
      </c>
      <c r="C7898" s="34" t="s">
        <v>840</v>
      </c>
      <c r="F7898" t="s">
        <v>840</v>
      </c>
      <c r="H7898">
        <v>5</v>
      </c>
      <c r="I7898">
        <f>VLOOKUP(B7898,BRAND!B:D,3,FALSE)</f>
        <v>3</v>
      </c>
      <c r="J7898">
        <v>9</v>
      </c>
      <c r="M7898">
        <v>1</v>
      </c>
    </row>
    <row r="7899" spans="1:13">
      <c r="A7899" t="s">
        <v>3392</v>
      </c>
      <c r="B7899" t="s">
        <v>289</v>
      </c>
      <c r="C7899" s="34" t="s">
        <v>772</v>
      </c>
      <c r="F7899" t="s">
        <v>772</v>
      </c>
      <c r="H7899">
        <v>5</v>
      </c>
      <c r="I7899">
        <f>VLOOKUP(B7899,BRAND!B:D,3,FALSE)</f>
        <v>3</v>
      </c>
      <c r="J7899">
        <v>6</v>
      </c>
      <c r="K7899" t="s">
        <v>821</v>
      </c>
      <c r="L7899">
        <v>0</v>
      </c>
      <c r="M7899">
        <v>0</v>
      </c>
    </row>
    <row r="7900" spans="1:13">
      <c r="A7900" t="s">
        <v>3054</v>
      </c>
      <c r="B7900" t="s">
        <v>289</v>
      </c>
      <c r="C7900" s="34" t="s">
        <v>534</v>
      </c>
      <c r="F7900" t="s">
        <v>534</v>
      </c>
      <c r="H7900">
        <v>5</v>
      </c>
      <c r="I7900">
        <f>VLOOKUP(B7900,BRAND!B:D,3,FALSE)</f>
        <v>3</v>
      </c>
      <c r="J7900">
        <v>6</v>
      </c>
      <c r="K7900" t="s">
        <v>821</v>
      </c>
      <c r="L7900">
        <v>0</v>
      </c>
      <c r="M7900">
        <v>0</v>
      </c>
    </row>
    <row r="7901" spans="1:13">
      <c r="A7901" t="s">
        <v>7042</v>
      </c>
      <c r="B7901" t="s">
        <v>289</v>
      </c>
      <c r="C7901" s="34" t="s">
        <v>772</v>
      </c>
      <c r="F7901" t="s">
        <v>772</v>
      </c>
      <c r="H7901">
        <v>5</v>
      </c>
      <c r="I7901">
        <f>VLOOKUP(B7901,BRAND!B:D,3,FALSE)</f>
        <v>3</v>
      </c>
      <c r="J7901">
        <v>6</v>
      </c>
      <c r="M7901">
        <v>1</v>
      </c>
    </row>
    <row r="7902" spans="1:13">
      <c r="A7902" t="s">
        <v>7042</v>
      </c>
      <c r="B7902" t="s">
        <v>289</v>
      </c>
      <c r="C7902" s="34" t="s">
        <v>772</v>
      </c>
      <c r="F7902" t="s">
        <v>772</v>
      </c>
      <c r="G7902" t="s">
        <v>6932</v>
      </c>
      <c r="H7902">
        <v>5</v>
      </c>
      <c r="I7902">
        <f>VLOOKUP(B7902,BRAND!B:D,3,FALSE)</f>
        <v>3</v>
      </c>
      <c r="J7902">
        <v>6</v>
      </c>
      <c r="M7902">
        <v>1</v>
      </c>
    </row>
    <row r="7903" spans="1:13">
      <c r="A7903" t="s">
        <v>7041</v>
      </c>
      <c r="B7903" t="s">
        <v>289</v>
      </c>
      <c r="C7903" s="34" t="s">
        <v>534</v>
      </c>
      <c r="F7903" t="s">
        <v>534</v>
      </c>
      <c r="H7903">
        <v>5</v>
      </c>
      <c r="I7903">
        <f>VLOOKUP(B7903,BRAND!B:D,3,FALSE)</f>
        <v>3</v>
      </c>
      <c r="J7903">
        <v>6</v>
      </c>
      <c r="M7903">
        <v>1</v>
      </c>
    </row>
    <row r="7904" spans="1:13">
      <c r="A7904" t="s">
        <v>7045</v>
      </c>
      <c r="B7904" t="s">
        <v>289</v>
      </c>
      <c r="C7904" s="34" t="s">
        <v>6948</v>
      </c>
      <c r="F7904" t="s">
        <v>6948</v>
      </c>
      <c r="H7904">
        <v>5</v>
      </c>
      <c r="I7904">
        <f>VLOOKUP(B7904,BRAND!B:D,3,FALSE)</f>
        <v>3</v>
      </c>
      <c r="J7904">
        <v>6</v>
      </c>
      <c r="M7904">
        <v>1</v>
      </c>
    </row>
    <row r="7905" spans="1:13">
      <c r="A7905" t="s">
        <v>7043</v>
      </c>
      <c r="B7905" t="s">
        <v>289</v>
      </c>
      <c r="C7905" s="34" t="s">
        <v>444</v>
      </c>
      <c r="F7905" t="s">
        <v>444</v>
      </c>
      <c r="H7905">
        <v>5</v>
      </c>
      <c r="I7905">
        <f>VLOOKUP(B7905,BRAND!B:D,3,FALSE)</f>
        <v>3</v>
      </c>
      <c r="J7905">
        <v>6</v>
      </c>
      <c r="M7905">
        <v>1</v>
      </c>
    </row>
    <row r="7906" spans="1:13">
      <c r="A7906" t="s">
        <v>3969</v>
      </c>
      <c r="B7906" t="s">
        <v>289</v>
      </c>
      <c r="C7906" s="34" t="s">
        <v>842</v>
      </c>
      <c r="F7906" t="s">
        <v>842</v>
      </c>
      <c r="H7906">
        <v>5</v>
      </c>
      <c r="I7906">
        <f>VLOOKUP(B7906,BRAND!B:D,3,FALSE)</f>
        <v>3</v>
      </c>
      <c r="J7906">
        <v>5</v>
      </c>
      <c r="K7906" t="s">
        <v>821</v>
      </c>
      <c r="L7906">
        <v>0</v>
      </c>
      <c r="M7906">
        <v>0</v>
      </c>
    </row>
    <row r="7907" spans="1:13">
      <c r="A7907" t="s">
        <v>3967</v>
      </c>
      <c r="B7907" t="s">
        <v>289</v>
      </c>
      <c r="C7907" s="34" t="s">
        <v>5232</v>
      </c>
      <c r="F7907" t="s">
        <v>536</v>
      </c>
      <c r="H7907">
        <v>5</v>
      </c>
      <c r="I7907">
        <f>VLOOKUP(B7907,BRAND!B:D,3,FALSE)</f>
        <v>3</v>
      </c>
      <c r="J7907">
        <v>5</v>
      </c>
      <c r="K7907" t="s">
        <v>821</v>
      </c>
      <c r="M7907">
        <v>1</v>
      </c>
    </row>
    <row r="7908" spans="1:13">
      <c r="A7908" t="s">
        <v>3646</v>
      </c>
      <c r="B7908" t="s">
        <v>289</v>
      </c>
      <c r="C7908" s="34" t="s">
        <v>776</v>
      </c>
      <c r="F7908" t="s">
        <v>776</v>
      </c>
      <c r="H7908">
        <v>5</v>
      </c>
      <c r="I7908">
        <f>VLOOKUP(B7908,BRAND!B:D,3,FALSE)</f>
        <v>3</v>
      </c>
      <c r="J7908">
        <v>5</v>
      </c>
      <c r="K7908" t="s">
        <v>821</v>
      </c>
      <c r="M7908">
        <v>1</v>
      </c>
    </row>
    <row r="7909" spans="1:13">
      <c r="A7909" t="s">
        <v>2288</v>
      </c>
      <c r="B7909" t="s">
        <v>289</v>
      </c>
      <c r="C7909" s="34" t="s">
        <v>1438</v>
      </c>
      <c r="F7909" t="s">
        <v>1438</v>
      </c>
      <c r="H7909">
        <v>15</v>
      </c>
      <c r="I7909">
        <f>VLOOKUP(B7909,BRAND!B:D,3,FALSE)</f>
        <v>3</v>
      </c>
      <c r="J7909">
        <v>4</v>
      </c>
      <c r="K7909" t="s">
        <v>821</v>
      </c>
      <c r="L7909">
        <v>0</v>
      </c>
      <c r="M7909">
        <v>0</v>
      </c>
    </row>
    <row r="7910" spans="1:13">
      <c r="A7910" t="s">
        <v>3200</v>
      </c>
      <c r="B7910" t="s">
        <v>181</v>
      </c>
      <c r="C7910" s="34" t="s">
        <v>536</v>
      </c>
      <c r="F7910" t="s">
        <v>536</v>
      </c>
      <c r="H7910">
        <v>5</v>
      </c>
      <c r="I7910">
        <f>VLOOKUP(B7910,BRAND!B:D,3,FALSE)</f>
        <v>3</v>
      </c>
      <c r="J7910">
        <v>5</v>
      </c>
      <c r="K7910" t="s">
        <v>821</v>
      </c>
      <c r="L7910">
        <v>0</v>
      </c>
      <c r="M7910">
        <v>0</v>
      </c>
    </row>
    <row r="7911" spans="1:13">
      <c r="A7911" t="s">
        <v>2225</v>
      </c>
      <c r="B7911" t="s">
        <v>181</v>
      </c>
      <c r="C7911" s="34" t="s">
        <v>1438</v>
      </c>
      <c r="F7911" t="s">
        <v>1438</v>
      </c>
      <c r="H7911">
        <v>15</v>
      </c>
      <c r="I7911">
        <f>VLOOKUP(B7911,BRAND!B:D,3,FALSE)</f>
        <v>3</v>
      </c>
      <c r="J7911">
        <v>4</v>
      </c>
      <c r="K7911" t="s">
        <v>821</v>
      </c>
      <c r="M7911">
        <v>1</v>
      </c>
    </row>
    <row r="7912" spans="1:13">
      <c r="A7912" t="s">
        <v>3388</v>
      </c>
      <c r="B7912" t="s">
        <v>182</v>
      </c>
      <c r="C7912" s="34" t="s">
        <v>5374</v>
      </c>
      <c r="F7912" t="s">
        <v>777</v>
      </c>
      <c r="H7912">
        <v>5</v>
      </c>
      <c r="I7912">
        <f>VLOOKUP(B7912,BRAND!B:D,3,FALSE)</f>
        <v>3</v>
      </c>
      <c r="J7912">
        <v>7</v>
      </c>
      <c r="K7912" t="s">
        <v>821</v>
      </c>
      <c r="M7912">
        <v>1</v>
      </c>
    </row>
    <row r="7913" spans="1:13">
      <c r="A7913" t="s">
        <v>5006</v>
      </c>
      <c r="B7913" t="s">
        <v>182</v>
      </c>
      <c r="C7913" s="34" t="s">
        <v>5374</v>
      </c>
      <c r="F7913" t="s">
        <v>777</v>
      </c>
      <c r="G7913" t="s">
        <v>801</v>
      </c>
      <c r="H7913">
        <v>6</v>
      </c>
      <c r="I7913">
        <f>VLOOKUP(B7913,BRAND!B:D,3,FALSE)</f>
        <v>3</v>
      </c>
      <c r="J7913">
        <v>7</v>
      </c>
      <c r="K7913" t="s">
        <v>821</v>
      </c>
      <c r="M7913">
        <v>1</v>
      </c>
    </row>
    <row r="7914" spans="1:13">
      <c r="A7914" t="s">
        <v>4176</v>
      </c>
      <c r="B7914" t="s">
        <v>1877</v>
      </c>
      <c r="C7914" s="34" t="s">
        <v>534</v>
      </c>
      <c r="F7914" t="s">
        <v>534</v>
      </c>
      <c r="H7914">
        <v>5</v>
      </c>
      <c r="I7914">
        <f>VLOOKUP(B7914,BRAND!B:D,3,FALSE)</f>
        <v>5</v>
      </c>
      <c r="J7914">
        <v>6</v>
      </c>
      <c r="K7914" t="s">
        <v>821</v>
      </c>
      <c r="L7914">
        <v>0</v>
      </c>
      <c r="M7914">
        <v>0</v>
      </c>
    </row>
    <row r="7915" spans="1:13">
      <c r="A7915" t="s">
        <v>14455</v>
      </c>
      <c r="B7915" t="s">
        <v>14445</v>
      </c>
      <c r="C7915" s="34" t="s">
        <v>791</v>
      </c>
      <c r="F7915" t="s">
        <v>10959</v>
      </c>
      <c r="G7915" t="s">
        <v>6932</v>
      </c>
      <c r="H7915">
        <v>5</v>
      </c>
      <c r="I7915">
        <f>VLOOKUP(B7915,BRAND!B:D,3,FALSE)</f>
        <v>0</v>
      </c>
      <c r="J7915">
        <f t="shared" ref="J7915:J7920" si="64">LEN(F7915)</f>
        <v>12</v>
      </c>
      <c r="K7915" t="s">
        <v>821</v>
      </c>
      <c r="L7915">
        <v>0</v>
      </c>
      <c r="M7915">
        <v>1</v>
      </c>
    </row>
    <row r="7916" spans="1:13">
      <c r="A7916" t="s">
        <v>14454</v>
      </c>
      <c r="B7916" t="s">
        <v>14445</v>
      </c>
      <c r="C7916" s="34" t="s">
        <v>952</v>
      </c>
      <c r="F7916" t="s">
        <v>952</v>
      </c>
      <c r="G7916" t="s">
        <v>801</v>
      </c>
      <c r="H7916">
        <v>5</v>
      </c>
      <c r="I7916">
        <f>VLOOKUP(B7916,BRAND!B:D,3,FALSE)</f>
        <v>0</v>
      </c>
      <c r="J7916">
        <f t="shared" si="64"/>
        <v>7</v>
      </c>
      <c r="K7916" t="s">
        <v>821</v>
      </c>
      <c r="L7916">
        <v>0</v>
      </c>
      <c r="M7916">
        <v>1</v>
      </c>
    </row>
    <row r="7917" spans="1:13">
      <c r="A7917" t="s">
        <v>14449</v>
      </c>
      <c r="B7917" t="s">
        <v>14445</v>
      </c>
      <c r="C7917" s="34" t="s">
        <v>930</v>
      </c>
      <c r="F7917" t="s">
        <v>930</v>
      </c>
      <c r="G7917" t="s">
        <v>6932</v>
      </c>
      <c r="H7917">
        <v>5</v>
      </c>
      <c r="I7917">
        <f>VLOOKUP(B7917,BRAND!B:D,3,FALSE)</f>
        <v>0</v>
      </c>
      <c r="J7917">
        <f t="shared" si="64"/>
        <v>6</v>
      </c>
      <c r="K7917" t="s">
        <v>821</v>
      </c>
      <c r="L7917">
        <v>0</v>
      </c>
      <c r="M7917">
        <v>1</v>
      </c>
    </row>
    <row r="7918" spans="1:13">
      <c r="A7918" t="s">
        <v>14458</v>
      </c>
      <c r="B7918" t="s">
        <v>14445</v>
      </c>
      <c r="C7918" s="34" t="s">
        <v>776</v>
      </c>
      <c r="F7918" t="s">
        <v>776</v>
      </c>
      <c r="G7918" t="s">
        <v>6932</v>
      </c>
      <c r="H7918">
        <v>5</v>
      </c>
      <c r="I7918">
        <f>VLOOKUP(B7918,BRAND!B:D,3,FALSE)</f>
        <v>0</v>
      </c>
      <c r="J7918">
        <f t="shared" si="64"/>
        <v>5</v>
      </c>
      <c r="K7918" t="s">
        <v>821</v>
      </c>
      <c r="L7918">
        <v>0</v>
      </c>
      <c r="M7918">
        <v>1</v>
      </c>
    </row>
    <row r="7919" spans="1:13">
      <c r="A7919" t="s">
        <v>14444</v>
      </c>
      <c r="B7919" t="s">
        <v>14445</v>
      </c>
      <c r="C7919" s="34" t="s">
        <v>536</v>
      </c>
      <c r="F7919" t="s">
        <v>536</v>
      </c>
      <c r="G7919" t="s">
        <v>6932</v>
      </c>
      <c r="H7919">
        <v>5</v>
      </c>
      <c r="I7919">
        <f>VLOOKUP(B7919,BRAND!B:D,3,FALSE)</f>
        <v>0</v>
      </c>
      <c r="J7919">
        <f t="shared" si="64"/>
        <v>5</v>
      </c>
      <c r="K7919" t="s">
        <v>821</v>
      </c>
      <c r="L7919">
        <v>0</v>
      </c>
      <c r="M7919">
        <v>1</v>
      </c>
    </row>
    <row r="7920" spans="1:13">
      <c r="A7920" t="s">
        <v>14459</v>
      </c>
      <c r="B7920" t="s">
        <v>14445</v>
      </c>
      <c r="C7920" s="34" t="s">
        <v>8904</v>
      </c>
      <c r="F7920" t="s">
        <v>8904</v>
      </c>
      <c r="G7920" t="s">
        <v>6932</v>
      </c>
      <c r="H7920">
        <v>5</v>
      </c>
      <c r="I7920">
        <f>VLOOKUP(B7920,BRAND!B:D,3,FALSE)</f>
        <v>0</v>
      </c>
      <c r="J7920">
        <f t="shared" si="64"/>
        <v>5</v>
      </c>
      <c r="K7920" t="s">
        <v>821</v>
      </c>
      <c r="L7920">
        <v>0</v>
      </c>
      <c r="M7920">
        <v>1</v>
      </c>
    </row>
    <row r="7921" spans="1:13">
      <c r="A7921" t="s">
        <v>9369</v>
      </c>
      <c r="B7921" t="s">
        <v>7200</v>
      </c>
      <c r="C7921" s="34" t="s">
        <v>534</v>
      </c>
      <c r="F7921" t="s">
        <v>534</v>
      </c>
      <c r="G7921" t="s">
        <v>6932</v>
      </c>
      <c r="H7921">
        <v>5</v>
      </c>
      <c r="I7921">
        <f>VLOOKUP(B7921,BRAND!B:D,3,FALSE)</f>
        <v>5.5</v>
      </c>
      <c r="J7921">
        <v>6</v>
      </c>
      <c r="M7921">
        <v>1</v>
      </c>
    </row>
    <row r="7922" spans="1:13">
      <c r="A7922" t="s">
        <v>7199</v>
      </c>
      <c r="B7922" t="s">
        <v>7200</v>
      </c>
      <c r="C7922" s="34" t="s">
        <v>1438</v>
      </c>
      <c r="F7922" t="s">
        <v>1438</v>
      </c>
      <c r="H7922">
        <v>5</v>
      </c>
      <c r="I7922">
        <f>VLOOKUP(B7922,BRAND!B:D,3,FALSE)</f>
        <v>5.5</v>
      </c>
      <c r="M7922">
        <v>1</v>
      </c>
    </row>
    <row r="7923" spans="1:13">
      <c r="A7923" t="s">
        <v>8095</v>
      </c>
      <c r="B7923" t="s">
        <v>8096</v>
      </c>
      <c r="C7923" s="34" t="s">
        <v>1438</v>
      </c>
      <c r="F7923" t="s">
        <v>1438</v>
      </c>
      <c r="G7923" t="s">
        <v>6932</v>
      </c>
      <c r="H7923">
        <v>5</v>
      </c>
      <c r="I7923">
        <f>VLOOKUP(B7923,BRAND!B:D,3,FALSE)</f>
        <v>5.5</v>
      </c>
      <c r="J7923">
        <v>4</v>
      </c>
      <c r="M7923">
        <v>1</v>
      </c>
    </row>
    <row r="7924" spans="1:13">
      <c r="A7924" t="s">
        <v>2883</v>
      </c>
      <c r="B7924" t="s">
        <v>445</v>
      </c>
      <c r="C7924" s="34" t="s">
        <v>840</v>
      </c>
      <c r="F7924" t="s">
        <v>840</v>
      </c>
      <c r="H7924">
        <v>5</v>
      </c>
      <c r="I7924">
        <f>VLOOKUP(B7924,BRAND!B:D,3,FALSE)</f>
        <v>3</v>
      </c>
      <c r="J7924">
        <v>9</v>
      </c>
      <c r="K7924" t="s">
        <v>821</v>
      </c>
      <c r="M7924">
        <v>1</v>
      </c>
    </row>
    <row r="7925" spans="1:13">
      <c r="A7925" t="s">
        <v>2880</v>
      </c>
      <c r="B7925" t="s">
        <v>445</v>
      </c>
      <c r="C7925" s="34" t="s">
        <v>772</v>
      </c>
      <c r="F7925" t="s">
        <v>772</v>
      </c>
      <c r="H7925">
        <v>5</v>
      </c>
      <c r="I7925">
        <f>VLOOKUP(B7925,BRAND!B:D,3,FALSE)</f>
        <v>3</v>
      </c>
      <c r="J7925">
        <v>6</v>
      </c>
      <c r="K7925" t="s">
        <v>821</v>
      </c>
      <c r="L7925">
        <v>0</v>
      </c>
      <c r="M7925">
        <v>0</v>
      </c>
    </row>
    <row r="7926" spans="1:13">
      <c r="A7926" t="s">
        <v>2882</v>
      </c>
      <c r="B7926" t="s">
        <v>445</v>
      </c>
      <c r="C7926" s="34" t="s">
        <v>535</v>
      </c>
      <c r="F7926" t="s">
        <v>535</v>
      </c>
      <c r="H7926">
        <v>5</v>
      </c>
      <c r="I7926">
        <f>VLOOKUP(B7926,BRAND!B:D,3,FALSE)</f>
        <v>3</v>
      </c>
      <c r="J7926">
        <v>6</v>
      </c>
      <c r="K7926" t="s">
        <v>821</v>
      </c>
      <c r="L7926">
        <v>0</v>
      </c>
      <c r="M7926">
        <v>0</v>
      </c>
    </row>
    <row r="7927" spans="1:13">
      <c r="A7927" t="s">
        <v>9370</v>
      </c>
      <c r="B7927" t="s">
        <v>445</v>
      </c>
      <c r="C7927" s="34" t="s">
        <v>534</v>
      </c>
      <c r="F7927" t="s">
        <v>534</v>
      </c>
      <c r="G7927" t="s">
        <v>6932</v>
      </c>
      <c r="H7927">
        <v>5</v>
      </c>
      <c r="I7927">
        <f>VLOOKUP(B7927,BRAND!B:D,3,FALSE)</f>
        <v>3</v>
      </c>
      <c r="J7927">
        <v>6</v>
      </c>
      <c r="L7927">
        <v>0</v>
      </c>
      <c r="M7927">
        <v>0</v>
      </c>
    </row>
    <row r="7928" spans="1:13">
      <c r="A7928" t="s">
        <v>9371</v>
      </c>
      <c r="B7928" t="s">
        <v>445</v>
      </c>
      <c r="C7928" s="34" t="s">
        <v>772</v>
      </c>
      <c r="F7928" t="s">
        <v>772</v>
      </c>
      <c r="G7928" t="s">
        <v>6932</v>
      </c>
      <c r="H7928">
        <v>5</v>
      </c>
      <c r="I7928">
        <f>VLOOKUP(B7928,BRAND!B:D,3,FALSE)</f>
        <v>3</v>
      </c>
      <c r="J7928">
        <v>6</v>
      </c>
      <c r="M7928">
        <v>1</v>
      </c>
    </row>
    <row r="7929" spans="1:13">
      <c r="A7929" t="s">
        <v>2494</v>
      </c>
      <c r="B7929" t="s">
        <v>445</v>
      </c>
      <c r="C7929" s="34" t="s">
        <v>534</v>
      </c>
      <c r="F7929" t="s">
        <v>534</v>
      </c>
      <c r="H7929">
        <v>5</v>
      </c>
      <c r="I7929">
        <f>VLOOKUP(B7929,BRAND!B:D,3,FALSE)</f>
        <v>3</v>
      </c>
      <c r="J7929">
        <v>6</v>
      </c>
      <c r="K7929" t="s">
        <v>821</v>
      </c>
      <c r="M7929">
        <v>1</v>
      </c>
    </row>
    <row r="7930" spans="1:13">
      <c r="A7930" t="s">
        <v>2881</v>
      </c>
      <c r="B7930" t="s">
        <v>445</v>
      </c>
      <c r="C7930" s="34" t="s">
        <v>561</v>
      </c>
      <c r="F7930" t="s">
        <v>561</v>
      </c>
      <c r="H7930">
        <v>5</v>
      </c>
      <c r="I7930">
        <f>VLOOKUP(B7930,BRAND!B:D,3,FALSE)</f>
        <v>3</v>
      </c>
      <c r="J7930">
        <v>3</v>
      </c>
      <c r="K7930" t="s">
        <v>821</v>
      </c>
      <c r="M7930">
        <v>1</v>
      </c>
    </row>
    <row r="7931" spans="1:13">
      <c r="A7931" t="s">
        <v>4990</v>
      </c>
      <c r="B7931" t="s">
        <v>445</v>
      </c>
      <c r="C7931" s="34" t="s">
        <v>1438</v>
      </c>
      <c r="F7931" t="s">
        <v>1438</v>
      </c>
      <c r="G7931" t="s">
        <v>801</v>
      </c>
      <c r="H7931">
        <v>6</v>
      </c>
      <c r="I7931">
        <f>VLOOKUP(B7931,BRAND!B:D,3,FALSE)</f>
        <v>3</v>
      </c>
      <c r="J7931">
        <v>4</v>
      </c>
      <c r="K7931" t="s">
        <v>821</v>
      </c>
      <c r="L7931">
        <v>0</v>
      </c>
      <c r="M7931">
        <v>0</v>
      </c>
    </row>
    <row r="7932" spans="1:13">
      <c r="A7932" t="s">
        <v>3259</v>
      </c>
      <c r="B7932" t="s">
        <v>445</v>
      </c>
      <c r="C7932" s="34" t="s">
        <v>1438</v>
      </c>
      <c r="F7932" t="s">
        <v>1438</v>
      </c>
      <c r="H7932">
        <v>15</v>
      </c>
      <c r="I7932">
        <f>VLOOKUP(B7932,BRAND!B:D,3,FALSE)</f>
        <v>3</v>
      </c>
      <c r="J7932">
        <v>4</v>
      </c>
      <c r="K7932" t="s">
        <v>821</v>
      </c>
      <c r="L7932">
        <v>0</v>
      </c>
      <c r="M7932">
        <v>0</v>
      </c>
    </row>
    <row r="7933" spans="1:13">
      <c r="A7933" t="s">
        <v>7201</v>
      </c>
      <c r="B7933" t="s">
        <v>7202</v>
      </c>
      <c r="C7933" s="34" t="s">
        <v>1438</v>
      </c>
      <c r="F7933" t="s">
        <v>1438</v>
      </c>
      <c r="H7933">
        <v>5</v>
      </c>
      <c r="I7933">
        <f>VLOOKUP(B7933,BRAND!B:D,3,FALSE)</f>
        <v>5.5</v>
      </c>
      <c r="L7933">
        <v>0</v>
      </c>
      <c r="M7933">
        <v>0</v>
      </c>
    </row>
    <row r="7934" spans="1:13">
      <c r="A7934" t="s">
        <v>9372</v>
      </c>
      <c r="B7934" t="s">
        <v>9373</v>
      </c>
      <c r="C7934" s="34" t="s">
        <v>1438</v>
      </c>
      <c r="F7934" t="s">
        <v>1438</v>
      </c>
      <c r="G7934" t="s">
        <v>6932</v>
      </c>
      <c r="H7934">
        <v>5</v>
      </c>
      <c r="I7934">
        <f>VLOOKUP(B7934,BRAND!B:D,3,FALSE)</f>
        <v>5.5</v>
      </c>
      <c r="J7934">
        <v>4</v>
      </c>
      <c r="M7934">
        <v>1</v>
      </c>
    </row>
    <row r="7935" spans="1:13">
      <c r="A7935" t="s">
        <v>5050</v>
      </c>
      <c r="B7935" t="s">
        <v>1205</v>
      </c>
      <c r="C7935" s="34" t="s">
        <v>1438</v>
      </c>
      <c r="F7935" t="s">
        <v>1438</v>
      </c>
      <c r="H7935">
        <v>5</v>
      </c>
      <c r="I7935">
        <f>VLOOKUP(B7935,BRAND!B:D,3,FALSE)</f>
        <v>3</v>
      </c>
      <c r="J7935">
        <v>4</v>
      </c>
      <c r="K7935" t="s">
        <v>821</v>
      </c>
      <c r="L7935">
        <v>0</v>
      </c>
      <c r="M7935">
        <v>0</v>
      </c>
    </row>
    <row r="7936" spans="1:13">
      <c r="A7936" t="s">
        <v>4141</v>
      </c>
      <c r="B7936" t="s">
        <v>912</v>
      </c>
      <c r="C7936" s="34" t="s">
        <v>783</v>
      </c>
      <c r="F7936" t="s">
        <v>783</v>
      </c>
      <c r="H7936">
        <v>5</v>
      </c>
      <c r="I7936">
        <f>VLOOKUP(B7936,BRAND!B:D,3,FALSE)</f>
        <v>3</v>
      </c>
      <c r="J7936">
        <f>LEN(F7936)</f>
        <v>10</v>
      </c>
      <c r="K7936" t="s">
        <v>821</v>
      </c>
      <c r="L7936">
        <v>0</v>
      </c>
      <c r="M7936">
        <v>0</v>
      </c>
    </row>
    <row r="7937" spans="1:13">
      <c r="A7937" t="s">
        <v>4139</v>
      </c>
      <c r="B7937" t="s">
        <v>912</v>
      </c>
      <c r="C7937" s="34" t="s">
        <v>746</v>
      </c>
      <c r="F7937" t="s">
        <v>746</v>
      </c>
      <c r="H7937">
        <v>5</v>
      </c>
      <c r="I7937">
        <f>VLOOKUP(B7937,BRAND!B:D,3,FALSE)</f>
        <v>3</v>
      </c>
      <c r="J7937">
        <v>6</v>
      </c>
      <c r="K7937" t="s">
        <v>821</v>
      </c>
      <c r="L7937">
        <v>0</v>
      </c>
      <c r="M7937">
        <v>0</v>
      </c>
    </row>
    <row r="7938" spans="1:13">
      <c r="A7938" t="s">
        <v>2142</v>
      </c>
      <c r="B7938" t="s">
        <v>912</v>
      </c>
      <c r="C7938" s="34" t="s">
        <v>1438</v>
      </c>
      <c r="F7938" t="s">
        <v>1438</v>
      </c>
      <c r="H7938">
        <v>15</v>
      </c>
      <c r="I7938">
        <f>VLOOKUP(B7938,BRAND!B:D,3,FALSE)</f>
        <v>3</v>
      </c>
      <c r="J7938">
        <v>4</v>
      </c>
      <c r="K7938" t="s">
        <v>821</v>
      </c>
      <c r="M7938">
        <v>1</v>
      </c>
    </row>
    <row r="7939" spans="1:13">
      <c r="A7939" t="s">
        <v>7203</v>
      </c>
      <c r="B7939" t="s">
        <v>7204</v>
      </c>
      <c r="C7939" s="34" t="s">
        <v>1438</v>
      </c>
      <c r="F7939" t="s">
        <v>1438</v>
      </c>
      <c r="G7939" t="s">
        <v>6932</v>
      </c>
      <c r="H7939">
        <v>5</v>
      </c>
      <c r="I7939">
        <f>VLOOKUP(B7939,BRAND!B:D,3,FALSE)</f>
        <v>5.5</v>
      </c>
      <c r="J7939">
        <v>4</v>
      </c>
      <c r="M7939">
        <v>1</v>
      </c>
    </row>
    <row r="7940" spans="1:13">
      <c r="A7940" t="s">
        <v>9881</v>
      </c>
      <c r="B7940" t="s">
        <v>7204</v>
      </c>
      <c r="C7940" s="34" t="s">
        <v>534</v>
      </c>
      <c r="G7940" t="s">
        <v>6932</v>
      </c>
      <c r="H7940">
        <v>5</v>
      </c>
      <c r="I7940">
        <f>VLOOKUP(B7940,BRAND!B:D,3,FALSE)</f>
        <v>5.5</v>
      </c>
      <c r="J7940">
        <f>LEN(F7940)</f>
        <v>0</v>
      </c>
      <c r="L7940">
        <v>0</v>
      </c>
      <c r="M7940">
        <v>0</v>
      </c>
    </row>
    <row r="7941" spans="1:13">
      <c r="A7941" t="s">
        <v>9881</v>
      </c>
      <c r="B7941" t="s">
        <v>7204</v>
      </c>
      <c r="C7941" s="34" t="s">
        <v>534</v>
      </c>
      <c r="G7941" t="s">
        <v>6932</v>
      </c>
      <c r="H7941">
        <v>5</v>
      </c>
      <c r="I7941">
        <f>VLOOKUP(B7941,BRAND!B:D,3,FALSE)</f>
        <v>5.5</v>
      </c>
      <c r="J7941">
        <v>0</v>
      </c>
      <c r="M7941">
        <v>1</v>
      </c>
    </row>
    <row r="7942" spans="1:13">
      <c r="A7942" t="s">
        <v>7203</v>
      </c>
      <c r="B7942" t="s">
        <v>7204</v>
      </c>
      <c r="C7942" s="34" t="s">
        <v>1438</v>
      </c>
      <c r="F7942" t="s">
        <v>1438</v>
      </c>
      <c r="H7942">
        <v>5</v>
      </c>
      <c r="I7942">
        <f>VLOOKUP(B7942,BRAND!B:D,3,FALSE)</f>
        <v>5.5</v>
      </c>
      <c r="M7942">
        <v>1</v>
      </c>
    </row>
    <row r="7943" spans="1:13">
      <c r="A7943" t="s">
        <v>9377</v>
      </c>
      <c r="B7943" t="s">
        <v>378</v>
      </c>
      <c r="C7943" s="34" t="s">
        <v>9378</v>
      </c>
      <c r="F7943" t="s">
        <v>9378</v>
      </c>
      <c r="G7943" t="s">
        <v>6932</v>
      </c>
      <c r="H7943">
        <v>5</v>
      </c>
      <c r="I7943">
        <f>VLOOKUP(B7943,BRAND!B:D,3,FALSE)</f>
        <v>3</v>
      </c>
      <c r="J7943">
        <v>9</v>
      </c>
      <c r="M7943">
        <v>1</v>
      </c>
    </row>
    <row r="7944" spans="1:13">
      <c r="A7944" t="s">
        <v>4618</v>
      </c>
      <c r="B7944" t="s">
        <v>378</v>
      </c>
      <c r="C7944" s="34" t="s">
        <v>776</v>
      </c>
      <c r="F7944" t="s">
        <v>776</v>
      </c>
      <c r="H7944">
        <v>5</v>
      </c>
      <c r="I7944">
        <f>VLOOKUP(B7944,BRAND!B:D,3,FALSE)</f>
        <v>3</v>
      </c>
      <c r="J7944">
        <v>5</v>
      </c>
      <c r="K7944" t="s">
        <v>821</v>
      </c>
      <c r="L7944">
        <v>0</v>
      </c>
      <c r="M7944">
        <v>0</v>
      </c>
    </row>
    <row r="7945" spans="1:13">
      <c r="A7945" t="s">
        <v>9375</v>
      </c>
      <c r="B7945" t="s">
        <v>378</v>
      </c>
      <c r="C7945" s="34" t="s">
        <v>9376</v>
      </c>
      <c r="F7945" t="s">
        <v>9376</v>
      </c>
      <c r="G7945" t="s">
        <v>6932</v>
      </c>
      <c r="H7945">
        <v>5</v>
      </c>
      <c r="I7945">
        <f>VLOOKUP(B7945,BRAND!B:D,3,FALSE)</f>
        <v>3</v>
      </c>
      <c r="J7945">
        <v>5</v>
      </c>
      <c r="M7945">
        <v>1</v>
      </c>
    </row>
    <row r="7946" spans="1:13">
      <c r="A7946" t="s">
        <v>4830</v>
      </c>
      <c r="B7946" t="s">
        <v>378</v>
      </c>
      <c r="C7946" s="34" t="s">
        <v>786</v>
      </c>
      <c r="F7946" t="s">
        <v>786</v>
      </c>
      <c r="H7946">
        <v>5</v>
      </c>
      <c r="I7946">
        <f>VLOOKUP(B7946,BRAND!B:D,3,FALSE)</f>
        <v>3</v>
      </c>
      <c r="J7946">
        <v>3</v>
      </c>
      <c r="K7946" t="s">
        <v>821</v>
      </c>
      <c r="L7946">
        <v>0</v>
      </c>
      <c r="M7946">
        <v>0</v>
      </c>
    </row>
    <row r="7947" spans="1:13">
      <c r="A7947" t="s">
        <v>9374</v>
      </c>
      <c r="B7947" t="s">
        <v>378</v>
      </c>
      <c r="C7947" s="34" t="s">
        <v>561</v>
      </c>
      <c r="F7947" t="s">
        <v>561</v>
      </c>
      <c r="H7947">
        <v>6</v>
      </c>
      <c r="I7947">
        <f>VLOOKUP(B7947,BRAND!B:D,3,FALSE)</f>
        <v>3</v>
      </c>
      <c r="J7947">
        <v>3</v>
      </c>
      <c r="M7947">
        <v>1</v>
      </c>
    </row>
    <row r="7948" spans="1:13">
      <c r="A7948" t="s">
        <v>2955</v>
      </c>
      <c r="B7948" t="s">
        <v>378</v>
      </c>
      <c r="C7948" s="34" t="s">
        <v>1438</v>
      </c>
      <c r="F7948" t="s">
        <v>1438</v>
      </c>
      <c r="H7948">
        <v>15</v>
      </c>
      <c r="I7948">
        <f>VLOOKUP(B7948,BRAND!B:D,3,FALSE)</f>
        <v>3</v>
      </c>
      <c r="J7948">
        <v>4</v>
      </c>
      <c r="K7948" t="s">
        <v>821</v>
      </c>
      <c r="L7948">
        <v>0</v>
      </c>
      <c r="M7948">
        <v>0</v>
      </c>
    </row>
    <row r="7949" spans="1:13">
      <c r="A7949" t="s">
        <v>4074</v>
      </c>
      <c r="B7949" t="s">
        <v>1087</v>
      </c>
      <c r="C7949" s="34" t="s">
        <v>1482</v>
      </c>
      <c r="F7949" t="s">
        <v>1482</v>
      </c>
      <c r="H7949">
        <v>5</v>
      </c>
      <c r="I7949">
        <f>VLOOKUP(B7949,BRAND!B:D,3,FALSE)</f>
        <v>5.5</v>
      </c>
      <c r="J7949">
        <v>9</v>
      </c>
      <c r="K7949" t="e">
        <v>#N/A</v>
      </c>
      <c r="L7949">
        <v>0</v>
      </c>
      <c r="M7949">
        <v>0</v>
      </c>
    </row>
    <row r="7950" spans="1:13">
      <c r="A7950" t="s">
        <v>2521</v>
      </c>
      <c r="B7950" t="s">
        <v>1087</v>
      </c>
      <c r="C7950" s="34" t="s">
        <v>772</v>
      </c>
      <c r="F7950" t="s">
        <v>772</v>
      </c>
      <c r="H7950">
        <v>5</v>
      </c>
      <c r="I7950">
        <f>VLOOKUP(B7950,BRAND!B:D,3,FALSE)</f>
        <v>5.5</v>
      </c>
      <c r="J7950">
        <v>6</v>
      </c>
      <c r="K7950" t="e">
        <v>#N/A</v>
      </c>
      <c r="L7950">
        <v>0</v>
      </c>
      <c r="M7950">
        <v>0</v>
      </c>
    </row>
    <row r="7951" spans="1:13">
      <c r="A7951" t="s">
        <v>3350</v>
      </c>
      <c r="B7951" t="s">
        <v>1087</v>
      </c>
      <c r="C7951" s="34" t="s">
        <v>913</v>
      </c>
      <c r="F7951" t="s">
        <v>913</v>
      </c>
      <c r="H7951">
        <v>5</v>
      </c>
      <c r="I7951">
        <f>VLOOKUP(B7951,BRAND!B:D,3,FALSE)</f>
        <v>5.5</v>
      </c>
      <c r="J7951">
        <v>5</v>
      </c>
      <c r="K7951" t="e">
        <v>#N/A</v>
      </c>
      <c r="L7951">
        <v>0</v>
      </c>
      <c r="M7951">
        <v>0</v>
      </c>
    </row>
    <row r="7952" spans="1:13">
      <c r="A7952" t="s">
        <v>4151</v>
      </c>
      <c r="B7952" t="s">
        <v>183</v>
      </c>
      <c r="C7952" s="34" t="s">
        <v>913</v>
      </c>
      <c r="F7952" t="s">
        <v>913</v>
      </c>
      <c r="H7952">
        <v>5</v>
      </c>
      <c r="I7952">
        <f>VLOOKUP(B7952,BRAND!B:D,3,FALSE)</f>
        <v>3</v>
      </c>
      <c r="J7952">
        <v>5</v>
      </c>
      <c r="K7952" t="s">
        <v>821</v>
      </c>
      <c r="M7952">
        <v>1</v>
      </c>
    </row>
    <row r="7953" spans="1:13">
      <c r="A7953" t="s">
        <v>2629</v>
      </c>
      <c r="B7953" t="s">
        <v>183</v>
      </c>
      <c r="C7953" s="34" t="s">
        <v>1438</v>
      </c>
      <c r="F7953" t="s">
        <v>1438</v>
      </c>
      <c r="H7953">
        <v>15</v>
      </c>
      <c r="I7953">
        <f>VLOOKUP(B7953,BRAND!B:D,3,FALSE)</f>
        <v>3</v>
      </c>
      <c r="J7953">
        <v>4</v>
      </c>
      <c r="K7953" t="s">
        <v>821</v>
      </c>
      <c r="L7953">
        <v>0</v>
      </c>
      <c r="M7953">
        <v>0</v>
      </c>
    </row>
    <row r="7954" spans="1:13">
      <c r="A7954" t="s">
        <v>3373</v>
      </c>
      <c r="B7954" t="s">
        <v>588</v>
      </c>
      <c r="C7954" s="34" t="s">
        <v>840</v>
      </c>
      <c r="F7954" t="s">
        <v>840</v>
      </c>
      <c r="H7954">
        <v>5</v>
      </c>
      <c r="I7954">
        <f>VLOOKUP(B7954,BRAND!B:D,3,FALSE)</f>
        <v>3</v>
      </c>
      <c r="J7954">
        <v>9</v>
      </c>
      <c r="K7954" t="s">
        <v>821</v>
      </c>
      <c r="L7954">
        <v>0</v>
      </c>
      <c r="M7954">
        <v>0</v>
      </c>
    </row>
    <row r="7955" spans="1:13">
      <c r="A7955" t="s">
        <v>9379</v>
      </c>
      <c r="B7955" t="s">
        <v>588</v>
      </c>
      <c r="C7955" s="34" t="s">
        <v>840</v>
      </c>
      <c r="F7955" t="s">
        <v>840</v>
      </c>
      <c r="G7955" t="s">
        <v>6932</v>
      </c>
      <c r="H7955">
        <v>5</v>
      </c>
      <c r="I7955">
        <f>VLOOKUP(B7955,BRAND!B:D,3,FALSE)</f>
        <v>3</v>
      </c>
      <c r="J7955">
        <v>9</v>
      </c>
      <c r="M7955">
        <v>1</v>
      </c>
    </row>
    <row r="7956" spans="1:13">
      <c r="A7956" t="s">
        <v>3045</v>
      </c>
      <c r="B7956" t="s">
        <v>588</v>
      </c>
      <c r="C7956" s="34" t="s">
        <v>772</v>
      </c>
      <c r="F7956" t="s">
        <v>772</v>
      </c>
      <c r="H7956">
        <v>5</v>
      </c>
      <c r="I7956">
        <f>VLOOKUP(B7956,BRAND!B:D,3,FALSE)</f>
        <v>3</v>
      </c>
      <c r="J7956">
        <v>6</v>
      </c>
      <c r="K7956" t="s">
        <v>821</v>
      </c>
      <c r="L7956">
        <v>0</v>
      </c>
      <c r="M7956">
        <v>0</v>
      </c>
    </row>
    <row r="7957" spans="1:13">
      <c r="A7957" t="s">
        <v>4539</v>
      </c>
      <c r="B7957" t="s">
        <v>588</v>
      </c>
      <c r="C7957" s="34" t="s">
        <v>852</v>
      </c>
      <c r="F7957" t="s">
        <v>852</v>
      </c>
      <c r="H7957">
        <v>5</v>
      </c>
      <c r="I7957">
        <f>VLOOKUP(B7957,BRAND!B:D,3,FALSE)</f>
        <v>3</v>
      </c>
      <c r="J7957">
        <v>6</v>
      </c>
      <c r="K7957" t="s">
        <v>821</v>
      </c>
      <c r="L7957">
        <v>0</v>
      </c>
      <c r="M7957">
        <v>0</v>
      </c>
    </row>
    <row r="7958" spans="1:13">
      <c r="A7958" t="s">
        <v>3375</v>
      </c>
      <c r="B7958" t="s">
        <v>588</v>
      </c>
      <c r="C7958" s="34" t="s">
        <v>534</v>
      </c>
      <c r="F7958" t="s">
        <v>534</v>
      </c>
      <c r="H7958">
        <v>5</v>
      </c>
      <c r="I7958">
        <f>VLOOKUP(B7958,BRAND!B:D,3,FALSE)</f>
        <v>3</v>
      </c>
      <c r="J7958">
        <v>6</v>
      </c>
      <c r="K7958" t="s">
        <v>821</v>
      </c>
      <c r="M7958">
        <v>1</v>
      </c>
    </row>
    <row r="7959" spans="1:13">
      <c r="A7959" t="s">
        <v>2271</v>
      </c>
      <c r="B7959" t="s">
        <v>588</v>
      </c>
      <c r="C7959" s="34" t="s">
        <v>536</v>
      </c>
      <c r="F7959" t="s">
        <v>536</v>
      </c>
      <c r="H7959">
        <v>5</v>
      </c>
      <c r="I7959">
        <f>VLOOKUP(B7959,BRAND!B:D,3,FALSE)</f>
        <v>3</v>
      </c>
      <c r="J7959">
        <v>5</v>
      </c>
      <c r="K7959" t="s">
        <v>821</v>
      </c>
      <c r="L7959">
        <v>0</v>
      </c>
      <c r="M7959">
        <v>0</v>
      </c>
    </row>
    <row r="7960" spans="1:13">
      <c r="A7960" t="s">
        <v>4763</v>
      </c>
      <c r="B7960" t="s">
        <v>588</v>
      </c>
      <c r="C7960" s="34" t="s">
        <v>842</v>
      </c>
      <c r="F7960" t="s">
        <v>842</v>
      </c>
      <c r="H7960">
        <v>5</v>
      </c>
      <c r="I7960">
        <f>VLOOKUP(B7960,BRAND!B:D,3,FALSE)</f>
        <v>3</v>
      </c>
      <c r="J7960">
        <v>5</v>
      </c>
      <c r="K7960" t="s">
        <v>821</v>
      </c>
      <c r="L7960">
        <v>0</v>
      </c>
      <c r="M7960">
        <v>0</v>
      </c>
    </row>
    <row r="7961" spans="1:13">
      <c r="A7961" t="s">
        <v>9380</v>
      </c>
      <c r="B7961" t="s">
        <v>588</v>
      </c>
      <c r="C7961" s="34" t="s">
        <v>788</v>
      </c>
      <c r="F7961" t="s">
        <v>788</v>
      </c>
      <c r="G7961" t="s">
        <v>6932</v>
      </c>
      <c r="H7961">
        <v>5</v>
      </c>
      <c r="I7961">
        <f>VLOOKUP(B7961,BRAND!B:D,3,FALSE)</f>
        <v>3</v>
      </c>
      <c r="J7961">
        <v>4</v>
      </c>
      <c r="M7961">
        <v>1</v>
      </c>
    </row>
    <row r="7962" spans="1:13">
      <c r="A7962" t="s">
        <v>3610</v>
      </c>
      <c r="B7962" t="s">
        <v>588</v>
      </c>
      <c r="C7962" s="34" t="s">
        <v>988</v>
      </c>
      <c r="F7962" t="s">
        <v>988</v>
      </c>
      <c r="H7962">
        <v>5</v>
      </c>
      <c r="I7962">
        <f>VLOOKUP(B7962,BRAND!B:D,3,FALSE)</f>
        <v>3</v>
      </c>
      <c r="J7962">
        <v>4</v>
      </c>
      <c r="K7962" t="s">
        <v>821</v>
      </c>
      <c r="M7962">
        <v>1</v>
      </c>
    </row>
    <row r="7963" spans="1:13">
      <c r="A7963" t="s">
        <v>3610</v>
      </c>
      <c r="B7963" t="s">
        <v>588</v>
      </c>
      <c r="C7963" s="34" t="s">
        <v>988</v>
      </c>
      <c r="F7963" t="s">
        <v>988</v>
      </c>
      <c r="H7963">
        <v>5</v>
      </c>
      <c r="I7963">
        <f>VLOOKUP(B7963,BRAND!B:D,3,FALSE)</f>
        <v>3</v>
      </c>
      <c r="J7963">
        <v>4</v>
      </c>
      <c r="K7963" t="s">
        <v>821</v>
      </c>
      <c r="M7963">
        <v>1</v>
      </c>
    </row>
    <row r="7964" spans="1:13">
      <c r="A7964" t="s">
        <v>2200</v>
      </c>
      <c r="B7964" t="s">
        <v>588</v>
      </c>
      <c r="C7964" s="34" t="s">
        <v>1438</v>
      </c>
      <c r="F7964" t="s">
        <v>1438</v>
      </c>
      <c r="H7964">
        <v>15</v>
      </c>
      <c r="I7964">
        <f>VLOOKUP(B7964,BRAND!B:D,3,FALSE)</f>
        <v>3</v>
      </c>
      <c r="J7964">
        <v>4</v>
      </c>
      <c r="K7964" t="s">
        <v>821</v>
      </c>
      <c r="L7964">
        <v>0</v>
      </c>
      <c r="M7964">
        <v>0</v>
      </c>
    </row>
    <row r="7965" spans="1:13">
      <c r="A7965" t="s">
        <v>11484</v>
      </c>
      <c r="B7965" t="s">
        <v>10908</v>
      </c>
      <c r="C7965" s="34" t="s">
        <v>1438</v>
      </c>
      <c r="F7965" t="s">
        <v>1438</v>
      </c>
      <c r="G7965" t="s">
        <v>6932</v>
      </c>
      <c r="H7965">
        <v>5</v>
      </c>
    </row>
    <row r="7966" spans="1:13">
      <c r="A7966" t="s">
        <v>4813</v>
      </c>
      <c r="B7966" t="s">
        <v>1363</v>
      </c>
      <c r="C7966" s="34" t="s">
        <v>776</v>
      </c>
      <c r="F7966" t="s">
        <v>776</v>
      </c>
      <c r="H7966">
        <v>5</v>
      </c>
      <c r="I7966">
        <f>VLOOKUP(B7966,BRAND!B:D,3,FALSE)</f>
        <v>5.5</v>
      </c>
      <c r="J7966">
        <v>5</v>
      </c>
      <c r="K7966" t="e">
        <v>#N/A</v>
      </c>
      <c r="L7966">
        <v>0</v>
      </c>
      <c r="M7966">
        <v>0</v>
      </c>
    </row>
    <row r="7967" spans="1:13">
      <c r="A7967" t="s">
        <v>4085</v>
      </c>
      <c r="B7967" t="s">
        <v>290</v>
      </c>
      <c r="C7967" s="34" t="s">
        <v>1472</v>
      </c>
      <c r="F7967" t="s">
        <v>1472</v>
      </c>
      <c r="H7967">
        <v>5</v>
      </c>
      <c r="I7967">
        <f>VLOOKUP(B7967,BRAND!B:D,3,FALSE)</f>
        <v>3</v>
      </c>
      <c r="J7967">
        <f>LEN(F7967)</f>
        <v>11</v>
      </c>
      <c r="K7967" t="s">
        <v>821</v>
      </c>
      <c r="L7967">
        <v>0</v>
      </c>
      <c r="M7967">
        <v>0</v>
      </c>
    </row>
    <row r="7968" spans="1:13">
      <c r="A7968" t="s">
        <v>7135</v>
      </c>
      <c r="B7968" t="s">
        <v>290</v>
      </c>
      <c r="C7968" s="34" t="s">
        <v>7134</v>
      </c>
      <c r="F7968" t="s">
        <v>1969</v>
      </c>
      <c r="H7968">
        <v>5</v>
      </c>
      <c r="I7968">
        <f>VLOOKUP(B7968,BRAND!B:D,3,FALSE)</f>
        <v>3</v>
      </c>
      <c r="J7968">
        <f>LEN(F7968)</f>
        <v>10</v>
      </c>
      <c r="K7968" t="s">
        <v>821</v>
      </c>
      <c r="L7968">
        <v>0</v>
      </c>
      <c r="M7968">
        <v>0</v>
      </c>
    </row>
    <row r="7969" spans="1:13">
      <c r="A7969" t="s">
        <v>4453</v>
      </c>
      <c r="B7969" t="s">
        <v>290</v>
      </c>
      <c r="C7969" s="34" t="s">
        <v>746</v>
      </c>
      <c r="F7969" t="s">
        <v>746</v>
      </c>
      <c r="H7969">
        <v>5</v>
      </c>
      <c r="I7969">
        <f>VLOOKUP(B7969,BRAND!B:D,3,FALSE)</f>
        <v>3</v>
      </c>
      <c r="J7969">
        <v>6</v>
      </c>
      <c r="K7969" t="s">
        <v>821</v>
      </c>
      <c r="L7969">
        <v>0</v>
      </c>
      <c r="M7969">
        <v>0</v>
      </c>
    </row>
    <row r="7970" spans="1:13">
      <c r="A7970" t="s">
        <v>3369</v>
      </c>
      <c r="B7970" t="s">
        <v>290</v>
      </c>
      <c r="C7970" s="34" t="s">
        <v>781</v>
      </c>
      <c r="F7970" t="s">
        <v>781</v>
      </c>
      <c r="H7970">
        <v>5</v>
      </c>
      <c r="I7970">
        <f>VLOOKUP(B7970,BRAND!B:D,3,FALSE)</f>
        <v>3</v>
      </c>
      <c r="J7970">
        <v>4</v>
      </c>
      <c r="K7970" t="s">
        <v>821</v>
      </c>
      <c r="L7970">
        <v>0</v>
      </c>
      <c r="M7970">
        <v>0</v>
      </c>
    </row>
    <row r="7971" spans="1:13">
      <c r="A7971" t="s">
        <v>3807</v>
      </c>
      <c r="B7971" t="s">
        <v>290</v>
      </c>
      <c r="C7971" s="34" t="s">
        <v>897</v>
      </c>
      <c r="F7971" t="s">
        <v>897</v>
      </c>
      <c r="H7971">
        <v>5</v>
      </c>
      <c r="I7971">
        <f>VLOOKUP(B7971,BRAND!B:D,3,FALSE)</f>
        <v>3</v>
      </c>
      <c r="J7971">
        <v>4</v>
      </c>
      <c r="K7971" t="s">
        <v>821</v>
      </c>
      <c r="L7971">
        <v>0</v>
      </c>
      <c r="M7971">
        <v>0</v>
      </c>
    </row>
    <row r="7972" spans="1:13">
      <c r="A7972" t="s">
        <v>4045</v>
      </c>
      <c r="B7972" t="s">
        <v>290</v>
      </c>
      <c r="C7972" s="34" t="s">
        <v>775</v>
      </c>
      <c r="F7972" t="s">
        <v>775</v>
      </c>
      <c r="H7972">
        <v>5</v>
      </c>
      <c r="I7972">
        <f>VLOOKUP(B7972,BRAND!B:D,3,FALSE)</f>
        <v>3</v>
      </c>
      <c r="J7972">
        <v>3</v>
      </c>
      <c r="K7972" t="s">
        <v>821</v>
      </c>
      <c r="L7972">
        <v>0</v>
      </c>
      <c r="M7972">
        <v>0</v>
      </c>
    </row>
    <row r="7973" spans="1:13">
      <c r="A7973" t="s">
        <v>9882</v>
      </c>
      <c r="B7973" t="s">
        <v>290</v>
      </c>
      <c r="C7973" s="34" t="s">
        <v>10014</v>
      </c>
      <c r="G7973" t="s">
        <v>6932</v>
      </c>
      <c r="H7973">
        <v>5</v>
      </c>
      <c r="I7973">
        <f>VLOOKUP(B7973,BRAND!B:D,3,FALSE)</f>
        <v>3</v>
      </c>
      <c r="J7973">
        <f>LEN(F7973)</f>
        <v>0</v>
      </c>
      <c r="L7973">
        <v>0</v>
      </c>
      <c r="M7973">
        <v>0</v>
      </c>
    </row>
    <row r="7974" spans="1:13">
      <c r="A7974" t="s">
        <v>9883</v>
      </c>
      <c r="B7974" t="s">
        <v>290</v>
      </c>
      <c r="C7974" s="34" t="s">
        <v>10015</v>
      </c>
      <c r="G7974" t="s">
        <v>6932</v>
      </c>
      <c r="H7974">
        <v>5</v>
      </c>
      <c r="I7974">
        <f>VLOOKUP(B7974,BRAND!B:D,3,FALSE)</f>
        <v>3</v>
      </c>
      <c r="J7974">
        <f>LEN(F7974)</f>
        <v>0</v>
      </c>
      <c r="L7974">
        <v>0</v>
      </c>
      <c r="M7974">
        <v>0</v>
      </c>
    </row>
    <row r="7975" spans="1:13">
      <c r="A7975" t="s">
        <v>9884</v>
      </c>
      <c r="B7975" t="s">
        <v>290</v>
      </c>
      <c r="C7975" s="34" t="s">
        <v>7233</v>
      </c>
      <c r="G7975" t="s">
        <v>6932</v>
      </c>
      <c r="H7975">
        <v>5</v>
      </c>
      <c r="I7975">
        <f>VLOOKUP(B7975,BRAND!B:D,3,FALSE)</f>
        <v>3</v>
      </c>
      <c r="J7975">
        <f>LEN(F7975)</f>
        <v>0</v>
      </c>
      <c r="L7975">
        <v>0</v>
      </c>
      <c r="M7975">
        <v>0</v>
      </c>
    </row>
    <row r="7976" spans="1:13">
      <c r="A7976" t="s">
        <v>9882</v>
      </c>
      <c r="B7976" t="s">
        <v>290</v>
      </c>
      <c r="C7976" s="34" t="s">
        <v>10014</v>
      </c>
      <c r="G7976" t="s">
        <v>6932</v>
      </c>
      <c r="H7976">
        <v>5</v>
      </c>
      <c r="I7976">
        <f>VLOOKUP(B7976,BRAND!B:D,3,FALSE)</f>
        <v>3</v>
      </c>
      <c r="J7976">
        <v>0</v>
      </c>
      <c r="M7976">
        <v>1</v>
      </c>
    </row>
    <row r="7977" spans="1:13">
      <c r="A7977" t="s">
        <v>9884</v>
      </c>
      <c r="B7977" t="s">
        <v>290</v>
      </c>
      <c r="C7977" s="34" t="s">
        <v>7233</v>
      </c>
      <c r="G7977" t="s">
        <v>6932</v>
      </c>
      <c r="H7977">
        <v>5</v>
      </c>
      <c r="I7977">
        <f>VLOOKUP(B7977,BRAND!B:D,3,FALSE)</f>
        <v>3</v>
      </c>
      <c r="J7977">
        <v>0</v>
      </c>
      <c r="M7977">
        <v>1</v>
      </c>
    </row>
    <row r="7978" spans="1:13">
      <c r="A7978" t="s">
        <v>9883</v>
      </c>
      <c r="B7978" t="s">
        <v>290</v>
      </c>
      <c r="C7978" s="34" t="s">
        <v>10015</v>
      </c>
      <c r="G7978" t="s">
        <v>6932</v>
      </c>
      <c r="H7978">
        <v>5</v>
      </c>
      <c r="I7978">
        <f>VLOOKUP(B7978,BRAND!B:D,3,FALSE)</f>
        <v>3</v>
      </c>
      <c r="J7978">
        <v>0</v>
      </c>
      <c r="M7978">
        <v>1</v>
      </c>
    </row>
    <row r="7979" spans="1:13">
      <c r="A7979" t="s">
        <v>7232</v>
      </c>
      <c r="B7979" t="s">
        <v>290</v>
      </c>
      <c r="C7979" s="34" t="s">
        <v>7233</v>
      </c>
      <c r="F7979" t="s">
        <v>7233</v>
      </c>
      <c r="G7979" t="s">
        <v>801</v>
      </c>
      <c r="H7979">
        <v>5</v>
      </c>
      <c r="I7979">
        <f>VLOOKUP(B7979,BRAND!B:D,3,FALSE)</f>
        <v>3</v>
      </c>
      <c r="M7979">
        <v>1</v>
      </c>
    </row>
    <row r="7980" spans="1:13">
      <c r="A7980" t="s">
        <v>6506</v>
      </c>
      <c r="B7980" t="s">
        <v>290</v>
      </c>
      <c r="C7980" s="34" t="s">
        <v>764</v>
      </c>
      <c r="F7980" t="s">
        <v>764</v>
      </c>
      <c r="G7980" t="s">
        <v>801</v>
      </c>
      <c r="H7980">
        <v>6</v>
      </c>
      <c r="I7980">
        <f>VLOOKUP(B7980,BRAND!B:D,3,FALSE)</f>
        <v>3</v>
      </c>
      <c r="J7980">
        <v>5</v>
      </c>
      <c r="K7980" t="s">
        <v>821</v>
      </c>
      <c r="L7980">
        <v>0</v>
      </c>
      <c r="M7980">
        <v>0</v>
      </c>
    </row>
    <row r="7981" spans="1:13">
      <c r="A7981" t="s">
        <v>4054</v>
      </c>
      <c r="B7981" t="s">
        <v>290</v>
      </c>
      <c r="C7981" s="34" t="s">
        <v>764</v>
      </c>
      <c r="F7981" t="s">
        <v>764</v>
      </c>
      <c r="H7981">
        <v>15</v>
      </c>
      <c r="I7981">
        <f>VLOOKUP(B7981,BRAND!B:D,3,FALSE)</f>
        <v>3</v>
      </c>
      <c r="J7981">
        <v>5</v>
      </c>
      <c r="K7981" t="s">
        <v>821</v>
      </c>
      <c r="L7981">
        <v>0</v>
      </c>
      <c r="M7981">
        <v>0</v>
      </c>
    </row>
    <row r="7982" spans="1:13">
      <c r="A7982" t="s">
        <v>4294</v>
      </c>
      <c r="B7982" t="s">
        <v>1904</v>
      </c>
      <c r="C7982" s="34" t="s">
        <v>534</v>
      </c>
      <c r="F7982" t="s">
        <v>534</v>
      </c>
      <c r="H7982">
        <v>5</v>
      </c>
      <c r="I7982">
        <f>VLOOKUP(B7982,BRAND!B:D,3,FALSE)</f>
        <v>5</v>
      </c>
      <c r="J7982">
        <v>6</v>
      </c>
      <c r="K7982" t="s">
        <v>821</v>
      </c>
      <c r="L7982">
        <v>0</v>
      </c>
      <c r="M7982">
        <v>0</v>
      </c>
    </row>
    <row r="7983" spans="1:13">
      <c r="A7983" t="s">
        <v>3898</v>
      </c>
      <c r="B7983" t="s">
        <v>184</v>
      </c>
      <c r="C7983" s="34" t="s">
        <v>798</v>
      </c>
      <c r="F7983" t="s">
        <v>798</v>
      </c>
      <c r="H7983">
        <v>5</v>
      </c>
      <c r="I7983">
        <f>VLOOKUP(B7983,BRAND!B:D,3,FALSE)</f>
        <v>3</v>
      </c>
      <c r="J7983">
        <v>9</v>
      </c>
      <c r="K7983" t="s">
        <v>821</v>
      </c>
      <c r="L7983">
        <v>0</v>
      </c>
      <c r="M7983">
        <v>0</v>
      </c>
    </row>
    <row r="7984" spans="1:13">
      <c r="A7984" t="s">
        <v>4881</v>
      </c>
      <c r="B7984" t="s">
        <v>184</v>
      </c>
      <c r="C7984" s="34" t="s">
        <v>995</v>
      </c>
      <c r="F7984" t="s">
        <v>995</v>
      </c>
      <c r="H7984">
        <v>5</v>
      </c>
      <c r="I7984">
        <f>VLOOKUP(B7984,BRAND!B:D,3,FALSE)</f>
        <v>3</v>
      </c>
      <c r="J7984">
        <v>6</v>
      </c>
      <c r="K7984" t="s">
        <v>821</v>
      </c>
      <c r="L7984">
        <v>0</v>
      </c>
      <c r="M7984">
        <v>0</v>
      </c>
    </row>
    <row r="7985" spans="1:13">
      <c r="A7985" t="s">
        <v>7338</v>
      </c>
      <c r="B7985" t="s">
        <v>184</v>
      </c>
      <c r="C7985" s="34" t="s">
        <v>745</v>
      </c>
      <c r="F7985" t="s">
        <v>745</v>
      </c>
      <c r="G7985" t="s">
        <v>6932</v>
      </c>
      <c r="H7985">
        <v>5</v>
      </c>
      <c r="I7985">
        <f>VLOOKUP(B7985,BRAND!B:D,3,FALSE)</f>
        <v>3</v>
      </c>
      <c r="J7985">
        <v>5</v>
      </c>
      <c r="L7985">
        <v>1</v>
      </c>
      <c r="M7985">
        <v>1</v>
      </c>
    </row>
    <row r="7986" spans="1:13">
      <c r="A7986" t="s">
        <v>2808</v>
      </c>
      <c r="B7986" t="s">
        <v>184</v>
      </c>
      <c r="C7986" s="34" t="s">
        <v>1438</v>
      </c>
      <c r="F7986" t="s">
        <v>1438</v>
      </c>
      <c r="H7986">
        <v>15</v>
      </c>
      <c r="I7986">
        <f>VLOOKUP(B7986,BRAND!B:D,3,FALSE)</f>
        <v>3</v>
      </c>
      <c r="J7986">
        <v>4</v>
      </c>
      <c r="K7986" t="s">
        <v>821</v>
      </c>
      <c r="L7986">
        <v>0</v>
      </c>
      <c r="M7986">
        <v>0</v>
      </c>
    </row>
    <row r="7987" spans="1:13">
      <c r="A7987" t="s">
        <v>15471</v>
      </c>
      <c r="B7987" t="s">
        <v>15472</v>
      </c>
      <c r="C7987" s="34" t="s">
        <v>536</v>
      </c>
      <c r="F7987" t="s">
        <v>536</v>
      </c>
      <c r="G7987" t="s">
        <v>6932</v>
      </c>
      <c r="H7987">
        <v>5</v>
      </c>
      <c r="I7987">
        <f>VLOOKUP(B7987,BRAND!B:D,3,FALSE)</f>
        <v>5</v>
      </c>
      <c r="J7987">
        <v>0</v>
      </c>
      <c r="K7987" t="s">
        <v>821</v>
      </c>
      <c r="L7987">
        <v>0</v>
      </c>
      <c r="M7987">
        <v>0</v>
      </c>
    </row>
    <row r="7988" spans="1:13">
      <c r="A7988" t="s">
        <v>15473</v>
      </c>
      <c r="B7988" t="s">
        <v>15472</v>
      </c>
      <c r="C7988" s="34" t="s">
        <v>10023</v>
      </c>
      <c r="F7988" t="s">
        <v>10023</v>
      </c>
      <c r="G7988" t="s">
        <v>6932</v>
      </c>
      <c r="H7988">
        <v>5</v>
      </c>
      <c r="I7988">
        <f>VLOOKUP(B7988,BRAND!B:D,3,FALSE)</f>
        <v>5</v>
      </c>
      <c r="J7988">
        <v>0</v>
      </c>
      <c r="K7988" t="s">
        <v>821</v>
      </c>
      <c r="L7988">
        <v>0</v>
      </c>
      <c r="M7988">
        <v>0</v>
      </c>
    </row>
    <row r="7989" spans="1:13">
      <c r="A7989" t="s">
        <v>15474</v>
      </c>
      <c r="B7989" t="s">
        <v>15472</v>
      </c>
      <c r="C7989" s="34" t="s">
        <v>561</v>
      </c>
      <c r="F7989" t="s">
        <v>561</v>
      </c>
      <c r="G7989" t="s">
        <v>6932</v>
      </c>
      <c r="H7989">
        <v>5</v>
      </c>
      <c r="I7989">
        <f>VLOOKUP(B7989,BRAND!B:D,3,FALSE)</f>
        <v>5</v>
      </c>
      <c r="J7989">
        <v>0</v>
      </c>
      <c r="K7989" t="s">
        <v>821</v>
      </c>
      <c r="L7989">
        <v>0</v>
      </c>
      <c r="M7989">
        <v>0</v>
      </c>
    </row>
    <row r="7990" spans="1:13">
      <c r="A7990" t="s">
        <v>15475</v>
      </c>
      <c r="B7990" t="s">
        <v>15472</v>
      </c>
      <c r="C7990" s="34" t="s">
        <v>776</v>
      </c>
      <c r="F7990" t="s">
        <v>776</v>
      </c>
      <c r="G7990" t="s">
        <v>6932</v>
      </c>
      <c r="H7990">
        <v>5</v>
      </c>
      <c r="I7990">
        <f>VLOOKUP(B7990,BRAND!B:D,3,FALSE)</f>
        <v>5</v>
      </c>
      <c r="J7990">
        <v>0</v>
      </c>
      <c r="K7990" t="s">
        <v>821</v>
      </c>
      <c r="L7990">
        <v>0</v>
      </c>
      <c r="M7990">
        <v>0</v>
      </c>
    </row>
    <row r="7991" spans="1:13">
      <c r="A7991" t="s">
        <v>15473</v>
      </c>
      <c r="B7991" t="s">
        <v>15472</v>
      </c>
      <c r="C7991" s="34" t="s">
        <v>10023</v>
      </c>
      <c r="F7991" t="s">
        <v>10023</v>
      </c>
      <c r="G7991" t="s">
        <v>6932</v>
      </c>
      <c r="H7991">
        <v>5</v>
      </c>
      <c r="I7991">
        <f>VLOOKUP(B7991,BRAND!B:D,3,FALSE)</f>
        <v>5</v>
      </c>
      <c r="J7991">
        <v>0</v>
      </c>
      <c r="K7991" t="s">
        <v>821</v>
      </c>
      <c r="L7991">
        <v>0</v>
      </c>
      <c r="M7991">
        <v>0</v>
      </c>
    </row>
    <row r="7992" spans="1:13">
      <c r="A7992" t="s">
        <v>15476</v>
      </c>
      <c r="B7992" t="s">
        <v>15472</v>
      </c>
      <c r="C7992" s="34" t="s">
        <v>534</v>
      </c>
      <c r="F7992" t="s">
        <v>534</v>
      </c>
      <c r="G7992" t="s">
        <v>6932</v>
      </c>
      <c r="H7992">
        <v>5</v>
      </c>
      <c r="I7992">
        <f>VLOOKUP(B7992,BRAND!B:D,3,FALSE)</f>
        <v>5</v>
      </c>
      <c r="J7992">
        <v>0</v>
      </c>
      <c r="K7992" t="s">
        <v>821</v>
      </c>
      <c r="L7992">
        <v>0</v>
      </c>
      <c r="M7992">
        <v>0</v>
      </c>
    </row>
    <row r="7993" spans="1:13">
      <c r="A7993" t="s">
        <v>4477</v>
      </c>
      <c r="B7993" t="s">
        <v>1365</v>
      </c>
      <c r="C7993" s="34" t="s">
        <v>776</v>
      </c>
      <c r="F7993" t="s">
        <v>776</v>
      </c>
      <c r="H7993">
        <v>5</v>
      </c>
      <c r="I7993">
        <f>VLOOKUP(B7993,BRAND!B:D,3,FALSE)</f>
        <v>3</v>
      </c>
      <c r="J7993">
        <v>5</v>
      </c>
      <c r="K7993" t="s">
        <v>821</v>
      </c>
      <c r="L7993">
        <v>0</v>
      </c>
      <c r="M7993">
        <v>0</v>
      </c>
    </row>
    <row r="7994" spans="1:13">
      <c r="A7994" t="s">
        <v>4476</v>
      </c>
      <c r="B7994" t="s">
        <v>1365</v>
      </c>
      <c r="C7994" s="34" t="s">
        <v>897</v>
      </c>
      <c r="F7994" t="s">
        <v>897</v>
      </c>
      <c r="H7994">
        <v>5</v>
      </c>
      <c r="I7994">
        <f>VLOOKUP(B7994,BRAND!B:D,3,FALSE)</f>
        <v>3</v>
      </c>
      <c r="J7994">
        <v>4</v>
      </c>
      <c r="K7994" t="s">
        <v>821</v>
      </c>
      <c r="L7994">
        <v>0</v>
      </c>
      <c r="M7994">
        <v>0</v>
      </c>
    </row>
    <row r="7995" spans="1:13">
      <c r="A7995" t="s">
        <v>2778</v>
      </c>
      <c r="B7995" t="s">
        <v>1365</v>
      </c>
      <c r="C7995" s="34" t="s">
        <v>1438</v>
      </c>
      <c r="F7995" t="s">
        <v>1438</v>
      </c>
      <c r="H7995">
        <v>15</v>
      </c>
      <c r="I7995">
        <f>VLOOKUP(B7995,BRAND!B:D,3,FALSE)</f>
        <v>3</v>
      </c>
      <c r="J7995">
        <v>4</v>
      </c>
      <c r="K7995" t="s">
        <v>821</v>
      </c>
      <c r="L7995">
        <v>0</v>
      </c>
      <c r="M7995">
        <v>0</v>
      </c>
    </row>
    <row r="7996" spans="1:13">
      <c r="A7996" t="s">
        <v>4649</v>
      </c>
      <c r="B7996" t="s">
        <v>1366</v>
      </c>
      <c r="C7996" s="34" t="s">
        <v>2000</v>
      </c>
      <c r="F7996" t="s">
        <v>2000</v>
      </c>
      <c r="H7996">
        <v>5</v>
      </c>
      <c r="I7996">
        <f>VLOOKUP(B7996,BRAND!B:D,3,FALSE)</f>
        <v>3</v>
      </c>
      <c r="J7996">
        <v>5</v>
      </c>
      <c r="K7996" t="s">
        <v>821</v>
      </c>
      <c r="L7996">
        <v>1</v>
      </c>
      <c r="M7996">
        <v>1</v>
      </c>
    </row>
    <row r="7997" spans="1:13">
      <c r="A7997" t="s">
        <v>3058</v>
      </c>
      <c r="B7997" t="s">
        <v>1366</v>
      </c>
      <c r="C7997" s="34" t="s">
        <v>1438</v>
      </c>
      <c r="F7997" t="s">
        <v>1438</v>
      </c>
      <c r="H7997">
        <v>15</v>
      </c>
      <c r="I7997">
        <f>VLOOKUP(B7997,BRAND!B:D,3,FALSE)</f>
        <v>3</v>
      </c>
      <c r="J7997">
        <v>4</v>
      </c>
      <c r="K7997" t="s">
        <v>821</v>
      </c>
      <c r="L7997">
        <v>0</v>
      </c>
      <c r="M7997">
        <v>0</v>
      </c>
    </row>
    <row r="7998" spans="1:13">
      <c r="A7998" t="s">
        <v>2289</v>
      </c>
      <c r="B7998" t="s">
        <v>955</v>
      </c>
      <c r="C7998" s="34" t="s">
        <v>1438</v>
      </c>
      <c r="F7998" t="s">
        <v>1438</v>
      </c>
      <c r="H7998">
        <v>15</v>
      </c>
      <c r="I7998">
        <f>VLOOKUP(B7998,BRAND!B:D,3,FALSE)</f>
        <v>3</v>
      </c>
      <c r="J7998">
        <v>4</v>
      </c>
      <c r="K7998" t="s">
        <v>821</v>
      </c>
      <c r="L7998">
        <v>0</v>
      </c>
      <c r="M7998">
        <v>0</v>
      </c>
    </row>
    <row r="7999" spans="1:13">
      <c r="A7999" t="s">
        <v>3487</v>
      </c>
      <c r="B7999" t="s">
        <v>616</v>
      </c>
      <c r="C7999" s="34" t="s">
        <v>777</v>
      </c>
      <c r="F7999" t="s">
        <v>777</v>
      </c>
      <c r="H7999">
        <v>5</v>
      </c>
      <c r="I7999">
        <f>VLOOKUP(B7999,BRAND!B:D,3,FALSE)</f>
        <v>3</v>
      </c>
      <c r="J7999">
        <v>7</v>
      </c>
      <c r="K7999" t="s">
        <v>821</v>
      </c>
      <c r="M7999">
        <v>1</v>
      </c>
    </row>
    <row r="8000" spans="1:13">
      <c r="A8000" t="s">
        <v>5359</v>
      </c>
      <c r="B8000" t="s">
        <v>616</v>
      </c>
      <c r="C8000" s="34" t="s">
        <v>766</v>
      </c>
      <c r="F8000" t="s">
        <v>766</v>
      </c>
      <c r="H8000">
        <v>5</v>
      </c>
      <c r="I8000">
        <f>VLOOKUP(B8000,BRAND!B:D,3,FALSE)</f>
        <v>3</v>
      </c>
      <c r="J8000">
        <v>6</v>
      </c>
      <c r="K8000" t="s">
        <v>821</v>
      </c>
      <c r="M8000">
        <v>1</v>
      </c>
    </row>
    <row r="8001" spans="1:13">
      <c r="A8001" t="s">
        <v>3486</v>
      </c>
      <c r="B8001" t="s">
        <v>616</v>
      </c>
      <c r="C8001" s="34" t="s">
        <v>776</v>
      </c>
      <c r="F8001" t="s">
        <v>776</v>
      </c>
      <c r="H8001">
        <v>5</v>
      </c>
      <c r="I8001">
        <f>VLOOKUP(B8001,BRAND!B:D,3,FALSE)</f>
        <v>3</v>
      </c>
      <c r="J8001">
        <v>5</v>
      </c>
      <c r="K8001" t="s">
        <v>821</v>
      </c>
      <c r="M8001">
        <v>1</v>
      </c>
    </row>
    <row r="8002" spans="1:13">
      <c r="A8002" t="s">
        <v>3457</v>
      </c>
      <c r="B8002" t="s">
        <v>616</v>
      </c>
      <c r="C8002" s="34" t="s">
        <v>775</v>
      </c>
      <c r="F8002" t="s">
        <v>775</v>
      </c>
      <c r="H8002">
        <v>5</v>
      </c>
      <c r="I8002">
        <f>VLOOKUP(B8002,BRAND!B:D,3,FALSE)</f>
        <v>3</v>
      </c>
      <c r="J8002">
        <v>3</v>
      </c>
      <c r="K8002" t="s">
        <v>821</v>
      </c>
      <c r="M8002">
        <v>1</v>
      </c>
    </row>
    <row r="8003" spans="1:13">
      <c r="A8003" t="s">
        <v>4010</v>
      </c>
      <c r="B8003" t="s">
        <v>616</v>
      </c>
      <c r="C8003" s="34" t="s">
        <v>561</v>
      </c>
      <c r="F8003" t="s">
        <v>561</v>
      </c>
      <c r="H8003">
        <v>5</v>
      </c>
      <c r="I8003">
        <f>VLOOKUP(B8003,BRAND!B:D,3,FALSE)</f>
        <v>3</v>
      </c>
      <c r="J8003">
        <v>3</v>
      </c>
      <c r="K8003" t="s">
        <v>821</v>
      </c>
      <c r="M8003">
        <v>1</v>
      </c>
    </row>
    <row r="8004" spans="1:13">
      <c r="A8004" t="s">
        <v>9885</v>
      </c>
      <c r="B8004" t="s">
        <v>616</v>
      </c>
      <c r="C8004" s="34" t="s">
        <v>535</v>
      </c>
      <c r="G8004" t="s">
        <v>6932</v>
      </c>
      <c r="H8004">
        <v>5</v>
      </c>
      <c r="I8004">
        <f>VLOOKUP(B8004,BRAND!B:D,3,FALSE)</f>
        <v>3</v>
      </c>
      <c r="J8004">
        <f>LEN(F8004)</f>
        <v>0</v>
      </c>
      <c r="L8004">
        <v>0</v>
      </c>
      <c r="M8004">
        <v>0</v>
      </c>
    </row>
    <row r="8005" spans="1:13">
      <c r="A8005" t="s">
        <v>9885</v>
      </c>
      <c r="B8005" t="s">
        <v>616</v>
      </c>
      <c r="C8005" s="34" t="s">
        <v>535</v>
      </c>
      <c r="G8005" t="s">
        <v>6932</v>
      </c>
      <c r="H8005">
        <v>5</v>
      </c>
      <c r="I8005">
        <f>VLOOKUP(B8005,BRAND!B:D,3,FALSE)</f>
        <v>3</v>
      </c>
      <c r="J8005">
        <v>0</v>
      </c>
      <c r="M8005">
        <v>1</v>
      </c>
    </row>
    <row r="8006" spans="1:13">
      <c r="A8006" t="s">
        <v>5361</v>
      </c>
      <c r="B8006" t="s">
        <v>616</v>
      </c>
      <c r="C8006" s="34" t="s">
        <v>5431</v>
      </c>
      <c r="F8006" t="s">
        <v>1438</v>
      </c>
      <c r="G8006" t="s">
        <v>801</v>
      </c>
      <c r="H8006">
        <v>6</v>
      </c>
      <c r="I8006">
        <f>VLOOKUP(B8006,BRAND!B:D,3,FALSE)</f>
        <v>3</v>
      </c>
      <c r="J8006">
        <v>4</v>
      </c>
      <c r="K8006" t="s">
        <v>821</v>
      </c>
      <c r="M8006">
        <v>1</v>
      </c>
    </row>
    <row r="8007" spans="1:13">
      <c r="A8007" t="s">
        <v>4999</v>
      </c>
      <c r="B8007" t="s">
        <v>616</v>
      </c>
      <c r="C8007" s="34" t="s">
        <v>775</v>
      </c>
      <c r="F8007" t="s">
        <v>775</v>
      </c>
      <c r="G8007" t="s">
        <v>801</v>
      </c>
      <c r="H8007">
        <v>6</v>
      </c>
      <c r="I8007">
        <f>VLOOKUP(B8007,BRAND!B:D,3,FALSE)</f>
        <v>3</v>
      </c>
      <c r="J8007">
        <v>3</v>
      </c>
      <c r="K8007" t="s">
        <v>821</v>
      </c>
      <c r="L8007">
        <v>0</v>
      </c>
      <c r="M8007">
        <v>0</v>
      </c>
    </row>
    <row r="8008" spans="1:13">
      <c r="A8008" t="s">
        <v>5360</v>
      </c>
      <c r="B8008" t="s">
        <v>616</v>
      </c>
      <c r="C8008" s="34" t="s">
        <v>5431</v>
      </c>
      <c r="F8008" t="s">
        <v>1438</v>
      </c>
      <c r="H8008">
        <v>15</v>
      </c>
      <c r="I8008">
        <f>VLOOKUP(B8008,BRAND!B:D,3,FALSE)</f>
        <v>3</v>
      </c>
      <c r="J8008">
        <v>4</v>
      </c>
      <c r="K8008" t="s">
        <v>821</v>
      </c>
      <c r="M8008">
        <v>1</v>
      </c>
    </row>
    <row r="8009" spans="1:13">
      <c r="A8009" t="s">
        <v>3870</v>
      </c>
      <c r="B8009" t="s">
        <v>1805</v>
      </c>
      <c r="C8009" s="34" t="s">
        <v>776</v>
      </c>
      <c r="F8009" t="s">
        <v>776</v>
      </c>
      <c r="H8009">
        <v>5</v>
      </c>
      <c r="I8009">
        <f>VLOOKUP(B8009,BRAND!B:D,3,FALSE)</f>
        <v>3</v>
      </c>
      <c r="J8009">
        <v>5</v>
      </c>
      <c r="K8009" t="s">
        <v>821</v>
      </c>
      <c r="L8009">
        <v>0</v>
      </c>
      <c r="M8009">
        <v>0</v>
      </c>
    </row>
    <row r="8010" spans="1:13">
      <c r="A8010" t="s">
        <v>2934</v>
      </c>
      <c r="B8010" t="s">
        <v>1805</v>
      </c>
      <c r="C8010" s="34" t="s">
        <v>1438</v>
      </c>
      <c r="F8010" t="s">
        <v>1438</v>
      </c>
      <c r="H8010">
        <v>15</v>
      </c>
      <c r="I8010">
        <f>VLOOKUP(B8010,BRAND!B:D,3,FALSE)</f>
        <v>3</v>
      </c>
      <c r="J8010">
        <v>4</v>
      </c>
      <c r="K8010" t="s">
        <v>821</v>
      </c>
      <c r="L8010">
        <v>0</v>
      </c>
      <c r="M8010">
        <v>0</v>
      </c>
    </row>
    <row r="8011" spans="1:13">
      <c r="A8011" t="s">
        <v>4603</v>
      </c>
      <c r="B8011" t="s">
        <v>185</v>
      </c>
      <c r="C8011" s="34" t="s">
        <v>772</v>
      </c>
      <c r="F8011" t="s">
        <v>772</v>
      </c>
      <c r="H8011">
        <v>5</v>
      </c>
      <c r="I8011">
        <f>VLOOKUP(B8011,BRAND!B:D,3,FALSE)</f>
        <v>3</v>
      </c>
      <c r="J8011">
        <v>6</v>
      </c>
      <c r="K8011" t="s">
        <v>821</v>
      </c>
      <c r="L8011">
        <v>0</v>
      </c>
      <c r="M8011">
        <v>0</v>
      </c>
    </row>
    <row r="8012" spans="1:13">
      <c r="A8012" t="s">
        <v>7117</v>
      </c>
      <c r="B8012" t="s">
        <v>185</v>
      </c>
      <c r="C8012" s="34" t="s">
        <v>6643</v>
      </c>
      <c r="F8012" t="s">
        <v>6643</v>
      </c>
      <c r="H8012">
        <v>5</v>
      </c>
      <c r="I8012">
        <f>VLOOKUP(B8012,BRAND!B:D,3,FALSE)</f>
        <v>3</v>
      </c>
      <c r="J8012">
        <v>6</v>
      </c>
      <c r="M8012">
        <v>1</v>
      </c>
    </row>
    <row r="8013" spans="1:13">
      <c r="A8013" t="s">
        <v>7117</v>
      </c>
      <c r="B8013" t="s">
        <v>185</v>
      </c>
      <c r="C8013" s="34" t="s">
        <v>6643</v>
      </c>
      <c r="F8013" t="s">
        <v>6643</v>
      </c>
      <c r="H8013">
        <v>5</v>
      </c>
      <c r="I8013">
        <f>VLOOKUP(B8013,BRAND!B:D,3,FALSE)</f>
        <v>3</v>
      </c>
      <c r="J8013">
        <v>6</v>
      </c>
      <c r="M8013">
        <v>1</v>
      </c>
    </row>
    <row r="8014" spans="1:13">
      <c r="A8014" t="s">
        <v>7119</v>
      </c>
      <c r="B8014" t="s">
        <v>185</v>
      </c>
      <c r="C8014" s="34" t="s">
        <v>6644</v>
      </c>
      <c r="F8014" t="s">
        <v>742</v>
      </c>
      <c r="H8014">
        <v>5</v>
      </c>
      <c r="I8014">
        <f>VLOOKUP(B8014,BRAND!B:D,3,FALSE)</f>
        <v>3</v>
      </c>
      <c r="J8014">
        <v>6</v>
      </c>
      <c r="M8014">
        <v>1</v>
      </c>
    </row>
    <row r="8015" spans="1:13">
      <c r="A8015" t="s">
        <v>7119</v>
      </c>
      <c r="B8015" t="s">
        <v>185</v>
      </c>
      <c r="C8015" s="34" t="s">
        <v>6644</v>
      </c>
      <c r="F8015" t="s">
        <v>742</v>
      </c>
      <c r="H8015">
        <v>5</v>
      </c>
      <c r="I8015">
        <f>VLOOKUP(B8015,BRAND!B:D,3,FALSE)</f>
        <v>3</v>
      </c>
      <c r="J8015">
        <v>6</v>
      </c>
      <c r="M8015">
        <v>1</v>
      </c>
    </row>
    <row r="8016" spans="1:13">
      <c r="A8016" t="s">
        <v>7121</v>
      </c>
      <c r="B8016" t="s">
        <v>185</v>
      </c>
      <c r="C8016" s="34" t="s">
        <v>1207</v>
      </c>
      <c r="F8016" t="s">
        <v>1207</v>
      </c>
      <c r="H8016">
        <v>5</v>
      </c>
      <c r="I8016">
        <f>VLOOKUP(B8016,BRAND!B:D,3,FALSE)</f>
        <v>3</v>
      </c>
      <c r="J8016">
        <v>5</v>
      </c>
      <c r="M8016">
        <v>1</v>
      </c>
    </row>
    <row r="8017" spans="1:13">
      <c r="A8017" t="s">
        <v>7121</v>
      </c>
      <c r="B8017" t="s">
        <v>185</v>
      </c>
      <c r="C8017" s="34" t="s">
        <v>1207</v>
      </c>
      <c r="F8017" t="s">
        <v>1207</v>
      </c>
      <c r="H8017">
        <v>5</v>
      </c>
      <c r="I8017">
        <f>VLOOKUP(B8017,BRAND!B:D,3,FALSE)</f>
        <v>3</v>
      </c>
      <c r="J8017">
        <v>5</v>
      </c>
      <c r="M8017">
        <v>1</v>
      </c>
    </row>
    <row r="8018" spans="1:13">
      <c r="A8018" t="s">
        <v>7115</v>
      </c>
      <c r="B8018" t="s">
        <v>185</v>
      </c>
      <c r="C8018" s="34" t="s">
        <v>913</v>
      </c>
      <c r="F8018" t="s">
        <v>913</v>
      </c>
      <c r="H8018">
        <v>5</v>
      </c>
      <c r="I8018">
        <f>VLOOKUP(B8018,BRAND!B:D,3,FALSE)</f>
        <v>3</v>
      </c>
      <c r="J8018">
        <v>5</v>
      </c>
      <c r="M8018">
        <v>1</v>
      </c>
    </row>
    <row r="8019" spans="1:13">
      <c r="A8019" t="s">
        <v>7115</v>
      </c>
      <c r="B8019" t="s">
        <v>185</v>
      </c>
      <c r="C8019" s="34" t="s">
        <v>913</v>
      </c>
      <c r="F8019" t="s">
        <v>913</v>
      </c>
      <c r="H8019">
        <v>5</v>
      </c>
      <c r="I8019">
        <f>VLOOKUP(B8019,BRAND!B:D,3,FALSE)</f>
        <v>3</v>
      </c>
      <c r="J8019">
        <v>5</v>
      </c>
      <c r="M8019">
        <v>1</v>
      </c>
    </row>
    <row r="8020" spans="1:13">
      <c r="A8020" t="s">
        <v>7115</v>
      </c>
      <c r="B8020" t="s">
        <v>185</v>
      </c>
      <c r="C8020" s="34" t="s">
        <v>913</v>
      </c>
      <c r="F8020" t="s">
        <v>913</v>
      </c>
      <c r="G8020" t="s">
        <v>6932</v>
      </c>
      <c r="H8020">
        <v>5</v>
      </c>
      <c r="I8020">
        <f>VLOOKUP(B8020,BRAND!B:D,3,FALSE)</f>
        <v>3</v>
      </c>
      <c r="J8020">
        <v>5</v>
      </c>
      <c r="M8020">
        <v>1</v>
      </c>
    </row>
    <row r="8021" spans="1:13">
      <c r="A8021" t="s">
        <v>7114</v>
      </c>
      <c r="B8021" t="s">
        <v>185</v>
      </c>
      <c r="C8021" s="34" t="s">
        <v>1438</v>
      </c>
      <c r="F8021" t="s">
        <v>1438</v>
      </c>
      <c r="H8021">
        <v>5</v>
      </c>
      <c r="I8021">
        <f>VLOOKUP(B8021,BRAND!B:D,3,FALSE)</f>
        <v>3</v>
      </c>
      <c r="J8021">
        <v>4</v>
      </c>
      <c r="L8021">
        <v>1</v>
      </c>
      <c r="M8021">
        <v>1</v>
      </c>
    </row>
    <row r="8022" spans="1:13">
      <c r="A8022" t="s">
        <v>7114</v>
      </c>
      <c r="B8022" t="s">
        <v>185</v>
      </c>
      <c r="C8022" s="34" t="s">
        <v>1438</v>
      </c>
      <c r="F8022" t="s">
        <v>1438</v>
      </c>
      <c r="H8022">
        <v>5</v>
      </c>
      <c r="I8022">
        <f>VLOOKUP(B8022,BRAND!B:D,3,FALSE)</f>
        <v>3</v>
      </c>
      <c r="J8022">
        <v>4</v>
      </c>
      <c r="L8022">
        <v>1</v>
      </c>
      <c r="M8022">
        <v>1</v>
      </c>
    </row>
    <row r="8023" spans="1:13">
      <c r="A8023" t="s">
        <v>2535</v>
      </c>
      <c r="B8023" t="s">
        <v>185</v>
      </c>
      <c r="C8023" s="34" t="s">
        <v>778</v>
      </c>
      <c r="F8023" t="s">
        <v>778</v>
      </c>
      <c r="H8023">
        <v>5</v>
      </c>
      <c r="I8023">
        <f>VLOOKUP(B8023,BRAND!B:D,3,FALSE)</f>
        <v>3</v>
      </c>
      <c r="J8023">
        <v>4</v>
      </c>
      <c r="K8023" t="s">
        <v>821</v>
      </c>
      <c r="M8023">
        <v>1</v>
      </c>
    </row>
    <row r="8024" spans="1:13">
      <c r="A8024" t="s">
        <v>9381</v>
      </c>
      <c r="B8024" t="s">
        <v>185</v>
      </c>
      <c r="C8024" s="34" t="s">
        <v>9382</v>
      </c>
      <c r="F8024" t="s">
        <v>9382</v>
      </c>
      <c r="G8024" t="s">
        <v>6932</v>
      </c>
      <c r="H8024">
        <v>5</v>
      </c>
      <c r="I8024">
        <f>VLOOKUP(B8024,BRAND!B:D,3,FALSE)</f>
        <v>3</v>
      </c>
      <c r="J8024">
        <v>4</v>
      </c>
      <c r="M8024">
        <v>1</v>
      </c>
    </row>
    <row r="8025" spans="1:13">
      <c r="A8025" t="s">
        <v>7118</v>
      </c>
      <c r="B8025" t="s">
        <v>185</v>
      </c>
      <c r="C8025" s="34" t="s">
        <v>1438</v>
      </c>
      <c r="F8025" t="s">
        <v>1438</v>
      </c>
      <c r="G8025" t="s">
        <v>801</v>
      </c>
      <c r="H8025">
        <v>5</v>
      </c>
      <c r="I8025">
        <f>VLOOKUP(B8025,BRAND!B:D,3,FALSE)</f>
        <v>3</v>
      </c>
      <c r="J8025">
        <v>4</v>
      </c>
      <c r="M8025">
        <v>1</v>
      </c>
    </row>
    <row r="8026" spans="1:13">
      <c r="A8026" t="s">
        <v>7118</v>
      </c>
      <c r="B8026" t="s">
        <v>185</v>
      </c>
      <c r="C8026" s="34" t="s">
        <v>1438</v>
      </c>
      <c r="F8026" t="s">
        <v>1438</v>
      </c>
      <c r="G8026" t="s">
        <v>801</v>
      </c>
      <c r="H8026">
        <v>5</v>
      </c>
      <c r="I8026">
        <f>VLOOKUP(B8026,BRAND!B:D,3,FALSE)</f>
        <v>3</v>
      </c>
      <c r="J8026">
        <v>4</v>
      </c>
      <c r="M8026">
        <v>1</v>
      </c>
    </row>
    <row r="8027" spans="1:13">
      <c r="A8027" t="s">
        <v>7120</v>
      </c>
      <c r="B8027" t="s">
        <v>185</v>
      </c>
      <c r="C8027" s="34" t="s">
        <v>6645</v>
      </c>
      <c r="F8027" t="s">
        <v>6645</v>
      </c>
      <c r="H8027">
        <v>5</v>
      </c>
      <c r="I8027">
        <f>VLOOKUP(B8027,BRAND!B:D,3,FALSE)</f>
        <v>3</v>
      </c>
      <c r="J8027">
        <v>3</v>
      </c>
      <c r="M8027">
        <v>1</v>
      </c>
    </row>
    <row r="8028" spans="1:13">
      <c r="A8028" t="s">
        <v>7120</v>
      </c>
      <c r="B8028" t="s">
        <v>185</v>
      </c>
      <c r="C8028" s="34" t="s">
        <v>6645</v>
      </c>
      <c r="F8028" t="s">
        <v>6645</v>
      </c>
      <c r="H8028">
        <v>5</v>
      </c>
      <c r="I8028">
        <f>VLOOKUP(B8028,BRAND!B:D,3,FALSE)</f>
        <v>3</v>
      </c>
      <c r="J8028">
        <v>3</v>
      </c>
      <c r="M8028">
        <v>1</v>
      </c>
    </row>
    <row r="8029" spans="1:13">
      <c r="A8029" t="s">
        <v>14941</v>
      </c>
      <c r="B8029" t="s">
        <v>185</v>
      </c>
      <c r="C8029" s="34" t="s">
        <v>14911</v>
      </c>
      <c r="F8029" t="s">
        <v>900</v>
      </c>
      <c r="G8029" t="s">
        <v>6932</v>
      </c>
      <c r="H8029">
        <v>5</v>
      </c>
      <c r="I8029">
        <f>VLOOKUP(B8029,BRAND!B:D,3,FALSE)</f>
        <v>3</v>
      </c>
      <c r="J8029">
        <v>0</v>
      </c>
      <c r="K8029" t="s">
        <v>821</v>
      </c>
      <c r="L8029">
        <v>0</v>
      </c>
      <c r="M8029">
        <v>0</v>
      </c>
    </row>
    <row r="8030" spans="1:13">
      <c r="A8030" t="s">
        <v>7115</v>
      </c>
      <c r="B8030" t="s">
        <v>185</v>
      </c>
      <c r="C8030" s="34" t="s">
        <v>913</v>
      </c>
      <c r="F8030" t="s">
        <v>913</v>
      </c>
      <c r="G8030" t="s">
        <v>6932</v>
      </c>
      <c r="H8030">
        <v>5</v>
      </c>
      <c r="I8030">
        <f>VLOOKUP(B8030,BRAND!B:D,3,FALSE)</f>
        <v>3</v>
      </c>
      <c r="J8030">
        <v>0</v>
      </c>
      <c r="K8030" t="s">
        <v>821</v>
      </c>
      <c r="L8030">
        <v>0</v>
      </c>
      <c r="M8030">
        <v>0</v>
      </c>
    </row>
    <row r="8031" spans="1:13">
      <c r="A8031" t="s">
        <v>7117</v>
      </c>
      <c r="B8031" t="s">
        <v>185</v>
      </c>
      <c r="C8031" s="34" t="s">
        <v>6643</v>
      </c>
      <c r="F8031" t="s">
        <v>6643</v>
      </c>
      <c r="G8031" t="s">
        <v>6932</v>
      </c>
      <c r="H8031">
        <v>5</v>
      </c>
      <c r="I8031">
        <f>VLOOKUP(B8031,BRAND!B:D,3,FALSE)</f>
        <v>3</v>
      </c>
      <c r="J8031">
        <v>0</v>
      </c>
      <c r="K8031" t="s">
        <v>821</v>
      </c>
      <c r="L8031">
        <v>0</v>
      </c>
      <c r="M8031">
        <v>0</v>
      </c>
    </row>
    <row r="8032" spans="1:13">
      <c r="A8032" t="s">
        <v>7118</v>
      </c>
      <c r="B8032" t="s">
        <v>185</v>
      </c>
      <c r="C8032" s="34" t="s">
        <v>1438</v>
      </c>
      <c r="F8032" t="s">
        <v>1438</v>
      </c>
      <c r="G8032" t="s">
        <v>801</v>
      </c>
      <c r="H8032">
        <v>5</v>
      </c>
      <c r="I8032">
        <f>VLOOKUP(B8032,BRAND!B:D,3,FALSE)</f>
        <v>3</v>
      </c>
      <c r="J8032">
        <v>0</v>
      </c>
      <c r="K8032" t="s">
        <v>821</v>
      </c>
      <c r="L8032">
        <v>0</v>
      </c>
      <c r="M8032">
        <v>0</v>
      </c>
    </row>
    <row r="8033" spans="1:13">
      <c r="A8033" t="s">
        <v>7120</v>
      </c>
      <c r="B8033" t="s">
        <v>185</v>
      </c>
      <c r="C8033" s="34" t="s">
        <v>6645</v>
      </c>
      <c r="F8033" t="s">
        <v>6645</v>
      </c>
      <c r="G8033" t="s">
        <v>6932</v>
      </c>
      <c r="H8033">
        <v>5</v>
      </c>
      <c r="I8033">
        <f>VLOOKUP(B8033,BRAND!B:D,3,FALSE)</f>
        <v>3</v>
      </c>
      <c r="J8033">
        <v>0</v>
      </c>
      <c r="K8033" t="s">
        <v>821</v>
      </c>
      <c r="L8033">
        <v>0</v>
      </c>
      <c r="M8033">
        <v>0</v>
      </c>
    </row>
    <row r="8034" spans="1:13">
      <c r="A8034" t="s">
        <v>14942</v>
      </c>
      <c r="B8034" t="s">
        <v>185</v>
      </c>
      <c r="C8034" s="34" t="s">
        <v>14943</v>
      </c>
      <c r="F8034" t="s">
        <v>14943</v>
      </c>
      <c r="G8034" t="s">
        <v>6932</v>
      </c>
      <c r="H8034">
        <v>5</v>
      </c>
      <c r="I8034">
        <f>VLOOKUP(B8034,BRAND!B:D,3,FALSE)</f>
        <v>3</v>
      </c>
      <c r="J8034">
        <v>0</v>
      </c>
      <c r="K8034" t="s">
        <v>821</v>
      </c>
      <c r="L8034">
        <v>0</v>
      </c>
      <c r="M8034">
        <v>0</v>
      </c>
    </row>
    <row r="8035" spans="1:13">
      <c r="A8035" t="s">
        <v>14944</v>
      </c>
      <c r="B8035" t="s">
        <v>185</v>
      </c>
      <c r="C8035" s="34" t="s">
        <v>753</v>
      </c>
      <c r="F8035" t="s">
        <v>753</v>
      </c>
      <c r="G8035" t="s">
        <v>6932</v>
      </c>
      <c r="H8035">
        <v>5</v>
      </c>
      <c r="I8035">
        <f>VLOOKUP(B8035,BRAND!B:D,3,FALSE)</f>
        <v>3</v>
      </c>
      <c r="J8035">
        <v>0</v>
      </c>
      <c r="K8035" t="s">
        <v>821</v>
      </c>
      <c r="L8035">
        <v>0</v>
      </c>
      <c r="M8035">
        <v>0</v>
      </c>
    </row>
    <row r="8036" spans="1:13">
      <c r="A8036" t="s">
        <v>7121</v>
      </c>
      <c r="B8036" t="s">
        <v>185</v>
      </c>
      <c r="C8036" s="34" t="s">
        <v>1207</v>
      </c>
      <c r="F8036" t="s">
        <v>1207</v>
      </c>
      <c r="G8036" t="s">
        <v>6932</v>
      </c>
      <c r="H8036">
        <v>5</v>
      </c>
      <c r="I8036">
        <f>VLOOKUP(B8036,BRAND!B:D,3,FALSE)</f>
        <v>3</v>
      </c>
      <c r="J8036">
        <v>0</v>
      </c>
      <c r="K8036" t="s">
        <v>821</v>
      </c>
      <c r="L8036">
        <v>0</v>
      </c>
      <c r="M8036">
        <v>0</v>
      </c>
    </row>
    <row r="8037" spans="1:13">
      <c r="A8037" t="s">
        <v>9384</v>
      </c>
      <c r="B8037" t="s">
        <v>186</v>
      </c>
      <c r="C8037" s="34" t="s">
        <v>1948</v>
      </c>
      <c r="F8037" t="s">
        <v>1948</v>
      </c>
      <c r="G8037" t="s">
        <v>6932</v>
      </c>
      <c r="H8037">
        <v>5</v>
      </c>
      <c r="I8037">
        <f>VLOOKUP(B8037,BRAND!B:D,3,FALSE)</f>
        <v>5</v>
      </c>
      <c r="J8037">
        <f>LEN(F8037)</f>
        <v>10</v>
      </c>
      <c r="M8037">
        <v>1</v>
      </c>
    </row>
    <row r="8038" spans="1:13">
      <c r="A8038" t="s">
        <v>4263</v>
      </c>
      <c r="B8038" t="s">
        <v>186</v>
      </c>
      <c r="C8038" s="34" t="s">
        <v>777</v>
      </c>
      <c r="F8038" t="s">
        <v>777</v>
      </c>
      <c r="H8038">
        <v>5</v>
      </c>
      <c r="I8038">
        <f>VLOOKUP(B8038,BRAND!B:D,3,FALSE)</f>
        <v>5</v>
      </c>
      <c r="J8038">
        <v>7</v>
      </c>
      <c r="K8038" t="s">
        <v>821</v>
      </c>
      <c r="L8038">
        <v>0</v>
      </c>
      <c r="M8038">
        <v>0</v>
      </c>
    </row>
    <row r="8039" spans="1:13">
      <c r="A8039" t="s">
        <v>2468</v>
      </c>
      <c r="B8039" t="s">
        <v>186</v>
      </c>
      <c r="C8039" s="34" t="s">
        <v>5432</v>
      </c>
      <c r="F8039" t="s">
        <v>777</v>
      </c>
      <c r="H8039">
        <v>5</v>
      </c>
      <c r="I8039">
        <f>VLOOKUP(B8039,BRAND!B:D,3,FALSE)</f>
        <v>5</v>
      </c>
      <c r="J8039">
        <v>7</v>
      </c>
      <c r="K8039" t="s">
        <v>821</v>
      </c>
      <c r="M8039">
        <v>1</v>
      </c>
    </row>
    <row r="8040" spans="1:13">
      <c r="A8040" t="s">
        <v>4723</v>
      </c>
      <c r="B8040" t="s">
        <v>590</v>
      </c>
      <c r="C8040" s="34" t="s">
        <v>995</v>
      </c>
      <c r="F8040" t="s">
        <v>995</v>
      </c>
      <c r="H8040">
        <v>5</v>
      </c>
      <c r="I8040">
        <f>VLOOKUP(B8040,BRAND!B:D,3,FALSE)</f>
        <v>3</v>
      </c>
      <c r="J8040">
        <v>6</v>
      </c>
      <c r="K8040" t="s">
        <v>821</v>
      </c>
      <c r="L8040">
        <v>0</v>
      </c>
      <c r="M8040">
        <v>0</v>
      </c>
    </row>
    <row r="8041" spans="1:13">
      <c r="A8041" t="s">
        <v>2949</v>
      </c>
      <c r="B8041" t="s">
        <v>590</v>
      </c>
      <c r="C8041" s="34" t="s">
        <v>534</v>
      </c>
      <c r="F8041" t="s">
        <v>534</v>
      </c>
      <c r="H8041">
        <v>5</v>
      </c>
      <c r="I8041">
        <f>VLOOKUP(B8041,BRAND!B:D,3,FALSE)</f>
        <v>3</v>
      </c>
      <c r="J8041">
        <v>6</v>
      </c>
      <c r="K8041" t="s">
        <v>821</v>
      </c>
      <c r="L8041">
        <v>0</v>
      </c>
      <c r="M8041">
        <v>0</v>
      </c>
    </row>
    <row r="8042" spans="1:13">
      <c r="A8042" t="s">
        <v>3876</v>
      </c>
      <c r="B8042" t="s">
        <v>590</v>
      </c>
      <c r="C8042" s="34" t="s">
        <v>536</v>
      </c>
      <c r="F8042" t="s">
        <v>536</v>
      </c>
      <c r="H8042">
        <v>5</v>
      </c>
      <c r="I8042">
        <f>VLOOKUP(B8042,BRAND!B:D,3,FALSE)</f>
        <v>3</v>
      </c>
      <c r="J8042">
        <v>5</v>
      </c>
      <c r="K8042" t="s">
        <v>821</v>
      </c>
      <c r="M8042">
        <v>1</v>
      </c>
    </row>
    <row r="8043" spans="1:13">
      <c r="A8043" t="s">
        <v>3118</v>
      </c>
      <c r="B8043" t="s">
        <v>590</v>
      </c>
      <c r="C8043" s="34" t="s">
        <v>842</v>
      </c>
      <c r="F8043" t="s">
        <v>842</v>
      </c>
      <c r="H8043">
        <v>5</v>
      </c>
      <c r="I8043">
        <f>VLOOKUP(B8043,BRAND!B:D,3,FALSE)</f>
        <v>3</v>
      </c>
      <c r="J8043">
        <v>5</v>
      </c>
      <c r="K8043" t="s">
        <v>821</v>
      </c>
      <c r="M8043">
        <v>1</v>
      </c>
    </row>
    <row r="8044" spans="1:13">
      <c r="A8044" t="s">
        <v>9383</v>
      </c>
      <c r="B8044" t="s">
        <v>590</v>
      </c>
      <c r="C8044" s="34" t="s">
        <v>1438</v>
      </c>
      <c r="F8044" t="s">
        <v>1438</v>
      </c>
      <c r="G8044" t="s">
        <v>6932</v>
      </c>
      <c r="H8044">
        <v>5</v>
      </c>
      <c r="I8044">
        <f>VLOOKUP(B8044,BRAND!B:D,3,FALSE)</f>
        <v>3</v>
      </c>
      <c r="J8044">
        <v>4</v>
      </c>
      <c r="L8044">
        <v>0</v>
      </c>
      <c r="M8044">
        <v>0</v>
      </c>
    </row>
    <row r="8045" spans="1:13">
      <c r="A8045" t="s">
        <v>9886</v>
      </c>
      <c r="B8045" t="s">
        <v>590</v>
      </c>
      <c r="C8045" s="34" t="s">
        <v>788</v>
      </c>
      <c r="H8045">
        <v>5</v>
      </c>
      <c r="I8045">
        <f>VLOOKUP(B8045,BRAND!B:D,3,FALSE)</f>
        <v>3</v>
      </c>
      <c r="J8045">
        <f>LEN(F8045)</f>
        <v>0</v>
      </c>
      <c r="L8045">
        <v>0</v>
      </c>
      <c r="M8045">
        <v>0</v>
      </c>
    </row>
    <row r="8046" spans="1:13">
      <c r="A8046" t="s">
        <v>9886</v>
      </c>
      <c r="B8046" t="s">
        <v>590</v>
      </c>
      <c r="C8046" s="34" t="s">
        <v>788</v>
      </c>
      <c r="H8046">
        <v>5</v>
      </c>
      <c r="I8046">
        <f>VLOOKUP(B8046,BRAND!B:D,3,FALSE)</f>
        <v>3</v>
      </c>
      <c r="J8046">
        <v>0</v>
      </c>
      <c r="M8046">
        <v>1</v>
      </c>
    </row>
    <row r="8047" spans="1:13">
      <c r="A8047" t="s">
        <v>2369</v>
      </c>
      <c r="B8047" t="s">
        <v>590</v>
      </c>
      <c r="C8047" s="34" t="s">
        <v>1438</v>
      </c>
      <c r="F8047" t="s">
        <v>1438</v>
      </c>
      <c r="H8047">
        <v>15</v>
      </c>
      <c r="I8047">
        <f>VLOOKUP(B8047,BRAND!B:D,3,FALSE)</f>
        <v>3</v>
      </c>
      <c r="J8047">
        <v>4</v>
      </c>
      <c r="K8047" t="s">
        <v>821</v>
      </c>
      <c r="L8047">
        <v>0</v>
      </c>
      <c r="M8047">
        <v>0</v>
      </c>
    </row>
    <row r="8048" spans="1:13">
      <c r="A8048" t="s">
        <v>2728</v>
      </c>
      <c r="B8048" t="s">
        <v>589</v>
      </c>
      <c r="C8048" s="34" t="s">
        <v>1438</v>
      </c>
      <c r="F8048" t="s">
        <v>1438</v>
      </c>
      <c r="H8048">
        <v>15</v>
      </c>
      <c r="I8048">
        <f>VLOOKUP(B8048,BRAND!B:D,3,FALSE)</f>
        <v>3</v>
      </c>
      <c r="J8048">
        <v>4</v>
      </c>
      <c r="K8048" t="s">
        <v>821</v>
      </c>
      <c r="M8048">
        <v>1</v>
      </c>
    </row>
    <row r="8049" spans="1:13">
      <c r="A8049" t="s">
        <v>3202</v>
      </c>
      <c r="B8049" t="s">
        <v>663</v>
      </c>
      <c r="C8049" s="34" t="s">
        <v>1438</v>
      </c>
      <c r="F8049" t="s">
        <v>1438</v>
      </c>
      <c r="H8049">
        <v>15</v>
      </c>
      <c r="I8049">
        <f>VLOOKUP(B8049,BRAND!B:D,3,FALSE)</f>
        <v>3</v>
      </c>
      <c r="J8049">
        <v>4</v>
      </c>
      <c r="K8049" t="s">
        <v>821</v>
      </c>
      <c r="M8049">
        <v>1</v>
      </c>
    </row>
    <row r="8050" spans="1:13">
      <c r="A8050" t="s">
        <v>3447</v>
      </c>
      <c r="B8050" t="s">
        <v>187</v>
      </c>
      <c r="C8050" s="34" t="s">
        <v>561</v>
      </c>
      <c r="F8050" t="s">
        <v>561</v>
      </c>
      <c r="H8050">
        <v>5</v>
      </c>
      <c r="I8050">
        <f>VLOOKUP(B8050,BRAND!B:D,3,FALSE)</f>
        <v>3</v>
      </c>
      <c r="J8050">
        <v>3</v>
      </c>
      <c r="K8050" t="s">
        <v>821</v>
      </c>
      <c r="L8050">
        <v>0</v>
      </c>
      <c r="M8050">
        <v>0</v>
      </c>
    </row>
    <row r="8051" spans="1:13">
      <c r="A8051" t="s">
        <v>2157</v>
      </c>
      <c r="B8051" t="s">
        <v>187</v>
      </c>
      <c r="C8051" s="34" t="s">
        <v>1438</v>
      </c>
      <c r="F8051" t="s">
        <v>1438</v>
      </c>
      <c r="H8051">
        <v>15</v>
      </c>
      <c r="I8051">
        <f>VLOOKUP(B8051,BRAND!B:D,3,FALSE)</f>
        <v>3</v>
      </c>
      <c r="J8051">
        <v>4</v>
      </c>
      <c r="K8051" t="s">
        <v>821</v>
      </c>
      <c r="M8051">
        <v>1</v>
      </c>
    </row>
    <row r="8052" spans="1:13">
      <c r="A8052" t="s">
        <v>6509</v>
      </c>
      <c r="B8052" t="s">
        <v>493</v>
      </c>
      <c r="C8052" s="34" t="s">
        <v>777</v>
      </c>
      <c r="F8052" t="s">
        <v>777</v>
      </c>
      <c r="H8052">
        <v>5</v>
      </c>
      <c r="I8052">
        <f>VLOOKUP(B8052,BRAND!B:D,3,FALSE)</f>
        <v>5.5</v>
      </c>
      <c r="J8052">
        <v>7</v>
      </c>
      <c r="K8052" t="e">
        <v>#N/A</v>
      </c>
      <c r="L8052">
        <v>0</v>
      </c>
      <c r="M8052">
        <v>0</v>
      </c>
    </row>
    <row r="8053" spans="1:13">
      <c r="A8053" t="s">
        <v>9887</v>
      </c>
      <c r="B8053" t="s">
        <v>493</v>
      </c>
      <c r="C8053" s="34" t="s">
        <v>777</v>
      </c>
      <c r="H8053">
        <v>5</v>
      </c>
      <c r="I8053">
        <f>VLOOKUP(B8053,BRAND!B:D,3,FALSE)</f>
        <v>5.5</v>
      </c>
      <c r="J8053">
        <f>LEN(F8053)</f>
        <v>0</v>
      </c>
      <c r="L8053">
        <v>0</v>
      </c>
      <c r="M8053">
        <v>0</v>
      </c>
    </row>
    <row r="8054" spans="1:13">
      <c r="A8054" t="s">
        <v>9887</v>
      </c>
      <c r="B8054" t="s">
        <v>493</v>
      </c>
      <c r="C8054" s="34" t="s">
        <v>777</v>
      </c>
      <c r="H8054">
        <v>5</v>
      </c>
      <c r="I8054">
        <f>VLOOKUP(B8054,BRAND!B:D,3,FALSE)</f>
        <v>5.5</v>
      </c>
      <c r="J8054">
        <v>0</v>
      </c>
      <c r="M8054">
        <v>1</v>
      </c>
    </row>
    <row r="8055" spans="1:13">
      <c r="A8055" t="s">
        <v>9544</v>
      </c>
      <c r="B8055" t="s">
        <v>7323</v>
      </c>
      <c r="C8055" s="34" t="s">
        <v>5250</v>
      </c>
      <c r="F8055" t="s">
        <v>561</v>
      </c>
      <c r="G8055" t="s">
        <v>801</v>
      </c>
      <c r="H8055">
        <v>5</v>
      </c>
      <c r="I8055">
        <f>VLOOKUP(B8055,BRAND!B:D,3,FALSE)</f>
        <v>5.5</v>
      </c>
      <c r="M8055">
        <v>1</v>
      </c>
    </row>
    <row r="8056" spans="1:13">
      <c r="A8056" t="s">
        <v>9388</v>
      </c>
      <c r="B8056" t="s">
        <v>9386</v>
      </c>
      <c r="C8056" s="34" t="s">
        <v>9389</v>
      </c>
      <c r="F8056" t="s">
        <v>9389</v>
      </c>
      <c r="G8056" t="s">
        <v>6932</v>
      </c>
      <c r="H8056">
        <v>5</v>
      </c>
      <c r="I8056">
        <f>VLOOKUP(B8056,BRAND!B:D,3,FALSE)</f>
        <v>5.5</v>
      </c>
      <c r="J8056">
        <v>5</v>
      </c>
      <c r="M8056">
        <v>1</v>
      </c>
    </row>
    <row r="8057" spans="1:13">
      <c r="A8057" t="s">
        <v>9390</v>
      </c>
      <c r="B8057" t="s">
        <v>9386</v>
      </c>
      <c r="C8057" s="34" t="s">
        <v>9391</v>
      </c>
      <c r="F8057" t="s">
        <v>9391</v>
      </c>
      <c r="G8057" t="s">
        <v>6932</v>
      </c>
      <c r="H8057">
        <v>5</v>
      </c>
      <c r="I8057">
        <f>VLOOKUP(B8057,BRAND!B:D,3,FALSE)</f>
        <v>5.5</v>
      </c>
      <c r="J8057">
        <v>4</v>
      </c>
      <c r="M8057">
        <v>1</v>
      </c>
    </row>
    <row r="8058" spans="1:13">
      <c r="A8058" t="s">
        <v>9392</v>
      </c>
      <c r="B8058" t="s">
        <v>9386</v>
      </c>
      <c r="C8058" s="34" t="s">
        <v>9393</v>
      </c>
      <c r="F8058" t="s">
        <v>9393</v>
      </c>
      <c r="G8058" t="s">
        <v>6932</v>
      </c>
      <c r="H8058">
        <v>5</v>
      </c>
      <c r="I8058">
        <f>VLOOKUP(B8058,BRAND!B:D,3,FALSE)</f>
        <v>5.5</v>
      </c>
      <c r="J8058">
        <v>3</v>
      </c>
      <c r="M8058">
        <v>1</v>
      </c>
    </row>
    <row r="8059" spans="1:13">
      <c r="A8059" t="s">
        <v>9385</v>
      </c>
      <c r="B8059" t="s">
        <v>9386</v>
      </c>
      <c r="C8059" s="34" t="s">
        <v>9387</v>
      </c>
      <c r="F8059" t="s">
        <v>9387</v>
      </c>
      <c r="G8059" t="s">
        <v>6932</v>
      </c>
      <c r="H8059">
        <v>5</v>
      </c>
      <c r="I8059">
        <f>VLOOKUP(B8059,BRAND!B:D,3,FALSE)</f>
        <v>5.5</v>
      </c>
      <c r="J8059">
        <v>2</v>
      </c>
      <c r="M8059">
        <v>1</v>
      </c>
    </row>
    <row r="8060" spans="1:13">
      <c r="A8060" t="s">
        <v>11499</v>
      </c>
      <c r="B8060" t="s">
        <v>513</v>
      </c>
      <c r="C8060" s="34" t="s">
        <v>6652</v>
      </c>
      <c r="F8060" t="s">
        <v>899</v>
      </c>
      <c r="G8060" t="s">
        <v>801</v>
      </c>
      <c r="H8060">
        <v>5</v>
      </c>
    </row>
    <row r="8061" spans="1:13">
      <c r="A8061" t="s">
        <v>11500</v>
      </c>
      <c r="B8061" t="s">
        <v>513</v>
      </c>
      <c r="C8061" s="34" t="s">
        <v>913</v>
      </c>
      <c r="F8061" t="s">
        <v>913</v>
      </c>
      <c r="G8061" t="s">
        <v>6932</v>
      </c>
      <c r="H8061">
        <v>5</v>
      </c>
    </row>
    <row r="8062" spans="1:13">
      <c r="A8062" t="s">
        <v>11501</v>
      </c>
      <c r="B8062" t="s">
        <v>513</v>
      </c>
      <c r="C8062" s="34" t="s">
        <v>761</v>
      </c>
      <c r="F8062" t="s">
        <v>761</v>
      </c>
      <c r="G8062" t="s">
        <v>801</v>
      </c>
      <c r="H8062">
        <v>5</v>
      </c>
    </row>
    <row r="8063" spans="1:13">
      <c r="A8063" t="s">
        <v>11502</v>
      </c>
      <c r="B8063" t="s">
        <v>513</v>
      </c>
      <c r="C8063" s="34" t="s">
        <v>994</v>
      </c>
      <c r="F8063" t="s">
        <v>994</v>
      </c>
      <c r="G8063" t="s">
        <v>801</v>
      </c>
      <c r="H8063">
        <v>5</v>
      </c>
    </row>
    <row r="8064" spans="1:13">
      <c r="A8064" t="s">
        <v>11503</v>
      </c>
      <c r="B8064" t="s">
        <v>513</v>
      </c>
      <c r="C8064" s="34" t="s">
        <v>11010</v>
      </c>
      <c r="F8064" t="s">
        <v>11010</v>
      </c>
      <c r="G8064" t="s">
        <v>801</v>
      </c>
      <c r="H8064">
        <v>5</v>
      </c>
    </row>
    <row r="8065" spans="1:13">
      <c r="A8065" t="s">
        <v>11504</v>
      </c>
      <c r="B8065" t="s">
        <v>513</v>
      </c>
      <c r="C8065" s="34" t="s">
        <v>898</v>
      </c>
      <c r="F8065" t="s">
        <v>898</v>
      </c>
      <c r="G8065" t="s">
        <v>801</v>
      </c>
      <c r="H8065">
        <v>5</v>
      </c>
    </row>
    <row r="8066" spans="1:13">
      <c r="A8066" t="s">
        <v>3186</v>
      </c>
      <c r="B8066" t="s">
        <v>513</v>
      </c>
      <c r="C8066" s="34" t="s">
        <v>1438</v>
      </c>
      <c r="F8066" t="s">
        <v>1438</v>
      </c>
      <c r="H8066">
        <v>15</v>
      </c>
      <c r="I8066">
        <f>VLOOKUP(B8066,BRAND!B:D,3,FALSE)</f>
        <v>3</v>
      </c>
      <c r="J8066">
        <v>4</v>
      </c>
      <c r="K8066" t="s">
        <v>821</v>
      </c>
      <c r="M8066">
        <v>1</v>
      </c>
    </row>
    <row r="8067" spans="1:13">
      <c r="A8067" t="s">
        <v>9396</v>
      </c>
      <c r="B8067" t="s">
        <v>9395</v>
      </c>
      <c r="C8067" s="34" t="s">
        <v>536</v>
      </c>
      <c r="F8067" t="s">
        <v>536</v>
      </c>
      <c r="G8067" t="s">
        <v>6932</v>
      </c>
      <c r="H8067">
        <v>5</v>
      </c>
      <c r="I8067">
        <f>VLOOKUP(B8067,BRAND!B:D,3,FALSE)</f>
        <v>5.5</v>
      </c>
      <c r="J8067">
        <v>5</v>
      </c>
      <c r="M8067">
        <v>1</v>
      </c>
    </row>
    <row r="8068" spans="1:13">
      <c r="A8068" t="s">
        <v>9394</v>
      </c>
      <c r="B8068" t="s">
        <v>9395</v>
      </c>
      <c r="C8068" s="34" t="s">
        <v>842</v>
      </c>
      <c r="F8068" t="s">
        <v>842</v>
      </c>
      <c r="G8068" t="s">
        <v>6932</v>
      </c>
      <c r="H8068">
        <v>5</v>
      </c>
      <c r="I8068">
        <f>VLOOKUP(B8068,BRAND!B:D,3,FALSE)</f>
        <v>5.5</v>
      </c>
      <c r="J8068">
        <v>5</v>
      </c>
      <c r="M8068">
        <v>1</v>
      </c>
    </row>
    <row r="8069" spans="1:13">
      <c r="A8069" t="s">
        <v>2971</v>
      </c>
      <c r="B8069" t="s">
        <v>690</v>
      </c>
      <c r="C8069" s="34" t="s">
        <v>535</v>
      </c>
      <c r="F8069" t="s">
        <v>535</v>
      </c>
      <c r="H8069">
        <v>5</v>
      </c>
      <c r="I8069">
        <f>VLOOKUP(B8069,BRAND!B:D,3,FALSE)</f>
        <v>3</v>
      </c>
      <c r="J8069">
        <v>6</v>
      </c>
      <c r="K8069" t="s">
        <v>821</v>
      </c>
      <c r="L8069">
        <v>0</v>
      </c>
      <c r="M8069">
        <v>0</v>
      </c>
    </row>
    <row r="8070" spans="1:13">
      <c r="A8070" t="s">
        <v>2762</v>
      </c>
      <c r="B8070" t="s">
        <v>690</v>
      </c>
      <c r="C8070" s="34" t="s">
        <v>1438</v>
      </c>
      <c r="F8070" t="s">
        <v>1438</v>
      </c>
      <c r="H8070">
        <v>15</v>
      </c>
      <c r="I8070">
        <f>VLOOKUP(B8070,BRAND!B:D,3,FALSE)</f>
        <v>3</v>
      </c>
      <c r="J8070">
        <v>4</v>
      </c>
      <c r="K8070" t="s">
        <v>821</v>
      </c>
      <c r="M8070">
        <v>1</v>
      </c>
    </row>
    <row r="8071" spans="1:13">
      <c r="A8071" t="s">
        <v>3804</v>
      </c>
      <c r="B8071" t="s">
        <v>1771</v>
      </c>
      <c r="C8071" s="34" t="s">
        <v>933</v>
      </c>
      <c r="F8071" t="s">
        <v>933</v>
      </c>
      <c r="H8071">
        <v>5</v>
      </c>
      <c r="I8071">
        <f>VLOOKUP(B8071,BRAND!B:D,3,FALSE)</f>
        <v>3</v>
      </c>
      <c r="J8071">
        <v>8</v>
      </c>
      <c r="K8071" t="s">
        <v>821</v>
      </c>
      <c r="L8071">
        <v>0</v>
      </c>
      <c r="M8071">
        <v>0</v>
      </c>
    </row>
    <row r="8072" spans="1:13">
      <c r="A8072" t="s">
        <v>3524</v>
      </c>
      <c r="B8072" t="s">
        <v>1771</v>
      </c>
      <c r="C8072" s="34" t="s">
        <v>561</v>
      </c>
      <c r="F8072" t="s">
        <v>561</v>
      </c>
      <c r="H8072">
        <v>5</v>
      </c>
      <c r="I8072">
        <f>VLOOKUP(B8072,BRAND!B:D,3,FALSE)</f>
        <v>3</v>
      </c>
      <c r="J8072">
        <v>3</v>
      </c>
      <c r="K8072" t="s">
        <v>821</v>
      </c>
      <c r="L8072">
        <v>0</v>
      </c>
      <c r="M8072">
        <v>0</v>
      </c>
    </row>
    <row r="8073" spans="1:13">
      <c r="A8073" t="s">
        <v>2686</v>
      </c>
      <c r="B8073" t="s">
        <v>1771</v>
      </c>
      <c r="C8073" s="34" t="s">
        <v>1438</v>
      </c>
      <c r="F8073" t="s">
        <v>1438</v>
      </c>
      <c r="H8073">
        <v>15</v>
      </c>
      <c r="I8073">
        <f>VLOOKUP(B8073,BRAND!B:D,3,FALSE)</f>
        <v>3</v>
      </c>
      <c r="J8073">
        <v>4</v>
      </c>
      <c r="K8073" t="s">
        <v>821</v>
      </c>
      <c r="L8073">
        <v>0</v>
      </c>
      <c r="M8073">
        <v>0</v>
      </c>
    </row>
    <row r="8074" spans="1:13">
      <c r="A8074" t="s">
        <v>8387</v>
      </c>
      <c r="B8074" t="s">
        <v>188</v>
      </c>
      <c r="C8074" s="34" t="s">
        <v>8388</v>
      </c>
      <c r="F8074" t="s">
        <v>8388</v>
      </c>
      <c r="G8074" t="s">
        <v>6932</v>
      </c>
      <c r="H8074">
        <v>5</v>
      </c>
      <c r="I8074">
        <f>VLOOKUP(B8074,BRAND!B:D,3,FALSE)</f>
        <v>3</v>
      </c>
      <c r="J8074">
        <f>LEN(F8074)</f>
        <v>10</v>
      </c>
      <c r="L8074">
        <v>0</v>
      </c>
      <c r="M8074">
        <v>0</v>
      </c>
    </row>
    <row r="8075" spans="1:13">
      <c r="A8075" t="s">
        <v>4787</v>
      </c>
      <c r="B8075" t="s">
        <v>188</v>
      </c>
      <c r="C8075" s="34" t="s">
        <v>535</v>
      </c>
      <c r="F8075" t="s">
        <v>535</v>
      </c>
      <c r="H8075">
        <v>5</v>
      </c>
      <c r="I8075">
        <f>VLOOKUP(B8075,BRAND!B:D,3,FALSE)</f>
        <v>3</v>
      </c>
      <c r="J8075">
        <v>6</v>
      </c>
      <c r="K8075" t="s">
        <v>821</v>
      </c>
      <c r="L8075">
        <v>0</v>
      </c>
      <c r="M8075">
        <v>0</v>
      </c>
    </row>
    <row r="8076" spans="1:13">
      <c r="A8076" t="s">
        <v>9888</v>
      </c>
      <c r="B8076" t="s">
        <v>188</v>
      </c>
      <c r="C8076" s="34" t="s">
        <v>786</v>
      </c>
      <c r="G8076" t="s">
        <v>6932</v>
      </c>
      <c r="H8076">
        <v>5</v>
      </c>
      <c r="I8076">
        <f>VLOOKUP(B8076,BRAND!B:D,3,FALSE)</f>
        <v>3</v>
      </c>
      <c r="J8076">
        <f>LEN(F8076)</f>
        <v>0</v>
      </c>
      <c r="L8076">
        <v>0</v>
      </c>
      <c r="M8076">
        <v>0</v>
      </c>
    </row>
    <row r="8077" spans="1:13">
      <c r="A8077" t="s">
        <v>9888</v>
      </c>
      <c r="B8077" t="s">
        <v>188</v>
      </c>
      <c r="C8077" s="34" t="s">
        <v>786</v>
      </c>
      <c r="G8077" t="s">
        <v>6932</v>
      </c>
      <c r="H8077">
        <v>5</v>
      </c>
      <c r="I8077">
        <f>VLOOKUP(B8077,BRAND!B:D,3,FALSE)</f>
        <v>3</v>
      </c>
      <c r="J8077">
        <v>0</v>
      </c>
      <c r="M8077">
        <v>1</v>
      </c>
    </row>
    <row r="8078" spans="1:13">
      <c r="A8078" t="s">
        <v>2158</v>
      </c>
      <c r="B8078" t="s">
        <v>188</v>
      </c>
      <c r="C8078" s="34" t="s">
        <v>1438</v>
      </c>
      <c r="F8078" t="s">
        <v>1438</v>
      </c>
      <c r="H8078">
        <v>15</v>
      </c>
      <c r="I8078">
        <f>VLOOKUP(B8078,BRAND!B:D,3,FALSE)</f>
        <v>3</v>
      </c>
      <c r="J8078">
        <v>4</v>
      </c>
      <c r="K8078" t="s">
        <v>821</v>
      </c>
      <c r="M8078">
        <v>1</v>
      </c>
    </row>
    <row r="8079" spans="1:13">
      <c r="A8079" t="s">
        <v>10120</v>
      </c>
      <c r="B8079" t="s">
        <v>6464</v>
      </c>
      <c r="C8079" s="34" t="s">
        <v>534</v>
      </c>
      <c r="F8079" t="s">
        <v>534</v>
      </c>
      <c r="H8079">
        <v>5</v>
      </c>
      <c r="I8079">
        <f>VLOOKUP(B8079,BRAND!B:D,3,FALSE)</f>
        <v>3</v>
      </c>
      <c r="J8079">
        <v>6</v>
      </c>
      <c r="L8079">
        <v>0</v>
      </c>
      <c r="M8079">
        <v>0</v>
      </c>
    </row>
    <row r="8080" spans="1:13">
      <c r="A8080" t="s">
        <v>9889</v>
      </c>
      <c r="B8080" t="s">
        <v>6464</v>
      </c>
      <c r="C8080" s="34" t="s">
        <v>1438</v>
      </c>
      <c r="H8080">
        <v>5</v>
      </c>
      <c r="I8080">
        <f>VLOOKUP(B8080,BRAND!B:D,3,FALSE)</f>
        <v>3</v>
      </c>
      <c r="J8080">
        <f>LEN(F8080)</f>
        <v>0</v>
      </c>
      <c r="L8080">
        <v>0</v>
      </c>
      <c r="M8080">
        <v>0</v>
      </c>
    </row>
    <row r="8081" spans="1:13">
      <c r="A8081" t="s">
        <v>9889</v>
      </c>
      <c r="B8081" t="s">
        <v>6464</v>
      </c>
      <c r="C8081" s="34" t="s">
        <v>1438</v>
      </c>
      <c r="H8081">
        <v>5</v>
      </c>
      <c r="I8081">
        <f>VLOOKUP(B8081,BRAND!B:D,3,FALSE)</f>
        <v>3</v>
      </c>
      <c r="J8081">
        <v>0</v>
      </c>
      <c r="M8081">
        <v>1</v>
      </c>
    </row>
    <row r="8082" spans="1:13">
      <c r="A8082" t="s">
        <v>9399</v>
      </c>
      <c r="B8082" t="s">
        <v>9398</v>
      </c>
      <c r="C8082" s="34" t="s">
        <v>911</v>
      </c>
      <c r="F8082" t="s">
        <v>911</v>
      </c>
      <c r="G8082" t="s">
        <v>6932</v>
      </c>
      <c r="H8082">
        <v>5</v>
      </c>
      <c r="I8082">
        <f>VLOOKUP(B8082,BRAND!B:D,3,FALSE)</f>
        <v>5.5</v>
      </c>
      <c r="J8082">
        <v>6</v>
      </c>
      <c r="M8082">
        <v>1</v>
      </c>
    </row>
    <row r="8083" spans="1:13">
      <c r="A8083" t="s">
        <v>9397</v>
      </c>
      <c r="B8083" t="s">
        <v>9398</v>
      </c>
      <c r="C8083" s="34" t="s">
        <v>5325</v>
      </c>
      <c r="F8083" t="s">
        <v>5325</v>
      </c>
      <c r="G8083" t="s">
        <v>6932</v>
      </c>
      <c r="H8083">
        <v>5</v>
      </c>
      <c r="I8083">
        <f>VLOOKUP(B8083,BRAND!B:D,3,FALSE)</f>
        <v>5.5</v>
      </c>
      <c r="J8083">
        <v>4</v>
      </c>
      <c r="M8083">
        <v>1</v>
      </c>
    </row>
    <row r="8084" spans="1:13">
      <c r="A8084" t="s">
        <v>2578</v>
      </c>
      <c r="B8084" t="s">
        <v>1206</v>
      </c>
      <c r="C8084" s="34" t="s">
        <v>534</v>
      </c>
      <c r="F8084" t="s">
        <v>534</v>
      </c>
      <c r="H8084">
        <v>5</v>
      </c>
      <c r="I8084">
        <f>VLOOKUP(B8084,BRAND!B:D,3,FALSE)</f>
        <v>3</v>
      </c>
      <c r="J8084">
        <v>6</v>
      </c>
      <c r="K8084" t="s">
        <v>821</v>
      </c>
      <c r="M8084">
        <v>1</v>
      </c>
    </row>
    <row r="8085" spans="1:13">
      <c r="A8085" t="s">
        <v>3559</v>
      </c>
      <c r="B8085" t="s">
        <v>1206</v>
      </c>
      <c r="C8085" s="34" t="s">
        <v>791</v>
      </c>
      <c r="F8085" t="s">
        <v>791</v>
      </c>
      <c r="H8085">
        <v>5</v>
      </c>
      <c r="I8085">
        <f>VLOOKUP(B8085,BRAND!B:D,3,FALSE)</f>
        <v>3</v>
      </c>
      <c r="J8085">
        <v>5</v>
      </c>
      <c r="K8085" t="s">
        <v>821</v>
      </c>
      <c r="L8085">
        <v>0</v>
      </c>
      <c r="M8085">
        <v>0</v>
      </c>
    </row>
    <row r="8086" spans="1:13">
      <c r="A8086" t="s">
        <v>2667</v>
      </c>
      <c r="B8086" t="s">
        <v>1206</v>
      </c>
      <c r="C8086" s="34" t="s">
        <v>1438</v>
      </c>
      <c r="F8086" t="s">
        <v>1438</v>
      </c>
      <c r="H8086">
        <v>15</v>
      </c>
      <c r="I8086">
        <f>VLOOKUP(B8086,BRAND!B:D,3,FALSE)</f>
        <v>3</v>
      </c>
      <c r="J8086">
        <v>4</v>
      </c>
      <c r="K8086" t="s">
        <v>821</v>
      </c>
      <c r="L8086">
        <v>0</v>
      </c>
      <c r="M8086">
        <v>0</v>
      </c>
    </row>
    <row r="8087" spans="1:13">
      <c r="A8087" t="s">
        <v>10272</v>
      </c>
      <c r="B8087" t="s">
        <v>1367</v>
      </c>
      <c r="C8087" s="34" t="s">
        <v>6492</v>
      </c>
      <c r="F8087" t="s">
        <v>777</v>
      </c>
      <c r="H8087">
        <v>5</v>
      </c>
      <c r="I8087">
        <f>VLOOKUP(B8087,BRAND!B:D,3,FALSE)</f>
        <v>3</v>
      </c>
      <c r="J8087">
        <v>9</v>
      </c>
      <c r="M8087">
        <v>1</v>
      </c>
    </row>
    <row r="8088" spans="1:13">
      <c r="A8088" t="s">
        <v>10273</v>
      </c>
      <c r="B8088" t="s">
        <v>1367</v>
      </c>
      <c r="C8088" s="34" t="s">
        <v>6492</v>
      </c>
      <c r="F8088" t="s">
        <v>777</v>
      </c>
      <c r="G8088" t="s">
        <v>801</v>
      </c>
      <c r="H8088">
        <v>5</v>
      </c>
      <c r="I8088">
        <f>VLOOKUP(B8088,BRAND!B:D,3,FALSE)</f>
        <v>3</v>
      </c>
      <c r="J8088">
        <f>LEN(F8088)</f>
        <v>7</v>
      </c>
      <c r="M8088">
        <v>1</v>
      </c>
    </row>
    <row r="8089" spans="1:13">
      <c r="A8089" t="s">
        <v>4962</v>
      </c>
      <c r="B8089" t="s">
        <v>1367</v>
      </c>
      <c r="C8089" s="34" t="s">
        <v>1438</v>
      </c>
      <c r="F8089" t="s">
        <v>1438</v>
      </c>
      <c r="G8089" t="s">
        <v>801</v>
      </c>
      <c r="H8089">
        <v>6</v>
      </c>
      <c r="I8089">
        <f>VLOOKUP(B8089,BRAND!B:D,3,FALSE)</f>
        <v>3</v>
      </c>
      <c r="J8089">
        <v>4</v>
      </c>
      <c r="K8089" t="s">
        <v>821</v>
      </c>
      <c r="L8089">
        <v>0</v>
      </c>
      <c r="M8089">
        <v>0</v>
      </c>
    </row>
    <row r="8090" spans="1:13">
      <c r="A8090" t="s">
        <v>2060</v>
      </c>
      <c r="B8090" t="s">
        <v>1367</v>
      </c>
      <c r="C8090" s="34" t="s">
        <v>1438</v>
      </c>
      <c r="F8090" t="s">
        <v>1438</v>
      </c>
      <c r="H8090">
        <v>15</v>
      </c>
      <c r="I8090">
        <f>VLOOKUP(B8090,BRAND!B:D,3,FALSE)</f>
        <v>3</v>
      </c>
      <c r="J8090">
        <v>4</v>
      </c>
      <c r="K8090" t="s">
        <v>821</v>
      </c>
      <c r="L8090">
        <v>0</v>
      </c>
      <c r="M8090">
        <v>0</v>
      </c>
    </row>
    <row r="8091" spans="1:13">
      <c r="A8091" t="s">
        <v>4275</v>
      </c>
      <c r="B8091" t="s">
        <v>1888</v>
      </c>
      <c r="C8091" s="34" t="s">
        <v>534</v>
      </c>
      <c r="F8091" t="s">
        <v>534</v>
      </c>
      <c r="H8091">
        <v>5</v>
      </c>
      <c r="I8091">
        <f>VLOOKUP(B8091,BRAND!B:D,3,FALSE)</f>
        <v>5</v>
      </c>
      <c r="J8091">
        <v>6</v>
      </c>
      <c r="K8091" t="s">
        <v>821</v>
      </c>
      <c r="L8091">
        <v>0</v>
      </c>
      <c r="M8091">
        <v>0</v>
      </c>
    </row>
    <row r="8092" spans="1:13">
      <c r="A8092" t="s">
        <v>4276</v>
      </c>
      <c r="B8092" t="s">
        <v>1888</v>
      </c>
      <c r="C8092" s="34" t="s">
        <v>776</v>
      </c>
      <c r="F8092" t="s">
        <v>776</v>
      </c>
      <c r="H8092">
        <v>5</v>
      </c>
      <c r="I8092">
        <f>VLOOKUP(B8092,BRAND!B:D,3,FALSE)</f>
        <v>5</v>
      </c>
      <c r="J8092">
        <v>5</v>
      </c>
      <c r="K8092" t="s">
        <v>821</v>
      </c>
      <c r="L8092">
        <v>0</v>
      </c>
      <c r="M8092">
        <v>0</v>
      </c>
    </row>
    <row r="8093" spans="1:13">
      <c r="A8093" t="s">
        <v>4087</v>
      </c>
      <c r="B8093" t="s">
        <v>1780</v>
      </c>
      <c r="C8093" s="34" t="s">
        <v>913</v>
      </c>
      <c r="F8093" t="s">
        <v>913</v>
      </c>
      <c r="H8093">
        <v>5</v>
      </c>
      <c r="I8093">
        <f>VLOOKUP(B8093,BRAND!B:D,3,FALSE)</f>
        <v>3</v>
      </c>
      <c r="J8093">
        <v>5</v>
      </c>
      <c r="K8093" t="s">
        <v>821</v>
      </c>
      <c r="L8093">
        <v>0</v>
      </c>
      <c r="M8093">
        <v>0</v>
      </c>
    </row>
    <row r="8094" spans="1:13">
      <c r="A8094" t="s">
        <v>2388</v>
      </c>
      <c r="B8094" t="s">
        <v>1780</v>
      </c>
      <c r="C8094" s="34" t="s">
        <v>1438</v>
      </c>
      <c r="F8094" t="s">
        <v>1438</v>
      </c>
      <c r="H8094">
        <v>15</v>
      </c>
      <c r="I8094">
        <f>VLOOKUP(B8094,BRAND!B:D,3,FALSE)</f>
        <v>3</v>
      </c>
      <c r="J8094">
        <v>4</v>
      </c>
      <c r="K8094" t="s">
        <v>821</v>
      </c>
      <c r="L8094">
        <v>0</v>
      </c>
      <c r="M8094">
        <v>0</v>
      </c>
    </row>
    <row r="8095" spans="1:13">
      <c r="A8095" t="s">
        <v>4368</v>
      </c>
      <c r="B8095" t="s">
        <v>1368</v>
      </c>
      <c r="C8095" s="34" t="s">
        <v>783</v>
      </c>
      <c r="F8095" t="s">
        <v>783</v>
      </c>
      <c r="H8095">
        <v>5</v>
      </c>
      <c r="I8095">
        <f>VLOOKUP(B8095,BRAND!B:D,3,FALSE)</f>
        <v>3</v>
      </c>
      <c r="J8095">
        <f>LEN(F8095)</f>
        <v>10</v>
      </c>
      <c r="K8095" t="s">
        <v>821</v>
      </c>
      <c r="L8095">
        <v>0</v>
      </c>
      <c r="M8095">
        <v>0</v>
      </c>
    </row>
    <row r="8096" spans="1:13">
      <c r="A8096" t="s">
        <v>4726</v>
      </c>
      <c r="B8096" t="s">
        <v>1368</v>
      </c>
      <c r="C8096" s="34" t="s">
        <v>904</v>
      </c>
      <c r="F8096" t="s">
        <v>904</v>
      </c>
      <c r="H8096">
        <v>5</v>
      </c>
      <c r="I8096">
        <f>VLOOKUP(B8096,BRAND!B:D,3,FALSE)</f>
        <v>3</v>
      </c>
      <c r="J8096">
        <v>8</v>
      </c>
      <c r="K8096" t="s">
        <v>821</v>
      </c>
      <c r="L8096">
        <v>0</v>
      </c>
      <c r="M8096">
        <v>0</v>
      </c>
    </row>
    <row r="8097" spans="1:13">
      <c r="A8097" t="s">
        <v>4378</v>
      </c>
      <c r="B8097" t="s">
        <v>1368</v>
      </c>
      <c r="C8097" s="34" t="s">
        <v>776</v>
      </c>
      <c r="F8097" t="s">
        <v>776</v>
      </c>
      <c r="H8097">
        <v>5</v>
      </c>
      <c r="I8097">
        <f>VLOOKUP(B8097,BRAND!B:D,3,FALSE)</f>
        <v>3</v>
      </c>
      <c r="J8097">
        <v>5</v>
      </c>
      <c r="K8097" t="s">
        <v>821</v>
      </c>
      <c r="L8097">
        <v>0</v>
      </c>
      <c r="M8097">
        <v>0</v>
      </c>
    </row>
    <row r="8098" spans="1:13">
      <c r="A8098" t="s">
        <v>3787</v>
      </c>
      <c r="B8098" t="s">
        <v>1368</v>
      </c>
      <c r="C8098" s="34" t="s">
        <v>897</v>
      </c>
      <c r="F8098" t="s">
        <v>897</v>
      </c>
      <c r="H8098">
        <v>5</v>
      </c>
      <c r="I8098">
        <f>VLOOKUP(B8098,BRAND!B:D,3,FALSE)</f>
        <v>3</v>
      </c>
      <c r="J8098">
        <v>4</v>
      </c>
      <c r="K8098" t="s">
        <v>821</v>
      </c>
      <c r="L8098">
        <v>0</v>
      </c>
      <c r="M8098">
        <v>0</v>
      </c>
    </row>
    <row r="8099" spans="1:13">
      <c r="A8099" t="s">
        <v>4513</v>
      </c>
      <c r="B8099" t="s">
        <v>1368</v>
      </c>
      <c r="C8099" s="34" t="s">
        <v>1992</v>
      </c>
      <c r="F8099" t="s">
        <v>1992</v>
      </c>
      <c r="H8099">
        <v>5</v>
      </c>
      <c r="I8099">
        <f>VLOOKUP(B8099,BRAND!B:D,3,FALSE)</f>
        <v>3</v>
      </c>
      <c r="J8099">
        <v>3</v>
      </c>
      <c r="K8099" t="s">
        <v>821</v>
      </c>
      <c r="L8099">
        <v>0</v>
      </c>
      <c r="M8099">
        <v>0</v>
      </c>
    </row>
    <row r="8100" spans="1:13">
      <c r="A8100" t="s">
        <v>2260</v>
      </c>
      <c r="B8100" t="s">
        <v>1368</v>
      </c>
      <c r="C8100" s="34" t="s">
        <v>1438</v>
      </c>
      <c r="F8100" t="s">
        <v>1438</v>
      </c>
      <c r="H8100">
        <v>15</v>
      </c>
      <c r="I8100">
        <f>VLOOKUP(B8100,BRAND!B:D,3,FALSE)</f>
        <v>3</v>
      </c>
      <c r="J8100">
        <v>4</v>
      </c>
      <c r="K8100" t="s">
        <v>821</v>
      </c>
      <c r="L8100">
        <v>0</v>
      </c>
      <c r="M8100">
        <v>0</v>
      </c>
    </row>
    <row r="8101" spans="1:13">
      <c r="A8101" t="s">
        <v>9400</v>
      </c>
      <c r="B8101" t="s">
        <v>9401</v>
      </c>
      <c r="C8101" s="34" t="s">
        <v>1438</v>
      </c>
      <c r="F8101" t="s">
        <v>1438</v>
      </c>
      <c r="G8101" t="s">
        <v>6932</v>
      </c>
      <c r="H8101">
        <v>5</v>
      </c>
      <c r="I8101">
        <f>VLOOKUP(B8101,BRAND!B:D,3,FALSE)</f>
        <v>5.5</v>
      </c>
      <c r="J8101">
        <v>4</v>
      </c>
      <c r="M8101">
        <v>1</v>
      </c>
    </row>
    <row r="8102" spans="1:13">
      <c r="A8102" t="s">
        <v>3421</v>
      </c>
      <c r="B8102" t="s">
        <v>1369</v>
      </c>
      <c r="C8102" s="34" t="s">
        <v>534</v>
      </c>
      <c r="F8102" t="s">
        <v>534</v>
      </c>
      <c r="H8102">
        <v>5</v>
      </c>
      <c r="I8102">
        <f>VLOOKUP(B8102,BRAND!B:D,3,FALSE)</f>
        <v>3</v>
      </c>
      <c r="J8102">
        <v>6</v>
      </c>
      <c r="K8102" t="s">
        <v>821</v>
      </c>
      <c r="L8102">
        <v>0</v>
      </c>
      <c r="M8102">
        <v>0</v>
      </c>
    </row>
    <row r="8103" spans="1:13">
      <c r="A8103" t="s">
        <v>2209</v>
      </c>
      <c r="B8103" t="s">
        <v>1369</v>
      </c>
      <c r="C8103" s="34" t="s">
        <v>1438</v>
      </c>
      <c r="F8103" t="s">
        <v>1438</v>
      </c>
      <c r="H8103">
        <v>15</v>
      </c>
      <c r="I8103">
        <f>VLOOKUP(B8103,BRAND!B:D,3,FALSE)</f>
        <v>3</v>
      </c>
      <c r="J8103">
        <v>4</v>
      </c>
      <c r="K8103" t="s">
        <v>821</v>
      </c>
      <c r="L8103">
        <v>0</v>
      </c>
      <c r="M8103">
        <v>0</v>
      </c>
    </row>
    <row r="8104" spans="1:13">
      <c r="A8104" t="s">
        <v>2897</v>
      </c>
      <c r="B8104" t="s">
        <v>478</v>
      </c>
      <c r="C8104" s="34" t="s">
        <v>1438</v>
      </c>
      <c r="F8104" t="s">
        <v>1438</v>
      </c>
      <c r="H8104">
        <v>15</v>
      </c>
      <c r="I8104">
        <f>VLOOKUP(B8104,BRAND!B:D,3,FALSE)</f>
        <v>3</v>
      </c>
      <c r="J8104">
        <v>4</v>
      </c>
      <c r="K8104" t="s">
        <v>821</v>
      </c>
      <c r="M8104">
        <v>1</v>
      </c>
    </row>
    <row r="8105" spans="1:13">
      <c r="A8105" t="s">
        <v>7049</v>
      </c>
      <c r="B8105" t="s">
        <v>1207</v>
      </c>
      <c r="C8105" s="34" t="s">
        <v>7050</v>
      </c>
      <c r="F8105" t="s">
        <v>7051</v>
      </c>
      <c r="H8105">
        <v>5</v>
      </c>
      <c r="I8105">
        <f>VLOOKUP(B8105,BRAND!B:D,3,FALSE)</f>
        <v>3</v>
      </c>
      <c r="J8105">
        <v>9</v>
      </c>
      <c r="M8105">
        <v>1</v>
      </c>
    </row>
    <row r="8106" spans="1:13">
      <c r="A8106" t="s">
        <v>4502</v>
      </c>
      <c r="B8106" t="s">
        <v>1207</v>
      </c>
      <c r="C8106" s="34" t="s">
        <v>536</v>
      </c>
      <c r="F8106" t="s">
        <v>536</v>
      </c>
      <c r="H8106">
        <v>5</v>
      </c>
      <c r="I8106">
        <f>VLOOKUP(B8106,BRAND!B:D,3,FALSE)</f>
        <v>3</v>
      </c>
      <c r="J8106">
        <v>5</v>
      </c>
      <c r="K8106" t="s">
        <v>821</v>
      </c>
      <c r="L8106">
        <v>0</v>
      </c>
      <c r="M8106">
        <v>0</v>
      </c>
    </row>
    <row r="8107" spans="1:13">
      <c r="A8107" t="s">
        <v>3097</v>
      </c>
      <c r="B8107" t="s">
        <v>1207</v>
      </c>
      <c r="C8107" s="34" t="s">
        <v>761</v>
      </c>
      <c r="F8107" t="s">
        <v>761</v>
      </c>
      <c r="H8107">
        <v>5</v>
      </c>
      <c r="I8107">
        <f>VLOOKUP(B8107,BRAND!B:D,3,FALSE)</f>
        <v>3</v>
      </c>
      <c r="J8107">
        <v>5</v>
      </c>
      <c r="K8107" t="s">
        <v>821</v>
      </c>
      <c r="L8107">
        <v>0</v>
      </c>
      <c r="M8107">
        <v>0</v>
      </c>
    </row>
    <row r="8108" spans="1:13">
      <c r="A8108" t="s">
        <v>2061</v>
      </c>
      <c r="B8108" t="s">
        <v>1207</v>
      </c>
      <c r="C8108" s="34" t="s">
        <v>1438</v>
      </c>
      <c r="F8108" t="s">
        <v>1438</v>
      </c>
      <c r="H8108">
        <v>15</v>
      </c>
      <c r="I8108">
        <f>VLOOKUP(B8108,BRAND!B:D,3,FALSE)</f>
        <v>3</v>
      </c>
      <c r="J8108">
        <v>4</v>
      </c>
      <c r="K8108" t="s">
        <v>821</v>
      </c>
      <c r="L8108">
        <v>0</v>
      </c>
      <c r="M8108">
        <v>0</v>
      </c>
    </row>
    <row r="8109" spans="1:13">
      <c r="A8109" t="s">
        <v>4875</v>
      </c>
      <c r="B8109" t="s">
        <v>189</v>
      </c>
      <c r="C8109" s="34" t="s">
        <v>535</v>
      </c>
      <c r="F8109" t="s">
        <v>535</v>
      </c>
      <c r="H8109">
        <v>5</v>
      </c>
      <c r="I8109">
        <f>VLOOKUP(B8109,BRAND!B:D,3,FALSE)</f>
        <v>3</v>
      </c>
      <c r="J8109">
        <v>6</v>
      </c>
      <c r="K8109" t="s">
        <v>821</v>
      </c>
      <c r="L8109">
        <v>0</v>
      </c>
      <c r="M8109">
        <v>0</v>
      </c>
    </row>
    <row r="8110" spans="1:13">
      <c r="A8110" t="s">
        <v>4162</v>
      </c>
      <c r="B8110" t="s">
        <v>189</v>
      </c>
      <c r="C8110" s="34" t="s">
        <v>773</v>
      </c>
      <c r="F8110" t="s">
        <v>773</v>
      </c>
      <c r="H8110">
        <v>5</v>
      </c>
      <c r="I8110">
        <f>VLOOKUP(B8110,BRAND!B:D,3,FALSE)</f>
        <v>3</v>
      </c>
      <c r="J8110">
        <v>4</v>
      </c>
      <c r="K8110" t="s">
        <v>821</v>
      </c>
      <c r="L8110">
        <v>0</v>
      </c>
      <c r="M8110">
        <v>0</v>
      </c>
    </row>
    <row r="8111" spans="1:13">
      <c r="A8111" t="s">
        <v>4102</v>
      </c>
      <c r="B8111" t="s">
        <v>189</v>
      </c>
      <c r="C8111" s="34" t="s">
        <v>561</v>
      </c>
      <c r="F8111" t="s">
        <v>561</v>
      </c>
      <c r="H8111">
        <v>5</v>
      </c>
      <c r="I8111">
        <f>VLOOKUP(B8111,BRAND!B:D,3,FALSE)</f>
        <v>3</v>
      </c>
      <c r="J8111">
        <v>3</v>
      </c>
      <c r="K8111" t="s">
        <v>821</v>
      </c>
      <c r="L8111">
        <v>0</v>
      </c>
      <c r="M8111">
        <v>0</v>
      </c>
    </row>
    <row r="8112" spans="1:13">
      <c r="A8112" t="s">
        <v>2037</v>
      </c>
      <c r="B8112" t="s">
        <v>189</v>
      </c>
      <c r="C8112" s="34" t="s">
        <v>1438</v>
      </c>
      <c r="F8112" t="s">
        <v>1438</v>
      </c>
      <c r="H8112">
        <v>15</v>
      </c>
      <c r="I8112">
        <f>VLOOKUP(B8112,BRAND!B:D,3,FALSE)</f>
        <v>3</v>
      </c>
      <c r="J8112">
        <v>4</v>
      </c>
      <c r="K8112" t="s">
        <v>821</v>
      </c>
      <c r="M8112">
        <v>1</v>
      </c>
    </row>
    <row r="8113" spans="1:13">
      <c r="A8113" t="s">
        <v>9890</v>
      </c>
      <c r="B8113" t="s">
        <v>7253</v>
      </c>
      <c r="C8113" s="34" t="s">
        <v>535</v>
      </c>
      <c r="G8113" t="s">
        <v>6932</v>
      </c>
      <c r="H8113">
        <v>5</v>
      </c>
      <c r="I8113">
        <f>VLOOKUP(B8113,BRAND!B:D,3,FALSE)</f>
        <v>5.5</v>
      </c>
      <c r="J8113">
        <f>LEN(F8113)</f>
        <v>0</v>
      </c>
      <c r="L8113">
        <v>0</v>
      </c>
      <c r="M8113">
        <v>0</v>
      </c>
    </row>
    <row r="8114" spans="1:13">
      <c r="A8114" t="s">
        <v>9890</v>
      </c>
      <c r="B8114" t="s">
        <v>7253</v>
      </c>
      <c r="C8114" s="34" t="s">
        <v>535</v>
      </c>
      <c r="G8114" t="s">
        <v>6932</v>
      </c>
      <c r="H8114">
        <v>5</v>
      </c>
      <c r="I8114">
        <f>VLOOKUP(B8114,BRAND!B:D,3,FALSE)</f>
        <v>5.5</v>
      </c>
      <c r="J8114">
        <v>0</v>
      </c>
      <c r="M8114">
        <v>1</v>
      </c>
    </row>
    <row r="8115" spans="1:13">
      <c r="A8115" t="s">
        <v>7252</v>
      </c>
      <c r="B8115" t="s">
        <v>7253</v>
      </c>
      <c r="C8115" s="34" t="s">
        <v>535</v>
      </c>
      <c r="F8115" t="s">
        <v>7239</v>
      </c>
      <c r="H8115">
        <v>5</v>
      </c>
      <c r="I8115">
        <f>VLOOKUP(B8115,BRAND!B:D,3,FALSE)</f>
        <v>5.5</v>
      </c>
      <c r="L8115">
        <v>0</v>
      </c>
      <c r="M8115">
        <v>0</v>
      </c>
    </row>
    <row r="8116" spans="1:13">
      <c r="A8116" t="s">
        <v>6723</v>
      </c>
      <c r="B8116" t="s">
        <v>6724</v>
      </c>
      <c r="C8116" s="34" t="s">
        <v>1438</v>
      </c>
      <c r="F8116" t="s">
        <v>1438</v>
      </c>
      <c r="H8116">
        <v>3</v>
      </c>
      <c r="I8116">
        <f>VLOOKUP(B8116,BRAND!B:D,3,FALSE)</f>
        <v>5</v>
      </c>
      <c r="J8116">
        <v>4</v>
      </c>
      <c r="M8116">
        <v>1</v>
      </c>
    </row>
    <row r="8117" spans="1:13">
      <c r="A8117" t="s">
        <v>1643</v>
      </c>
      <c r="B8117" t="s">
        <v>720</v>
      </c>
      <c r="C8117" s="34" t="s">
        <v>5433</v>
      </c>
      <c r="F8117" t="s">
        <v>1470</v>
      </c>
      <c r="H8117">
        <v>4</v>
      </c>
      <c r="I8117">
        <f>VLOOKUP(B8117,BRAND!B:D,3,FALSE)</f>
        <v>5</v>
      </c>
      <c r="J8117">
        <f>LEN(F8117)</f>
        <v>12</v>
      </c>
      <c r="K8117" t="s">
        <v>821</v>
      </c>
      <c r="M8117">
        <v>1</v>
      </c>
    </row>
    <row r="8118" spans="1:13">
      <c r="A8118" t="s">
        <v>1686</v>
      </c>
      <c r="B8118" t="s">
        <v>720</v>
      </c>
      <c r="C8118" s="34" t="s">
        <v>5434</v>
      </c>
      <c r="F8118" t="s">
        <v>1474</v>
      </c>
      <c r="H8118">
        <v>5</v>
      </c>
      <c r="I8118">
        <f>VLOOKUP(B8118,BRAND!B:D,3,FALSE)</f>
        <v>5</v>
      </c>
      <c r="J8118">
        <f>LEN(F8118)</f>
        <v>11</v>
      </c>
      <c r="K8118" t="s">
        <v>821</v>
      </c>
      <c r="M8118">
        <v>1</v>
      </c>
    </row>
    <row r="8119" spans="1:13">
      <c r="A8119" t="s">
        <v>5340</v>
      </c>
      <c r="B8119" t="s">
        <v>720</v>
      </c>
      <c r="C8119" s="34" t="s">
        <v>5435</v>
      </c>
      <c r="F8119" t="s">
        <v>799</v>
      </c>
      <c r="H8119">
        <v>5</v>
      </c>
      <c r="I8119">
        <f>VLOOKUP(B8119,BRAND!B:D,3,FALSE)</f>
        <v>5</v>
      </c>
      <c r="J8119">
        <v>5</v>
      </c>
      <c r="K8119" t="s">
        <v>821</v>
      </c>
      <c r="M8119">
        <v>1</v>
      </c>
    </row>
    <row r="8120" spans="1:13">
      <c r="A8120" t="s">
        <v>5341</v>
      </c>
      <c r="B8120" t="s">
        <v>720</v>
      </c>
      <c r="C8120" s="34" t="s">
        <v>5436</v>
      </c>
      <c r="F8120" t="s">
        <v>775</v>
      </c>
      <c r="H8120">
        <v>5</v>
      </c>
      <c r="I8120">
        <f>VLOOKUP(B8120,BRAND!B:D,3,FALSE)</f>
        <v>5</v>
      </c>
      <c r="J8120">
        <v>3</v>
      </c>
      <c r="K8120" t="s">
        <v>821</v>
      </c>
      <c r="M8120">
        <v>1</v>
      </c>
    </row>
    <row r="8121" spans="1:13">
      <c r="A8121" t="s">
        <v>1617</v>
      </c>
      <c r="B8121" t="s">
        <v>720</v>
      </c>
      <c r="C8121" s="34" t="s">
        <v>1438</v>
      </c>
      <c r="F8121" t="s">
        <v>1438</v>
      </c>
      <c r="H8121">
        <v>15</v>
      </c>
      <c r="I8121">
        <f>VLOOKUP(B8121,BRAND!B:D,3,FALSE)</f>
        <v>5</v>
      </c>
      <c r="J8121">
        <v>4</v>
      </c>
      <c r="K8121" t="s">
        <v>821</v>
      </c>
      <c r="M8121">
        <v>1</v>
      </c>
    </row>
    <row r="8122" spans="1:13">
      <c r="A8122" t="s">
        <v>3178</v>
      </c>
      <c r="B8122" t="s">
        <v>190</v>
      </c>
      <c r="C8122" s="34" t="s">
        <v>536</v>
      </c>
      <c r="F8122" t="s">
        <v>536</v>
      </c>
      <c r="H8122">
        <v>5</v>
      </c>
      <c r="I8122">
        <f>VLOOKUP(B8122,BRAND!B:D,3,FALSE)</f>
        <v>3</v>
      </c>
      <c r="J8122">
        <v>5</v>
      </c>
      <c r="K8122" t="s">
        <v>821</v>
      </c>
      <c r="L8122">
        <v>0</v>
      </c>
      <c r="M8122">
        <v>0</v>
      </c>
    </row>
    <row r="8123" spans="1:13">
      <c r="A8123" t="s">
        <v>9891</v>
      </c>
      <c r="B8123" t="s">
        <v>190</v>
      </c>
      <c r="C8123" s="34" t="s">
        <v>786</v>
      </c>
      <c r="H8123">
        <v>5</v>
      </c>
      <c r="I8123">
        <f>VLOOKUP(B8123,BRAND!B:D,3,FALSE)</f>
        <v>3</v>
      </c>
      <c r="J8123">
        <f>LEN(F8123)</f>
        <v>0</v>
      </c>
      <c r="L8123">
        <v>0</v>
      </c>
      <c r="M8123">
        <v>0</v>
      </c>
    </row>
    <row r="8124" spans="1:13">
      <c r="A8124" t="s">
        <v>9891</v>
      </c>
      <c r="B8124" t="s">
        <v>190</v>
      </c>
      <c r="C8124" s="34" t="s">
        <v>786</v>
      </c>
      <c r="H8124">
        <v>5</v>
      </c>
      <c r="I8124">
        <f>VLOOKUP(B8124,BRAND!B:D,3,FALSE)</f>
        <v>3</v>
      </c>
      <c r="J8124">
        <v>0</v>
      </c>
      <c r="M8124">
        <v>1</v>
      </c>
    </row>
    <row r="8125" spans="1:13">
      <c r="A8125" t="s">
        <v>2253</v>
      </c>
      <c r="B8125" t="s">
        <v>190</v>
      </c>
      <c r="C8125" s="34" t="s">
        <v>1438</v>
      </c>
      <c r="F8125" t="s">
        <v>1438</v>
      </c>
      <c r="H8125">
        <v>15</v>
      </c>
      <c r="I8125">
        <f>VLOOKUP(B8125,BRAND!B:D,3,FALSE)</f>
        <v>3</v>
      </c>
      <c r="J8125">
        <v>4</v>
      </c>
      <c r="K8125" t="s">
        <v>821</v>
      </c>
      <c r="M8125">
        <v>1</v>
      </c>
    </row>
    <row r="8126" spans="1:13">
      <c r="A8126" t="s">
        <v>7055</v>
      </c>
      <c r="B8126" t="s">
        <v>1855</v>
      </c>
      <c r="C8126" s="34" t="s">
        <v>763</v>
      </c>
      <c r="F8126" t="s">
        <v>763</v>
      </c>
      <c r="H8126">
        <v>5</v>
      </c>
      <c r="I8126">
        <f>VLOOKUP(B8126,BRAND!B:D,3,FALSE)</f>
        <v>11</v>
      </c>
      <c r="J8126">
        <v>5</v>
      </c>
      <c r="L8126">
        <v>0</v>
      </c>
      <c r="M8126">
        <v>0</v>
      </c>
    </row>
    <row r="8127" spans="1:13">
      <c r="A8127" t="s">
        <v>3468</v>
      </c>
      <c r="B8127" t="s">
        <v>1855</v>
      </c>
      <c r="C8127" s="34" t="s">
        <v>6950</v>
      </c>
      <c r="F8127" t="s">
        <v>781</v>
      </c>
      <c r="H8127">
        <v>5</v>
      </c>
      <c r="I8127">
        <f>VLOOKUP(B8127,BRAND!B:D,3,FALSE)</f>
        <v>11</v>
      </c>
      <c r="J8127">
        <v>4</v>
      </c>
      <c r="K8127" t="s">
        <v>821</v>
      </c>
      <c r="L8127">
        <v>0</v>
      </c>
      <c r="M8127">
        <v>0</v>
      </c>
    </row>
    <row r="8128" spans="1:13">
      <c r="A8128" t="s">
        <v>7054</v>
      </c>
      <c r="B8128" t="s">
        <v>1855</v>
      </c>
      <c r="C8128" s="34" t="s">
        <v>781</v>
      </c>
      <c r="F8128" t="s">
        <v>781</v>
      </c>
      <c r="H8128">
        <v>5</v>
      </c>
      <c r="I8128">
        <f>VLOOKUP(B8128,BRAND!B:D,3,FALSE)</f>
        <v>11</v>
      </c>
      <c r="J8128">
        <v>4</v>
      </c>
      <c r="L8128">
        <v>0</v>
      </c>
      <c r="M8128">
        <v>0</v>
      </c>
    </row>
    <row r="8129" spans="1:13">
      <c r="A8129" t="s">
        <v>6952</v>
      </c>
      <c r="B8129" t="s">
        <v>1855</v>
      </c>
      <c r="C8129" s="34" t="s">
        <v>6951</v>
      </c>
      <c r="F8129" t="s">
        <v>775</v>
      </c>
      <c r="H8129">
        <v>5</v>
      </c>
      <c r="I8129">
        <f>VLOOKUP(B8129,BRAND!B:D,3,FALSE)</f>
        <v>11</v>
      </c>
      <c r="J8129">
        <v>3</v>
      </c>
      <c r="K8129" t="s">
        <v>821</v>
      </c>
      <c r="L8129">
        <v>0</v>
      </c>
      <c r="M8129">
        <v>0</v>
      </c>
    </row>
    <row r="8130" spans="1:13">
      <c r="A8130" t="s">
        <v>9406</v>
      </c>
      <c r="B8130" t="s">
        <v>9403</v>
      </c>
      <c r="C8130" s="34" t="s">
        <v>9407</v>
      </c>
      <c r="F8130" t="s">
        <v>9407</v>
      </c>
      <c r="G8130" t="s">
        <v>6932</v>
      </c>
      <c r="H8130">
        <v>5</v>
      </c>
      <c r="I8130">
        <f>VLOOKUP(B8130,BRAND!B:D,3,FALSE)</f>
        <v>5.5</v>
      </c>
      <c r="J8130">
        <v>6</v>
      </c>
      <c r="M8130">
        <v>1</v>
      </c>
    </row>
    <row r="8131" spans="1:13">
      <c r="A8131" t="s">
        <v>9404</v>
      </c>
      <c r="B8131" t="s">
        <v>9403</v>
      </c>
      <c r="C8131" s="34" t="s">
        <v>9405</v>
      </c>
      <c r="F8131" t="s">
        <v>9405</v>
      </c>
      <c r="G8131" t="s">
        <v>6932</v>
      </c>
      <c r="H8131">
        <v>5</v>
      </c>
      <c r="I8131">
        <f>VLOOKUP(B8131,BRAND!B:D,3,FALSE)</f>
        <v>5.5</v>
      </c>
      <c r="J8131">
        <v>4</v>
      </c>
      <c r="M8131">
        <v>1</v>
      </c>
    </row>
    <row r="8132" spans="1:13">
      <c r="A8132" t="s">
        <v>9402</v>
      </c>
      <c r="B8132" t="s">
        <v>9403</v>
      </c>
      <c r="C8132" s="34" t="s">
        <v>1987</v>
      </c>
      <c r="F8132" t="s">
        <v>1987</v>
      </c>
      <c r="G8132" t="s">
        <v>6932</v>
      </c>
      <c r="H8132">
        <v>5</v>
      </c>
      <c r="I8132">
        <f>VLOOKUP(B8132,BRAND!B:D,3,FALSE)</f>
        <v>5.5</v>
      </c>
      <c r="J8132">
        <v>3</v>
      </c>
      <c r="M8132">
        <v>1</v>
      </c>
    </row>
    <row r="8133" spans="1:13">
      <c r="A8133" t="s">
        <v>9892</v>
      </c>
      <c r="B8133" t="s">
        <v>7241</v>
      </c>
      <c r="C8133" s="34" t="s">
        <v>786</v>
      </c>
      <c r="G8133" t="s">
        <v>6932</v>
      </c>
      <c r="H8133">
        <v>5</v>
      </c>
      <c r="I8133">
        <f>VLOOKUP(B8133,BRAND!B:D,3,FALSE)</f>
        <v>5.5</v>
      </c>
      <c r="J8133">
        <f>LEN(F8133)</f>
        <v>0</v>
      </c>
      <c r="L8133">
        <v>0</v>
      </c>
      <c r="M8133">
        <v>0</v>
      </c>
    </row>
    <row r="8134" spans="1:13">
      <c r="A8134" t="s">
        <v>9892</v>
      </c>
      <c r="B8134" t="s">
        <v>7241</v>
      </c>
      <c r="C8134" s="34" t="s">
        <v>786</v>
      </c>
      <c r="G8134" t="s">
        <v>6932</v>
      </c>
      <c r="H8134">
        <v>5</v>
      </c>
      <c r="I8134">
        <f>VLOOKUP(B8134,BRAND!B:D,3,FALSE)</f>
        <v>5.5</v>
      </c>
      <c r="J8134">
        <v>0</v>
      </c>
      <c r="M8134">
        <v>1</v>
      </c>
    </row>
    <row r="8135" spans="1:13">
      <c r="A8135" t="s">
        <v>7240</v>
      </c>
      <c r="B8135" t="s">
        <v>7241</v>
      </c>
      <c r="C8135" s="34" t="s">
        <v>786</v>
      </c>
      <c r="F8135" t="s">
        <v>7242</v>
      </c>
      <c r="H8135">
        <v>5</v>
      </c>
      <c r="I8135">
        <f>VLOOKUP(B8135,BRAND!B:D,3,FALSE)</f>
        <v>5.5</v>
      </c>
      <c r="L8135">
        <v>0</v>
      </c>
      <c r="M8135">
        <v>0</v>
      </c>
    </row>
    <row r="8136" spans="1:13">
      <c r="A8136" t="s">
        <v>10280</v>
      </c>
      <c r="B8136" t="s">
        <v>291</v>
      </c>
      <c r="C8136" s="34" t="s">
        <v>911</v>
      </c>
      <c r="F8136" t="s">
        <v>911</v>
      </c>
      <c r="H8136">
        <v>5</v>
      </c>
      <c r="I8136">
        <f>VLOOKUP(B8136,BRAND!B:D,3,FALSE)</f>
        <v>3</v>
      </c>
      <c r="J8136">
        <f>LEN(F8136)</f>
        <v>6</v>
      </c>
      <c r="M8136">
        <v>1</v>
      </c>
    </row>
    <row r="8137" spans="1:13">
      <c r="A8137" t="s">
        <v>10279</v>
      </c>
      <c r="B8137" t="s">
        <v>291</v>
      </c>
      <c r="C8137" s="34" t="s">
        <v>10149</v>
      </c>
      <c r="F8137" t="s">
        <v>10149</v>
      </c>
      <c r="H8137">
        <v>5</v>
      </c>
      <c r="I8137">
        <f>VLOOKUP(B8137,BRAND!B:D,3,FALSE)</f>
        <v>3</v>
      </c>
      <c r="J8137">
        <f>LEN(F8137)</f>
        <v>6</v>
      </c>
      <c r="M8137">
        <v>1</v>
      </c>
    </row>
    <row r="8138" spans="1:13">
      <c r="A8138" t="s">
        <v>10278</v>
      </c>
      <c r="B8138" t="s">
        <v>291</v>
      </c>
      <c r="C8138" s="34" t="s">
        <v>10143</v>
      </c>
      <c r="F8138" t="s">
        <v>10143</v>
      </c>
      <c r="H8138">
        <v>5</v>
      </c>
      <c r="I8138">
        <f>VLOOKUP(B8138,BRAND!B:D,3,FALSE)</f>
        <v>3</v>
      </c>
      <c r="J8138">
        <f>LEN(F8138)</f>
        <v>6</v>
      </c>
      <c r="M8138">
        <v>1</v>
      </c>
    </row>
    <row r="8139" spans="1:13">
      <c r="A8139" t="s">
        <v>2619</v>
      </c>
      <c r="B8139" t="s">
        <v>291</v>
      </c>
      <c r="C8139" s="34" t="s">
        <v>911</v>
      </c>
      <c r="F8139" t="s">
        <v>911</v>
      </c>
      <c r="H8139">
        <v>5</v>
      </c>
      <c r="I8139">
        <f>VLOOKUP(B8139,BRAND!B:D,3,FALSE)</f>
        <v>3</v>
      </c>
      <c r="J8139">
        <v>6</v>
      </c>
      <c r="K8139" t="s">
        <v>821</v>
      </c>
      <c r="L8139">
        <v>0</v>
      </c>
      <c r="M8139">
        <v>0</v>
      </c>
    </row>
    <row r="8140" spans="1:13">
      <c r="A8140" t="s">
        <v>10281</v>
      </c>
      <c r="B8140" t="s">
        <v>291</v>
      </c>
      <c r="C8140" s="34" t="s">
        <v>10266</v>
      </c>
      <c r="F8140" t="s">
        <v>10266</v>
      </c>
      <c r="H8140">
        <v>5</v>
      </c>
      <c r="I8140">
        <f>VLOOKUP(B8140,BRAND!B:D,3,FALSE)</f>
        <v>3</v>
      </c>
      <c r="J8140">
        <f>LEN(F8140)</f>
        <v>5</v>
      </c>
      <c r="M8140">
        <v>1</v>
      </c>
    </row>
    <row r="8141" spans="1:13">
      <c r="A8141" t="s">
        <v>4148</v>
      </c>
      <c r="B8141" t="s">
        <v>291</v>
      </c>
      <c r="C8141" s="34" t="s">
        <v>781</v>
      </c>
      <c r="F8141" t="s">
        <v>781</v>
      </c>
      <c r="H8141">
        <v>5</v>
      </c>
      <c r="I8141">
        <f>VLOOKUP(B8141,BRAND!B:D,3,FALSE)</f>
        <v>3</v>
      </c>
      <c r="J8141">
        <v>4</v>
      </c>
      <c r="K8141" t="s">
        <v>821</v>
      </c>
      <c r="M8141">
        <v>1</v>
      </c>
    </row>
    <row r="8142" spans="1:13">
      <c r="A8142" t="s">
        <v>9408</v>
      </c>
      <c r="B8142" t="s">
        <v>291</v>
      </c>
      <c r="C8142" s="34" t="s">
        <v>9409</v>
      </c>
      <c r="F8142" t="s">
        <v>1438</v>
      </c>
      <c r="G8142" t="s">
        <v>6932</v>
      </c>
      <c r="H8142">
        <v>5</v>
      </c>
      <c r="I8142">
        <f>VLOOKUP(B8142,BRAND!B:D,3,FALSE)</f>
        <v>3</v>
      </c>
      <c r="J8142">
        <v>4</v>
      </c>
      <c r="M8142">
        <v>1</v>
      </c>
    </row>
    <row r="8143" spans="1:13">
      <c r="A8143" t="s">
        <v>2069</v>
      </c>
      <c r="B8143" t="s">
        <v>291</v>
      </c>
      <c r="C8143" s="34" t="s">
        <v>1438</v>
      </c>
      <c r="F8143" t="s">
        <v>1438</v>
      </c>
      <c r="H8143">
        <v>15</v>
      </c>
      <c r="I8143">
        <f>VLOOKUP(B8143,BRAND!B:D,3,FALSE)</f>
        <v>3</v>
      </c>
      <c r="J8143">
        <v>4</v>
      </c>
      <c r="K8143" t="s">
        <v>821</v>
      </c>
      <c r="L8143">
        <v>0</v>
      </c>
      <c r="M8143">
        <v>0</v>
      </c>
    </row>
    <row r="8144" spans="1:13">
      <c r="A8144" t="s">
        <v>10121</v>
      </c>
      <c r="B8144" t="s">
        <v>1850</v>
      </c>
      <c r="C8144" s="34" t="s">
        <v>1438</v>
      </c>
      <c r="F8144" t="s">
        <v>1438</v>
      </c>
      <c r="H8144">
        <v>15</v>
      </c>
      <c r="I8144">
        <f>VLOOKUP(B8144,BRAND!B:D,3,FALSE)</f>
        <v>11</v>
      </c>
      <c r="J8144">
        <v>4</v>
      </c>
      <c r="L8144">
        <v>0</v>
      </c>
      <c r="M8144">
        <v>0</v>
      </c>
    </row>
    <row r="8145" spans="1:13">
      <c r="A8145" t="s">
        <v>9410</v>
      </c>
      <c r="B8145" t="s">
        <v>9411</v>
      </c>
      <c r="C8145" s="34" t="s">
        <v>1438</v>
      </c>
      <c r="F8145" t="s">
        <v>1438</v>
      </c>
      <c r="G8145" t="s">
        <v>6932</v>
      </c>
      <c r="H8145">
        <v>5</v>
      </c>
      <c r="I8145">
        <f>VLOOKUP(B8145,BRAND!B:D,3,FALSE)</f>
        <v>5.5</v>
      </c>
      <c r="J8145">
        <v>4</v>
      </c>
      <c r="M8145">
        <v>1</v>
      </c>
    </row>
    <row r="8146" spans="1:13">
      <c r="A8146" t="s">
        <v>9412</v>
      </c>
      <c r="B8146" t="s">
        <v>9413</v>
      </c>
      <c r="C8146" s="34" t="s">
        <v>1438</v>
      </c>
      <c r="F8146" t="s">
        <v>1438</v>
      </c>
      <c r="G8146" t="s">
        <v>6932</v>
      </c>
      <c r="H8146">
        <v>5</v>
      </c>
      <c r="I8146">
        <f>VLOOKUP(B8146,BRAND!B:D,3,FALSE)</f>
        <v>5.5</v>
      </c>
      <c r="J8146">
        <v>4</v>
      </c>
      <c r="M8146">
        <v>1</v>
      </c>
    </row>
    <row r="8147" spans="1:13">
      <c r="A8147" t="s">
        <v>9893</v>
      </c>
      <c r="B8147" t="s">
        <v>343</v>
      </c>
      <c r="C8147" s="34" t="s">
        <v>751</v>
      </c>
      <c r="G8147" t="s">
        <v>6932</v>
      </c>
      <c r="H8147">
        <v>5</v>
      </c>
      <c r="I8147">
        <f>VLOOKUP(B8147,BRAND!B:D,3,FALSE)</f>
        <v>3</v>
      </c>
      <c r="J8147">
        <f>LEN(F8147)</f>
        <v>0</v>
      </c>
      <c r="L8147">
        <v>0</v>
      </c>
      <c r="M8147">
        <v>0</v>
      </c>
    </row>
    <row r="8148" spans="1:13">
      <c r="A8148" t="s">
        <v>9894</v>
      </c>
      <c r="B8148" t="s">
        <v>343</v>
      </c>
      <c r="C8148" s="34" t="s">
        <v>536</v>
      </c>
      <c r="G8148" t="s">
        <v>6932</v>
      </c>
      <c r="H8148">
        <v>5</v>
      </c>
      <c r="I8148">
        <f>VLOOKUP(B8148,BRAND!B:D,3,FALSE)</f>
        <v>3</v>
      </c>
      <c r="J8148">
        <f>LEN(F8148)</f>
        <v>0</v>
      </c>
      <c r="L8148">
        <v>0</v>
      </c>
      <c r="M8148">
        <v>0</v>
      </c>
    </row>
    <row r="8149" spans="1:13">
      <c r="A8149" t="s">
        <v>9894</v>
      </c>
      <c r="B8149" t="s">
        <v>343</v>
      </c>
      <c r="C8149" s="34" t="s">
        <v>536</v>
      </c>
      <c r="G8149" t="s">
        <v>6932</v>
      </c>
      <c r="H8149">
        <v>5</v>
      </c>
      <c r="I8149">
        <f>VLOOKUP(B8149,BRAND!B:D,3,FALSE)</f>
        <v>3</v>
      </c>
      <c r="J8149">
        <v>0</v>
      </c>
      <c r="M8149">
        <v>1</v>
      </c>
    </row>
    <row r="8150" spans="1:13">
      <c r="A8150" t="s">
        <v>9893</v>
      </c>
      <c r="B8150" t="s">
        <v>343</v>
      </c>
      <c r="C8150" s="34" t="s">
        <v>751</v>
      </c>
      <c r="G8150" t="s">
        <v>6932</v>
      </c>
      <c r="H8150">
        <v>5</v>
      </c>
      <c r="I8150">
        <f>VLOOKUP(B8150,BRAND!B:D,3,FALSE)</f>
        <v>3</v>
      </c>
      <c r="J8150">
        <v>0</v>
      </c>
      <c r="M8150">
        <v>1</v>
      </c>
    </row>
    <row r="8151" spans="1:13">
      <c r="A8151" t="s">
        <v>3472</v>
      </c>
      <c r="B8151" t="s">
        <v>313</v>
      </c>
      <c r="C8151" s="34" t="s">
        <v>961</v>
      </c>
      <c r="F8151" t="s">
        <v>961</v>
      </c>
      <c r="H8151">
        <v>4</v>
      </c>
      <c r="I8151">
        <f>VLOOKUP(B8151,BRAND!B:D,3,FALSE)</f>
        <v>3</v>
      </c>
      <c r="J8151">
        <f>LEN(F8151)</f>
        <v>12</v>
      </c>
      <c r="K8151" t="s">
        <v>821</v>
      </c>
      <c r="M8151">
        <v>1</v>
      </c>
    </row>
    <row r="8152" spans="1:13">
      <c r="A8152" t="s">
        <v>3472</v>
      </c>
      <c r="B8152" t="s">
        <v>313</v>
      </c>
      <c r="C8152" s="34" t="s">
        <v>930</v>
      </c>
      <c r="F8152" t="s">
        <v>930</v>
      </c>
      <c r="H8152">
        <v>5</v>
      </c>
      <c r="I8152">
        <f>VLOOKUP(B8152,BRAND!B:D,3,FALSE)</f>
        <v>3</v>
      </c>
      <c r="J8152">
        <v>6</v>
      </c>
      <c r="K8152" t="s">
        <v>821</v>
      </c>
      <c r="L8152">
        <v>0</v>
      </c>
      <c r="M8152">
        <v>0</v>
      </c>
    </row>
    <row r="8153" spans="1:13">
      <c r="A8153" t="s">
        <v>3561</v>
      </c>
      <c r="B8153" t="s">
        <v>313</v>
      </c>
      <c r="C8153" s="34" t="s">
        <v>751</v>
      </c>
      <c r="F8153" t="s">
        <v>751</v>
      </c>
      <c r="H8153">
        <v>5</v>
      </c>
      <c r="I8153">
        <f>VLOOKUP(B8153,BRAND!B:D,3,FALSE)</f>
        <v>3</v>
      </c>
      <c r="J8153">
        <v>5</v>
      </c>
      <c r="K8153" t="s">
        <v>821</v>
      </c>
      <c r="L8153">
        <v>0</v>
      </c>
      <c r="M8153">
        <v>0</v>
      </c>
    </row>
    <row r="8154" spans="1:13">
      <c r="A8154" t="s">
        <v>2554</v>
      </c>
      <c r="B8154" t="s">
        <v>313</v>
      </c>
      <c r="C8154" s="34" t="s">
        <v>536</v>
      </c>
      <c r="F8154" t="s">
        <v>536</v>
      </c>
      <c r="H8154">
        <v>5</v>
      </c>
      <c r="I8154">
        <f>VLOOKUP(B8154,BRAND!B:D,3,FALSE)</f>
        <v>3</v>
      </c>
      <c r="J8154">
        <v>5</v>
      </c>
      <c r="K8154" t="s">
        <v>821</v>
      </c>
      <c r="L8154">
        <v>0</v>
      </c>
      <c r="M8154">
        <v>0</v>
      </c>
    </row>
    <row r="8155" spans="1:13">
      <c r="A8155" t="s">
        <v>2361</v>
      </c>
      <c r="B8155" t="s">
        <v>313</v>
      </c>
      <c r="C8155" s="34" t="s">
        <v>1438</v>
      </c>
      <c r="F8155" t="s">
        <v>1438</v>
      </c>
      <c r="H8155">
        <v>15</v>
      </c>
      <c r="I8155">
        <f>VLOOKUP(B8155,BRAND!B:D,3,FALSE)</f>
        <v>3</v>
      </c>
      <c r="J8155">
        <v>4</v>
      </c>
      <c r="K8155" t="s">
        <v>821</v>
      </c>
      <c r="M8155">
        <v>1</v>
      </c>
    </row>
    <row r="8156" spans="1:13">
      <c r="A8156" t="s">
        <v>9414</v>
      </c>
      <c r="B8156" t="s">
        <v>9415</v>
      </c>
      <c r="C8156" s="34" t="s">
        <v>852</v>
      </c>
      <c r="F8156" t="s">
        <v>852</v>
      </c>
      <c r="G8156" t="s">
        <v>6932</v>
      </c>
      <c r="H8156">
        <v>5</v>
      </c>
      <c r="I8156">
        <f>VLOOKUP(B8156,BRAND!B:D,3,FALSE)</f>
        <v>5.5</v>
      </c>
      <c r="J8156">
        <v>6</v>
      </c>
      <c r="M8156">
        <v>1</v>
      </c>
    </row>
    <row r="8157" spans="1:13">
      <c r="A8157" t="s">
        <v>9416</v>
      </c>
      <c r="B8157" t="s">
        <v>9417</v>
      </c>
      <c r="C8157" s="34" t="s">
        <v>842</v>
      </c>
      <c r="F8157" t="s">
        <v>842</v>
      </c>
      <c r="G8157" t="s">
        <v>6932</v>
      </c>
      <c r="H8157">
        <v>5</v>
      </c>
      <c r="I8157">
        <f>VLOOKUP(B8157,BRAND!B:D,3,FALSE)</f>
        <v>5.5</v>
      </c>
      <c r="J8157">
        <v>5</v>
      </c>
      <c r="M8157">
        <v>1</v>
      </c>
    </row>
    <row r="8158" spans="1:13">
      <c r="A8158" t="s">
        <v>10122</v>
      </c>
      <c r="B8158" t="s">
        <v>7000</v>
      </c>
      <c r="C8158" s="34" t="s">
        <v>1438</v>
      </c>
      <c r="F8158" t="s">
        <v>1438</v>
      </c>
      <c r="H8158">
        <v>15</v>
      </c>
      <c r="I8158">
        <f>VLOOKUP(B8158,BRAND!B:D,3,FALSE)</f>
        <v>11</v>
      </c>
      <c r="J8158">
        <v>4</v>
      </c>
      <c r="L8158">
        <v>0</v>
      </c>
      <c r="M8158">
        <v>0</v>
      </c>
    </row>
    <row r="8159" spans="1:13">
      <c r="A8159" t="s">
        <v>2895</v>
      </c>
      <c r="B8159" t="s">
        <v>1792</v>
      </c>
      <c r="C8159" s="34" t="s">
        <v>1438</v>
      </c>
      <c r="F8159" t="s">
        <v>1438</v>
      </c>
      <c r="H8159">
        <v>15</v>
      </c>
      <c r="I8159">
        <f>VLOOKUP(B8159,BRAND!B:D,3,FALSE)</f>
        <v>3</v>
      </c>
      <c r="J8159">
        <v>4</v>
      </c>
      <c r="K8159" t="s">
        <v>821</v>
      </c>
      <c r="L8159">
        <v>0</v>
      </c>
      <c r="M8159">
        <v>0</v>
      </c>
    </row>
    <row r="8160" spans="1:13">
      <c r="A8160" t="s">
        <v>3434</v>
      </c>
      <c r="B8160" t="s">
        <v>344</v>
      </c>
      <c r="C8160" s="34" t="s">
        <v>772</v>
      </c>
      <c r="F8160" t="s">
        <v>772</v>
      </c>
      <c r="H8160">
        <v>5</v>
      </c>
      <c r="I8160">
        <f>VLOOKUP(B8160,BRAND!B:D,3,FALSE)</f>
        <v>3</v>
      </c>
      <c r="J8160">
        <v>6</v>
      </c>
      <c r="K8160" t="s">
        <v>821</v>
      </c>
      <c r="L8160">
        <v>0</v>
      </c>
      <c r="M8160">
        <v>0</v>
      </c>
    </row>
    <row r="8161" spans="1:13">
      <c r="A8161" t="s">
        <v>3429</v>
      </c>
      <c r="B8161" t="s">
        <v>344</v>
      </c>
      <c r="C8161" s="34" t="s">
        <v>534</v>
      </c>
      <c r="F8161" t="s">
        <v>534</v>
      </c>
      <c r="H8161">
        <v>5</v>
      </c>
      <c r="I8161">
        <f>VLOOKUP(B8161,BRAND!B:D,3,FALSE)</f>
        <v>3</v>
      </c>
      <c r="J8161">
        <v>6</v>
      </c>
      <c r="K8161" t="s">
        <v>821</v>
      </c>
      <c r="L8161">
        <v>0</v>
      </c>
      <c r="M8161">
        <v>0</v>
      </c>
    </row>
    <row r="8162" spans="1:13">
      <c r="A8162" t="s">
        <v>6512</v>
      </c>
      <c r="B8162" t="s">
        <v>344</v>
      </c>
      <c r="C8162" s="34" t="s">
        <v>6364</v>
      </c>
      <c r="F8162" t="s">
        <v>6364</v>
      </c>
      <c r="H8162">
        <v>5</v>
      </c>
      <c r="I8162">
        <f>VLOOKUP(B8162,BRAND!B:D,3,FALSE)</f>
        <v>3</v>
      </c>
      <c r="J8162">
        <v>6</v>
      </c>
      <c r="K8162" t="s">
        <v>821</v>
      </c>
      <c r="L8162">
        <v>0</v>
      </c>
      <c r="M8162">
        <v>0</v>
      </c>
    </row>
    <row r="8163" spans="1:13">
      <c r="A8163" t="s">
        <v>3432</v>
      </c>
      <c r="B8163" t="s">
        <v>344</v>
      </c>
      <c r="C8163" s="34" t="s">
        <v>746</v>
      </c>
      <c r="F8163" t="s">
        <v>746</v>
      </c>
      <c r="H8163">
        <v>5</v>
      </c>
      <c r="I8163">
        <f>VLOOKUP(B8163,BRAND!B:D,3,FALSE)</f>
        <v>3</v>
      </c>
      <c r="J8163">
        <v>6</v>
      </c>
      <c r="K8163" t="s">
        <v>821</v>
      </c>
      <c r="M8163">
        <v>1</v>
      </c>
    </row>
    <row r="8164" spans="1:13">
      <c r="A8164" t="s">
        <v>3454</v>
      </c>
      <c r="B8164" t="s">
        <v>344</v>
      </c>
      <c r="C8164" s="34" t="s">
        <v>536</v>
      </c>
      <c r="F8164" t="s">
        <v>536</v>
      </c>
      <c r="H8164">
        <v>5</v>
      </c>
      <c r="I8164">
        <f>VLOOKUP(B8164,BRAND!B:D,3,FALSE)</f>
        <v>3</v>
      </c>
      <c r="J8164">
        <v>5</v>
      </c>
      <c r="K8164" t="s">
        <v>821</v>
      </c>
      <c r="L8164">
        <v>0</v>
      </c>
      <c r="M8164">
        <v>0</v>
      </c>
    </row>
    <row r="8165" spans="1:13">
      <c r="A8165" t="s">
        <v>2529</v>
      </c>
      <c r="B8165" t="s">
        <v>344</v>
      </c>
      <c r="C8165" s="34" t="s">
        <v>776</v>
      </c>
      <c r="F8165" t="s">
        <v>776</v>
      </c>
      <c r="H8165">
        <v>5</v>
      </c>
      <c r="I8165">
        <f>VLOOKUP(B8165,BRAND!B:D,3,FALSE)</f>
        <v>3</v>
      </c>
      <c r="J8165">
        <v>5</v>
      </c>
      <c r="K8165" t="s">
        <v>821</v>
      </c>
      <c r="L8165">
        <v>0</v>
      </c>
      <c r="M8165">
        <v>0</v>
      </c>
    </row>
    <row r="8166" spans="1:13">
      <c r="A8166" t="s">
        <v>6514</v>
      </c>
      <c r="B8166" t="s">
        <v>344</v>
      </c>
      <c r="C8166" s="34" t="s">
        <v>6503</v>
      </c>
      <c r="F8166" t="s">
        <v>903</v>
      </c>
      <c r="H8166">
        <v>5</v>
      </c>
      <c r="I8166">
        <f>VLOOKUP(B8166,BRAND!B:D,3,FALSE)</f>
        <v>3</v>
      </c>
      <c r="J8166">
        <v>4</v>
      </c>
      <c r="K8166" t="s">
        <v>821</v>
      </c>
      <c r="L8166">
        <v>0</v>
      </c>
      <c r="M8166">
        <v>0</v>
      </c>
    </row>
    <row r="8167" spans="1:13">
      <c r="A8167" t="s">
        <v>3674</v>
      </c>
      <c r="B8167" t="s">
        <v>344</v>
      </c>
      <c r="C8167" s="34" t="s">
        <v>561</v>
      </c>
      <c r="F8167" t="s">
        <v>561</v>
      </c>
      <c r="H8167">
        <v>5</v>
      </c>
      <c r="I8167">
        <f>VLOOKUP(B8167,BRAND!B:D,3,FALSE)</f>
        <v>3</v>
      </c>
      <c r="J8167">
        <v>3</v>
      </c>
      <c r="K8167" t="s">
        <v>821</v>
      </c>
      <c r="M8167">
        <v>1</v>
      </c>
    </row>
    <row r="8168" spans="1:13">
      <c r="A8168" t="s">
        <v>9895</v>
      </c>
      <c r="B8168" t="s">
        <v>344</v>
      </c>
      <c r="C8168" s="34" t="s">
        <v>794</v>
      </c>
      <c r="H8168">
        <v>5</v>
      </c>
      <c r="I8168">
        <f>VLOOKUP(B8168,BRAND!B:D,3,FALSE)</f>
        <v>3</v>
      </c>
      <c r="J8168">
        <f>LEN(F8168)</f>
        <v>0</v>
      </c>
      <c r="L8168">
        <v>0</v>
      </c>
      <c r="M8168">
        <v>0</v>
      </c>
    </row>
    <row r="8169" spans="1:13">
      <c r="A8169" t="s">
        <v>9895</v>
      </c>
      <c r="B8169" t="s">
        <v>344</v>
      </c>
      <c r="C8169" s="34" t="s">
        <v>794</v>
      </c>
      <c r="H8169">
        <v>5</v>
      </c>
      <c r="I8169">
        <f>VLOOKUP(B8169,BRAND!B:D,3,FALSE)</f>
        <v>3</v>
      </c>
      <c r="J8169">
        <v>0</v>
      </c>
      <c r="M8169">
        <v>1</v>
      </c>
    </row>
    <row r="8170" spans="1:13">
      <c r="A8170" t="s">
        <v>6515</v>
      </c>
      <c r="B8170" t="s">
        <v>344</v>
      </c>
      <c r="C8170" s="34" t="s">
        <v>6513</v>
      </c>
      <c r="F8170" t="s">
        <v>6513</v>
      </c>
      <c r="H8170">
        <v>15</v>
      </c>
      <c r="I8170">
        <f>VLOOKUP(B8170,BRAND!B:D,3,FALSE)</f>
        <v>3</v>
      </c>
      <c r="J8170">
        <v>6</v>
      </c>
      <c r="K8170" t="s">
        <v>821</v>
      </c>
      <c r="M8170">
        <v>1</v>
      </c>
    </row>
    <row r="8171" spans="1:13">
      <c r="A8171" t="s">
        <v>3779</v>
      </c>
      <c r="B8171" t="s">
        <v>1786</v>
      </c>
      <c r="C8171" s="34" t="s">
        <v>746</v>
      </c>
      <c r="F8171" t="s">
        <v>746</v>
      </c>
      <c r="H8171">
        <v>5</v>
      </c>
      <c r="I8171">
        <f>VLOOKUP(B8171,BRAND!B:D,3,FALSE)</f>
        <v>3</v>
      </c>
      <c r="J8171">
        <v>6</v>
      </c>
      <c r="K8171" t="s">
        <v>821</v>
      </c>
      <c r="L8171">
        <v>0</v>
      </c>
      <c r="M8171">
        <v>0</v>
      </c>
    </row>
    <row r="8172" spans="1:13">
      <c r="A8172" t="s">
        <v>3778</v>
      </c>
      <c r="B8172" t="s">
        <v>1786</v>
      </c>
      <c r="C8172" s="34" t="s">
        <v>534</v>
      </c>
      <c r="F8172" t="s">
        <v>534</v>
      </c>
      <c r="H8172">
        <v>5</v>
      </c>
      <c r="I8172">
        <f>VLOOKUP(B8172,BRAND!B:D,3,FALSE)</f>
        <v>3</v>
      </c>
      <c r="J8172">
        <v>6</v>
      </c>
      <c r="K8172" t="s">
        <v>821</v>
      </c>
      <c r="L8172">
        <v>0</v>
      </c>
      <c r="M8172">
        <v>0</v>
      </c>
    </row>
    <row r="8173" spans="1:13">
      <c r="A8173" t="s">
        <v>3777</v>
      </c>
      <c r="B8173" t="s">
        <v>1786</v>
      </c>
      <c r="C8173" s="34" t="s">
        <v>536</v>
      </c>
      <c r="F8173" t="s">
        <v>536</v>
      </c>
      <c r="H8173">
        <v>5</v>
      </c>
      <c r="I8173">
        <f>VLOOKUP(B8173,BRAND!B:D,3,FALSE)</f>
        <v>3</v>
      </c>
      <c r="J8173">
        <v>5</v>
      </c>
      <c r="K8173" t="s">
        <v>821</v>
      </c>
      <c r="L8173">
        <v>0</v>
      </c>
      <c r="M8173">
        <v>0</v>
      </c>
    </row>
    <row r="8174" spans="1:13">
      <c r="A8174" t="s">
        <v>9418</v>
      </c>
      <c r="B8174" t="s">
        <v>9419</v>
      </c>
      <c r="C8174" s="34" t="s">
        <v>775</v>
      </c>
      <c r="F8174" t="s">
        <v>775</v>
      </c>
      <c r="G8174" t="s">
        <v>6932</v>
      </c>
      <c r="H8174">
        <v>5</v>
      </c>
      <c r="I8174">
        <f>VLOOKUP(B8174,BRAND!B:D,3,FALSE)</f>
        <v>5.5</v>
      </c>
      <c r="J8174">
        <v>3</v>
      </c>
      <c r="M8174">
        <v>1</v>
      </c>
    </row>
    <row r="8175" spans="1:13">
      <c r="A8175" t="s">
        <v>9420</v>
      </c>
      <c r="B8175" t="s">
        <v>9421</v>
      </c>
      <c r="C8175" s="34" t="s">
        <v>1438</v>
      </c>
      <c r="F8175" t="s">
        <v>1438</v>
      </c>
      <c r="G8175" t="s">
        <v>6932</v>
      </c>
      <c r="H8175">
        <v>5</v>
      </c>
      <c r="I8175">
        <f>VLOOKUP(B8175,BRAND!B:D,3,FALSE)</f>
        <v>5.5</v>
      </c>
      <c r="J8175">
        <v>4</v>
      </c>
      <c r="M8175">
        <v>1</v>
      </c>
    </row>
    <row r="8176" spans="1:13">
      <c r="A8176" t="s">
        <v>2159</v>
      </c>
      <c r="B8176" t="s">
        <v>1009</v>
      </c>
      <c r="C8176" s="34" t="s">
        <v>534</v>
      </c>
      <c r="F8176" t="s">
        <v>534</v>
      </c>
      <c r="H8176">
        <v>5</v>
      </c>
      <c r="I8176">
        <f>VLOOKUP(B8176,BRAND!B:D,3,FALSE)</f>
        <v>3</v>
      </c>
      <c r="J8176">
        <v>6</v>
      </c>
      <c r="K8176" t="s">
        <v>821</v>
      </c>
      <c r="L8176">
        <v>0</v>
      </c>
      <c r="M8176">
        <v>0</v>
      </c>
    </row>
    <row r="8177" spans="1:13">
      <c r="A8177" t="s">
        <v>4190</v>
      </c>
      <c r="B8177" t="s">
        <v>1009</v>
      </c>
      <c r="C8177" s="34" t="s">
        <v>1438</v>
      </c>
      <c r="F8177" t="s">
        <v>1438</v>
      </c>
      <c r="H8177">
        <v>15</v>
      </c>
      <c r="I8177">
        <f>VLOOKUP(B8177,BRAND!B:D,3,FALSE)</f>
        <v>3</v>
      </c>
      <c r="J8177">
        <v>4</v>
      </c>
      <c r="K8177" t="s">
        <v>821</v>
      </c>
      <c r="L8177">
        <v>0</v>
      </c>
      <c r="M8177">
        <v>0</v>
      </c>
    </row>
    <row r="8178" spans="1:13">
      <c r="A8178" t="s">
        <v>9012</v>
      </c>
      <c r="B8178" t="s">
        <v>9013</v>
      </c>
      <c r="C8178" s="34" t="s">
        <v>1438</v>
      </c>
      <c r="F8178" t="s">
        <v>1438</v>
      </c>
      <c r="G8178" t="s">
        <v>6932</v>
      </c>
      <c r="H8178">
        <v>5</v>
      </c>
      <c r="I8178">
        <f>VLOOKUP(B8178,BRAND!B:D,3,FALSE)</f>
        <v>5.5</v>
      </c>
      <c r="J8178">
        <v>4</v>
      </c>
      <c r="L8178">
        <v>0</v>
      </c>
      <c r="M8178">
        <v>0</v>
      </c>
    </row>
    <row r="8179" spans="1:13">
      <c r="A8179" t="s">
        <v>9896</v>
      </c>
      <c r="B8179" t="s">
        <v>9013</v>
      </c>
      <c r="C8179" s="34" t="s">
        <v>561</v>
      </c>
      <c r="G8179" t="s">
        <v>6932</v>
      </c>
      <c r="H8179">
        <v>5</v>
      </c>
      <c r="I8179">
        <f>VLOOKUP(B8179,BRAND!B:D,3,FALSE)</f>
        <v>5.5</v>
      </c>
      <c r="J8179">
        <f>LEN(F8179)</f>
        <v>0</v>
      </c>
      <c r="L8179">
        <v>0</v>
      </c>
      <c r="M8179">
        <v>0</v>
      </c>
    </row>
    <row r="8180" spans="1:13">
      <c r="A8180" t="s">
        <v>9897</v>
      </c>
      <c r="B8180" t="s">
        <v>9013</v>
      </c>
      <c r="C8180" s="34" t="s">
        <v>534</v>
      </c>
      <c r="G8180" t="s">
        <v>6932</v>
      </c>
      <c r="H8180">
        <v>5</v>
      </c>
      <c r="I8180">
        <f>VLOOKUP(B8180,BRAND!B:D,3,FALSE)</f>
        <v>5.5</v>
      </c>
      <c r="J8180">
        <f>LEN(F8180)</f>
        <v>0</v>
      </c>
      <c r="L8180">
        <v>0</v>
      </c>
      <c r="M8180">
        <v>0</v>
      </c>
    </row>
    <row r="8181" spans="1:13">
      <c r="A8181" t="s">
        <v>9897</v>
      </c>
      <c r="B8181" t="s">
        <v>9013</v>
      </c>
      <c r="C8181" s="34" t="s">
        <v>534</v>
      </c>
      <c r="G8181" t="s">
        <v>6932</v>
      </c>
      <c r="H8181">
        <v>5</v>
      </c>
      <c r="I8181">
        <f>VLOOKUP(B8181,BRAND!B:D,3,FALSE)</f>
        <v>5.5</v>
      </c>
      <c r="J8181">
        <v>0</v>
      </c>
      <c r="M8181">
        <v>1</v>
      </c>
    </row>
    <row r="8182" spans="1:13">
      <c r="A8182" t="s">
        <v>9896</v>
      </c>
      <c r="B8182" t="s">
        <v>9013</v>
      </c>
      <c r="C8182" s="34" t="s">
        <v>561</v>
      </c>
      <c r="G8182" t="s">
        <v>6932</v>
      </c>
      <c r="H8182">
        <v>5</v>
      </c>
      <c r="I8182">
        <f>VLOOKUP(B8182,BRAND!B:D,3,FALSE)</f>
        <v>5.5</v>
      </c>
      <c r="J8182">
        <v>0</v>
      </c>
      <c r="M8182">
        <v>1</v>
      </c>
    </row>
    <row r="8183" spans="1:13">
      <c r="A8183" t="s">
        <v>4197</v>
      </c>
      <c r="B8183" t="s">
        <v>345</v>
      </c>
      <c r="C8183" s="34" t="s">
        <v>794</v>
      </c>
      <c r="F8183" t="s">
        <v>794</v>
      </c>
      <c r="H8183">
        <v>5</v>
      </c>
      <c r="I8183">
        <f>VLOOKUP(B8183,BRAND!B:D,3,FALSE)</f>
        <v>2</v>
      </c>
      <c r="J8183">
        <f>LEN(F8183)</f>
        <v>10</v>
      </c>
      <c r="K8183">
        <v>0</v>
      </c>
      <c r="L8183">
        <v>0</v>
      </c>
      <c r="M8183">
        <v>0</v>
      </c>
    </row>
    <row r="8184" spans="1:13">
      <c r="A8184" t="s">
        <v>9901</v>
      </c>
      <c r="B8184" t="s">
        <v>345</v>
      </c>
      <c r="C8184" s="34" t="s">
        <v>534</v>
      </c>
      <c r="F8184" t="s">
        <v>534</v>
      </c>
      <c r="H8184">
        <v>5</v>
      </c>
      <c r="I8184">
        <f>VLOOKUP(B8184,BRAND!B:D,3,FALSE)</f>
        <v>2</v>
      </c>
      <c r="J8184">
        <v>6</v>
      </c>
      <c r="M8184">
        <v>1</v>
      </c>
    </row>
    <row r="8185" spans="1:13">
      <c r="A8185" t="s">
        <v>3428</v>
      </c>
      <c r="B8185" t="s">
        <v>345</v>
      </c>
      <c r="C8185" s="34" t="s">
        <v>534</v>
      </c>
      <c r="F8185" t="s">
        <v>534</v>
      </c>
      <c r="H8185">
        <v>5</v>
      </c>
      <c r="I8185">
        <f>VLOOKUP(B8185,BRAND!B:D,3,FALSE)</f>
        <v>2</v>
      </c>
      <c r="J8185">
        <v>6</v>
      </c>
      <c r="K8185">
        <v>0</v>
      </c>
      <c r="M8185">
        <v>1</v>
      </c>
    </row>
    <row r="8186" spans="1:13">
      <c r="A8186" t="s">
        <v>2210</v>
      </c>
      <c r="B8186" t="s">
        <v>345</v>
      </c>
      <c r="C8186" s="34" t="s">
        <v>772</v>
      </c>
      <c r="F8186" t="s">
        <v>772</v>
      </c>
      <c r="H8186">
        <v>5</v>
      </c>
      <c r="I8186">
        <f>VLOOKUP(B8186,BRAND!B:D,3,FALSE)</f>
        <v>2</v>
      </c>
      <c r="J8186">
        <v>6</v>
      </c>
      <c r="K8186">
        <v>0</v>
      </c>
      <c r="M8186">
        <v>1</v>
      </c>
    </row>
    <row r="8187" spans="1:13">
      <c r="A8187" t="s">
        <v>2904</v>
      </c>
      <c r="B8187" t="s">
        <v>345</v>
      </c>
      <c r="C8187" s="34" t="s">
        <v>536</v>
      </c>
      <c r="F8187" t="s">
        <v>536</v>
      </c>
      <c r="H8187">
        <v>5</v>
      </c>
      <c r="I8187">
        <f>VLOOKUP(B8187,BRAND!B:D,3,FALSE)</f>
        <v>2</v>
      </c>
      <c r="J8187">
        <v>5</v>
      </c>
      <c r="K8187">
        <v>0</v>
      </c>
      <c r="L8187">
        <v>0</v>
      </c>
      <c r="M8187">
        <v>0</v>
      </c>
    </row>
    <row r="8188" spans="1:13">
      <c r="A8188" t="s">
        <v>9898</v>
      </c>
      <c r="B8188" t="s">
        <v>345</v>
      </c>
      <c r="C8188" s="34" t="s">
        <v>751</v>
      </c>
      <c r="F8188" t="s">
        <v>751</v>
      </c>
      <c r="H8188">
        <v>5</v>
      </c>
      <c r="I8188">
        <f>VLOOKUP(B8188,BRAND!B:D,3,FALSE)</f>
        <v>2</v>
      </c>
      <c r="J8188">
        <v>5</v>
      </c>
      <c r="M8188">
        <v>1</v>
      </c>
    </row>
    <row r="8189" spans="1:13">
      <c r="A8189" t="s">
        <v>9902</v>
      </c>
      <c r="B8189" t="s">
        <v>345</v>
      </c>
      <c r="C8189" s="34" t="s">
        <v>788</v>
      </c>
      <c r="F8189" t="s">
        <v>788</v>
      </c>
      <c r="H8189">
        <v>5</v>
      </c>
      <c r="I8189">
        <f>VLOOKUP(B8189,BRAND!B:D,3,FALSE)</f>
        <v>2</v>
      </c>
      <c r="J8189">
        <v>4</v>
      </c>
      <c r="M8189">
        <v>1</v>
      </c>
    </row>
    <row r="8190" spans="1:13">
      <c r="A8190" t="s">
        <v>2905</v>
      </c>
      <c r="B8190" t="s">
        <v>345</v>
      </c>
      <c r="C8190" s="34" t="s">
        <v>775</v>
      </c>
      <c r="F8190" t="s">
        <v>775</v>
      </c>
      <c r="H8190">
        <v>5</v>
      </c>
      <c r="I8190">
        <f>VLOOKUP(B8190,BRAND!B:D,3,FALSE)</f>
        <v>2</v>
      </c>
      <c r="J8190">
        <v>3</v>
      </c>
      <c r="K8190">
        <v>0</v>
      </c>
      <c r="L8190">
        <v>0</v>
      </c>
      <c r="M8190">
        <v>0</v>
      </c>
    </row>
    <row r="8191" spans="1:13">
      <c r="A8191" t="s">
        <v>9900</v>
      </c>
      <c r="B8191" t="s">
        <v>345</v>
      </c>
      <c r="C8191" s="34" t="s">
        <v>775</v>
      </c>
      <c r="F8191" t="s">
        <v>775</v>
      </c>
      <c r="H8191">
        <v>5</v>
      </c>
      <c r="I8191">
        <f>VLOOKUP(B8191,BRAND!B:D,3,FALSE)</f>
        <v>2</v>
      </c>
      <c r="J8191">
        <v>3</v>
      </c>
      <c r="M8191">
        <v>1</v>
      </c>
    </row>
    <row r="8192" spans="1:13">
      <c r="A8192" t="s">
        <v>9899</v>
      </c>
      <c r="B8192" t="s">
        <v>345</v>
      </c>
      <c r="C8192" s="34" t="s">
        <v>561</v>
      </c>
      <c r="F8192" t="s">
        <v>561</v>
      </c>
      <c r="H8192">
        <v>5</v>
      </c>
      <c r="I8192">
        <f>VLOOKUP(B8192,BRAND!B:D,3,FALSE)</f>
        <v>2</v>
      </c>
      <c r="J8192">
        <v>3</v>
      </c>
      <c r="M8192">
        <v>1</v>
      </c>
    </row>
    <row r="8193" spans="1:13">
      <c r="A8193" t="s">
        <v>2201</v>
      </c>
      <c r="B8193" t="s">
        <v>345</v>
      </c>
      <c r="C8193" s="34" t="s">
        <v>1438</v>
      </c>
      <c r="F8193" t="s">
        <v>1438</v>
      </c>
      <c r="H8193">
        <v>15</v>
      </c>
      <c r="I8193">
        <f>VLOOKUP(B8193,BRAND!B:D,3,FALSE)</f>
        <v>2</v>
      </c>
      <c r="J8193">
        <v>4</v>
      </c>
      <c r="K8193">
        <v>0</v>
      </c>
      <c r="L8193">
        <v>0</v>
      </c>
      <c r="M8193">
        <v>0</v>
      </c>
    </row>
    <row r="8194" spans="1:13">
      <c r="A8194" t="s">
        <v>8982</v>
      </c>
      <c r="B8194" t="s">
        <v>446</v>
      </c>
      <c r="C8194" s="34" t="s">
        <v>534</v>
      </c>
      <c r="F8194" t="s">
        <v>534</v>
      </c>
      <c r="G8194" t="s">
        <v>6932</v>
      </c>
      <c r="H8194">
        <v>5</v>
      </c>
      <c r="I8194">
        <f>VLOOKUP(B8194,BRAND!B:D,3,FALSE)</f>
        <v>3</v>
      </c>
      <c r="J8194">
        <v>6</v>
      </c>
      <c r="M8194">
        <v>1</v>
      </c>
    </row>
    <row r="8195" spans="1:13">
      <c r="A8195" t="s">
        <v>8983</v>
      </c>
      <c r="B8195" t="s">
        <v>446</v>
      </c>
      <c r="C8195" s="34" t="s">
        <v>6948</v>
      </c>
      <c r="F8195" t="s">
        <v>6948</v>
      </c>
      <c r="G8195" t="s">
        <v>6932</v>
      </c>
      <c r="H8195">
        <v>5</v>
      </c>
      <c r="I8195">
        <f>VLOOKUP(B8195,BRAND!B:D,3,FALSE)</f>
        <v>3</v>
      </c>
      <c r="J8195">
        <v>6</v>
      </c>
      <c r="M8195">
        <v>1</v>
      </c>
    </row>
    <row r="8196" spans="1:13">
      <c r="A8196" t="s">
        <v>2920</v>
      </c>
      <c r="B8196" t="s">
        <v>446</v>
      </c>
      <c r="C8196" s="34" t="s">
        <v>561</v>
      </c>
      <c r="F8196" t="s">
        <v>561</v>
      </c>
      <c r="H8196">
        <v>5</v>
      </c>
      <c r="I8196">
        <f>VLOOKUP(B8196,BRAND!B:D,3,FALSE)</f>
        <v>3</v>
      </c>
      <c r="J8196">
        <v>3</v>
      </c>
      <c r="K8196" t="s">
        <v>821</v>
      </c>
      <c r="L8196">
        <v>0</v>
      </c>
      <c r="M8196">
        <v>0</v>
      </c>
    </row>
    <row r="8197" spans="1:13">
      <c r="A8197" t="s">
        <v>9903</v>
      </c>
      <c r="B8197" t="s">
        <v>446</v>
      </c>
      <c r="C8197" s="34" t="s">
        <v>536</v>
      </c>
      <c r="H8197">
        <v>5</v>
      </c>
      <c r="I8197">
        <f>VLOOKUP(B8197,BRAND!B:D,3,FALSE)</f>
        <v>3</v>
      </c>
      <c r="J8197">
        <f>LEN(F8197)</f>
        <v>0</v>
      </c>
      <c r="L8197">
        <v>0</v>
      </c>
      <c r="M8197">
        <v>0</v>
      </c>
    </row>
    <row r="8198" spans="1:13">
      <c r="A8198" t="s">
        <v>11515</v>
      </c>
      <c r="B8198" t="s">
        <v>446</v>
      </c>
      <c r="C8198" s="34" t="s">
        <v>11020</v>
      </c>
      <c r="G8198" t="s">
        <v>6932</v>
      </c>
      <c r="H8198">
        <v>5</v>
      </c>
      <c r="I8198">
        <f>VLOOKUP(B8198,BRAND!B:D,3,FALSE)</f>
        <v>3</v>
      </c>
      <c r="J8198">
        <f>LEN(F8198)</f>
        <v>0</v>
      </c>
      <c r="L8198">
        <v>0</v>
      </c>
      <c r="M8198">
        <v>0</v>
      </c>
    </row>
    <row r="8199" spans="1:13">
      <c r="A8199" t="s">
        <v>9905</v>
      </c>
      <c r="B8199" t="s">
        <v>446</v>
      </c>
      <c r="C8199" s="34" t="s">
        <v>11984</v>
      </c>
      <c r="H8199">
        <v>5</v>
      </c>
      <c r="I8199">
        <f>VLOOKUP(B8199,BRAND!B:D,3,FALSE)</f>
        <v>3</v>
      </c>
      <c r="J8199">
        <f>LEN(F8199)</f>
        <v>0</v>
      </c>
      <c r="L8199">
        <v>0</v>
      </c>
      <c r="M8199">
        <v>0</v>
      </c>
    </row>
    <row r="8200" spans="1:13">
      <c r="A8200" t="s">
        <v>9906</v>
      </c>
      <c r="B8200" t="s">
        <v>446</v>
      </c>
      <c r="C8200" s="34" t="s">
        <v>7424</v>
      </c>
      <c r="H8200">
        <v>5</v>
      </c>
      <c r="I8200">
        <f>VLOOKUP(B8200,BRAND!B:D,3,FALSE)</f>
        <v>3</v>
      </c>
      <c r="J8200">
        <f>LEN(F8200)</f>
        <v>0</v>
      </c>
      <c r="L8200">
        <v>0</v>
      </c>
      <c r="M8200">
        <v>0</v>
      </c>
    </row>
    <row r="8201" spans="1:13">
      <c r="A8201" t="s">
        <v>9903</v>
      </c>
      <c r="B8201" t="s">
        <v>446</v>
      </c>
      <c r="C8201" s="34" t="s">
        <v>536</v>
      </c>
      <c r="H8201">
        <v>5</v>
      </c>
      <c r="I8201">
        <f>VLOOKUP(B8201,BRAND!B:D,3,FALSE)</f>
        <v>3</v>
      </c>
      <c r="J8201">
        <v>0</v>
      </c>
      <c r="M8201">
        <v>1</v>
      </c>
    </row>
    <row r="8202" spans="1:13">
      <c r="A8202" t="s">
        <v>9904</v>
      </c>
      <c r="B8202" t="s">
        <v>446</v>
      </c>
      <c r="C8202" s="34" t="s">
        <v>778</v>
      </c>
      <c r="G8202" t="s">
        <v>6932</v>
      </c>
      <c r="H8202">
        <v>5</v>
      </c>
      <c r="I8202">
        <f>VLOOKUP(B8202,BRAND!B:D,3,FALSE)</f>
        <v>3</v>
      </c>
      <c r="J8202">
        <v>0</v>
      </c>
      <c r="M8202">
        <v>1</v>
      </c>
    </row>
    <row r="8203" spans="1:13">
      <c r="A8203" t="s">
        <v>9905</v>
      </c>
      <c r="B8203" t="s">
        <v>446</v>
      </c>
      <c r="C8203" s="34" t="s">
        <v>10029</v>
      </c>
      <c r="H8203">
        <v>5</v>
      </c>
      <c r="I8203">
        <f>VLOOKUP(B8203,BRAND!B:D,3,FALSE)</f>
        <v>3</v>
      </c>
      <c r="J8203">
        <v>0</v>
      </c>
      <c r="M8203">
        <v>1</v>
      </c>
    </row>
    <row r="8204" spans="1:13">
      <c r="A8204" t="s">
        <v>9906</v>
      </c>
      <c r="B8204" t="s">
        <v>446</v>
      </c>
      <c r="C8204" s="34" t="s">
        <v>7424</v>
      </c>
      <c r="H8204">
        <v>5</v>
      </c>
      <c r="I8204">
        <f>VLOOKUP(B8204,BRAND!B:D,3,FALSE)</f>
        <v>3</v>
      </c>
      <c r="J8204">
        <v>0</v>
      </c>
      <c r="M8204">
        <v>1</v>
      </c>
    </row>
    <row r="8205" spans="1:13">
      <c r="A8205" t="s">
        <v>11505</v>
      </c>
      <c r="B8205" t="s">
        <v>446</v>
      </c>
      <c r="C8205" s="34" t="s">
        <v>10029</v>
      </c>
      <c r="F8205" t="s">
        <v>10029</v>
      </c>
      <c r="G8205" t="s">
        <v>6932</v>
      </c>
      <c r="H8205">
        <v>5</v>
      </c>
    </row>
    <row r="8206" spans="1:13">
      <c r="A8206" t="s">
        <v>11506</v>
      </c>
      <c r="B8206" t="s">
        <v>446</v>
      </c>
      <c r="C8206" s="34" t="s">
        <v>11011</v>
      </c>
      <c r="F8206" t="s">
        <v>11011</v>
      </c>
      <c r="G8206" t="s">
        <v>6932</v>
      </c>
      <c r="H8206">
        <v>5</v>
      </c>
    </row>
    <row r="8207" spans="1:13">
      <c r="A8207" t="s">
        <v>11507</v>
      </c>
      <c r="B8207" t="s">
        <v>446</v>
      </c>
      <c r="C8207" s="34" t="s">
        <v>11012</v>
      </c>
      <c r="F8207" t="s">
        <v>11012</v>
      </c>
      <c r="G8207" t="s">
        <v>6932</v>
      </c>
      <c r="H8207">
        <v>5</v>
      </c>
    </row>
    <row r="8208" spans="1:13">
      <c r="A8208" t="s">
        <v>11508</v>
      </c>
      <c r="B8208" t="s">
        <v>446</v>
      </c>
      <c r="C8208" s="34" t="s">
        <v>11013</v>
      </c>
      <c r="F8208" t="s">
        <v>11013</v>
      </c>
      <c r="G8208" t="s">
        <v>6932</v>
      </c>
      <c r="H8208">
        <v>5</v>
      </c>
    </row>
    <row r="8209" spans="1:13">
      <c r="A8209" t="s">
        <v>11509</v>
      </c>
      <c r="B8209" t="s">
        <v>446</v>
      </c>
      <c r="C8209" s="34" t="s">
        <v>11014</v>
      </c>
      <c r="F8209" t="s">
        <v>11014</v>
      </c>
      <c r="G8209" t="s">
        <v>6932</v>
      </c>
      <c r="H8209">
        <v>5</v>
      </c>
    </row>
    <row r="8210" spans="1:13">
      <c r="A8210" t="s">
        <v>11510</v>
      </c>
      <c r="B8210" t="s">
        <v>446</v>
      </c>
      <c r="C8210" s="34" t="s">
        <v>11015</v>
      </c>
      <c r="F8210" t="s">
        <v>11015</v>
      </c>
      <c r="G8210" t="s">
        <v>6932</v>
      </c>
      <c r="H8210">
        <v>5</v>
      </c>
    </row>
    <row r="8211" spans="1:13">
      <c r="A8211" t="s">
        <v>11511</v>
      </c>
      <c r="B8211" t="s">
        <v>446</v>
      </c>
      <c r="C8211" s="34" t="s">
        <v>11016</v>
      </c>
      <c r="F8211" t="s">
        <v>11016</v>
      </c>
      <c r="G8211" t="s">
        <v>6932</v>
      </c>
      <c r="H8211">
        <v>5</v>
      </c>
    </row>
    <row r="8212" spans="1:13">
      <c r="A8212" t="s">
        <v>11512</v>
      </c>
      <c r="B8212" t="s">
        <v>446</v>
      </c>
      <c r="C8212" s="34" t="s">
        <v>11017</v>
      </c>
      <c r="F8212" t="s">
        <v>11017</v>
      </c>
      <c r="G8212" t="s">
        <v>6932</v>
      </c>
      <c r="H8212">
        <v>5</v>
      </c>
    </row>
    <row r="8213" spans="1:13">
      <c r="A8213" t="s">
        <v>11513</v>
      </c>
      <c r="B8213" t="s">
        <v>446</v>
      </c>
      <c r="C8213" s="34" t="s">
        <v>11018</v>
      </c>
      <c r="F8213" t="s">
        <v>11018</v>
      </c>
      <c r="G8213" t="s">
        <v>6932</v>
      </c>
      <c r="H8213">
        <v>5</v>
      </c>
    </row>
    <row r="8214" spans="1:13">
      <c r="A8214" t="s">
        <v>11514</v>
      </c>
      <c r="B8214" t="s">
        <v>446</v>
      </c>
      <c r="C8214" s="34" t="s">
        <v>11019</v>
      </c>
      <c r="F8214" t="s">
        <v>11019</v>
      </c>
      <c r="G8214" t="s">
        <v>6932</v>
      </c>
      <c r="H8214">
        <v>5</v>
      </c>
    </row>
    <row r="8215" spans="1:13">
      <c r="A8215" t="s">
        <v>11515</v>
      </c>
      <c r="B8215" t="s">
        <v>446</v>
      </c>
      <c r="C8215" s="34" t="s">
        <v>11020</v>
      </c>
      <c r="F8215" t="s">
        <v>11020</v>
      </c>
      <c r="G8215" t="s">
        <v>6932</v>
      </c>
      <c r="H8215">
        <v>5</v>
      </c>
    </row>
    <row r="8216" spans="1:13">
      <c r="A8216" t="s">
        <v>11516</v>
      </c>
      <c r="B8216" t="s">
        <v>446</v>
      </c>
      <c r="C8216" s="34" t="s">
        <v>10029</v>
      </c>
      <c r="F8216" t="s">
        <v>10029</v>
      </c>
      <c r="G8216" t="s">
        <v>801</v>
      </c>
      <c r="H8216">
        <v>5</v>
      </c>
    </row>
    <row r="8217" spans="1:13">
      <c r="A8217" t="s">
        <v>11517</v>
      </c>
      <c r="B8217" t="s">
        <v>446</v>
      </c>
      <c r="C8217" s="34" t="s">
        <v>11021</v>
      </c>
      <c r="F8217" t="s">
        <v>11021</v>
      </c>
      <c r="G8217" t="s">
        <v>6932</v>
      </c>
      <c r="H8217">
        <v>5</v>
      </c>
    </row>
    <row r="8218" spans="1:13">
      <c r="A8218" t="s">
        <v>11518</v>
      </c>
      <c r="B8218" t="s">
        <v>446</v>
      </c>
      <c r="C8218" s="34" t="s">
        <v>840</v>
      </c>
      <c r="F8218" t="s">
        <v>840</v>
      </c>
      <c r="G8218" t="s">
        <v>6932</v>
      </c>
      <c r="H8218">
        <v>5</v>
      </c>
    </row>
    <row r="8219" spans="1:13">
      <c r="A8219" t="s">
        <v>11519</v>
      </c>
      <c r="B8219" t="s">
        <v>446</v>
      </c>
      <c r="C8219" s="34" t="s">
        <v>9470</v>
      </c>
      <c r="F8219" t="s">
        <v>9470</v>
      </c>
      <c r="G8219" t="s">
        <v>6932</v>
      </c>
      <c r="H8219">
        <v>5</v>
      </c>
    </row>
    <row r="8220" spans="1:13">
      <c r="A8220" t="s">
        <v>4954</v>
      </c>
      <c r="B8220" t="s">
        <v>446</v>
      </c>
      <c r="C8220" s="34" t="s">
        <v>1438</v>
      </c>
      <c r="F8220" t="s">
        <v>1438</v>
      </c>
      <c r="G8220" t="s">
        <v>801</v>
      </c>
      <c r="H8220">
        <v>6</v>
      </c>
      <c r="I8220">
        <f>VLOOKUP(B8220,BRAND!B:D,3,FALSE)</f>
        <v>3</v>
      </c>
      <c r="J8220">
        <v>4</v>
      </c>
      <c r="K8220" t="s">
        <v>821</v>
      </c>
      <c r="L8220">
        <v>0</v>
      </c>
      <c r="M8220">
        <v>0</v>
      </c>
    </row>
    <row r="8221" spans="1:13">
      <c r="A8221" t="s">
        <v>2751</v>
      </c>
      <c r="B8221" t="s">
        <v>446</v>
      </c>
      <c r="C8221" s="34" t="s">
        <v>1438</v>
      </c>
      <c r="F8221" t="s">
        <v>1438</v>
      </c>
      <c r="H8221">
        <v>15</v>
      </c>
      <c r="I8221">
        <f>VLOOKUP(B8221,BRAND!B:D,3,FALSE)</f>
        <v>3</v>
      </c>
      <c r="J8221">
        <v>4</v>
      </c>
      <c r="K8221" t="s">
        <v>821</v>
      </c>
      <c r="L8221">
        <v>0</v>
      </c>
      <c r="M8221">
        <v>0</v>
      </c>
    </row>
    <row r="8222" spans="1:13">
      <c r="A8222" t="str">
        <f>B8222&amp;" | "&amp;F8222&amp;" | "&amp;G8222</f>
        <v xml:space="preserve">THAI_THAI | CORE | </v>
      </c>
      <c r="B8222" t="s">
        <v>1208</v>
      </c>
      <c r="C8222" t="s">
        <v>1438</v>
      </c>
      <c r="F8222" t="s">
        <v>1438</v>
      </c>
      <c r="H8222">
        <v>5</v>
      </c>
    </row>
    <row r="8223" spans="1:13">
      <c r="A8223" t="s">
        <v>2783</v>
      </c>
      <c r="B8223" t="s">
        <v>1208</v>
      </c>
      <c r="C8223" s="34" t="s">
        <v>1438</v>
      </c>
      <c r="F8223" t="s">
        <v>1438</v>
      </c>
      <c r="H8223">
        <v>15</v>
      </c>
      <c r="I8223">
        <f>VLOOKUP(B8223,BRAND!B:D,3,FALSE)</f>
        <v>3</v>
      </c>
      <c r="J8223">
        <v>4</v>
      </c>
      <c r="K8223" t="s">
        <v>821</v>
      </c>
      <c r="L8223">
        <v>0</v>
      </c>
      <c r="M8223">
        <v>0</v>
      </c>
    </row>
    <row r="8224" spans="1:13">
      <c r="A8224" t="s">
        <v>2802</v>
      </c>
      <c r="B8224" t="s">
        <v>1370</v>
      </c>
      <c r="C8224" s="34" t="s">
        <v>1438</v>
      </c>
      <c r="F8224" t="s">
        <v>1438</v>
      </c>
      <c r="H8224">
        <v>15</v>
      </c>
      <c r="I8224">
        <f>VLOOKUP(B8224,BRAND!B:D,3,FALSE)</f>
        <v>3</v>
      </c>
      <c r="J8224">
        <v>4</v>
      </c>
      <c r="K8224" t="s">
        <v>821</v>
      </c>
      <c r="L8224">
        <v>0</v>
      </c>
      <c r="M8224">
        <v>0</v>
      </c>
    </row>
    <row r="8225" spans="1:13">
      <c r="A8225" t="s">
        <v>7086</v>
      </c>
      <c r="B8225" t="s">
        <v>6612</v>
      </c>
      <c r="C8225" s="34" t="s">
        <v>1438</v>
      </c>
      <c r="F8225" t="s">
        <v>1438</v>
      </c>
      <c r="H8225">
        <v>5</v>
      </c>
      <c r="I8225">
        <f>VLOOKUP(B8225,BRAND!B:D,3,FALSE)</f>
        <v>5</v>
      </c>
      <c r="J8225">
        <v>4</v>
      </c>
      <c r="M8225">
        <v>1</v>
      </c>
    </row>
    <row r="8226" spans="1:13">
      <c r="A8226" t="s">
        <v>7086</v>
      </c>
      <c r="B8226" t="s">
        <v>6612</v>
      </c>
      <c r="C8226" s="34" t="s">
        <v>1438</v>
      </c>
      <c r="F8226" t="s">
        <v>1438</v>
      </c>
      <c r="H8226">
        <v>5</v>
      </c>
      <c r="I8226">
        <f>VLOOKUP(B8226,BRAND!B:D,3,FALSE)</f>
        <v>5</v>
      </c>
      <c r="J8226">
        <v>4</v>
      </c>
      <c r="M8226">
        <v>1</v>
      </c>
    </row>
    <row r="8227" spans="1:13">
      <c r="A8227" t="s">
        <v>9422</v>
      </c>
      <c r="B8227" t="s">
        <v>9423</v>
      </c>
      <c r="C8227" s="34" t="s">
        <v>1438</v>
      </c>
      <c r="F8227" t="s">
        <v>1438</v>
      </c>
      <c r="G8227" t="s">
        <v>6932</v>
      </c>
      <c r="H8227">
        <v>5</v>
      </c>
      <c r="I8227">
        <f>VLOOKUP(B8227,BRAND!B:D,3,FALSE)</f>
        <v>5.5</v>
      </c>
      <c r="J8227">
        <v>4</v>
      </c>
      <c r="L8227">
        <v>1</v>
      </c>
      <c r="M8227">
        <v>1</v>
      </c>
    </row>
    <row r="8228" spans="1:13">
      <c r="A8228" t="s">
        <v>2951</v>
      </c>
      <c r="B8228" t="s">
        <v>1371</v>
      </c>
      <c r="C8228" s="34" t="s">
        <v>1438</v>
      </c>
      <c r="F8228" t="s">
        <v>1438</v>
      </c>
      <c r="H8228">
        <v>15</v>
      </c>
      <c r="I8228">
        <f>VLOOKUP(B8228,BRAND!B:D,3,FALSE)</f>
        <v>3</v>
      </c>
      <c r="J8228">
        <v>4</v>
      </c>
      <c r="K8228" t="s">
        <v>821</v>
      </c>
      <c r="L8228">
        <v>0</v>
      </c>
      <c r="M8228">
        <v>0</v>
      </c>
    </row>
    <row r="8229" spans="1:13">
      <c r="A8229" t="s">
        <v>2603</v>
      </c>
      <c r="B8229" t="s">
        <v>1139</v>
      </c>
      <c r="C8229" s="34" t="s">
        <v>536</v>
      </c>
      <c r="F8229" t="s">
        <v>536</v>
      </c>
      <c r="H8229">
        <v>5</v>
      </c>
      <c r="I8229">
        <f>VLOOKUP(B8229,BRAND!B:D,3,FALSE)</f>
        <v>3</v>
      </c>
      <c r="J8229">
        <v>5</v>
      </c>
      <c r="K8229" t="s">
        <v>821</v>
      </c>
      <c r="L8229">
        <v>0</v>
      </c>
      <c r="M8229">
        <v>0</v>
      </c>
    </row>
    <row r="8230" spans="1:13">
      <c r="A8230" t="s">
        <v>2604</v>
      </c>
      <c r="B8230" t="s">
        <v>1139</v>
      </c>
      <c r="C8230" s="34" t="s">
        <v>842</v>
      </c>
      <c r="F8230" t="s">
        <v>842</v>
      </c>
      <c r="H8230">
        <v>5</v>
      </c>
      <c r="I8230">
        <f>VLOOKUP(B8230,BRAND!B:D,3,FALSE)</f>
        <v>3</v>
      </c>
      <c r="J8230">
        <v>5</v>
      </c>
      <c r="K8230" t="s">
        <v>821</v>
      </c>
      <c r="L8230">
        <v>0</v>
      </c>
      <c r="M8230">
        <v>0</v>
      </c>
    </row>
    <row r="8231" spans="1:13">
      <c r="A8231" t="s">
        <v>2211</v>
      </c>
      <c r="B8231" t="s">
        <v>637</v>
      </c>
      <c r="C8231" s="34" t="s">
        <v>1438</v>
      </c>
      <c r="F8231" t="s">
        <v>1438</v>
      </c>
      <c r="H8231">
        <v>15</v>
      </c>
      <c r="I8231">
        <f>VLOOKUP(B8231,BRAND!B:D,3,FALSE)</f>
        <v>3</v>
      </c>
      <c r="J8231">
        <v>4</v>
      </c>
      <c r="K8231" t="s">
        <v>821</v>
      </c>
      <c r="M8231">
        <v>1</v>
      </c>
    </row>
    <row r="8232" spans="1:13">
      <c r="A8232" t="s">
        <v>8964</v>
      </c>
      <c r="B8232" t="s">
        <v>8965</v>
      </c>
      <c r="C8232" s="34" t="s">
        <v>1438</v>
      </c>
      <c r="F8232" t="s">
        <v>1438</v>
      </c>
      <c r="G8232" t="s">
        <v>6932</v>
      </c>
      <c r="H8232">
        <v>5</v>
      </c>
      <c r="I8232">
        <f>VLOOKUP(B8232,BRAND!B:D,3,FALSE)</f>
        <v>5.5</v>
      </c>
      <c r="J8232">
        <v>4</v>
      </c>
      <c r="L8232">
        <v>0</v>
      </c>
      <c r="M8232">
        <v>0</v>
      </c>
    </row>
    <row r="8233" spans="1:13">
      <c r="A8233" t="s">
        <v>9907</v>
      </c>
      <c r="B8233" t="s">
        <v>8965</v>
      </c>
      <c r="C8233" s="34" t="s">
        <v>536</v>
      </c>
      <c r="G8233" t="s">
        <v>6932</v>
      </c>
      <c r="H8233">
        <v>5</v>
      </c>
      <c r="I8233">
        <f>VLOOKUP(B8233,BRAND!B:D,3,FALSE)</f>
        <v>5.5</v>
      </c>
      <c r="J8233">
        <f>LEN(F8233)</f>
        <v>0</v>
      </c>
      <c r="L8233">
        <v>0</v>
      </c>
      <c r="M8233">
        <v>0</v>
      </c>
    </row>
    <row r="8234" spans="1:13">
      <c r="A8234" t="s">
        <v>9908</v>
      </c>
      <c r="B8234" t="s">
        <v>8965</v>
      </c>
      <c r="C8234" s="34" t="s">
        <v>534</v>
      </c>
      <c r="G8234" t="s">
        <v>6932</v>
      </c>
      <c r="H8234">
        <v>5</v>
      </c>
      <c r="I8234">
        <f>VLOOKUP(B8234,BRAND!B:D,3,FALSE)</f>
        <v>5.5</v>
      </c>
      <c r="J8234">
        <f>LEN(F8234)</f>
        <v>0</v>
      </c>
      <c r="L8234">
        <v>0</v>
      </c>
      <c r="M8234">
        <v>0</v>
      </c>
    </row>
    <row r="8235" spans="1:13">
      <c r="A8235" t="s">
        <v>9907</v>
      </c>
      <c r="B8235" t="s">
        <v>8965</v>
      </c>
      <c r="C8235" s="34" t="s">
        <v>536</v>
      </c>
      <c r="G8235" t="s">
        <v>6932</v>
      </c>
      <c r="H8235">
        <v>5</v>
      </c>
      <c r="I8235">
        <f>VLOOKUP(B8235,BRAND!B:D,3,FALSE)</f>
        <v>5.5</v>
      </c>
      <c r="J8235">
        <v>0</v>
      </c>
      <c r="M8235">
        <v>1</v>
      </c>
    </row>
    <row r="8236" spans="1:13">
      <c r="A8236" t="s">
        <v>9908</v>
      </c>
      <c r="B8236" t="s">
        <v>8965</v>
      </c>
      <c r="C8236" s="34" t="s">
        <v>534</v>
      </c>
      <c r="G8236" t="s">
        <v>6932</v>
      </c>
      <c r="H8236">
        <v>5</v>
      </c>
      <c r="I8236">
        <f>VLOOKUP(B8236,BRAND!B:D,3,FALSE)</f>
        <v>5.5</v>
      </c>
      <c r="J8236">
        <v>0</v>
      </c>
      <c r="M8236">
        <v>1</v>
      </c>
    </row>
    <row r="8237" spans="1:13">
      <c r="A8237" t="s">
        <v>8966</v>
      </c>
      <c r="B8237" t="s">
        <v>8967</v>
      </c>
      <c r="C8237" s="34" t="s">
        <v>1438</v>
      </c>
      <c r="F8237" t="s">
        <v>1438</v>
      </c>
      <c r="G8237" t="s">
        <v>6932</v>
      </c>
      <c r="H8237">
        <v>5</v>
      </c>
      <c r="I8237">
        <f>VLOOKUP(B8237,BRAND!B:D,3,FALSE)</f>
        <v>5.5</v>
      </c>
      <c r="J8237">
        <v>4</v>
      </c>
      <c r="M8237">
        <v>1</v>
      </c>
    </row>
    <row r="8238" spans="1:13">
      <c r="A8238" t="s">
        <v>1652</v>
      </c>
      <c r="B8238" t="s">
        <v>1446</v>
      </c>
      <c r="C8238" s="34" t="s">
        <v>1469</v>
      </c>
      <c r="F8238" t="s">
        <v>1469</v>
      </c>
      <c r="H8238">
        <v>4</v>
      </c>
      <c r="I8238" t="e">
        <f>VLOOKUP(B8238,BRAND!B:D,3,FALSE)</f>
        <v>#N/A</v>
      </c>
      <c r="J8238">
        <f>LEN(F8238)</f>
        <v>12</v>
      </c>
      <c r="K8238" t="s">
        <v>821</v>
      </c>
      <c r="M8238">
        <v>1</v>
      </c>
    </row>
    <row r="8239" spans="1:13">
      <c r="A8239" t="s">
        <v>4077</v>
      </c>
      <c r="B8239" t="s">
        <v>1446</v>
      </c>
      <c r="C8239" s="34" t="s">
        <v>1476</v>
      </c>
      <c r="F8239" t="s">
        <v>1476</v>
      </c>
      <c r="H8239">
        <v>5</v>
      </c>
      <c r="I8239" t="e">
        <f>VLOOKUP(B8239,BRAND!B:D,3,FALSE)</f>
        <v>#N/A</v>
      </c>
      <c r="J8239">
        <f>LEN(F8239)</f>
        <v>11</v>
      </c>
      <c r="K8239" t="s">
        <v>821</v>
      </c>
      <c r="M8239">
        <v>1</v>
      </c>
    </row>
    <row r="8240" spans="1:13">
      <c r="A8240" t="s">
        <v>4285</v>
      </c>
      <c r="B8240" t="s">
        <v>1446</v>
      </c>
      <c r="C8240" s="34" t="s">
        <v>1965</v>
      </c>
      <c r="F8240" t="s">
        <v>1965</v>
      </c>
      <c r="H8240">
        <v>5</v>
      </c>
      <c r="I8240" t="e">
        <f>VLOOKUP(B8240,BRAND!B:D,3,FALSE)</f>
        <v>#N/A</v>
      </c>
      <c r="J8240">
        <f>LEN(F8240)</f>
        <v>10</v>
      </c>
      <c r="K8240" t="s">
        <v>821</v>
      </c>
      <c r="M8240">
        <v>1</v>
      </c>
    </row>
    <row r="8241" spans="1:13">
      <c r="A8241" t="s">
        <v>4196</v>
      </c>
      <c r="B8241" t="s">
        <v>1446</v>
      </c>
      <c r="C8241" s="34" t="s">
        <v>840</v>
      </c>
      <c r="F8241" t="s">
        <v>840</v>
      </c>
      <c r="H8241">
        <v>5</v>
      </c>
      <c r="I8241" t="e">
        <f>VLOOKUP(B8241,BRAND!B:D,3,FALSE)</f>
        <v>#N/A</v>
      </c>
      <c r="J8241">
        <v>9</v>
      </c>
      <c r="K8241" t="s">
        <v>821</v>
      </c>
      <c r="M8241">
        <v>1</v>
      </c>
    </row>
    <row r="8242" spans="1:13">
      <c r="A8242" t="s">
        <v>4434</v>
      </c>
      <c r="B8242" t="s">
        <v>1446</v>
      </c>
      <c r="C8242" s="34" t="s">
        <v>534</v>
      </c>
      <c r="F8242" t="s">
        <v>534</v>
      </c>
      <c r="H8242">
        <v>5</v>
      </c>
      <c r="I8242" t="e">
        <f>VLOOKUP(B8242,BRAND!B:D,3,FALSE)</f>
        <v>#N/A</v>
      </c>
      <c r="J8242">
        <v>6</v>
      </c>
      <c r="K8242" t="s">
        <v>821</v>
      </c>
      <c r="L8242">
        <v>0</v>
      </c>
      <c r="M8242">
        <v>0</v>
      </c>
    </row>
    <row r="8243" spans="1:13">
      <c r="A8243" t="s">
        <v>1562</v>
      </c>
      <c r="B8243" t="s">
        <v>1446</v>
      </c>
      <c r="C8243" s="34" t="s">
        <v>898</v>
      </c>
      <c r="F8243" t="s">
        <v>898</v>
      </c>
      <c r="H8243">
        <v>5</v>
      </c>
      <c r="I8243" t="e">
        <f>VLOOKUP(B8243,BRAND!B:D,3,FALSE)</f>
        <v>#N/A</v>
      </c>
      <c r="J8243">
        <v>6</v>
      </c>
      <c r="K8243" t="s">
        <v>821</v>
      </c>
      <c r="M8243">
        <v>1</v>
      </c>
    </row>
    <row r="8244" spans="1:13">
      <c r="A8244" t="s">
        <v>4681</v>
      </c>
      <c r="B8244" t="s">
        <v>1446</v>
      </c>
      <c r="C8244" s="34" t="s">
        <v>746</v>
      </c>
      <c r="F8244" t="s">
        <v>746</v>
      </c>
      <c r="H8244">
        <v>5</v>
      </c>
      <c r="I8244" t="e">
        <f>VLOOKUP(B8244,BRAND!B:D,3,FALSE)</f>
        <v>#N/A</v>
      </c>
      <c r="J8244">
        <v>6</v>
      </c>
      <c r="K8244" t="s">
        <v>821</v>
      </c>
      <c r="M8244">
        <v>1</v>
      </c>
    </row>
    <row r="8245" spans="1:13">
      <c r="A8245" t="s">
        <v>1653</v>
      </c>
      <c r="B8245" t="s">
        <v>1446</v>
      </c>
      <c r="C8245" s="34" t="s">
        <v>761</v>
      </c>
      <c r="F8245" t="s">
        <v>761</v>
      </c>
      <c r="H8245">
        <v>5</v>
      </c>
      <c r="I8245" t="e">
        <f>VLOOKUP(B8245,BRAND!B:D,3,FALSE)</f>
        <v>#N/A</v>
      </c>
      <c r="J8245">
        <v>5</v>
      </c>
      <c r="K8245" t="s">
        <v>821</v>
      </c>
      <c r="M8245">
        <v>1</v>
      </c>
    </row>
    <row r="8246" spans="1:13">
      <c r="A8246" t="s">
        <v>4886</v>
      </c>
      <c r="B8246" t="s">
        <v>1446</v>
      </c>
      <c r="C8246" s="34" t="s">
        <v>1993</v>
      </c>
      <c r="F8246" t="s">
        <v>1993</v>
      </c>
      <c r="H8246">
        <v>5</v>
      </c>
      <c r="I8246" t="e">
        <f>VLOOKUP(B8246,BRAND!B:D,3,FALSE)</f>
        <v>#N/A</v>
      </c>
      <c r="J8246">
        <v>3</v>
      </c>
      <c r="K8246" t="s">
        <v>821</v>
      </c>
      <c r="L8246">
        <v>0</v>
      </c>
      <c r="M8246">
        <v>0</v>
      </c>
    </row>
    <row r="8247" spans="1:13">
      <c r="A8247" t="s">
        <v>1563</v>
      </c>
      <c r="B8247" t="s">
        <v>1446</v>
      </c>
      <c r="C8247" s="34" t="s">
        <v>1438</v>
      </c>
      <c r="F8247" t="s">
        <v>1438</v>
      </c>
      <c r="H8247">
        <v>15</v>
      </c>
      <c r="I8247" t="e">
        <f>VLOOKUP(B8247,BRAND!B:D,3,FALSE)</f>
        <v>#N/A</v>
      </c>
      <c r="J8247">
        <v>4</v>
      </c>
      <c r="K8247" t="s">
        <v>821</v>
      </c>
      <c r="M8247">
        <v>1</v>
      </c>
    </row>
    <row r="8248" spans="1:13">
      <c r="A8248" t="s">
        <v>2022</v>
      </c>
      <c r="B8248" t="s">
        <v>1853</v>
      </c>
      <c r="C8248" s="34" t="s">
        <v>1438</v>
      </c>
      <c r="F8248" t="s">
        <v>1438</v>
      </c>
      <c r="H8248">
        <v>15</v>
      </c>
      <c r="I8248">
        <f>VLOOKUP(B8248,BRAND!B:D,3,FALSE)</f>
        <v>11</v>
      </c>
      <c r="J8248">
        <v>4</v>
      </c>
      <c r="K8248" t="s">
        <v>821</v>
      </c>
      <c r="L8248">
        <v>0</v>
      </c>
      <c r="M8248">
        <v>0</v>
      </c>
    </row>
    <row r="8249" spans="1:13">
      <c r="A8249" t="s">
        <v>3137</v>
      </c>
      <c r="B8249" t="s">
        <v>191</v>
      </c>
      <c r="C8249" s="34" t="s">
        <v>536</v>
      </c>
      <c r="F8249" t="s">
        <v>536</v>
      </c>
      <c r="H8249">
        <v>5</v>
      </c>
      <c r="I8249">
        <f>VLOOKUP(B8249,BRAND!B:D,3,FALSE)</f>
        <v>3</v>
      </c>
      <c r="J8249">
        <v>5</v>
      </c>
      <c r="K8249" t="s">
        <v>821</v>
      </c>
      <c r="L8249">
        <v>0</v>
      </c>
      <c r="M8249">
        <v>0</v>
      </c>
    </row>
    <row r="8250" spans="1:13">
      <c r="A8250" t="s">
        <v>9424</v>
      </c>
      <c r="B8250" t="s">
        <v>191</v>
      </c>
      <c r="C8250" s="34" t="s">
        <v>9115</v>
      </c>
      <c r="F8250" t="s">
        <v>9115</v>
      </c>
      <c r="G8250" t="s">
        <v>6932</v>
      </c>
      <c r="H8250">
        <v>5</v>
      </c>
      <c r="I8250">
        <f>VLOOKUP(B8250,BRAND!B:D,3,FALSE)</f>
        <v>3</v>
      </c>
      <c r="J8250">
        <v>4</v>
      </c>
      <c r="M8250">
        <v>1</v>
      </c>
    </row>
    <row r="8251" spans="1:13">
      <c r="A8251" t="s">
        <v>9425</v>
      </c>
      <c r="B8251" t="s">
        <v>191</v>
      </c>
      <c r="C8251" s="34" t="s">
        <v>5544</v>
      </c>
      <c r="F8251" t="s">
        <v>5544</v>
      </c>
      <c r="G8251" t="s">
        <v>6932</v>
      </c>
      <c r="H8251">
        <v>5</v>
      </c>
      <c r="I8251">
        <f>VLOOKUP(B8251,BRAND!B:D,3,FALSE)</f>
        <v>3</v>
      </c>
      <c r="J8251">
        <v>4</v>
      </c>
      <c r="M8251">
        <v>1</v>
      </c>
    </row>
    <row r="8252" spans="1:13">
      <c r="A8252" t="s">
        <v>4427</v>
      </c>
      <c r="B8252" t="s">
        <v>191</v>
      </c>
      <c r="C8252" s="34" t="s">
        <v>775</v>
      </c>
      <c r="F8252" t="s">
        <v>775</v>
      </c>
      <c r="H8252">
        <v>5</v>
      </c>
      <c r="I8252">
        <f>VLOOKUP(B8252,BRAND!B:D,3,FALSE)</f>
        <v>3</v>
      </c>
      <c r="J8252">
        <v>3</v>
      </c>
      <c r="K8252" t="s">
        <v>821</v>
      </c>
      <c r="L8252">
        <v>0</v>
      </c>
      <c r="M8252">
        <v>0</v>
      </c>
    </row>
    <row r="8253" spans="1:13">
      <c r="A8253" t="s">
        <v>2622</v>
      </c>
      <c r="B8253" t="s">
        <v>191</v>
      </c>
      <c r="C8253" s="34" t="s">
        <v>561</v>
      </c>
      <c r="F8253" t="s">
        <v>561</v>
      </c>
      <c r="H8253">
        <v>5</v>
      </c>
      <c r="I8253">
        <f>VLOOKUP(B8253,BRAND!B:D,3,FALSE)</f>
        <v>3</v>
      </c>
      <c r="J8253">
        <v>3</v>
      </c>
      <c r="K8253" t="s">
        <v>821</v>
      </c>
      <c r="M8253">
        <v>1</v>
      </c>
    </row>
    <row r="8254" spans="1:13">
      <c r="A8254" t="s">
        <v>4988</v>
      </c>
      <c r="B8254" t="s">
        <v>191</v>
      </c>
      <c r="C8254" s="34" t="s">
        <v>536</v>
      </c>
      <c r="F8254" t="s">
        <v>536</v>
      </c>
      <c r="G8254" t="s">
        <v>801</v>
      </c>
      <c r="H8254">
        <v>6</v>
      </c>
      <c r="I8254">
        <f>VLOOKUP(B8254,BRAND!B:D,3,FALSE)</f>
        <v>3</v>
      </c>
      <c r="J8254">
        <v>5</v>
      </c>
      <c r="K8254" t="s">
        <v>821</v>
      </c>
      <c r="L8254">
        <v>0</v>
      </c>
      <c r="M8254">
        <v>0</v>
      </c>
    </row>
    <row r="8255" spans="1:13">
      <c r="A8255" t="s">
        <v>5017</v>
      </c>
      <c r="B8255" t="s">
        <v>191</v>
      </c>
      <c r="C8255" s="34" t="s">
        <v>776</v>
      </c>
      <c r="F8255" t="s">
        <v>776</v>
      </c>
      <c r="G8255" t="s">
        <v>801</v>
      </c>
      <c r="H8255">
        <v>6</v>
      </c>
      <c r="I8255">
        <f>VLOOKUP(B8255,BRAND!B:D,3,FALSE)</f>
        <v>3</v>
      </c>
      <c r="J8255">
        <v>5</v>
      </c>
      <c r="K8255" t="s">
        <v>821</v>
      </c>
      <c r="L8255">
        <v>0</v>
      </c>
      <c r="M8255">
        <v>0</v>
      </c>
    </row>
    <row r="8256" spans="1:13">
      <c r="A8256" t="s">
        <v>4931</v>
      </c>
      <c r="B8256" t="s">
        <v>191</v>
      </c>
      <c r="C8256" s="34" t="s">
        <v>1438</v>
      </c>
      <c r="F8256" t="s">
        <v>1438</v>
      </c>
      <c r="G8256" t="s">
        <v>801</v>
      </c>
      <c r="H8256">
        <v>6</v>
      </c>
      <c r="I8256">
        <f>VLOOKUP(B8256,BRAND!B:D,3,FALSE)</f>
        <v>3</v>
      </c>
      <c r="J8256">
        <v>4</v>
      </c>
      <c r="K8256" t="s">
        <v>821</v>
      </c>
      <c r="L8256">
        <v>0</v>
      </c>
      <c r="M8256">
        <v>0</v>
      </c>
    </row>
    <row r="8257" spans="1:13">
      <c r="A8257" t="s">
        <v>10885</v>
      </c>
      <c r="B8257" t="s">
        <v>191</v>
      </c>
      <c r="C8257" s="34" t="s">
        <v>561</v>
      </c>
      <c r="F8257" t="s">
        <v>561</v>
      </c>
      <c r="G8257" t="s">
        <v>801</v>
      </c>
      <c r="H8257">
        <v>6</v>
      </c>
      <c r="I8257">
        <f>VLOOKUP(B8257,BRAND!B:D,3,FALSE)</f>
        <v>3</v>
      </c>
      <c r="J8257">
        <v>3</v>
      </c>
      <c r="K8257" t="s">
        <v>821</v>
      </c>
      <c r="L8257">
        <v>0</v>
      </c>
      <c r="M8257">
        <v>0</v>
      </c>
    </row>
    <row r="8258" spans="1:13">
      <c r="A8258" t="s">
        <v>2067</v>
      </c>
      <c r="B8258" t="s">
        <v>191</v>
      </c>
      <c r="C8258" s="34" t="s">
        <v>1438</v>
      </c>
      <c r="F8258" t="s">
        <v>1438</v>
      </c>
      <c r="H8258">
        <v>15</v>
      </c>
      <c r="I8258">
        <f>VLOOKUP(B8258,BRAND!B:D,3,FALSE)</f>
        <v>3</v>
      </c>
      <c r="J8258">
        <v>4</v>
      </c>
      <c r="K8258" t="s">
        <v>821</v>
      </c>
      <c r="L8258">
        <v>0</v>
      </c>
      <c r="M8258">
        <v>0</v>
      </c>
    </row>
    <row r="8259" spans="1:13">
      <c r="A8259" t="s">
        <v>3655</v>
      </c>
      <c r="B8259" t="s">
        <v>192</v>
      </c>
      <c r="C8259" s="34" t="s">
        <v>536</v>
      </c>
      <c r="F8259" t="s">
        <v>536</v>
      </c>
      <c r="H8259">
        <v>5</v>
      </c>
      <c r="I8259">
        <f>VLOOKUP(B8259,BRAND!B:D,3,FALSE)</f>
        <v>3</v>
      </c>
      <c r="J8259">
        <v>5</v>
      </c>
      <c r="K8259" t="s">
        <v>821</v>
      </c>
      <c r="M8259">
        <v>1</v>
      </c>
    </row>
    <row r="8260" spans="1:13">
      <c r="A8260" t="s">
        <v>4958</v>
      </c>
      <c r="B8260" t="s">
        <v>192</v>
      </c>
      <c r="C8260" s="34" t="s">
        <v>1438</v>
      </c>
      <c r="F8260" t="s">
        <v>1438</v>
      </c>
      <c r="G8260" t="s">
        <v>801</v>
      </c>
      <c r="H8260">
        <v>6</v>
      </c>
      <c r="I8260">
        <f>VLOOKUP(B8260,BRAND!B:D,3,FALSE)</f>
        <v>3</v>
      </c>
      <c r="J8260">
        <v>4</v>
      </c>
      <c r="K8260" t="s">
        <v>821</v>
      </c>
      <c r="L8260">
        <v>0</v>
      </c>
      <c r="M8260">
        <v>0</v>
      </c>
    </row>
    <row r="8261" spans="1:13">
      <c r="A8261" t="s">
        <v>2114</v>
      </c>
      <c r="B8261" t="s">
        <v>192</v>
      </c>
      <c r="C8261" s="34" t="s">
        <v>1438</v>
      </c>
      <c r="F8261" t="s">
        <v>1438</v>
      </c>
      <c r="H8261">
        <v>15</v>
      </c>
      <c r="I8261">
        <f>VLOOKUP(B8261,BRAND!B:D,3,FALSE)</f>
        <v>3</v>
      </c>
      <c r="J8261">
        <v>4</v>
      </c>
      <c r="K8261" t="s">
        <v>821</v>
      </c>
      <c r="M8261">
        <v>1</v>
      </c>
    </row>
    <row r="8262" spans="1:13">
      <c r="A8262" t="s">
        <v>3516</v>
      </c>
      <c r="B8262" t="s">
        <v>379</v>
      </c>
      <c r="C8262" s="34" t="s">
        <v>780</v>
      </c>
      <c r="F8262" t="s">
        <v>780</v>
      </c>
      <c r="H8262">
        <v>5</v>
      </c>
      <c r="I8262">
        <f>VLOOKUP(B8262,BRAND!B:D,3,FALSE)</f>
        <v>3</v>
      </c>
      <c r="J8262">
        <v>6</v>
      </c>
      <c r="K8262" t="s">
        <v>821</v>
      </c>
      <c r="M8262">
        <v>1</v>
      </c>
    </row>
    <row r="8263" spans="1:13">
      <c r="A8263" t="s">
        <v>2357</v>
      </c>
      <c r="B8263" t="s">
        <v>379</v>
      </c>
      <c r="C8263" s="34" t="s">
        <v>1438</v>
      </c>
      <c r="F8263" t="s">
        <v>1438</v>
      </c>
      <c r="H8263">
        <v>15</v>
      </c>
      <c r="I8263">
        <f>VLOOKUP(B8263,BRAND!B:D,3,FALSE)</f>
        <v>3</v>
      </c>
      <c r="J8263">
        <v>4</v>
      </c>
      <c r="K8263" t="s">
        <v>821</v>
      </c>
      <c r="L8263">
        <v>0</v>
      </c>
      <c r="M8263">
        <v>0</v>
      </c>
    </row>
    <row r="8264" spans="1:13">
      <c r="A8264" t="s">
        <v>9019</v>
      </c>
      <c r="B8264" t="s">
        <v>9020</v>
      </c>
      <c r="C8264" s="34" t="s">
        <v>1438</v>
      </c>
      <c r="F8264" t="s">
        <v>1438</v>
      </c>
      <c r="G8264" t="s">
        <v>6932</v>
      </c>
      <c r="H8264">
        <v>5</v>
      </c>
      <c r="I8264">
        <f>VLOOKUP(B8264,BRAND!B:D,3,FALSE)</f>
        <v>5.5</v>
      </c>
      <c r="J8264">
        <v>4</v>
      </c>
      <c r="L8264">
        <v>0</v>
      </c>
      <c r="M8264">
        <v>0</v>
      </c>
    </row>
    <row r="8265" spans="1:13">
      <c r="A8265" t="s">
        <v>9909</v>
      </c>
      <c r="B8265" t="s">
        <v>9020</v>
      </c>
      <c r="C8265" s="34" t="s">
        <v>899</v>
      </c>
      <c r="G8265" t="s">
        <v>6932</v>
      </c>
      <c r="H8265">
        <v>5</v>
      </c>
      <c r="I8265">
        <f>VLOOKUP(B8265,BRAND!B:D,3,FALSE)</f>
        <v>5.5</v>
      </c>
      <c r="J8265">
        <f>LEN(F8265)</f>
        <v>0</v>
      </c>
      <c r="L8265">
        <v>0</v>
      </c>
      <c r="M8265">
        <v>0</v>
      </c>
    </row>
    <row r="8266" spans="1:13">
      <c r="A8266" t="s">
        <v>9910</v>
      </c>
      <c r="B8266" t="s">
        <v>9020</v>
      </c>
      <c r="C8266" s="34" t="s">
        <v>10016</v>
      </c>
      <c r="G8266" t="s">
        <v>6932</v>
      </c>
      <c r="H8266">
        <v>5</v>
      </c>
      <c r="I8266">
        <f>VLOOKUP(B8266,BRAND!B:D,3,FALSE)</f>
        <v>5.5</v>
      </c>
      <c r="J8266">
        <f>LEN(F8266)</f>
        <v>0</v>
      </c>
      <c r="L8266">
        <v>0</v>
      </c>
      <c r="M8266">
        <v>0</v>
      </c>
    </row>
    <row r="8267" spans="1:13">
      <c r="A8267" t="s">
        <v>9909</v>
      </c>
      <c r="B8267" t="s">
        <v>9020</v>
      </c>
      <c r="C8267" s="34" t="s">
        <v>899</v>
      </c>
      <c r="G8267" t="s">
        <v>6932</v>
      </c>
      <c r="H8267">
        <v>5</v>
      </c>
      <c r="I8267">
        <f>VLOOKUP(B8267,BRAND!B:D,3,FALSE)</f>
        <v>5.5</v>
      </c>
      <c r="J8267">
        <v>0</v>
      </c>
      <c r="M8267">
        <v>1</v>
      </c>
    </row>
    <row r="8268" spans="1:13">
      <c r="A8268" t="s">
        <v>9910</v>
      </c>
      <c r="B8268" t="s">
        <v>9020</v>
      </c>
      <c r="C8268" s="34" t="s">
        <v>10016</v>
      </c>
      <c r="G8268" t="s">
        <v>6932</v>
      </c>
      <c r="H8268">
        <v>5</v>
      </c>
      <c r="I8268">
        <f>VLOOKUP(B8268,BRAND!B:D,3,FALSE)</f>
        <v>5.5</v>
      </c>
      <c r="J8268">
        <v>0</v>
      </c>
      <c r="M8268">
        <v>1</v>
      </c>
    </row>
    <row r="8269" spans="1:13">
      <c r="A8269" t="s">
        <v>3659</v>
      </c>
      <c r="B8269" t="s">
        <v>380</v>
      </c>
      <c r="C8269" s="34" t="s">
        <v>861</v>
      </c>
      <c r="F8269" t="s">
        <v>861</v>
      </c>
      <c r="H8269">
        <v>5</v>
      </c>
      <c r="I8269">
        <f>VLOOKUP(B8269,BRAND!B:D,3,FALSE)</f>
        <v>3</v>
      </c>
      <c r="J8269">
        <f>LEN(F8269)</f>
        <v>11</v>
      </c>
      <c r="K8269" t="s">
        <v>821</v>
      </c>
      <c r="L8269">
        <v>0</v>
      </c>
      <c r="M8269">
        <v>0</v>
      </c>
    </row>
    <row r="8270" spans="1:13">
      <c r="A8270" t="s">
        <v>3702</v>
      </c>
      <c r="B8270" t="s">
        <v>380</v>
      </c>
      <c r="C8270" s="34" t="s">
        <v>862</v>
      </c>
      <c r="F8270" t="s">
        <v>862</v>
      </c>
      <c r="H8270">
        <v>5</v>
      </c>
      <c r="I8270">
        <f>VLOOKUP(B8270,BRAND!B:D,3,FALSE)</f>
        <v>3</v>
      </c>
      <c r="J8270">
        <f>LEN(F8270)</f>
        <v>10</v>
      </c>
      <c r="K8270" t="s">
        <v>821</v>
      </c>
      <c r="M8270">
        <v>1</v>
      </c>
    </row>
    <row r="8271" spans="1:13">
      <c r="A8271" t="s">
        <v>3751</v>
      </c>
      <c r="B8271" t="s">
        <v>380</v>
      </c>
      <c r="C8271" s="34" t="s">
        <v>798</v>
      </c>
      <c r="F8271" t="s">
        <v>798</v>
      </c>
      <c r="H8271">
        <v>5</v>
      </c>
      <c r="I8271">
        <f>VLOOKUP(B8271,BRAND!B:D,3,FALSE)</f>
        <v>3</v>
      </c>
      <c r="J8271">
        <v>9</v>
      </c>
      <c r="K8271" t="s">
        <v>821</v>
      </c>
      <c r="L8271">
        <v>0</v>
      </c>
      <c r="M8271">
        <v>0</v>
      </c>
    </row>
    <row r="8272" spans="1:13">
      <c r="A8272" t="s">
        <v>9427</v>
      </c>
      <c r="B8272" t="s">
        <v>380</v>
      </c>
      <c r="C8272" s="34" t="s">
        <v>9428</v>
      </c>
      <c r="F8272" t="s">
        <v>9428</v>
      </c>
      <c r="G8272" t="s">
        <v>6932</v>
      </c>
      <c r="H8272">
        <v>5</v>
      </c>
      <c r="I8272">
        <f>VLOOKUP(B8272,BRAND!B:D,3,FALSE)</f>
        <v>3</v>
      </c>
      <c r="J8272">
        <v>9</v>
      </c>
      <c r="M8272">
        <v>1</v>
      </c>
    </row>
    <row r="8273" spans="1:13">
      <c r="A8273" t="s">
        <v>3661</v>
      </c>
      <c r="B8273" t="s">
        <v>380</v>
      </c>
      <c r="C8273" s="34" t="s">
        <v>780</v>
      </c>
      <c r="F8273" t="s">
        <v>780</v>
      </c>
      <c r="H8273">
        <v>5</v>
      </c>
      <c r="I8273">
        <f>VLOOKUP(B8273,BRAND!B:D,3,FALSE)</f>
        <v>3</v>
      </c>
      <c r="J8273">
        <v>6</v>
      </c>
      <c r="K8273" t="s">
        <v>821</v>
      </c>
      <c r="L8273">
        <v>0</v>
      </c>
      <c r="M8273">
        <v>0</v>
      </c>
    </row>
    <row r="8274" spans="1:13">
      <c r="A8274" t="s">
        <v>3552</v>
      </c>
      <c r="B8274" t="s">
        <v>380</v>
      </c>
      <c r="C8274" s="34" t="s">
        <v>746</v>
      </c>
      <c r="F8274" t="s">
        <v>746</v>
      </c>
      <c r="H8274">
        <v>5</v>
      </c>
      <c r="I8274">
        <f>VLOOKUP(B8274,BRAND!B:D,3,FALSE)</f>
        <v>3</v>
      </c>
      <c r="J8274">
        <v>6</v>
      </c>
      <c r="K8274" t="s">
        <v>821</v>
      </c>
      <c r="M8274">
        <v>1</v>
      </c>
    </row>
    <row r="8275" spans="1:13">
      <c r="A8275" t="s">
        <v>9426</v>
      </c>
      <c r="B8275" t="s">
        <v>380</v>
      </c>
      <c r="C8275" s="34" t="s">
        <v>6629</v>
      </c>
      <c r="F8275" t="s">
        <v>6629</v>
      </c>
      <c r="G8275" t="s">
        <v>6932</v>
      </c>
      <c r="H8275">
        <v>5</v>
      </c>
      <c r="I8275">
        <f>VLOOKUP(B8275,BRAND!B:D,3,FALSE)</f>
        <v>3</v>
      </c>
      <c r="J8275">
        <v>5</v>
      </c>
      <c r="L8275">
        <v>0</v>
      </c>
      <c r="M8275">
        <v>0</v>
      </c>
    </row>
    <row r="8276" spans="1:13">
      <c r="A8276" t="s">
        <v>2425</v>
      </c>
      <c r="B8276" t="s">
        <v>380</v>
      </c>
      <c r="C8276" s="34" t="s">
        <v>881</v>
      </c>
      <c r="F8276" t="s">
        <v>881</v>
      </c>
      <c r="H8276">
        <v>5</v>
      </c>
      <c r="I8276">
        <f>VLOOKUP(B8276,BRAND!B:D,3,FALSE)</f>
        <v>3</v>
      </c>
      <c r="J8276">
        <v>5</v>
      </c>
      <c r="K8276" t="s">
        <v>821</v>
      </c>
      <c r="M8276">
        <v>1</v>
      </c>
    </row>
    <row r="8277" spans="1:13">
      <c r="A8277" t="s">
        <v>3563</v>
      </c>
      <c r="B8277" t="s">
        <v>380</v>
      </c>
      <c r="C8277" s="34" t="s">
        <v>776</v>
      </c>
      <c r="F8277" t="s">
        <v>776</v>
      </c>
      <c r="H8277">
        <v>5</v>
      </c>
      <c r="I8277">
        <f>VLOOKUP(B8277,BRAND!B:D,3,FALSE)</f>
        <v>3</v>
      </c>
      <c r="J8277">
        <v>5</v>
      </c>
      <c r="K8277" t="s">
        <v>821</v>
      </c>
      <c r="M8277">
        <v>1</v>
      </c>
    </row>
    <row r="8278" spans="1:13">
      <c r="A8278" t="s">
        <v>3563</v>
      </c>
      <c r="B8278" t="s">
        <v>380</v>
      </c>
      <c r="C8278" s="34" t="s">
        <v>776</v>
      </c>
      <c r="F8278" t="s">
        <v>776</v>
      </c>
      <c r="H8278">
        <v>5</v>
      </c>
      <c r="I8278">
        <f>VLOOKUP(B8278,BRAND!B:D,3,FALSE)</f>
        <v>3</v>
      </c>
      <c r="J8278">
        <v>5</v>
      </c>
      <c r="K8278" t="s">
        <v>821</v>
      </c>
      <c r="M8278">
        <v>1</v>
      </c>
    </row>
    <row r="8279" spans="1:13">
      <c r="A8279" t="s">
        <v>9911</v>
      </c>
      <c r="B8279" t="s">
        <v>380</v>
      </c>
      <c r="C8279" s="34" t="s">
        <v>869</v>
      </c>
      <c r="H8279">
        <v>5</v>
      </c>
      <c r="I8279">
        <f>VLOOKUP(B8279,BRAND!B:D,3,FALSE)</f>
        <v>3</v>
      </c>
      <c r="J8279">
        <f>LEN(F8279)</f>
        <v>0</v>
      </c>
      <c r="L8279">
        <v>0</v>
      </c>
      <c r="M8279">
        <v>0</v>
      </c>
    </row>
    <row r="8280" spans="1:13">
      <c r="A8280" t="s">
        <v>9912</v>
      </c>
      <c r="B8280" t="s">
        <v>380</v>
      </c>
      <c r="C8280" s="34" t="s">
        <v>10030</v>
      </c>
      <c r="H8280">
        <v>5</v>
      </c>
      <c r="I8280">
        <f>VLOOKUP(B8280,BRAND!B:D,3,FALSE)</f>
        <v>3</v>
      </c>
      <c r="J8280">
        <f>LEN(F8280)</f>
        <v>0</v>
      </c>
      <c r="L8280">
        <v>0</v>
      </c>
      <c r="M8280">
        <v>0</v>
      </c>
    </row>
    <row r="8281" spans="1:13">
      <c r="A8281" t="s">
        <v>9913</v>
      </c>
      <c r="B8281" t="s">
        <v>380</v>
      </c>
      <c r="C8281" s="34" t="s">
        <v>863</v>
      </c>
      <c r="H8281">
        <v>5</v>
      </c>
      <c r="I8281">
        <f>VLOOKUP(B8281,BRAND!B:D,3,FALSE)</f>
        <v>3</v>
      </c>
      <c r="J8281">
        <f>LEN(F8281)</f>
        <v>0</v>
      </c>
      <c r="L8281">
        <v>0</v>
      </c>
      <c r="M8281">
        <v>0</v>
      </c>
    </row>
    <row r="8282" spans="1:13">
      <c r="A8282" t="s">
        <v>9914</v>
      </c>
      <c r="B8282" t="s">
        <v>380</v>
      </c>
      <c r="C8282" s="34" t="s">
        <v>10031</v>
      </c>
      <c r="H8282">
        <v>5</v>
      </c>
      <c r="I8282">
        <f>VLOOKUP(B8282,BRAND!B:D,3,FALSE)</f>
        <v>3</v>
      </c>
      <c r="J8282">
        <f>LEN(F8282)</f>
        <v>0</v>
      </c>
      <c r="L8282">
        <v>0</v>
      </c>
      <c r="M8282">
        <v>0</v>
      </c>
    </row>
    <row r="8283" spans="1:13">
      <c r="A8283" t="s">
        <v>9915</v>
      </c>
      <c r="B8283" t="s">
        <v>380</v>
      </c>
      <c r="C8283" s="34" t="s">
        <v>913</v>
      </c>
      <c r="H8283">
        <v>5</v>
      </c>
      <c r="I8283">
        <f>VLOOKUP(B8283,BRAND!B:D,3,FALSE)</f>
        <v>3</v>
      </c>
      <c r="J8283">
        <f>LEN(F8283)</f>
        <v>0</v>
      </c>
      <c r="L8283">
        <v>0</v>
      </c>
      <c r="M8283">
        <v>0</v>
      </c>
    </row>
    <row r="8284" spans="1:13">
      <c r="A8284" t="s">
        <v>9915</v>
      </c>
      <c r="B8284" t="s">
        <v>380</v>
      </c>
      <c r="C8284" s="34" t="s">
        <v>913</v>
      </c>
      <c r="F8284" t="s">
        <v>913</v>
      </c>
      <c r="H8284">
        <v>5</v>
      </c>
      <c r="I8284">
        <f>VLOOKUP(B8284,BRAND!B:D,3,FALSE)</f>
        <v>3</v>
      </c>
      <c r="J8284">
        <v>0</v>
      </c>
      <c r="M8284">
        <v>1</v>
      </c>
    </row>
    <row r="8285" spans="1:13">
      <c r="A8285" t="s">
        <v>9914</v>
      </c>
      <c r="B8285" t="s">
        <v>380</v>
      </c>
      <c r="C8285" s="34" t="s">
        <v>10031</v>
      </c>
      <c r="H8285">
        <v>5</v>
      </c>
      <c r="I8285">
        <f>VLOOKUP(B8285,BRAND!B:D,3,FALSE)</f>
        <v>3</v>
      </c>
      <c r="J8285">
        <v>0</v>
      </c>
      <c r="M8285">
        <v>1</v>
      </c>
    </row>
    <row r="8286" spans="1:13">
      <c r="A8286" t="s">
        <v>9911</v>
      </c>
      <c r="B8286" t="s">
        <v>380</v>
      </c>
      <c r="C8286" s="34" t="s">
        <v>869</v>
      </c>
      <c r="H8286">
        <v>5</v>
      </c>
      <c r="I8286">
        <f>VLOOKUP(B8286,BRAND!B:D,3,FALSE)</f>
        <v>3</v>
      </c>
      <c r="J8286">
        <v>0</v>
      </c>
      <c r="M8286">
        <v>1</v>
      </c>
    </row>
    <row r="8287" spans="1:13">
      <c r="A8287" t="s">
        <v>9913</v>
      </c>
      <c r="B8287" t="s">
        <v>380</v>
      </c>
      <c r="C8287" s="34" t="s">
        <v>863</v>
      </c>
      <c r="H8287">
        <v>5</v>
      </c>
      <c r="I8287">
        <f>VLOOKUP(B8287,BRAND!B:D,3,FALSE)</f>
        <v>3</v>
      </c>
      <c r="J8287">
        <v>0</v>
      </c>
      <c r="M8287">
        <v>1</v>
      </c>
    </row>
    <row r="8288" spans="1:13">
      <c r="A8288" t="s">
        <v>9912</v>
      </c>
      <c r="B8288" t="s">
        <v>380</v>
      </c>
      <c r="C8288" s="34" t="s">
        <v>10030</v>
      </c>
      <c r="H8288">
        <v>5</v>
      </c>
      <c r="I8288">
        <f>VLOOKUP(B8288,BRAND!B:D,3,FALSE)</f>
        <v>3</v>
      </c>
      <c r="J8288">
        <v>0</v>
      </c>
      <c r="M8288">
        <v>1</v>
      </c>
    </row>
    <row r="8289" spans="1:13">
      <c r="A8289" t="s">
        <v>2358</v>
      </c>
      <c r="B8289" t="s">
        <v>380</v>
      </c>
      <c r="C8289" s="34" t="s">
        <v>1438</v>
      </c>
      <c r="F8289" t="s">
        <v>1438</v>
      </c>
      <c r="H8289">
        <v>15</v>
      </c>
      <c r="I8289">
        <f>VLOOKUP(B8289,BRAND!B:D,3,FALSE)</f>
        <v>3</v>
      </c>
      <c r="J8289">
        <v>4</v>
      </c>
      <c r="K8289" t="s">
        <v>821</v>
      </c>
      <c r="L8289">
        <v>0</v>
      </c>
      <c r="M8289">
        <v>0</v>
      </c>
    </row>
    <row r="8290" spans="1:13">
      <c r="A8290" t="s">
        <v>8968</v>
      </c>
      <c r="B8290" t="s">
        <v>8969</v>
      </c>
      <c r="C8290" s="34" t="s">
        <v>1438</v>
      </c>
      <c r="F8290" t="s">
        <v>1438</v>
      </c>
      <c r="G8290" t="s">
        <v>6932</v>
      </c>
      <c r="H8290">
        <v>5</v>
      </c>
      <c r="I8290">
        <f>VLOOKUP(B8290,BRAND!B:D,3,FALSE)</f>
        <v>5.5</v>
      </c>
      <c r="J8290">
        <v>4</v>
      </c>
      <c r="M8290">
        <v>1</v>
      </c>
    </row>
    <row r="8291" spans="1:13">
      <c r="A8291" t="s">
        <v>3372</v>
      </c>
      <c r="B8291" t="s">
        <v>591</v>
      </c>
      <c r="C8291" s="34" t="s">
        <v>6486</v>
      </c>
      <c r="F8291" t="s">
        <v>655</v>
      </c>
      <c r="H8291">
        <v>5</v>
      </c>
      <c r="I8291">
        <f>VLOOKUP(B8291,BRAND!B:D,3,FALSE)</f>
        <v>3</v>
      </c>
      <c r="J8291">
        <v>9</v>
      </c>
      <c r="K8291" t="s">
        <v>821</v>
      </c>
      <c r="L8291">
        <v>0</v>
      </c>
      <c r="M8291">
        <v>0</v>
      </c>
    </row>
    <row r="8292" spans="1:13">
      <c r="A8292" t="s">
        <v>6485</v>
      </c>
      <c r="B8292" t="s">
        <v>591</v>
      </c>
      <c r="C8292" s="34" t="s">
        <v>6484</v>
      </c>
      <c r="F8292" t="s">
        <v>800</v>
      </c>
      <c r="G8292" t="s">
        <v>801</v>
      </c>
      <c r="H8292">
        <v>5</v>
      </c>
      <c r="I8292">
        <f>VLOOKUP(B8292,BRAND!B:D,3,FALSE)</f>
        <v>3</v>
      </c>
      <c r="J8292">
        <v>6</v>
      </c>
      <c r="K8292" t="s">
        <v>821</v>
      </c>
      <c r="L8292">
        <v>0</v>
      </c>
      <c r="M8292">
        <v>0</v>
      </c>
    </row>
    <row r="8293" spans="1:13">
      <c r="A8293" t="s">
        <v>3968</v>
      </c>
      <c r="B8293" t="s">
        <v>591</v>
      </c>
      <c r="C8293" s="34" t="s">
        <v>6483</v>
      </c>
      <c r="F8293" t="s">
        <v>781</v>
      </c>
      <c r="H8293">
        <v>5</v>
      </c>
      <c r="I8293">
        <f>VLOOKUP(B8293,BRAND!B:D,3,FALSE)</f>
        <v>3</v>
      </c>
      <c r="J8293">
        <v>4</v>
      </c>
      <c r="K8293" t="s">
        <v>821</v>
      </c>
      <c r="M8293">
        <v>1</v>
      </c>
    </row>
    <row r="8294" spans="1:13">
      <c r="A8294" t="s">
        <v>7038</v>
      </c>
      <c r="B8294" t="s">
        <v>591</v>
      </c>
      <c r="C8294" s="34" t="s">
        <v>7039</v>
      </c>
      <c r="F8294" t="s">
        <v>7039</v>
      </c>
      <c r="H8294">
        <v>5</v>
      </c>
      <c r="I8294">
        <f>VLOOKUP(B8294,BRAND!B:D,3,FALSE)</f>
        <v>3</v>
      </c>
      <c r="J8294">
        <v>3</v>
      </c>
      <c r="M8294">
        <v>1</v>
      </c>
    </row>
    <row r="8295" spans="1:13">
      <c r="A8295" t="s">
        <v>2108</v>
      </c>
      <c r="B8295" t="s">
        <v>1209</v>
      </c>
      <c r="C8295" s="34" t="s">
        <v>1438</v>
      </c>
      <c r="F8295" t="s">
        <v>1438</v>
      </c>
      <c r="H8295">
        <v>15</v>
      </c>
      <c r="I8295">
        <f>VLOOKUP(B8295,BRAND!B:D,3,FALSE)</f>
        <v>3</v>
      </c>
      <c r="J8295">
        <v>4</v>
      </c>
      <c r="K8295" t="s">
        <v>821</v>
      </c>
      <c r="L8295">
        <v>0</v>
      </c>
      <c r="M8295">
        <v>0</v>
      </c>
    </row>
    <row r="8296" spans="1:13">
      <c r="A8296" t="s">
        <v>3622</v>
      </c>
      <c r="B8296" t="s">
        <v>1825</v>
      </c>
      <c r="C8296" s="34" t="s">
        <v>772</v>
      </c>
      <c r="F8296" t="s">
        <v>772</v>
      </c>
      <c r="H8296">
        <v>5</v>
      </c>
      <c r="I8296">
        <f>VLOOKUP(B8296,BRAND!B:D,3,FALSE)</f>
        <v>3</v>
      </c>
      <c r="J8296">
        <v>6</v>
      </c>
      <c r="K8296" t="s">
        <v>821</v>
      </c>
      <c r="L8296">
        <v>0</v>
      </c>
      <c r="M8296">
        <v>0</v>
      </c>
    </row>
    <row r="8297" spans="1:13">
      <c r="A8297" t="s">
        <v>4702</v>
      </c>
      <c r="B8297" t="s">
        <v>1825</v>
      </c>
      <c r="C8297" s="34" t="s">
        <v>1511</v>
      </c>
      <c r="F8297" t="s">
        <v>1511</v>
      </c>
      <c r="H8297">
        <v>5</v>
      </c>
      <c r="I8297">
        <f>VLOOKUP(B8297,BRAND!B:D,3,FALSE)</f>
        <v>3</v>
      </c>
      <c r="J8297">
        <v>6</v>
      </c>
      <c r="K8297" t="s">
        <v>821</v>
      </c>
      <c r="L8297">
        <v>0</v>
      </c>
      <c r="M8297">
        <v>0</v>
      </c>
    </row>
    <row r="8298" spans="1:13">
      <c r="A8298" t="s">
        <v>3621</v>
      </c>
      <c r="B8298" t="s">
        <v>1825</v>
      </c>
      <c r="C8298" s="34" t="s">
        <v>534</v>
      </c>
      <c r="F8298" t="s">
        <v>534</v>
      </c>
      <c r="H8298">
        <v>5</v>
      </c>
      <c r="I8298">
        <f>VLOOKUP(B8298,BRAND!B:D,3,FALSE)</f>
        <v>3</v>
      </c>
      <c r="J8298">
        <v>6</v>
      </c>
      <c r="K8298" t="s">
        <v>821</v>
      </c>
      <c r="L8298">
        <v>0</v>
      </c>
      <c r="M8298">
        <v>0</v>
      </c>
    </row>
    <row r="8299" spans="1:13">
      <c r="A8299" t="s">
        <v>3112</v>
      </c>
      <c r="B8299" t="s">
        <v>1825</v>
      </c>
      <c r="C8299" s="34" t="s">
        <v>872</v>
      </c>
      <c r="F8299" t="s">
        <v>872</v>
      </c>
      <c r="H8299">
        <v>5</v>
      </c>
      <c r="I8299">
        <f>VLOOKUP(B8299,BRAND!B:D,3,FALSE)</f>
        <v>3</v>
      </c>
      <c r="J8299">
        <v>5</v>
      </c>
      <c r="K8299" t="s">
        <v>821</v>
      </c>
      <c r="L8299">
        <v>0</v>
      </c>
      <c r="M8299">
        <v>0</v>
      </c>
    </row>
    <row r="8300" spans="1:13">
      <c r="A8300" t="s">
        <v>3206</v>
      </c>
      <c r="B8300" t="s">
        <v>1825</v>
      </c>
      <c r="C8300" s="34" t="s">
        <v>776</v>
      </c>
      <c r="F8300" t="s">
        <v>776</v>
      </c>
      <c r="H8300">
        <v>5</v>
      </c>
      <c r="I8300">
        <f>VLOOKUP(B8300,BRAND!B:D,3,FALSE)</f>
        <v>3</v>
      </c>
      <c r="J8300">
        <v>5</v>
      </c>
      <c r="K8300" t="s">
        <v>821</v>
      </c>
      <c r="L8300">
        <v>0</v>
      </c>
      <c r="M8300">
        <v>0</v>
      </c>
    </row>
    <row r="8301" spans="1:13">
      <c r="A8301" t="s">
        <v>4506</v>
      </c>
      <c r="B8301" t="s">
        <v>1825</v>
      </c>
      <c r="C8301" s="34" t="s">
        <v>1992</v>
      </c>
      <c r="F8301" t="s">
        <v>1992</v>
      </c>
      <c r="H8301">
        <v>5</v>
      </c>
      <c r="I8301">
        <f>VLOOKUP(B8301,BRAND!B:D,3,FALSE)</f>
        <v>3</v>
      </c>
      <c r="J8301">
        <v>3</v>
      </c>
      <c r="K8301" t="s">
        <v>821</v>
      </c>
      <c r="L8301">
        <v>0</v>
      </c>
      <c r="M8301">
        <v>0</v>
      </c>
    </row>
    <row r="8302" spans="1:13">
      <c r="A8302" t="s">
        <v>3698</v>
      </c>
      <c r="B8302" t="s">
        <v>1825</v>
      </c>
      <c r="C8302" s="34" t="s">
        <v>775</v>
      </c>
      <c r="F8302" t="s">
        <v>775</v>
      </c>
      <c r="H8302">
        <v>5</v>
      </c>
      <c r="I8302">
        <f>VLOOKUP(B8302,BRAND!B:D,3,FALSE)</f>
        <v>3</v>
      </c>
      <c r="J8302">
        <v>3</v>
      </c>
      <c r="K8302" t="s">
        <v>821</v>
      </c>
      <c r="L8302">
        <v>0</v>
      </c>
      <c r="M8302">
        <v>0</v>
      </c>
    </row>
    <row r="8303" spans="1:13">
      <c r="A8303" t="s">
        <v>2688</v>
      </c>
      <c r="B8303" t="s">
        <v>1825</v>
      </c>
      <c r="C8303" s="34" t="s">
        <v>1438</v>
      </c>
      <c r="F8303" t="s">
        <v>1438</v>
      </c>
      <c r="H8303">
        <v>15</v>
      </c>
      <c r="I8303">
        <f>VLOOKUP(B8303,BRAND!B:D,3,FALSE)</f>
        <v>3</v>
      </c>
      <c r="J8303">
        <v>4</v>
      </c>
      <c r="K8303" t="s">
        <v>821</v>
      </c>
      <c r="L8303">
        <v>0</v>
      </c>
      <c r="M8303">
        <v>0</v>
      </c>
    </row>
    <row r="8304" spans="1:13">
      <c r="A8304" t="s">
        <v>2202</v>
      </c>
      <c r="B8304" t="s">
        <v>314</v>
      </c>
      <c r="C8304" s="34" t="s">
        <v>772</v>
      </c>
      <c r="F8304" t="s">
        <v>772</v>
      </c>
      <c r="H8304">
        <v>5</v>
      </c>
      <c r="I8304">
        <f>VLOOKUP(B8304,BRAND!B:D,3,FALSE)</f>
        <v>5.5</v>
      </c>
      <c r="J8304">
        <v>6</v>
      </c>
      <c r="K8304" t="e">
        <v>#N/A</v>
      </c>
      <c r="L8304">
        <v>0</v>
      </c>
      <c r="M8304">
        <v>0</v>
      </c>
    </row>
    <row r="8305" spans="1:13">
      <c r="A8305" t="s">
        <v>9429</v>
      </c>
      <c r="B8305" t="s">
        <v>314</v>
      </c>
      <c r="C8305" s="34" t="s">
        <v>534</v>
      </c>
      <c r="F8305" t="s">
        <v>534</v>
      </c>
      <c r="G8305" t="s">
        <v>6932</v>
      </c>
      <c r="H8305">
        <v>5</v>
      </c>
      <c r="I8305">
        <f>VLOOKUP(B8305,BRAND!B:D,3,FALSE)</f>
        <v>5.5</v>
      </c>
      <c r="J8305">
        <v>6</v>
      </c>
      <c r="M8305">
        <v>1</v>
      </c>
    </row>
    <row r="8306" spans="1:13">
      <c r="A8306" t="s">
        <v>3154</v>
      </c>
      <c r="B8306" t="s">
        <v>193</v>
      </c>
      <c r="C8306" s="34" t="s">
        <v>534</v>
      </c>
      <c r="F8306" t="s">
        <v>534</v>
      </c>
      <c r="H8306">
        <v>5</v>
      </c>
      <c r="I8306">
        <f>VLOOKUP(B8306,BRAND!B:D,3,FALSE)</f>
        <v>3</v>
      </c>
      <c r="J8306">
        <v>6</v>
      </c>
      <c r="K8306" t="s">
        <v>821</v>
      </c>
      <c r="L8306">
        <v>0</v>
      </c>
      <c r="M8306">
        <v>0</v>
      </c>
    </row>
    <row r="8307" spans="1:13">
      <c r="A8307" t="s">
        <v>2702</v>
      </c>
      <c r="B8307" t="s">
        <v>193</v>
      </c>
      <c r="C8307" s="34" t="s">
        <v>1438</v>
      </c>
      <c r="F8307" t="s">
        <v>1438</v>
      </c>
      <c r="H8307">
        <v>15</v>
      </c>
      <c r="I8307">
        <f>VLOOKUP(B8307,BRAND!B:D,3,FALSE)</f>
        <v>3</v>
      </c>
      <c r="J8307">
        <v>4</v>
      </c>
      <c r="K8307" t="s">
        <v>821</v>
      </c>
      <c r="L8307">
        <v>0</v>
      </c>
      <c r="M8307">
        <v>0</v>
      </c>
    </row>
    <row r="8308" spans="1:13">
      <c r="A8308" t="s">
        <v>13201</v>
      </c>
      <c r="B8308" t="s">
        <v>12057</v>
      </c>
      <c r="C8308" s="34" t="s">
        <v>13661</v>
      </c>
      <c r="F8308" t="s">
        <v>9521</v>
      </c>
      <c r="G8308" t="s">
        <v>6932</v>
      </c>
      <c r="H8308">
        <v>5</v>
      </c>
    </row>
    <row r="8309" spans="1:13">
      <c r="A8309" t="s">
        <v>13203</v>
      </c>
      <c r="B8309" t="s">
        <v>12057</v>
      </c>
      <c r="C8309" s="34" t="s">
        <v>6616</v>
      </c>
      <c r="F8309" t="s">
        <v>6616</v>
      </c>
      <c r="G8309" t="s">
        <v>6932</v>
      </c>
      <c r="H8309">
        <v>5</v>
      </c>
    </row>
    <row r="8310" spans="1:13">
      <c r="A8310" t="s">
        <v>13204</v>
      </c>
      <c r="B8310" t="s">
        <v>12057</v>
      </c>
      <c r="C8310" s="34" t="s">
        <v>12605</v>
      </c>
      <c r="F8310" t="s">
        <v>13205</v>
      </c>
      <c r="G8310" t="s">
        <v>6932</v>
      </c>
      <c r="H8310">
        <v>5</v>
      </c>
    </row>
    <row r="8311" spans="1:13">
      <c r="A8311" t="s">
        <v>13206</v>
      </c>
      <c r="B8311" t="s">
        <v>12057</v>
      </c>
      <c r="C8311" s="34" t="s">
        <v>13207</v>
      </c>
      <c r="F8311" t="s">
        <v>13208</v>
      </c>
      <c r="G8311" t="s">
        <v>6932</v>
      </c>
      <c r="H8311">
        <v>5</v>
      </c>
    </row>
    <row r="8312" spans="1:13">
      <c r="A8312" t="s">
        <v>13209</v>
      </c>
      <c r="B8312" t="s">
        <v>12057</v>
      </c>
      <c r="C8312" s="34" t="s">
        <v>13210</v>
      </c>
      <c r="F8312" t="s">
        <v>13211</v>
      </c>
      <c r="G8312" t="s">
        <v>6932</v>
      </c>
      <c r="H8312">
        <v>5</v>
      </c>
    </row>
    <row r="8313" spans="1:13">
      <c r="A8313" t="s">
        <v>13212</v>
      </c>
      <c r="B8313" t="s">
        <v>12057</v>
      </c>
      <c r="C8313" s="34" t="s">
        <v>13213</v>
      </c>
      <c r="F8313" t="s">
        <v>13214</v>
      </c>
      <c r="G8313" t="s">
        <v>6932</v>
      </c>
      <c r="H8313">
        <v>5</v>
      </c>
    </row>
    <row r="8314" spans="1:13">
      <c r="A8314" t="s">
        <v>13215</v>
      </c>
      <c r="B8314" t="s">
        <v>12057</v>
      </c>
      <c r="C8314" s="34" t="s">
        <v>13216</v>
      </c>
      <c r="F8314" t="s">
        <v>13217</v>
      </c>
      <c r="G8314" t="s">
        <v>6932</v>
      </c>
      <c r="H8314">
        <v>5</v>
      </c>
    </row>
    <row r="8315" spans="1:13">
      <c r="A8315" t="s">
        <v>13218</v>
      </c>
      <c r="B8315" t="s">
        <v>12057</v>
      </c>
      <c r="C8315" s="34" t="s">
        <v>12506</v>
      </c>
      <c r="F8315" t="s">
        <v>13219</v>
      </c>
      <c r="G8315" t="s">
        <v>6932</v>
      </c>
      <c r="H8315">
        <v>5</v>
      </c>
    </row>
    <row r="8316" spans="1:13">
      <c r="A8316" t="s">
        <v>13220</v>
      </c>
      <c r="B8316" t="s">
        <v>12057</v>
      </c>
      <c r="C8316" s="34" t="s">
        <v>13221</v>
      </c>
      <c r="F8316" t="s">
        <v>13222</v>
      </c>
      <c r="G8316" t="s">
        <v>6932</v>
      </c>
      <c r="H8316">
        <v>5</v>
      </c>
    </row>
    <row r="8317" spans="1:13">
      <c r="A8317" t="s">
        <v>13223</v>
      </c>
      <c r="B8317" t="s">
        <v>12057</v>
      </c>
      <c r="C8317" s="34" t="s">
        <v>13224</v>
      </c>
      <c r="F8317" t="s">
        <v>13225</v>
      </c>
      <c r="G8317" t="s">
        <v>6932</v>
      </c>
      <c r="H8317">
        <v>5</v>
      </c>
    </row>
    <row r="8318" spans="1:13">
      <c r="A8318" t="s">
        <v>13226</v>
      </c>
      <c r="B8318" t="s">
        <v>12057</v>
      </c>
      <c r="C8318" s="34" t="s">
        <v>941</v>
      </c>
      <c r="F8318" t="s">
        <v>13227</v>
      </c>
      <c r="G8318" t="s">
        <v>6932</v>
      </c>
      <c r="H8318">
        <v>5</v>
      </c>
    </row>
    <row r="8319" spans="1:13">
      <c r="A8319" t="s">
        <v>13228</v>
      </c>
      <c r="B8319" t="s">
        <v>12057</v>
      </c>
      <c r="C8319" s="34" t="s">
        <v>763</v>
      </c>
      <c r="F8319" t="s">
        <v>13229</v>
      </c>
      <c r="G8319" t="s">
        <v>6932</v>
      </c>
      <c r="H8319">
        <v>5</v>
      </c>
    </row>
    <row r="8320" spans="1:13">
      <c r="A8320" t="s">
        <v>13230</v>
      </c>
      <c r="B8320" t="s">
        <v>12057</v>
      </c>
      <c r="C8320" s="34">
        <v>45</v>
      </c>
      <c r="F8320" t="s">
        <v>13231</v>
      </c>
      <c r="G8320" t="s">
        <v>6932</v>
      </c>
      <c r="H8320">
        <v>5</v>
      </c>
    </row>
    <row r="8321" spans="1:8">
      <c r="A8321" t="s">
        <v>13232</v>
      </c>
      <c r="B8321" t="s">
        <v>12057</v>
      </c>
      <c r="C8321" s="34" t="s">
        <v>13233</v>
      </c>
      <c r="F8321" t="s">
        <v>13233</v>
      </c>
      <c r="G8321" t="s">
        <v>6932</v>
      </c>
      <c r="H8321">
        <v>5</v>
      </c>
    </row>
    <row r="8322" spans="1:8">
      <c r="A8322" t="s">
        <v>13234</v>
      </c>
      <c r="B8322" t="s">
        <v>12057</v>
      </c>
      <c r="C8322" s="34" t="s">
        <v>13235</v>
      </c>
      <c r="F8322" t="s">
        <v>13235</v>
      </c>
      <c r="H8322">
        <v>5</v>
      </c>
    </row>
    <row r="8323" spans="1:8">
      <c r="A8323" t="s">
        <v>13236</v>
      </c>
      <c r="B8323" t="s">
        <v>12057</v>
      </c>
      <c r="C8323" s="34" t="s">
        <v>13237</v>
      </c>
      <c r="F8323" t="s">
        <v>13238</v>
      </c>
      <c r="G8323" t="s">
        <v>6932</v>
      </c>
      <c r="H8323">
        <v>5</v>
      </c>
    </row>
    <row r="8324" spans="1:8">
      <c r="A8324" t="s">
        <v>13239</v>
      </c>
      <c r="B8324" t="s">
        <v>12057</v>
      </c>
      <c r="C8324" s="34" t="s">
        <v>13240</v>
      </c>
      <c r="F8324" t="s">
        <v>13241</v>
      </c>
      <c r="G8324" t="s">
        <v>6932</v>
      </c>
      <c r="H8324">
        <v>5</v>
      </c>
    </row>
    <row r="8325" spans="1:8">
      <c r="A8325" t="s">
        <v>13242</v>
      </c>
      <c r="B8325" t="s">
        <v>12057</v>
      </c>
      <c r="C8325" s="34" t="s">
        <v>13243</v>
      </c>
      <c r="F8325" t="s">
        <v>13243</v>
      </c>
      <c r="G8325" t="s">
        <v>6932</v>
      </c>
      <c r="H8325">
        <v>5</v>
      </c>
    </row>
    <row r="8326" spans="1:8">
      <c r="A8326" t="s">
        <v>13244</v>
      </c>
      <c r="B8326" t="s">
        <v>12057</v>
      </c>
      <c r="C8326" s="34" t="s">
        <v>13245</v>
      </c>
      <c r="F8326" t="s">
        <v>13246</v>
      </c>
      <c r="G8326" t="s">
        <v>6932</v>
      </c>
      <c r="H8326">
        <v>5</v>
      </c>
    </row>
    <row r="8327" spans="1:8">
      <c r="A8327" t="s">
        <v>13247</v>
      </c>
      <c r="B8327" t="s">
        <v>12057</v>
      </c>
      <c r="C8327" s="34" t="s">
        <v>13248</v>
      </c>
      <c r="F8327" t="s">
        <v>13249</v>
      </c>
      <c r="G8327" t="s">
        <v>6932</v>
      </c>
      <c r="H8327">
        <v>5</v>
      </c>
    </row>
    <row r="8328" spans="1:8">
      <c r="A8328" t="s">
        <v>13250</v>
      </c>
      <c r="B8328" t="s">
        <v>12057</v>
      </c>
      <c r="C8328" s="34" t="s">
        <v>13251</v>
      </c>
      <c r="F8328" t="s">
        <v>13252</v>
      </c>
      <c r="G8328" t="s">
        <v>6932</v>
      </c>
      <c r="H8328">
        <v>5</v>
      </c>
    </row>
    <row r="8329" spans="1:8">
      <c r="A8329" t="s">
        <v>13253</v>
      </c>
      <c r="B8329" t="s">
        <v>12057</v>
      </c>
      <c r="C8329" s="34" t="s">
        <v>13254</v>
      </c>
      <c r="F8329" t="s">
        <v>13255</v>
      </c>
      <c r="G8329" t="s">
        <v>6932</v>
      </c>
      <c r="H8329">
        <v>5</v>
      </c>
    </row>
    <row r="8330" spans="1:8">
      <c r="A8330" t="s">
        <v>13256</v>
      </c>
      <c r="B8330" t="s">
        <v>12057</v>
      </c>
      <c r="C8330" s="34" t="s">
        <v>1080</v>
      </c>
      <c r="F8330" t="s">
        <v>13257</v>
      </c>
      <c r="G8330" t="s">
        <v>6932</v>
      </c>
      <c r="H8330">
        <v>5</v>
      </c>
    </row>
    <row r="8331" spans="1:8">
      <c r="A8331" t="s">
        <v>13258</v>
      </c>
      <c r="B8331" t="s">
        <v>12057</v>
      </c>
      <c r="C8331" s="34" t="s">
        <v>13259</v>
      </c>
      <c r="F8331" t="s">
        <v>13260</v>
      </c>
      <c r="G8331" t="s">
        <v>6932</v>
      </c>
      <c r="H8331">
        <v>5</v>
      </c>
    </row>
    <row r="8332" spans="1:8">
      <c r="A8332" t="s">
        <v>13261</v>
      </c>
      <c r="B8332" t="s">
        <v>12057</v>
      </c>
      <c r="C8332" s="34" t="s">
        <v>13262</v>
      </c>
      <c r="F8332" t="s">
        <v>13263</v>
      </c>
      <c r="G8332" t="s">
        <v>6932</v>
      </c>
      <c r="H8332">
        <v>5</v>
      </c>
    </row>
    <row r="8333" spans="1:8">
      <c r="A8333" t="s">
        <v>13264</v>
      </c>
      <c r="B8333" t="s">
        <v>12057</v>
      </c>
      <c r="C8333" s="34" t="s">
        <v>13265</v>
      </c>
      <c r="F8333" t="s">
        <v>13266</v>
      </c>
      <c r="G8333" t="s">
        <v>6932</v>
      </c>
      <c r="H8333">
        <v>5</v>
      </c>
    </row>
    <row r="8334" spans="1:8">
      <c r="A8334" t="s">
        <v>13267</v>
      </c>
      <c r="B8334" t="s">
        <v>12057</v>
      </c>
      <c r="C8334" s="34" t="s">
        <v>6616</v>
      </c>
      <c r="F8334" t="s">
        <v>13268</v>
      </c>
      <c r="G8334" t="s">
        <v>6932</v>
      </c>
      <c r="H8334">
        <v>5</v>
      </c>
    </row>
    <row r="8335" spans="1:8">
      <c r="A8335" t="s">
        <v>13269</v>
      </c>
      <c r="B8335" t="s">
        <v>12057</v>
      </c>
      <c r="C8335" s="34" t="s">
        <v>13259</v>
      </c>
      <c r="F8335" t="s">
        <v>13270</v>
      </c>
      <c r="G8335" t="s">
        <v>6932</v>
      </c>
      <c r="H8335">
        <v>5</v>
      </c>
    </row>
    <row r="8336" spans="1:8">
      <c r="A8336" t="s">
        <v>13271</v>
      </c>
      <c r="B8336" t="s">
        <v>12057</v>
      </c>
      <c r="C8336" s="34" t="s">
        <v>13272</v>
      </c>
      <c r="F8336" t="s">
        <v>13272</v>
      </c>
      <c r="G8336" t="s">
        <v>6932</v>
      </c>
      <c r="H8336">
        <v>5</v>
      </c>
    </row>
    <row r="8337" spans="1:13">
      <c r="A8337" t="s">
        <v>13273</v>
      </c>
      <c r="B8337" t="s">
        <v>12057</v>
      </c>
      <c r="C8337" s="34" t="s">
        <v>13274</v>
      </c>
      <c r="F8337" t="s">
        <v>13274</v>
      </c>
      <c r="G8337" t="s">
        <v>6932</v>
      </c>
      <c r="H8337">
        <v>5</v>
      </c>
    </row>
    <row r="8338" spans="1:13">
      <c r="A8338" t="s">
        <v>13275</v>
      </c>
      <c r="B8338" t="s">
        <v>12057</v>
      </c>
      <c r="C8338" s="34" t="s">
        <v>13276</v>
      </c>
      <c r="F8338" t="s">
        <v>13277</v>
      </c>
      <c r="G8338" t="s">
        <v>6932</v>
      </c>
      <c r="H8338">
        <v>5</v>
      </c>
    </row>
    <row r="8339" spans="1:13">
      <c r="A8339" t="s">
        <v>13278</v>
      </c>
      <c r="B8339" t="s">
        <v>12057</v>
      </c>
      <c r="C8339" s="34" t="s">
        <v>13279</v>
      </c>
      <c r="F8339" t="s">
        <v>13280</v>
      </c>
      <c r="G8339" t="s">
        <v>6932</v>
      </c>
      <c r="H8339">
        <v>5</v>
      </c>
    </row>
    <row r="8340" spans="1:13">
      <c r="A8340" t="s">
        <v>13281</v>
      </c>
      <c r="B8340" t="s">
        <v>12057</v>
      </c>
      <c r="C8340" s="34" t="s">
        <v>13282</v>
      </c>
      <c r="F8340" t="s">
        <v>13283</v>
      </c>
      <c r="G8340" t="s">
        <v>6932</v>
      </c>
      <c r="H8340">
        <v>5</v>
      </c>
    </row>
    <row r="8341" spans="1:13">
      <c r="A8341" t="s">
        <v>13284</v>
      </c>
      <c r="B8341" t="s">
        <v>12057</v>
      </c>
      <c r="C8341" s="34" t="s">
        <v>13285</v>
      </c>
      <c r="F8341" t="s">
        <v>13286</v>
      </c>
      <c r="G8341" t="s">
        <v>6932</v>
      </c>
      <c r="H8341">
        <v>5</v>
      </c>
    </row>
    <row r="8342" spans="1:13">
      <c r="A8342" t="s">
        <v>13287</v>
      </c>
      <c r="B8342" t="s">
        <v>12057</v>
      </c>
      <c r="C8342" s="34" t="s">
        <v>13288</v>
      </c>
      <c r="F8342" t="s">
        <v>13288</v>
      </c>
      <c r="G8342" t="s">
        <v>6932</v>
      </c>
      <c r="H8342">
        <v>5</v>
      </c>
    </row>
    <row r="8343" spans="1:13">
      <c r="A8343" t="s">
        <v>13289</v>
      </c>
      <c r="B8343" t="s">
        <v>12057</v>
      </c>
      <c r="C8343" s="34" t="s">
        <v>13290</v>
      </c>
      <c r="F8343" t="s">
        <v>13291</v>
      </c>
      <c r="G8343" t="s">
        <v>6932</v>
      </c>
      <c r="H8343">
        <v>5</v>
      </c>
    </row>
    <row r="8344" spans="1:13">
      <c r="A8344" t="s">
        <v>13292</v>
      </c>
      <c r="B8344" t="s">
        <v>12057</v>
      </c>
      <c r="C8344" s="34" t="s">
        <v>561</v>
      </c>
      <c r="F8344" t="s">
        <v>13293</v>
      </c>
      <c r="G8344" t="s">
        <v>6932</v>
      </c>
      <c r="H8344">
        <v>5</v>
      </c>
    </row>
    <row r="8345" spans="1:13">
      <c r="A8345" t="s">
        <v>13294</v>
      </c>
      <c r="B8345" t="s">
        <v>12057</v>
      </c>
      <c r="C8345" s="34" t="s">
        <v>13295</v>
      </c>
      <c r="F8345" t="s">
        <v>13296</v>
      </c>
      <c r="G8345" t="s">
        <v>6932</v>
      </c>
      <c r="H8345">
        <v>5</v>
      </c>
    </row>
    <row r="8346" spans="1:13">
      <c r="A8346" t="s">
        <v>13297</v>
      </c>
      <c r="B8346" t="s">
        <v>12057</v>
      </c>
      <c r="C8346" s="34" t="s">
        <v>12839</v>
      </c>
      <c r="F8346" t="s">
        <v>13298</v>
      </c>
      <c r="G8346" t="s">
        <v>6932</v>
      </c>
      <c r="H8346">
        <v>5</v>
      </c>
    </row>
    <row r="8347" spans="1:13">
      <c r="A8347" t="s">
        <v>13299</v>
      </c>
      <c r="B8347" t="s">
        <v>12057</v>
      </c>
      <c r="C8347" s="34" t="s">
        <v>11000</v>
      </c>
      <c r="F8347" t="s">
        <v>13300</v>
      </c>
      <c r="G8347" t="s">
        <v>6932</v>
      </c>
      <c r="H8347">
        <v>5</v>
      </c>
    </row>
    <row r="8348" spans="1:13">
      <c r="A8348" t="s">
        <v>13301</v>
      </c>
      <c r="B8348" t="s">
        <v>12057</v>
      </c>
      <c r="C8348" s="34" t="s">
        <v>13302</v>
      </c>
      <c r="F8348" t="s">
        <v>13303</v>
      </c>
      <c r="G8348" t="s">
        <v>6932</v>
      </c>
      <c r="H8348">
        <v>5</v>
      </c>
    </row>
    <row r="8349" spans="1:13">
      <c r="A8349" t="s">
        <v>13304</v>
      </c>
      <c r="B8349" t="s">
        <v>12057</v>
      </c>
      <c r="C8349" s="34" t="s">
        <v>13305</v>
      </c>
      <c r="F8349" t="s">
        <v>13306</v>
      </c>
      <c r="G8349" t="s">
        <v>6932</v>
      </c>
      <c r="H8349">
        <v>5</v>
      </c>
    </row>
    <row r="8350" spans="1:13">
      <c r="A8350" t="s">
        <v>9430</v>
      </c>
      <c r="B8350" t="s">
        <v>9431</v>
      </c>
      <c r="C8350" s="34" t="s">
        <v>561</v>
      </c>
      <c r="F8350" t="s">
        <v>561</v>
      </c>
      <c r="G8350" t="s">
        <v>6932</v>
      </c>
      <c r="H8350">
        <v>5</v>
      </c>
      <c r="I8350">
        <f>VLOOKUP(B8350,BRAND!B:D,3,FALSE)</f>
        <v>5.5</v>
      </c>
      <c r="J8350">
        <v>3</v>
      </c>
      <c r="L8350">
        <v>1</v>
      </c>
      <c r="M8350">
        <v>1</v>
      </c>
    </row>
    <row r="8351" spans="1:13">
      <c r="A8351" t="s">
        <v>2846</v>
      </c>
      <c r="B8351" t="s">
        <v>592</v>
      </c>
      <c r="C8351" s="34" t="s">
        <v>1438</v>
      </c>
      <c r="F8351" t="s">
        <v>1438</v>
      </c>
      <c r="H8351">
        <v>15</v>
      </c>
      <c r="I8351">
        <f>VLOOKUP(B8351,BRAND!B:D,3,FALSE)</f>
        <v>3</v>
      </c>
      <c r="J8351">
        <v>4</v>
      </c>
      <c r="K8351" t="s">
        <v>821</v>
      </c>
      <c r="M8351">
        <v>1</v>
      </c>
    </row>
    <row r="8352" spans="1:13">
      <c r="A8352" t="s">
        <v>10123</v>
      </c>
      <c r="B8352" t="s">
        <v>7005</v>
      </c>
      <c r="C8352" s="34" t="s">
        <v>1438</v>
      </c>
      <c r="F8352" t="s">
        <v>1438</v>
      </c>
      <c r="H8352">
        <v>15</v>
      </c>
      <c r="I8352">
        <f>VLOOKUP(B8352,BRAND!B:D,3,FALSE)</f>
        <v>11</v>
      </c>
      <c r="J8352">
        <v>4</v>
      </c>
      <c r="L8352">
        <v>0</v>
      </c>
      <c r="M8352">
        <v>0</v>
      </c>
    </row>
    <row r="8353" spans="1:13">
      <c r="A8353" t="s">
        <v>11490</v>
      </c>
      <c r="B8353" t="s">
        <v>10912</v>
      </c>
      <c r="C8353" s="34" t="s">
        <v>1438</v>
      </c>
      <c r="F8353" t="s">
        <v>1438</v>
      </c>
      <c r="G8353" t="s">
        <v>6932</v>
      </c>
      <c r="H8353">
        <v>5</v>
      </c>
    </row>
    <row r="8354" spans="1:13">
      <c r="A8354" t="s">
        <v>11491</v>
      </c>
      <c r="B8354" t="s">
        <v>10913</v>
      </c>
      <c r="C8354" s="34" t="s">
        <v>1438</v>
      </c>
      <c r="F8354" t="s">
        <v>1438</v>
      </c>
      <c r="G8354" t="s">
        <v>6932</v>
      </c>
      <c r="H8354">
        <v>5</v>
      </c>
    </row>
    <row r="8355" spans="1:13">
      <c r="A8355" t="s">
        <v>2826</v>
      </c>
      <c r="B8355" t="s">
        <v>194</v>
      </c>
      <c r="C8355" s="34" t="s">
        <v>1438</v>
      </c>
      <c r="F8355" t="s">
        <v>1438</v>
      </c>
      <c r="H8355">
        <v>15</v>
      </c>
      <c r="I8355">
        <f>VLOOKUP(B8355,BRAND!B:D,3,FALSE)</f>
        <v>3</v>
      </c>
      <c r="J8355">
        <v>4</v>
      </c>
      <c r="K8355" t="s">
        <v>821</v>
      </c>
      <c r="M8355">
        <v>1</v>
      </c>
    </row>
    <row r="8356" spans="1:13">
      <c r="A8356" t="s">
        <v>2584</v>
      </c>
      <c r="B8356" t="s">
        <v>1799</v>
      </c>
      <c r="C8356" s="34" t="s">
        <v>534</v>
      </c>
      <c r="F8356" t="s">
        <v>534</v>
      </c>
      <c r="H8356">
        <v>5</v>
      </c>
      <c r="I8356">
        <f>VLOOKUP(B8356,BRAND!B:D,3,FALSE)</f>
        <v>3</v>
      </c>
      <c r="J8356">
        <v>6</v>
      </c>
      <c r="K8356" t="s">
        <v>821</v>
      </c>
      <c r="L8356">
        <v>0</v>
      </c>
      <c r="M8356">
        <v>0</v>
      </c>
    </row>
    <row r="8357" spans="1:13">
      <c r="A8357" t="s">
        <v>2583</v>
      </c>
      <c r="B8357" t="s">
        <v>1799</v>
      </c>
      <c r="C8357" s="34" t="s">
        <v>536</v>
      </c>
      <c r="F8357" t="s">
        <v>536</v>
      </c>
      <c r="H8357">
        <v>5</v>
      </c>
      <c r="I8357">
        <f>VLOOKUP(B8357,BRAND!B:D,3,FALSE)</f>
        <v>3</v>
      </c>
      <c r="J8357">
        <v>5</v>
      </c>
      <c r="K8357" t="s">
        <v>821</v>
      </c>
      <c r="L8357">
        <v>0</v>
      </c>
      <c r="M8357">
        <v>0</v>
      </c>
    </row>
    <row r="8358" spans="1:13">
      <c r="A8358" t="s">
        <v>2585</v>
      </c>
      <c r="B8358" t="s">
        <v>1799</v>
      </c>
      <c r="C8358" s="34" t="s">
        <v>1438</v>
      </c>
      <c r="F8358" t="s">
        <v>1438</v>
      </c>
      <c r="H8358">
        <v>15</v>
      </c>
      <c r="I8358">
        <f>VLOOKUP(B8358,BRAND!B:D,3,FALSE)</f>
        <v>3</v>
      </c>
      <c r="J8358">
        <v>4</v>
      </c>
      <c r="K8358" t="s">
        <v>821</v>
      </c>
      <c r="L8358">
        <v>0</v>
      </c>
      <c r="M8358">
        <v>0</v>
      </c>
    </row>
    <row r="8359" spans="1:13">
      <c r="A8359" t="s">
        <v>9015</v>
      </c>
      <c r="B8359" t="s">
        <v>9016</v>
      </c>
      <c r="C8359" s="34" t="s">
        <v>1438</v>
      </c>
      <c r="F8359" t="s">
        <v>1438</v>
      </c>
      <c r="G8359" t="s">
        <v>6932</v>
      </c>
      <c r="H8359">
        <v>5</v>
      </c>
      <c r="I8359">
        <f>VLOOKUP(B8359,BRAND!B:D,3,FALSE)</f>
        <v>5.5</v>
      </c>
      <c r="J8359">
        <v>4</v>
      </c>
      <c r="M8359">
        <v>1</v>
      </c>
    </row>
    <row r="8360" spans="1:13">
      <c r="A8360" t="s">
        <v>6519</v>
      </c>
      <c r="B8360" t="s">
        <v>292</v>
      </c>
      <c r="C8360" s="34" t="s">
        <v>6518</v>
      </c>
      <c r="F8360" t="s">
        <v>534</v>
      </c>
      <c r="H8360">
        <v>5</v>
      </c>
      <c r="I8360">
        <f>VLOOKUP(B8360,BRAND!B:D,3,FALSE)</f>
        <v>3</v>
      </c>
      <c r="J8360">
        <v>6</v>
      </c>
      <c r="K8360" t="s">
        <v>821</v>
      </c>
      <c r="M8360">
        <v>1</v>
      </c>
    </row>
    <row r="8361" spans="1:13">
      <c r="A8361" t="s">
        <v>6520</v>
      </c>
      <c r="B8361" t="s">
        <v>292</v>
      </c>
      <c r="C8361" s="34" t="s">
        <v>6522</v>
      </c>
      <c r="F8361" t="s">
        <v>536</v>
      </c>
      <c r="H8361">
        <v>5</v>
      </c>
      <c r="I8361">
        <f>VLOOKUP(B8361,BRAND!B:D,3,FALSE)</f>
        <v>3</v>
      </c>
      <c r="J8361">
        <v>5</v>
      </c>
      <c r="K8361" t="s">
        <v>821</v>
      </c>
      <c r="M8361">
        <v>1</v>
      </c>
    </row>
    <row r="8362" spans="1:13">
      <c r="A8362" t="s">
        <v>6521</v>
      </c>
      <c r="B8362" t="s">
        <v>292</v>
      </c>
      <c r="C8362" s="34" t="s">
        <v>6517</v>
      </c>
      <c r="F8362" t="s">
        <v>842</v>
      </c>
      <c r="H8362">
        <v>5</v>
      </c>
      <c r="I8362">
        <f>VLOOKUP(B8362,BRAND!B:D,3,FALSE)</f>
        <v>3</v>
      </c>
      <c r="J8362">
        <v>5</v>
      </c>
      <c r="K8362" t="s">
        <v>821</v>
      </c>
      <c r="M8362">
        <v>1</v>
      </c>
    </row>
    <row r="8363" spans="1:13">
      <c r="A8363" t="s">
        <v>3768</v>
      </c>
      <c r="B8363" t="s">
        <v>292</v>
      </c>
      <c r="C8363" s="34" t="s">
        <v>5437</v>
      </c>
      <c r="F8363" t="s">
        <v>788</v>
      </c>
      <c r="H8363">
        <v>5</v>
      </c>
      <c r="I8363">
        <f>VLOOKUP(B8363,BRAND!B:D,3,FALSE)</f>
        <v>3</v>
      </c>
      <c r="J8363">
        <v>4</v>
      </c>
      <c r="K8363" t="s">
        <v>821</v>
      </c>
      <c r="M8363">
        <v>1</v>
      </c>
    </row>
    <row r="8364" spans="1:13">
      <c r="A8364" t="s">
        <v>9916</v>
      </c>
      <c r="B8364" t="s">
        <v>292</v>
      </c>
      <c r="C8364" s="34" t="s">
        <v>536</v>
      </c>
      <c r="H8364">
        <v>5</v>
      </c>
      <c r="I8364">
        <f>VLOOKUP(B8364,BRAND!B:D,3,FALSE)</f>
        <v>3</v>
      </c>
      <c r="J8364">
        <f>LEN(F8364)</f>
        <v>0</v>
      </c>
      <c r="L8364">
        <v>0</v>
      </c>
      <c r="M8364">
        <v>0</v>
      </c>
    </row>
    <row r="8365" spans="1:13">
      <c r="A8365" t="s">
        <v>9917</v>
      </c>
      <c r="B8365" t="s">
        <v>292</v>
      </c>
      <c r="C8365" s="34" t="s">
        <v>842</v>
      </c>
      <c r="H8365">
        <v>5</v>
      </c>
      <c r="I8365">
        <f>VLOOKUP(B8365,BRAND!B:D,3,FALSE)</f>
        <v>3</v>
      </c>
      <c r="J8365">
        <f>LEN(F8365)</f>
        <v>0</v>
      </c>
      <c r="L8365">
        <v>0</v>
      </c>
      <c r="M8365">
        <v>0</v>
      </c>
    </row>
    <row r="8366" spans="1:13">
      <c r="A8366" t="s">
        <v>9918</v>
      </c>
      <c r="B8366" t="s">
        <v>292</v>
      </c>
      <c r="C8366" s="34" t="s">
        <v>767</v>
      </c>
      <c r="H8366">
        <v>5</v>
      </c>
      <c r="I8366">
        <f>VLOOKUP(B8366,BRAND!B:D,3,FALSE)</f>
        <v>3</v>
      </c>
      <c r="J8366">
        <f>LEN(F8366)</f>
        <v>0</v>
      </c>
      <c r="L8366">
        <v>0</v>
      </c>
      <c r="M8366">
        <v>0</v>
      </c>
    </row>
    <row r="8367" spans="1:13">
      <c r="A8367" t="s">
        <v>9919</v>
      </c>
      <c r="B8367" t="s">
        <v>292</v>
      </c>
      <c r="C8367" s="34" t="s">
        <v>768</v>
      </c>
      <c r="H8367">
        <v>5</v>
      </c>
      <c r="I8367">
        <f>VLOOKUP(B8367,BRAND!B:D,3,FALSE)</f>
        <v>3</v>
      </c>
      <c r="J8367">
        <f>LEN(F8367)</f>
        <v>0</v>
      </c>
      <c r="L8367">
        <v>0</v>
      </c>
      <c r="M8367">
        <v>0</v>
      </c>
    </row>
    <row r="8368" spans="1:13">
      <c r="A8368" t="s">
        <v>9920</v>
      </c>
      <c r="B8368" t="s">
        <v>292</v>
      </c>
      <c r="C8368" s="34" t="s">
        <v>534</v>
      </c>
      <c r="H8368">
        <v>5</v>
      </c>
      <c r="I8368">
        <f>VLOOKUP(B8368,BRAND!B:D,3,FALSE)</f>
        <v>3</v>
      </c>
      <c r="J8368">
        <f>LEN(F8368)</f>
        <v>0</v>
      </c>
      <c r="L8368">
        <v>0</v>
      </c>
      <c r="M8368">
        <v>0</v>
      </c>
    </row>
    <row r="8369" spans="1:13">
      <c r="A8369" t="s">
        <v>9916</v>
      </c>
      <c r="B8369" t="s">
        <v>292</v>
      </c>
      <c r="C8369" s="34" t="s">
        <v>536</v>
      </c>
      <c r="H8369">
        <v>5</v>
      </c>
      <c r="I8369">
        <f>VLOOKUP(B8369,BRAND!B:D,3,FALSE)</f>
        <v>3</v>
      </c>
      <c r="J8369">
        <v>0</v>
      </c>
      <c r="M8369">
        <v>1</v>
      </c>
    </row>
    <row r="8370" spans="1:13">
      <c r="A8370" t="s">
        <v>9918</v>
      </c>
      <c r="B8370" t="s">
        <v>292</v>
      </c>
      <c r="C8370" s="34" t="s">
        <v>767</v>
      </c>
      <c r="H8370">
        <v>5</v>
      </c>
      <c r="I8370">
        <f>VLOOKUP(B8370,BRAND!B:D,3,FALSE)</f>
        <v>3</v>
      </c>
      <c r="J8370">
        <v>0</v>
      </c>
      <c r="M8370">
        <v>1</v>
      </c>
    </row>
    <row r="8371" spans="1:13">
      <c r="A8371" t="s">
        <v>9917</v>
      </c>
      <c r="B8371" t="s">
        <v>292</v>
      </c>
      <c r="C8371" s="34" t="s">
        <v>842</v>
      </c>
      <c r="H8371">
        <v>5</v>
      </c>
      <c r="I8371">
        <f>VLOOKUP(B8371,BRAND!B:D,3,FALSE)</f>
        <v>3</v>
      </c>
      <c r="J8371">
        <v>0</v>
      </c>
      <c r="M8371">
        <v>1</v>
      </c>
    </row>
    <row r="8372" spans="1:13">
      <c r="A8372" t="s">
        <v>9919</v>
      </c>
      <c r="B8372" t="s">
        <v>292</v>
      </c>
      <c r="C8372" s="34" t="s">
        <v>768</v>
      </c>
      <c r="H8372">
        <v>5</v>
      </c>
      <c r="I8372">
        <f>VLOOKUP(B8372,BRAND!B:D,3,FALSE)</f>
        <v>3</v>
      </c>
      <c r="J8372">
        <v>0</v>
      </c>
      <c r="M8372">
        <v>1</v>
      </c>
    </row>
    <row r="8373" spans="1:13">
      <c r="A8373" t="s">
        <v>9920</v>
      </c>
      <c r="B8373" t="s">
        <v>292</v>
      </c>
      <c r="C8373" s="34" t="s">
        <v>534</v>
      </c>
      <c r="H8373">
        <v>5</v>
      </c>
      <c r="I8373">
        <f>VLOOKUP(B8373,BRAND!B:D,3,FALSE)</f>
        <v>3</v>
      </c>
      <c r="J8373">
        <v>0</v>
      </c>
      <c r="M8373">
        <v>1</v>
      </c>
    </row>
    <row r="8374" spans="1:13">
      <c r="A8374" t="s">
        <v>3788</v>
      </c>
      <c r="B8374" t="s">
        <v>195</v>
      </c>
      <c r="C8374" s="34" t="s">
        <v>776</v>
      </c>
      <c r="F8374" t="s">
        <v>776</v>
      </c>
      <c r="H8374">
        <v>5</v>
      </c>
      <c r="I8374">
        <f>VLOOKUP(B8374,BRAND!B:D,3,FALSE)</f>
        <v>5.5</v>
      </c>
      <c r="J8374">
        <v>5</v>
      </c>
      <c r="K8374" t="e">
        <v>#N/A</v>
      </c>
      <c r="L8374">
        <v>0</v>
      </c>
      <c r="M8374">
        <v>0</v>
      </c>
    </row>
    <row r="8375" spans="1:13">
      <c r="A8375" t="s">
        <v>1639</v>
      </c>
      <c r="B8375" t="s">
        <v>1440</v>
      </c>
      <c r="C8375" s="34" t="s">
        <v>1469</v>
      </c>
      <c r="F8375" t="s">
        <v>1469</v>
      </c>
      <c r="H8375">
        <v>4</v>
      </c>
      <c r="I8375">
        <f>VLOOKUP(B8375,BRAND!B:D,3,FALSE)</f>
        <v>11</v>
      </c>
      <c r="J8375">
        <f>LEN(F8375)</f>
        <v>12</v>
      </c>
      <c r="K8375" t="s">
        <v>822</v>
      </c>
      <c r="M8375">
        <v>1</v>
      </c>
    </row>
    <row r="8376" spans="1:13">
      <c r="A8376" t="s">
        <v>1536</v>
      </c>
      <c r="B8376" t="s">
        <v>1440</v>
      </c>
      <c r="C8376" s="34" t="s">
        <v>1472</v>
      </c>
      <c r="F8376" t="s">
        <v>1472</v>
      </c>
      <c r="H8376">
        <v>5</v>
      </c>
      <c r="I8376">
        <f>VLOOKUP(B8376,BRAND!B:D,3,FALSE)</f>
        <v>11</v>
      </c>
      <c r="J8376">
        <f>LEN(F8376)</f>
        <v>11</v>
      </c>
      <c r="K8376" t="s">
        <v>822</v>
      </c>
      <c r="M8376">
        <v>1</v>
      </c>
    </row>
    <row r="8377" spans="1:13">
      <c r="A8377" t="s">
        <v>5548</v>
      </c>
      <c r="B8377" t="s">
        <v>1440</v>
      </c>
      <c r="C8377" s="34" t="s">
        <v>1478</v>
      </c>
      <c r="F8377" t="s">
        <v>1478</v>
      </c>
      <c r="H8377">
        <v>5</v>
      </c>
      <c r="I8377">
        <f>VLOOKUP(B8377,BRAND!B:D,3,FALSE)</f>
        <v>11</v>
      </c>
      <c r="J8377">
        <f>LEN(F8377)</f>
        <v>11</v>
      </c>
      <c r="K8377" t="s">
        <v>822</v>
      </c>
      <c r="M8377">
        <v>1</v>
      </c>
    </row>
    <row r="8378" spans="1:13">
      <c r="A8378" t="s">
        <v>1523</v>
      </c>
      <c r="B8378" t="s">
        <v>1440</v>
      </c>
      <c r="C8378" s="34" t="s">
        <v>1476</v>
      </c>
      <c r="F8378" t="s">
        <v>1476</v>
      </c>
      <c r="H8378">
        <v>5</v>
      </c>
      <c r="I8378">
        <f>VLOOKUP(B8378,BRAND!B:D,3,FALSE)</f>
        <v>11</v>
      </c>
      <c r="J8378">
        <f>LEN(F8378)</f>
        <v>11</v>
      </c>
      <c r="K8378" t="s">
        <v>822</v>
      </c>
      <c r="M8378">
        <v>1</v>
      </c>
    </row>
    <row r="8379" spans="1:13">
      <c r="A8379" t="s">
        <v>1692</v>
      </c>
      <c r="B8379" t="s">
        <v>1440</v>
      </c>
      <c r="C8379" s="34" t="s">
        <v>1493</v>
      </c>
      <c r="F8379" t="s">
        <v>1493</v>
      </c>
      <c r="H8379">
        <v>5</v>
      </c>
      <c r="I8379">
        <f>VLOOKUP(B8379,BRAND!B:D,3,FALSE)</f>
        <v>11</v>
      </c>
      <c r="J8379">
        <v>7</v>
      </c>
      <c r="K8379" t="s">
        <v>822</v>
      </c>
      <c r="M8379">
        <v>1</v>
      </c>
    </row>
    <row r="8380" spans="1:13">
      <c r="A8380" t="s">
        <v>1713</v>
      </c>
      <c r="B8380" t="s">
        <v>1440</v>
      </c>
      <c r="C8380" s="34" t="s">
        <v>898</v>
      </c>
      <c r="F8380" t="s">
        <v>898</v>
      </c>
      <c r="H8380">
        <v>5</v>
      </c>
      <c r="I8380">
        <f>VLOOKUP(B8380,BRAND!B:D,3,FALSE)</f>
        <v>11</v>
      </c>
      <c r="J8380">
        <v>6</v>
      </c>
      <c r="K8380" t="s">
        <v>822</v>
      </c>
      <c r="M8380">
        <v>1</v>
      </c>
    </row>
    <row r="8381" spans="1:13">
      <c r="A8381" t="s">
        <v>1683</v>
      </c>
      <c r="B8381" t="s">
        <v>1440</v>
      </c>
      <c r="C8381" s="34" t="s">
        <v>1476</v>
      </c>
      <c r="F8381" t="s">
        <v>1476</v>
      </c>
      <c r="G8381" t="s">
        <v>801</v>
      </c>
      <c r="H8381">
        <v>6</v>
      </c>
      <c r="I8381">
        <f>VLOOKUP(B8381,BRAND!B:D,3,FALSE)</f>
        <v>11</v>
      </c>
      <c r="J8381">
        <f>LEN(F8381)</f>
        <v>11</v>
      </c>
      <c r="K8381" t="s">
        <v>822</v>
      </c>
      <c r="M8381">
        <v>1</v>
      </c>
    </row>
    <row r="8382" spans="1:13">
      <c r="A8382" t="s">
        <v>5162</v>
      </c>
      <c r="B8382" t="s">
        <v>1440</v>
      </c>
      <c r="C8382" s="34" t="s">
        <v>2000</v>
      </c>
      <c r="F8382" t="s">
        <v>2000</v>
      </c>
      <c r="G8382" t="s">
        <v>801</v>
      </c>
      <c r="H8382">
        <v>6</v>
      </c>
      <c r="I8382">
        <f>VLOOKUP(B8382,BRAND!B:D,3,FALSE)</f>
        <v>11</v>
      </c>
      <c r="J8382">
        <v>5</v>
      </c>
      <c r="K8382" t="s">
        <v>822</v>
      </c>
      <c r="L8382">
        <v>0</v>
      </c>
      <c r="M8382">
        <v>0</v>
      </c>
    </row>
    <row r="8383" spans="1:13">
      <c r="A8383" t="s">
        <v>4922</v>
      </c>
      <c r="B8383" t="s">
        <v>1440</v>
      </c>
      <c r="C8383" s="34" t="s">
        <v>1438</v>
      </c>
      <c r="F8383" t="s">
        <v>1438</v>
      </c>
      <c r="G8383" t="s">
        <v>801</v>
      </c>
      <c r="H8383">
        <v>6</v>
      </c>
      <c r="I8383">
        <f>VLOOKUP(B8383,BRAND!B:D,3,FALSE)</f>
        <v>11</v>
      </c>
      <c r="J8383">
        <v>4</v>
      </c>
      <c r="K8383" t="s">
        <v>822</v>
      </c>
      <c r="M8383">
        <v>1</v>
      </c>
    </row>
    <row r="8384" spans="1:13">
      <c r="A8384" t="s">
        <v>1624</v>
      </c>
      <c r="B8384" t="s">
        <v>1440</v>
      </c>
      <c r="C8384" s="34" t="s">
        <v>1438</v>
      </c>
      <c r="F8384" t="s">
        <v>1438</v>
      </c>
      <c r="H8384">
        <v>15</v>
      </c>
      <c r="I8384">
        <f>VLOOKUP(B8384,BRAND!B:D,3,FALSE)</f>
        <v>11</v>
      </c>
      <c r="J8384">
        <v>4</v>
      </c>
      <c r="K8384" t="s">
        <v>822</v>
      </c>
      <c r="M8384">
        <v>1</v>
      </c>
    </row>
    <row r="8385" spans="1:13">
      <c r="A8385" t="s">
        <v>1640</v>
      </c>
      <c r="B8385" t="s">
        <v>734</v>
      </c>
      <c r="C8385" s="34" t="s">
        <v>1481</v>
      </c>
      <c r="F8385" t="s">
        <v>1481</v>
      </c>
      <c r="H8385">
        <v>5</v>
      </c>
      <c r="I8385">
        <f>VLOOKUP(B8385,BRAND!B:D,3,FALSE)</f>
        <v>3</v>
      </c>
      <c r="J8385">
        <f>LEN(F8385)</f>
        <v>10</v>
      </c>
      <c r="K8385" t="s">
        <v>821</v>
      </c>
      <c r="M8385">
        <v>1</v>
      </c>
    </row>
    <row r="8386" spans="1:13">
      <c r="A8386" t="s">
        <v>1564</v>
      </c>
      <c r="B8386" t="s">
        <v>734</v>
      </c>
      <c r="C8386" s="34" t="s">
        <v>1493</v>
      </c>
      <c r="F8386" t="s">
        <v>1493</v>
      </c>
      <c r="H8386">
        <v>5</v>
      </c>
      <c r="I8386">
        <f>VLOOKUP(B8386,BRAND!B:D,3,FALSE)</f>
        <v>3</v>
      </c>
      <c r="J8386">
        <v>7</v>
      </c>
      <c r="K8386" t="s">
        <v>821</v>
      </c>
      <c r="M8386">
        <v>1</v>
      </c>
    </row>
    <row r="8387" spans="1:13">
      <c r="A8387" t="s">
        <v>1620</v>
      </c>
      <c r="B8387" t="s">
        <v>734</v>
      </c>
      <c r="C8387" s="34" t="s">
        <v>898</v>
      </c>
      <c r="F8387" t="s">
        <v>898</v>
      </c>
      <c r="H8387">
        <v>5</v>
      </c>
      <c r="I8387">
        <f>VLOOKUP(B8387,BRAND!B:D,3,FALSE)</f>
        <v>3</v>
      </c>
      <c r="J8387">
        <v>6</v>
      </c>
      <c r="K8387" t="s">
        <v>821</v>
      </c>
      <c r="M8387">
        <v>1</v>
      </c>
    </row>
    <row r="8388" spans="1:13">
      <c r="A8388" t="s">
        <v>4662</v>
      </c>
      <c r="B8388" t="s">
        <v>734</v>
      </c>
      <c r="C8388" s="34" t="s">
        <v>746</v>
      </c>
      <c r="F8388" t="s">
        <v>746</v>
      </c>
      <c r="H8388">
        <v>5</v>
      </c>
      <c r="I8388">
        <f>VLOOKUP(B8388,BRAND!B:D,3,FALSE)</f>
        <v>3</v>
      </c>
      <c r="J8388">
        <v>6</v>
      </c>
      <c r="K8388" t="s">
        <v>821</v>
      </c>
      <c r="L8388" s="29"/>
      <c r="M8388">
        <v>1</v>
      </c>
    </row>
    <row r="8389" spans="1:13">
      <c r="A8389" t="s">
        <v>1527</v>
      </c>
      <c r="B8389" t="s">
        <v>734</v>
      </c>
      <c r="C8389" s="34" t="s">
        <v>995</v>
      </c>
      <c r="F8389" t="s">
        <v>995</v>
      </c>
      <c r="H8389">
        <v>5</v>
      </c>
      <c r="I8389">
        <f>VLOOKUP(B8389,BRAND!B:D,3,FALSE)</f>
        <v>3</v>
      </c>
      <c r="J8389">
        <v>6</v>
      </c>
      <c r="K8389" t="s">
        <v>821</v>
      </c>
      <c r="M8389">
        <v>1</v>
      </c>
    </row>
    <row r="8390" spans="1:13">
      <c r="A8390" t="s">
        <v>4307</v>
      </c>
      <c r="B8390" t="s">
        <v>734</v>
      </c>
      <c r="C8390" s="34" t="s">
        <v>750</v>
      </c>
      <c r="F8390" t="s">
        <v>750</v>
      </c>
      <c r="H8390">
        <v>5</v>
      </c>
      <c r="I8390">
        <f>VLOOKUP(B8390,BRAND!B:D,3,FALSE)</f>
        <v>3</v>
      </c>
      <c r="J8390">
        <v>6</v>
      </c>
      <c r="K8390" t="s">
        <v>821</v>
      </c>
      <c r="M8390">
        <v>1</v>
      </c>
    </row>
    <row r="8391" spans="1:13">
      <c r="A8391" t="s">
        <v>4332</v>
      </c>
      <c r="B8391" t="s">
        <v>734</v>
      </c>
      <c r="C8391" s="34" t="s">
        <v>764</v>
      </c>
      <c r="F8391" t="s">
        <v>764</v>
      </c>
      <c r="H8391">
        <v>5</v>
      </c>
      <c r="I8391">
        <f>VLOOKUP(B8391,BRAND!B:D,3,FALSE)</f>
        <v>3</v>
      </c>
      <c r="J8391">
        <v>5</v>
      </c>
      <c r="K8391" t="s">
        <v>821</v>
      </c>
      <c r="M8391">
        <v>1</v>
      </c>
    </row>
    <row r="8392" spans="1:13">
      <c r="A8392" t="s">
        <v>1538</v>
      </c>
      <c r="B8392" t="s">
        <v>734</v>
      </c>
      <c r="C8392" s="34" t="s">
        <v>1513</v>
      </c>
      <c r="F8392" t="s">
        <v>1513</v>
      </c>
      <c r="H8392">
        <v>5</v>
      </c>
      <c r="I8392">
        <f>VLOOKUP(B8392,BRAND!B:D,3,FALSE)</f>
        <v>3</v>
      </c>
      <c r="J8392">
        <v>5</v>
      </c>
      <c r="K8392" t="s">
        <v>821</v>
      </c>
      <c r="L8392">
        <v>1</v>
      </c>
      <c r="M8392">
        <v>1</v>
      </c>
    </row>
    <row r="8393" spans="1:13">
      <c r="A8393" t="s">
        <v>1749</v>
      </c>
      <c r="B8393" t="s">
        <v>734</v>
      </c>
      <c r="C8393" s="34" t="s">
        <v>775</v>
      </c>
      <c r="F8393" t="s">
        <v>775</v>
      </c>
      <c r="H8393">
        <v>5</v>
      </c>
      <c r="I8393">
        <f>VLOOKUP(B8393,BRAND!B:D,3,FALSE)</f>
        <v>3</v>
      </c>
      <c r="J8393">
        <v>3</v>
      </c>
      <c r="K8393" t="s">
        <v>821</v>
      </c>
      <c r="L8393" s="29"/>
      <c r="M8393">
        <v>1</v>
      </c>
    </row>
    <row r="8394" spans="1:13">
      <c r="A8394" t="s">
        <v>1721</v>
      </c>
      <c r="B8394" t="s">
        <v>734</v>
      </c>
      <c r="C8394" s="34" t="s">
        <v>1493</v>
      </c>
      <c r="F8394" t="s">
        <v>1493</v>
      </c>
      <c r="G8394" t="s">
        <v>801</v>
      </c>
      <c r="H8394">
        <v>6</v>
      </c>
      <c r="I8394">
        <f>VLOOKUP(B8394,BRAND!B:D,3,FALSE)</f>
        <v>3</v>
      </c>
      <c r="J8394">
        <v>7</v>
      </c>
      <c r="K8394" t="s">
        <v>821</v>
      </c>
      <c r="M8394">
        <v>1</v>
      </c>
    </row>
    <row r="8395" spans="1:13">
      <c r="A8395" t="s">
        <v>1572</v>
      </c>
      <c r="B8395" t="s">
        <v>734</v>
      </c>
      <c r="C8395" s="34" t="s">
        <v>995</v>
      </c>
      <c r="F8395" t="s">
        <v>995</v>
      </c>
      <c r="G8395" t="s">
        <v>801</v>
      </c>
      <c r="H8395">
        <v>6</v>
      </c>
      <c r="I8395">
        <f>VLOOKUP(B8395,BRAND!B:D,3,FALSE)</f>
        <v>3</v>
      </c>
      <c r="J8395">
        <v>6</v>
      </c>
      <c r="K8395" t="s">
        <v>821</v>
      </c>
      <c r="M8395">
        <v>1</v>
      </c>
    </row>
    <row r="8396" spans="1:13">
      <c r="A8396" t="s">
        <v>1573</v>
      </c>
      <c r="B8396" t="s">
        <v>734</v>
      </c>
      <c r="C8396" s="34" t="s">
        <v>1513</v>
      </c>
      <c r="F8396" t="s">
        <v>1513</v>
      </c>
      <c r="G8396" t="s">
        <v>801</v>
      </c>
      <c r="H8396">
        <v>6</v>
      </c>
      <c r="I8396">
        <f>VLOOKUP(B8396,BRAND!B:D,3,FALSE)</f>
        <v>3</v>
      </c>
      <c r="J8396">
        <v>5</v>
      </c>
      <c r="K8396" t="s">
        <v>821</v>
      </c>
      <c r="L8396">
        <v>1</v>
      </c>
      <c r="M8396">
        <v>1</v>
      </c>
    </row>
    <row r="8397" spans="1:13">
      <c r="A8397" t="s">
        <v>1720</v>
      </c>
      <c r="B8397" t="s">
        <v>734</v>
      </c>
      <c r="C8397" s="34" t="s">
        <v>1438</v>
      </c>
      <c r="F8397" t="s">
        <v>1438</v>
      </c>
      <c r="G8397" t="s">
        <v>801</v>
      </c>
      <c r="H8397">
        <v>6</v>
      </c>
      <c r="I8397">
        <f>VLOOKUP(B8397,BRAND!B:D,3,FALSE)</f>
        <v>3</v>
      </c>
      <c r="J8397">
        <v>4</v>
      </c>
      <c r="K8397" t="s">
        <v>821</v>
      </c>
      <c r="M8397">
        <v>1</v>
      </c>
    </row>
    <row r="8398" spans="1:13">
      <c r="A8398" t="s">
        <v>1720</v>
      </c>
      <c r="B8398" t="s">
        <v>734</v>
      </c>
      <c r="C8398" s="34" t="s">
        <v>1438</v>
      </c>
      <c r="F8398" t="s">
        <v>1438</v>
      </c>
      <c r="G8398" t="s">
        <v>801</v>
      </c>
      <c r="H8398">
        <v>6</v>
      </c>
      <c r="I8398">
        <f>VLOOKUP(B8398,BRAND!B:D,3,FALSE)</f>
        <v>3</v>
      </c>
      <c r="J8398">
        <v>4</v>
      </c>
      <c r="K8398" t="s">
        <v>821</v>
      </c>
      <c r="M8398">
        <v>1</v>
      </c>
    </row>
    <row r="8399" spans="1:13">
      <c r="A8399" t="s">
        <v>1560</v>
      </c>
      <c r="B8399" t="s">
        <v>734</v>
      </c>
      <c r="C8399" s="34" t="s">
        <v>1438</v>
      </c>
      <c r="F8399" t="s">
        <v>1438</v>
      </c>
      <c r="H8399">
        <v>15</v>
      </c>
      <c r="I8399">
        <f>VLOOKUP(B8399,BRAND!B:D,3,FALSE)</f>
        <v>3</v>
      </c>
      <c r="J8399">
        <v>4</v>
      </c>
      <c r="K8399" t="s">
        <v>821</v>
      </c>
      <c r="M8399">
        <v>1</v>
      </c>
    </row>
    <row r="8400" spans="1:13">
      <c r="A8400" t="s">
        <v>2812</v>
      </c>
      <c r="B8400" t="s">
        <v>1210</v>
      </c>
      <c r="C8400" s="34" t="s">
        <v>1438</v>
      </c>
      <c r="F8400" t="s">
        <v>1438</v>
      </c>
      <c r="H8400">
        <v>15</v>
      </c>
      <c r="I8400">
        <f>VLOOKUP(B8400,BRAND!B:D,3,FALSE)</f>
        <v>3</v>
      </c>
      <c r="J8400">
        <v>4</v>
      </c>
      <c r="K8400" t="s">
        <v>821</v>
      </c>
      <c r="L8400">
        <v>0</v>
      </c>
      <c r="M8400">
        <v>0</v>
      </c>
    </row>
    <row r="8401" spans="1:13">
      <c r="A8401" t="s">
        <v>7256</v>
      </c>
      <c r="B8401" t="s">
        <v>7257</v>
      </c>
      <c r="C8401" s="34" t="s">
        <v>1438</v>
      </c>
      <c r="F8401" t="s">
        <v>1438</v>
      </c>
      <c r="H8401">
        <v>5</v>
      </c>
      <c r="I8401">
        <f>VLOOKUP(B8401,BRAND!B:D,3,FALSE)</f>
        <v>5.5</v>
      </c>
      <c r="M8401">
        <v>1</v>
      </c>
    </row>
    <row r="8402" spans="1:13">
      <c r="A8402" t="s">
        <v>3853</v>
      </c>
      <c r="B8402" t="s">
        <v>196</v>
      </c>
      <c r="C8402" s="34" t="s">
        <v>534</v>
      </c>
      <c r="F8402" t="s">
        <v>534</v>
      </c>
      <c r="H8402">
        <v>5</v>
      </c>
      <c r="I8402">
        <f>VLOOKUP(B8402,BRAND!B:D,3,FALSE)</f>
        <v>3</v>
      </c>
      <c r="J8402">
        <v>6</v>
      </c>
      <c r="K8402" t="s">
        <v>821</v>
      </c>
      <c r="L8402">
        <v>0</v>
      </c>
      <c r="M8402">
        <v>0</v>
      </c>
    </row>
    <row r="8403" spans="1:13">
      <c r="A8403" t="s">
        <v>3556</v>
      </c>
      <c r="B8403" t="s">
        <v>196</v>
      </c>
      <c r="C8403" s="34" t="s">
        <v>536</v>
      </c>
      <c r="F8403" t="s">
        <v>536</v>
      </c>
      <c r="H8403">
        <v>5</v>
      </c>
      <c r="I8403">
        <f>VLOOKUP(B8403,BRAND!B:D,3,FALSE)</f>
        <v>3</v>
      </c>
      <c r="J8403">
        <v>5</v>
      </c>
      <c r="K8403" t="s">
        <v>821</v>
      </c>
      <c r="L8403">
        <v>0</v>
      </c>
      <c r="M8403">
        <v>0</v>
      </c>
    </row>
    <row r="8404" spans="1:13">
      <c r="A8404" t="s">
        <v>2484</v>
      </c>
      <c r="B8404" t="s">
        <v>196</v>
      </c>
      <c r="C8404" s="34" t="s">
        <v>1438</v>
      </c>
      <c r="F8404" t="s">
        <v>1438</v>
      </c>
      <c r="H8404">
        <v>15</v>
      </c>
      <c r="I8404">
        <f>VLOOKUP(B8404,BRAND!B:D,3,FALSE)</f>
        <v>3</v>
      </c>
      <c r="J8404">
        <v>4</v>
      </c>
      <c r="K8404" t="s">
        <v>821</v>
      </c>
      <c r="M8404">
        <v>1</v>
      </c>
    </row>
    <row r="8405" spans="1:13">
      <c r="A8405" t="s">
        <v>9921</v>
      </c>
      <c r="B8405" t="s">
        <v>6595</v>
      </c>
      <c r="C8405" s="34" t="s">
        <v>1438</v>
      </c>
      <c r="F8405" t="s">
        <v>1438</v>
      </c>
      <c r="H8405">
        <v>7</v>
      </c>
      <c r="I8405">
        <f>VLOOKUP(B8405,BRAND!B:D,3,FALSE)</f>
        <v>5</v>
      </c>
      <c r="J8405">
        <v>4</v>
      </c>
      <c r="M8405">
        <v>1</v>
      </c>
    </row>
    <row r="8406" spans="1:13">
      <c r="A8406" t="s">
        <v>9434</v>
      </c>
      <c r="B8406" t="s">
        <v>447</v>
      </c>
      <c r="C8406" s="34" t="s">
        <v>9435</v>
      </c>
      <c r="F8406" t="s">
        <v>9435</v>
      </c>
      <c r="G8406" t="s">
        <v>6932</v>
      </c>
      <c r="H8406">
        <v>5</v>
      </c>
      <c r="I8406">
        <f>VLOOKUP(B8406,BRAND!B:D,3,FALSE)</f>
        <v>3</v>
      </c>
      <c r="J8406">
        <v>4</v>
      </c>
      <c r="M8406">
        <v>1</v>
      </c>
    </row>
    <row r="8407" spans="1:13">
      <c r="A8407" t="s">
        <v>9432</v>
      </c>
      <c r="B8407" t="s">
        <v>447</v>
      </c>
      <c r="C8407" s="34">
        <v>60</v>
      </c>
      <c r="F8407">
        <v>60</v>
      </c>
      <c r="G8407" t="s">
        <v>6932</v>
      </c>
      <c r="H8407">
        <v>5</v>
      </c>
      <c r="I8407">
        <f>VLOOKUP(B8407,BRAND!B:D,3,FALSE)</f>
        <v>3</v>
      </c>
      <c r="J8407">
        <v>2</v>
      </c>
      <c r="M8407">
        <v>1</v>
      </c>
    </row>
    <row r="8408" spans="1:13">
      <c r="A8408" t="s">
        <v>9433</v>
      </c>
      <c r="B8408" t="s">
        <v>447</v>
      </c>
      <c r="C8408" s="34">
        <v>90</v>
      </c>
      <c r="F8408">
        <v>90</v>
      </c>
      <c r="G8408" t="s">
        <v>6932</v>
      </c>
      <c r="H8408">
        <v>5</v>
      </c>
      <c r="I8408">
        <f>VLOOKUP(B8408,BRAND!B:D,3,FALSE)</f>
        <v>3</v>
      </c>
      <c r="J8408">
        <v>2</v>
      </c>
      <c r="M8408">
        <v>1</v>
      </c>
    </row>
    <row r="8409" spans="1:13">
      <c r="A8409" t="s">
        <v>9922</v>
      </c>
      <c r="B8409" t="s">
        <v>447</v>
      </c>
      <c r="C8409" s="34">
        <v>30</v>
      </c>
      <c r="H8409">
        <v>5</v>
      </c>
      <c r="I8409">
        <f>VLOOKUP(B8409,BRAND!B:D,3,FALSE)</f>
        <v>3</v>
      </c>
      <c r="J8409">
        <f>LEN(F8409)</f>
        <v>0</v>
      </c>
      <c r="L8409">
        <v>0</v>
      </c>
      <c r="M8409">
        <v>0</v>
      </c>
    </row>
    <row r="8410" spans="1:13">
      <c r="A8410" t="s">
        <v>9922</v>
      </c>
      <c r="B8410" t="s">
        <v>447</v>
      </c>
      <c r="C8410" s="34">
        <v>30</v>
      </c>
      <c r="H8410">
        <v>5</v>
      </c>
      <c r="I8410">
        <f>VLOOKUP(B8410,BRAND!B:D,3,FALSE)</f>
        <v>3</v>
      </c>
      <c r="J8410">
        <v>0</v>
      </c>
      <c r="L8410" s="9"/>
      <c r="M8410">
        <v>1</v>
      </c>
    </row>
    <row r="8411" spans="1:13">
      <c r="A8411" t="s">
        <v>2087</v>
      </c>
      <c r="B8411" t="s">
        <v>447</v>
      </c>
      <c r="C8411" s="34" t="s">
        <v>1438</v>
      </c>
      <c r="F8411" t="s">
        <v>1438</v>
      </c>
      <c r="H8411">
        <v>15</v>
      </c>
      <c r="I8411">
        <f>VLOOKUP(B8411,BRAND!B:D,3,FALSE)</f>
        <v>3</v>
      </c>
      <c r="J8411">
        <v>4</v>
      </c>
      <c r="K8411" t="s">
        <v>821</v>
      </c>
      <c r="L8411">
        <v>0</v>
      </c>
      <c r="M8411">
        <v>0</v>
      </c>
    </row>
    <row r="8412" spans="1:13">
      <c r="A8412" t="s">
        <v>15303</v>
      </c>
      <c r="B8412" t="s">
        <v>15304</v>
      </c>
      <c r="C8412" s="34" t="s">
        <v>13202</v>
      </c>
      <c r="F8412" t="s">
        <v>15304</v>
      </c>
      <c r="G8412" t="s">
        <v>6932</v>
      </c>
      <c r="H8412">
        <v>5</v>
      </c>
      <c r="I8412">
        <f>VLOOKUP(B8412,BRAND!B:D,3,FALSE)</f>
        <v>5</v>
      </c>
      <c r="J8412">
        <v>0</v>
      </c>
      <c r="K8412" t="s">
        <v>821</v>
      </c>
      <c r="L8412">
        <v>0</v>
      </c>
      <c r="M8412">
        <v>0</v>
      </c>
    </row>
    <row r="8413" spans="1:13">
      <c r="A8413" t="s">
        <v>9436</v>
      </c>
      <c r="B8413" t="s">
        <v>9437</v>
      </c>
      <c r="C8413" s="34" t="s">
        <v>1438</v>
      </c>
      <c r="F8413" t="s">
        <v>1438</v>
      </c>
      <c r="G8413" t="s">
        <v>6932</v>
      </c>
      <c r="H8413">
        <v>5</v>
      </c>
      <c r="I8413">
        <f>VLOOKUP(B8413,BRAND!B:D,3,FALSE)</f>
        <v>5.5</v>
      </c>
      <c r="J8413">
        <v>4</v>
      </c>
      <c r="L8413">
        <v>1</v>
      </c>
      <c r="M8413">
        <v>1</v>
      </c>
    </row>
    <row r="8414" spans="1:13">
      <c r="A8414" t="s">
        <v>3148</v>
      </c>
      <c r="B8414" t="s">
        <v>448</v>
      </c>
      <c r="C8414" s="34" t="s">
        <v>534</v>
      </c>
      <c r="F8414" t="s">
        <v>534</v>
      </c>
      <c r="H8414">
        <v>5</v>
      </c>
      <c r="I8414">
        <f>VLOOKUP(B8414,BRAND!B:D,3,FALSE)</f>
        <v>3</v>
      </c>
      <c r="J8414">
        <v>6</v>
      </c>
      <c r="K8414" t="s">
        <v>821</v>
      </c>
      <c r="M8414">
        <v>1</v>
      </c>
    </row>
    <row r="8415" spans="1:13">
      <c r="A8415" t="s">
        <v>4737</v>
      </c>
      <c r="B8415" t="s">
        <v>448</v>
      </c>
      <c r="C8415" s="34" t="s">
        <v>772</v>
      </c>
      <c r="F8415" t="s">
        <v>772</v>
      </c>
      <c r="H8415">
        <v>5</v>
      </c>
      <c r="I8415">
        <f>VLOOKUP(B8415,BRAND!B:D,3,FALSE)</f>
        <v>3</v>
      </c>
      <c r="J8415">
        <v>6</v>
      </c>
      <c r="K8415" t="s">
        <v>821</v>
      </c>
      <c r="M8415">
        <v>1</v>
      </c>
    </row>
    <row r="8416" spans="1:13">
      <c r="A8416" t="s">
        <v>9438</v>
      </c>
      <c r="B8416" t="s">
        <v>448</v>
      </c>
      <c r="C8416" s="34" t="s">
        <v>788</v>
      </c>
      <c r="F8416" t="s">
        <v>788</v>
      </c>
      <c r="G8416" t="s">
        <v>6932</v>
      </c>
      <c r="H8416">
        <v>5</v>
      </c>
      <c r="I8416">
        <f>VLOOKUP(B8416,BRAND!B:D,3,FALSE)</f>
        <v>3</v>
      </c>
      <c r="J8416">
        <v>4</v>
      </c>
      <c r="M8416">
        <v>1</v>
      </c>
    </row>
    <row r="8417" spans="1:13">
      <c r="A8417" t="s">
        <v>2432</v>
      </c>
      <c r="B8417" t="s">
        <v>448</v>
      </c>
      <c r="C8417" s="34" t="s">
        <v>1438</v>
      </c>
      <c r="F8417" t="s">
        <v>1438</v>
      </c>
      <c r="H8417">
        <v>15</v>
      </c>
      <c r="I8417">
        <f>VLOOKUP(B8417,BRAND!B:D,3,FALSE)</f>
        <v>3</v>
      </c>
      <c r="J8417">
        <v>4</v>
      </c>
      <c r="K8417" t="s">
        <v>821</v>
      </c>
      <c r="M8417">
        <v>1</v>
      </c>
    </row>
    <row r="8418" spans="1:13">
      <c r="A8418" t="s">
        <v>8970</v>
      </c>
      <c r="B8418" t="s">
        <v>8971</v>
      </c>
      <c r="C8418" s="34" t="s">
        <v>1438</v>
      </c>
      <c r="F8418" t="s">
        <v>1438</v>
      </c>
      <c r="G8418" t="s">
        <v>6932</v>
      </c>
      <c r="H8418">
        <v>5</v>
      </c>
      <c r="I8418">
        <f>VLOOKUP(B8418,BRAND!B:D,3,FALSE)</f>
        <v>5.5</v>
      </c>
      <c r="J8418">
        <v>4</v>
      </c>
      <c r="M8418">
        <v>1</v>
      </c>
    </row>
    <row r="8419" spans="1:13">
      <c r="A8419" t="s">
        <v>7124</v>
      </c>
      <c r="B8419" t="s">
        <v>6648</v>
      </c>
      <c r="C8419" s="34" t="s">
        <v>6649</v>
      </c>
      <c r="F8419" t="s">
        <v>6650</v>
      </c>
      <c r="H8419">
        <v>5</v>
      </c>
      <c r="I8419">
        <f>VLOOKUP(B8419,BRAND!B:D,3,FALSE)</f>
        <v>5</v>
      </c>
      <c r="J8419">
        <v>4</v>
      </c>
      <c r="M8419">
        <v>1</v>
      </c>
    </row>
    <row r="8420" spans="1:13">
      <c r="A8420" t="s">
        <v>7124</v>
      </c>
      <c r="B8420" t="s">
        <v>6648</v>
      </c>
      <c r="C8420" s="34" t="s">
        <v>6649</v>
      </c>
      <c r="F8420" t="s">
        <v>6650</v>
      </c>
      <c r="H8420">
        <v>5</v>
      </c>
      <c r="I8420">
        <f>VLOOKUP(B8420,BRAND!B:D,3,FALSE)</f>
        <v>5</v>
      </c>
      <c r="J8420">
        <v>4</v>
      </c>
      <c r="M8420">
        <v>1</v>
      </c>
    </row>
    <row r="8421" spans="1:13">
      <c r="A8421" t="s">
        <v>14599</v>
      </c>
      <c r="B8421" t="s">
        <v>14578</v>
      </c>
      <c r="C8421" s="34" t="s">
        <v>798</v>
      </c>
      <c r="D8421" t="s">
        <v>942</v>
      </c>
      <c r="F8421" t="s">
        <v>14600</v>
      </c>
      <c r="G8421" t="s">
        <v>801</v>
      </c>
      <c r="H8421">
        <v>5</v>
      </c>
      <c r="I8421">
        <f>VLOOKUP(B8421,BRAND!B:D,3,FALSE)</f>
        <v>0</v>
      </c>
      <c r="J8421">
        <f t="shared" ref="J8421:J8442" si="65">LEN(F8421)</f>
        <v>18</v>
      </c>
      <c r="K8421" t="s">
        <v>821</v>
      </c>
      <c r="L8421">
        <v>0</v>
      </c>
      <c r="M8421">
        <v>1</v>
      </c>
    </row>
    <row r="8422" spans="1:13">
      <c r="A8422" t="s">
        <v>14606</v>
      </c>
      <c r="B8422" t="s">
        <v>14578</v>
      </c>
      <c r="C8422" s="34" t="s">
        <v>994</v>
      </c>
      <c r="D8422" t="s">
        <v>129</v>
      </c>
      <c r="F8422" t="s">
        <v>14607</v>
      </c>
      <c r="G8422" t="s">
        <v>801</v>
      </c>
      <c r="H8422">
        <v>5</v>
      </c>
      <c r="I8422">
        <f>VLOOKUP(B8422,BRAND!B:D,3,FALSE)</f>
        <v>0</v>
      </c>
      <c r="J8422">
        <f t="shared" si="65"/>
        <v>17</v>
      </c>
      <c r="K8422" t="s">
        <v>821</v>
      </c>
      <c r="L8422">
        <v>0</v>
      </c>
      <c r="M8422">
        <v>1</v>
      </c>
    </row>
    <row r="8423" spans="1:13">
      <c r="A8423" t="s">
        <v>14583</v>
      </c>
      <c r="B8423" t="s">
        <v>14578</v>
      </c>
      <c r="C8423" s="34" t="s">
        <v>1513</v>
      </c>
      <c r="D8423" t="s">
        <v>1983</v>
      </c>
      <c r="F8423" t="s">
        <v>14584</v>
      </c>
      <c r="G8423" t="s">
        <v>801</v>
      </c>
      <c r="H8423">
        <v>5</v>
      </c>
      <c r="I8423">
        <f>VLOOKUP(B8423,BRAND!B:D,3,FALSE)</f>
        <v>0</v>
      </c>
      <c r="J8423">
        <f t="shared" si="65"/>
        <v>16</v>
      </c>
      <c r="K8423" t="s">
        <v>821</v>
      </c>
      <c r="L8423">
        <v>0</v>
      </c>
      <c r="M8423">
        <v>1</v>
      </c>
    </row>
    <row r="8424" spans="1:13">
      <c r="A8424" t="s">
        <v>14590</v>
      </c>
      <c r="B8424" t="s">
        <v>14578</v>
      </c>
      <c r="C8424" s="34" t="s">
        <v>14591</v>
      </c>
      <c r="D8424" t="s">
        <v>14871</v>
      </c>
      <c r="F8424" t="s">
        <v>14591</v>
      </c>
      <c r="G8424" t="s">
        <v>801</v>
      </c>
      <c r="H8424">
        <v>5</v>
      </c>
      <c r="I8424">
        <f>VLOOKUP(B8424,BRAND!B:D,3,FALSE)</f>
        <v>0</v>
      </c>
      <c r="J8424">
        <f t="shared" si="65"/>
        <v>15</v>
      </c>
      <c r="K8424" t="s">
        <v>821</v>
      </c>
      <c r="L8424">
        <v>0</v>
      </c>
      <c r="M8424">
        <v>1</v>
      </c>
    </row>
    <row r="8425" spans="1:13">
      <c r="A8425" t="s">
        <v>14597</v>
      </c>
      <c r="B8425" t="s">
        <v>14578</v>
      </c>
      <c r="C8425" s="34" t="s">
        <v>14598</v>
      </c>
      <c r="F8425" t="s">
        <v>14598</v>
      </c>
      <c r="G8425" t="s">
        <v>801</v>
      </c>
      <c r="H8425">
        <v>5</v>
      </c>
      <c r="I8425">
        <f>VLOOKUP(B8425,BRAND!B:D,3,FALSE)</f>
        <v>0</v>
      </c>
      <c r="J8425">
        <f t="shared" si="65"/>
        <v>11</v>
      </c>
      <c r="K8425" t="s">
        <v>821</v>
      </c>
      <c r="L8425">
        <v>0</v>
      </c>
      <c r="M8425">
        <v>1</v>
      </c>
    </row>
    <row r="8426" spans="1:13">
      <c r="A8426" t="s">
        <v>14581</v>
      </c>
      <c r="B8426" t="s">
        <v>14578</v>
      </c>
      <c r="C8426" s="34" t="s">
        <v>6862</v>
      </c>
      <c r="F8426" t="s">
        <v>6862</v>
      </c>
      <c r="G8426" t="s">
        <v>801</v>
      </c>
      <c r="H8426">
        <v>5</v>
      </c>
      <c r="I8426">
        <f>VLOOKUP(B8426,BRAND!B:D,3,FALSE)</f>
        <v>0</v>
      </c>
      <c r="J8426">
        <f t="shared" si="65"/>
        <v>10</v>
      </c>
      <c r="K8426" t="s">
        <v>821</v>
      </c>
      <c r="L8426">
        <v>0</v>
      </c>
      <c r="M8426">
        <v>1</v>
      </c>
    </row>
    <row r="8427" spans="1:13">
      <c r="A8427" t="s">
        <v>14594</v>
      </c>
      <c r="B8427" t="s">
        <v>14578</v>
      </c>
      <c r="C8427" s="34" t="s">
        <v>882</v>
      </c>
      <c r="F8427" t="s">
        <v>882</v>
      </c>
      <c r="G8427" t="s">
        <v>801</v>
      </c>
      <c r="H8427">
        <v>5</v>
      </c>
      <c r="I8427">
        <f>VLOOKUP(B8427,BRAND!B:D,3,FALSE)</f>
        <v>0</v>
      </c>
      <c r="J8427">
        <f t="shared" si="65"/>
        <v>10</v>
      </c>
      <c r="K8427" t="s">
        <v>821</v>
      </c>
      <c r="L8427">
        <v>0</v>
      </c>
      <c r="M8427">
        <v>1</v>
      </c>
    </row>
    <row r="8428" spans="1:13">
      <c r="A8428" t="s">
        <v>14581</v>
      </c>
      <c r="B8428" t="s">
        <v>14578</v>
      </c>
      <c r="C8428" s="34" t="s">
        <v>6862</v>
      </c>
      <c r="F8428" t="s">
        <v>6862</v>
      </c>
      <c r="G8428" t="s">
        <v>801</v>
      </c>
      <c r="H8428">
        <v>5</v>
      </c>
      <c r="I8428">
        <f>VLOOKUP(B8428,BRAND!B:D,3,FALSE)</f>
        <v>0</v>
      </c>
      <c r="J8428">
        <f t="shared" si="65"/>
        <v>10</v>
      </c>
      <c r="K8428" t="s">
        <v>821</v>
      </c>
      <c r="L8428">
        <v>0</v>
      </c>
      <c r="M8428">
        <v>1</v>
      </c>
    </row>
    <row r="8429" spans="1:13">
      <c r="A8429" t="s">
        <v>14589</v>
      </c>
      <c r="B8429" t="s">
        <v>14578</v>
      </c>
      <c r="C8429" s="34" t="s">
        <v>994</v>
      </c>
      <c r="F8429" t="s">
        <v>994</v>
      </c>
      <c r="G8429" t="s">
        <v>801</v>
      </c>
      <c r="H8429">
        <v>5</v>
      </c>
      <c r="I8429">
        <f>VLOOKUP(B8429,BRAND!B:D,3,FALSE)</f>
        <v>0</v>
      </c>
      <c r="J8429">
        <f t="shared" si="65"/>
        <v>10</v>
      </c>
      <c r="K8429" t="s">
        <v>821</v>
      </c>
      <c r="L8429">
        <v>0</v>
      </c>
      <c r="M8429">
        <v>1</v>
      </c>
    </row>
    <row r="8430" spans="1:13">
      <c r="A8430" t="s">
        <v>14602</v>
      </c>
      <c r="B8430" t="s">
        <v>14578</v>
      </c>
      <c r="C8430" s="34" t="s">
        <v>14603</v>
      </c>
      <c r="D8430" t="s">
        <v>775</v>
      </c>
      <c r="F8430" t="s">
        <v>14603</v>
      </c>
      <c r="G8430" t="s">
        <v>801</v>
      </c>
      <c r="H8430">
        <v>5</v>
      </c>
      <c r="I8430">
        <f>VLOOKUP(B8430,BRAND!B:D,3,FALSE)</f>
        <v>0</v>
      </c>
      <c r="J8430">
        <f t="shared" si="65"/>
        <v>10</v>
      </c>
      <c r="K8430" t="s">
        <v>821</v>
      </c>
      <c r="L8430">
        <v>0</v>
      </c>
      <c r="M8430">
        <v>1</v>
      </c>
    </row>
    <row r="8431" spans="1:13">
      <c r="A8431" t="s">
        <v>14579</v>
      </c>
      <c r="B8431" t="s">
        <v>14578</v>
      </c>
      <c r="C8431" s="34" t="s">
        <v>798</v>
      </c>
      <c r="F8431" t="s">
        <v>798</v>
      </c>
      <c r="G8431" t="s">
        <v>801</v>
      </c>
      <c r="H8431">
        <v>5</v>
      </c>
      <c r="I8431">
        <f>VLOOKUP(B8431,BRAND!B:D,3,FALSE)</f>
        <v>0</v>
      </c>
      <c r="J8431">
        <f t="shared" si="65"/>
        <v>9</v>
      </c>
      <c r="K8431" t="s">
        <v>821</v>
      </c>
      <c r="L8431">
        <v>0</v>
      </c>
      <c r="M8431">
        <v>1</v>
      </c>
    </row>
    <row r="8432" spans="1:13">
      <c r="A8432" t="s">
        <v>14592</v>
      </c>
      <c r="B8432" t="s">
        <v>14578</v>
      </c>
      <c r="C8432" s="34" t="s">
        <v>14593</v>
      </c>
      <c r="F8432" t="s">
        <v>14593</v>
      </c>
      <c r="G8432" t="s">
        <v>801</v>
      </c>
      <c r="H8432">
        <v>5</v>
      </c>
      <c r="I8432">
        <f>VLOOKUP(B8432,BRAND!B:D,3,FALSE)</f>
        <v>0</v>
      </c>
      <c r="J8432">
        <f t="shared" si="65"/>
        <v>9</v>
      </c>
      <c r="K8432" t="s">
        <v>821</v>
      </c>
      <c r="L8432">
        <v>0</v>
      </c>
      <c r="M8432">
        <v>1</v>
      </c>
    </row>
    <row r="8433" spans="1:13">
      <c r="A8433" t="s">
        <v>14595</v>
      </c>
      <c r="B8433" t="s">
        <v>14578</v>
      </c>
      <c r="C8433" s="34" t="s">
        <v>14596</v>
      </c>
      <c r="D8433" t="s">
        <v>1513</v>
      </c>
      <c r="F8433" t="s">
        <v>14596</v>
      </c>
      <c r="G8433" t="s">
        <v>801</v>
      </c>
      <c r="H8433">
        <v>5</v>
      </c>
      <c r="I8433">
        <f>VLOOKUP(B8433,BRAND!B:D,3,FALSE)</f>
        <v>0</v>
      </c>
      <c r="J8433">
        <f t="shared" si="65"/>
        <v>9</v>
      </c>
      <c r="K8433" t="s">
        <v>821</v>
      </c>
      <c r="L8433">
        <v>0</v>
      </c>
      <c r="M8433">
        <v>1</v>
      </c>
    </row>
    <row r="8434" spans="1:13">
      <c r="A8434" t="s">
        <v>14604</v>
      </c>
      <c r="B8434" t="s">
        <v>14578</v>
      </c>
      <c r="C8434" s="34" t="s">
        <v>14605</v>
      </c>
      <c r="F8434" t="s">
        <v>14605</v>
      </c>
      <c r="G8434" t="s">
        <v>801</v>
      </c>
      <c r="H8434">
        <v>5</v>
      </c>
      <c r="I8434">
        <f>VLOOKUP(B8434,BRAND!B:D,3,FALSE)</f>
        <v>0</v>
      </c>
      <c r="J8434">
        <f t="shared" si="65"/>
        <v>8</v>
      </c>
      <c r="K8434" t="s">
        <v>821</v>
      </c>
      <c r="L8434">
        <v>0</v>
      </c>
      <c r="M8434">
        <v>1</v>
      </c>
    </row>
    <row r="8435" spans="1:13">
      <c r="A8435" t="s">
        <v>14587</v>
      </c>
      <c r="B8435" t="s">
        <v>14578</v>
      </c>
      <c r="C8435" s="34" t="s">
        <v>9119</v>
      </c>
      <c r="F8435" t="s">
        <v>9119</v>
      </c>
      <c r="G8435" t="s">
        <v>801</v>
      </c>
      <c r="H8435">
        <v>5</v>
      </c>
      <c r="I8435">
        <f>VLOOKUP(B8435,BRAND!B:D,3,FALSE)</f>
        <v>0</v>
      </c>
      <c r="J8435">
        <f t="shared" si="65"/>
        <v>8</v>
      </c>
      <c r="K8435" t="s">
        <v>821</v>
      </c>
      <c r="L8435">
        <v>0</v>
      </c>
      <c r="M8435">
        <v>1</v>
      </c>
    </row>
    <row r="8436" spans="1:13">
      <c r="A8436" t="s">
        <v>14580</v>
      </c>
      <c r="B8436" t="s">
        <v>14578</v>
      </c>
      <c r="C8436" s="34" t="s">
        <v>1493</v>
      </c>
      <c r="F8436" t="s">
        <v>1493</v>
      </c>
      <c r="G8436" t="s">
        <v>801</v>
      </c>
      <c r="H8436">
        <v>5</v>
      </c>
      <c r="I8436">
        <f>VLOOKUP(B8436,BRAND!B:D,3,FALSE)</f>
        <v>0</v>
      </c>
      <c r="J8436">
        <f t="shared" si="65"/>
        <v>7</v>
      </c>
      <c r="K8436" t="s">
        <v>821</v>
      </c>
      <c r="L8436">
        <v>0</v>
      </c>
      <c r="M8436">
        <v>1</v>
      </c>
    </row>
    <row r="8437" spans="1:13">
      <c r="A8437" t="s">
        <v>14601</v>
      </c>
      <c r="B8437" t="s">
        <v>14578</v>
      </c>
      <c r="C8437" s="34" t="s">
        <v>129</v>
      </c>
      <c r="F8437" t="s">
        <v>129</v>
      </c>
      <c r="G8437" t="s">
        <v>801</v>
      </c>
      <c r="H8437">
        <v>5</v>
      </c>
      <c r="I8437">
        <f>VLOOKUP(B8437,BRAND!B:D,3,FALSE)</f>
        <v>0</v>
      </c>
      <c r="J8437">
        <f t="shared" si="65"/>
        <v>6</v>
      </c>
      <c r="K8437" t="s">
        <v>821</v>
      </c>
      <c r="L8437">
        <v>0</v>
      </c>
      <c r="M8437">
        <v>1</v>
      </c>
    </row>
    <row r="8438" spans="1:13">
      <c r="A8438" t="s">
        <v>14586</v>
      </c>
      <c r="B8438" t="s">
        <v>14578</v>
      </c>
      <c r="C8438" s="34" t="s">
        <v>995</v>
      </c>
      <c r="F8438" t="s">
        <v>995</v>
      </c>
      <c r="G8438" t="s">
        <v>801</v>
      </c>
      <c r="H8438">
        <v>5</v>
      </c>
      <c r="I8438">
        <f>VLOOKUP(B8438,BRAND!B:D,3,FALSE)</f>
        <v>0</v>
      </c>
      <c r="J8438">
        <f t="shared" si="65"/>
        <v>6</v>
      </c>
      <c r="K8438" t="s">
        <v>821</v>
      </c>
      <c r="L8438">
        <v>0</v>
      </c>
      <c r="M8438">
        <v>1</v>
      </c>
    </row>
    <row r="8439" spans="1:13">
      <c r="A8439" t="s">
        <v>14585</v>
      </c>
      <c r="B8439" t="s">
        <v>14578</v>
      </c>
      <c r="C8439" s="34" t="s">
        <v>746</v>
      </c>
      <c r="F8439" t="s">
        <v>746</v>
      </c>
      <c r="G8439" t="s">
        <v>801</v>
      </c>
      <c r="H8439">
        <v>5</v>
      </c>
      <c r="I8439">
        <f>VLOOKUP(B8439,BRAND!B:D,3,FALSE)</f>
        <v>0</v>
      </c>
      <c r="J8439">
        <f t="shared" si="65"/>
        <v>6</v>
      </c>
      <c r="K8439" t="s">
        <v>821</v>
      </c>
      <c r="L8439">
        <v>0</v>
      </c>
      <c r="M8439">
        <v>1</v>
      </c>
    </row>
    <row r="8440" spans="1:13">
      <c r="A8440" t="s">
        <v>14588</v>
      </c>
      <c r="B8440" t="s">
        <v>14578</v>
      </c>
      <c r="C8440" s="34" t="s">
        <v>761</v>
      </c>
      <c r="F8440" t="s">
        <v>761</v>
      </c>
      <c r="G8440" t="s">
        <v>801</v>
      </c>
      <c r="H8440">
        <v>5</v>
      </c>
      <c r="I8440">
        <f>VLOOKUP(B8440,BRAND!B:D,3,FALSE)</f>
        <v>0</v>
      </c>
      <c r="J8440">
        <f t="shared" si="65"/>
        <v>5</v>
      </c>
      <c r="K8440" t="s">
        <v>821</v>
      </c>
      <c r="L8440">
        <v>0</v>
      </c>
      <c r="M8440">
        <v>1</v>
      </c>
    </row>
    <row r="8441" spans="1:13">
      <c r="A8441" t="s">
        <v>14577</v>
      </c>
      <c r="B8441" t="s">
        <v>14578</v>
      </c>
      <c r="C8441" s="34" t="s">
        <v>1513</v>
      </c>
      <c r="F8441" t="s">
        <v>1513</v>
      </c>
      <c r="G8441" t="s">
        <v>801</v>
      </c>
      <c r="H8441">
        <v>5</v>
      </c>
      <c r="I8441">
        <f>VLOOKUP(B8441,BRAND!B:D,3,FALSE)</f>
        <v>0</v>
      </c>
      <c r="J8441">
        <f t="shared" si="65"/>
        <v>5</v>
      </c>
      <c r="K8441" t="s">
        <v>821</v>
      </c>
      <c r="L8441">
        <v>0</v>
      </c>
      <c r="M8441">
        <v>1</v>
      </c>
    </row>
    <row r="8442" spans="1:13">
      <c r="A8442" t="s">
        <v>14582</v>
      </c>
      <c r="B8442" t="s">
        <v>14578</v>
      </c>
      <c r="C8442" s="34" t="s">
        <v>881</v>
      </c>
      <c r="F8442" t="s">
        <v>881</v>
      </c>
      <c r="G8442" t="s">
        <v>801</v>
      </c>
      <c r="H8442">
        <v>5</v>
      </c>
      <c r="I8442">
        <f>VLOOKUP(B8442,BRAND!B:D,3,FALSE)</f>
        <v>0</v>
      </c>
      <c r="J8442">
        <f t="shared" si="65"/>
        <v>5</v>
      </c>
      <c r="K8442" t="s">
        <v>821</v>
      </c>
      <c r="L8442">
        <v>0</v>
      </c>
      <c r="M8442">
        <v>1</v>
      </c>
    </row>
    <row r="8443" spans="1:13">
      <c r="A8443" t="s">
        <v>3381</v>
      </c>
      <c r="B8443" t="s">
        <v>197</v>
      </c>
      <c r="C8443" s="34" t="s">
        <v>777</v>
      </c>
      <c r="F8443" t="s">
        <v>777</v>
      </c>
      <c r="H8443">
        <v>5</v>
      </c>
      <c r="I8443">
        <f>VLOOKUP(B8443,BRAND!B:D,3,FALSE)</f>
        <v>3</v>
      </c>
      <c r="J8443">
        <v>7</v>
      </c>
      <c r="K8443" t="s">
        <v>821</v>
      </c>
      <c r="M8443">
        <v>1</v>
      </c>
    </row>
    <row r="8444" spans="1:13">
      <c r="A8444" t="s">
        <v>3382</v>
      </c>
      <c r="B8444" t="s">
        <v>197</v>
      </c>
      <c r="C8444" s="34" t="s">
        <v>775</v>
      </c>
      <c r="F8444" t="s">
        <v>775</v>
      </c>
      <c r="H8444">
        <v>5</v>
      </c>
      <c r="I8444">
        <f>VLOOKUP(B8444,BRAND!B:D,3,FALSE)</f>
        <v>3</v>
      </c>
      <c r="J8444">
        <v>3</v>
      </c>
      <c r="K8444" t="s">
        <v>821</v>
      </c>
      <c r="M8444">
        <v>1</v>
      </c>
    </row>
    <row r="8445" spans="1:13">
      <c r="A8445" t="s">
        <v>10826</v>
      </c>
      <c r="B8445" t="s">
        <v>197</v>
      </c>
      <c r="C8445" s="34" t="s">
        <v>6492</v>
      </c>
      <c r="F8445" t="s">
        <v>1438</v>
      </c>
      <c r="G8445" t="s">
        <v>801</v>
      </c>
      <c r="H8445">
        <v>5</v>
      </c>
    </row>
    <row r="8446" spans="1:13">
      <c r="A8446" t="s">
        <v>4974</v>
      </c>
      <c r="B8446" t="s">
        <v>197</v>
      </c>
      <c r="C8446" s="34" t="s">
        <v>1438</v>
      </c>
      <c r="F8446" t="s">
        <v>1438</v>
      </c>
      <c r="G8446" t="s">
        <v>801</v>
      </c>
      <c r="H8446">
        <v>6</v>
      </c>
      <c r="I8446">
        <f>VLOOKUP(B8446,BRAND!B:D,3,FALSE)</f>
        <v>3</v>
      </c>
      <c r="J8446">
        <v>4</v>
      </c>
      <c r="K8446" t="s">
        <v>821</v>
      </c>
      <c r="L8446">
        <v>0</v>
      </c>
      <c r="M8446">
        <v>0</v>
      </c>
    </row>
    <row r="8447" spans="1:13">
      <c r="A8447" t="s">
        <v>3308</v>
      </c>
      <c r="B8447" t="s">
        <v>197</v>
      </c>
      <c r="C8447" s="34" t="s">
        <v>1438</v>
      </c>
      <c r="F8447" t="s">
        <v>1438</v>
      </c>
      <c r="H8447">
        <v>15</v>
      </c>
      <c r="I8447">
        <f>VLOOKUP(B8447,BRAND!B:D,3,FALSE)</f>
        <v>3</v>
      </c>
      <c r="J8447">
        <v>4</v>
      </c>
      <c r="K8447" t="s">
        <v>821</v>
      </c>
      <c r="M8447">
        <v>1</v>
      </c>
    </row>
    <row r="8448" spans="1:13">
      <c r="A8448" t="s">
        <v>9439</v>
      </c>
      <c r="B8448" t="s">
        <v>9440</v>
      </c>
      <c r="C8448" s="34" t="s">
        <v>745</v>
      </c>
      <c r="F8448" t="s">
        <v>745</v>
      </c>
      <c r="G8448" t="s">
        <v>6932</v>
      </c>
      <c r="H8448">
        <v>5</v>
      </c>
      <c r="I8448">
        <f>VLOOKUP(B8448,BRAND!B:D,3,FALSE)</f>
        <v>5.5</v>
      </c>
      <c r="J8448">
        <v>5</v>
      </c>
      <c r="L8448">
        <v>1</v>
      </c>
      <c r="M8448">
        <v>1</v>
      </c>
    </row>
    <row r="8449" spans="1:13">
      <c r="A8449" t="s">
        <v>2089</v>
      </c>
      <c r="B8449" t="s">
        <v>1372</v>
      </c>
      <c r="C8449" s="34" t="s">
        <v>1438</v>
      </c>
      <c r="F8449" t="s">
        <v>1438</v>
      </c>
      <c r="H8449">
        <v>15</v>
      </c>
      <c r="I8449">
        <f>VLOOKUP(B8449,BRAND!B:D,3,FALSE)</f>
        <v>3</v>
      </c>
      <c r="J8449">
        <v>4</v>
      </c>
      <c r="K8449" t="s">
        <v>821</v>
      </c>
      <c r="L8449">
        <v>0</v>
      </c>
      <c r="M8449">
        <v>0</v>
      </c>
    </row>
    <row r="8450" spans="1:13">
      <c r="A8450" t="s">
        <v>2760</v>
      </c>
      <c r="B8450" t="s">
        <v>1373</v>
      </c>
      <c r="C8450" s="34" t="s">
        <v>1438</v>
      </c>
      <c r="F8450" t="s">
        <v>1438</v>
      </c>
      <c r="H8450">
        <v>15</v>
      </c>
      <c r="I8450">
        <f>VLOOKUP(B8450,BRAND!B:D,3,FALSE)</f>
        <v>3</v>
      </c>
      <c r="J8450">
        <v>4</v>
      </c>
      <c r="K8450" t="s">
        <v>821</v>
      </c>
      <c r="L8450">
        <v>0</v>
      </c>
      <c r="M8450">
        <v>0</v>
      </c>
    </row>
    <row r="8451" spans="1:13">
      <c r="A8451" t="s">
        <v>3223</v>
      </c>
      <c r="B8451" t="s">
        <v>622</v>
      </c>
      <c r="C8451" s="34" t="s">
        <v>534</v>
      </c>
      <c r="F8451" t="s">
        <v>534</v>
      </c>
      <c r="H8451">
        <v>5</v>
      </c>
      <c r="I8451">
        <f>VLOOKUP(B8451,BRAND!B:D,3,FALSE)</f>
        <v>3</v>
      </c>
      <c r="J8451">
        <v>6</v>
      </c>
      <c r="K8451" t="s">
        <v>821</v>
      </c>
      <c r="M8451">
        <v>1</v>
      </c>
    </row>
    <row r="8452" spans="1:13">
      <c r="A8452" t="s">
        <v>9923</v>
      </c>
      <c r="B8452" t="s">
        <v>622</v>
      </c>
      <c r="C8452" s="34" t="s">
        <v>10032</v>
      </c>
      <c r="H8452">
        <v>5</v>
      </c>
      <c r="I8452">
        <f>VLOOKUP(B8452,BRAND!B:D,3,FALSE)</f>
        <v>3</v>
      </c>
      <c r="J8452">
        <f>LEN(F8452)</f>
        <v>0</v>
      </c>
      <c r="L8452">
        <v>0</v>
      </c>
      <c r="M8452">
        <v>0</v>
      </c>
    </row>
    <row r="8453" spans="1:13">
      <c r="A8453" t="s">
        <v>9923</v>
      </c>
      <c r="B8453" t="s">
        <v>622</v>
      </c>
      <c r="C8453" s="34" t="s">
        <v>10032</v>
      </c>
      <c r="H8453">
        <v>5</v>
      </c>
      <c r="I8453">
        <f>VLOOKUP(B8453,BRAND!B:D,3,FALSE)</f>
        <v>3</v>
      </c>
      <c r="J8453">
        <v>0</v>
      </c>
      <c r="M8453">
        <v>1</v>
      </c>
    </row>
    <row r="8454" spans="1:13">
      <c r="A8454" t="s">
        <v>2644</v>
      </c>
      <c r="B8454" t="s">
        <v>622</v>
      </c>
      <c r="C8454" s="34" t="s">
        <v>1438</v>
      </c>
      <c r="F8454" t="s">
        <v>1438</v>
      </c>
      <c r="H8454">
        <v>15</v>
      </c>
      <c r="I8454">
        <f>VLOOKUP(B8454,BRAND!B:D,3,FALSE)</f>
        <v>3</v>
      </c>
      <c r="J8454">
        <v>4</v>
      </c>
      <c r="K8454" t="s">
        <v>821</v>
      </c>
      <c r="L8454">
        <v>0</v>
      </c>
      <c r="M8454">
        <v>0</v>
      </c>
    </row>
    <row r="8455" spans="1:13">
      <c r="A8455" t="s">
        <v>9443</v>
      </c>
      <c r="B8455" t="s">
        <v>9442</v>
      </c>
      <c r="C8455" s="34" t="s">
        <v>842</v>
      </c>
      <c r="F8455" t="s">
        <v>842</v>
      </c>
      <c r="G8455" t="s">
        <v>6932</v>
      </c>
      <c r="H8455">
        <v>5</v>
      </c>
      <c r="I8455">
        <f>VLOOKUP(B8455,BRAND!B:D,3,FALSE)</f>
        <v>5.5</v>
      </c>
      <c r="J8455">
        <v>5</v>
      </c>
      <c r="M8455">
        <v>1</v>
      </c>
    </row>
    <row r="8456" spans="1:13">
      <c r="A8456" t="s">
        <v>9441</v>
      </c>
      <c r="B8456" t="s">
        <v>9442</v>
      </c>
      <c r="C8456" s="34" t="s">
        <v>776</v>
      </c>
      <c r="F8456" t="s">
        <v>776</v>
      </c>
      <c r="G8456" t="s">
        <v>6932</v>
      </c>
      <c r="H8456">
        <v>5</v>
      </c>
      <c r="I8456">
        <f>VLOOKUP(B8456,BRAND!B:D,3,FALSE)</f>
        <v>5.5</v>
      </c>
      <c r="J8456">
        <v>5</v>
      </c>
      <c r="M8456">
        <v>1</v>
      </c>
    </row>
    <row r="8457" spans="1:13">
      <c r="A8457" t="s">
        <v>7530</v>
      </c>
      <c r="B8457" t="s">
        <v>7531</v>
      </c>
      <c r="C8457" s="34" t="s">
        <v>1438</v>
      </c>
      <c r="F8457" t="s">
        <v>1438</v>
      </c>
      <c r="G8457" t="s">
        <v>6932</v>
      </c>
      <c r="H8457">
        <v>5</v>
      </c>
      <c r="I8457">
        <f>VLOOKUP(B8457,BRAND!B:D,3,FALSE)</f>
        <v>5.5</v>
      </c>
      <c r="J8457">
        <v>4</v>
      </c>
      <c r="M8457">
        <v>1</v>
      </c>
    </row>
    <row r="8458" spans="1:13">
      <c r="A8458" t="s">
        <v>9014</v>
      </c>
      <c r="B8458" t="s">
        <v>560</v>
      </c>
      <c r="C8458" s="34" t="s">
        <v>1438</v>
      </c>
      <c r="F8458" t="s">
        <v>1438</v>
      </c>
      <c r="G8458" t="s">
        <v>6932</v>
      </c>
      <c r="H8458">
        <v>5</v>
      </c>
      <c r="I8458">
        <f>VLOOKUP(B8458,BRAND!B:D,3,FALSE)</f>
        <v>5.5</v>
      </c>
      <c r="J8458">
        <v>4</v>
      </c>
      <c r="L8458">
        <v>0</v>
      </c>
      <c r="M8458">
        <v>0</v>
      </c>
    </row>
    <row r="8459" spans="1:13">
      <c r="A8459" t="s">
        <v>9924</v>
      </c>
      <c r="B8459" t="s">
        <v>560</v>
      </c>
      <c r="C8459" s="34" t="s">
        <v>534</v>
      </c>
      <c r="G8459" t="s">
        <v>6932</v>
      </c>
      <c r="H8459">
        <v>5</v>
      </c>
      <c r="I8459">
        <f>VLOOKUP(B8459,BRAND!B:D,3,FALSE)</f>
        <v>5.5</v>
      </c>
      <c r="J8459">
        <f>LEN(F8459)</f>
        <v>0</v>
      </c>
      <c r="L8459">
        <v>0</v>
      </c>
      <c r="M8459">
        <v>0</v>
      </c>
    </row>
    <row r="8460" spans="1:13">
      <c r="A8460" t="s">
        <v>9924</v>
      </c>
      <c r="B8460" t="s">
        <v>560</v>
      </c>
      <c r="C8460" s="34" t="s">
        <v>534</v>
      </c>
      <c r="G8460" t="s">
        <v>6932</v>
      </c>
      <c r="H8460">
        <v>5</v>
      </c>
      <c r="I8460">
        <f>VLOOKUP(B8460,BRAND!B:D,3,FALSE)</f>
        <v>5.5</v>
      </c>
      <c r="J8460">
        <v>0</v>
      </c>
      <c r="M8460">
        <v>1</v>
      </c>
    </row>
    <row r="8461" spans="1:13">
      <c r="A8461" t="s">
        <v>9021</v>
      </c>
      <c r="B8461" t="s">
        <v>9022</v>
      </c>
      <c r="C8461" s="34" t="s">
        <v>1438</v>
      </c>
      <c r="F8461" t="s">
        <v>1438</v>
      </c>
      <c r="G8461" t="s">
        <v>6932</v>
      </c>
      <c r="H8461">
        <v>5</v>
      </c>
      <c r="I8461">
        <f>VLOOKUP(B8461,BRAND!B:D,3,FALSE)</f>
        <v>5.5</v>
      </c>
      <c r="J8461">
        <v>4</v>
      </c>
      <c r="M8461">
        <v>1</v>
      </c>
    </row>
    <row r="8462" spans="1:13">
      <c r="A8462" t="s">
        <v>9925</v>
      </c>
      <c r="B8462" t="s">
        <v>346</v>
      </c>
      <c r="C8462" s="34" t="s">
        <v>1438</v>
      </c>
      <c r="G8462" t="s">
        <v>6932</v>
      </c>
      <c r="H8462">
        <v>5</v>
      </c>
      <c r="I8462">
        <f>VLOOKUP(B8462,BRAND!B:D,3,FALSE)</f>
        <v>3</v>
      </c>
      <c r="J8462">
        <f>LEN(F8462)</f>
        <v>0</v>
      </c>
      <c r="L8462">
        <v>0</v>
      </c>
      <c r="M8462">
        <v>0</v>
      </c>
    </row>
    <row r="8463" spans="1:13">
      <c r="A8463" t="s">
        <v>9925</v>
      </c>
      <c r="B8463" t="s">
        <v>346</v>
      </c>
      <c r="C8463" s="34" t="s">
        <v>1438</v>
      </c>
      <c r="G8463" t="s">
        <v>6932</v>
      </c>
      <c r="H8463">
        <v>5</v>
      </c>
      <c r="I8463">
        <f>VLOOKUP(B8463,BRAND!B:D,3,FALSE)</f>
        <v>3</v>
      </c>
      <c r="J8463">
        <v>0</v>
      </c>
      <c r="M8463">
        <v>1</v>
      </c>
    </row>
    <row r="8464" spans="1:13">
      <c r="A8464" t="s">
        <v>4247</v>
      </c>
      <c r="B8464" t="s">
        <v>1374</v>
      </c>
      <c r="C8464" s="34" t="s">
        <v>534</v>
      </c>
      <c r="F8464" t="s">
        <v>534</v>
      </c>
      <c r="H8464">
        <v>5</v>
      </c>
      <c r="I8464">
        <f>VLOOKUP(B8464,BRAND!B:D,3,FALSE)</f>
        <v>3</v>
      </c>
      <c r="J8464">
        <v>6</v>
      </c>
      <c r="K8464" t="s">
        <v>821</v>
      </c>
      <c r="L8464">
        <v>0</v>
      </c>
      <c r="M8464">
        <v>0</v>
      </c>
    </row>
    <row r="8465" spans="1:13">
      <c r="A8465" t="s">
        <v>2416</v>
      </c>
      <c r="B8465" t="s">
        <v>1374</v>
      </c>
      <c r="C8465" s="34" t="s">
        <v>1438</v>
      </c>
      <c r="F8465" t="s">
        <v>1438</v>
      </c>
      <c r="H8465">
        <v>15</v>
      </c>
      <c r="I8465">
        <f>VLOOKUP(B8465,BRAND!B:D,3,FALSE)</f>
        <v>3</v>
      </c>
      <c r="J8465">
        <v>4</v>
      </c>
      <c r="K8465" t="s">
        <v>821</v>
      </c>
      <c r="L8465">
        <v>0</v>
      </c>
      <c r="M8465">
        <v>0</v>
      </c>
    </row>
    <row r="8466" spans="1:13">
      <c r="A8466" t="s">
        <v>2527</v>
      </c>
      <c r="B8466" t="s">
        <v>198</v>
      </c>
      <c r="C8466" s="34" t="s">
        <v>534</v>
      </c>
      <c r="F8466" t="s">
        <v>534</v>
      </c>
      <c r="H8466">
        <v>5</v>
      </c>
      <c r="I8466">
        <f>VLOOKUP(B8466,BRAND!B:D,3,FALSE)</f>
        <v>3</v>
      </c>
      <c r="J8466">
        <v>6</v>
      </c>
      <c r="K8466" t="s">
        <v>821</v>
      </c>
      <c r="M8466">
        <v>1</v>
      </c>
    </row>
    <row r="8467" spans="1:13">
      <c r="A8467" t="s">
        <v>4222</v>
      </c>
      <c r="B8467" t="s">
        <v>1856</v>
      </c>
      <c r="C8467" s="34" t="s">
        <v>534</v>
      </c>
      <c r="F8467" t="s">
        <v>534</v>
      </c>
      <c r="H8467">
        <v>5</v>
      </c>
      <c r="I8467">
        <f>VLOOKUP(B8467,BRAND!B:D,3,FALSE)</f>
        <v>5</v>
      </c>
      <c r="J8467">
        <v>6</v>
      </c>
      <c r="K8467" t="s">
        <v>821</v>
      </c>
      <c r="M8467">
        <v>1</v>
      </c>
    </row>
    <row r="8468" spans="1:13">
      <c r="A8468" t="s">
        <v>4234</v>
      </c>
      <c r="B8468" t="s">
        <v>1856</v>
      </c>
      <c r="C8468" s="34" t="s">
        <v>1438</v>
      </c>
      <c r="F8468" t="s">
        <v>1438</v>
      </c>
      <c r="H8468">
        <v>15</v>
      </c>
      <c r="I8468">
        <f>VLOOKUP(B8468,BRAND!B:D,3,FALSE)</f>
        <v>5</v>
      </c>
      <c r="J8468">
        <v>4</v>
      </c>
      <c r="K8468" t="s">
        <v>821</v>
      </c>
      <c r="L8468">
        <v>0</v>
      </c>
      <c r="M8468">
        <v>0</v>
      </c>
    </row>
    <row r="8469" spans="1:13">
      <c r="A8469" t="s">
        <v>7258</v>
      </c>
      <c r="B8469" t="s">
        <v>7259</v>
      </c>
      <c r="C8469" s="34" t="s">
        <v>1438</v>
      </c>
      <c r="F8469" t="s">
        <v>1438</v>
      </c>
      <c r="H8469">
        <v>5</v>
      </c>
      <c r="I8469">
        <f>VLOOKUP(B8469,BRAND!B:D,3,FALSE)</f>
        <v>5.5</v>
      </c>
      <c r="M8469">
        <v>1</v>
      </c>
    </row>
    <row r="8470" spans="1:13">
      <c r="A8470" t="s">
        <v>3398</v>
      </c>
      <c r="B8470" t="s">
        <v>199</v>
      </c>
      <c r="C8470" s="34" t="s">
        <v>534</v>
      </c>
      <c r="F8470" t="s">
        <v>534</v>
      </c>
      <c r="H8470">
        <v>5</v>
      </c>
      <c r="I8470">
        <f>VLOOKUP(B8470,BRAND!B:D,3,FALSE)</f>
        <v>3</v>
      </c>
      <c r="J8470">
        <v>6</v>
      </c>
      <c r="K8470" t="s">
        <v>821</v>
      </c>
      <c r="M8470">
        <v>1</v>
      </c>
    </row>
    <row r="8471" spans="1:13">
      <c r="A8471" t="s">
        <v>2613</v>
      </c>
      <c r="B8471" t="s">
        <v>199</v>
      </c>
      <c r="C8471" s="34" t="s">
        <v>751</v>
      </c>
      <c r="F8471" t="s">
        <v>751</v>
      </c>
      <c r="H8471">
        <v>5</v>
      </c>
      <c r="I8471">
        <f>VLOOKUP(B8471,BRAND!B:D,3,FALSE)</f>
        <v>3</v>
      </c>
      <c r="J8471">
        <v>5</v>
      </c>
      <c r="K8471" t="s">
        <v>821</v>
      </c>
      <c r="L8471">
        <v>0</v>
      </c>
      <c r="M8471">
        <v>0</v>
      </c>
    </row>
    <row r="8472" spans="1:13">
      <c r="A8472" t="s">
        <v>3475</v>
      </c>
      <c r="B8472" t="s">
        <v>199</v>
      </c>
      <c r="C8472" s="34" t="s">
        <v>781</v>
      </c>
      <c r="F8472" t="s">
        <v>781</v>
      </c>
      <c r="H8472">
        <v>5</v>
      </c>
      <c r="I8472">
        <f>VLOOKUP(B8472,BRAND!B:D,3,FALSE)</f>
        <v>3</v>
      </c>
      <c r="J8472">
        <v>4</v>
      </c>
      <c r="K8472" t="s">
        <v>821</v>
      </c>
      <c r="L8472">
        <v>0</v>
      </c>
      <c r="M8472">
        <v>0</v>
      </c>
    </row>
    <row r="8473" spans="1:13">
      <c r="A8473" t="s">
        <v>4100</v>
      </c>
      <c r="B8473" t="s">
        <v>199</v>
      </c>
      <c r="C8473" s="34" t="s">
        <v>988</v>
      </c>
      <c r="F8473" t="s">
        <v>988</v>
      </c>
      <c r="H8473">
        <v>5</v>
      </c>
      <c r="I8473">
        <f>VLOOKUP(B8473,BRAND!B:D,3,FALSE)</f>
        <v>3</v>
      </c>
      <c r="J8473">
        <v>4</v>
      </c>
      <c r="K8473" t="s">
        <v>821</v>
      </c>
      <c r="L8473">
        <v>0</v>
      </c>
      <c r="M8473">
        <v>0</v>
      </c>
    </row>
    <row r="8474" spans="1:13">
      <c r="A8474" t="s">
        <v>2343</v>
      </c>
      <c r="B8474" t="s">
        <v>199</v>
      </c>
      <c r="C8474" s="34" t="s">
        <v>1438</v>
      </c>
      <c r="F8474" t="s">
        <v>1438</v>
      </c>
      <c r="H8474">
        <v>15</v>
      </c>
      <c r="I8474">
        <f>VLOOKUP(B8474,BRAND!B:D,3,FALSE)</f>
        <v>3</v>
      </c>
      <c r="J8474">
        <v>4</v>
      </c>
      <c r="K8474" t="s">
        <v>821</v>
      </c>
      <c r="L8474">
        <v>0</v>
      </c>
      <c r="M8474">
        <v>0</v>
      </c>
    </row>
    <row r="8475" spans="1:13">
      <c r="A8475" t="s">
        <v>3931</v>
      </c>
      <c r="B8475" t="s">
        <v>200</v>
      </c>
      <c r="C8475" s="34" t="s">
        <v>5438</v>
      </c>
      <c r="F8475" t="s">
        <v>534</v>
      </c>
      <c r="H8475">
        <v>5</v>
      </c>
      <c r="I8475">
        <f>VLOOKUP(B8475,BRAND!B:D,3,FALSE)</f>
        <v>3</v>
      </c>
      <c r="J8475">
        <v>6</v>
      </c>
      <c r="K8475" t="s">
        <v>821</v>
      </c>
      <c r="M8475">
        <v>1</v>
      </c>
    </row>
    <row r="8476" spans="1:13">
      <c r="A8476" t="s">
        <v>10290</v>
      </c>
      <c r="B8476" t="s">
        <v>200</v>
      </c>
      <c r="C8476" s="34" t="s">
        <v>1438</v>
      </c>
      <c r="F8476" t="s">
        <v>1438</v>
      </c>
      <c r="G8476" t="s">
        <v>801</v>
      </c>
      <c r="H8476">
        <v>5</v>
      </c>
      <c r="I8476">
        <f>VLOOKUP(B8476,BRAND!B:D,3,FALSE)</f>
        <v>3</v>
      </c>
      <c r="J8476">
        <f>LEN(F8476)</f>
        <v>4</v>
      </c>
      <c r="M8476">
        <v>1</v>
      </c>
    </row>
    <row r="8477" spans="1:13">
      <c r="A8477" t="s">
        <v>9448</v>
      </c>
      <c r="B8477" t="s">
        <v>9449</v>
      </c>
      <c r="C8477" s="34" t="s">
        <v>1438</v>
      </c>
      <c r="F8477" t="s">
        <v>1438</v>
      </c>
      <c r="G8477" t="s">
        <v>6932</v>
      </c>
      <c r="H8477">
        <v>5</v>
      </c>
      <c r="I8477">
        <f>VLOOKUP(B8477,BRAND!B:D,3,FALSE)</f>
        <v>5.5</v>
      </c>
      <c r="J8477">
        <v>4</v>
      </c>
      <c r="M8477">
        <v>1</v>
      </c>
    </row>
    <row r="8478" spans="1:13">
      <c r="A8478" t="s">
        <v>8984</v>
      </c>
      <c r="B8478" t="s">
        <v>8985</v>
      </c>
      <c r="C8478" s="34" t="s">
        <v>1438</v>
      </c>
      <c r="F8478" t="s">
        <v>1438</v>
      </c>
      <c r="G8478" t="s">
        <v>6932</v>
      </c>
      <c r="H8478">
        <v>5</v>
      </c>
      <c r="I8478">
        <f>VLOOKUP(B8478,BRAND!B:D,3,FALSE)</f>
        <v>5.5</v>
      </c>
      <c r="J8478">
        <v>4</v>
      </c>
      <c r="M8478">
        <v>1</v>
      </c>
    </row>
    <row r="8479" spans="1:13">
      <c r="A8479" t="s">
        <v>5550</v>
      </c>
      <c r="B8479" t="s">
        <v>347</v>
      </c>
      <c r="C8479" s="34" t="s">
        <v>1478</v>
      </c>
      <c r="F8479" t="s">
        <v>1478</v>
      </c>
      <c r="H8479">
        <v>5</v>
      </c>
      <c r="I8479">
        <f>VLOOKUP(B8479,BRAND!B:D,3,FALSE)</f>
        <v>3</v>
      </c>
      <c r="J8479">
        <f>LEN(F8479)</f>
        <v>11</v>
      </c>
      <c r="K8479" t="s">
        <v>821</v>
      </c>
      <c r="L8479">
        <v>0</v>
      </c>
      <c r="M8479">
        <v>0</v>
      </c>
    </row>
    <row r="8480" spans="1:13">
      <c r="A8480" t="s">
        <v>2822</v>
      </c>
      <c r="B8480" t="s">
        <v>347</v>
      </c>
      <c r="C8480" s="34" t="s">
        <v>840</v>
      </c>
      <c r="F8480" t="s">
        <v>840</v>
      </c>
      <c r="H8480">
        <v>5</v>
      </c>
      <c r="I8480">
        <f>VLOOKUP(B8480,BRAND!B:D,3,FALSE)</f>
        <v>3</v>
      </c>
      <c r="J8480">
        <v>9</v>
      </c>
      <c r="K8480" t="s">
        <v>821</v>
      </c>
      <c r="L8480">
        <v>0</v>
      </c>
      <c r="M8480">
        <v>0</v>
      </c>
    </row>
    <row r="8481" spans="1:13">
      <c r="A8481" t="s">
        <v>3922</v>
      </c>
      <c r="B8481" t="s">
        <v>347</v>
      </c>
      <c r="C8481" s="34" t="s">
        <v>534</v>
      </c>
      <c r="F8481" t="s">
        <v>534</v>
      </c>
      <c r="H8481">
        <v>5</v>
      </c>
      <c r="I8481">
        <f>VLOOKUP(B8481,BRAND!B:D,3,FALSE)</f>
        <v>3</v>
      </c>
      <c r="J8481">
        <v>6</v>
      </c>
      <c r="K8481" t="s">
        <v>821</v>
      </c>
      <c r="M8481">
        <v>1</v>
      </c>
    </row>
    <row r="8482" spans="1:13">
      <c r="A8482" t="s">
        <v>3849</v>
      </c>
      <c r="B8482" t="s">
        <v>347</v>
      </c>
      <c r="C8482" s="34" t="s">
        <v>536</v>
      </c>
      <c r="F8482" t="s">
        <v>536</v>
      </c>
      <c r="H8482">
        <v>5</v>
      </c>
      <c r="I8482">
        <f>VLOOKUP(B8482,BRAND!B:D,3,FALSE)</f>
        <v>3</v>
      </c>
      <c r="J8482">
        <v>5</v>
      </c>
      <c r="K8482" t="s">
        <v>821</v>
      </c>
      <c r="L8482">
        <v>0</v>
      </c>
      <c r="M8482">
        <v>0</v>
      </c>
    </row>
    <row r="8483" spans="1:13">
      <c r="A8483" t="s">
        <v>8988</v>
      </c>
      <c r="B8483" t="s">
        <v>347</v>
      </c>
      <c r="C8483" s="34">
        <v>5</v>
      </c>
      <c r="F8483">
        <v>5</v>
      </c>
      <c r="G8483" t="s">
        <v>6932</v>
      </c>
      <c r="H8483">
        <v>5</v>
      </c>
      <c r="I8483">
        <f>VLOOKUP(B8483,BRAND!B:D,3,FALSE)</f>
        <v>3</v>
      </c>
      <c r="J8483">
        <v>1</v>
      </c>
      <c r="M8483">
        <v>1</v>
      </c>
    </row>
    <row r="8484" spans="1:13">
      <c r="A8484" t="s">
        <v>8989</v>
      </c>
      <c r="B8484" t="s">
        <v>347</v>
      </c>
      <c r="C8484" s="34">
        <v>6</v>
      </c>
      <c r="F8484">
        <v>6</v>
      </c>
      <c r="G8484" t="s">
        <v>6932</v>
      </c>
      <c r="H8484">
        <v>5</v>
      </c>
      <c r="I8484">
        <f>VLOOKUP(B8484,BRAND!B:D,3,FALSE)</f>
        <v>3</v>
      </c>
      <c r="J8484">
        <v>1</v>
      </c>
      <c r="M8484">
        <v>1</v>
      </c>
    </row>
    <row r="8485" spans="1:13">
      <c r="A8485" t="s">
        <v>8990</v>
      </c>
      <c r="B8485" t="s">
        <v>347</v>
      </c>
      <c r="C8485" s="34">
        <v>7</v>
      </c>
      <c r="F8485">
        <v>7</v>
      </c>
      <c r="G8485" t="s">
        <v>6932</v>
      </c>
      <c r="H8485">
        <v>5</v>
      </c>
      <c r="I8485">
        <f>VLOOKUP(B8485,BRAND!B:D,3,FALSE)</f>
        <v>3</v>
      </c>
      <c r="J8485">
        <v>1</v>
      </c>
      <c r="M8485">
        <v>1</v>
      </c>
    </row>
    <row r="8486" spans="1:13">
      <c r="A8486" t="s">
        <v>8991</v>
      </c>
      <c r="B8486" t="s">
        <v>347</v>
      </c>
      <c r="C8486" s="34">
        <v>8</v>
      </c>
      <c r="F8486">
        <v>8</v>
      </c>
      <c r="G8486" t="s">
        <v>6932</v>
      </c>
      <c r="H8486">
        <v>5</v>
      </c>
      <c r="I8486">
        <f>VLOOKUP(B8486,BRAND!B:D,3,FALSE)</f>
        <v>3</v>
      </c>
      <c r="J8486">
        <v>1</v>
      </c>
      <c r="M8486">
        <v>1</v>
      </c>
    </row>
    <row r="8487" spans="1:13">
      <c r="A8487" t="s">
        <v>9453</v>
      </c>
      <c r="B8487" t="s">
        <v>347</v>
      </c>
      <c r="C8487" s="34">
        <v>3</v>
      </c>
      <c r="F8487">
        <v>3</v>
      </c>
      <c r="G8487" t="s">
        <v>6932</v>
      </c>
      <c r="H8487">
        <v>5</v>
      </c>
      <c r="I8487">
        <f>VLOOKUP(B8487,BRAND!B:D,3,FALSE)</f>
        <v>3</v>
      </c>
      <c r="J8487">
        <v>1</v>
      </c>
      <c r="M8487">
        <v>1</v>
      </c>
    </row>
    <row r="8488" spans="1:13">
      <c r="A8488" t="s">
        <v>9926</v>
      </c>
      <c r="B8488" t="s">
        <v>347</v>
      </c>
      <c r="C8488" s="34" t="s">
        <v>757</v>
      </c>
      <c r="G8488" t="s">
        <v>6932</v>
      </c>
      <c r="H8488">
        <v>5</v>
      </c>
      <c r="I8488">
        <f>VLOOKUP(B8488,BRAND!B:D,3,FALSE)</f>
        <v>3</v>
      </c>
      <c r="J8488">
        <f>LEN(F8488)</f>
        <v>0</v>
      </c>
      <c r="L8488">
        <v>0</v>
      </c>
      <c r="M8488">
        <v>0</v>
      </c>
    </row>
    <row r="8489" spans="1:13">
      <c r="A8489" t="s">
        <v>9926</v>
      </c>
      <c r="B8489" t="s">
        <v>347</v>
      </c>
      <c r="C8489" s="34" t="s">
        <v>757</v>
      </c>
      <c r="G8489" t="s">
        <v>6932</v>
      </c>
      <c r="H8489">
        <v>5</v>
      </c>
      <c r="I8489">
        <f>VLOOKUP(B8489,BRAND!B:D,3,FALSE)</f>
        <v>3</v>
      </c>
      <c r="J8489">
        <v>0</v>
      </c>
      <c r="M8489">
        <v>1</v>
      </c>
    </row>
    <row r="8490" spans="1:13">
      <c r="A8490" t="s">
        <v>2230</v>
      </c>
      <c r="B8490" t="s">
        <v>347</v>
      </c>
      <c r="C8490" s="34" t="s">
        <v>1438</v>
      </c>
      <c r="F8490" t="s">
        <v>1438</v>
      </c>
      <c r="H8490">
        <v>15</v>
      </c>
      <c r="I8490">
        <f>VLOOKUP(B8490,BRAND!B:D,3,FALSE)</f>
        <v>3</v>
      </c>
      <c r="J8490">
        <v>4</v>
      </c>
      <c r="K8490" t="s">
        <v>821</v>
      </c>
      <c r="L8490">
        <v>0</v>
      </c>
      <c r="M8490">
        <v>0</v>
      </c>
    </row>
    <row r="8491" spans="1:13">
      <c r="A8491" t="s">
        <v>7654</v>
      </c>
      <c r="B8491" t="s">
        <v>7655</v>
      </c>
      <c r="C8491" s="34" t="s">
        <v>1438</v>
      </c>
      <c r="F8491" t="s">
        <v>1438</v>
      </c>
      <c r="G8491" t="s">
        <v>6932</v>
      </c>
      <c r="H8491">
        <v>5</v>
      </c>
      <c r="I8491">
        <f>VLOOKUP(B8491,BRAND!B:D,3,FALSE)</f>
        <v>5.5</v>
      </c>
      <c r="J8491">
        <v>4</v>
      </c>
      <c r="M8491">
        <v>1</v>
      </c>
    </row>
    <row r="8492" spans="1:13">
      <c r="A8492" t="s">
        <v>3545</v>
      </c>
      <c r="B8492" t="s">
        <v>977</v>
      </c>
      <c r="C8492" s="34" t="s">
        <v>534</v>
      </c>
      <c r="F8492" t="s">
        <v>534</v>
      </c>
      <c r="H8492">
        <v>5</v>
      </c>
      <c r="I8492">
        <f>VLOOKUP(B8492,BRAND!B:D,3,FALSE)</f>
        <v>3</v>
      </c>
      <c r="J8492">
        <v>6</v>
      </c>
      <c r="K8492" t="s">
        <v>821</v>
      </c>
      <c r="L8492">
        <v>0</v>
      </c>
      <c r="M8492">
        <v>0</v>
      </c>
    </row>
    <row r="8493" spans="1:13">
      <c r="A8493" t="s">
        <v>8986</v>
      </c>
      <c r="B8493" t="s">
        <v>8987</v>
      </c>
      <c r="C8493" s="34" t="s">
        <v>1438</v>
      </c>
      <c r="F8493" t="s">
        <v>1438</v>
      </c>
      <c r="G8493" t="s">
        <v>6932</v>
      </c>
      <c r="H8493">
        <v>5</v>
      </c>
      <c r="I8493">
        <f>VLOOKUP(B8493,BRAND!B:D,3,FALSE)</f>
        <v>5.5</v>
      </c>
      <c r="J8493">
        <v>4</v>
      </c>
      <c r="M8493">
        <v>1</v>
      </c>
    </row>
    <row r="8494" spans="1:13">
      <c r="A8494" t="s">
        <v>9458</v>
      </c>
      <c r="B8494" t="s">
        <v>9459</v>
      </c>
      <c r="C8494" s="34" t="s">
        <v>1438</v>
      </c>
      <c r="F8494" t="s">
        <v>1438</v>
      </c>
      <c r="G8494" t="s">
        <v>6932</v>
      </c>
      <c r="H8494">
        <v>5</v>
      </c>
      <c r="I8494">
        <f>VLOOKUP(B8494,BRAND!B:D,3,FALSE)</f>
        <v>5.5</v>
      </c>
      <c r="J8494">
        <v>4</v>
      </c>
      <c r="M8494">
        <v>1</v>
      </c>
    </row>
    <row r="8495" spans="1:13">
      <c r="A8495" t="s">
        <v>14959</v>
      </c>
      <c r="B8495" t="s">
        <v>14960</v>
      </c>
      <c r="C8495" s="34" t="s">
        <v>1438</v>
      </c>
      <c r="F8495" t="s">
        <v>1438</v>
      </c>
      <c r="G8495" t="s">
        <v>6932</v>
      </c>
      <c r="H8495">
        <v>5</v>
      </c>
      <c r="I8495">
        <f>VLOOKUP(B8495,BRAND!B:D,3,FALSE)</f>
        <v>5</v>
      </c>
      <c r="J8495">
        <v>0</v>
      </c>
      <c r="K8495" t="s">
        <v>821</v>
      </c>
      <c r="L8495">
        <v>0</v>
      </c>
      <c r="M8495">
        <v>0</v>
      </c>
    </row>
    <row r="8496" spans="1:13">
      <c r="A8496" t="s">
        <v>2203</v>
      </c>
      <c r="B8496" t="s">
        <v>593</v>
      </c>
      <c r="C8496" s="34" t="s">
        <v>534</v>
      </c>
      <c r="F8496" t="s">
        <v>534</v>
      </c>
      <c r="H8496">
        <v>5</v>
      </c>
      <c r="I8496" t="e">
        <f>VLOOKUP(B8496,BRAND!B:D,3,FALSE)</f>
        <v>#N/A</v>
      </c>
      <c r="J8496">
        <v>6</v>
      </c>
      <c r="K8496" t="s">
        <v>821</v>
      </c>
      <c r="M8496">
        <v>1</v>
      </c>
    </row>
    <row r="8497" spans="1:13">
      <c r="A8497" t="s">
        <v>2097</v>
      </c>
      <c r="B8497" t="s">
        <v>293</v>
      </c>
      <c r="C8497" s="34" t="s">
        <v>534</v>
      </c>
      <c r="F8497" t="s">
        <v>534</v>
      </c>
      <c r="H8497">
        <v>5</v>
      </c>
      <c r="I8497">
        <f>VLOOKUP(B8497,BRAND!B:D,3,FALSE)</f>
        <v>3</v>
      </c>
      <c r="J8497">
        <v>6</v>
      </c>
      <c r="K8497" t="s">
        <v>821</v>
      </c>
      <c r="L8497">
        <v>0</v>
      </c>
      <c r="M8497">
        <v>0</v>
      </c>
    </row>
    <row r="8498" spans="1:13">
      <c r="A8498" t="s">
        <v>2095</v>
      </c>
      <c r="B8498" t="s">
        <v>293</v>
      </c>
      <c r="C8498" s="34" t="s">
        <v>536</v>
      </c>
      <c r="F8498" t="s">
        <v>536</v>
      </c>
      <c r="H8498">
        <v>5</v>
      </c>
      <c r="I8498">
        <f>VLOOKUP(B8498,BRAND!B:D,3,FALSE)</f>
        <v>3</v>
      </c>
      <c r="J8498">
        <v>5</v>
      </c>
      <c r="K8498" t="s">
        <v>821</v>
      </c>
      <c r="L8498">
        <v>0</v>
      </c>
      <c r="M8498">
        <v>0</v>
      </c>
    </row>
    <row r="8499" spans="1:13">
      <c r="A8499" t="s">
        <v>9928</v>
      </c>
      <c r="B8499" t="s">
        <v>293</v>
      </c>
      <c r="C8499" s="34" t="s">
        <v>10033</v>
      </c>
      <c r="H8499">
        <v>5</v>
      </c>
      <c r="I8499">
        <f>VLOOKUP(B8499,BRAND!B:D,3,FALSE)</f>
        <v>3</v>
      </c>
      <c r="J8499">
        <f>LEN(F8499)</f>
        <v>0</v>
      </c>
      <c r="L8499">
        <v>0</v>
      </c>
      <c r="M8499">
        <v>0</v>
      </c>
    </row>
    <row r="8500" spans="1:13">
      <c r="A8500" t="s">
        <v>9929</v>
      </c>
      <c r="B8500" t="s">
        <v>293</v>
      </c>
      <c r="C8500" s="34" t="s">
        <v>6351</v>
      </c>
      <c r="H8500">
        <v>5</v>
      </c>
      <c r="I8500">
        <f>VLOOKUP(B8500,BRAND!B:D,3,FALSE)</f>
        <v>3</v>
      </c>
      <c r="J8500">
        <f>LEN(F8500)</f>
        <v>0</v>
      </c>
      <c r="L8500">
        <v>0</v>
      </c>
      <c r="M8500">
        <v>0</v>
      </c>
    </row>
    <row r="8501" spans="1:13">
      <c r="A8501" t="s">
        <v>9930</v>
      </c>
      <c r="B8501" t="s">
        <v>293</v>
      </c>
      <c r="C8501" s="34" t="s">
        <v>10034</v>
      </c>
      <c r="H8501">
        <v>5</v>
      </c>
      <c r="I8501">
        <f>VLOOKUP(B8501,BRAND!B:D,3,FALSE)</f>
        <v>3</v>
      </c>
      <c r="J8501">
        <f>LEN(F8501)</f>
        <v>0</v>
      </c>
      <c r="L8501">
        <v>0</v>
      </c>
      <c r="M8501">
        <v>0</v>
      </c>
    </row>
    <row r="8502" spans="1:13">
      <c r="A8502" t="s">
        <v>9931</v>
      </c>
      <c r="B8502" t="s">
        <v>293</v>
      </c>
      <c r="C8502" s="34" t="s">
        <v>10035</v>
      </c>
      <c r="H8502">
        <v>5</v>
      </c>
      <c r="I8502">
        <f>VLOOKUP(B8502,BRAND!B:D,3,FALSE)</f>
        <v>3</v>
      </c>
      <c r="J8502">
        <f>LEN(F8502)</f>
        <v>0</v>
      </c>
      <c r="L8502">
        <v>0</v>
      </c>
      <c r="M8502">
        <v>0</v>
      </c>
    </row>
    <row r="8503" spans="1:13">
      <c r="A8503" t="s">
        <v>9928</v>
      </c>
      <c r="B8503" t="s">
        <v>293</v>
      </c>
      <c r="C8503" s="34" t="s">
        <v>10033</v>
      </c>
      <c r="H8503">
        <v>5</v>
      </c>
      <c r="I8503">
        <f>VLOOKUP(B8503,BRAND!B:D,3,FALSE)</f>
        <v>3</v>
      </c>
      <c r="J8503">
        <v>0</v>
      </c>
      <c r="M8503">
        <v>1</v>
      </c>
    </row>
    <row r="8504" spans="1:13">
      <c r="A8504" t="s">
        <v>9929</v>
      </c>
      <c r="B8504" t="s">
        <v>293</v>
      </c>
      <c r="C8504" s="34" t="s">
        <v>6351</v>
      </c>
      <c r="H8504">
        <v>5</v>
      </c>
      <c r="I8504">
        <f>VLOOKUP(B8504,BRAND!B:D,3,FALSE)</f>
        <v>3</v>
      </c>
      <c r="J8504">
        <v>0</v>
      </c>
      <c r="M8504">
        <v>1</v>
      </c>
    </row>
    <row r="8505" spans="1:13">
      <c r="A8505" t="s">
        <v>9930</v>
      </c>
      <c r="B8505" t="s">
        <v>293</v>
      </c>
      <c r="C8505" s="34" t="s">
        <v>10034</v>
      </c>
      <c r="H8505">
        <v>5</v>
      </c>
      <c r="I8505">
        <f>VLOOKUP(B8505,BRAND!B:D,3,FALSE)</f>
        <v>3</v>
      </c>
      <c r="J8505">
        <v>0</v>
      </c>
      <c r="M8505">
        <v>1</v>
      </c>
    </row>
    <row r="8506" spans="1:13">
      <c r="A8506" t="s">
        <v>9931</v>
      </c>
      <c r="B8506" t="s">
        <v>293</v>
      </c>
      <c r="C8506" s="34" t="s">
        <v>10035</v>
      </c>
      <c r="H8506">
        <v>5</v>
      </c>
      <c r="I8506">
        <f>VLOOKUP(B8506,BRAND!B:D,3,FALSE)</f>
        <v>3</v>
      </c>
      <c r="J8506">
        <v>0</v>
      </c>
      <c r="M8506">
        <v>1</v>
      </c>
    </row>
    <row r="8507" spans="1:13">
      <c r="A8507" t="s">
        <v>2096</v>
      </c>
      <c r="B8507" t="s">
        <v>293</v>
      </c>
      <c r="C8507" s="34" t="s">
        <v>1438</v>
      </c>
      <c r="F8507" t="s">
        <v>1438</v>
      </c>
      <c r="H8507">
        <v>15</v>
      </c>
      <c r="I8507">
        <f>VLOOKUP(B8507,BRAND!B:D,3,FALSE)</f>
        <v>3</v>
      </c>
      <c r="J8507">
        <v>4</v>
      </c>
      <c r="K8507" t="s">
        <v>821</v>
      </c>
      <c r="L8507">
        <v>0</v>
      </c>
      <c r="M8507">
        <v>0</v>
      </c>
    </row>
    <row r="8508" spans="1:13">
      <c r="A8508" t="s">
        <v>4334</v>
      </c>
      <c r="B8508" t="s">
        <v>1870</v>
      </c>
      <c r="C8508" s="34" t="s">
        <v>534</v>
      </c>
      <c r="F8508" t="s">
        <v>534</v>
      </c>
      <c r="H8508">
        <v>5</v>
      </c>
      <c r="I8508">
        <f>VLOOKUP(B8508,BRAND!B:D,3,FALSE)</f>
        <v>5</v>
      </c>
      <c r="J8508">
        <v>6</v>
      </c>
      <c r="K8508" t="s">
        <v>821</v>
      </c>
      <c r="L8508">
        <v>0</v>
      </c>
      <c r="M8508">
        <v>0</v>
      </c>
    </row>
    <row r="8509" spans="1:13">
      <c r="A8509" t="s">
        <v>5023</v>
      </c>
      <c r="B8509" t="s">
        <v>1870</v>
      </c>
      <c r="C8509" s="34" t="s">
        <v>534</v>
      </c>
      <c r="F8509" t="s">
        <v>534</v>
      </c>
      <c r="G8509" t="s">
        <v>801</v>
      </c>
      <c r="H8509">
        <v>6</v>
      </c>
      <c r="I8509">
        <f>VLOOKUP(B8509,BRAND!B:D,3,FALSE)</f>
        <v>5</v>
      </c>
      <c r="J8509">
        <v>6</v>
      </c>
      <c r="K8509" t="s">
        <v>821</v>
      </c>
      <c r="L8509">
        <v>0</v>
      </c>
      <c r="M8509">
        <v>0</v>
      </c>
    </row>
    <row r="8510" spans="1:13">
      <c r="A8510" t="s">
        <v>9469</v>
      </c>
      <c r="B8510" t="s">
        <v>9470</v>
      </c>
      <c r="C8510" s="34" t="s">
        <v>1438</v>
      </c>
      <c r="F8510" t="s">
        <v>1438</v>
      </c>
      <c r="G8510" t="s">
        <v>6932</v>
      </c>
      <c r="H8510">
        <v>5</v>
      </c>
      <c r="I8510">
        <f>VLOOKUP(B8510,BRAND!B:D,3,FALSE)</f>
        <v>5.5</v>
      </c>
      <c r="J8510">
        <v>4</v>
      </c>
      <c r="L8510">
        <v>1</v>
      </c>
      <c r="M8510">
        <v>1</v>
      </c>
    </row>
    <row r="8511" spans="1:13">
      <c r="A8511" t="s">
        <v>4919</v>
      </c>
      <c r="B8511" t="s">
        <v>514</v>
      </c>
      <c r="C8511" s="34" t="s">
        <v>1438</v>
      </c>
      <c r="F8511" t="s">
        <v>1438</v>
      </c>
      <c r="G8511" t="s">
        <v>801</v>
      </c>
      <c r="H8511">
        <v>6</v>
      </c>
      <c r="I8511">
        <f>VLOOKUP(B8511,BRAND!B:D,3,FALSE)</f>
        <v>3</v>
      </c>
      <c r="J8511">
        <v>4</v>
      </c>
      <c r="K8511" t="s">
        <v>821</v>
      </c>
      <c r="L8511">
        <v>0</v>
      </c>
      <c r="M8511">
        <v>0</v>
      </c>
    </row>
    <row r="8512" spans="1:13">
      <c r="A8512" t="s">
        <v>2486</v>
      </c>
      <c r="B8512" t="s">
        <v>514</v>
      </c>
      <c r="C8512" s="34" t="s">
        <v>1438</v>
      </c>
      <c r="F8512" t="s">
        <v>1438</v>
      </c>
      <c r="H8512">
        <v>15</v>
      </c>
      <c r="I8512">
        <f>VLOOKUP(B8512,BRAND!B:D,3,FALSE)</f>
        <v>3</v>
      </c>
      <c r="J8512">
        <v>4</v>
      </c>
      <c r="K8512" t="s">
        <v>821</v>
      </c>
      <c r="M8512">
        <v>1</v>
      </c>
    </row>
    <row r="8513" spans="1:13">
      <c r="A8513" t="s">
        <v>3635</v>
      </c>
      <c r="B8513" t="s">
        <v>294</v>
      </c>
      <c r="C8513" s="34" t="s">
        <v>794</v>
      </c>
      <c r="F8513" t="s">
        <v>794</v>
      </c>
      <c r="H8513">
        <v>5</v>
      </c>
      <c r="I8513">
        <f>VLOOKUP(B8513,BRAND!B:D,3,FALSE)</f>
        <v>3</v>
      </c>
      <c r="J8513">
        <f>LEN(F8513)</f>
        <v>10</v>
      </c>
      <c r="K8513" t="s">
        <v>821</v>
      </c>
      <c r="M8513">
        <v>1</v>
      </c>
    </row>
    <row r="8514" spans="1:13">
      <c r="A8514" t="s">
        <v>4309</v>
      </c>
      <c r="B8514" t="s">
        <v>294</v>
      </c>
      <c r="C8514" s="34" t="s">
        <v>949</v>
      </c>
      <c r="F8514" t="s">
        <v>949</v>
      </c>
      <c r="H8514">
        <v>5</v>
      </c>
      <c r="I8514">
        <f>VLOOKUP(B8514,BRAND!B:D,3,FALSE)</f>
        <v>3</v>
      </c>
      <c r="J8514">
        <v>7</v>
      </c>
      <c r="K8514" t="s">
        <v>821</v>
      </c>
      <c r="M8514">
        <v>1</v>
      </c>
    </row>
    <row r="8515" spans="1:13">
      <c r="A8515" t="s">
        <v>3583</v>
      </c>
      <c r="B8515" t="s">
        <v>294</v>
      </c>
      <c r="C8515" s="34" t="s">
        <v>772</v>
      </c>
      <c r="F8515" t="s">
        <v>772</v>
      </c>
      <c r="H8515">
        <v>5</v>
      </c>
      <c r="I8515">
        <f>VLOOKUP(B8515,BRAND!B:D,3,FALSE)</f>
        <v>3</v>
      </c>
      <c r="J8515">
        <v>6</v>
      </c>
      <c r="K8515" t="s">
        <v>821</v>
      </c>
      <c r="L8515">
        <v>0</v>
      </c>
      <c r="M8515">
        <v>0</v>
      </c>
    </row>
    <row r="8516" spans="1:13">
      <c r="A8516" t="s">
        <v>3584</v>
      </c>
      <c r="B8516" t="s">
        <v>294</v>
      </c>
      <c r="C8516" s="34" t="s">
        <v>534</v>
      </c>
      <c r="F8516" t="s">
        <v>534</v>
      </c>
      <c r="H8516">
        <v>5</v>
      </c>
      <c r="I8516">
        <f>VLOOKUP(B8516,BRAND!B:D,3,FALSE)</f>
        <v>3</v>
      </c>
      <c r="J8516">
        <v>6</v>
      </c>
      <c r="K8516" t="s">
        <v>821</v>
      </c>
      <c r="L8516">
        <v>0</v>
      </c>
      <c r="M8516">
        <v>0</v>
      </c>
    </row>
    <row r="8517" spans="1:13">
      <c r="A8517" t="s">
        <v>6524</v>
      </c>
      <c r="B8517" t="s">
        <v>294</v>
      </c>
      <c r="C8517" s="34" t="s">
        <v>956</v>
      </c>
      <c r="F8517" t="s">
        <v>956</v>
      </c>
      <c r="H8517">
        <v>5</v>
      </c>
      <c r="I8517">
        <f>VLOOKUP(B8517,BRAND!B:D,3,FALSE)</f>
        <v>3</v>
      </c>
      <c r="J8517">
        <v>6</v>
      </c>
      <c r="K8517" t="s">
        <v>821</v>
      </c>
      <c r="L8517">
        <v>1</v>
      </c>
      <c r="M8517">
        <v>1</v>
      </c>
    </row>
    <row r="8518" spans="1:13">
      <c r="A8518" t="s">
        <v>4131</v>
      </c>
      <c r="B8518" t="s">
        <v>294</v>
      </c>
      <c r="C8518" s="34" t="s">
        <v>751</v>
      </c>
      <c r="F8518" t="s">
        <v>751</v>
      </c>
      <c r="H8518">
        <v>5</v>
      </c>
      <c r="I8518">
        <f>VLOOKUP(B8518,BRAND!B:D,3,FALSE)</f>
        <v>3</v>
      </c>
      <c r="J8518">
        <v>5</v>
      </c>
      <c r="K8518" t="s">
        <v>821</v>
      </c>
      <c r="L8518">
        <v>0</v>
      </c>
      <c r="M8518">
        <v>0</v>
      </c>
    </row>
    <row r="8519" spans="1:13">
      <c r="A8519" t="s">
        <v>4859</v>
      </c>
      <c r="B8519" t="s">
        <v>294</v>
      </c>
      <c r="C8519" s="34" t="s">
        <v>842</v>
      </c>
      <c r="F8519" t="s">
        <v>842</v>
      </c>
      <c r="H8519">
        <v>5</v>
      </c>
      <c r="I8519">
        <f>VLOOKUP(B8519,BRAND!B:D,3,FALSE)</f>
        <v>3</v>
      </c>
      <c r="J8519">
        <v>5</v>
      </c>
      <c r="K8519" t="s">
        <v>821</v>
      </c>
      <c r="L8519">
        <v>0</v>
      </c>
      <c r="M8519">
        <v>0</v>
      </c>
    </row>
    <row r="8520" spans="1:13">
      <c r="A8520" t="s">
        <v>4008</v>
      </c>
      <c r="B8520" t="s">
        <v>294</v>
      </c>
      <c r="C8520" s="34" t="s">
        <v>536</v>
      </c>
      <c r="F8520" t="s">
        <v>536</v>
      </c>
      <c r="H8520">
        <v>5</v>
      </c>
      <c r="I8520">
        <f>VLOOKUP(B8520,BRAND!B:D,3,FALSE)</f>
        <v>3</v>
      </c>
      <c r="J8520">
        <v>5</v>
      </c>
      <c r="K8520" t="s">
        <v>821</v>
      </c>
      <c r="M8520">
        <v>1</v>
      </c>
    </row>
    <row r="8521" spans="1:13">
      <c r="A8521" t="s">
        <v>4152</v>
      </c>
      <c r="B8521" t="s">
        <v>294</v>
      </c>
      <c r="C8521" s="34" t="s">
        <v>7022</v>
      </c>
      <c r="F8521" t="s">
        <v>859</v>
      </c>
      <c r="H8521">
        <v>5</v>
      </c>
      <c r="I8521">
        <f>VLOOKUP(B8521,BRAND!B:D,3,FALSE)</f>
        <v>3</v>
      </c>
      <c r="J8521">
        <v>5</v>
      </c>
      <c r="K8521" t="s">
        <v>821</v>
      </c>
      <c r="L8521">
        <v>1</v>
      </c>
      <c r="M8521">
        <v>1</v>
      </c>
    </row>
    <row r="8522" spans="1:13">
      <c r="A8522" t="s">
        <v>4009</v>
      </c>
      <c r="B8522" t="s">
        <v>294</v>
      </c>
      <c r="C8522" s="34" t="s">
        <v>913</v>
      </c>
      <c r="F8522" t="s">
        <v>913</v>
      </c>
      <c r="H8522">
        <v>5</v>
      </c>
      <c r="I8522">
        <f>VLOOKUP(B8522,BRAND!B:D,3,FALSE)</f>
        <v>3</v>
      </c>
      <c r="J8522">
        <v>5</v>
      </c>
      <c r="K8522" t="s">
        <v>821</v>
      </c>
      <c r="M8522">
        <v>1</v>
      </c>
    </row>
    <row r="8523" spans="1:13">
      <c r="A8523" t="s">
        <v>9932</v>
      </c>
      <c r="B8523" t="s">
        <v>294</v>
      </c>
      <c r="C8523" s="34" t="s">
        <v>8070</v>
      </c>
      <c r="H8523">
        <v>5</v>
      </c>
      <c r="I8523">
        <f>VLOOKUP(B8523,BRAND!B:D,3,FALSE)</f>
        <v>3</v>
      </c>
      <c r="J8523">
        <f>LEN(F8523)</f>
        <v>0</v>
      </c>
      <c r="L8523">
        <v>0</v>
      </c>
      <c r="M8523">
        <v>0</v>
      </c>
    </row>
    <row r="8524" spans="1:13">
      <c r="A8524" t="s">
        <v>9933</v>
      </c>
      <c r="B8524" t="s">
        <v>294</v>
      </c>
      <c r="C8524" s="34" t="s">
        <v>1438</v>
      </c>
      <c r="G8524" t="s">
        <v>6932</v>
      </c>
      <c r="H8524">
        <v>5</v>
      </c>
      <c r="I8524">
        <f>VLOOKUP(B8524,BRAND!B:D,3,FALSE)</f>
        <v>3</v>
      </c>
      <c r="J8524">
        <f>LEN(F8524)</f>
        <v>0</v>
      </c>
      <c r="L8524">
        <v>0</v>
      </c>
      <c r="M8524">
        <v>0</v>
      </c>
    </row>
    <row r="8525" spans="1:13">
      <c r="A8525" t="s">
        <v>9934</v>
      </c>
      <c r="B8525" t="s">
        <v>294</v>
      </c>
      <c r="C8525" s="34" t="s">
        <v>10036</v>
      </c>
      <c r="H8525">
        <v>5</v>
      </c>
      <c r="I8525">
        <f>VLOOKUP(B8525,BRAND!B:D,3,FALSE)</f>
        <v>3</v>
      </c>
      <c r="J8525">
        <f>LEN(F8525)</f>
        <v>0</v>
      </c>
      <c r="L8525">
        <v>0</v>
      </c>
      <c r="M8525">
        <v>0</v>
      </c>
    </row>
    <row r="8526" spans="1:13">
      <c r="A8526" t="s">
        <v>9932</v>
      </c>
      <c r="B8526" t="s">
        <v>294</v>
      </c>
      <c r="C8526" s="34" t="s">
        <v>8070</v>
      </c>
      <c r="H8526">
        <v>5</v>
      </c>
      <c r="I8526">
        <f>VLOOKUP(B8526,BRAND!B:D,3,FALSE)</f>
        <v>3</v>
      </c>
      <c r="J8526">
        <v>0</v>
      </c>
      <c r="M8526">
        <v>1</v>
      </c>
    </row>
    <row r="8527" spans="1:13">
      <c r="A8527" t="s">
        <v>9933</v>
      </c>
      <c r="B8527" t="s">
        <v>294</v>
      </c>
      <c r="C8527" s="34" t="s">
        <v>1438</v>
      </c>
      <c r="G8527" t="s">
        <v>6932</v>
      </c>
      <c r="H8527">
        <v>5</v>
      </c>
      <c r="I8527">
        <f>VLOOKUP(B8527,BRAND!B:D,3,FALSE)</f>
        <v>3</v>
      </c>
      <c r="J8527">
        <v>0</v>
      </c>
      <c r="M8527">
        <v>1</v>
      </c>
    </row>
    <row r="8528" spans="1:13">
      <c r="A8528" t="s">
        <v>9934</v>
      </c>
      <c r="B8528" t="s">
        <v>294</v>
      </c>
      <c r="C8528" s="34" t="s">
        <v>10036</v>
      </c>
      <c r="H8528">
        <v>5</v>
      </c>
      <c r="I8528">
        <f>VLOOKUP(B8528,BRAND!B:D,3,FALSE)</f>
        <v>3</v>
      </c>
      <c r="J8528">
        <v>0</v>
      </c>
      <c r="M8528">
        <v>1</v>
      </c>
    </row>
    <row r="8529" spans="1:13">
      <c r="A8529" t="s">
        <v>2827</v>
      </c>
      <c r="B8529" t="s">
        <v>449</v>
      </c>
      <c r="C8529" s="34" t="s">
        <v>1438</v>
      </c>
      <c r="F8529" t="s">
        <v>1438</v>
      </c>
      <c r="H8529">
        <v>15</v>
      </c>
      <c r="I8529">
        <f>VLOOKUP(B8529,BRAND!B:D,3,FALSE)</f>
        <v>3</v>
      </c>
      <c r="J8529">
        <v>4</v>
      </c>
      <c r="K8529" t="s">
        <v>821</v>
      </c>
      <c r="M8529">
        <v>1</v>
      </c>
    </row>
    <row r="8530" spans="1:13">
      <c r="A8530" t="s">
        <v>7736</v>
      </c>
      <c r="B8530" t="s">
        <v>7737</v>
      </c>
      <c r="C8530" s="34" t="s">
        <v>1438</v>
      </c>
      <c r="F8530" t="s">
        <v>1438</v>
      </c>
      <c r="G8530" t="s">
        <v>6932</v>
      </c>
      <c r="H8530">
        <v>5</v>
      </c>
      <c r="I8530">
        <f>VLOOKUP(B8530,BRAND!B:D,3,FALSE)</f>
        <v>5.5</v>
      </c>
      <c r="J8530">
        <v>4</v>
      </c>
      <c r="L8530">
        <v>0</v>
      </c>
      <c r="M8530">
        <v>0</v>
      </c>
    </row>
    <row r="8531" spans="1:13">
      <c r="A8531" t="s">
        <v>2386</v>
      </c>
      <c r="B8531" t="s">
        <v>1375</v>
      </c>
      <c r="C8531" s="34" t="s">
        <v>1438</v>
      </c>
      <c r="F8531" t="s">
        <v>1438</v>
      </c>
      <c r="H8531">
        <v>15</v>
      </c>
      <c r="I8531">
        <f>VLOOKUP(B8531,BRAND!B:D,3,FALSE)</f>
        <v>3</v>
      </c>
      <c r="J8531">
        <v>4</v>
      </c>
      <c r="K8531" t="s">
        <v>821</v>
      </c>
      <c r="M8531">
        <v>1</v>
      </c>
    </row>
    <row r="8532" spans="1:13">
      <c r="A8532" t="s">
        <v>2090</v>
      </c>
      <c r="B8532" t="s">
        <v>232</v>
      </c>
      <c r="C8532" s="34" t="s">
        <v>1438</v>
      </c>
      <c r="F8532" t="s">
        <v>1438</v>
      </c>
      <c r="H8532">
        <v>15</v>
      </c>
      <c r="I8532">
        <f>VLOOKUP(B8532,BRAND!B:D,3,FALSE)</f>
        <v>3</v>
      </c>
      <c r="J8532">
        <v>4</v>
      </c>
      <c r="K8532" t="s">
        <v>821</v>
      </c>
      <c r="M8532">
        <v>1</v>
      </c>
    </row>
    <row r="8533" spans="1:13">
      <c r="A8533" t="s">
        <v>2582</v>
      </c>
      <c r="B8533" t="s">
        <v>1128</v>
      </c>
      <c r="C8533" s="34" t="s">
        <v>1438</v>
      </c>
      <c r="F8533" t="s">
        <v>1438</v>
      </c>
      <c r="H8533">
        <v>15</v>
      </c>
      <c r="I8533">
        <f>VLOOKUP(B8533,BRAND!B:D,3,FALSE)</f>
        <v>3</v>
      </c>
      <c r="J8533">
        <v>4</v>
      </c>
      <c r="K8533" t="s">
        <v>821</v>
      </c>
      <c r="L8533">
        <v>0</v>
      </c>
      <c r="M8533">
        <v>0</v>
      </c>
    </row>
    <row r="8534" spans="1:13">
      <c r="A8534" t="s">
        <v>8992</v>
      </c>
      <c r="B8534" t="s">
        <v>450</v>
      </c>
      <c r="C8534" s="34" t="s">
        <v>8993</v>
      </c>
      <c r="F8534" t="s">
        <v>8993</v>
      </c>
      <c r="G8534" t="s">
        <v>6932</v>
      </c>
      <c r="H8534">
        <v>5</v>
      </c>
      <c r="I8534">
        <f>VLOOKUP(B8534,BRAND!B:D,3,FALSE)</f>
        <v>3</v>
      </c>
      <c r="J8534">
        <v>5</v>
      </c>
      <c r="M8534">
        <v>1</v>
      </c>
    </row>
    <row r="8535" spans="1:13">
      <c r="A8535" t="s">
        <v>8994</v>
      </c>
      <c r="B8535" t="s">
        <v>450</v>
      </c>
      <c r="C8535" s="34" t="s">
        <v>8995</v>
      </c>
      <c r="F8535" t="s">
        <v>8995</v>
      </c>
      <c r="G8535" t="s">
        <v>6932</v>
      </c>
      <c r="H8535">
        <v>5</v>
      </c>
      <c r="I8535">
        <f>VLOOKUP(B8535,BRAND!B:D,3,FALSE)</f>
        <v>3</v>
      </c>
      <c r="J8535">
        <v>5</v>
      </c>
      <c r="M8535">
        <v>1</v>
      </c>
    </row>
    <row r="8536" spans="1:13">
      <c r="A8536" t="s">
        <v>9471</v>
      </c>
      <c r="B8536" t="s">
        <v>450</v>
      </c>
      <c r="C8536" s="34" t="s">
        <v>1438</v>
      </c>
      <c r="F8536" t="s">
        <v>1438</v>
      </c>
      <c r="G8536" t="s">
        <v>6932</v>
      </c>
      <c r="H8536">
        <v>5</v>
      </c>
      <c r="I8536">
        <f>VLOOKUP(B8536,BRAND!B:D,3,FALSE)</f>
        <v>3</v>
      </c>
      <c r="J8536">
        <v>4</v>
      </c>
      <c r="L8536">
        <v>0</v>
      </c>
      <c r="M8536">
        <v>0</v>
      </c>
    </row>
    <row r="8537" spans="1:13">
      <c r="A8537" t="s">
        <v>9935</v>
      </c>
      <c r="B8537" t="s">
        <v>450</v>
      </c>
      <c r="C8537" s="34" t="s">
        <v>991</v>
      </c>
      <c r="H8537">
        <v>5</v>
      </c>
      <c r="I8537">
        <f>VLOOKUP(B8537,BRAND!B:D,3,FALSE)</f>
        <v>3</v>
      </c>
      <c r="J8537">
        <f>LEN(F8537)</f>
        <v>0</v>
      </c>
      <c r="L8537">
        <v>0</v>
      </c>
      <c r="M8537">
        <v>0</v>
      </c>
    </row>
    <row r="8538" spans="1:13">
      <c r="A8538" t="s">
        <v>9936</v>
      </c>
      <c r="B8538" t="s">
        <v>450</v>
      </c>
      <c r="C8538" s="34" t="s">
        <v>10017</v>
      </c>
      <c r="G8538" t="s">
        <v>6932</v>
      </c>
      <c r="H8538">
        <v>5</v>
      </c>
      <c r="I8538">
        <f>VLOOKUP(B8538,BRAND!B:D,3,FALSE)</f>
        <v>3</v>
      </c>
      <c r="J8538">
        <f>LEN(F8538)</f>
        <v>0</v>
      </c>
      <c r="L8538">
        <v>0</v>
      </c>
      <c r="M8538">
        <v>0</v>
      </c>
    </row>
    <row r="8539" spans="1:13">
      <c r="A8539" t="s">
        <v>9935</v>
      </c>
      <c r="B8539" t="s">
        <v>450</v>
      </c>
      <c r="C8539" s="34" t="s">
        <v>991</v>
      </c>
      <c r="H8539">
        <v>5</v>
      </c>
      <c r="I8539">
        <f>VLOOKUP(B8539,BRAND!B:D,3,FALSE)</f>
        <v>3</v>
      </c>
      <c r="J8539">
        <v>0</v>
      </c>
      <c r="M8539">
        <v>1</v>
      </c>
    </row>
    <row r="8540" spans="1:13">
      <c r="A8540" t="s">
        <v>9936</v>
      </c>
      <c r="B8540" t="s">
        <v>450</v>
      </c>
      <c r="C8540" s="34" t="s">
        <v>10017</v>
      </c>
      <c r="G8540" t="s">
        <v>6932</v>
      </c>
      <c r="H8540">
        <v>5</v>
      </c>
      <c r="I8540">
        <f>VLOOKUP(B8540,BRAND!B:D,3,FALSE)</f>
        <v>3</v>
      </c>
      <c r="J8540">
        <v>0</v>
      </c>
      <c r="M8540">
        <v>1</v>
      </c>
    </row>
    <row r="8541" spans="1:13">
      <c r="A8541" t="s">
        <v>2079</v>
      </c>
      <c r="B8541" t="s">
        <v>450</v>
      </c>
      <c r="C8541" s="34" t="s">
        <v>1438</v>
      </c>
      <c r="F8541" t="s">
        <v>1438</v>
      </c>
      <c r="H8541">
        <v>15</v>
      </c>
      <c r="I8541">
        <f>VLOOKUP(B8541,BRAND!B:D,3,FALSE)</f>
        <v>3</v>
      </c>
      <c r="J8541">
        <v>4</v>
      </c>
      <c r="K8541" t="s">
        <v>821</v>
      </c>
      <c r="L8541">
        <v>0</v>
      </c>
      <c r="M8541">
        <v>0</v>
      </c>
    </row>
    <row r="8542" spans="1:13">
      <c r="A8542" t="s">
        <v>4301</v>
      </c>
      <c r="B8542" t="s">
        <v>1880</v>
      </c>
      <c r="C8542" s="34" t="s">
        <v>536</v>
      </c>
      <c r="F8542" t="s">
        <v>536</v>
      </c>
      <c r="H8542">
        <v>5</v>
      </c>
      <c r="I8542">
        <f>VLOOKUP(B8542,BRAND!B:D,3,FALSE)</f>
        <v>5</v>
      </c>
      <c r="J8542">
        <v>5</v>
      </c>
      <c r="K8542" t="s">
        <v>821</v>
      </c>
      <c r="L8542">
        <v>0</v>
      </c>
      <c r="M8542">
        <v>0</v>
      </c>
    </row>
    <row r="8543" spans="1:13">
      <c r="A8543" t="s">
        <v>2317</v>
      </c>
      <c r="B8543" t="s">
        <v>1376</v>
      </c>
      <c r="C8543" s="34" t="s">
        <v>1438</v>
      </c>
      <c r="F8543" t="s">
        <v>1438</v>
      </c>
      <c r="H8543">
        <v>15</v>
      </c>
      <c r="I8543">
        <f>VLOOKUP(B8543,BRAND!B:D,3,FALSE)</f>
        <v>3</v>
      </c>
      <c r="J8543">
        <v>4</v>
      </c>
      <c r="K8543" t="s">
        <v>821</v>
      </c>
      <c r="L8543">
        <v>0</v>
      </c>
      <c r="M8543">
        <v>0</v>
      </c>
    </row>
    <row r="8544" spans="1:13">
      <c r="A8544" t="s">
        <v>8102</v>
      </c>
      <c r="B8544" t="s">
        <v>8103</v>
      </c>
      <c r="C8544" s="34" t="s">
        <v>1438</v>
      </c>
      <c r="F8544" t="s">
        <v>1438</v>
      </c>
      <c r="G8544" t="s">
        <v>6932</v>
      </c>
      <c r="H8544">
        <v>5</v>
      </c>
      <c r="I8544">
        <f>VLOOKUP(B8544,BRAND!B:D,3,FALSE)</f>
        <v>5.5</v>
      </c>
      <c r="J8544">
        <v>4</v>
      </c>
      <c r="L8544">
        <v>1</v>
      </c>
      <c r="M8544">
        <v>1</v>
      </c>
    </row>
    <row r="8545" spans="1:13">
      <c r="A8545" t="s">
        <v>5267</v>
      </c>
      <c r="B8545" t="s">
        <v>5266</v>
      </c>
      <c r="C8545" s="34" t="s">
        <v>764</v>
      </c>
      <c r="F8545" t="s">
        <v>764</v>
      </c>
      <c r="H8545">
        <v>15</v>
      </c>
      <c r="I8545">
        <f>VLOOKUP(B8545,BRAND!B:D,3,FALSE)</f>
        <v>3</v>
      </c>
      <c r="J8545">
        <v>5</v>
      </c>
      <c r="K8545" t="s">
        <v>821</v>
      </c>
      <c r="M8545">
        <v>1</v>
      </c>
    </row>
    <row r="8546" spans="1:13">
      <c r="A8546" t="s">
        <v>5268</v>
      </c>
      <c r="B8546" t="s">
        <v>5266</v>
      </c>
      <c r="C8546" s="34" t="s">
        <v>1438</v>
      </c>
      <c r="F8546" t="s">
        <v>1438</v>
      </c>
      <c r="H8546">
        <v>15</v>
      </c>
      <c r="I8546">
        <f>VLOOKUP(B8546,BRAND!B:D,3,FALSE)</f>
        <v>3</v>
      </c>
      <c r="J8546">
        <v>4</v>
      </c>
      <c r="K8546" t="s">
        <v>821</v>
      </c>
      <c r="M8546">
        <v>1</v>
      </c>
    </row>
    <row r="8547" spans="1:13">
      <c r="A8547" t="s">
        <v>2953</v>
      </c>
      <c r="B8547" t="s">
        <v>494</v>
      </c>
      <c r="C8547" s="34" t="s">
        <v>1948</v>
      </c>
      <c r="F8547" t="s">
        <v>1948</v>
      </c>
      <c r="H8547">
        <v>5</v>
      </c>
      <c r="I8547">
        <f>VLOOKUP(B8547,BRAND!B:D,3,FALSE)</f>
        <v>3</v>
      </c>
      <c r="J8547">
        <f>LEN(F8547)</f>
        <v>10</v>
      </c>
      <c r="K8547" t="s">
        <v>821</v>
      </c>
      <c r="M8547">
        <v>1</v>
      </c>
    </row>
    <row r="8548" spans="1:13">
      <c r="A8548" t="s">
        <v>4977</v>
      </c>
      <c r="B8548" t="s">
        <v>494</v>
      </c>
      <c r="C8548" s="34" t="s">
        <v>561</v>
      </c>
      <c r="F8548" t="s">
        <v>561</v>
      </c>
      <c r="G8548" t="s">
        <v>801</v>
      </c>
      <c r="H8548">
        <v>6</v>
      </c>
      <c r="I8548">
        <f>VLOOKUP(B8548,BRAND!B:D,3,FALSE)</f>
        <v>3</v>
      </c>
      <c r="J8548">
        <v>3</v>
      </c>
      <c r="K8548" t="s">
        <v>821</v>
      </c>
      <c r="L8548">
        <v>0</v>
      </c>
      <c r="M8548">
        <v>0</v>
      </c>
    </row>
    <row r="8549" spans="1:13">
      <c r="A8549" t="s">
        <v>2952</v>
      </c>
      <c r="B8549" t="s">
        <v>494</v>
      </c>
      <c r="C8549" s="34" t="s">
        <v>1438</v>
      </c>
      <c r="F8549" t="s">
        <v>1438</v>
      </c>
      <c r="H8549">
        <v>15</v>
      </c>
      <c r="I8549">
        <f>VLOOKUP(B8549,BRAND!B:D,3,FALSE)</f>
        <v>3</v>
      </c>
      <c r="J8549">
        <v>4</v>
      </c>
      <c r="K8549" t="s">
        <v>821</v>
      </c>
      <c r="M8549">
        <v>1</v>
      </c>
    </row>
    <row r="8550" spans="1:13">
      <c r="A8550" t="s">
        <v>10798</v>
      </c>
      <c r="B8550" t="s">
        <v>10799</v>
      </c>
      <c r="C8550" s="34" t="s">
        <v>10800</v>
      </c>
      <c r="F8550" t="s">
        <v>1438</v>
      </c>
      <c r="H8550">
        <v>5</v>
      </c>
    </row>
    <row r="8551" spans="1:13">
      <c r="A8551" t="s">
        <v>10801</v>
      </c>
      <c r="B8551" t="s">
        <v>10799</v>
      </c>
      <c r="C8551" s="34" t="s">
        <v>10855</v>
      </c>
      <c r="F8551" t="s">
        <v>561</v>
      </c>
      <c r="H8551">
        <v>5</v>
      </c>
    </row>
    <row r="8552" spans="1:13">
      <c r="A8552" t="s">
        <v>10803</v>
      </c>
      <c r="B8552" t="s">
        <v>10799</v>
      </c>
      <c r="C8552" s="34" t="s">
        <v>10800</v>
      </c>
      <c r="F8552" t="s">
        <v>1438</v>
      </c>
      <c r="G8552" t="s">
        <v>801</v>
      </c>
      <c r="H8552">
        <v>5</v>
      </c>
    </row>
    <row r="8553" spans="1:13">
      <c r="A8553" t="s">
        <v>10804</v>
      </c>
      <c r="B8553" t="s">
        <v>10799</v>
      </c>
      <c r="C8553" s="34" t="s">
        <v>10805</v>
      </c>
      <c r="F8553" t="s">
        <v>776</v>
      </c>
      <c r="H8553">
        <v>5</v>
      </c>
    </row>
    <row r="8554" spans="1:13">
      <c r="A8554" t="s">
        <v>10806</v>
      </c>
      <c r="B8554" t="s">
        <v>10799</v>
      </c>
      <c r="C8554" s="34" t="s">
        <v>10802</v>
      </c>
      <c r="F8554" t="s">
        <v>561</v>
      </c>
      <c r="G8554" t="s">
        <v>801</v>
      </c>
      <c r="H8554">
        <v>5</v>
      </c>
    </row>
    <row r="8555" spans="1:13">
      <c r="A8555" t="s">
        <v>11520</v>
      </c>
      <c r="B8555" t="s">
        <v>10799</v>
      </c>
      <c r="C8555" s="34" t="s">
        <v>658</v>
      </c>
      <c r="F8555" t="s">
        <v>658</v>
      </c>
      <c r="G8555" t="s">
        <v>6932</v>
      </c>
      <c r="H8555">
        <v>5</v>
      </c>
    </row>
    <row r="8556" spans="1:13">
      <c r="A8556" t="s">
        <v>11521</v>
      </c>
      <c r="B8556" t="s">
        <v>10799</v>
      </c>
      <c r="C8556" s="34" t="s">
        <v>660</v>
      </c>
      <c r="F8556" t="s">
        <v>660</v>
      </c>
      <c r="G8556" t="s">
        <v>6932</v>
      </c>
      <c r="H8556">
        <v>5</v>
      </c>
    </row>
    <row r="8557" spans="1:13">
      <c r="A8557" t="s">
        <v>11522</v>
      </c>
      <c r="B8557" t="s">
        <v>10799</v>
      </c>
      <c r="C8557" s="34" t="s">
        <v>11022</v>
      </c>
      <c r="F8557" t="s">
        <v>11022</v>
      </c>
      <c r="G8557" t="s">
        <v>6932</v>
      </c>
      <c r="H8557">
        <v>5</v>
      </c>
    </row>
    <row r="8558" spans="1:13">
      <c r="A8558" t="s">
        <v>11523</v>
      </c>
      <c r="B8558" t="s">
        <v>10799</v>
      </c>
      <c r="C8558" s="34" t="s">
        <v>670</v>
      </c>
      <c r="F8558" t="s">
        <v>670</v>
      </c>
      <c r="G8558" t="s">
        <v>6932</v>
      </c>
      <c r="H8558">
        <v>5</v>
      </c>
    </row>
    <row r="8559" spans="1:13">
      <c r="A8559" t="s">
        <v>11524</v>
      </c>
      <c r="B8559" t="s">
        <v>10799</v>
      </c>
      <c r="C8559" s="34" t="s">
        <v>11023</v>
      </c>
      <c r="F8559" t="s">
        <v>11023</v>
      </c>
      <c r="G8559" t="s">
        <v>6932</v>
      </c>
      <c r="H8559">
        <v>5</v>
      </c>
    </row>
    <row r="8560" spans="1:13">
      <c r="A8560" t="s">
        <v>11525</v>
      </c>
      <c r="B8560" t="s">
        <v>10799</v>
      </c>
      <c r="C8560" s="34" t="s">
        <v>11024</v>
      </c>
      <c r="F8560" t="s">
        <v>11024</v>
      </c>
      <c r="G8560" t="s">
        <v>6932</v>
      </c>
      <c r="H8560">
        <v>5</v>
      </c>
    </row>
    <row r="8561" spans="1:13">
      <c r="A8561" t="s">
        <v>11526</v>
      </c>
      <c r="B8561" t="s">
        <v>10799</v>
      </c>
      <c r="C8561" s="34" t="s">
        <v>11025</v>
      </c>
      <c r="F8561" t="s">
        <v>11025</v>
      </c>
      <c r="G8561" t="s">
        <v>6932</v>
      </c>
      <c r="H8561">
        <v>5</v>
      </c>
    </row>
    <row r="8562" spans="1:13">
      <c r="A8562" t="s">
        <v>11527</v>
      </c>
      <c r="B8562" t="s">
        <v>10799</v>
      </c>
      <c r="C8562" s="34" t="s">
        <v>11026</v>
      </c>
      <c r="F8562" t="s">
        <v>11026</v>
      </c>
      <c r="G8562" t="s">
        <v>6932</v>
      </c>
      <c r="H8562">
        <v>5</v>
      </c>
    </row>
    <row r="8563" spans="1:13">
      <c r="A8563" t="s">
        <v>11528</v>
      </c>
      <c r="B8563" t="s">
        <v>10799</v>
      </c>
      <c r="C8563" s="34" t="s">
        <v>11027</v>
      </c>
      <c r="F8563" t="s">
        <v>11027</v>
      </c>
      <c r="G8563" t="s">
        <v>6932</v>
      </c>
      <c r="H8563">
        <v>5</v>
      </c>
    </row>
    <row r="8564" spans="1:13">
      <c r="A8564" t="s">
        <v>11529</v>
      </c>
      <c r="B8564" t="s">
        <v>10799</v>
      </c>
      <c r="C8564" s="34" t="s">
        <v>11028</v>
      </c>
      <c r="F8564" t="s">
        <v>11028</v>
      </c>
      <c r="G8564" t="s">
        <v>6932</v>
      </c>
      <c r="H8564">
        <v>5</v>
      </c>
    </row>
    <row r="8565" spans="1:13">
      <c r="A8565" t="s">
        <v>11530</v>
      </c>
      <c r="B8565" t="s">
        <v>10799</v>
      </c>
      <c r="C8565" s="34" t="s">
        <v>658</v>
      </c>
      <c r="F8565" t="s">
        <v>658</v>
      </c>
      <c r="G8565" t="s">
        <v>801</v>
      </c>
      <c r="H8565">
        <v>5</v>
      </c>
    </row>
    <row r="8566" spans="1:13">
      <c r="A8566" t="s">
        <v>11531</v>
      </c>
      <c r="B8566" t="s">
        <v>10799</v>
      </c>
      <c r="C8566" s="34" t="s">
        <v>11029</v>
      </c>
      <c r="F8566" t="s">
        <v>11029</v>
      </c>
      <c r="G8566" t="s">
        <v>6932</v>
      </c>
      <c r="H8566">
        <v>5</v>
      </c>
    </row>
    <row r="8567" spans="1:13">
      <c r="A8567" t="s">
        <v>11532</v>
      </c>
      <c r="B8567" t="s">
        <v>10799</v>
      </c>
      <c r="C8567" s="34" t="s">
        <v>11030</v>
      </c>
      <c r="F8567" t="s">
        <v>11030</v>
      </c>
      <c r="G8567" t="s">
        <v>6932</v>
      </c>
      <c r="H8567">
        <v>5</v>
      </c>
    </row>
    <row r="8568" spans="1:13">
      <c r="A8568" t="s">
        <v>11533</v>
      </c>
      <c r="B8568" t="s">
        <v>10799</v>
      </c>
      <c r="C8568" s="34" t="s">
        <v>11031</v>
      </c>
      <c r="F8568" t="s">
        <v>11031</v>
      </c>
      <c r="G8568" t="s">
        <v>6932</v>
      </c>
      <c r="H8568">
        <v>5</v>
      </c>
    </row>
    <row r="8569" spans="1:13">
      <c r="A8569" t="s">
        <v>11534</v>
      </c>
      <c r="B8569" t="s">
        <v>10799</v>
      </c>
      <c r="C8569" s="34" t="s">
        <v>11032</v>
      </c>
      <c r="F8569" t="s">
        <v>11032</v>
      </c>
      <c r="G8569" t="s">
        <v>6932</v>
      </c>
      <c r="H8569">
        <v>5</v>
      </c>
    </row>
    <row r="8570" spans="1:13">
      <c r="A8570" t="s">
        <v>11535</v>
      </c>
      <c r="B8570" t="s">
        <v>10799</v>
      </c>
      <c r="C8570" s="34" t="s">
        <v>11033</v>
      </c>
      <c r="F8570" t="s">
        <v>11033</v>
      </c>
      <c r="G8570" t="s">
        <v>6932</v>
      </c>
      <c r="H8570">
        <v>5</v>
      </c>
    </row>
    <row r="8571" spans="1:13">
      <c r="A8571" t="s">
        <v>11536</v>
      </c>
      <c r="B8571" t="s">
        <v>10799</v>
      </c>
      <c r="C8571" s="34" t="s">
        <v>11034</v>
      </c>
      <c r="F8571" t="s">
        <v>11034</v>
      </c>
      <c r="G8571" t="s">
        <v>6932</v>
      </c>
      <c r="H8571">
        <v>5</v>
      </c>
    </row>
    <row r="8572" spans="1:13">
      <c r="A8572" t="s">
        <v>2075</v>
      </c>
      <c r="B8572" t="s">
        <v>623</v>
      </c>
      <c r="C8572" s="34" t="s">
        <v>536</v>
      </c>
      <c r="F8572" t="s">
        <v>536</v>
      </c>
      <c r="H8572">
        <v>5</v>
      </c>
      <c r="I8572">
        <f>VLOOKUP(B8572,BRAND!B:D,3,FALSE)</f>
        <v>3</v>
      </c>
      <c r="J8572">
        <v>5</v>
      </c>
      <c r="K8572" t="s">
        <v>821</v>
      </c>
      <c r="M8572">
        <v>1</v>
      </c>
    </row>
    <row r="8573" spans="1:13">
      <c r="A8573" t="s">
        <v>2076</v>
      </c>
      <c r="B8573" t="s">
        <v>623</v>
      </c>
      <c r="C8573" s="34" t="s">
        <v>1438</v>
      </c>
      <c r="F8573" t="s">
        <v>1438</v>
      </c>
      <c r="H8573">
        <v>15</v>
      </c>
      <c r="I8573">
        <f>VLOOKUP(B8573,BRAND!B:D,3,FALSE)</f>
        <v>3</v>
      </c>
      <c r="J8573">
        <v>4</v>
      </c>
      <c r="K8573" t="s">
        <v>821</v>
      </c>
      <c r="L8573">
        <v>0</v>
      </c>
      <c r="M8573">
        <v>0</v>
      </c>
    </row>
    <row r="8574" spans="1:13">
      <c r="A8574" t="s">
        <v>3083</v>
      </c>
      <c r="B8574" t="s">
        <v>495</v>
      </c>
      <c r="C8574" s="34" t="s">
        <v>1438</v>
      </c>
      <c r="F8574" t="s">
        <v>1438</v>
      </c>
      <c r="H8574">
        <v>15</v>
      </c>
      <c r="I8574">
        <f>VLOOKUP(B8574,BRAND!B:D,3,FALSE)</f>
        <v>3</v>
      </c>
      <c r="J8574">
        <v>4</v>
      </c>
      <c r="K8574" t="s">
        <v>821</v>
      </c>
      <c r="M8574">
        <v>1</v>
      </c>
    </row>
    <row r="8575" spans="1:13">
      <c r="A8575" t="s">
        <v>9937</v>
      </c>
      <c r="B8575" t="s">
        <v>6607</v>
      </c>
      <c r="C8575" s="34" t="s">
        <v>6608</v>
      </c>
      <c r="F8575" t="s">
        <v>536</v>
      </c>
      <c r="H8575">
        <v>5</v>
      </c>
      <c r="I8575">
        <f>VLOOKUP(B8575,BRAND!B:D,3,FALSE)</f>
        <v>5</v>
      </c>
      <c r="J8575">
        <v>5</v>
      </c>
      <c r="M8575">
        <v>1</v>
      </c>
    </row>
    <row r="8576" spans="1:13">
      <c r="A8576" t="s">
        <v>9938</v>
      </c>
      <c r="B8576" t="s">
        <v>6607</v>
      </c>
      <c r="C8576" s="34" t="s">
        <v>1990</v>
      </c>
      <c r="F8576" t="s">
        <v>1990</v>
      </c>
      <c r="H8576">
        <v>5</v>
      </c>
      <c r="I8576">
        <f>VLOOKUP(B8576,BRAND!B:D,3,FALSE)</f>
        <v>5</v>
      </c>
      <c r="J8576">
        <v>5</v>
      </c>
      <c r="M8576">
        <v>1</v>
      </c>
    </row>
    <row r="8577" spans="1:13">
      <c r="A8577" t="s">
        <v>13616</v>
      </c>
      <c r="B8577" t="s">
        <v>10808</v>
      </c>
      <c r="C8577" s="34" t="s">
        <v>12146</v>
      </c>
      <c r="F8577" t="s">
        <v>12147</v>
      </c>
      <c r="G8577" t="s">
        <v>6932</v>
      </c>
      <c r="H8577">
        <v>4</v>
      </c>
    </row>
    <row r="8578" spans="1:13">
      <c r="A8578" t="s">
        <v>13680</v>
      </c>
      <c r="B8578" t="s">
        <v>10808</v>
      </c>
      <c r="C8578" s="34" t="s">
        <v>13681</v>
      </c>
      <c r="F8578" t="s">
        <v>13681</v>
      </c>
      <c r="G8578" t="s">
        <v>6932</v>
      </c>
      <c r="H8578">
        <v>5</v>
      </c>
      <c r="I8578">
        <f>VLOOKUP(B8578,BRAND!B:D,3,FALSE)</f>
        <v>5</v>
      </c>
      <c r="J8578">
        <f>LEN(F8578)</f>
        <v>15</v>
      </c>
      <c r="K8578" t="s">
        <v>821</v>
      </c>
      <c r="L8578">
        <v>0</v>
      </c>
      <c r="M8578">
        <v>1</v>
      </c>
    </row>
    <row r="8579" spans="1:13">
      <c r="A8579" t="s">
        <v>13678</v>
      </c>
      <c r="B8579" t="s">
        <v>10808</v>
      </c>
      <c r="C8579" s="34" t="s">
        <v>13679</v>
      </c>
      <c r="F8579" t="s">
        <v>13679</v>
      </c>
      <c r="G8579" t="s">
        <v>6932</v>
      </c>
      <c r="H8579">
        <v>5</v>
      </c>
      <c r="I8579">
        <f>VLOOKUP(B8579,BRAND!B:D,3,FALSE)</f>
        <v>5</v>
      </c>
      <c r="J8579">
        <v>1</v>
      </c>
      <c r="K8579" t="s">
        <v>821</v>
      </c>
      <c r="L8579">
        <v>0</v>
      </c>
      <c r="M8579">
        <v>1</v>
      </c>
    </row>
    <row r="8580" spans="1:13">
      <c r="A8580" t="s">
        <v>10807</v>
      </c>
      <c r="B8580" t="s">
        <v>10808</v>
      </c>
      <c r="C8580" s="34" t="s">
        <v>10809</v>
      </c>
      <c r="F8580" t="s">
        <v>10809</v>
      </c>
      <c r="H8580">
        <v>5</v>
      </c>
    </row>
    <row r="8581" spans="1:13">
      <c r="A8581" t="s">
        <v>10810</v>
      </c>
      <c r="B8581" t="s">
        <v>10808</v>
      </c>
      <c r="C8581" s="34" t="s">
        <v>10825</v>
      </c>
      <c r="F8581" t="s">
        <v>10811</v>
      </c>
      <c r="H8581">
        <v>5</v>
      </c>
    </row>
    <row r="8582" spans="1:13">
      <c r="A8582" t="s">
        <v>10812</v>
      </c>
      <c r="B8582" t="s">
        <v>10808</v>
      </c>
      <c r="C8582" s="34" t="s">
        <v>786</v>
      </c>
      <c r="F8582" t="s">
        <v>786</v>
      </c>
      <c r="H8582">
        <v>5</v>
      </c>
    </row>
    <row r="8583" spans="1:13">
      <c r="A8583" t="s">
        <v>10813</v>
      </c>
      <c r="B8583" t="s">
        <v>10808</v>
      </c>
      <c r="C8583" s="34" t="s">
        <v>1975</v>
      </c>
      <c r="F8583" t="s">
        <v>1975</v>
      </c>
      <c r="H8583">
        <v>5</v>
      </c>
    </row>
    <row r="8584" spans="1:13">
      <c r="A8584" t="s">
        <v>10814</v>
      </c>
      <c r="B8584" t="s">
        <v>10808</v>
      </c>
      <c r="C8584" s="34" t="s">
        <v>10824</v>
      </c>
      <c r="F8584" t="s">
        <v>10815</v>
      </c>
      <c r="H8584">
        <v>5</v>
      </c>
    </row>
    <row r="8585" spans="1:13">
      <c r="A8585" t="s">
        <v>10816</v>
      </c>
      <c r="B8585" t="s">
        <v>10808</v>
      </c>
      <c r="C8585" s="34" t="s">
        <v>10809</v>
      </c>
      <c r="F8585" t="s">
        <v>10809</v>
      </c>
      <c r="G8585" t="s">
        <v>801</v>
      </c>
      <c r="H8585">
        <v>5</v>
      </c>
    </row>
    <row r="8586" spans="1:13">
      <c r="A8586" t="s">
        <v>13597</v>
      </c>
      <c r="B8586" t="s">
        <v>10808</v>
      </c>
      <c r="C8586" s="34" t="s">
        <v>12121</v>
      </c>
      <c r="F8586" t="s">
        <v>12121</v>
      </c>
      <c r="G8586" t="s">
        <v>6932</v>
      </c>
      <c r="H8586">
        <v>5</v>
      </c>
    </row>
    <row r="8587" spans="1:13">
      <c r="A8587" t="s">
        <v>13598</v>
      </c>
      <c r="B8587" t="s">
        <v>10808</v>
      </c>
      <c r="C8587" s="34" t="s">
        <v>12122</v>
      </c>
      <c r="F8587" t="s">
        <v>12123</v>
      </c>
      <c r="G8587" t="s">
        <v>6932</v>
      </c>
      <c r="H8587">
        <v>5</v>
      </c>
    </row>
    <row r="8588" spans="1:13">
      <c r="A8588" t="s">
        <v>13600</v>
      </c>
      <c r="B8588" t="s">
        <v>10808</v>
      </c>
      <c r="C8588" s="34" t="s">
        <v>1033</v>
      </c>
      <c r="F8588" t="s">
        <v>12125</v>
      </c>
      <c r="G8588" t="s">
        <v>6932</v>
      </c>
      <c r="H8588">
        <v>5</v>
      </c>
    </row>
    <row r="8589" spans="1:13">
      <c r="A8589" t="s">
        <v>13601</v>
      </c>
      <c r="B8589" t="s">
        <v>10808</v>
      </c>
      <c r="C8589" s="34" t="s">
        <v>12126</v>
      </c>
      <c r="F8589" t="s">
        <v>12126</v>
      </c>
      <c r="G8589" t="s">
        <v>6932</v>
      </c>
      <c r="H8589">
        <v>5</v>
      </c>
    </row>
    <row r="8590" spans="1:13">
      <c r="A8590" t="s">
        <v>13602</v>
      </c>
      <c r="B8590" t="s">
        <v>10808</v>
      </c>
      <c r="C8590" s="34" t="s">
        <v>12127</v>
      </c>
      <c r="F8590" t="s">
        <v>12128</v>
      </c>
      <c r="G8590" t="s">
        <v>6932</v>
      </c>
      <c r="H8590">
        <v>5</v>
      </c>
    </row>
    <row r="8591" spans="1:13">
      <c r="A8591" t="s">
        <v>13603</v>
      </c>
      <c r="B8591" t="s">
        <v>10808</v>
      </c>
      <c r="C8591" s="34" t="s">
        <v>6354</v>
      </c>
      <c r="F8591" t="s">
        <v>12129</v>
      </c>
      <c r="G8591" t="s">
        <v>6932</v>
      </c>
      <c r="H8591">
        <v>5</v>
      </c>
    </row>
    <row r="8592" spans="1:13">
      <c r="A8592" t="s">
        <v>13604</v>
      </c>
      <c r="B8592" t="s">
        <v>10808</v>
      </c>
      <c r="C8592" s="34" t="s">
        <v>6451</v>
      </c>
      <c r="F8592" t="s">
        <v>6451</v>
      </c>
      <c r="G8592" t="s">
        <v>6932</v>
      </c>
      <c r="H8592">
        <v>5</v>
      </c>
    </row>
    <row r="8593" spans="1:8">
      <c r="A8593" t="s">
        <v>13606</v>
      </c>
      <c r="B8593" t="s">
        <v>10808</v>
      </c>
      <c r="C8593" s="34" t="s">
        <v>12131</v>
      </c>
      <c r="F8593" t="s">
        <v>12131</v>
      </c>
      <c r="G8593" t="s">
        <v>6932</v>
      </c>
      <c r="H8593">
        <v>5</v>
      </c>
    </row>
    <row r="8594" spans="1:8">
      <c r="A8594" t="s">
        <v>13607</v>
      </c>
      <c r="B8594" t="s">
        <v>10808</v>
      </c>
      <c r="C8594" s="34" t="s">
        <v>788</v>
      </c>
      <c r="F8594" t="s">
        <v>12132</v>
      </c>
      <c r="G8594" t="s">
        <v>6932</v>
      </c>
      <c r="H8594">
        <v>5</v>
      </c>
    </row>
    <row r="8595" spans="1:8">
      <c r="A8595" t="s">
        <v>13608</v>
      </c>
      <c r="B8595" t="s">
        <v>10808</v>
      </c>
      <c r="C8595" s="34" t="s">
        <v>10815</v>
      </c>
      <c r="F8595" t="s">
        <v>12133</v>
      </c>
      <c r="G8595" t="s">
        <v>6932</v>
      </c>
      <c r="H8595">
        <v>5</v>
      </c>
    </row>
    <row r="8596" spans="1:8">
      <c r="A8596" t="s">
        <v>13609</v>
      </c>
      <c r="B8596" t="s">
        <v>10808</v>
      </c>
      <c r="C8596" s="34" t="s">
        <v>12134</v>
      </c>
      <c r="F8596" t="s">
        <v>12135</v>
      </c>
      <c r="G8596" t="s">
        <v>6932</v>
      </c>
      <c r="H8596">
        <v>5</v>
      </c>
    </row>
    <row r="8597" spans="1:8">
      <c r="A8597" t="s">
        <v>13610</v>
      </c>
      <c r="B8597" t="s">
        <v>10808</v>
      </c>
      <c r="C8597" s="34" t="s">
        <v>12136</v>
      </c>
      <c r="F8597" t="s">
        <v>12137</v>
      </c>
      <c r="G8597" t="s">
        <v>6932</v>
      </c>
      <c r="H8597">
        <v>5</v>
      </c>
    </row>
    <row r="8598" spans="1:8">
      <c r="A8598" t="s">
        <v>13611</v>
      </c>
      <c r="B8598" t="s">
        <v>10808</v>
      </c>
      <c r="C8598" s="34" t="s">
        <v>1975</v>
      </c>
      <c r="F8598" t="s">
        <v>12138</v>
      </c>
      <c r="G8598" t="s">
        <v>6932</v>
      </c>
      <c r="H8598">
        <v>5</v>
      </c>
    </row>
    <row r="8599" spans="1:8">
      <c r="A8599" t="s">
        <v>13612</v>
      </c>
      <c r="B8599" t="s">
        <v>10808</v>
      </c>
      <c r="C8599" s="34" t="s">
        <v>12139</v>
      </c>
      <c r="F8599" t="s">
        <v>12140</v>
      </c>
      <c r="G8599" t="s">
        <v>6932</v>
      </c>
      <c r="H8599">
        <v>5</v>
      </c>
    </row>
    <row r="8600" spans="1:8">
      <c r="A8600" t="s">
        <v>13613</v>
      </c>
      <c r="B8600" t="s">
        <v>10808</v>
      </c>
      <c r="C8600" s="34" t="s">
        <v>13672</v>
      </c>
      <c r="F8600" t="s">
        <v>12142</v>
      </c>
      <c r="G8600" t="s">
        <v>6932</v>
      </c>
      <c r="H8600">
        <v>5</v>
      </c>
    </row>
    <row r="8601" spans="1:8">
      <c r="A8601" t="s">
        <v>13614</v>
      </c>
      <c r="B8601" t="s">
        <v>10808</v>
      </c>
      <c r="C8601" s="34" t="s">
        <v>12143</v>
      </c>
      <c r="F8601" t="s">
        <v>12144</v>
      </c>
      <c r="G8601" t="s">
        <v>6932</v>
      </c>
      <c r="H8601">
        <v>5</v>
      </c>
    </row>
    <row r="8602" spans="1:8">
      <c r="A8602" t="s">
        <v>13615</v>
      </c>
      <c r="B8602" t="s">
        <v>10808</v>
      </c>
      <c r="C8602" s="34" t="s">
        <v>12145</v>
      </c>
      <c r="F8602" t="s">
        <v>7323</v>
      </c>
      <c r="G8602" t="s">
        <v>801</v>
      </c>
      <c r="H8602">
        <v>5</v>
      </c>
    </row>
    <row r="8603" spans="1:8">
      <c r="A8603" t="s">
        <v>13617</v>
      </c>
      <c r="B8603" t="s">
        <v>10808</v>
      </c>
      <c r="C8603" s="34" t="s">
        <v>12148</v>
      </c>
      <c r="F8603" t="s">
        <v>12149</v>
      </c>
      <c r="G8603" t="s">
        <v>6932</v>
      </c>
      <c r="H8603">
        <v>5</v>
      </c>
    </row>
    <row r="8604" spans="1:8">
      <c r="A8604" t="s">
        <v>13618</v>
      </c>
      <c r="B8604" t="s">
        <v>10808</v>
      </c>
      <c r="C8604" s="34" t="s">
        <v>12150</v>
      </c>
      <c r="F8604" t="s">
        <v>12151</v>
      </c>
      <c r="G8604" t="s">
        <v>6932</v>
      </c>
      <c r="H8604">
        <v>5</v>
      </c>
    </row>
    <row r="8605" spans="1:8">
      <c r="A8605" t="s">
        <v>13619</v>
      </c>
      <c r="B8605" t="s">
        <v>10808</v>
      </c>
      <c r="C8605" s="34" t="s">
        <v>12152</v>
      </c>
      <c r="F8605" t="s">
        <v>12153</v>
      </c>
      <c r="G8605" t="s">
        <v>6932</v>
      </c>
      <c r="H8605">
        <v>5</v>
      </c>
    </row>
    <row r="8606" spans="1:8">
      <c r="A8606" t="s">
        <v>13620</v>
      </c>
      <c r="B8606" t="s">
        <v>10808</v>
      </c>
      <c r="C8606" s="34" t="s">
        <v>11000</v>
      </c>
      <c r="F8606" t="s">
        <v>12154</v>
      </c>
      <c r="G8606" t="s">
        <v>6932</v>
      </c>
      <c r="H8606">
        <v>5</v>
      </c>
    </row>
    <row r="8607" spans="1:8">
      <c r="A8607" t="s">
        <v>13596</v>
      </c>
      <c r="B8607" t="s">
        <v>10808</v>
      </c>
      <c r="C8607" s="34" t="s">
        <v>602</v>
      </c>
      <c r="F8607" t="s">
        <v>602</v>
      </c>
      <c r="G8607" t="s">
        <v>6932</v>
      </c>
      <c r="H8607">
        <v>6</v>
      </c>
    </row>
    <row r="8608" spans="1:8">
      <c r="A8608" t="s">
        <v>13605</v>
      </c>
      <c r="B8608" t="s">
        <v>10808</v>
      </c>
      <c r="C8608" s="34" t="s">
        <v>12130</v>
      </c>
      <c r="F8608" t="s">
        <v>12130</v>
      </c>
      <c r="G8608" t="s">
        <v>6932</v>
      </c>
      <c r="H8608">
        <v>6</v>
      </c>
    </row>
    <row r="8609" spans="1:13">
      <c r="A8609" t="s">
        <v>13599</v>
      </c>
      <c r="B8609" t="s">
        <v>10808</v>
      </c>
      <c r="C8609" s="34" t="s">
        <v>12124</v>
      </c>
      <c r="F8609" t="s">
        <v>12124</v>
      </c>
      <c r="G8609" t="s">
        <v>6932</v>
      </c>
      <c r="H8609">
        <v>7</v>
      </c>
      <c r="I8609">
        <f>VLOOKUP(B8609,BRAND!B:D,3,FALSE)</f>
        <v>5</v>
      </c>
      <c r="J8609">
        <v>5</v>
      </c>
      <c r="K8609" t="s">
        <v>821</v>
      </c>
    </row>
    <row r="8610" spans="1:13">
      <c r="A8610" t="s">
        <v>9472</v>
      </c>
      <c r="B8610" t="s">
        <v>9473</v>
      </c>
      <c r="C8610" s="34" t="s">
        <v>1438</v>
      </c>
      <c r="F8610" t="s">
        <v>1438</v>
      </c>
      <c r="G8610" t="s">
        <v>6932</v>
      </c>
      <c r="H8610">
        <v>5</v>
      </c>
      <c r="I8610">
        <f>VLOOKUP(B8610,BRAND!B:D,3,FALSE)</f>
        <v>5.5</v>
      </c>
      <c r="J8610">
        <v>4</v>
      </c>
      <c r="M8610">
        <v>1</v>
      </c>
    </row>
    <row r="8611" spans="1:13">
      <c r="A8611" t="s">
        <v>9474</v>
      </c>
      <c r="B8611" t="s">
        <v>479</v>
      </c>
      <c r="C8611" s="34" t="s">
        <v>1438</v>
      </c>
      <c r="F8611" t="s">
        <v>1438</v>
      </c>
      <c r="G8611" t="s">
        <v>6932</v>
      </c>
      <c r="H8611">
        <v>5</v>
      </c>
      <c r="I8611">
        <f>VLOOKUP(B8611,BRAND!B:D,3,FALSE)</f>
        <v>3</v>
      </c>
      <c r="J8611">
        <v>4</v>
      </c>
      <c r="L8611" s="29"/>
      <c r="M8611">
        <v>1</v>
      </c>
    </row>
    <row r="8612" spans="1:13">
      <c r="A8612" t="s">
        <v>3440</v>
      </c>
      <c r="B8612" t="s">
        <v>479</v>
      </c>
      <c r="C8612" s="34" t="s">
        <v>561</v>
      </c>
      <c r="F8612" t="s">
        <v>561</v>
      </c>
      <c r="H8612">
        <v>5</v>
      </c>
      <c r="I8612">
        <f>VLOOKUP(B8612,BRAND!B:D,3,FALSE)</f>
        <v>3</v>
      </c>
      <c r="J8612">
        <v>3</v>
      </c>
      <c r="K8612" t="s">
        <v>821</v>
      </c>
      <c r="M8612">
        <v>1</v>
      </c>
    </row>
    <row r="8613" spans="1:13">
      <c r="A8613" t="s">
        <v>3248</v>
      </c>
      <c r="B8613" t="s">
        <v>479</v>
      </c>
      <c r="C8613" s="34" t="s">
        <v>1438</v>
      </c>
      <c r="F8613" t="s">
        <v>1438</v>
      </c>
      <c r="H8613">
        <v>15</v>
      </c>
      <c r="I8613">
        <f>VLOOKUP(B8613,BRAND!B:D,3,FALSE)</f>
        <v>3</v>
      </c>
      <c r="J8613">
        <v>4</v>
      </c>
      <c r="K8613" t="s">
        <v>821</v>
      </c>
      <c r="L8613">
        <v>0</v>
      </c>
      <c r="M8613">
        <v>0</v>
      </c>
    </row>
    <row r="8614" spans="1:13">
      <c r="A8614" t="s">
        <v>4289</v>
      </c>
      <c r="B8614" t="s">
        <v>202</v>
      </c>
      <c r="C8614" s="34" t="s">
        <v>898</v>
      </c>
      <c r="F8614" t="s">
        <v>898</v>
      </c>
      <c r="H8614">
        <v>5</v>
      </c>
      <c r="I8614">
        <f>VLOOKUP(B8614,BRAND!B:D,3,FALSE)</f>
        <v>5</v>
      </c>
      <c r="J8614">
        <v>6</v>
      </c>
      <c r="K8614" t="s">
        <v>821</v>
      </c>
      <c r="L8614">
        <v>0</v>
      </c>
      <c r="M8614">
        <v>0</v>
      </c>
    </row>
    <row r="8615" spans="1:13">
      <c r="A8615" t="s">
        <v>3448</v>
      </c>
      <c r="B8615" t="s">
        <v>202</v>
      </c>
      <c r="C8615" s="34" t="s">
        <v>561</v>
      </c>
      <c r="F8615" t="s">
        <v>561</v>
      </c>
      <c r="H8615">
        <v>5</v>
      </c>
      <c r="I8615">
        <f>VLOOKUP(B8615,BRAND!B:D,3,FALSE)</f>
        <v>5</v>
      </c>
      <c r="J8615">
        <v>3</v>
      </c>
      <c r="K8615" t="s">
        <v>821</v>
      </c>
      <c r="L8615">
        <v>0</v>
      </c>
      <c r="M8615">
        <v>0</v>
      </c>
    </row>
    <row r="8616" spans="1:13">
      <c r="A8616" t="s">
        <v>2204</v>
      </c>
      <c r="B8616" t="s">
        <v>202</v>
      </c>
      <c r="C8616" s="34" t="s">
        <v>1438</v>
      </c>
      <c r="F8616" t="s">
        <v>1438</v>
      </c>
      <c r="H8616">
        <v>15</v>
      </c>
      <c r="I8616">
        <f>VLOOKUP(B8616,BRAND!B:D,3,FALSE)</f>
        <v>5</v>
      </c>
      <c r="J8616">
        <v>4</v>
      </c>
      <c r="K8616" t="s">
        <v>821</v>
      </c>
      <c r="M8616">
        <v>1</v>
      </c>
    </row>
    <row r="8617" spans="1:13">
      <c r="A8617" t="s">
        <v>9475</v>
      </c>
      <c r="B8617" t="s">
        <v>9476</v>
      </c>
      <c r="C8617" s="34" t="s">
        <v>1438</v>
      </c>
      <c r="F8617" t="s">
        <v>1438</v>
      </c>
      <c r="G8617" t="s">
        <v>801</v>
      </c>
      <c r="H8617">
        <v>5</v>
      </c>
      <c r="I8617">
        <f>VLOOKUP(B8617,BRAND!B:D,3,FALSE)</f>
        <v>5.5</v>
      </c>
      <c r="J8617">
        <v>4</v>
      </c>
      <c r="M8617">
        <v>1</v>
      </c>
    </row>
    <row r="8618" spans="1:13">
      <c r="A8618" t="s">
        <v>2513</v>
      </c>
      <c r="B8618" t="s">
        <v>480</v>
      </c>
      <c r="C8618" s="34" t="s">
        <v>772</v>
      </c>
      <c r="F8618" t="s">
        <v>772</v>
      </c>
      <c r="H8618">
        <v>5</v>
      </c>
      <c r="I8618">
        <f>VLOOKUP(B8618,BRAND!B:D,3,FALSE)</f>
        <v>3</v>
      </c>
      <c r="J8618">
        <v>6</v>
      </c>
      <c r="K8618" t="s">
        <v>821</v>
      </c>
      <c r="L8618">
        <v>0</v>
      </c>
      <c r="M8618">
        <v>0</v>
      </c>
    </row>
    <row r="8619" spans="1:13">
      <c r="A8619" t="s">
        <v>9477</v>
      </c>
      <c r="B8619" t="s">
        <v>480</v>
      </c>
      <c r="C8619" s="34" t="s">
        <v>1438</v>
      </c>
      <c r="F8619" t="s">
        <v>1438</v>
      </c>
      <c r="G8619" t="s">
        <v>6932</v>
      </c>
      <c r="H8619">
        <v>5</v>
      </c>
      <c r="I8619">
        <f>VLOOKUP(B8619,BRAND!B:D,3,FALSE)</f>
        <v>3</v>
      </c>
      <c r="J8619">
        <v>4</v>
      </c>
      <c r="M8619">
        <v>1</v>
      </c>
    </row>
    <row r="8620" spans="1:13">
      <c r="A8620" t="s">
        <v>2990</v>
      </c>
      <c r="B8620" t="s">
        <v>480</v>
      </c>
      <c r="C8620" s="34" t="s">
        <v>561</v>
      </c>
      <c r="F8620" t="s">
        <v>561</v>
      </c>
      <c r="H8620">
        <v>5</v>
      </c>
      <c r="I8620">
        <f>VLOOKUP(B8620,BRAND!B:D,3,FALSE)</f>
        <v>3</v>
      </c>
      <c r="J8620">
        <v>3</v>
      </c>
      <c r="K8620" t="s">
        <v>821</v>
      </c>
      <c r="L8620">
        <v>0</v>
      </c>
      <c r="M8620">
        <v>0</v>
      </c>
    </row>
    <row r="8621" spans="1:13">
      <c r="A8621" t="s">
        <v>2318</v>
      </c>
      <c r="B8621" t="s">
        <v>480</v>
      </c>
      <c r="C8621" s="34" t="s">
        <v>1438</v>
      </c>
      <c r="F8621" t="s">
        <v>1438</v>
      </c>
      <c r="H8621">
        <v>15</v>
      </c>
      <c r="I8621">
        <f>VLOOKUP(B8621,BRAND!B:D,3,FALSE)</f>
        <v>3</v>
      </c>
      <c r="J8621">
        <v>4</v>
      </c>
      <c r="K8621" t="s">
        <v>821</v>
      </c>
      <c r="L8621">
        <v>0</v>
      </c>
      <c r="M8621">
        <v>0</v>
      </c>
    </row>
    <row r="8622" spans="1:13">
      <c r="A8622" t="s">
        <v>9478</v>
      </c>
      <c r="B8622" t="s">
        <v>9479</v>
      </c>
      <c r="C8622" s="34" t="s">
        <v>1438</v>
      </c>
      <c r="F8622" t="s">
        <v>1438</v>
      </c>
      <c r="G8622" t="s">
        <v>6932</v>
      </c>
      <c r="H8622">
        <v>5</v>
      </c>
      <c r="I8622">
        <f>VLOOKUP(B8622,BRAND!B:D,3,FALSE)</f>
        <v>5.5</v>
      </c>
      <c r="J8622">
        <v>4</v>
      </c>
      <c r="M8622">
        <v>1</v>
      </c>
    </row>
    <row r="8623" spans="1:13">
      <c r="A8623" t="s">
        <v>7158</v>
      </c>
      <c r="B8623" t="s">
        <v>7159</v>
      </c>
      <c r="C8623" s="34" t="s">
        <v>1438</v>
      </c>
      <c r="F8623" t="s">
        <v>1438</v>
      </c>
      <c r="H8623">
        <v>5</v>
      </c>
      <c r="I8623">
        <f>VLOOKUP(B8623,BRAND!B:D,3,FALSE)</f>
        <v>5.5</v>
      </c>
      <c r="M8623">
        <v>1</v>
      </c>
    </row>
    <row r="8624" spans="1:13">
      <c r="A8624" t="s">
        <v>1645</v>
      </c>
      <c r="B8624" t="s">
        <v>717</v>
      </c>
      <c r="C8624" s="34" t="s">
        <v>1469</v>
      </c>
      <c r="F8624" t="s">
        <v>1469</v>
      </c>
      <c r="H8624">
        <v>4</v>
      </c>
      <c r="I8624">
        <f>VLOOKUP(B8624,BRAND!B:D,3,FALSE)</f>
        <v>6</v>
      </c>
      <c r="J8624">
        <f>LEN(F8624)</f>
        <v>12</v>
      </c>
      <c r="K8624" t="s">
        <v>821</v>
      </c>
      <c r="M8624">
        <v>1</v>
      </c>
    </row>
    <row r="8625" spans="1:13">
      <c r="A8625" t="s">
        <v>4057</v>
      </c>
      <c r="B8625" t="s">
        <v>717</v>
      </c>
      <c r="C8625" s="34" t="s">
        <v>1476</v>
      </c>
      <c r="F8625" t="s">
        <v>1476</v>
      </c>
      <c r="H8625">
        <v>5</v>
      </c>
      <c r="I8625">
        <f>VLOOKUP(B8625,BRAND!B:D,3,FALSE)</f>
        <v>6</v>
      </c>
      <c r="J8625">
        <f>LEN(F8625)</f>
        <v>11</v>
      </c>
      <c r="K8625" t="s">
        <v>821</v>
      </c>
      <c r="M8625">
        <v>1</v>
      </c>
    </row>
    <row r="8626" spans="1:13">
      <c r="A8626" t="s">
        <v>4517</v>
      </c>
      <c r="B8626" t="s">
        <v>717</v>
      </c>
      <c r="C8626" s="34" t="s">
        <v>783</v>
      </c>
      <c r="F8626" t="s">
        <v>783</v>
      </c>
      <c r="H8626">
        <v>5</v>
      </c>
      <c r="I8626">
        <f>VLOOKUP(B8626,BRAND!B:D,3,FALSE)</f>
        <v>6</v>
      </c>
      <c r="J8626">
        <f>LEN(F8626)</f>
        <v>10</v>
      </c>
      <c r="K8626" t="s">
        <v>821</v>
      </c>
      <c r="L8626">
        <v>0</v>
      </c>
      <c r="M8626">
        <v>0</v>
      </c>
    </row>
    <row r="8627" spans="1:13">
      <c r="A8627" t="s">
        <v>4512</v>
      </c>
      <c r="B8627" t="s">
        <v>717</v>
      </c>
      <c r="C8627" s="34" t="s">
        <v>889</v>
      </c>
      <c r="F8627" t="s">
        <v>889</v>
      </c>
      <c r="H8627">
        <v>5</v>
      </c>
      <c r="I8627">
        <f>VLOOKUP(B8627,BRAND!B:D,3,FALSE)</f>
        <v>6</v>
      </c>
      <c r="J8627">
        <v>7</v>
      </c>
      <c r="K8627" t="s">
        <v>821</v>
      </c>
      <c r="L8627">
        <v>0</v>
      </c>
      <c r="M8627">
        <v>0</v>
      </c>
    </row>
    <row r="8628" spans="1:13">
      <c r="A8628" t="s">
        <v>1664</v>
      </c>
      <c r="B8628" t="s">
        <v>717</v>
      </c>
      <c r="C8628" s="34" t="s">
        <v>1493</v>
      </c>
      <c r="F8628" t="s">
        <v>1493</v>
      </c>
      <c r="H8628">
        <v>5</v>
      </c>
      <c r="I8628">
        <f>VLOOKUP(B8628,BRAND!B:D,3,FALSE)</f>
        <v>6</v>
      </c>
      <c r="J8628">
        <v>7</v>
      </c>
      <c r="K8628" t="s">
        <v>821</v>
      </c>
      <c r="M8628">
        <v>1</v>
      </c>
    </row>
    <row r="8629" spans="1:13">
      <c r="A8629" t="s">
        <v>1602</v>
      </c>
      <c r="B8629" t="s">
        <v>717</v>
      </c>
      <c r="C8629" s="34" t="s">
        <v>995</v>
      </c>
      <c r="F8629" t="s">
        <v>995</v>
      </c>
      <c r="H8629">
        <v>5</v>
      </c>
      <c r="I8629">
        <f>VLOOKUP(B8629,BRAND!B:D,3,FALSE)</f>
        <v>6</v>
      </c>
      <c r="J8629">
        <v>6</v>
      </c>
      <c r="K8629" t="s">
        <v>821</v>
      </c>
      <c r="M8629">
        <v>1</v>
      </c>
    </row>
    <row r="8630" spans="1:13">
      <c r="A8630" t="s">
        <v>4426</v>
      </c>
      <c r="B8630" t="s">
        <v>717</v>
      </c>
      <c r="C8630" s="34" t="s">
        <v>842</v>
      </c>
      <c r="F8630" t="s">
        <v>842</v>
      </c>
      <c r="H8630">
        <v>5</v>
      </c>
      <c r="I8630">
        <f>VLOOKUP(B8630,BRAND!B:D,3,FALSE)</f>
        <v>6</v>
      </c>
      <c r="J8630">
        <v>5</v>
      </c>
      <c r="K8630" t="s">
        <v>821</v>
      </c>
      <c r="L8630">
        <v>0</v>
      </c>
      <c r="M8630">
        <v>0</v>
      </c>
    </row>
    <row r="8631" spans="1:13">
      <c r="A8631" t="s">
        <v>4373</v>
      </c>
      <c r="B8631" t="s">
        <v>717</v>
      </c>
      <c r="C8631" s="34" t="s">
        <v>791</v>
      </c>
      <c r="F8631" t="s">
        <v>791</v>
      </c>
      <c r="H8631">
        <v>5</v>
      </c>
      <c r="I8631">
        <f>VLOOKUP(B8631,BRAND!B:D,3,FALSE)</f>
        <v>6</v>
      </c>
      <c r="J8631">
        <v>5</v>
      </c>
      <c r="K8631" t="s">
        <v>821</v>
      </c>
      <c r="L8631">
        <v>0</v>
      </c>
      <c r="M8631">
        <v>0</v>
      </c>
    </row>
    <row r="8632" spans="1:13">
      <c r="A8632" t="s">
        <v>4096</v>
      </c>
      <c r="B8632" t="s">
        <v>717</v>
      </c>
      <c r="C8632" s="34" t="s">
        <v>776</v>
      </c>
      <c r="F8632" t="s">
        <v>776</v>
      </c>
      <c r="H8632">
        <v>5</v>
      </c>
      <c r="I8632">
        <f>VLOOKUP(B8632,BRAND!B:D,3,FALSE)</f>
        <v>6</v>
      </c>
      <c r="J8632">
        <v>5</v>
      </c>
      <c r="K8632" t="s">
        <v>821</v>
      </c>
      <c r="L8632">
        <v>0</v>
      </c>
      <c r="M8632">
        <v>0</v>
      </c>
    </row>
    <row r="8633" spans="1:13">
      <c r="A8633" t="s">
        <v>1603</v>
      </c>
      <c r="B8633" t="s">
        <v>717</v>
      </c>
      <c r="C8633" s="34" t="s">
        <v>1513</v>
      </c>
      <c r="F8633" t="s">
        <v>1513</v>
      </c>
      <c r="H8633">
        <v>5</v>
      </c>
      <c r="I8633">
        <f>VLOOKUP(B8633,BRAND!B:D,3,FALSE)</f>
        <v>6</v>
      </c>
      <c r="J8633">
        <v>5</v>
      </c>
      <c r="K8633" t="s">
        <v>821</v>
      </c>
      <c r="L8633">
        <v>1</v>
      </c>
      <c r="M8633">
        <v>1</v>
      </c>
    </row>
    <row r="8634" spans="1:13">
      <c r="A8634" t="s">
        <v>4728</v>
      </c>
      <c r="B8634" t="s">
        <v>717</v>
      </c>
      <c r="C8634" s="34" t="s">
        <v>897</v>
      </c>
      <c r="F8634" t="s">
        <v>897</v>
      </c>
      <c r="H8634">
        <v>5</v>
      </c>
      <c r="I8634">
        <f>VLOOKUP(B8634,BRAND!B:D,3,FALSE)</f>
        <v>6</v>
      </c>
      <c r="J8634">
        <v>4</v>
      </c>
      <c r="K8634" t="s">
        <v>821</v>
      </c>
      <c r="L8634">
        <v>0</v>
      </c>
      <c r="M8634">
        <v>0</v>
      </c>
    </row>
    <row r="8635" spans="1:13">
      <c r="A8635" t="s">
        <v>1676</v>
      </c>
      <c r="B8635" t="s">
        <v>717</v>
      </c>
      <c r="C8635" s="34" t="s">
        <v>876</v>
      </c>
      <c r="F8635" t="s">
        <v>876</v>
      </c>
      <c r="H8635">
        <v>5</v>
      </c>
      <c r="I8635">
        <f>VLOOKUP(B8635,BRAND!B:D,3,FALSE)</f>
        <v>6</v>
      </c>
      <c r="J8635">
        <v>4</v>
      </c>
      <c r="K8635" t="s">
        <v>821</v>
      </c>
      <c r="L8635">
        <v>1</v>
      </c>
      <c r="M8635">
        <v>1</v>
      </c>
    </row>
    <row r="8636" spans="1:13">
      <c r="A8636" t="s">
        <v>4700</v>
      </c>
      <c r="B8636" t="s">
        <v>717</v>
      </c>
      <c r="C8636" s="34" t="s">
        <v>782</v>
      </c>
      <c r="F8636" t="s">
        <v>782</v>
      </c>
      <c r="H8636">
        <v>5</v>
      </c>
      <c r="I8636">
        <f>VLOOKUP(B8636,BRAND!B:D,3,FALSE)</f>
        <v>6</v>
      </c>
      <c r="J8636">
        <v>4</v>
      </c>
      <c r="K8636" t="s">
        <v>821</v>
      </c>
      <c r="M8636">
        <v>1</v>
      </c>
    </row>
    <row r="8637" spans="1:13">
      <c r="A8637" t="s">
        <v>1716</v>
      </c>
      <c r="B8637" t="s">
        <v>717</v>
      </c>
      <c r="C8637" s="34" t="s">
        <v>775</v>
      </c>
      <c r="F8637" t="s">
        <v>775</v>
      </c>
      <c r="H8637">
        <v>5</v>
      </c>
      <c r="I8637">
        <f>VLOOKUP(B8637,BRAND!B:D,3,FALSE)</f>
        <v>6</v>
      </c>
      <c r="J8637">
        <v>3</v>
      </c>
      <c r="K8637" t="s">
        <v>821</v>
      </c>
      <c r="M8637">
        <v>1</v>
      </c>
    </row>
    <row r="8638" spans="1:13">
      <c r="A8638" t="s">
        <v>10166</v>
      </c>
      <c r="B8638" t="s">
        <v>717</v>
      </c>
      <c r="C8638" s="34" t="s">
        <v>10167</v>
      </c>
      <c r="F8638" t="s">
        <v>10167</v>
      </c>
      <c r="H8638">
        <v>5</v>
      </c>
      <c r="I8638">
        <f>VLOOKUP(B8638,BRAND!B:D,3,FALSE)</f>
        <v>6</v>
      </c>
      <c r="J8638">
        <v>3</v>
      </c>
      <c r="L8638">
        <v>1</v>
      </c>
      <c r="M8638">
        <v>1</v>
      </c>
    </row>
    <row r="8639" spans="1:13">
      <c r="A8639" t="s">
        <v>10239</v>
      </c>
      <c r="B8639" t="s">
        <v>717</v>
      </c>
      <c r="C8639" s="34" t="s">
        <v>1459</v>
      </c>
      <c r="F8639" t="s">
        <v>1459</v>
      </c>
      <c r="H8639">
        <v>5</v>
      </c>
      <c r="I8639">
        <f>VLOOKUP(B8639,BRAND!B:D,3,FALSE)</f>
        <v>6</v>
      </c>
      <c r="J8639">
        <v>3</v>
      </c>
      <c r="L8639">
        <v>1</v>
      </c>
    </row>
    <row r="8640" spans="1:13">
      <c r="A8640" t="s">
        <v>5033</v>
      </c>
      <c r="B8640" t="s">
        <v>717</v>
      </c>
      <c r="C8640" s="34" t="s">
        <v>746</v>
      </c>
      <c r="F8640" t="s">
        <v>746</v>
      </c>
      <c r="G8640" t="s">
        <v>801</v>
      </c>
      <c r="H8640">
        <v>6</v>
      </c>
      <c r="I8640">
        <f>VLOOKUP(B8640,BRAND!B:D,3,FALSE)</f>
        <v>6</v>
      </c>
      <c r="J8640">
        <v>6</v>
      </c>
      <c r="K8640" t="s">
        <v>821</v>
      </c>
      <c r="M8640">
        <v>1</v>
      </c>
    </row>
    <row r="8641" spans="1:13">
      <c r="A8641" t="s">
        <v>4913</v>
      </c>
      <c r="B8641" t="s">
        <v>717</v>
      </c>
      <c r="C8641" s="34" t="s">
        <v>995</v>
      </c>
      <c r="F8641" t="s">
        <v>995</v>
      </c>
      <c r="G8641" t="s">
        <v>801</v>
      </c>
      <c r="H8641">
        <v>6</v>
      </c>
      <c r="I8641">
        <f>VLOOKUP(B8641,BRAND!B:D,3,FALSE)</f>
        <v>6</v>
      </c>
      <c r="J8641">
        <v>6</v>
      </c>
      <c r="K8641" t="s">
        <v>821</v>
      </c>
      <c r="M8641">
        <v>1</v>
      </c>
    </row>
    <row r="8642" spans="1:13">
      <c r="A8642" t="s">
        <v>4914</v>
      </c>
      <c r="B8642" t="s">
        <v>717</v>
      </c>
      <c r="C8642" s="34" t="s">
        <v>1513</v>
      </c>
      <c r="F8642" t="s">
        <v>1513</v>
      </c>
      <c r="G8642" t="s">
        <v>801</v>
      </c>
      <c r="H8642">
        <v>6</v>
      </c>
      <c r="I8642">
        <f>VLOOKUP(B8642,BRAND!B:D,3,FALSE)</f>
        <v>6</v>
      </c>
      <c r="J8642">
        <v>5</v>
      </c>
      <c r="K8642" t="s">
        <v>821</v>
      </c>
      <c r="L8642">
        <v>1</v>
      </c>
      <c r="M8642">
        <v>1</v>
      </c>
    </row>
    <row r="8643" spans="1:13">
      <c r="A8643" t="s">
        <v>4915</v>
      </c>
      <c r="B8643" t="s">
        <v>717</v>
      </c>
      <c r="C8643" s="34" t="s">
        <v>1438</v>
      </c>
      <c r="F8643" t="s">
        <v>1438</v>
      </c>
      <c r="G8643" t="s">
        <v>801</v>
      </c>
      <c r="H8643">
        <v>6</v>
      </c>
      <c r="I8643">
        <f>VLOOKUP(B8643,BRAND!B:D,3,FALSE)</f>
        <v>6</v>
      </c>
      <c r="J8643">
        <v>4</v>
      </c>
      <c r="K8643" t="s">
        <v>821</v>
      </c>
      <c r="M8643">
        <v>1</v>
      </c>
    </row>
    <row r="8644" spans="1:13">
      <c r="A8644" t="s">
        <v>1601</v>
      </c>
      <c r="B8644" t="s">
        <v>717</v>
      </c>
      <c r="C8644" s="34" t="s">
        <v>1438</v>
      </c>
      <c r="F8644" t="s">
        <v>1438</v>
      </c>
      <c r="H8644">
        <v>15</v>
      </c>
      <c r="I8644">
        <f>VLOOKUP(B8644,BRAND!B:D,3,FALSE)</f>
        <v>6</v>
      </c>
      <c r="J8644">
        <v>4</v>
      </c>
      <c r="K8644" t="s">
        <v>821</v>
      </c>
      <c r="M8644">
        <v>1</v>
      </c>
    </row>
    <row r="8645" spans="1:13">
      <c r="A8645" t="s">
        <v>3394</v>
      </c>
      <c r="B8645" t="s">
        <v>203</v>
      </c>
      <c r="C8645" s="34" t="s">
        <v>774</v>
      </c>
      <c r="F8645" t="s">
        <v>774</v>
      </c>
      <c r="H8645">
        <v>5</v>
      </c>
      <c r="I8645">
        <f>VLOOKUP(B8645,BRAND!B:D,3,FALSE)</f>
        <v>3</v>
      </c>
      <c r="J8645">
        <v>9</v>
      </c>
      <c r="K8645" t="s">
        <v>821</v>
      </c>
      <c r="M8645">
        <v>1</v>
      </c>
    </row>
    <row r="8646" spans="1:13">
      <c r="A8646" t="s">
        <v>2571</v>
      </c>
      <c r="B8646" t="s">
        <v>203</v>
      </c>
      <c r="C8646" s="34" t="s">
        <v>772</v>
      </c>
      <c r="F8646" t="s">
        <v>772</v>
      </c>
      <c r="H8646">
        <v>5</v>
      </c>
      <c r="I8646">
        <f>VLOOKUP(B8646,BRAND!B:D,3,FALSE)</f>
        <v>3</v>
      </c>
      <c r="J8646">
        <v>6</v>
      </c>
      <c r="K8646" t="s">
        <v>821</v>
      </c>
      <c r="L8646">
        <v>0</v>
      </c>
      <c r="M8646">
        <v>0</v>
      </c>
    </row>
    <row r="8647" spans="1:13">
      <c r="A8647" t="s">
        <v>3990</v>
      </c>
      <c r="B8647" t="s">
        <v>203</v>
      </c>
      <c r="C8647" s="34" t="s">
        <v>534</v>
      </c>
      <c r="F8647" t="s">
        <v>534</v>
      </c>
      <c r="H8647">
        <v>5</v>
      </c>
      <c r="I8647">
        <f>VLOOKUP(B8647,BRAND!B:D,3,FALSE)</f>
        <v>3</v>
      </c>
      <c r="J8647">
        <v>6</v>
      </c>
      <c r="K8647" t="s">
        <v>821</v>
      </c>
      <c r="M8647">
        <v>1</v>
      </c>
    </row>
    <row r="8648" spans="1:13">
      <c r="A8648" t="s">
        <v>3908</v>
      </c>
      <c r="B8648" t="s">
        <v>203</v>
      </c>
      <c r="C8648" s="34" t="s">
        <v>872</v>
      </c>
      <c r="F8648" t="s">
        <v>872</v>
      </c>
      <c r="H8648">
        <v>5</v>
      </c>
      <c r="I8648">
        <f>VLOOKUP(B8648,BRAND!B:D,3,FALSE)</f>
        <v>3</v>
      </c>
      <c r="J8648">
        <v>5</v>
      </c>
      <c r="K8648" t="s">
        <v>821</v>
      </c>
      <c r="L8648">
        <v>0</v>
      </c>
      <c r="M8648">
        <v>0</v>
      </c>
    </row>
    <row r="8649" spans="1:13">
      <c r="A8649" t="s">
        <v>4129</v>
      </c>
      <c r="B8649" t="s">
        <v>203</v>
      </c>
      <c r="C8649" s="34" t="s">
        <v>799</v>
      </c>
      <c r="F8649" t="s">
        <v>799</v>
      </c>
      <c r="H8649">
        <v>5</v>
      </c>
      <c r="I8649">
        <f>VLOOKUP(B8649,BRAND!B:D,3,FALSE)</f>
        <v>3</v>
      </c>
      <c r="J8649">
        <v>5</v>
      </c>
      <c r="K8649" t="s">
        <v>821</v>
      </c>
      <c r="L8649">
        <v>0</v>
      </c>
      <c r="M8649">
        <v>0</v>
      </c>
    </row>
    <row r="8650" spans="1:13">
      <c r="A8650" t="s">
        <v>4161</v>
      </c>
      <c r="B8650" t="s">
        <v>203</v>
      </c>
      <c r="C8650" s="34" t="s">
        <v>761</v>
      </c>
      <c r="F8650" t="s">
        <v>761</v>
      </c>
      <c r="H8650">
        <v>5</v>
      </c>
      <c r="I8650">
        <f>VLOOKUP(B8650,BRAND!B:D,3,FALSE)</f>
        <v>3</v>
      </c>
      <c r="J8650">
        <v>5</v>
      </c>
      <c r="K8650" t="s">
        <v>821</v>
      </c>
      <c r="L8650">
        <v>0</v>
      </c>
      <c r="M8650">
        <v>0</v>
      </c>
    </row>
    <row r="8651" spans="1:13">
      <c r="A8651" t="s">
        <v>3067</v>
      </c>
      <c r="B8651" t="s">
        <v>203</v>
      </c>
      <c r="C8651" s="34" t="s">
        <v>776</v>
      </c>
      <c r="F8651" t="s">
        <v>776</v>
      </c>
      <c r="H8651">
        <v>5</v>
      </c>
      <c r="I8651">
        <f>VLOOKUP(B8651,BRAND!B:D,3,FALSE)</f>
        <v>3</v>
      </c>
      <c r="J8651">
        <v>5</v>
      </c>
      <c r="K8651" t="s">
        <v>821</v>
      </c>
      <c r="L8651">
        <v>0</v>
      </c>
      <c r="M8651">
        <v>0</v>
      </c>
    </row>
    <row r="8652" spans="1:13">
      <c r="A8652" t="s">
        <v>3986</v>
      </c>
      <c r="B8652" t="s">
        <v>203</v>
      </c>
      <c r="C8652" s="34" t="s">
        <v>536</v>
      </c>
      <c r="F8652" t="s">
        <v>536</v>
      </c>
      <c r="H8652">
        <v>5</v>
      </c>
      <c r="I8652">
        <f>VLOOKUP(B8652,BRAND!B:D,3,FALSE)</f>
        <v>3</v>
      </c>
      <c r="J8652">
        <v>5</v>
      </c>
      <c r="K8652" t="s">
        <v>821</v>
      </c>
      <c r="M8652">
        <v>1</v>
      </c>
    </row>
    <row r="8653" spans="1:13">
      <c r="A8653" t="s">
        <v>3989</v>
      </c>
      <c r="B8653" t="s">
        <v>203</v>
      </c>
      <c r="C8653" s="34" t="s">
        <v>842</v>
      </c>
      <c r="F8653" t="s">
        <v>842</v>
      </c>
      <c r="H8653">
        <v>5</v>
      </c>
      <c r="I8653">
        <f>VLOOKUP(B8653,BRAND!B:D,3,FALSE)</f>
        <v>3</v>
      </c>
      <c r="J8653">
        <v>5</v>
      </c>
      <c r="K8653" t="s">
        <v>821</v>
      </c>
      <c r="M8653">
        <v>1</v>
      </c>
    </row>
    <row r="8654" spans="1:13">
      <c r="A8654" t="s">
        <v>3996</v>
      </c>
      <c r="B8654" t="s">
        <v>203</v>
      </c>
      <c r="C8654" s="34" t="s">
        <v>1974</v>
      </c>
      <c r="F8654" t="s">
        <v>1974</v>
      </c>
      <c r="H8654">
        <v>5</v>
      </c>
      <c r="I8654">
        <f>VLOOKUP(B8654,BRAND!B:D,3,FALSE)</f>
        <v>3</v>
      </c>
      <c r="J8654">
        <v>4</v>
      </c>
      <c r="K8654" t="s">
        <v>821</v>
      </c>
      <c r="L8654">
        <v>0</v>
      </c>
      <c r="M8654">
        <v>0</v>
      </c>
    </row>
    <row r="8655" spans="1:13">
      <c r="A8655" t="s">
        <v>3814</v>
      </c>
      <c r="B8655" t="s">
        <v>203</v>
      </c>
      <c r="C8655" s="34" t="s">
        <v>897</v>
      </c>
      <c r="F8655" t="s">
        <v>897</v>
      </c>
      <c r="H8655">
        <v>5</v>
      </c>
      <c r="I8655">
        <f>VLOOKUP(B8655,BRAND!B:D,3,FALSE)</f>
        <v>3</v>
      </c>
      <c r="J8655">
        <v>4</v>
      </c>
      <c r="K8655" t="s">
        <v>821</v>
      </c>
      <c r="L8655">
        <v>0</v>
      </c>
      <c r="M8655">
        <v>0</v>
      </c>
    </row>
    <row r="8656" spans="1:13">
      <c r="A8656" t="s">
        <v>3394</v>
      </c>
      <c r="B8656" t="s">
        <v>203</v>
      </c>
      <c r="C8656" s="34" t="s">
        <v>1992</v>
      </c>
      <c r="F8656" t="s">
        <v>1992</v>
      </c>
      <c r="H8656">
        <v>5</v>
      </c>
      <c r="I8656">
        <f>VLOOKUP(B8656,BRAND!B:D,3,FALSE)</f>
        <v>3</v>
      </c>
      <c r="J8656">
        <v>3</v>
      </c>
      <c r="K8656" t="s">
        <v>821</v>
      </c>
      <c r="L8656">
        <v>0</v>
      </c>
      <c r="M8656">
        <v>0</v>
      </c>
    </row>
    <row r="8657" spans="1:13">
      <c r="A8657" t="s">
        <v>4130</v>
      </c>
      <c r="B8657" t="s">
        <v>203</v>
      </c>
      <c r="C8657" s="34" t="s">
        <v>561</v>
      </c>
      <c r="F8657" t="s">
        <v>561</v>
      </c>
      <c r="H8657">
        <v>5</v>
      </c>
      <c r="I8657">
        <f>VLOOKUP(B8657,BRAND!B:D,3,FALSE)</f>
        <v>3</v>
      </c>
      <c r="J8657">
        <v>3</v>
      </c>
      <c r="K8657" t="s">
        <v>821</v>
      </c>
      <c r="L8657">
        <v>0</v>
      </c>
      <c r="M8657">
        <v>0</v>
      </c>
    </row>
    <row r="8658" spans="1:13">
      <c r="A8658" t="s">
        <v>4390</v>
      </c>
      <c r="B8658" t="s">
        <v>203</v>
      </c>
      <c r="C8658" s="34" t="s">
        <v>775</v>
      </c>
      <c r="F8658" t="s">
        <v>775</v>
      </c>
      <c r="H8658">
        <v>5</v>
      </c>
      <c r="I8658">
        <f>VLOOKUP(B8658,BRAND!B:D,3,FALSE)</f>
        <v>3</v>
      </c>
      <c r="J8658">
        <v>3</v>
      </c>
      <c r="K8658" t="s">
        <v>821</v>
      </c>
      <c r="L8658">
        <v>0</v>
      </c>
      <c r="M8658">
        <v>0</v>
      </c>
    </row>
    <row r="8659" spans="1:13">
      <c r="A8659" t="s">
        <v>3619</v>
      </c>
      <c r="B8659" t="s">
        <v>203</v>
      </c>
      <c r="C8659" s="34" t="s">
        <v>786</v>
      </c>
      <c r="F8659" t="s">
        <v>786</v>
      </c>
      <c r="H8659">
        <v>5</v>
      </c>
      <c r="I8659">
        <f>VLOOKUP(B8659,BRAND!B:D,3,FALSE)</f>
        <v>3</v>
      </c>
      <c r="J8659">
        <v>3</v>
      </c>
      <c r="K8659" t="s">
        <v>821</v>
      </c>
      <c r="M8659">
        <v>1</v>
      </c>
    </row>
    <row r="8660" spans="1:13">
      <c r="A8660" t="s">
        <v>9939</v>
      </c>
      <c r="B8660" t="s">
        <v>203</v>
      </c>
      <c r="C8660" s="34" t="s">
        <v>872</v>
      </c>
      <c r="G8660" t="s">
        <v>6932</v>
      </c>
      <c r="H8660">
        <v>5</v>
      </c>
      <c r="I8660">
        <f>VLOOKUP(B8660,BRAND!B:D,3,FALSE)</f>
        <v>3</v>
      </c>
      <c r="J8660">
        <f>LEN(F8660)</f>
        <v>0</v>
      </c>
      <c r="L8660">
        <v>0</v>
      </c>
      <c r="M8660">
        <v>0</v>
      </c>
    </row>
    <row r="8661" spans="1:13">
      <c r="A8661" t="s">
        <v>9940</v>
      </c>
      <c r="B8661" t="s">
        <v>203</v>
      </c>
      <c r="C8661" s="34" t="s">
        <v>788</v>
      </c>
      <c r="H8661">
        <v>5</v>
      </c>
      <c r="I8661">
        <f>VLOOKUP(B8661,BRAND!B:D,3,FALSE)</f>
        <v>3</v>
      </c>
      <c r="J8661">
        <f>LEN(F8661)</f>
        <v>0</v>
      </c>
      <c r="L8661">
        <v>0</v>
      </c>
      <c r="M8661">
        <v>0</v>
      </c>
    </row>
    <row r="8662" spans="1:13">
      <c r="A8662" t="s">
        <v>9939</v>
      </c>
      <c r="B8662" t="s">
        <v>203</v>
      </c>
      <c r="C8662" s="34" t="s">
        <v>872</v>
      </c>
      <c r="G8662" t="s">
        <v>6932</v>
      </c>
      <c r="H8662">
        <v>5</v>
      </c>
      <c r="I8662">
        <f>VLOOKUP(B8662,BRAND!B:D,3,FALSE)</f>
        <v>3</v>
      </c>
      <c r="J8662">
        <v>0</v>
      </c>
      <c r="M8662">
        <v>1</v>
      </c>
    </row>
    <row r="8663" spans="1:13">
      <c r="A8663" t="s">
        <v>9940</v>
      </c>
      <c r="B8663" t="s">
        <v>203</v>
      </c>
      <c r="C8663" s="34" t="s">
        <v>788</v>
      </c>
      <c r="H8663">
        <v>5</v>
      </c>
      <c r="I8663">
        <f>VLOOKUP(B8663,BRAND!B:D,3,FALSE)</f>
        <v>3</v>
      </c>
      <c r="J8663">
        <v>0</v>
      </c>
      <c r="M8663">
        <v>1</v>
      </c>
    </row>
    <row r="8664" spans="1:13">
      <c r="A8664" t="s">
        <v>3986</v>
      </c>
      <c r="B8664" t="s">
        <v>203</v>
      </c>
      <c r="C8664" s="34" t="s">
        <v>5235</v>
      </c>
      <c r="F8664" t="s">
        <v>1438</v>
      </c>
      <c r="H8664">
        <v>15</v>
      </c>
      <c r="I8664">
        <f>VLOOKUP(B8664,BRAND!B:D,3,FALSE)</f>
        <v>3</v>
      </c>
      <c r="J8664">
        <v>4</v>
      </c>
      <c r="K8664" t="s">
        <v>821</v>
      </c>
      <c r="L8664">
        <v>0</v>
      </c>
      <c r="M8664">
        <v>0</v>
      </c>
    </row>
    <row r="8665" spans="1:13">
      <c r="A8665" t="s">
        <v>9483</v>
      </c>
      <c r="B8665" t="s">
        <v>348</v>
      </c>
      <c r="C8665" s="34" t="s">
        <v>534</v>
      </c>
      <c r="F8665" t="s">
        <v>534</v>
      </c>
      <c r="G8665" t="s">
        <v>6932</v>
      </c>
      <c r="H8665">
        <v>5</v>
      </c>
      <c r="I8665">
        <f>VLOOKUP(B8665,BRAND!B:D,3,FALSE)</f>
        <v>3</v>
      </c>
      <c r="J8665">
        <v>6</v>
      </c>
      <c r="M8665">
        <v>1</v>
      </c>
    </row>
    <row r="8666" spans="1:13">
      <c r="A8666" t="s">
        <v>9480</v>
      </c>
      <c r="B8666" t="s">
        <v>348</v>
      </c>
      <c r="C8666" s="34" t="s">
        <v>799</v>
      </c>
      <c r="F8666" t="s">
        <v>799</v>
      </c>
      <c r="G8666" t="s">
        <v>6932</v>
      </c>
      <c r="H8666">
        <v>5</v>
      </c>
      <c r="I8666">
        <f>VLOOKUP(B8666,BRAND!B:D,3,FALSE)</f>
        <v>3</v>
      </c>
      <c r="J8666">
        <v>5</v>
      </c>
      <c r="M8666">
        <v>1</v>
      </c>
    </row>
    <row r="8667" spans="1:13">
      <c r="A8667" t="s">
        <v>9481</v>
      </c>
      <c r="B8667" t="s">
        <v>348</v>
      </c>
      <c r="C8667" s="34" t="s">
        <v>9482</v>
      </c>
      <c r="F8667" t="s">
        <v>9482</v>
      </c>
      <c r="G8667" t="s">
        <v>6932</v>
      </c>
      <c r="H8667">
        <v>5</v>
      </c>
      <c r="I8667">
        <f>VLOOKUP(B8667,BRAND!B:D,3,FALSE)</f>
        <v>3</v>
      </c>
      <c r="J8667">
        <v>4</v>
      </c>
      <c r="M8667">
        <v>1</v>
      </c>
    </row>
    <row r="8668" spans="1:13">
      <c r="A8668" t="s">
        <v>9941</v>
      </c>
      <c r="B8668" t="s">
        <v>348</v>
      </c>
      <c r="C8668" s="34" t="s">
        <v>10037</v>
      </c>
      <c r="H8668">
        <v>5</v>
      </c>
      <c r="I8668">
        <f>VLOOKUP(B8668,BRAND!B:D,3,FALSE)</f>
        <v>3</v>
      </c>
      <c r="J8668">
        <f>LEN(F8668)</f>
        <v>0</v>
      </c>
      <c r="L8668">
        <v>0</v>
      </c>
      <c r="M8668">
        <v>0</v>
      </c>
    </row>
    <row r="8669" spans="1:13">
      <c r="A8669" t="s">
        <v>9941</v>
      </c>
      <c r="B8669" t="s">
        <v>348</v>
      </c>
      <c r="C8669" s="34" t="s">
        <v>10037</v>
      </c>
      <c r="H8669">
        <v>5</v>
      </c>
      <c r="I8669">
        <f>VLOOKUP(B8669,BRAND!B:D,3,FALSE)</f>
        <v>3</v>
      </c>
      <c r="J8669">
        <v>0</v>
      </c>
      <c r="M8669">
        <v>1</v>
      </c>
    </row>
    <row r="8670" spans="1:13">
      <c r="A8670" t="s">
        <v>2316</v>
      </c>
      <c r="B8670" t="s">
        <v>348</v>
      </c>
      <c r="C8670" s="34" t="s">
        <v>1438</v>
      </c>
      <c r="F8670" t="s">
        <v>1438</v>
      </c>
      <c r="H8670">
        <v>15</v>
      </c>
      <c r="I8670">
        <f>VLOOKUP(B8670,BRAND!B:D,3,FALSE)</f>
        <v>3</v>
      </c>
      <c r="J8670">
        <v>4</v>
      </c>
      <c r="K8670" t="s">
        <v>821</v>
      </c>
      <c r="M8670">
        <v>1</v>
      </c>
    </row>
    <row r="8671" spans="1:13">
      <c r="A8671" t="s">
        <v>3226</v>
      </c>
      <c r="B8671" t="s">
        <v>295</v>
      </c>
      <c r="C8671" s="34" t="s">
        <v>933</v>
      </c>
      <c r="F8671" t="s">
        <v>933</v>
      </c>
      <c r="H8671">
        <v>5</v>
      </c>
      <c r="I8671">
        <f>VLOOKUP(B8671,BRAND!B:D,3,FALSE)</f>
        <v>3</v>
      </c>
      <c r="J8671">
        <v>8</v>
      </c>
      <c r="K8671" t="s">
        <v>821</v>
      </c>
      <c r="M8671">
        <v>1</v>
      </c>
    </row>
    <row r="8672" spans="1:13">
      <c r="A8672" t="s">
        <v>2869</v>
      </c>
      <c r="B8672" t="s">
        <v>295</v>
      </c>
      <c r="C8672" s="34" t="s">
        <v>535</v>
      </c>
      <c r="F8672" t="s">
        <v>535</v>
      </c>
      <c r="H8672">
        <v>5</v>
      </c>
      <c r="I8672">
        <f>VLOOKUP(B8672,BRAND!B:D,3,FALSE)</f>
        <v>3</v>
      </c>
      <c r="J8672">
        <v>6</v>
      </c>
      <c r="K8672" t="s">
        <v>821</v>
      </c>
      <c r="L8672">
        <v>0</v>
      </c>
      <c r="M8672">
        <v>0</v>
      </c>
    </row>
    <row r="8673" spans="1:13">
      <c r="A8673" t="s">
        <v>3909</v>
      </c>
      <c r="B8673" t="s">
        <v>295</v>
      </c>
      <c r="C8673" s="34" t="s">
        <v>772</v>
      </c>
      <c r="F8673" t="s">
        <v>772</v>
      </c>
      <c r="H8673">
        <v>5</v>
      </c>
      <c r="I8673">
        <f>VLOOKUP(B8673,BRAND!B:D,3,FALSE)</f>
        <v>3</v>
      </c>
      <c r="J8673">
        <v>6</v>
      </c>
      <c r="K8673" t="s">
        <v>821</v>
      </c>
      <c r="M8673">
        <v>1</v>
      </c>
    </row>
    <row r="8674" spans="1:13">
      <c r="A8674" t="s">
        <v>2320</v>
      </c>
      <c r="B8674" t="s">
        <v>295</v>
      </c>
      <c r="C8674" s="34" t="s">
        <v>534</v>
      </c>
      <c r="F8674" t="s">
        <v>534</v>
      </c>
      <c r="H8674">
        <v>5</v>
      </c>
      <c r="I8674">
        <f>VLOOKUP(B8674,BRAND!B:D,3,FALSE)</f>
        <v>3</v>
      </c>
      <c r="J8674">
        <v>6</v>
      </c>
      <c r="K8674" t="s">
        <v>821</v>
      </c>
      <c r="M8674">
        <v>1</v>
      </c>
    </row>
    <row r="8675" spans="1:13">
      <c r="A8675" t="s">
        <v>2319</v>
      </c>
      <c r="B8675" t="s">
        <v>295</v>
      </c>
      <c r="C8675" s="34" t="s">
        <v>536</v>
      </c>
      <c r="F8675" t="s">
        <v>536</v>
      </c>
      <c r="H8675">
        <v>5</v>
      </c>
      <c r="I8675">
        <f>VLOOKUP(B8675,BRAND!B:D,3,FALSE)</f>
        <v>3</v>
      </c>
      <c r="J8675">
        <v>5</v>
      </c>
      <c r="K8675" t="s">
        <v>821</v>
      </c>
      <c r="M8675">
        <v>1</v>
      </c>
    </row>
    <row r="8676" spans="1:13">
      <c r="A8676" t="s">
        <v>3557</v>
      </c>
      <c r="B8676" t="s">
        <v>295</v>
      </c>
      <c r="C8676" s="34" t="s">
        <v>791</v>
      </c>
      <c r="F8676" t="s">
        <v>791</v>
      </c>
      <c r="H8676">
        <v>5</v>
      </c>
      <c r="I8676">
        <f>VLOOKUP(B8676,BRAND!B:D,3,FALSE)</f>
        <v>3</v>
      </c>
      <c r="J8676">
        <v>5</v>
      </c>
      <c r="K8676" t="s">
        <v>821</v>
      </c>
      <c r="M8676">
        <v>1</v>
      </c>
    </row>
    <row r="8677" spans="1:13">
      <c r="A8677" t="s">
        <v>3224</v>
      </c>
      <c r="B8677" t="s">
        <v>295</v>
      </c>
      <c r="C8677" s="34" t="s">
        <v>561</v>
      </c>
      <c r="F8677" t="s">
        <v>561</v>
      </c>
      <c r="H8677">
        <v>5</v>
      </c>
      <c r="I8677">
        <f>VLOOKUP(B8677,BRAND!B:D,3,FALSE)</f>
        <v>3</v>
      </c>
      <c r="J8677">
        <v>3</v>
      </c>
      <c r="K8677" t="s">
        <v>821</v>
      </c>
      <c r="L8677">
        <v>0</v>
      </c>
      <c r="M8677">
        <v>0</v>
      </c>
    </row>
    <row r="8678" spans="1:13">
      <c r="A8678" t="s">
        <v>9484</v>
      </c>
      <c r="B8678" t="s">
        <v>295</v>
      </c>
      <c r="C8678" s="34" t="s">
        <v>786</v>
      </c>
      <c r="F8678" t="s">
        <v>786</v>
      </c>
      <c r="G8678" t="s">
        <v>6932</v>
      </c>
      <c r="H8678">
        <v>5</v>
      </c>
      <c r="I8678">
        <f>VLOOKUP(B8678,BRAND!B:D,3,FALSE)</f>
        <v>3</v>
      </c>
      <c r="J8678">
        <v>3</v>
      </c>
      <c r="M8678">
        <v>1</v>
      </c>
    </row>
    <row r="8679" spans="1:13">
      <c r="A8679" t="s">
        <v>2040</v>
      </c>
      <c r="B8679" t="s">
        <v>295</v>
      </c>
      <c r="C8679" s="34" t="s">
        <v>1438</v>
      </c>
      <c r="F8679" t="s">
        <v>1438</v>
      </c>
      <c r="H8679">
        <v>15</v>
      </c>
      <c r="I8679">
        <f>VLOOKUP(B8679,BRAND!B:D,3,FALSE)</f>
        <v>3</v>
      </c>
      <c r="J8679">
        <v>4</v>
      </c>
      <c r="K8679" t="s">
        <v>821</v>
      </c>
      <c r="L8679">
        <v>0</v>
      </c>
      <c r="M8679">
        <v>0</v>
      </c>
    </row>
    <row r="8680" spans="1:13">
      <c r="A8680" t="s">
        <v>3800</v>
      </c>
      <c r="B8680" t="s">
        <v>1089</v>
      </c>
      <c r="C8680" s="34" t="s">
        <v>534</v>
      </c>
      <c r="F8680" t="s">
        <v>534</v>
      </c>
      <c r="H8680">
        <v>5</v>
      </c>
      <c r="I8680">
        <f>VLOOKUP(B8680,BRAND!B:D,3,FALSE)</f>
        <v>3</v>
      </c>
      <c r="J8680">
        <v>6</v>
      </c>
      <c r="K8680" t="s">
        <v>821</v>
      </c>
      <c r="L8680">
        <v>0</v>
      </c>
      <c r="M8680">
        <v>0</v>
      </c>
    </row>
    <row r="8681" spans="1:13">
      <c r="A8681" t="s">
        <v>3815</v>
      </c>
      <c r="B8681" t="s">
        <v>1089</v>
      </c>
      <c r="C8681" s="34" t="s">
        <v>781</v>
      </c>
      <c r="F8681" t="s">
        <v>781</v>
      </c>
      <c r="H8681">
        <v>5</v>
      </c>
      <c r="I8681">
        <f>VLOOKUP(B8681,BRAND!B:D,3,FALSE)</f>
        <v>3</v>
      </c>
      <c r="J8681">
        <v>4</v>
      </c>
      <c r="K8681" t="s">
        <v>821</v>
      </c>
      <c r="L8681">
        <v>0</v>
      </c>
      <c r="M8681">
        <v>0</v>
      </c>
    </row>
    <row r="8682" spans="1:13">
      <c r="A8682" t="s">
        <v>2650</v>
      </c>
      <c r="B8682" t="s">
        <v>1089</v>
      </c>
      <c r="C8682" s="34" t="s">
        <v>1438</v>
      </c>
      <c r="F8682" t="s">
        <v>1438</v>
      </c>
      <c r="H8682">
        <v>15</v>
      </c>
      <c r="I8682">
        <f>VLOOKUP(B8682,BRAND!B:D,3,FALSE)</f>
        <v>3</v>
      </c>
      <c r="J8682">
        <v>4</v>
      </c>
      <c r="K8682" t="s">
        <v>821</v>
      </c>
      <c r="L8682">
        <v>0</v>
      </c>
      <c r="M8682">
        <v>0</v>
      </c>
    </row>
    <row r="8683" spans="1:13">
      <c r="A8683" t="s">
        <v>2899</v>
      </c>
      <c r="B8683" t="s">
        <v>594</v>
      </c>
      <c r="C8683" s="34" t="s">
        <v>534</v>
      </c>
      <c r="F8683" t="s">
        <v>534</v>
      </c>
      <c r="H8683">
        <v>5</v>
      </c>
      <c r="I8683">
        <f>VLOOKUP(B8683,BRAND!B:D,3,FALSE)</f>
        <v>3</v>
      </c>
      <c r="J8683">
        <v>6</v>
      </c>
      <c r="K8683" t="s">
        <v>821</v>
      </c>
      <c r="M8683">
        <v>1</v>
      </c>
    </row>
    <row r="8684" spans="1:13">
      <c r="A8684" t="s">
        <v>2898</v>
      </c>
      <c r="B8684" t="s">
        <v>594</v>
      </c>
      <c r="C8684" s="34" t="s">
        <v>561</v>
      </c>
      <c r="F8684" t="s">
        <v>561</v>
      </c>
      <c r="H8684">
        <v>5</v>
      </c>
      <c r="I8684">
        <f>VLOOKUP(B8684,BRAND!B:D,3,FALSE)</f>
        <v>3</v>
      </c>
      <c r="J8684">
        <v>3</v>
      </c>
      <c r="K8684" t="s">
        <v>821</v>
      </c>
      <c r="M8684">
        <v>1</v>
      </c>
    </row>
    <row r="8685" spans="1:13">
      <c r="A8685" t="s">
        <v>9942</v>
      </c>
      <c r="B8685" t="s">
        <v>594</v>
      </c>
      <c r="C8685" s="34" t="s">
        <v>776</v>
      </c>
      <c r="G8685" t="s">
        <v>6932</v>
      </c>
      <c r="H8685">
        <v>5</v>
      </c>
      <c r="I8685">
        <f>VLOOKUP(B8685,BRAND!B:D,3,FALSE)</f>
        <v>3</v>
      </c>
      <c r="J8685">
        <f>LEN(F8685)</f>
        <v>0</v>
      </c>
      <c r="L8685">
        <v>0</v>
      </c>
      <c r="M8685">
        <v>0</v>
      </c>
    </row>
    <row r="8686" spans="1:13">
      <c r="A8686" t="s">
        <v>9942</v>
      </c>
      <c r="B8686" t="s">
        <v>594</v>
      </c>
      <c r="C8686" s="34" t="s">
        <v>776</v>
      </c>
      <c r="G8686" t="s">
        <v>6932</v>
      </c>
      <c r="H8686">
        <v>5</v>
      </c>
      <c r="I8686">
        <f>VLOOKUP(B8686,BRAND!B:D,3,FALSE)</f>
        <v>3</v>
      </c>
      <c r="J8686">
        <v>0</v>
      </c>
      <c r="L8686" s="29"/>
      <c r="M8686">
        <v>1</v>
      </c>
    </row>
    <row r="8687" spans="1:13">
      <c r="A8687" t="s">
        <v>13307</v>
      </c>
      <c r="B8687" t="s">
        <v>12058</v>
      </c>
      <c r="C8687" s="34" t="s">
        <v>13308</v>
      </c>
      <c r="F8687" t="s">
        <v>652</v>
      </c>
      <c r="G8687" t="s">
        <v>6932</v>
      </c>
      <c r="H8687">
        <v>5</v>
      </c>
    </row>
    <row r="8688" spans="1:13">
      <c r="A8688" t="s">
        <v>13309</v>
      </c>
      <c r="B8688" t="s">
        <v>12058</v>
      </c>
      <c r="C8688" s="34" t="s">
        <v>8094</v>
      </c>
      <c r="F8688" t="s">
        <v>8094</v>
      </c>
      <c r="G8688" t="s">
        <v>6932</v>
      </c>
      <c r="H8688">
        <v>5</v>
      </c>
    </row>
    <row r="8689" spans="1:8">
      <c r="A8689" t="s">
        <v>13310</v>
      </c>
      <c r="B8689" t="s">
        <v>12058</v>
      </c>
      <c r="C8689" s="34" t="s">
        <v>13311</v>
      </c>
      <c r="F8689" t="s">
        <v>593</v>
      </c>
      <c r="G8689" t="s">
        <v>6932</v>
      </c>
      <c r="H8689">
        <v>5</v>
      </c>
    </row>
    <row r="8690" spans="1:8">
      <c r="A8690" t="s">
        <v>13312</v>
      </c>
      <c r="B8690" t="s">
        <v>12058</v>
      </c>
      <c r="C8690" s="34" t="s">
        <v>9016</v>
      </c>
      <c r="F8690" t="s">
        <v>9016</v>
      </c>
      <c r="G8690" t="s">
        <v>6932</v>
      </c>
      <c r="H8690">
        <v>5</v>
      </c>
    </row>
    <row r="8691" spans="1:8">
      <c r="A8691" t="s">
        <v>13313</v>
      </c>
      <c r="B8691" t="s">
        <v>12058</v>
      </c>
      <c r="C8691" s="34" t="s">
        <v>13314</v>
      </c>
      <c r="F8691" t="s">
        <v>13314</v>
      </c>
      <c r="G8691" t="s">
        <v>6932</v>
      </c>
      <c r="H8691">
        <v>5</v>
      </c>
    </row>
    <row r="8692" spans="1:8">
      <c r="A8692" t="s">
        <v>13315</v>
      </c>
      <c r="B8692" t="s">
        <v>12058</v>
      </c>
      <c r="C8692" s="34" t="s">
        <v>13316</v>
      </c>
      <c r="F8692" t="s">
        <v>13316</v>
      </c>
      <c r="G8692" t="s">
        <v>801</v>
      </c>
      <c r="H8692">
        <v>5</v>
      </c>
    </row>
    <row r="8693" spans="1:8">
      <c r="A8693" t="s">
        <v>13317</v>
      </c>
      <c r="B8693" t="s">
        <v>12058</v>
      </c>
      <c r="C8693" s="34" t="s">
        <v>13318</v>
      </c>
      <c r="F8693" t="s">
        <v>13319</v>
      </c>
      <c r="G8693" t="s">
        <v>6932</v>
      </c>
      <c r="H8693">
        <v>5</v>
      </c>
    </row>
    <row r="8694" spans="1:8">
      <c r="A8694" t="s">
        <v>13320</v>
      </c>
      <c r="B8694" t="s">
        <v>12058</v>
      </c>
      <c r="C8694" s="34" t="s">
        <v>13321</v>
      </c>
      <c r="F8694" t="s">
        <v>13321</v>
      </c>
      <c r="G8694" t="s">
        <v>6932</v>
      </c>
      <c r="H8694">
        <v>5</v>
      </c>
    </row>
    <row r="8695" spans="1:8">
      <c r="A8695" t="s">
        <v>13322</v>
      </c>
      <c r="B8695" t="s">
        <v>12058</v>
      </c>
      <c r="C8695" s="34" t="s">
        <v>13323</v>
      </c>
      <c r="F8695" t="s">
        <v>13324</v>
      </c>
      <c r="G8695" t="s">
        <v>6932</v>
      </c>
      <c r="H8695">
        <v>5</v>
      </c>
    </row>
    <row r="8696" spans="1:8">
      <c r="A8696" t="s">
        <v>13325</v>
      </c>
      <c r="B8696" t="s">
        <v>12058</v>
      </c>
      <c r="C8696" s="34" t="s">
        <v>13326</v>
      </c>
      <c r="F8696" t="s">
        <v>13326</v>
      </c>
      <c r="G8696" t="s">
        <v>6932</v>
      </c>
      <c r="H8696">
        <v>5</v>
      </c>
    </row>
    <row r="8697" spans="1:8">
      <c r="A8697" t="s">
        <v>13327</v>
      </c>
      <c r="B8697" t="s">
        <v>12058</v>
      </c>
      <c r="C8697" s="34" t="s">
        <v>13328</v>
      </c>
      <c r="F8697" t="s">
        <v>5583</v>
      </c>
      <c r="G8697" t="s">
        <v>6932</v>
      </c>
      <c r="H8697">
        <v>5</v>
      </c>
    </row>
    <row r="8698" spans="1:8">
      <c r="A8698" t="s">
        <v>13329</v>
      </c>
      <c r="B8698" t="s">
        <v>12058</v>
      </c>
      <c r="C8698" s="34" t="s">
        <v>13330</v>
      </c>
      <c r="F8698" t="s">
        <v>13331</v>
      </c>
      <c r="G8698" t="s">
        <v>6932</v>
      </c>
      <c r="H8698">
        <v>5</v>
      </c>
    </row>
    <row r="8699" spans="1:8">
      <c r="A8699" t="s">
        <v>13332</v>
      </c>
      <c r="B8699" t="s">
        <v>12058</v>
      </c>
      <c r="C8699" s="34" t="s">
        <v>13333</v>
      </c>
      <c r="F8699" t="s">
        <v>13334</v>
      </c>
      <c r="G8699" t="s">
        <v>6932</v>
      </c>
      <c r="H8699">
        <v>5</v>
      </c>
    </row>
    <row r="8700" spans="1:8">
      <c r="A8700" t="s">
        <v>13335</v>
      </c>
      <c r="B8700" t="s">
        <v>12058</v>
      </c>
      <c r="C8700" s="34" t="s">
        <v>13336</v>
      </c>
      <c r="F8700" t="s">
        <v>13337</v>
      </c>
      <c r="G8700" t="s">
        <v>6932</v>
      </c>
      <c r="H8700">
        <v>5</v>
      </c>
    </row>
    <row r="8701" spans="1:8">
      <c r="A8701" t="s">
        <v>13338</v>
      </c>
      <c r="B8701" t="s">
        <v>12058</v>
      </c>
      <c r="C8701" s="34" t="s">
        <v>12363</v>
      </c>
      <c r="F8701" t="s">
        <v>13339</v>
      </c>
      <c r="G8701" t="s">
        <v>6932</v>
      </c>
      <c r="H8701">
        <v>5</v>
      </c>
    </row>
    <row r="8702" spans="1:8">
      <c r="A8702" t="s">
        <v>13340</v>
      </c>
      <c r="B8702" t="s">
        <v>12058</v>
      </c>
      <c r="C8702" s="34" t="s">
        <v>8495</v>
      </c>
      <c r="F8702" t="s">
        <v>13341</v>
      </c>
      <c r="G8702" t="s">
        <v>6932</v>
      </c>
      <c r="H8702">
        <v>5</v>
      </c>
    </row>
    <row r="8703" spans="1:8">
      <c r="A8703" t="s">
        <v>13342</v>
      </c>
      <c r="B8703" t="s">
        <v>12058</v>
      </c>
      <c r="C8703" s="34" t="s">
        <v>13343</v>
      </c>
      <c r="F8703" t="s">
        <v>13343</v>
      </c>
      <c r="G8703" t="s">
        <v>6932</v>
      </c>
      <c r="H8703">
        <v>5</v>
      </c>
    </row>
    <row r="8704" spans="1:8">
      <c r="A8704" t="s">
        <v>13344</v>
      </c>
      <c r="B8704" t="s">
        <v>12058</v>
      </c>
      <c r="C8704" s="34" t="s">
        <v>13345</v>
      </c>
      <c r="F8704" t="s">
        <v>13346</v>
      </c>
      <c r="G8704" t="s">
        <v>6932</v>
      </c>
      <c r="H8704">
        <v>5</v>
      </c>
    </row>
    <row r="8705" spans="1:8">
      <c r="A8705" t="s">
        <v>13347</v>
      </c>
      <c r="B8705" t="s">
        <v>12058</v>
      </c>
      <c r="C8705" s="34" t="s">
        <v>13348</v>
      </c>
      <c r="F8705" t="s">
        <v>13348</v>
      </c>
      <c r="G8705" t="s">
        <v>6932</v>
      </c>
      <c r="H8705">
        <v>5</v>
      </c>
    </row>
    <row r="8706" spans="1:8">
      <c r="A8706" t="s">
        <v>13349</v>
      </c>
      <c r="B8706" t="s">
        <v>12058</v>
      </c>
      <c r="C8706" s="34" t="s">
        <v>13350</v>
      </c>
      <c r="F8706" t="s">
        <v>13351</v>
      </c>
      <c r="G8706" t="s">
        <v>6932</v>
      </c>
      <c r="H8706">
        <v>5</v>
      </c>
    </row>
    <row r="8707" spans="1:8">
      <c r="A8707" t="s">
        <v>13352</v>
      </c>
      <c r="B8707" t="s">
        <v>12058</v>
      </c>
      <c r="C8707" s="34" t="s">
        <v>13353</v>
      </c>
      <c r="F8707" t="s">
        <v>13354</v>
      </c>
      <c r="G8707" t="s">
        <v>6932</v>
      </c>
      <c r="H8707">
        <v>5</v>
      </c>
    </row>
    <row r="8708" spans="1:8">
      <c r="A8708" t="s">
        <v>13355</v>
      </c>
      <c r="B8708" t="s">
        <v>12058</v>
      </c>
      <c r="C8708" s="34" t="s">
        <v>13356</v>
      </c>
      <c r="F8708" t="s">
        <v>13357</v>
      </c>
      <c r="G8708" t="s">
        <v>6932</v>
      </c>
      <c r="H8708">
        <v>5</v>
      </c>
    </row>
    <row r="8709" spans="1:8">
      <c r="A8709" t="s">
        <v>13358</v>
      </c>
      <c r="B8709" t="s">
        <v>12058</v>
      </c>
      <c r="C8709" s="34" t="s">
        <v>13359</v>
      </c>
      <c r="F8709" t="s">
        <v>13360</v>
      </c>
      <c r="G8709" t="s">
        <v>6932</v>
      </c>
      <c r="H8709">
        <v>5</v>
      </c>
    </row>
    <row r="8710" spans="1:8">
      <c r="A8710" t="s">
        <v>13361</v>
      </c>
      <c r="B8710" t="s">
        <v>12058</v>
      </c>
      <c r="C8710" s="34" t="s">
        <v>13362</v>
      </c>
      <c r="F8710" t="s">
        <v>13363</v>
      </c>
      <c r="G8710" t="s">
        <v>6932</v>
      </c>
      <c r="H8710">
        <v>5</v>
      </c>
    </row>
    <row r="8711" spans="1:8">
      <c r="A8711" t="s">
        <v>13364</v>
      </c>
      <c r="B8711" t="s">
        <v>12058</v>
      </c>
      <c r="C8711" s="34" t="s">
        <v>10975</v>
      </c>
      <c r="F8711" t="s">
        <v>13365</v>
      </c>
      <c r="G8711" t="s">
        <v>6932</v>
      </c>
      <c r="H8711">
        <v>5</v>
      </c>
    </row>
    <row r="8712" spans="1:8">
      <c r="A8712" t="s">
        <v>13366</v>
      </c>
      <c r="B8712" t="s">
        <v>12058</v>
      </c>
      <c r="C8712" s="34" t="s">
        <v>13367</v>
      </c>
      <c r="F8712" t="s">
        <v>13368</v>
      </c>
      <c r="G8712" t="s">
        <v>6932</v>
      </c>
      <c r="H8712">
        <v>5</v>
      </c>
    </row>
    <row r="8713" spans="1:8">
      <c r="A8713" t="s">
        <v>13369</v>
      </c>
      <c r="B8713" t="s">
        <v>12058</v>
      </c>
      <c r="C8713" s="34" t="s">
        <v>13370</v>
      </c>
      <c r="F8713" t="s">
        <v>13370</v>
      </c>
      <c r="G8713" t="s">
        <v>6932</v>
      </c>
      <c r="H8713">
        <v>5</v>
      </c>
    </row>
    <row r="8714" spans="1:8">
      <c r="A8714" t="s">
        <v>13371</v>
      </c>
      <c r="B8714" t="s">
        <v>12058</v>
      </c>
      <c r="C8714" s="34" t="s">
        <v>13372</v>
      </c>
      <c r="F8714" t="s">
        <v>13373</v>
      </c>
      <c r="G8714" t="s">
        <v>6932</v>
      </c>
      <c r="H8714">
        <v>5</v>
      </c>
    </row>
    <row r="8715" spans="1:8">
      <c r="A8715" t="s">
        <v>13374</v>
      </c>
      <c r="B8715" t="s">
        <v>12058</v>
      </c>
      <c r="C8715" s="34" t="s">
        <v>13375</v>
      </c>
      <c r="F8715" t="s">
        <v>13375</v>
      </c>
      <c r="G8715" t="s">
        <v>6932</v>
      </c>
      <c r="H8715">
        <v>5</v>
      </c>
    </row>
    <row r="8716" spans="1:8">
      <c r="A8716" t="s">
        <v>13376</v>
      </c>
      <c r="B8716" t="s">
        <v>12058</v>
      </c>
      <c r="C8716" s="34" t="s">
        <v>13377</v>
      </c>
      <c r="F8716" t="s">
        <v>13378</v>
      </c>
      <c r="G8716" t="s">
        <v>6932</v>
      </c>
      <c r="H8716">
        <v>5</v>
      </c>
    </row>
    <row r="8717" spans="1:8">
      <c r="A8717" t="s">
        <v>13379</v>
      </c>
      <c r="B8717" t="s">
        <v>12058</v>
      </c>
      <c r="C8717" s="34" t="s">
        <v>13380</v>
      </c>
      <c r="F8717" t="s">
        <v>13381</v>
      </c>
      <c r="G8717" t="s">
        <v>6932</v>
      </c>
      <c r="H8717">
        <v>5</v>
      </c>
    </row>
    <row r="8718" spans="1:8">
      <c r="A8718" t="s">
        <v>13382</v>
      </c>
      <c r="B8718" t="s">
        <v>12058</v>
      </c>
      <c r="C8718" s="34" t="s">
        <v>13383</v>
      </c>
      <c r="F8718" t="s">
        <v>13383</v>
      </c>
      <c r="G8718" t="s">
        <v>6932</v>
      </c>
      <c r="H8718">
        <v>5</v>
      </c>
    </row>
    <row r="8719" spans="1:8">
      <c r="A8719" t="s">
        <v>13384</v>
      </c>
      <c r="B8719" t="s">
        <v>12058</v>
      </c>
      <c r="C8719" s="34" t="s">
        <v>13385</v>
      </c>
      <c r="F8719" t="s">
        <v>13386</v>
      </c>
      <c r="G8719" t="s">
        <v>6932</v>
      </c>
      <c r="H8719">
        <v>5</v>
      </c>
    </row>
    <row r="8720" spans="1:8">
      <c r="A8720" t="s">
        <v>13387</v>
      </c>
      <c r="B8720" t="s">
        <v>12058</v>
      </c>
      <c r="C8720" s="34" t="s">
        <v>13388</v>
      </c>
      <c r="F8720" t="s">
        <v>13389</v>
      </c>
      <c r="G8720" t="s">
        <v>6932</v>
      </c>
      <c r="H8720">
        <v>5</v>
      </c>
    </row>
    <row r="8721" spans="1:13">
      <c r="A8721" t="s">
        <v>13390</v>
      </c>
      <c r="B8721" t="s">
        <v>12058</v>
      </c>
      <c r="C8721" s="34" t="s">
        <v>13391</v>
      </c>
      <c r="F8721" t="s">
        <v>13391</v>
      </c>
      <c r="G8721" t="s">
        <v>6932</v>
      </c>
      <c r="H8721">
        <v>5</v>
      </c>
    </row>
    <row r="8722" spans="1:13">
      <c r="A8722" t="s">
        <v>13392</v>
      </c>
      <c r="B8722" t="s">
        <v>12058</v>
      </c>
      <c r="C8722" s="34" t="s">
        <v>13393</v>
      </c>
      <c r="F8722" t="s">
        <v>13394</v>
      </c>
      <c r="G8722" t="s">
        <v>6932</v>
      </c>
      <c r="H8722">
        <v>5</v>
      </c>
    </row>
    <row r="8723" spans="1:13">
      <c r="A8723" t="s">
        <v>13395</v>
      </c>
      <c r="B8723" t="s">
        <v>12058</v>
      </c>
      <c r="C8723" s="34" t="s">
        <v>13396</v>
      </c>
      <c r="F8723" t="s">
        <v>13397</v>
      </c>
      <c r="G8723" t="s">
        <v>6932</v>
      </c>
      <c r="H8723">
        <v>5</v>
      </c>
    </row>
    <row r="8724" spans="1:13">
      <c r="A8724" t="s">
        <v>13398</v>
      </c>
      <c r="B8724" t="s">
        <v>12058</v>
      </c>
      <c r="C8724" s="34" t="s">
        <v>13399</v>
      </c>
      <c r="F8724" t="s">
        <v>13400</v>
      </c>
      <c r="G8724" t="s">
        <v>6932</v>
      </c>
      <c r="H8724">
        <v>5</v>
      </c>
    </row>
    <row r="8725" spans="1:13">
      <c r="A8725" t="s">
        <v>13401</v>
      </c>
      <c r="B8725" t="s">
        <v>12058</v>
      </c>
      <c r="C8725" s="34" t="s">
        <v>13402</v>
      </c>
      <c r="F8725" t="s">
        <v>13402</v>
      </c>
      <c r="G8725" t="s">
        <v>6932</v>
      </c>
      <c r="H8725">
        <v>5</v>
      </c>
    </row>
    <row r="8726" spans="1:13">
      <c r="A8726" t="s">
        <v>9943</v>
      </c>
      <c r="B8726" t="s">
        <v>10018</v>
      </c>
      <c r="C8726" s="34" t="s">
        <v>1970</v>
      </c>
      <c r="H8726">
        <v>5</v>
      </c>
      <c r="I8726">
        <f>VLOOKUP(B8726,BRAND!B:D,3,FALSE)</f>
        <v>5.5</v>
      </c>
      <c r="J8726">
        <f>LEN(F8726)</f>
        <v>0</v>
      </c>
      <c r="L8726">
        <v>0</v>
      </c>
      <c r="M8726">
        <v>0</v>
      </c>
    </row>
    <row r="8727" spans="1:13">
      <c r="A8727" t="s">
        <v>9943</v>
      </c>
      <c r="B8727" t="s">
        <v>10018</v>
      </c>
      <c r="C8727" s="34" t="s">
        <v>1970</v>
      </c>
      <c r="H8727">
        <v>5</v>
      </c>
      <c r="I8727">
        <f>VLOOKUP(B8727,BRAND!B:D,3,FALSE)</f>
        <v>5.5</v>
      </c>
      <c r="J8727">
        <v>0</v>
      </c>
      <c r="M8727">
        <v>1</v>
      </c>
    </row>
    <row r="8728" spans="1:13">
      <c r="A8728" t="s">
        <v>4164</v>
      </c>
      <c r="B8728" t="s">
        <v>204</v>
      </c>
      <c r="C8728" s="34" t="s">
        <v>1970</v>
      </c>
      <c r="F8728" t="s">
        <v>1970</v>
      </c>
      <c r="H8728">
        <v>4</v>
      </c>
      <c r="I8728">
        <f>VLOOKUP(B8728,BRAND!B:D,3,FALSE)</f>
        <v>3</v>
      </c>
      <c r="J8728">
        <v>8</v>
      </c>
      <c r="K8728" t="s">
        <v>821</v>
      </c>
      <c r="L8728">
        <v>0</v>
      </c>
      <c r="M8728">
        <v>0</v>
      </c>
    </row>
    <row r="8729" spans="1:13">
      <c r="A8729" t="s">
        <v>3167</v>
      </c>
      <c r="B8729" t="s">
        <v>204</v>
      </c>
      <c r="C8729" s="34" t="s">
        <v>746</v>
      </c>
      <c r="F8729" t="s">
        <v>746</v>
      </c>
      <c r="H8729">
        <v>5</v>
      </c>
      <c r="I8729">
        <f>VLOOKUP(B8729,BRAND!B:D,3,FALSE)</f>
        <v>3</v>
      </c>
      <c r="J8729">
        <v>6</v>
      </c>
      <c r="K8729" t="s">
        <v>821</v>
      </c>
      <c r="L8729">
        <v>0</v>
      </c>
      <c r="M8729">
        <v>0</v>
      </c>
    </row>
    <row r="8730" spans="1:13">
      <c r="A8730" t="s">
        <v>3572</v>
      </c>
      <c r="B8730" t="s">
        <v>204</v>
      </c>
      <c r="C8730" s="34" t="s">
        <v>534</v>
      </c>
      <c r="F8730" t="s">
        <v>534</v>
      </c>
      <c r="H8730">
        <v>5</v>
      </c>
      <c r="I8730">
        <f>VLOOKUP(B8730,BRAND!B:D,3,FALSE)</f>
        <v>3</v>
      </c>
      <c r="J8730">
        <v>6</v>
      </c>
      <c r="K8730" t="s">
        <v>821</v>
      </c>
      <c r="L8730">
        <v>0</v>
      </c>
      <c r="M8730">
        <v>0</v>
      </c>
    </row>
    <row r="8731" spans="1:13">
      <c r="A8731" t="s">
        <v>3786</v>
      </c>
      <c r="B8731" t="s">
        <v>204</v>
      </c>
      <c r="C8731" s="34" t="s">
        <v>842</v>
      </c>
      <c r="F8731" t="s">
        <v>842</v>
      </c>
      <c r="H8731">
        <v>5</v>
      </c>
      <c r="I8731">
        <f>VLOOKUP(B8731,BRAND!B:D,3,FALSE)</f>
        <v>3</v>
      </c>
      <c r="J8731">
        <v>5</v>
      </c>
      <c r="K8731" t="s">
        <v>821</v>
      </c>
      <c r="L8731">
        <v>0</v>
      </c>
      <c r="M8731">
        <v>0</v>
      </c>
    </row>
    <row r="8732" spans="1:13">
      <c r="A8732" t="s">
        <v>3197</v>
      </c>
      <c r="B8732" t="s">
        <v>204</v>
      </c>
      <c r="C8732" s="34" t="s">
        <v>773</v>
      </c>
      <c r="F8732" t="s">
        <v>773</v>
      </c>
      <c r="H8732">
        <v>5</v>
      </c>
      <c r="I8732">
        <f>VLOOKUP(B8732,BRAND!B:D,3,FALSE)</f>
        <v>3</v>
      </c>
      <c r="J8732">
        <v>4</v>
      </c>
      <c r="K8732" t="s">
        <v>821</v>
      </c>
      <c r="L8732">
        <v>0</v>
      </c>
      <c r="M8732">
        <v>0</v>
      </c>
    </row>
    <row r="8733" spans="1:13">
      <c r="A8733" t="s">
        <v>4082</v>
      </c>
      <c r="B8733" t="s">
        <v>204</v>
      </c>
      <c r="C8733" s="34" t="s">
        <v>775</v>
      </c>
      <c r="F8733" t="s">
        <v>775</v>
      </c>
      <c r="H8733">
        <v>5</v>
      </c>
      <c r="I8733">
        <f>VLOOKUP(B8733,BRAND!B:D,3,FALSE)</f>
        <v>3</v>
      </c>
      <c r="J8733">
        <v>3</v>
      </c>
      <c r="K8733" t="s">
        <v>821</v>
      </c>
      <c r="L8733">
        <v>0</v>
      </c>
      <c r="M8733">
        <v>0</v>
      </c>
    </row>
    <row r="8734" spans="1:13">
      <c r="A8734" t="s">
        <v>2057</v>
      </c>
      <c r="B8734" t="s">
        <v>204</v>
      </c>
      <c r="C8734" s="34" t="s">
        <v>1438</v>
      </c>
      <c r="F8734" t="s">
        <v>1438</v>
      </c>
      <c r="H8734">
        <v>15</v>
      </c>
      <c r="I8734">
        <f>VLOOKUP(B8734,BRAND!B:D,3,FALSE)</f>
        <v>3</v>
      </c>
      <c r="J8734">
        <v>4</v>
      </c>
      <c r="K8734" t="s">
        <v>821</v>
      </c>
      <c r="L8734">
        <v>0</v>
      </c>
      <c r="M8734">
        <v>0</v>
      </c>
    </row>
    <row r="8735" spans="1:13">
      <c r="A8735" t="s">
        <v>9944</v>
      </c>
      <c r="B8735" t="s">
        <v>515</v>
      </c>
      <c r="C8735" s="34" t="s">
        <v>536</v>
      </c>
      <c r="G8735" t="s">
        <v>6932</v>
      </c>
      <c r="H8735">
        <v>5</v>
      </c>
      <c r="I8735">
        <f>VLOOKUP(B8735,BRAND!B:D,3,FALSE)</f>
        <v>3</v>
      </c>
      <c r="J8735">
        <v>0</v>
      </c>
      <c r="M8735">
        <v>1</v>
      </c>
    </row>
    <row r="8736" spans="1:13">
      <c r="A8736" t="s">
        <v>10817</v>
      </c>
      <c r="B8736" t="s">
        <v>515</v>
      </c>
      <c r="C8736" s="34" t="s">
        <v>13662</v>
      </c>
      <c r="F8736" t="s">
        <v>5544</v>
      </c>
      <c r="H8736">
        <v>5</v>
      </c>
    </row>
    <row r="8737" spans="1:8">
      <c r="A8737" t="s">
        <v>10818</v>
      </c>
      <c r="B8737" t="s">
        <v>515</v>
      </c>
      <c r="C8737" s="34" t="s">
        <v>13663</v>
      </c>
      <c r="F8737" t="s">
        <v>10819</v>
      </c>
      <c r="H8737">
        <v>5</v>
      </c>
    </row>
    <row r="8738" spans="1:8">
      <c r="A8738" t="s">
        <v>12155</v>
      </c>
      <c r="B8738" t="s">
        <v>515</v>
      </c>
      <c r="C8738" s="34" t="s">
        <v>12156</v>
      </c>
      <c r="F8738" t="s">
        <v>12157</v>
      </c>
      <c r="G8738" t="s">
        <v>6932</v>
      </c>
      <c r="H8738">
        <v>5</v>
      </c>
    </row>
    <row r="8739" spans="1:8">
      <c r="A8739" t="s">
        <v>12158</v>
      </c>
      <c r="B8739" t="s">
        <v>515</v>
      </c>
      <c r="C8739" s="34" t="s">
        <v>12159</v>
      </c>
      <c r="F8739" t="s">
        <v>12160</v>
      </c>
      <c r="G8739" t="s">
        <v>6932</v>
      </c>
      <c r="H8739">
        <v>5</v>
      </c>
    </row>
    <row r="8740" spans="1:8">
      <c r="A8740" t="s">
        <v>12161</v>
      </c>
      <c r="B8740" t="s">
        <v>515</v>
      </c>
      <c r="C8740" s="34" t="s">
        <v>12162</v>
      </c>
      <c r="F8740" t="s">
        <v>12162</v>
      </c>
      <c r="G8740" t="s">
        <v>6932</v>
      </c>
      <c r="H8740">
        <v>5</v>
      </c>
    </row>
    <row r="8741" spans="1:8">
      <c r="A8741" t="s">
        <v>12163</v>
      </c>
      <c r="B8741" t="s">
        <v>515</v>
      </c>
      <c r="C8741" s="34" t="s">
        <v>12164</v>
      </c>
      <c r="F8741" t="s">
        <v>12164</v>
      </c>
      <c r="G8741" t="s">
        <v>6932</v>
      </c>
      <c r="H8741">
        <v>5</v>
      </c>
    </row>
    <row r="8742" spans="1:8">
      <c r="A8742" t="s">
        <v>12165</v>
      </c>
      <c r="B8742" t="s">
        <v>515</v>
      </c>
      <c r="C8742" s="34" t="s">
        <v>12166</v>
      </c>
      <c r="F8742" t="s">
        <v>12166</v>
      </c>
      <c r="G8742" t="s">
        <v>6932</v>
      </c>
      <c r="H8742">
        <v>5</v>
      </c>
    </row>
    <row r="8743" spans="1:8">
      <c r="A8743" t="s">
        <v>12167</v>
      </c>
      <c r="B8743" t="s">
        <v>515</v>
      </c>
      <c r="C8743" s="34" t="s">
        <v>12168</v>
      </c>
      <c r="F8743" t="s">
        <v>12168</v>
      </c>
      <c r="G8743" t="s">
        <v>6932</v>
      </c>
      <c r="H8743">
        <v>5</v>
      </c>
    </row>
    <row r="8744" spans="1:8">
      <c r="A8744" t="s">
        <v>12169</v>
      </c>
      <c r="B8744" t="s">
        <v>515</v>
      </c>
      <c r="C8744" s="34" t="s">
        <v>12170</v>
      </c>
      <c r="F8744" t="s">
        <v>12170</v>
      </c>
      <c r="G8744" t="s">
        <v>6932</v>
      </c>
      <c r="H8744">
        <v>5</v>
      </c>
    </row>
    <row r="8745" spans="1:8">
      <c r="A8745" t="s">
        <v>12171</v>
      </c>
      <c r="B8745" t="s">
        <v>515</v>
      </c>
      <c r="C8745" s="34" t="s">
        <v>12172</v>
      </c>
      <c r="F8745" t="s">
        <v>12173</v>
      </c>
      <c r="G8745" t="s">
        <v>6932</v>
      </c>
      <c r="H8745">
        <v>5</v>
      </c>
    </row>
    <row r="8746" spans="1:8">
      <c r="A8746" t="s">
        <v>12174</v>
      </c>
      <c r="B8746" t="s">
        <v>515</v>
      </c>
      <c r="C8746" s="34" t="s">
        <v>12175</v>
      </c>
      <c r="F8746" t="s">
        <v>12176</v>
      </c>
      <c r="G8746" t="s">
        <v>6932</v>
      </c>
      <c r="H8746">
        <v>5</v>
      </c>
    </row>
    <row r="8747" spans="1:8">
      <c r="A8747" t="s">
        <v>12177</v>
      </c>
      <c r="B8747" t="s">
        <v>515</v>
      </c>
      <c r="C8747" s="34" t="s">
        <v>10870</v>
      </c>
      <c r="F8747" t="s">
        <v>12178</v>
      </c>
      <c r="G8747" t="s">
        <v>6932</v>
      </c>
      <c r="H8747">
        <v>5</v>
      </c>
    </row>
    <row r="8748" spans="1:8">
      <c r="A8748" t="s">
        <v>12179</v>
      </c>
      <c r="B8748" t="s">
        <v>515</v>
      </c>
      <c r="C8748" s="34" t="s">
        <v>761</v>
      </c>
      <c r="F8748" t="s">
        <v>12180</v>
      </c>
      <c r="G8748" t="s">
        <v>6932</v>
      </c>
      <c r="H8748">
        <v>5</v>
      </c>
    </row>
    <row r="8749" spans="1:8">
      <c r="A8749" t="s">
        <v>12181</v>
      </c>
      <c r="B8749" t="s">
        <v>515</v>
      </c>
      <c r="C8749" s="34" t="s">
        <v>11002</v>
      </c>
      <c r="F8749" t="s">
        <v>12182</v>
      </c>
      <c r="G8749" t="s">
        <v>6932</v>
      </c>
      <c r="H8749">
        <v>5</v>
      </c>
    </row>
    <row r="8750" spans="1:8">
      <c r="A8750" t="s">
        <v>12183</v>
      </c>
      <c r="B8750" t="s">
        <v>515</v>
      </c>
      <c r="C8750" s="34" t="s">
        <v>1965</v>
      </c>
      <c r="F8750" t="s">
        <v>12184</v>
      </c>
      <c r="G8750" t="s">
        <v>6932</v>
      </c>
      <c r="H8750">
        <v>5</v>
      </c>
    </row>
    <row r="8751" spans="1:8">
      <c r="A8751" t="s">
        <v>12185</v>
      </c>
      <c r="B8751" t="s">
        <v>515</v>
      </c>
      <c r="C8751" s="34" t="s">
        <v>12186</v>
      </c>
      <c r="F8751" t="s">
        <v>12187</v>
      </c>
      <c r="G8751" t="s">
        <v>6932</v>
      </c>
      <c r="H8751">
        <v>5</v>
      </c>
    </row>
    <row r="8752" spans="1:8">
      <c r="A8752" t="s">
        <v>12188</v>
      </c>
      <c r="B8752" t="s">
        <v>515</v>
      </c>
      <c r="C8752" s="34" t="s">
        <v>12189</v>
      </c>
      <c r="F8752" t="s">
        <v>12190</v>
      </c>
      <c r="G8752" t="s">
        <v>6932</v>
      </c>
      <c r="H8752">
        <v>5</v>
      </c>
    </row>
    <row r="8753" spans="1:13">
      <c r="A8753" t="s">
        <v>12191</v>
      </c>
      <c r="B8753" t="s">
        <v>515</v>
      </c>
      <c r="C8753" s="34" t="s">
        <v>12192</v>
      </c>
      <c r="F8753" t="s">
        <v>12193</v>
      </c>
      <c r="G8753" t="s">
        <v>6932</v>
      </c>
      <c r="H8753">
        <v>5</v>
      </c>
    </row>
    <row r="8754" spans="1:13">
      <c r="A8754" t="s">
        <v>12194</v>
      </c>
      <c r="B8754" t="s">
        <v>515</v>
      </c>
      <c r="C8754" s="34" t="s">
        <v>12195</v>
      </c>
      <c r="F8754" t="s">
        <v>12196</v>
      </c>
      <c r="G8754" t="s">
        <v>6932</v>
      </c>
      <c r="H8754">
        <v>5</v>
      </c>
    </row>
    <row r="8755" spans="1:13">
      <c r="A8755" t="s">
        <v>12197</v>
      </c>
      <c r="B8755" t="s">
        <v>515</v>
      </c>
      <c r="C8755" s="34" t="s">
        <v>12198</v>
      </c>
      <c r="F8755" t="s">
        <v>12199</v>
      </c>
      <c r="G8755" t="s">
        <v>6932</v>
      </c>
      <c r="H8755">
        <v>5</v>
      </c>
    </row>
    <row r="8756" spans="1:13">
      <c r="A8756" t="s">
        <v>12200</v>
      </c>
      <c r="B8756" t="s">
        <v>515</v>
      </c>
      <c r="C8756" s="34" t="s">
        <v>12201</v>
      </c>
      <c r="F8756" t="s">
        <v>12201</v>
      </c>
      <c r="G8756" t="s">
        <v>6932</v>
      </c>
      <c r="H8756">
        <v>5</v>
      </c>
    </row>
    <row r="8757" spans="1:13">
      <c r="A8757" t="s">
        <v>12202</v>
      </c>
      <c r="B8757" t="s">
        <v>515</v>
      </c>
      <c r="C8757" s="34">
        <v>692</v>
      </c>
      <c r="F8757" t="s">
        <v>12203</v>
      </c>
      <c r="G8757" t="s">
        <v>6932</v>
      </c>
      <c r="H8757">
        <v>5</v>
      </c>
    </row>
    <row r="8758" spans="1:13">
      <c r="A8758" t="s">
        <v>9485</v>
      </c>
      <c r="B8758" t="s">
        <v>1421</v>
      </c>
      <c r="C8758" s="34" t="s">
        <v>1438</v>
      </c>
      <c r="F8758" t="s">
        <v>1438</v>
      </c>
      <c r="G8758" t="s">
        <v>6932</v>
      </c>
      <c r="H8758">
        <v>5</v>
      </c>
      <c r="I8758">
        <f>VLOOKUP(B8758,BRAND!B:D,3,FALSE)</f>
        <v>3</v>
      </c>
      <c r="J8758">
        <v>4</v>
      </c>
      <c r="L8758">
        <v>0</v>
      </c>
      <c r="M8758">
        <v>0</v>
      </c>
    </row>
    <row r="8759" spans="1:13">
      <c r="A8759" t="s">
        <v>9946</v>
      </c>
      <c r="B8759" t="s">
        <v>1421</v>
      </c>
      <c r="C8759" s="34" t="s">
        <v>10038</v>
      </c>
      <c r="H8759">
        <v>5</v>
      </c>
      <c r="I8759">
        <f>VLOOKUP(B8759,BRAND!B:D,3,FALSE)</f>
        <v>3</v>
      </c>
      <c r="J8759">
        <f>LEN(F8759)</f>
        <v>0</v>
      </c>
      <c r="L8759">
        <v>0</v>
      </c>
      <c r="M8759">
        <v>0</v>
      </c>
    </row>
    <row r="8760" spans="1:13">
      <c r="A8760" t="s">
        <v>9947</v>
      </c>
      <c r="B8760" t="s">
        <v>1421</v>
      </c>
      <c r="C8760" s="34" t="s">
        <v>10019</v>
      </c>
      <c r="G8760" t="s">
        <v>6932</v>
      </c>
      <c r="H8760">
        <v>5</v>
      </c>
      <c r="I8760">
        <f>VLOOKUP(B8760,BRAND!B:D,3,FALSE)</f>
        <v>3</v>
      </c>
      <c r="J8760">
        <f>LEN(F8760)</f>
        <v>0</v>
      </c>
      <c r="L8760">
        <v>0</v>
      </c>
      <c r="M8760">
        <v>0</v>
      </c>
    </row>
    <row r="8761" spans="1:13">
      <c r="A8761" t="s">
        <v>9946</v>
      </c>
      <c r="B8761" t="s">
        <v>1421</v>
      </c>
      <c r="C8761" s="34" t="s">
        <v>10038</v>
      </c>
      <c r="H8761">
        <v>5</v>
      </c>
      <c r="I8761">
        <f>VLOOKUP(B8761,BRAND!B:D,3,FALSE)</f>
        <v>3</v>
      </c>
      <c r="J8761">
        <v>0</v>
      </c>
      <c r="L8761">
        <v>1</v>
      </c>
      <c r="M8761">
        <v>1</v>
      </c>
    </row>
    <row r="8762" spans="1:13">
      <c r="A8762" t="s">
        <v>9947</v>
      </c>
      <c r="B8762" t="s">
        <v>1421</v>
      </c>
      <c r="C8762" s="34" t="s">
        <v>10019</v>
      </c>
      <c r="G8762" t="s">
        <v>6932</v>
      </c>
      <c r="H8762">
        <v>5</v>
      </c>
      <c r="I8762">
        <f>VLOOKUP(B8762,BRAND!B:D,3,FALSE)</f>
        <v>3</v>
      </c>
      <c r="J8762">
        <v>0</v>
      </c>
      <c r="M8762">
        <v>1</v>
      </c>
    </row>
    <row r="8763" spans="1:13">
      <c r="A8763" t="s">
        <v>2304</v>
      </c>
      <c r="B8763" t="s">
        <v>1421</v>
      </c>
      <c r="C8763" s="34" t="s">
        <v>1438</v>
      </c>
      <c r="F8763" t="s">
        <v>1438</v>
      </c>
      <c r="H8763">
        <v>15</v>
      </c>
      <c r="I8763">
        <f>VLOOKUP(B8763,BRAND!B:D,3,FALSE)</f>
        <v>3</v>
      </c>
      <c r="J8763">
        <v>4</v>
      </c>
      <c r="K8763" t="s">
        <v>821</v>
      </c>
      <c r="L8763">
        <v>0</v>
      </c>
      <c r="M8763">
        <v>0</v>
      </c>
    </row>
    <row r="8764" spans="1:13">
      <c r="A8764" t="s">
        <v>8197</v>
      </c>
      <c r="B8764" t="s">
        <v>8198</v>
      </c>
      <c r="C8764" s="34" t="s">
        <v>1438</v>
      </c>
      <c r="F8764" t="s">
        <v>1438</v>
      </c>
      <c r="G8764" t="s">
        <v>6932</v>
      </c>
      <c r="H8764">
        <v>5</v>
      </c>
      <c r="I8764">
        <f>VLOOKUP(B8764,BRAND!B:D,3,FALSE)</f>
        <v>5.5</v>
      </c>
      <c r="J8764">
        <v>4</v>
      </c>
      <c r="M8764">
        <v>1</v>
      </c>
    </row>
    <row r="8765" spans="1:13">
      <c r="A8765" t="s">
        <v>4232</v>
      </c>
      <c r="B8765" t="s">
        <v>1377</v>
      </c>
      <c r="C8765" s="34" t="s">
        <v>852</v>
      </c>
      <c r="F8765" t="s">
        <v>852</v>
      </c>
      <c r="H8765">
        <v>5</v>
      </c>
      <c r="I8765">
        <f>VLOOKUP(B8765,BRAND!B:D,3,FALSE)</f>
        <v>3</v>
      </c>
      <c r="J8765">
        <v>6</v>
      </c>
      <c r="K8765" t="s">
        <v>821</v>
      </c>
      <c r="L8765">
        <v>0</v>
      </c>
      <c r="M8765">
        <v>0</v>
      </c>
    </row>
    <row r="8766" spans="1:13">
      <c r="A8766" t="s">
        <v>2365</v>
      </c>
      <c r="B8766" t="s">
        <v>1377</v>
      </c>
      <c r="C8766" s="34" t="s">
        <v>1438</v>
      </c>
      <c r="F8766" t="s">
        <v>1438</v>
      </c>
      <c r="H8766">
        <v>15</v>
      </c>
      <c r="I8766">
        <f>VLOOKUP(B8766,BRAND!B:D,3,FALSE)</f>
        <v>3</v>
      </c>
      <c r="J8766">
        <v>4</v>
      </c>
      <c r="K8766" t="s">
        <v>821</v>
      </c>
      <c r="L8766">
        <v>0</v>
      </c>
      <c r="M8766">
        <v>0</v>
      </c>
    </row>
    <row r="8767" spans="1:13">
      <c r="A8767" t="s">
        <v>6525</v>
      </c>
      <c r="B8767" t="s">
        <v>296</v>
      </c>
      <c r="C8767" s="34" t="s">
        <v>5374</v>
      </c>
      <c r="F8767" t="s">
        <v>777</v>
      </c>
      <c r="H8767">
        <v>5</v>
      </c>
      <c r="I8767">
        <f>VLOOKUP(B8767,BRAND!B:D,3,FALSE)</f>
        <v>5</v>
      </c>
      <c r="J8767">
        <v>7</v>
      </c>
      <c r="K8767" t="s">
        <v>821</v>
      </c>
      <c r="M8767">
        <v>1</v>
      </c>
    </row>
    <row r="8768" spans="1:13">
      <c r="A8768" t="s">
        <v>6526</v>
      </c>
      <c r="B8768" t="s">
        <v>296</v>
      </c>
      <c r="C8768" s="34" t="s">
        <v>851</v>
      </c>
      <c r="F8768" t="s">
        <v>851</v>
      </c>
      <c r="H8768">
        <v>5</v>
      </c>
      <c r="I8768">
        <f>VLOOKUP(B8768,BRAND!B:D,3,FALSE)</f>
        <v>5</v>
      </c>
      <c r="J8768">
        <v>6</v>
      </c>
      <c r="K8768" t="s">
        <v>821</v>
      </c>
      <c r="L8768">
        <v>0</v>
      </c>
      <c r="M8768">
        <v>0</v>
      </c>
    </row>
    <row r="8769" spans="1:13">
      <c r="A8769" t="s">
        <v>6527</v>
      </c>
      <c r="B8769" t="s">
        <v>296</v>
      </c>
      <c r="C8769" s="34" t="s">
        <v>772</v>
      </c>
      <c r="F8769" t="s">
        <v>772</v>
      </c>
      <c r="H8769">
        <v>5</v>
      </c>
      <c r="I8769">
        <f>VLOOKUP(B8769,BRAND!B:D,3,FALSE)</f>
        <v>5</v>
      </c>
      <c r="J8769">
        <v>6</v>
      </c>
      <c r="K8769" t="s">
        <v>821</v>
      </c>
      <c r="L8769">
        <v>0</v>
      </c>
      <c r="M8769">
        <v>0</v>
      </c>
    </row>
    <row r="8770" spans="1:13">
      <c r="A8770" t="s">
        <v>6529</v>
      </c>
      <c r="B8770" t="s">
        <v>296</v>
      </c>
      <c r="C8770" s="34" t="s">
        <v>536</v>
      </c>
      <c r="F8770" t="s">
        <v>536</v>
      </c>
      <c r="H8770">
        <v>5</v>
      </c>
      <c r="I8770">
        <f>VLOOKUP(B8770,BRAND!B:D,3,FALSE)</f>
        <v>5</v>
      </c>
      <c r="J8770">
        <v>5</v>
      </c>
      <c r="K8770" t="s">
        <v>821</v>
      </c>
      <c r="M8770">
        <v>1</v>
      </c>
    </row>
    <row r="8771" spans="1:13">
      <c r="A8771" t="s">
        <v>6528</v>
      </c>
      <c r="B8771" t="s">
        <v>296</v>
      </c>
      <c r="C8771" s="34" t="s">
        <v>776</v>
      </c>
      <c r="F8771" t="s">
        <v>776</v>
      </c>
      <c r="H8771">
        <v>5</v>
      </c>
      <c r="I8771">
        <f>VLOOKUP(B8771,BRAND!B:D,3,FALSE)</f>
        <v>5</v>
      </c>
      <c r="J8771">
        <v>5</v>
      </c>
      <c r="K8771" t="s">
        <v>821</v>
      </c>
      <c r="M8771">
        <v>1</v>
      </c>
    </row>
    <row r="8772" spans="1:13">
      <c r="A8772" t="s">
        <v>6530</v>
      </c>
      <c r="B8772" t="s">
        <v>296</v>
      </c>
      <c r="C8772" s="34" t="s">
        <v>561</v>
      </c>
      <c r="F8772" t="s">
        <v>561</v>
      </c>
      <c r="H8772">
        <v>5</v>
      </c>
      <c r="I8772">
        <f>VLOOKUP(B8772,BRAND!B:D,3,FALSE)</f>
        <v>5</v>
      </c>
      <c r="J8772">
        <v>3</v>
      </c>
      <c r="K8772" t="s">
        <v>821</v>
      </c>
      <c r="L8772" s="3"/>
      <c r="M8772">
        <v>1</v>
      </c>
    </row>
    <row r="8773" spans="1:13">
      <c r="A8773" t="s">
        <v>9948</v>
      </c>
      <c r="B8773" t="s">
        <v>296</v>
      </c>
      <c r="C8773" s="34" t="s">
        <v>1999</v>
      </c>
      <c r="H8773">
        <v>5</v>
      </c>
      <c r="I8773">
        <f>VLOOKUP(B8773,BRAND!B:D,3,FALSE)</f>
        <v>5</v>
      </c>
      <c r="J8773">
        <f>LEN(F8773)</f>
        <v>0</v>
      </c>
      <c r="L8773">
        <v>0</v>
      </c>
      <c r="M8773">
        <v>0</v>
      </c>
    </row>
    <row r="8774" spans="1:13">
      <c r="A8774" t="s">
        <v>9949</v>
      </c>
      <c r="B8774" t="s">
        <v>296</v>
      </c>
      <c r="C8774" s="34" t="s">
        <v>769</v>
      </c>
      <c r="H8774">
        <v>5</v>
      </c>
      <c r="I8774">
        <f>VLOOKUP(B8774,BRAND!B:D,3,FALSE)</f>
        <v>5</v>
      </c>
      <c r="J8774">
        <f>LEN(F8774)</f>
        <v>0</v>
      </c>
      <c r="L8774">
        <v>0</v>
      </c>
      <c r="M8774">
        <v>0</v>
      </c>
    </row>
    <row r="8775" spans="1:13">
      <c r="A8775" t="s">
        <v>9948</v>
      </c>
      <c r="B8775" t="s">
        <v>296</v>
      </c>
      <c r="C8775" s="34" t="s">
        <v>1999</v>
      </c>
      <c r="H8775">
        <v>5</v>
      </c>
      <c r="I8775">
        <f>VLOOKUP(B8775,BRAND!B:D,3,FALSE)</f>
        <v>5</v>
      </c>
      <c r="J8775">
        <v>0</v>
      </c>
      <c r="M8775">
        <v>1</v>
      </c>
    </row>
    <row r="8776" spans="1:13">
      <c r="A8776" t="s">
        <v>9949</v>
      </c>
      <c r="B8776" t="s">
        <v>296</v>
      </c>
      <c r="C8776" s="34" t="s">
        <v>769</v>
      </c>
      <c r="H8776">
        <v>5</v>
      </c>
      <c r="I8776">
        <f>VLOOKUP(B8776,BRAND!B:D,3,FALSE)</f>
        <v>5</v>
      </c>
      <c r="J8776">
        <v>0</v>
      </c>
      <c r="M8776">
        <v>1</v>
      </c>
    </row>
    <row r="8777" spans="1:13">
      <c r="A8777" t="s">
        <v>13405</v>
      </c>
      <c r="B8777" t="s">
        <v>12060</v>
      </c>
      <c r="C8777" s="34" t="s">
        <v>13406</v>
      </c>
      <c r="F8777" t="s">
        <v>819</v>
      </c>
      <c r="G8777" t="s">
        <v>6932</v>
      </c>
      <c r="H8777">
        <v>4</v>
      </c>
    </row>
    <row r="8778" spans="1:13">
      <c r="A8778" t="s">
        <v>13434</v>
      </c>
      <c r="B8778" t="s">
        <v>12060</v>
      </c>
      <c r="C8778" s="34" t="s">
        <v>988</v>
      </c>
      <c r="F8778" t="s">
        <v>13435</v>
      </c>
      <c r="G8778" t="s">
        <v>6932</v>
      </c>
      <c r="H8778">
        <v>4</v>
      </c>
    </row>
    <row r="8779" spans="1:13">
      <c r="A8779" t="s">
        <v>13403</v>
      </c>
      <c r="B8779" t="s">
        <v>12060</v>
      </c>
      <c r="C8779" s="34" t="s">
        <v>777</v>
      </c>
      <c r="F8779" t="s">
        <v>777</v>
      </c>
      <c r="G8779" t="s">
        <v>6932</v>
      </c>
      <c r="H8779">
        <v>5</v>
      </c>
    </row>
    <row r="8780" spans="1:13">
      <c r="A8780" t="s">
        <v>13407</v>
      </c>
      <c r="B8780" t="s">
        <v>12060</v>
      </c>
      <c r="C8780" s="34" t="s">
        <v>13664</v>
      </c>
      <c r="F8780" t="s">
        <v>13409</v>
      </c>
      <c r="G8780" t="s">
        <v>6932</v>
      </c>
      <c r="H8780">
        <v>5</v>
      </c>
    </row>
    <row r="8781" spans="1:13">
      <c r="A8781" t="s">
        <v>13405</v>
      </c>
      <c r="B8781" t="s">
        <v>12060</v>
      </c>
      <c r="C8781" s="34" t="s">
        <v>819</v>
      </c>
      <c r="F8781" t="s">
        <v>819</v>
      </c>
      <c r="G8781" t="s">
        <v>6932</v>
      </c>
      <c r="H8781">
        <v>5</v>
      </c>
    </row>
    <row r="8782" spans="1:13">
      <c r="A8782" t="s">
        <v>13412</v>
      </c>
      <c r="B8782" t="s">
        <v>12060</v>
      </c>
      <c r="C8782" s="34" t="s">
        <v>742</v>
      </c>
      <c r="F8782" t="s">
        <v>742</v>
      </c>
      <c r="G8782" t="s">
        <v>6932</v>
      </c>
      <c r="H8782">
        <v>5</v>
      </c>
    </row>
    <row r="8783" spans="1:13">
      <c r="A8783" t="s">
        <v>13413</v>
      </c>
      <c r="B8783" t="s">
        <v>12060</v>
      </c>
      <c r="C8783" s="34" t="s">
        <v>777</v>
      </c>
      <c r="F8783" t="s">
        <v>777</v>
      </c>
      <c r="G8783" t="s">
        <v>801</v>
      </c>
      <c r="H8783">
        <v>5</v>
      </c>
    </row>
    <row r="8784" spans="1:13">
      <c r="A8784" t="s">
        <v>13416</v>
      </c>
      <c r="B8784" t="s">
        <v>12060</v>
      </c>
      <c r="C8784" s="34" t="s">
        <v>13417</v>
      </c>
      <c r="F8784" t="s">
        <v>13418</v>
      </c>
      <c r="G8784" t="s">
        <v>6932</v>
      </c>
      <c r="H8784">
        <v>5</v>
      </c>
    </row>
    <row r="8785" spans="1:13">
      <c r="A8785" t="s">
        <v>13419</v>
      </c>
      <c r="B8785" t="s">
        <v>12060</v>
      </c>
      <c r="C8785" s="34" t="s">
        <v>742</v>
      </c>
      <c r="F8785" t="s">
        <v>742</v>
      </c>
      <c r="G8785" t="s">
        <v>801</v>
      </c>
      <c r="H8785">
        <v>5</v>
      </c>
    </row>
    <row r="8786" spans="1:13">
      <c r="A8786" t="s">
        <v>13420</v>
      </c>
      <c r="B8786" t="s">
        <v>12060</v>
      </c>
      <c r="C8786" s="34" t="s">
        <v>1965</v>
      </c>
      <c r="F8786" t="s">
        <v>13421</v>
      </c>
      <c r="G8786" t="s">
        <v>6932</v>
      </c>
      <c r="H8786">
        <v>5</v>
      </c>
    </row>
    <row r="8787" spans="1:13">
      <c r="A8787" t="s">
        <v>13422</v>
      </c>
      <c r="B8787" t="s">
        <v>12060</v>
      </c>
      <c r="C8787" s="34" t="s">
        <v>13423</v>
      </c>
      <c r="F8787" t="s">
        <v>13424</v>
      </c>
      <c r="G8787" t="s">
        <v>6932</v>
      </c>
      <c r="H8787">
        <v>5</v>
      </c>
    </row>
    <row r="8788" spans="1:13">
      <c r="A8788" t="s">
        <v>13425</v>
      </c>
      <c r="B8788" t="s">
        <v>12060</v>
      </c>
      <c r="C8788" s="34" t="s">
        <v>13426</v>
      </c>
      <c r="F8788" t="s">
        <v>13426</v>
      </c>
      <c r="G8788" t="s">
        <v>6932</v>
      </c>
      <c r="H8788">
        <v>5</v>
      </c>
    </row>
    <row r="8789" spans="1:13">
      <c r="A8789" t="s">
        <v>13427</v>
      </c>
      <c r="B8789" t="s">
        <v>12060</v>
      </c>
      <c r="C8789" s="34" t="s">
        <v>1979</v>
      </c>
      <c r="F8789" t="s">
        <v>13428</v>
      </c>
      <c r="G8789" t="s">
        <v>6932</v>
      </c>
      <c r="H8789">
        <v>5</v>
      </c>
    </row>
    <row r="8790" spans="1:13">
      <c r="A8790" t="s">
        <v>13429</v>
      </c>
      <c r="B8790" t="s">
        <v>12060</v>
      </c>
      <c r="C8790" s="34" t="s">
        <v>1513</v>
      </c>
      <c r="F8790" t="s">
        <v>13430</v>
      </c>
      <c r="G8790" t="s">
        <v>6932</v>
      </c>
      <c r="H8790">
        <v>5</v>
      </c>
    </row>
    <row r="8791" spans="1:13">
      <c r="A8791" t="s">
        <v>13431</v>
      </c>
      <c r="B8791" t="s">
        <v>12060</v>
      </c>
      <c r="C8791" s="34" t="s">
        <v>13432</v>
      </c>
      <c r="F8791" t="s">
        <v>13433</v>
      </c>
      <c r="G8791" t="s">
        <v>6932</v>
      </c>
      <c r="H8791">
        <v>5</v>
      </c>
    </row>
    <row r="8792" spans="1:13">
      <c r="A8792" t="s">
        <v>12762</v>
      </c>
      <c r="B8792" t="s">
        <v>12045</v>
      </c>
      <c r="C8792" s="34" t="s">
        <v>7424</v>
      </c>
      <c r="F8792" t="s">
        <v>7424</v>
      </c>
      <c r="G8792" t="s">
        <v>6932</v>
      </c>
      <c r="H8792">
        <v>5</v>
      </c>
    </row>
    <row r="8793" spans="1:13">
      <c r="A8793" t="s">
        <v>12765</v>
      </c>
      <c r="B8793" t="s">
        <v>12045</v>
      </c>
      <c r="C8793" s="34" t="s">
        <v>12766</v>
      </c>
      <c r="F8793" t="s">
        <v>12766</v>
      </c>
      <c r="G8793" t="s">
        <v>6932</v>
      </c>
      <c r="H8793">
        <v>5</v>
      </c>
    </row>
    <row r="8794" spans="1:13">
      <c r="A8794" t="s">
        <v>12762</v>
      </c>
      <c r="B8794" t="s">
        <v>12045</v>
      </c>
      <c r="C8794" s="34" t="s">
        <v>7424</v>
      </c>
      <c r="F8794" t="s">
        <v>7424</v>
      </c>
      <c r="G8794" t="s">
        <v>801</v>
      </c>
      <c r="H8794">
        <v>5</v>
      </c>
    </row>
    <row r="8795" spans="1:13">
      <c r="A8795" t="s">
        <v>15457</v>
      </c>
      <c r="B8795" t="s">
        <v>15458</v>
      </c>
      <c r="C8795" s="34" t="s">
        <v>1438</v>
      </c>
      <c r="F8795" t="s">
        <v>1438</v>
      </c>
      <c r="G8795" t="s">
        <v>6932</v>
      </c>
      <c r="H8795">
        <v>5</v>
      </c>
      <c r="I8795">
        <f>VLOOKUP(B8795,BRAND!B:D,3,FALSE)</f>
        <v>5</v>
      </c>
      <c r="J8795">
        <v>0</v>
      </c>
      <c r="K8795" t="s">
        <v>821</v>
      </c>
      <c r="L8795">
        <v>0</v>
      </c>
      <c r="M8795">
        <v>0</v>
      </c>
    </row>
    <row r="8796" spans="1:13">
      <c r="A8796" t="s">
        <v>2624</v>
      </c>
      <c r="B8796" t="s">
        <v>1211</v>
      </c>
      <c r="C8796" s="34" t="s">
        <v>1438</v>
      </c>
      <c r="F8796" t="s">
        <v>1438</v>
      </c>
      <c r="H8796">
        <v>15</v>
      </c>
      <c r="I8796">
        <f>VLOOKUP(B8796,BRAND!B:D,3,FALSE)</f>
        <v>3</v>
      </c>
      <c r="J8796">
        <v>4</v>
      </c>
      <c r="K8796" t="s">
        <v>821</v>
      </c>
      <c r="M8796">
        <v>1</v>
      </c>
    </row>
    <row r="8797" spans="1:13">
      <c r="A8797" t="s">
        <v>3242</v>
      </c>
      <c r="B8797" t="s">
        <v>1378</v>
      </c>
      <c r="C8797" s="34" t="s">
        <v>1438</v>
      </c>
      <c r="F8797" t="s">
        <v>1438</v>
      </c>
      <c r="H8797">
        <v>15</v>
      </c>
      <c r="I8797">
        <f>VLOOKUP(B8797,BRAND!B:D,3,FALSE)</f>
        <v>3</v>
      </c>
      <c r="J8797">
        <v>4</v>
      </c>
      <c r="K8797" t="s">
        <v>821</v>
      </c>
      <c r="L8797">
        <v>0</v>
      </c>
      <c r="M8797">
        <v>0</v>
      </c>
    </row>
    <row r="8798" spans="1:13">
      <c r="A8798" t="s">
        <v>9023</v>
      </c>
      <c r="B8798" t="s">
        <v>9024</v>
      </c>
      <c r="C8798" s="34" t="s">
        <v>1438</v>
      </c>
      <c r="F8798" t="s">
        <v>1438</v>
      </c>
      <c r="G8798" t="s">
        <v>6932</v>
      </c>
      <c r="H8798">
        <v>5</v>
      </c>
      <c r="I8798">
        <f>VLOOKUP(B8798,BRAND!B:D,3,FALSE)</f>
        <v>5.5</v>
      </c>
      <c r="J8798">
        <v>4</v>
      </c>
      <c r="L8798">
        <v>0</v>
      </c>
      <c r="M8798">
        <v>0</v>
      </c>
    </row>
    <row r="8799" spans="1:13">
      <c r="A8799" t="s">
        <v>9950</v>
      </c>
      <c r="B8799" t="s">
        <v>9024</v>
      </c>
      <c r="C8799" s="34" t="s">
        <v>878</v>
      </c>
      <c r="G8799" t="s">
        <v>6932</v>
      </c>
      <c r="H8799">
        <v>5</v>
      </c>
      <c r="I8799">
        <f>VLOOKUP(B8799,BRAND!B:D,3,FALSE)</f>
        <v>5.5</v>
      </c>
      <c r="J8799">
        <f>LEN(F8799)</f>
        <v>0</v>
      </c>
      <c r="L8799">
        <v>0</v>
      </c>
      <c r="M8799">
        <v>0</v>
      </c>
    </row>
    <row r="8800" spans="1:13">
      <c r="A8800" t="s">
        <v>9951</v>
      </c>
      <c r="B8800" t="s">
        <v>9024</v>
      </c>
      <c r="C8800" s="34" t="s">
        <v>788</v>
      </c>
      <c r="G8800" t="s">
        <v>6932</v>
      </c>
      <c r="H8800">
        <v>5</v>
      </c>
      <c r="I8800">
        <f>VLOOKUP(B8800,BRAND!B:D,3,FALSE)</f>
        <v>5.5</v>
      </c>
      <c r="J8800">
        <f>LEN(F8800)</f>
        <v>0</v>
      </c>
      <c r="L8800">
        <v>0</v>
      </c>
      <c r="M8800">
        <v>0</v>
      </c>
    </row>
    <row r="8801" spans="1:13">
      <c r="A8801" t="s">
        <v>9950</v>
      </c>
      <c r="B8801" t="s">
        <v>9024</v>
      </c>
      <c r="C8801" s="34" t="s">
        <v>878</v>
      </c>
      <c r="G8801" t="s">
        <v>6932</v>
      </c>
      <c r="H8801">
        <v>5</v>
      </c>
      <c r="I8801">
        <f>VLOOKUP(B8801,BRAND!B:D,3,FALSE)</f>
        <v>5.5</v>
      </c>
      <c r="J8801">
        <v>0</v>
      </c>
      <c r="M8801">
        <v>1</v>
      </c>
    </row>
    <row r="8802" spans="1:13">
      <c r="A8802" t="s">
        <v>9951</v>
      </c>
      <c r="B8802" t="s">
        <v>9024</v>
      </c>
      <c r="C8802" s="34" t="s">
        <v>788</v>
      </c>
      <c r="G8802" t="s">
        <v>6932</v>
      </c>
      <c r="H8802">
        <v>5</v>
      </c>
      <c r="I8802">
        <f>VLOOKUP(B8802,BRAND!B:D,3,FALSE)</f>
        <v>5.5</v>
      </c>
      <c r="J8802">
        <v>0</v>
      </c>
      <c r="M8802">
        <v>1</v>
      </c>
    </row>
    <row r="8803" spans="1:13">
      <c r="A8803" t="s">
        <v>10820</v>
      </c>
      <c r="B8803" t="s">
        <v>10821</v>
      </c>
      <c r="C8803" s="34" t="s">
        <v>6657</v>
      </c>
      <c r="F8803" t="s">
        <v>6657</v>
      </c>
      <c r="H8803">
        <v>5</v>
      </c>
    </row>
    <row r="8804" spans="1:13">
      <c r="A8804" t="s">
        <v>10822</v>
      </c>
      <c r="B8804" t="s">
        <v>10821</v>
      </c>
      <c r="C8804" s="34" t="s">
        <v>6629</v>
      </c>
      <c r="F8804" t="s">
        <v>6629</v>
      </c>
      <c r="H8804">
        <v>5</v>
      </c>
    </row>
    <row r="8805" spans="1:13">
      <c r="A8805" t="s">
        <v>10823</v>
      </c>
      <c r="B8805" t="s">
        <v>10821</v>
      </c>
      <c r="C8805" s="34" t="s">
        <v>536</v>
      </c>
      <c r="F8805" t="s">
        <v>536</v>
      </c>
      <c r="H8805">
        <v>5</v>
      </c>
    </row>
    <row r="8806" spans="1:13">
      <c r="A8806" t="str">
        <f>B8806&amp;" | "&amp;F8806&amp;" | "&amp;G8806</f>
        <v>VERMEERSCH | BLOND | ZERO</v>
      </c>
      <c r="B8806" t="s">
        <v>10821</v>
      </c>
      <c r="C8806" t="s">
        <v>536</v>
      </c>
      <c r="F8806" t="s">
        <v>536</v>
      </c>
      <c r="G8806" t="s">
        <v>801</v>
      </c>
      <c r="H8806">
        <v>5</v>
      </c>
    </row>
    <row r="8807" spans="1:13">
      <c r="A8807" t="s">
        <v>4717</v>
      </c>
      <c r="B8807" t="s">
        <v>1816</v>
      </c>
      <c r="C8807" s="34" t="s">
        <v>772</v>
      </c>
      <c r="F8807" t="s">
        <v>772</v>
      </c>
      <c r="H8807">
        <v>5</v>
      </c>
      <c r="I8807">
        <f>VLOOKUP(B8807,BRAND!B:D,3,FALSE)</f>
        <v>3</v>
      </c>
      <c r="J8807">
        <v>6</v>
      </c>
      <c r="K8807" t="s">
        <v>821</v>
      </c>
      <c r="L8807">
        <v>0</v>
      </c>
      <c r="M8807">
        <v>0</v>
      </c>
    </row>
    <row r="8808" spans="1:13">
      <c r="A8808" t="s">
        <v>4421</v>
      </c>
      <c r="B8808" t="s">
        <v>1816</v>
      </c>
      <c r="C8808" s="34" t="s">
        <v>534</v>
      </c>
      <c r="F8808" t="s">
        <v>534</v>
      </c>
      <c r="H8808">
        <v>5</v>
      </c>
      <c r="I8808">
        <f>VLOOKUP(B8808,BRAND!B:D,3,FALSE)</f>
        <v>3</v>
      </c>
      <c r="J8808">
        <v>6</v>
      </c>
      <c r="K8808" t="s">
        <v>821</v>
      </c>
      <c r="L8808">
        <v>0</v>
      </c>
      <c r="M8808">
        <v>0</v>
      </c>
    </row>
    <row r="8809" spans="1:13">
      <c r="A8809" t="s">
        <v>9952</v>
      </c>
      <c r="B8809" t="s">
        <v>1816</v>
      </c>
      <c r="C8809" s="34" t="s">
        <v>842</v>
      </c>
      <c r="G8809" t="s">
        <v>6932</v>
      </c>
      <c r="H8809">
        <v>5</v>
      </c>
      <c r="I8809">
        <f>VLOOKUP(B8809,BRAND!B:D,3,FALSE)</f>
        <v>3</v>
      </c>
      <c r="J8809">
        <f>LEN(F8809)</f>
        <v>0</v>
      </c>
      <c r="L8809">
        <v>0</v>
      </c>
      <c r="M8809">
        <v>0</v>
      </c>
    </row>
    <row r="8810" spans="1:13">
      <c r="A8810" t="s">
        <v>9953</v>
      </c>
      <c r="B8810" t="s">
        <v>1816</v>
      </c>
      <c r="C8810" s="34" t="s">
        <v>799</v>
      </c>
      <c r="G8810" t="s">
        <v>6932</v>
      </c>
      <c r="H8810">
        <v>5</v>
      </c>
      <c r="I8810">
        <f>VLOOKUP(B8810,BRAND!B:D,3,FALSE)</f>
        <v>3</v>
      </c>
      <c r="J8810">
        <f>LEN(F8810)</f>
        <v>0</v>
      </c>
      <c r="L8810">
        <v>0</v>
      </c>
      <c r="M8810">
        <v>0</v>
      </c>
    </row>
    <row r="8811" spans="1:13">
      <c r="A8811" t="s">
        <v>9953</v>
      </c>
      <c r="B8811" t="s">
        <v>1816</v>
      </c>
      <c r="C8811" s="34" t="s">
        <v>799</v>
      </c>
      <c r="G8811" t="s">
        <v>6932</v>
      </c>
      <c r="H8811">
        <v>5</v>
      </c>
      <c r="I8811">
        <f>VLOOKUP(B8811,BRAND!B:D,3,FALSE)</f>
        <v>3</v>
      </c>
      <c r="J8811">
        <v>0</v>
      </c>
      <c r="M8811">
        <v>1</v>
      </c>
    </row>
    <row r="8812" spans="1:13">
      <c r="A8812" t="s">
        <v>9952</v>
      </c>
      <c r="B8812" t="s">
        <v>1816</v>
      </c>
      <c r="C8812" s="34" t="s">
        <v>842</v>
      </c>
      <c r="G8812" t="s">
        <v>6932</v>
      </c>
      <c r="H8812">
        <v>5</v>
      </c>
      <c r="I8812">
        <f>VLOOKUP(B8812,BRAND!B:D,3,FALSE)</f>
        <v>3</v>
      </c>
      <c r="J8812">
        <v>0</v>
      </c>
      <c r="M8812">
        <v>1</v>
      </c>
    </row>
    <row r="8813" spans="1:13">
      <c r="A8813" t="s">
        <v>9486</v>
      </c>
      <c r="B8813" t="s">
        <v>9487</v>
      </c>
      <c r="C8813" s="34" t="s">
        <v>1438</v>
      </c>
      <c r="F8813" t="s">
        <v>1438</v>
      </c>
      <c r="G8813" t="s">
        <v>6932</v>
      </c>
      <c r="H8813">
        <v>5</v>
      </c>
      <c r="I8813">
        <f>VLOOKUP(B8813,BRAND!B:D,3,FALSE)</f>
        <v>5.5</v>
      </c>
      <c r="J8813">
        <v>4</v>
      </c>
      <c r="M8813">
        <v>1</v>
      </c>
    </row>
    <row r="8814" spans="1:13">
      <c r="A8814" t="s">
        <v>3175</v>
      </c>
      <c r="B8814" t="s">
        <v>205</v>
      </c>
      <c r="C8814" s="34" t="s">
        <v>777</v>
      </c>
      <c r="F8814" t="s">
        <v>777</v>
      </c>
      <c r="H8814">
        <v>5</v>
      </c>
      <c r="I8814">
        <f>VLOOKUP(B8814,BRAND!B:D,3,FALSE)</f>
        <v>3</v>
      </c>
      <c r="J8814">
        <v>7</v>
      </c>
      <c r="K8814" t="s">
        <v>821</v>
      </c>
      <c r="L8814">
        <v>0</v>
      </c>
      <c r="M8814">
        <v>0</v>
      </c>
    </row>
    <row r="8815" spans="1:13">
      <c r="A8815" t="s">
        <v>3289</v>
      </c>
      <c r="B8815" t="s">
        <v>205</v>
      </c>
      <c r="C8815" s="34" t="s">
        <v>536</v>
      </c>
      <c r="F8815" t="s">
        <v>536</v>
      </c>
      <c r="H8815">
        <v>5</v>
      </c>
      <c r="I8815">
        <f>VLOOKUP(B8815,BRAND!B:D,3,FALSE)</f>
        <v>3</v>
      </c>
      <c r="J8815">
        <v>5</v>
      </c>
      <c r="K8815" t="s">
        <v>821</v>
      </c>
      <c r="L8815">
        <v>0</v>
      </c>
      <c r="M8815">
        <v>0</v>
      </c>
    </row>
    <row r="8816" spans="1:13">
      <c r="A8816" t="s">
        <v>3294</v>
      </c>
      <c r="B8816" t="s">
        <v>205</v>
      </c>
      <c r="C8816" s="34" t="s">
        <v>842</v>
      </c>
      <c r="F8816" t="s">
        <v>842</v>
      </c>
      <c r="H8816">
        <v>5</v>
      </c>
      <c r="I8816">
        <f>VLOOKUP(B8816,BRAND!B:D,3,FALSE)</f>
        <v>3</v>
      </c>
      <c r="J8816">
        <v>5</v>
      </c>
      <c r="K8816" t="s">
        <v>821</v>
      </c>
      <c r="M8816">
        <v>1</v>
      </c>
    </row>
    <row r="8817" spans="1:13">
      <c r="A8817" t="s">
        <v>2651</v>
      </c>
      <c r="B8817" t="s">
        <v>205</v>
      </c>
      <c r="C8817" s="34" t="s">
        <v>1438</v>
      </c>
      <c r="F8817" t="s">
        <v>1438</v>
      </c>
      <c r="H8817">
        <v>15</v>
      </c>
      <c r="I8817">
        <f>VLOOKUP(B8817,BRAND!B:D,3,FALSE)</f>
        <v>3</v>
      </c>
      <c r="J8817">
        <v>4</v>
      </c>
      <c r="K8817" t="s">
        <v>821</v>
      </c>
      <c r="L8817">
        <v>0</v>
      </c>
      <c r="M8817">
        <v>0</v>
      </c>
    </row>
    <row r="8818" spans="1:13">
      <c r="A8818" t="s">
        <v>3668</v>
      </c>
      <c r="B8818" t="s">
        <v>754</v>
      </c>
      <c r="C8818" s="34" t="s">
        <v>534</v>
      </c>
      <c r="F8818" t="s">
        <v>534</v>
      </c>
      <c r="H8818">
        <v>5</v>
      </c>
      <c r="I8818">
        <f>VLOOKUP(B8818,BRAND!B:D,3,FALSE)</f>
        <v>3</v>
      </c>
      <c r="J8818">
        <v>6</v>
      </c>
      <c r="K8818" t="s">
        <v>821</v>
      </c>
      <c r="L8818">
        <v>0</v>
      </c>
      <c r="M8818">
        <v>0</v>
      </c>
    </row>
    <row r="8819" spans="1:13">
      <c r="A8819" t="s">
        <v>2403</v>
      </c>
      <c r="B8819" t="s">
        <v>754</v>
      </c>
      <c r="C8819" s="34" t="s">
        <v>1438</v>
      </c>
      <c r="F8819" t="s">
        <v>1438</v>
      </c>
      <c r="H8819">
        <v>15</v>
      </c>
      <c r="I8819">
        <f>VLOOKUP(B8819,BRAND!B:D,3,FALSE)</f>
        <v>3</v>
      </c>
      <c r="J8819">
        <v>4</v>
      </c>
      <c r="K8819" t="s">
        <v>821</v>
      </c>
      <c r="L8819">
        <v>0</v>
      </c>
      <c r="M8819">
        <v>0</v>
      </c>
    </row>
    <row r="8820" spans="1:13">
      <c r="A8820" t="s">
        <v>14244</v>
      </c>
      <c r="B8820" t="s">
        <v>14239</v>
      </c>
      <c r="C8820" s="34" t="s">
        <v>8449</v>
      </c>
      <c r="F8820" t="s">
        <v>8449</v>
      </c>
      <c r="G8820" t="s">
        <v>6932</v>
      </c>
      <c r="H8820">
        <v>4</v>
      </c>
      <c r="I8820">
        <f>VLOOKUP(B8820,BRAND!B:D,3,FALSE)</f>
        <v>0</v>
      </c>
      <c r="J8820">
        <f t="shared" ref="J8820:J8832" si="66">LEN(F8820)</f>
        <v>9</v>
      </c>
      <c r="K8820" t="s">
        <v>821</v>
      </c>
      <c r="L8820">
        <v>0</v>
      </c>
      <c r="M8820">
        <v>1</v>
      </c>
    </row>
    <row r="8821" spans="1:13">
      <c r="A8821" t="s">
        <v>14247</v>
      </c>
      <c r="B8821" t="s">
        <v>14239</v>
      </c>
      <c r="C8821" s="34" t="s">
        <v>14248</v>
      </c>
      <c r="F8821" t="s">
        <v>14248</v>
      </c>
      <c r="G8821" t="s">
        <v>6932</v>
      </c>
      <c r="H8821">
        <v>5</v>
      </c>
      <c r="I8821">
        <f>VLOOKUP(B8821,BRAND!B:D,3,FALSE)</f>
        <v>0</v>
      </c>
      <c r="J8821">
        <f t="shared" si="66"/>
        <v>9</v>
      </c>
      <c r="K8821" t="s">
        <v>821</v>
      </c>
      <c r="L8821">
        <v>0</v>
      </c>
      <c r="M8821">
        <v>1</v>
      </c>
    </row>
    <row r="8822" spans="1:13">
      <c r="A8822" t="s">
        <v>14246</v>
      </c>
      <c r="B8822" t="s">
        <v>14239</v>
      </c>
      <c r="C8822" s="34" t="s">
        <v>933</v>
      </c>
      <c r="F8822" t="s">
        <v>933</v>
      </c>
      <c r="G8822" t="s">
        <v>6932</v>
      </c>
      <c r="H8822">
        <v>5</v>
      </c>
      <c r="I8822">
        <f>VLOOKUP(B8822,BRAND!B:D,3,FALSE)</f>
        <v>0</v>
      </c>
      <c r="J8822">
        <f t="shared" si="66"/>
        <v>8</v>
      </c>
      <c r="K8822" t="s">
        <v>821</v>
      </c>
      <c r="L8822">
        <v>0</v>
      </c>
      <c r="M8822">
        <v>1</v>
      </c>
    </row>
    <row r="8823" spans="1:13">
      <c r="A8823" t="s">
        <v>14250</v>
      </c>
      <c r="B8823" t="s">
        <v>14239</v>
      </c>
      <c r="C8823" s="34" t="s">
        <v>898</v>
      </c>
      <c r="F8823" t="s">
        <v>898</v>
      </c>
      <c r="G8823" t="s">
        <v>6932</v>
      </c>
      <c r="H8823">
        <v>5</v>
      </c>
      <c r="I8823">
        <f>VLOOKUP(B8823,BRAND!B:D,3,FALSE)</f>
        <v>0</v>
      </c>
      <c r="J8823">
        <f t="shared" si="66"/>
        <v>6</v>
      </c>
      <c r="K8823" t="s">
        <v>821</v>
      </c>
      <c r="L8823">
        <v>0</v>
      </c>
      <c r="M8823">
        <v>1</v>
      </c>
    </row>
    <row r="8824" spans="1:13">
      <c r="A8824" t="s">
        <v>14241</v>
      </c>
      <c r="B8824" t="s">
        <v>14239</v>
      </c>
      <c r="C8824" s="34" t="s">
        <v>10023</v>
      </c>
      <c r="F8824" t="s">
        <v>10023</v>
      </c>
      <c r="G8824" t="s">
        <v>6932</v>
      </c>
      <c r="H8824">
        <v>5</v>
      </c>
      <c r="I8824">
        <f>VLOOKUP(B8824,BRAND!B:D,3,FALSE)</f>
        <v>0</v>
      </c>
      <c r="J8824">
        <f t="shared" si="66"/>
        <v>6</v>
      </c>
      <c r="K8824" t="s">
        <v>821</v>
      </c>
      <c r="L8824">
        <v>0</v>
      </c>
      <c r="M8824">
        <v>1</v>
      </c>
    </row>
    <row r="8825" spans="1:13">
      <c r="A8825" t="s">
        <v>14238</v>
      </c>
      <c r="B8825" t="s">
        <v>14239</v>
      </c>
      <c r="C8825" s="34" t="s">
        <v>536</v>
      </c>
      <c r="F8825" t="s">
        <v>536</v>
      </c>
      <c r="G8825" t="s">
        <v>6932</v>
      </c>
      <c r="H8825">
        <v>5</v>
      </c>
      <c r="I8825">
        <f>VLOOKUP(B8825,BRAND!B:D,3,FALSE)</f>
        <v>0</v>
      </c>
      <c r="J8825">
        <f t="shared" si="66"/>
        <v>5</v>
      </c>
      <c r="K8825" t="s">
        <v>821</v>
      </c>
      <c r="L8825">
        <v>0</v>
      </c>
      <c r="M8825">
        <v>1</v>
      </c>
    </row>
    <row r="8826" spans="1:13">
      <c r="A8826" t="s">
        <v>14242</v>
      </c>
      <c r="B8826" t="s">
        <v>14239</v>
      </c>
      <c r="C8826" s="34" t="s">
        <v>913</v>
      </c>
      <c r="F8826" t="s">
        <v>913</v>
      </c>
      <c r="G8826" t="s">
        <v>6932</v>
      </c>
      <c r="H8826">
        <v>5</v>
      </c>
      <c r="I8826">
        <f>VLOOKUP(B8826,BRAND!B:D,3,FALSE)</f>
        <v>0</v>
      </c>
      <c r="J8826">
        <f t="shared" si="66"/>
        <v>5</v>
      </c>
      <c r="K8826" t="s">
        <v>821</v>
      </c>
      <c r="L8826">
        <v>0</v>
      </c>
      <c r="M8826">
        <v>1</v>
      </c>
    </row>
    <row r="8827" spans="1:13">
      <c r="A8827" t="s">
        <v>14238</v>
      </c>
      <c r="B8827" t="s">
        <v>14239</v>
      </c>
      <c r="C8827" s="34" t="s">
        <v>536</v>
      </c>
      <c r="F8827" t="s">
        <v>536</v>
      </c>
      <c r="G8827" t="s">
        <v>6932</v>
      </c>
      <c r="H8827">
        <v>5</v>
      </c>
      <c r="I8827">
        <f>VLOOKUP(B8827,BRAND!B:D,3,FALSE)</f>
        <v>0</v>
      </c>
      <c r="J8827">
        <f t="shared" si="66"/>
        <v>5</v>
      </c>
      <c r="K8827" t="s">
        <v>821</v>
      </c>
      <c r="L8827">
        <v>0</v>
      </c>
      <c r="M8827">
        <v>1</v>
      </c>
    </row>
    <row r="8828" spans="1:13">
      <c r="A8828" t="s">
        <v>14243</v>
      </c>
      <c r="B8828" t="s">
        <v>14239</v>
      </c>
      <c r="C8828" s="34" t="s">
        <v>776</v>
      </c>
      <c r="F8828" t="s">
        <v>776</v>
      </c>
      <c r="G8828" t="s">
        <v>6932</v>
      </c>
      <c r="H8828">
        <v>5</v>
      </c>
      <c r="I8828">
        <f>VLOOKUP(B8828,BRAND!B:D,3,FALSE)</f>
        <v>0</v>
      </c>
      <c r="J8828">
        <f t="shared" si="66"/>
        <v>5</v>
      </c>
      <c r="K8828" t="s">
        <v>821</v>
      </c>
      <c r="L8828">
        <v>0</v>
      </c>
      <c r="M8828">
        <v>1</v>
      </c>
    </row>
    <row r="8829" spans="1:13">
      <c r="A8829" t="s">
        <v>14245</v>
      </c>
      <c r="B8829" t="s">
        <v>14239</v>
      </c>
      <c r="C8829" s="34" t="s">
        <v>842</v>
      </c>
      <c r="F8829" t="s">
        <v>842</v>
      </c>
      <c r="G8829" t="s">
        <v>6932</v>
      </c>
      <c r="H8829">
        <v>5</v>
      </c>
      <c r="I8829">
        <f>VLOOKUP(B8829,BRAND!B:D,3,FALSE)</f>
        <v>0</v>
      </c>
      <c r="J8829">
        <f t="shared" si="66"/>
        <v>5</v>
      </c>
      <c r="K8829" t="s">
        <v>821</v>
      </c>
      <c r="L8829">
        <v>0</v>
      </c>
      <c r="M8829">
        <v>1</v>
      </c>
    </row>
    <row r="8830" spans="1:13">
      <c r="A8830" t="s">
        <v>14249</v>
      </c>
      <c r="B8830" t="s">
        <v>14239</v>
      </c>
      <c r="C8830" s="34" t="s">
        <v>8904</v>
      </c>
      <c r="F8830" t="s">
        <v>8904</v>
      </c>
      <c r="G8830" t="s">
        <v>6932</v>
      </c>
      <c r="H8830">
        <v>5</v>
      </c>
      <c r="I8830">
        <f>VLOOKUP(B8830,BRAND!B:D,3,FALSE)</f>
        <v>0</v>
      </c>
      <c r="J8830">
        <f t="shared" si="66"/>
        <v>5</v>
      </c>
      <c r="K8830" t="s">
        <v>821</v>
      </c>
      <c r="L8830">
        <v>0</v>
      </c>
      <c r="M8830">
        <v>1</v>
      </c>
    </row>
    <row r="8831" spans="1:13">
      <c r="A8831" t="s">
        <v>14251</v>
      </c>
      <c r="B8831" t="s">
        <v>14239</v>
      </c>
      <c r="C8831" s="34" t="s">
        <v>788</v>
      </c>
      <c r="F8831" t="s">
        <v>788</v>
      </c>
      <c r="G8831" t="s">
        <v>6932</v>
      </c>
      <c r="H8831">
        <v>5</v>
      </c>
      <c r="I8831">
        <f>VLOOKUP(B8831,BRAND!B:D,3,FALSE)</f>
        <v>0</v>
      </c>
      <c r="J8831">
        <f t="shared" si="66"/>
        <v>4</v>
      </c>
      <c r="K8831" t="s">
        <v>821</v>
      </c>
      <c r="L8831">
        <v>0</v>
      </c>
      <c r="M8831">
        <v>1</v>
      </c>
    </row>
    <row r="8832" spans="1:13">
      <c r="A8832" t="s">
        <v>14240</v>
      </c>
      <c r="B8832" t="s">
        <v>14239</v>
      </c>
      <c r="C8832" s="34" t="s">
        <v>561</v>
      </c>
      <c r="F8832" t="s">
        <v>561</v>
      </c>
      <c r="G8832" t="s">
        <v>6932</v>
      </c>
      <c r="H8832">
        <v>5</v>
      </c>
      <c r="I8832">
        <f>VLOOKUP(B8832,BRAND!B:D,3,FALSE)</f>
        <v>0</v>
      </c>
      <c r="J8832">
        <f t="shared" si="66"/>
        <v>3</v>
      </c>
      <c r="K8832" t="s">
        <v>821</v>
      </c>
      <c r="L8832">
        <v>0</v>
      </c>
      <c r="M8832">
        <v>1</v>
      </c>
    </row>
    <row r="8833" spans="1:13">
      <c r="A8833" t="s">
        <v>9488</v>
      </c>
      <c r="B8833" t="s">
        <v>9489</v>
      </c>
      <c r="C8833" s="34" t="s">
        <v>1438</v>
      </c>
      <c r="F8833" t="s">
        <v>1438</v>
      </c>
      <c r="G8833" t="s">
        <v>6932</v>
      </c>
      <c r="H8833">
        <v>5</v>
      </c>
      <c r="I8833">
        <f>VLOOKUP(B8833,BRAND!B:D,3,FALSE)</f>
        <v>5.5</v>
      </c>
      <c r="J8833">
        <v>4</v>
      </c>
      <c r="M8833">
        <v>1</v>
      </c>
    </row>
    <row r="8834" spans="1:13">
      <c r="A8834" t="s">
        <v>3638</v>
      </c>
      <c r="B8834" t="s">
        <v>206</v>
      </c>
      <c r="C8834" s="34" t="s">
        <v>794</v>
      </c>
      <c r="F8834" t="s">
        <v>794</v>
      </c>
      <c r="H8834">
        <v>3</v>
      </c>
      <c r="I8834">
        <f>VLOOKUP(B8834,BRAND!B:D,3,FALSE)</f>
        <v>3</v>
      </c>
      <c r="J8834">
        <f>LEN(F8834)</f>
        <v>10</v>
      </c>
      <c r="K8834" t="s">
        <v>821</v>
      </c>
      <c r="M8834">
        <v>1</v>
      </c>
    </row>
    <row r="8835" spans="1:13">
      <c r="A8835" t="s">
        <v>3764</v>
      </c>
      <c r="B8835" t="s">
        <v>206</v>
      </c>
      <c r="C8835" s="34" t="s">
        <v>1938</v>
      </c>
      <c r="F8835" t="s">
        <v>1938</v>
      </c>
      <c r="H8835">
        <v>4</v>
      </c>
      <c r="I8835">
        <f>VLOOKUP(B8835,BRAND!B:D,3,FALSE)</f>
        <v>3</v>
      </c>
      <c r="J8835">
        <f>LEN(F8835)</f>
        <v>13</v>
      </c>
      <c r="K8835" t="s">
        <v>821</v>
      </c>
      <c r="L8835">
        <v>0</v>
      </c>
      <c r="M8835">
        <v>0</v>
      </c>
    </row>
    <row r="8836" spans="1:13">
      <c r="A8836" t="s">
        <v>9490</v>
      </c>
      <c r="B8836" t="s">
        <v>206</v>
      </c>
      <c r="C8836" s="34" t="s">
        <v>9491</v>
      </c>
      <c r="F8836" t="s">
        <v>9491</v>
      </c>
      <c r="G8836" t="s">
        <v>6932</v>
      </c>
      <c r="H8836">
        <v>5</v>
      </c>
      <c r="I8836">
        <f>VLOOKUP(B8836,BRAND!B:D,3,FALSE)</f>
        <v>3</v>
      </c>
      <c r="J8836">
        <f>LEN(F8836)</f>
        <v>12</v>
      </c>
      <c r="L8836">
        <v>0</v>
      </c>
      <c r="M8836">
        <v>0</v>
      </c>
    </row>
    <row r="8837" spans="1:13">
      <c r="A8837" t="s">
        <v>3737</v>
      </c>
      <c r="B8837" t="s">
        <v>206</v>
      </c>
      <c r="C8837" s="34" t="s">
        <v>929</v>
      </c>
      <c r="F8837" t="s">
        <v>929</v>
      </c>
      <c r="H8837">
        <v>5</v>
      </c>
      <c r="I8837">
        <f>VLOOKUP(B8837,BRAND!B:D,3,FALSE)</f>
        <v>3</v>
      </c>
      <c r="J8837">
        <v>8</v>
      </c>
      <c r="K8837" t="s">
        <v>821</v>
      </c>
      <c r="M8837">
        <v>1</v>
      </c>
    </row>
    <row r="8838" spans="1:13">
      <c r="A8838" t="s">
        <v>5484</v>
      </c>
      <c r="B8838" t="s">
        <v>206</v>
      </c>
      <c r="C8838" s="34" t="s">
        <v>5483</v>
      </c>
      <c r="F8838" t="s">
        <v>5483</v>
      </c>
      <c r="H8838">
        <v>5</v>
      </c>
      <c r="I8838">
        <f>VLOOKUP(B8838,BRAND!B:D,3,FALSE)</f>
        <v>3</v>
      </c>
      <c r="J8838">
        <v>7</v>
      </c>
      <c r="K8838" t="s">
        <v>821</v>
      </c>
      <c r="M8838">
        <v>1</v>
      </c>
    </row>
    <row r="8839" spans="1:13">
      <c r="A8839" t="s">
        <v>4123</v>
      </c>
      <c r="B8839" t="s">
        <v>206</v>
      </c>
      <c r="C8839" s="34" t="s">
        <v>772</v>
      </c>
      <c r="F8839" t="s">
        <v>772</v>
      </c>
      <c r="H8839">
        <v>5</v>
      </c>
      <c r="I8839">
        <f>VLOOKUP(B8839,BRAND!B:D,3,FALSE)</f>
        <v>3</v>
      </c>
      <c r="J8839">
        <v>6</v>
      </c>
      <c r="K8839" t="s">
        <v>821</v>
      </c>
      <c r="L8839">
        <v>0</v>
      </c>
      <c r="M8839">
        <v>0</v>
      </c>
    </row>
    <row r="8840" spans="1:13">
      <c r="A8840" t="s">
        <v>3606</v>
      </c>
      <c r="B8840" t="s">
        <v>206</v>
      </c>
      <c r="C8840" s="34" t="s">
        <v>780</v>
      </c>
      <c r="F8840" t="s">
        <v>780</v>
      </c>
      <c r="H8840">
        <v>5</v>
      </c>
      <c r="I8840">
        <f>VLOOKUP(B8840,BRAND!B:D,3,FALSE)</f>
        <v>3</v>
      </c>
      <c r="J8840">
        <v>6</v>
      </c>
      <c r="K8840" t="s">
        <v>821</v>
      </c>
      <c r="M8840">
        <v>1</v>
      </c>
    </row>
    <row r="8841" spans="1:13">
      <c r="A8841" t="s">
        <v>3371</v>
      </c>
      <c r="B8841" t="s">
        <v>206</v>
      </c>
      <c r="C8841" s="34" t="s">
        <v>534</v>
      </c>
      <c r="F8841" t="s">
        <v>534</v>
      </c>
      <c r="H8841">
        <v>5</v>
      </c>
      <c r="I8841">
        <f>VLOOKUP(B8841,BRAND!B:D,3,FALSE)</f>
        <v>3</v>
      </c>
      <c r="J8841">
        <v>6</v>
      </c>
      <c r="K8841" t="s">
        <v>821</v>
      </c>
      <c r="M8841">
        <v>1</v>
      </c>
    </row>
    <row r="8842" spans="1:13">
      <c r="A8842" t="s">
        <v>3241</v>
      </c>
      <c r="B8842" t="s">
        <v>206</v>
      </c>
      <c r="C8842" s="34" t="s">
        <v>536</v>
      </c>
      <c r="F8842" t="s">
        <v>536</v>
      </c>
      <c r="H8842">
        <v>5</v>
      </c>
      <c r="I8842">
        <f>VLOOKUP(B8842,BRAND!B:D,3,FALSE)</f>
        <v>3</v>
      </c>
      <c r="J8842">
        <v>5</v>
      </c>
      <c r="K8842" t="s">
        <v>821</v>
      </c>
      <c r="L8842">
        <v>0</v>
      </c>
      <c r="M8842">
        <v>0</v>
      </c>
    </row>
    <row r="8843" spans="1:13">
      <c r="A8843" t="s">
        <v>3383</v>
      </c>
      <c r="B8843" t="s">
        <v>206</v>
      </c>
      <c r="C8843" s="34" t="s">
        <v>1933</v>
      </c>
      <c r="F8843" t="s">
        <v>1933</v>
      </c>
      <c r="H8843">
        <v>5</v>
      </c>
      <c r="I8843">
        <f>VLOOKUP(B8843,BRAND!B:D,3,FALSE)</f>
        <v>3</v>
      </c>
      <c r="J8843">
        <v>4</v>
      </c>
      <c r="K8843" t="s">
        <v>821</v>
      </c>
      <c r="L8843">
        <v>0</v>
      </c>
      <c r="M8843">
        <v>0</v>
      </c>
    </row>
    <row r="8844" spans="1:13">
      <c r="A8844" t="s">
        <v>2387</v>
      </c>
      <c r="B8844" t="s">
        <v>206</v>
      </c>
      <c r="C8844" s="34" t="s">
        <v>775</v>
      </c>
      <c r="F8844" t="s">
        <v>775</v>
      </c>
      <c r="H8844">
        <v>5</v>
      </c>
      <c r="I8844">
        <f>VLOOKUP(B8844,BRAND!B:D,3,FALSE)</f>
        <v>3</v>
      </c>
      <c r="J8844">
        <v>3</v>
      </c>
      <c r="K8844" t="s">
        <v>821</v>
      </c>
      <c r="M8844">
        <v>1</v>
      </c>
    </row>
    <row r="8845" spans="1:13">
      <c r="A8845" t="s">
        <v>4930</v>
      </c>
      <c r="B8845" t="s">
        <v>206</v>
      </c>
      <c r="C8845" s="34" t="s">
        <v>1438</v>
      </c>
      <c r="F8845" t="s">
        <v>1438</v>
      </c>
      <c r="G8845" t="s">
        <v>801</v>
      </c>
      <c r="H8845">
        <v>6</v>
      </c>
      <c r="I8845">
        <f>VLOOKUP(B8845,BRAND!B:D,3,FALSE)</f>
        <v>3</v>
      </c>
      <c r="J8845">
        <v>4</v>
      </c>
      <c r="K8845" t="s">
        <v>821</v>
      </c>
      <c r="L8845">
        <v>0</v>
      </c>
      <c r="M8845">
        <v>0</v>
      </c>
    </row>
    <row r="8846" spans="1:13">
      <c r="A8846" t="s">
        <v>4997</v>
      </c>
      <c r="B8846" t="s">
        <v>206</v>
      </c>
      <c r="C8846" s="34" t="s">
        <v>957</v>
      </c>
      <c r="F8846" t="s">
        <v>957</v>
      </c>
      <c r="G8846" t="s">
        <v>801</v>
      </c>
      <c r="H8846">
        <v>6</v>
      </c>
      <c r="I8846">
        <f>VLOOKUP(B8846,BRAND!B:D,3,FALSE)</f>
        <v>3</v>
      </c>
      <c r="J8846">
        <v>4</v>
      </c>
      <c r="K8846" t="s">
        <v>821</v>
      </c>
      <c r="L8846">
        <v>1</v>
      </c>
      <c r="M8846">
        <v>1</v>
      </c>
    </row>
    <row r="8847" spans="1:13">
      <c r="A8847" t="s">
        <v>2233</v>
      </c>
      <c r="B8847" t="s">
        <v>206</v>
      </c>
      <c r="C8847" s="34" t="s">
        <v>1438</v>
      </c>
      <c r="F8847" t="s">
        <v>1438</v>
      </c>
      <c r="H8847">
        <v>15</v>
      </c>
      <c r="I8847">
        <f>VLOOKUP(B8847,BRAND!B:D,3,FALSE)</f>
        <v>3</v>
      </c>
      <c r="J8847">
        <v>4</v>
      </c>
      <c r="K8847" t="s">
        <v>821</v>
      </c>
      <c r="L8847">
        <v>0</v>
      </c>
      <c r="M8847">
        <v>0</v>
      </c>
    </row>
    <row r="8848" spans="1:13">
      <c r="A8848" t="s">
        <v>3384</v>
      </c>
      <c r="B8848" t="s">
        <v>207</v>
      </c>
      <c r="C8848" s="34" t="s">
        <v>5232</v>
      </c>
      <c r="F8848" t="s">
        <v>536</v>
      </c>
      <c r="H8848">
        <v>5</v>
      </c>
      <c r="I8848">
        <f>VLOOKUP(B8848,BRAND!B:D,3,FALSE)</f>
        <v>3</v>
      </c>
      <c r="J8848">
        <v>5</v>
      </c>
      <c r="K8848" t="s">
        <v>821</v>
      </c>
      <c r="M8848">
        <v>1</v>
      </c>
    </row>
    <row r="8849" spans="1:13">
      <c r="A8849" t="s">
        <v>2032</v>
      </c>
      <c r="B8849" t="s">
        <v>207</v>
      </c>
      <c r="C8849" s="34" t="s">
        <v>1438</v>
      </c>
      <c r="F8849" t="s">
        <v>1438</v>
      </c>
      <c r="H8849">
        <v>15</v>
      </c>
      <c r="I8849">
        <f>VLOOKUP(B8849,BRAND!B:D,3,FALSE)</f>
        <v>3</v>
      </c>
      <c r="J8849">
        <v>4</v>
      </c>
      <c r="K8849" t="s">
        <v>821</v>
      </c>
      <c r="L8849">
        <v>0</v>
      </c>
      <c r="M8849">
        <v>0</v>
      </c>
    </row>
    <row r="8850" spans="1:13">
      <c r="A8850" t="s">
        <v>9495</v>
      </c>
      <c r="B8850" t="s">
        <v>9493</v>
      </c>
      <c r="C8850" s="34" t="s">
        <v>800</v>
      </c>
      <c r="F8850" t="s">
        <v>800</v>
      </c>
      <c r="G8850" t="s">
        <v>6932</v>
      </c>
      <c r="H8850">
        <v>5</v>
      </c>
      <c r="I8850">
        <f>VLOOKUP(B8850,BRAND!B:D,3,FALSE)</f>
        <v>5.5</v>
      </c>
      <c r="J8850">
        <v>6</v>
      </c>
      <c r="L8850">
        <v>1</v>
      </c>
      <c r="M8850">
        <v>1</v>
      </c>
    </row>
    <row r="8851" spans="1:13">
      <c r="A8851" t="s">
        <v>9492</v>
      </c>
      <c r="B8851" t="s">
        <v>9493</v>
      </c>
      <c r="C8851" s="34" t="s">
        <v>9494</v>
      </c>
      <c r="F8851" t="s">
        <v>9494</v>
      </c>
      <c r="G8851" t="s">
        <v>6932</v>
      </c>
      <c r="H8851">
        <v>5</v>
      </c>
      <c r="I8851">
        <f>VLOOKUP(B8851,BRAND!B:D,3,FALSE)</f>
        <v>5.5</v>
      </c>
      <c r="J8851">
        <v>5</v>
      </c>
      <c r="L8851">
        <v>1</v>
      </c>
      <c r="M8851">
        <v>1</v>
      </c>
    </row>
    <row r="8852" spans="1:13">
      <c r="A8852" t="s">
        <v>3002</v>
      </c>
      <c r="B8852" t="s">
        <v>451</v>
      </c>
      <c r="C8852" s="34" t="s">
        <v>772</v>
      </c>
      <c r="F8852" t="s">
        <v>772</v>
      </c>
      <c r="H8852">
        <v>5</v>
      </c>
      <c r="I8852">
        <f>VLOOKUP(B8852,BRAND!B:D,3,FALSE)</f>
        <v>3</v>
      </c>
      <c r="J8852">
        <v>6</v>
      </c>
      <c r="K8852" t="s">
        <v>821</v>
      </c>
      <c r="L8852">
        <v>0</v>
      </c>
      <c r="M8852">
        <v>0</v>
      </c>
    </row>
    <row r="8853" spans="1:13">
      <c r="A8853" t="s">
        <v>3003</v>
      </c>
      <c r="B8853" t="s">
        <v>451</v>
      </c>
      <c r="C8853" s="34" t="s">
        <v>534</v>
      </c>
      <c r="F8853" t="s">
        <v>534</v>
      </c>
      <c r="H8853">
        <v>5</v>
      </c>
      <c r="I8853">
        <f>VLOOKUP(B8853,BRAND!B:D,3,FALSE)</f>
        <v>3</v>
      </c>
      <c r="J8853">
        <v>6</v>
      </c>
      <c r="K8853" t="s">
        <v>821</v>
      </c>
      <c r="M8853">
        <v>1</v>
      </c>
    </row>
    <row r="8854" spans="1:13">
      <c r="A8854" t="s">
        <v>3001</v>
      </c>
      <c r="B8854" t="s">
        <v>451</v>
      </c>
      <c r="C8854" s="34" t="s">
        <v>536</v>
      </c>
      <c r="F8854" t="s">
        <v>536</v>
      </c>
      <c r="H8854">
        <v>5</v>
      </c>
      <c r="I8854">
        <f>VLOOKUP(B8854,BRAND!B:D,3,FALSE)</f>
        <v>3</v>
      </c>
      <c r="J8854">
        <v>5</v>
      </c>
      <c r="K8854" t="s">
        <v>821</v>
      </c>
      <c r="L8854">
        <v>0</v>
      </c>
      <c r="M8854">
        <v>0</v>
      </c>
    </row>
    <row r="8855" spans="1:13">
      <c r="A8855" t="s">
        <v>2689</v>
      </c>
      <c r="B8855" t="s">
        <v>451</v>
      </c>
      <c r="C8855" s="34" t="s">
        <v>1438</v>
      </c>
      <c r="F8855" t="s">
        <v>1438</v>
      </c>
      <c r="H8855">
        <v>15</v>
      </c>
      <c r="I8855">
        <f>VLOOKUP(B8855,BRAND!B:D,3,FALSE)</f>
        <v>3</v>
      </c>
      <c r="J8855">
        <v>4</v>
      </c>
      <c r="K8855" t="s">
        <v>821</v>
      </c>
      <c r="L8855">
        <v>0</v>
      </c>
      <c r="M8855">
        <v>0</v>
      </c>
    </row>
    <row r="8856" spans="1:13">
      <c r="A8856" t="s">
        <v>8998</v>
      </c>
      <c r="B8856" t="s">
        <v>8999</v>
      </c>
      <c r="C8856" s="34" t="s">
        <v>1438</v>
      </c>
      <c r="F8856" t="s">
        <v>1438</v>
      </c>
      <c r="G8856" t="s">
        <v>6932</v>
      </c>
      <c r="H8856">
        <v>5</v>
      </c>
      <c r="I8856">
        <f>VLOOKUP(B8856,BRAND!B:D,3,FALSE)</f>
        <v>5.5</v>
      </c>
      <c r="J8856">
        <v>4</v>
      </c>
      <c r="M8856">
        <v>1</v>
      </c>
    </row>
    <row r="8857" spans="1:13">
      <c r="A8857" t="s">
        <v>12475</v>
      </c>
      <c r="B8857" t="s">
        <v>12020</v>
      </c>
      <c r="C8857" s="34" t="s">
        <v>12474</v>
      </c>
      <c r="F8857" t="s">
        <v>12474</v>
      </c>
      <c r="G8857" t="s">
        <v>6932</v>
      </c>
      <c r="H8857">
        <v>5</v>
      </c>
    </row>
    <row r="8858" spans="1:13">
      <c r="A8858" t="s">
        <v>15047</v>
      </c>
      <c r="B8858" t="s">
        <v>15048</v>
      </c>
      <c r="C8858" s="34" t="s">
        <v>534</v>
      </c>
      <c r="F8858" t="s">
        <v>534</v>
      </c>
      <c r="G8858" t="s">
        <v>6932</v>
      </c>
      <c r="H8858">
        <v>5</v>
      </c>
      <c r="I8858">
        <f>VLOOKUP(B8858,BRAND!B:D,3,FALSE)</f>
        <v>5</v>
      </c>
      <c r="J8858">
        <v>0</v>
      </c>
      <c r="K8858" t="s">
        <v>821</v>
      </c>
      <c r="L8858">
        <v>0</v>
      </c>
      <c r="M8858">
        <v>0</v>
      </c>
    </row>
    <row r="8859" spans="1:13">
      <c r="A8859" t="s">
        <v>15051</v>
      </c>
      <c r="B8859" t="s">
        <v>15048</v>
      </c>
      <c r="C8859" s="34" t="s">
        <v>852</v>
      </c>
      <c r="F8859" t="s">
        <v>15052</v>
      </c>
      <c r="G8859" t="s">
        <v>6932</v>
      </c>
      <c r="H8859">
        <v>5</v>
      </c>
      <c r="I8859">
        <f>VLOOKUP(B8859,BRAND!B:D,3,FALSE)</f>
        <v>5</v>
      </c>
      <c r="J8859">
        <v>0</v>
      </c>
      <c r="K8859" t="s">
        <v>821</v>
      </c>
      <c r="L8859">
        <v>0</v>
      </c>
      <c r="M8859">
        <v>0</v>
      </c>
    </row>
    <row r="8860" spans="1:13">
      <c r="A8860" t="s">
        <v>15053</v>
      </c>
      <c r="B8860" t="s">
        <v>15048</v>
      </c>
      <c r="C8860" s="34" t="s">
        <v>842</v>
      </c>
      <c r="F8860" t="s">
        <v>7388</v>
      </c>
      <c r="G8860" t="s">
        <v>6932</v>
      </c>
      <c r="H8860">
        <v>5</v>
      </c>
      <c r="I8860">
        <f>VLOOKUP(B8860,BRAND!B:D,3,FALSE)</f>
        <v>5</v>
      </c>
      <c r="J8860">
        <v>0</v>
      </c>
      <c r="K8860" t="s">
        <v>821</v>
      </c>
      <c r="L8860">
        <v>0</v>
      </c>
      <c r="M8860">
        <v>0</v>
      </c>
    </row>
    <row r="8861" spans="1:13">
      <c r="A8861" t="s">
        <v>15054</v>
      </c>
      <c r="B8861" t="s">
        <v>15048</v>
      </c>
      <c r="C8861" s="34" t="s">
        <v>7028</v>
      </c>
      <c r="F8861" t="s">
        <v>7028</v>
      </c>
      <c r="G8861" t="s">
        <v>6932</v>
      </c>
      <c r="H8861">
        <v>5</v>
      </c>
      <c r="I8861">
        <f>VLOOKUP(B8861,BRAND!B:D,3,FALSE)</f>
        <v>5</v>
      </c>
      <c r="J8861">
        <v>0</v>
      </c>
      <c r="K8861" t="s">
        <v>821</v>
      </c>
      <c r="L8861">
        <v>0</v>
      </c>
      <c r="M8861">
        <v>0</v>
      </c>
    </row>
    <row r="8862" spans="1:13">
      <c r="A8862" t="s">
        <v>15049</v>
      </c>
      <c r="B8862" t="s">
        <v>15048</v>
      </c>
      <c r="C8862" s="34" t="s">
        <v>15050</v>
      </c>
      <c r="F8862" t="s">
        <v>841</v>
      </c>
      <c r="G8862" t="s">
        <v>6932</v>
      </c>
      <c r="H8862">
        <v>6</v>
      </c>
      <c r="I8862">
        <f>VLOOKUP(B8862,BRAND!B:D,3,FALSE)</f>
        <v>5</v>
      </c>
      <c r="J8862">
        <v>0</v>
      </c>
      <c r="K8862" t="s">
        <v>821</v>
      </c>
      <c r="L8862">
        <v>0</v>
      </c>
      <c r="M8862">
        <v>0</v>
      </c>
    </row>
    <row r="8863" spans="1:13">
      <c r="A8863" t="s">
        <v>9496</v>
      </c>
      <c r="B8863" t="s">
        <v>208</v>
      </c>
      <c r="C8863" s="34" t="s">
        <v>751</v>
      </c>
      <c r="F8863" t="s">
        <v>751</v>
      </c>
      <c r="G8863" t="s">
        <v>6932</v>
      </c>
      <c r="H8863">
        <v>5</v>
      </c>
      <c r="I8863">
        <f>VLOOKUP(B8863,BRAND!B:D,3,FALSE)</f>
        <v>3</v>
      </c>
      <c r="J8863">
        <v>5</v>
      </c>
      <c r="M8863">
        <v>1</v>
      </c>
    </row>
    <row r="8864" spans="1:13">
      <c r="A8864" t="s">
        <v>2395</v>
      </c>
      <c r="B8864" t="s">
        <v>208</v>
      </c>
      <c r="C8864" s="34" t="s">
        <v>1438</v>
      </c>
      <c r="F8864" t="s">
        <v>1438</v>
      </c>
      <c r="H8864">
        <v>15</v>
      </c>
      <c r="I8864">
        <f>VLOOKUP(B8864,BRAND!B:D,3,FALSE)</f>
        <v>3</v>
      </c>
      <c r="J8864">
        <v>4</v>
      </c>
      <c r="K8864" t="s">
        <v>821</v>
      </c>
      <c r="M8864">
        <v>1</v>
      </c>
    </row>
    <row r="8865" spans="1:13">
      <c r="A8865" t="s">
        <v>8972</v>
      </c>
      <c r="B8865" t="s">
        <v>8973</v>
      </c>
      <c r="C8865" s="34" t="s">
        <v>1438</v>
      </c>
      <c r="F8865" t="s">
        <v>1438</v>
      </c>
      <c r="G8865" t="s">
        <v>6932</v>
      </c>
      <c r="H8865">
        <v>5</v>
      </c>
      <c r="I8865">
        <f>VLOOKUP(B8865,BRAND!B:D,3,FALSE)</f>
        <v>5.5</v>
      </c>
      <c r="J8865">
        <v>4</v>
      </c>
      <c r="M8865">
        <v>1</v>
      </c>
    </row>
    <row r="8866" spans="1:13">
      <c r="A8866" t="s">
        <v>1680</v>
      </c>
      <c r="B8866" t="s">
        <v>297</v>
      </c>
      <c r="C8866" s="34" t="s">
        <v>995</v>
      </c>
      <c r="F8866" t="s">
        <v>995</v>
      </c>
      <c r="H8866">
        <v>5</v>
      </c>
      <c r="I8866">
        <f>VLOOKUP(B8866,BRAND!B:D,3,FALSE)</f>
        <v>3</v>
      </c>
      <c r="J8866">
        <v>6</v>
      </c>
      <c r="K8866" t="s">
        <v>821</v>
      </c>
      <c r="L8866">
        <v>0</v>
      </c>
      <c r="M8866">
        <v>0</v>
      </c>
    </row>
    <row r="8867" spans="1:13">
      <c r="A8867" t="s">
        <v>7213</v>
      </c>
      <c r="B8867" t="s">
        <v>297</v>
      </c>
      <c r="C8867" s="34" t="s">
        <v>534</v>
      </c>
      <c r="F8867" t="s">
        <v>534</v>
      </c>
      <c r="G8867" t="s">
        <v>6932</v>
      </c>
      <c r="H8867">
        <v>5</v>
      </c>
      <c r="I8867">
        <f>VLOOKUP(B8867,BRAND!B:D,3,FALSE)</f>
        <v>3</v>
      </c>
      <c r="J8867">
        <v>6</v>
      </c>
      <c r="M8867">
        <v>1</v>
      </c>
    </row>
    <row r="8868" spans="1:13">
      <c r="A8868" t="s">
        <v>1679</v>
      </c>
      <c r="B8868" t="s">
        <v>297</v>
      </c>
      <c r="C8868" s="34" t="s">
        <v>1513</v>
      </c>
      <c r="F8868" t="s">
        <v>1513</v>
      </c>
      <c r="H8868">
        <v>5</v>
      </c>
      <c r="I8868">
        <f>VLOOKUP(B8868,BRAND!B:D,3,FALSE)</f>
        <v>3</v>
      </c>
      <c r="J8868">
        <v>5</v>
      </c>
      <c r="K8868" t="s">
        <v>821</v>
      </c>
      <c r="L8868">
        <v>0</v>
      </c>
      <c r="M8868">
        <v>0</v>
      </c>
    </row>
    <row r="8869" spans="1:13">
      <c r="A8869" t="s">
        <v>7398</v>
      </c>
      <c r="B8869" t="s">
        <v>297</v>
      </c>
      <c r="C8869" s="34" t="s">
        <v>5232</v>
      </c>
      <c r="F8869" t="s">
        <v>536</v>
      </c>
      <c r="G8869" t="s">
        <v>6932</v>
      </c>
      <c r="H8869">
        <v>5</v>
      </c>
      <c r="I8869">
        <f>VLOOKUP(B8869,BRAND!B:D,3,FALSE)</f>
        <v>3</v>
      </c>
      <c r="J8869">
        <v>5</v>
      </c>
      <c r="M8869">
        <v>1</v>
      </c>
    </row>
    <row r="8870" spans="1:13">
      <c r="A8870" t="s">
        <v>7214</v>
      </c>
      <c r="B8870" t="s">
        <v>297</v>
      </c>
      <c r="C8870" s="34" t="s">
        <v>7039</v>
      </c>
      <c r="F8870" t="s">
        <v>7039</v>
      </c>
      <c r="H8870">
        <v>5</v>
      </c>
      <c r="I8870">
        <f>VLOOKUP(B8870,BRAND!B:D,3,FALSE)</f>
        <v>3</v>
      </c>
      <c r="M8870">
        <v>1</v>
      </c>
    </row>
    <row r="8871" spans="1:13">
      <c r="A8871" t="s">
        <v>7213</v>
      </c>
      <c r="B8871" t="s">
        <v>297</v>
      </c>
      <c r="C8871" s="34" t="s">
        <v>534</v>
      </c>
      <c r="F8871" t="s">
        <v>534</v>
      </c>
      <c r="H8871">
        <v>5</v>
      </c>
      <c r="I8871">
        <f>VLOOKUP(B8871,BRAND!B:D,3,FALSE)</f>
        <v>3</v>
      </c>
      <c r="M8871">
        <v>1</v>
      </c>
    </row>
    <row r="8872" spans="1:13">
      <c r="A8872" t="s">
        <v>3170</v>
      </c>
      <c r="B8872" t="s">
        <v>209</v>
      </c>
      <c r="C8872" s="34" t="s">
        <v>536</v>
      </c>
      <c r="F8872" t="s">
        <v>536</v>
      </c>
      <c r="H8872">
        <v>5</v>
      </c>
      <c r="I8872">
        <f>VLOOKUP(B8872,BRAND!B:D,3,FALSE)</f>
        <v>3</v>
      </c>
      <c r="J8872">
        <v>5</v>
      </c>
      <c r="K8872" t="s">
        <v>821</v>
      </c>
      <c r="L8872">
        <v>0</v>
      </c>
      <c r="M8872">
        <v>0</v>
      </c>
    </row>
    <row r="8873" spans="1:13">
      <c r="A8873" t="s">
        <v>2208</v>
      </c>
      <c r="B8873" t="s">
        <v>209</v>
      </c>
      <c r="C8873" s="34" t="s">
        <v>1438</v>
      </c>
      <c r="F8873" t="s">
        <v>1438</v>
      </c>
      <c r="H8873">
        <v>15</v>
      </c>
      <c r="I8873">
        <f>VLOOKUP(B8873,BRAND!B:D,3,FALSE)</f>
        <v>3</v>
      </c>
      <c r="J8873">
        <v>4</v>
      </c>
      <c r="K8873" t="s">
        <v>821</v>
      </c>
      <c r="M8873">
        <v>1</v>
      </c>
    </row>
    <row r="8874" spans="1:13">
      <c r="A8874" t="str">
        <f>B8874&amp;" | "&amp;F8874&amp;" | "&amp;G8874</f>
        <v>VITAMALT | CLASSIC | ZERO</v>
      </c>
      <c r="B8874" t="s">
        <v>10864</v>
      </c>
      <c r="C8874" t="s">
        <v>753</v>
      </c>
      <c r="F8874" t="s">
        <v>753</v>
      </c>
      <c r="G8874" t="s">
        <v>801</v>
      </c>
      <c r="H8874">
        <v>5</v>
      </c>
    </row>
    <row r="8875" spans="1:13">
      <c r="A8875" t="s">
        <v>10642</v>
      </c>
      <c r="B8875" t="s">
        <v>10316</v>
      </c>
      <c r="C8875" s="34" t="s">
        <v>10666</v>
      </c>
      <c r="D8875" t="s">
        <v>1498</v>
      </c>
      <c r="F8875" t="s">
        <v>10445</v>
      </c>
      <c r="G8875" t="s">
        <v>6932</v>
      </c>
      <c r="H8875">
        <v>5</v>
      </c>
      <c r="I8875">
        <f>VLOOKUP(B8875,BRAND!B:D,3,FALSE)</f>
        <v>11</v>
      </c>
      <c r="J8875">
        <f>LEN(F8875)</f>
        <v>17</v>
      </c>
      <c r="L8875">
        <v>0</v>
      </c>
    </row>
    <row r="8876" spans="1:13">
      <c r="A8876" t="s">
        <v>10641</v>
      </c>
      <c r="B8876" t="s">
        <v>10316</v>
      </c>
      <c r="C8876" s="34" t="s">
        <v>10665</v>
      </c>
      <c r="D8876" t="s">
        <v>764</v>
      </c>
      <c r="F8876" t="s">
        <v>10444</v>
      </c>
      <c r="G8876" t="s">
        <v>6932</v>
      </c>
      <c r="H8876">
        <v>5</v>
      </c>
      <c r="I8876">
        <f>VLOOKUP(B8876,BRAND!B:D,3,FALSE)</f>
        <v>11</v>
      </c>
      <c r="J8876">
        <f>LEN(F8876)</f>
        <v>17</v>
      </c>
      <c r="L8876">
        <v>0</v>
      </c>
    </row>
    <row r="8877" spans="1:13">
      <c r="A8877" t="s">
        <v>10643</v>
      </c>
      <c r="B8877" t="s">
        <v>10316</v>
      </c>
      <c r="C8877" s="34" t="s">
        <v>761</v>
      </c>
      <c r="F8877" t="s">
        <v>10446</v>
      </c>
      <c r="G8877" t="s">
        <v>6932</v>
      </c>
      <c r="H8877">
        <v>5</v>
      </c>
      <c r="I8877">
        <f>VLOOKUP(B8877,BRAND!B:D,3,FALSE)</f>
        <v>11</v>
      </c>
      <c r="J8877">
        <f>LEN(F8877)</f>
        <v>11</v>
      </c>
      <c r="L8877">
        <v>0</v>
      </c>
    </row>
    <row r="8878" spans="1:13">
      <c r="A8878" t="s">
        <v>4589</v>
      </c>
      <c r="B8878" t="s">
        <v>1862</v>
      </c>
      <c r="C8878" s="34" t="s">
        <v>994</v>
      </c>
      <c r="F8878" t="s">
        <v>994</v>
      </c>
      <c r="H8878">
        <v>5</v>
      </c>
      <c r="I8878">
        <f>VLOOKUP(B8878,BRAND!B:D,3,FALSE)</f>
        <v>5</v>
      </c>
      <c r="J8878">
        <f>LEN(F8878)</f>
        <v>10</v>
      </c>
      <c r="K8878" t="s">
        <v>822</v>
      </c>
      <c r="M8878">
        <v>1</v>
      </c>
    </row>
    <row r="8879" spans="1:13">
      <c r="A8879" t="s">
        <v>4586</v>
      </c>
      <c r="B8879" t="s">
        <v>1862</v>
      </c>
      <c r="C8879" s="34" t="s">
        <v>798</v>
      </c>
      <c r="F8879" t="s">
        <v>798</v>
      </c>
      <c r="H8879">
        <v>5</v>
      </c>
      <c r="I8879">
        <f>VLOOKUP(B8879,BRAND!B:D,3,FALSE)</f>
        <v>5</v>
      </c>
      <c r="J8879">
        <v>9</v>
      </c>
      <c r="K8879" t="s">
        <v>822</v>
      </c>
      <c r="M8879">
        <v>1</v>
      </c>
    </row>
    <row r="8880" spans="1:13">
      <c r="A8880" t="s">
        <v>4588</v>
      </c>
      <c r="B8880" t="s">
        <v>1862</v>
      </c>
      <c r="C8880" s="34" t="s">
        <v>1513</v>
      </c>
      <c r="F8880" t="s">
        <v>1513</v>
      </c>
      <c r="H8880">
        <v>5</v>
      </c>
      <c r="I8880">
        <f>VLOOKUP(B8880,BRAND!B:D,3,FALSE)</f>
        <v>5</v>
      </c>
      <c r="J8880">
        <v>5</v>
      </c>
      <c r="K8880" t="s">
        <v>822</v>
      </c>
      <c r="M8880">
        <v>1</v>
      </c>
    </row>
    <row r="8881" spans="1:13">
      <c r="A8881" t="s">
        <v>4587</v>
      </c>
      <c r="B8881" t="s">
        <v>1862</v>
      </c>
      <c r="C8881" s="34" t="s">
        <v>761</v>
      </c>
      <c r="F8881" t="s">
        <v>761</v>
      </c>
      <c r="H8881">
        <v>5</v>
      </c>
      <c r="I8881">
        <f>VLOOKUP(B8881,BRAND!B:D,3,FALSE)</f>
        <v>5</v>
      </c>
      <c r="J8881">
        <v>5</v>
      </c>
      <c r="K8881" t="s">
        <v>822</v>
      </c>
      <c r="M8881">
        <v>1</v>
      </c>
    </row>
    <row r="8882" spans="1:13">
      <c r="A8882" t="s">
        <v>4573</v>
      </c>
      <c r="B8882" t="s">
        <v>1862</v>
      </c>
      <c r="C8882" s="34" t="s">
        <v>1438</v>
      </c>
      <c r="F8882" t="s">
        <v>1438</v>
      </c>
      <c r="H8882">
        <v>15</v>
      </c>
      <c r="I8882">
        <f>VLOOKUP(B8882,BRAND!B:D,3,FALSE)</f>
        <v>5</v>
      </c>
      <c r="J8882">
        <v>4</v>
      </c>
      <c r="K8882" t="s">
        <v>822</v>
      </c>
      <c r="M8882">
        <v>1</v>
      </c>
    </row>
    <row r="8883" spans="1:13">
      <c r="A8883" t="s">
        <v>4310</v>
      </c>
      <c r="B8883" t="s">
        <v>1860</v>
      </c>
      <c r="C8883" s="34" t="s">
        <v>5439</v>
      </c>
      <c r="F8883" t="s">
        <v>799</v>
      </c>
      <c r="H8883">
        <v>5</v>
      </c>
      <c r="I8883">
        <f>VLOOKUP(B8883,BRAND!B:D,3,FALSE)</f>
        <v>5</v>
      </c>
      <c r="J8883">
        <v>5</v>
      </c>
      <c r="K8883" t="s">
        <v>822</v>
      </c>
      <c r="M8883">
        <v>1</v>
      </c>
    </row>
    <row r="8884" spans="1:13">
      <c r="A8884" t="s">
        <v>5342</v>
      </c>
      <c r="B8884" t="s">
        <v>1860</v>
      </c>
      <c r="C8884" s="34" t="s">
        <v>5440</v>
      </c>
      <c r="F8884" t="s">
        <v>776</v>
      </c>
      <c r="H8884">
        <v>5</v>
      </c>
      <c r="I8884">
        <f>VLOOKUP(B8884,BRAND!B:D,3,FALSE)</f>
        <v>5</v>
      </c>
      <c r="J8884">
        <v>5</v>
      </c>
      <c r="K8884" t="s">
        <v>822</v>
      </c>
      <c r="M8884">
        <v>1</v>
      </c>
    </row>
    <row r="8885" spans="1:13">
      <c r="A8885" t="s">
        <v>4393</v>
      </c>
      <c r="B8885" t="s">
        <v>1860</v>
      </c>
      <c r="C8885" s="34" t="s">
        <v>775</v>
      </c>
      <c r="F8885" t="s">
        <v>775</v>
      </c>
      <c r="H8885">
        <v>5</v>
      </c>
      <c r="I8885">
        <f>VLOOKUP(B8885,BRAND!B:D,3,FALSE)</f>
        <v>5</v>
      </c>
      <c r="J8885">
        <v>3</v>
      </c>
      <c r="K8885" t="s">
        <v>822</v>
      </c>
      <c r="M8885">
        <v>1</v>
      </c>
    </row>
    <row r="8886" spans="1:13">
      <c r="A8886" t="s">
        <v>4311</v>
      </c>
      <c r="B8886" t="s">
        <v>1860</v>
      </c>
      <c r="C8886" s="34" t="s">
        <v>1438</v>
      </c>
      <c r="F8886" t="s">
        <v>1438</v>
      </c>
      <c r="H8886">
        <v>15</v>
      </c>
      <c r="I8886">
        <f>VLOOKUP(B8886,BRAND!B:D,3,FALSE)</f>
        <v>5</v>
      </c>
      <c r="J8886">
        <v>4</v>
      </c>
      <c r="K8886" t="s">
        <v>822</v>
      </c>
      <c r="M8886">
        <v>1</v>
      </c>
    </row>
    <row r="8887" spans="1:13">
      <c r="A8887" t="s">
        <v>1623</v>
      </c>
      <c r="B8887" t="s">
        <v>210</v>
      </c>
      <c r="C8887" s="34" t="s">
        <v>1513</v>
      </c>
      <c r="F8887" t="s">
        <v>1513</v>
      </c>
      <c r="H8887">
        <v>5</v>
      </c>
      <c r="I8887">
        <f>VLOOKUP(B8887,BRAND!B:D,3,FALSE)</f>
        <v>3</v>
      </c>
      <c r="J8887">
        <v>5</v>
      </c>
      <c r="K8887" t="s">
        <v>821</v>
      </c>
      <c r="M8887">
        <v>1</v>
      </c>
    </row>
    <row r="8888" spans="1:13">
      <c r="A8888" t="s">
        <v>4918</v>
      </c>
      <c r="B8888" t="s">
        <v>210</v>
      </c>
      <c r="C8888" s="34" t="s">
        <v>1438</v>
      </c>
      <c r="F8888" t="s">
        <v>1438</v>
      </c>
      <c r="G8888" t="s">
        <v>801</v>
      </c>
      <c r="H8888">
        <v>6</v>
      </c>
      <c r="I8888">
        <f>VLOOKUP(B8888,BRAND!B:D,3,FALSE)</f>
        <v>3</v>
      </c>
      <c r="J8888">
        <v>4</v>
      </c>
      <c r="K8888" t="s">
        <v>821</v>
      </c>
      <c r="M8888">
        <v>1</v>
      </c>
    </row>
    <row r="8889" spans="1:13">
      <c r="A8889" t="s">
        <v>1436</v>
      </c>
      <c r="B8889" t="s">
        <v>210</v>
      </c>
      <c r="C8889" s="34" t="s">
        <v>1438</v>
      </c>
      <c r="F8889" t="s">
        <v>1438</v>
      </c>
      <c r="H8889">
        <v>15</v>
      </c>
      <c r="I8889">
        <f>VLOOKUP(B8889,BRAND!B:D,3,FALSE)</f>
        <v>3</v>
      </c>
      <c r="J8889">
        <v>4</v>
      </c>
      <c r="K8889" t="s">
        <v>821</v>
      </c>
      <c r="M8889">
        <v>1</v>
      </c>
    </row>
    <row r="8890" spans="1:13">
      <c r="A8890" t="s">
        <v>9497</v>
      </c>
      <c r="B8890" t="s">
        <v>7573</v>
      </c>
      <c r="C8890" s="34" t="s">
        <v>1438</v>
      </c>
      <c r="F8890" t="s">
        <v>1438</v>
      </c>
      <c r="G8890" t="s">
        <v>6932</v>
      </c>
      <c r="H8890">
        <v>5</v>
      </c>
      <c r="I8890">
        <f>VLOOKUP(B8890,BRAND!B:D,3,FALSE)</f>
        <v>5.5</v>
      </c>
      <c r="J8890">
        <v>4</v>
      </c>
      <c r="M8890">
        <v>1</v>
      </c>
    </row>
    <row r="8891" spans="1:13">
      <c r="A8891" t="s">
        <v>8541</v>
      </c>
      <c r="B8891" t="s">
        <v>8542</v>
      </c>
      <c r="C8891" s="34" t="s">
        <v>1438</v>
      </c>
      <c r="F8891" t="s">
        <v>1438</v>
      </c>
      <c r="G8891" t="s">
        <v>6932</v>
      </c>
      <c r="H8891">
        <v>5</v>
      </c>
      <c r="I8891">
        <f>VLOOKUP(B8891,BRAND!B:D,3,FALSE)</f>
        <v>5.5</v>
      </c>
      <c r="J8891">
        <v>4</v>
      </c>
      <c r="L8891">
        <v>0</v>
      </c>
      <c r="M8891">
        <v>0</v>
      </c>
    </row>
    <row r="8892" spans="1:13">
      <c r="A8892" t="s">
        <v>4320</v>
      </c>
      <c r="B8892" t="s">
        <v>298</v>
      </c>
      <c r="C8892" s="34" t="s">
        <v>940</v>
      </c>
      <c r="F8892" t="s">
        <v>940</v>
      </c>
      <c r="H8892">
        <v>4</v>
      </c>
      <c r="I8892">
        <f>VLOOKUP(B8892,BRAND!B:D,3,FALSE)</f>
        <v>5</v>
      </c>
      <c r="J8892">
        <f>LEN(F8892)</f>
        <v>15</v>
      </c>
      <c r="K8892" t="s">
        <v>821</v>
      </c>
      <c r="L8892">
        <v>1</v>
      </c>
      <c r="M8892">
        <v>1</v>
      </c>
    </row>
    <row r="8893" spans="1:13">
      <c r="A8893" t="s">
        <v>4168</v>
      </c>
      <c r="B8893" t="s">
        <v>298</v>
      </c>
      <c r="C8893" s="34" t="s">
        <v>944</v>
      </c>
      <c r="F8893" t="s">
        <v>944</v>
      </c>
      <c r="H8893">
        <v>5</v>
      </c>
      <c r="I8893">
        <f>VLOOKUP(B8893,BRAND!B:D,3,FALSE)</f>
        <v>5</v>
      </c>
      <c r="J8893">
        <f>LEN(F8893)</f>
        <v>10</v>
      </c>
      <c r="K8893" t="s">
        <v>821</v>
      </c>
      <c r="L8893" s="29"/>
      <c r="M8893">
        <v>1</v>
      </c>
    </row>
    <row r="8894" spans="1:13">
      <c r="A8894" t="s">
        <v>4296</v>
      </c>
      <c r="B8894" t="s">
        <v>298</v>
      </c>
      <c r="C8894" s="34" t="s">
        <v>911</v>
      </c>
      <c r="F8894" t="s">
        <v>911</v>
      </c>
      <c r="H8894">
        <v>5</v>
      </c>
      <c r="I8894">
        <f>VLOOKUP(B8894,BRAND!B:D,3,FALSE)</f>
        <v>5</v>
      </c>
      <c r="J8894">
        <v>6</v>
      </c>
      <c r="K8894" t="s">
        <v>821</v>
      </c>
      <c r="M8894">
        <v>1</v>
      </c>
    </row>
    <row r="8895" spans="1:13">
      <c r="A8895" t="s">
        <v>4295</v>
      </c>
      <c r="B8895" t="s">
        <v>298</v>
      </c>
      <c r="C8895" s="34" t="s">
        <v>536</v>
      </c>
      <c r="F8895" t="s">
        <v>536</v>
      </c>
      <c r="H8895">
        <v>5</v>
      </c>
      <c r="I8895">
        <f>VLOOKUP(B8895,BRAND!B:D,3,FALSE)</f>
        <v>5</v>
      </c>
      <c r="J8895">
        <v>5</v>
      </c>
      <c r="K8895" t="s">
        <v>821</v>
      </c>
      <c r="M8895">
        <v>1</v>
      </c>
    </row>
    <row r="8896" spans="1:13">
      <c r="A8896" t="s">
        <v>4167</v>
      </c>
      <c r="B8896" t="s">
        <v>298</v>
      </c>
      <c r="C8896" s="34" t="s">
        <v>842</v>
      </c>
      <c r="F8896" t="s">
        <v>842</v>
      </c>
      <c r="H8896">
        <v>5</v>
      </c>
      <c r="I8896">
        <f>VLOOKUP(B8896,BRAND!B:D,3,FALSE)</f>
        <v>5</v>
      </c>
      <c r="J8896">
        <v>5</v>
      </c>
      <c r="K8896" t="s">
        <v>821</v>
      </c>
      <c r="M8896">
        <v>1</v>
      </c>
    </row>
    <row r="8897" spans="1:13">
      <c r="A8897" t="s">
        <v>4288</v>
      </c>
      <c r="B8897" t="s">
        <v>298</v>
      </c>
      <c r="C8897" s="34" t="s">
        <v>913</v>
      </c>
      <c r="F8897" t="s">
        <v>913</v>
      </c>
      <c r="H8897">
        <v>5</v>
      </c>
      <c r="I8897">
        <f>VLOOKUP(B8897,BRAND!B:D,3,FALSE)</f>
        <v>5</v>
      </c>
      <c r="J8897">
        <v>5</v>
      </c>
      <c r="K8897" t="s">
        <v>821</v>
      </c>
      <c r="M8897">
        <v>1</v>
      </c>
    </row>
    <row r="8898" spans="1:13">
      <c r="A8898" t="s">
        <v>4321</v>
      </c>
      <c r="B8898" t="s">
        <v>298</v>
      </c>
      <c r="C8898" s="34" t="s">
        <v>776</v>
      </c>
      <c r="F8898" t="s">
        <v>776</v>
      </c>
      <c r="H8898">
        <v>5</v>
      </c>
      <c r="I8898">
        <f>VLOOKUP(B8898,BRAND!B:D,3,FALSE)</f>
        <v>5</v>
      </c>
      <c r="J8898">
        <v>5</v>
      </c>
      <c r="K8898" t="s">
        <v>821</v>
      </c>
      <c r="M8898">
        <v>1</v>
      </c>
    </row>
    <row r="8899" spans="1:13">
      <c r="A8899" t="s">
        <v>7105</v>
      </c>
      <c r="B8899" t="s">
        <v>298</v>
      </c>
      <c r="C8899" s="34" t="s">
        <v>561</v>
      </c>
      <c r="F8899" t="s">
        <v>561</v>
      </c>
      <c r="G8899" t="s">
        <v>801</v>
      </c>
      <c r="H8899">
        <v>5</v>
      </c>
      <c r="I8899">
        <f>VLOOKUP(B8899,BRAND!B:D,3,FALSE)</f>
        <v>5</v>
      </c>
      <c r="J8899">
        <v>3</v>
      </c>
      <c r="M8899">
        <v>1</v>
      </c>
    </row>
    <row r="8900" spans="1:13">
      <c r="A8900" t="s">
        <v>5038</v>
      </c>
      <c r="B8900" t="s">
        <v>298</v>
      </c>
      <c r="C8900" s="34" t="s">
        <v>958</v>
      </c>
      <c r="F8900" t="s">
        <v>958</v>
      </c>
      <c r="G8900" t="s">
        <v>801</v>
      </c>
      <c r="H8900">
        <v>6</v>
      </c>
      <c r="I8900">
        <f>VLOOKUP(B8900,BRAND!B:D,3,FALSE)</f>
        <v>5</v>
      </c>
      <c r="J8900">
        <v>8</v>
      </c>
      <c r="K8900" t="s">
        <v>821</v>
      </c>
      <c r="M8900">
        <v>1</v>
      </c>
    </row>
    <row r="8901" spans="1:13">
      <c r="A8901" t="s">
        <v>4306</v>
      </c>
      <c r="B8901" t="s">
        <v>298</v>
      </c>
      <c r="C8901" s="34" t="s">
        <v>7023</v>
      </c>
      <c r="F8901" t="s">
        <v>943</v>
      </c>
      <c r="H8901">
        <v>7</v>
      </c>
      <c r="I8901">
        <f>VLOOKUP(B8901,BRAND!B:D,3,FALSE)</f>
        <v>5</v>
      </c>
      <c r="J8901">
        <f>LEN(F8901)</f>
        <v>12</v>
      </c>
      <c r="K8901" t="s">
        <v>821</v>
      </c>
      <c r="M8901">
        <v>1</v>
      </c>
    </row>
    <row r="8902" spans="1:13">
      <c r="A8902" t="s">
        <v>4248</v>
      </c>
      <c r="B8902" t="s">
        <v>298</v>
      </c>
      <c r="C8902" s="34" t="s">
        <v>1438</v>
      </c>
      <c r="F8902" t="s">
        <v>1438</v>
      </c>
      <c r="H8902">
        <v>15</v>
      </c>
      <c r="I8902">
        <f>VLOOKUP(B8902,BRAND!B:D,3,FALSE)</f>
        <v>5</v>
      </c>
      <c r="J8902">
        <v>4</v>
      </c>
      <c r="K8902" t="s">
        <v>821</v>
      </c>
      <c r="M8902">
        <v>1</v>
      </c>
    </row>
    <row r="8903" spans="1:13">
      <c r="A8903" t="s">
        <v>2482</v>
      </c>
      <c r="B8903" t="s">
        <v>595</v>
      </c>
      <c r="C8903" s="34" t="s">
        <v>772</v>
      </c>
      <c r="F8903" t="s">
        <v>772</v>
      </c>
      <c r="H8903">
        <v>5</v>
      </c>
      <c r="I8903">
        <f>VLOOKUP(B8903,BRAND!B:D,3,FALSE)</f>
        <v>3</v>
      </c>
      <c r="J8903">
        <v>6</v>
      </c>
      <c r="K8903" t="s">
        <v>821</v>
      </c>
      <c r="M8903">
        <v>1</v>
      </c>
    </row>
    <row r="8904" spans="1:13">
      <c r="A8904" t="s">
        <v>2383</v>
      </c>
      <c r="B8904" t="s">
        <v>595</v>
      </c>
      <c r="C8904" s="34" t="s">
        <v>534</v>
      </c>
      <c r="F8904" t="s">
        <v>534</v>
      </c>
      <c r="H8904">
        <v>5</v>
      </c>
      <c r="I8904">
        <f>VLOOKUP(B8904,BRAND!B:D,3,FALSE)</f>
        <v>3</v>
      </c>
      <c r="J8904">
        <v>6</v>
      </c>
      <c r="K8904" t="s">
        <v>821</v>
      </c>
      <c r="M8904">
        <v>1</v>
      </c>
    </row>
    <row r="8905" spans="1:13">
      <c r="A8905" t="s">
        <v>4412</v>
      </c>
      <c r="B8905" t="s">
        <v>595</v>
      </c>
      <c r="C8905" s="34" t="s">
        <v>781</v>
      </c>
      <c r="F8905" t="s">
        <v>781</v>
      </c>
      <c r="H8905">
        <v>5</v>
      </c>
      <c r="I8905">
        <f>VLOOKUP(B8905,BRAND!B:D,3,FALSE)</f>
        <v>3</v>
      </c>
      <c r="J8905">
        <v>4</v>
      </c>
      <c r="K8905" t="s">
        <v>821</v>
      </c>
      <c r="L8905">
        <v>0</v>
      </c>
      <c r="M8905">
        <v>0</v>
      </c>
    </row>
    <row r="8906" spans="1:13">
      <c r="A8906" t="s">
        <v>2250</v>
      </c>
      <c r="B8906" t="s">
        <v>595</v>
      </c>
      <c r="C8906" s="34" t="s">
        <v>1438</v>
      </c>
      <c r="F8906" t="s">
        <v>1438</v>
      </c>
      <c r="H8906">
        <v>15</v>
      </c>
      <c r="I8906">
        <f>VLOOKUP(B8906,BRAND!B:D,3,FALSE)</f>
        <v>3</v>
      </c>
      <c r="J8906">
        <v>4</v>
      </c>
      <c r="K8906" t="s">
        <v>821</v>
      </c>
      <c r="M8906">
        <v>1</v>
      </c>
    </row>
    <row r="8907" spans="1:13">
      <c r="A8907" t="s">
        <v>2094</v>
      </c>
      <c r="B8907" t="s">
        <v>211</v>
      </c>
      <c r="C8907" s="34" t="s">
        <v>1438</v>
      </c>
      <c r="F8907" t="s">
        <v>1438</v>
      </c>
      <c r="H8907">
        <v>15</v>
      </c>
      <c r="I8907">
        <f>VLOOKUP(B8907,BRAND!B:D,3,FALSE)</f>
        <v>3</v>
      </c>
      <c r="J8907">
        <v>4</v>
      </c>
      <c r="K8907" t="s">
        <v>821</v>
      </c>
      <c r="M8907">
        <v>1</v>
      </c>
    </row>
    <row r="8908" spans="1:13">
      <c r="A8908" t="s">
        <v>9498</v>
      </c>
      <c r="B8908" t="s">
        <v>452</v>
      </c>
      <c r="C8908" s="34" t="s">
        <v>9499</v>
      </c>
      <c r="F8908" t="s">
        <v>855</v>
      </c>
      <c r="G8908" t="s">
        <v>6932</v>
      </c>
      <c r="H8908">
        <v>5</v>
      </c>
      <c r="I8908">
        <f>VLOOKUP(B8908,BRAND!B:D,3,FALSE)</f>
        <v>3</v>
      </c>
      <c r="J8908">
        <f>LEN(F8908)</f>
        <v>11</v>
      </c>
      <c r="M8908">
        <v>1</v>
      </c>
    </row>
    <row r="8909" spans="1:13">
      <c r="A8909" t="s">
        <v>9500</v>
      </c>
      <c r="B8909" t="s">
        <v>452</v>
      </c>
      <c r="C8909" s="34" t="s">
        <v>842</v>
      </c>
      <c r="F8909" t="s">
        <v>842</v>
      </c>
      <c r="G8909" t="s">
        <v>6932</v>
      </c>
      <c r="H8909">
        <v>5</v>
      </c>
      <c r="I8909">
        <f>VLOOKUP(B8909,BRAND!B:D,3,FALSE)</f>
        <v>3</v>
      </c>
      <c r="J8909">
        <v>5</v>
      </c>
      <c r="M8909">
        <v>1</v>
      </c>
    </row>
    <row r="8910" spans="1:13">
      <c r="A8910" t="s">
        <v>8996</v>
      </c>
      <c r="B8910" t="s">
        <v>452</v>
      </c>
      <c r="C8910" s="34" t="s">
        <v>1438</v>
      </c>
      <c r="F8910" t="s">
        <v>1438</v>
      </c>
      <c r="G8910" t="s">
        <v>6932</v>
      </c>
      <c r="H8910">
        <v>5</v>
      </c>
      <c r="I8910">
        <f>VLOOKUP(B8910,BRAND!B:D,3,FALSE)</f>
        <v>3</v>
      </c>
      <c r="J8910">
        <v>4</v>
      </c>
      <c r="L8910">
        <v>0</v>
      </c>
      <c r="M8910">
        <v>0</v>
      </c>
    </row>
    <row r="8911" spans="1:13">
      <c r="A8911" t="s">
        <v>9955</v>
      </c>
      <c r="B8911" t="s">
        <v>452</v>
      </c>
      <c r="C8911" s="34" t="s">
        <v>536</v>
      </c>
      <c r="G8911" t="s">
        <v>6932</v>
      </c>
      <c r="H8911">
        <v>5</v>
      </c>
      <c r="I8911">
        <f>VLOOKUP(B8911,BRAND!B:D,3,FALSE)</f>
        <v>3</v>
      </c>
      <c r="J8911">
        <f>LEN(F8911)</f>
        <v>0</v>
      </c>
      <c r="L8911">
        <v>0</v>
      </c>
      <c r="M8911">
        <v>0</v>
      </c>
    </row>
    <row r="8912" spans="1:13">
      <c r="A8912" t="s">
        <v>9955</v>
      </c>
      <c r="B8912" t="s">
        <v>452</v>
      </c>
      <c r="C8912" s="34" t="s">
        <v>536</v>
      </c>
      <c r="G8912" t="s">
        <v>6932</v>
      </c>
      <c r="H8912">
        <v>5</v>
      </c>
      <c r="I8912">
        <f>VLOOKUP(B8912,BRAND!B:D,3,FALSE)</f>
        <v>3</v>
      </c>
      <c r="J8912">
        <v>0</v>
      </c>
      <c r="M8912">
        <v>1</v>
      </c>
    </row>
    <row r="8913" spans="1:13">
      <c r="A8913" t="s">
        <v>2545</v>
      </c>
      <c r="B8913" t="s">
        <v>452</v>
      </c>
      <c r="C8913" s="34" t="s">
        <v>1438</v>
      </c>
      <c r="F8913" t="s">
        <v>1438</v>
      </c>
      <c r="H8913">
        <v>15</v>
      </c>
      <c r="I8913">
        <f>VLOOKUP(B8913,BRAND!B:D,3,FALSE)</f>
        <v>3</v>
      </c>
      <c r="J8913">
        <v>4</v>
      </c>
      <c r="K8913" t="s">
        <v>821</v>
      </c>
      <c r="M8913">
        <v>1</v>
      </c>
    </row>
    <row r="8914" spans="1:13">
      <c r="A8914" t="s">
        <v>2207</v>
      </c>
      <c r="B8914" t="s">
        <v>596</v>
      </c>
      <c r="C8914" s="34" t="s">
        <v>1438</v>
      </c>
      <c r="F8914" t="s">
        <v>1438</v>
      </c>
      <c r="H8914">
        <v>15</v>
      </c>
      <c r="I8914">
        <f>VLOOKUP(B8914,BRAND!B:D,3,FALSE)</f>
        <v>3</v>
      </c>
      <c r="J8914">
        <v>4</v>
      </c>
      <c r="K8914" t="s">
        <v>821</v>
      </c>
      <c r="M8914">
        <v>1</v>
      </c>
    </row>
    <row r="8915" spans="1:13">
      <c r="A8915" t="s">
        <v>3637</v>
      </c>
      <c r="B8915" t="s">
        <v>315</v>
      </c>
      <c r="C8915" s="34" t="s">
        <v>5391</v>
      </c>
      <c r="F8915" t="s">
        <v>774</v>
      </c>
      <c r="H8915">
        <v>5</v>
      </c>
      <c r="I8915">
        <f>VLOOKUP(B8915,BRAND!B:D,3,FALSE)</f>
        <v>5</v>
      </c>
      <c r="J8915">
        <v>9</v>
      </c>
      <c r="K8915" t="s">
        <v>821</v>
      </c>
      <c r="M8915">
        <v>1</v>
      </c>
    </row>
    <row r="8916" spans="1:13">
      <c r="A8916" t="s">
        <v>4037</v>
      </c>
      <c r="B8916" t="s">
        <v>315</v>
      </c>
      <c r="C8916" s="34" t="s">
        <v>536</v>
      </c>
      <c r="F8916" t="s">
        <v>536</v>
      </c>
      <c r="H8916">
        <v>5</v>
      </c>
      <c r="I8916">
        <f>VLOOKUP(B8916,BRAND!B:D,3,FALSE)</f>
        <v>5</v>
      </c>
      <c r="J8916">
        <v>5</v>
      </c>
      <c r="K8916" t="s">
        <v>821</v>
      </c>
      <c r="L8916">
        <v>0</v>
      </c>
      <c r="M8916">
        <v>0</v>
      </c>
    </row>
    <row r="8917" spans="1:13">
      <c r="A8917" t="s">
        <v>2417</v>
      </c>
      <c r="B8917" t="s">
        <v>315</v>
      </c>
      <c r="C8917" s="34" t="s">
        <v>1438</v>
      </c>
      <c r="F8917" t="s">
        <v>1438</v>
      </c>
      <c r="H8917">
        <v>15</v>
      </c>
      <c r="I8917">
        <f>VLOOKUP(B8917,BRAND!B:D,3,FALSE)</f>
        <v>5</v>
      </c>
      <c r="J8917">
        <v>4</v>
      </c>
      <c r="K8917" t="s">
        <v>821</v>
      </c>
      <c r="L8917">
        <v>0</v>
      </c>
      <c r="M8917">
        <v>0</v>
      </c>
    </row>
    <row r="8918" spans="1:13">
      <c r="A8918" t="s">
        <v>3730</v>
      </c>
      <c r="B8918" t="s">
        <v>597</v>
      </c>
      <c r="C8918" s="34" t="s">
        <v>772</v>
      </c>
      <c r="F8918" t="s">
        <v>772</v>
      </c>
      <c r="H8918">
        <v>5</v>
      </c>
      <c r="I8918">
        <f>VLOOKUP(B8918,BRAND!B:D,3,FALSE)</f>
        <v>3</v>
      </c>
      <c r="J8918">
        <v>6</v>
      </c>
      <c r="K8918" t="s">
        <v>821</v>
      </c>
      <c r="L8918">
        <v>0</v>
      </c>
      <c r="M8918">
        <v>0</v>
      </c>
    </row>
    <row r="8919" spans="1:13">
      <c r="A8919" t="s">
        <v>3495</v>
      </c>
      <c r="B8919" t="s">
        <v>597</v>
      </c>
      <c r="C8919" s="34" t="s">
        <v>534</v>
      </c>
      <c r="F8919" t="s">
        <v>534</v>
      </c>
      <c r="H8919">
        <v>5</v>
      </c>
      <c r="I8919">
        <f>VLOOKUP(B8919,BRAND!B:D,3,FALSE)</f>
        <v>3</v>
      </c>
      <c r="J8919">
        <v>6</v>
      </c>
      <c r="K8919" t="s">
        <v>821</v>
      </c>
      <c r="M8919">
        <v>1</v>
      </c>
    </row>
    <row r="8920" spans="1:13">
      <c r="A8920" t="s">
        <v>2440</v>
      </c>
      <c r="B8920" t="s">
        <v>597</v>
      </c>
      <c r="C8920" s="34" t="s">
        <v>1438</v>
      </c>
      <c r="F8920" t="s">
        <v>1438</v>
      </c>
      <c r="H8920">
        <v>15</v>
      </c>
      <c r="I8920">
        <f>VLOOKUP(B8920,BRAND!B:D,3,FALSE)</f>
        <v>3</v>
      </c>
      <c r="J8920">
        <v>4</v>
      </c>
      <c r="K8920" t="s">
        <v>821</v>
      </c>
      <c r="L8920">
        <v>0</v>
      </c>
      <c r="M8920">
        <v>0</v>
      </c>
    </row>
    <row r="8921" spans="1:13">
      <c r="A8921" t="s">
        <v>3252</v>
      </c>
      <c r="B8921" t="s">
        <v>1129</v>
      </c>
      <c r="C8921" s="34" t="s">
        <v>561</v>
      </c>
      <c r="F8921" t="s">
        <v>561</v>
      </c>
      <c r="H8921">
        <v>5</v>
      </c>
      <c r="I8921">
        <f>VLOOKUP(B8921,BRAND!B:D,3,FALSE)</f>
        <v>3</v>
      </c>
      <c r="J8921">
        <v>3</v>
      </c>
      <c r="K8921" t="s">
        <v>821</v>
      </c>
      <c r="L8921">
        <v>0</v>
      </c>
      <c r="M8921">
        <v>0</v>
      </c>
    </row>
    <row r="8922" spans="1:13">
      <c r="A8922" t="s">
        <v>4948</v>
      </c>
      <c r="B8922" t="s">
        <v>1129</v>
      </c>
      <c r="C8922" s="34" t="s">
        <v>1438</v>
      </c>
      <c r="F8922" t="s">
        <v>1438</v>
      </c>
      <c r="G8922" t="s">
        <v>801</v>
      </c>
      <c r="H8922">
        <v>6</v>
      </c>
      <c r="I8922">
        <f>VLOOKUP(B8922,BRAND!B:D,3,FALSE)</f>
        <v>3</v>
      </c>
      <c r="J8922">
        <v>4</v>
      </c>
      <c r="K8922" t="s">
        <v>821</v>
      </c>
      <c r="L8922">
        <v>0</v>
      </c>
      <c r="M8922">
        <v>0</v>
      </c>
    </row>
    <row r="8923" spans="1:13">
      <c r="A8923" t="s">
        <v>2467</v>
      </c>
      <c r="B8923" t="s">
        <v>1129</v>
      </c>
      <c r="C8923" s="34" t="s">
        <v>1438</v>
      </c>
      <c r="F8923" t="s">
        <v>1438</v>
      </c>
      <c r="H8923">
        <v>15</v>
      </c>
      <c r="I8923">
        <f>VLOOKUP(B8923,BRAND!B:D,3,FALSE)</f>
        <v>3</v>
      </c>
      <c r="J8923">
        <v>4</v>
      </c>
      <c r="K8923" t="s">
        <v>821</v>
      </c>
      <c r="L8923">
        <v>0</v>
      </c>
      <c r="M8923">
        <v>0</v>
      </c>
    </row>
    <row r="8924" spans="1:13">
      <c r="A8924" t="s">
        <v>10124</v>
      </c>
      <c r="B8924" t="s">
        <v>6994</v>
      </c>
      <c r="C8924" s="34" t="s">
        <v>1438</v>
      </c>
      <c r="F8924" t="s">
        <v>1438</v>
      </c>
      <c r="H8924">
        <v>15</v>
      </c>
      <c r="I8924">
        <f>VLOOKUP(B8924,BRAND!B:D,3,FALSE)</f>
        <v>11</v>
      </c>
      <c r="J8924">
        <v>4</v>
      </c>
      <c r="L8924">
        <v>0</v>
      </c>
      <c r="M8924">
        <v>0</v>
      </c>
    </row>
    <row r="8925" spans="1:13">
      <c r="A8925" t="s">
        <v>2205</v>
      </c>
      <c r="B8925" t="s">
        <v>967</v>
      </c>
      <c r="C8925" s="34" t="s">
        <v>1438</v>
      </c>
      <c r="F8925" t="s">
        <v>1438</v>
      </c>
      <c r="H8925">
        <v>15</v>
      </c>
      <c r="I8925">
        <f>VLOOKUP(B8925,BRAND!B:D,3,FALSE)</f>
        <v>3</v>
      </c>
      <c r="J8925">
        <v>4</v>
      </c>
      <c r="K8925" t="s">
        <v>821</v>
      </c>
      <c r="M8925">
        <v>1</v>
      </c>
    </row>
    <row r="8926" spans="1:13">
      <c r="A8926" t="s">
        <v>3921</v>
      </c>
      <c r="B8926" t="s">
        <v>349</v>
      </c>
      <c r="C8926" s="34" t="s">
        <v>535</v>
      </c>
      <c r="F8926" t="s">
        <v>535</v>
      </c>
      <c r="H8926">
        <v>5</v>
      </c>
      <c r="I8926">
        <f>VLOOKUP(B8926,BRAND!B:D,3,FALSE)</f>
        <v>3</v>
      </c>
      <c r="J8926">
        <v>6</v>
      </c>
      <c r="K8926" t="s">
        <v>821</v>
      </c>
      <c r="L8926">
        <v>0</v>
      </c>
      <c r="M8926">
        <v>0</v>
      </c>
    </row>
    <row r="8927" spans="1:13">
      <c r="A8927" t="s">
        <v>15058</v>
      </c>
      <c r="B8927" t="s">
        <v>14893</v>
      </c>
      <c r="C8927" s="34" t="s">
        <v>536</v>
      </c>
      <c r="F8927" t="s">
        <v>536</v>
      </c>
      <c r="G8927" t="s">
        <v>6932</v>
      </c>
      <c r="H8927">
        <v>5</v>
      </c>
      <c r="I8927">
        <f>VLOOKUP(B8927,BRAND!B:D,3,FALSE)</f>
        <v>5</v>
      </c>
      <c r="J8927">
        <v>0</v>
      </c>
      <c r="K8927" t="s">
        <v>821</v>
      </c>
      <c r="L8927">
        <v>0</v>
      </c>
      <c r="M8927">
        <v>0</v>
      </c>
    </row>
    <row r="8928" spans="1:13">
      <c r="A8928" t="s">
        <v>15059</v>
      </c>
      <c r="B8928" t="s">
        <v>14893</v>
      </c>
      <c r="C8928" s="34" t="s">
        <v>10023</v>
      </c>
      <c r="F8928" t="s">
        <v>10023</v>
      </c>
      <c r="G8928" t="s">
        <v>6932</v>
      </c>
      <c r="H8928">
        <v>5</v>
      </c>
      <c r="I8928">
        <f>VLOOKUP(B8928,BRAND!B:D,3,FALSE)</f>
        <v>5</v>
      </c>
      <c r="J8928">
        <v>0</v>
      </c>
      <c r="K8928" t="s">
        <v>821</v>
      </c>
      <c r="L8928">
        <v>0</v>
      </c>
      <c r="M8928">
        <v>0</v>
      </c>
    </row>
    <row r="8929" spans="1:13">
      <c r="A8929" t="s">
        <v>15060</v>
      </c>
      <c r="B8929" t="s">
        <v>14893</v>
      </c>
      <c r="C8929" s="34" t="s">
        <v>534</v>
      </c>
      <c r="F8929" t="s">
        <v>534</v>
      </c>
      <c r="G8929" t="s">
        <v>6932</v>
      </c>
      <c r="H8929">
        <v>5</v>
      </c>
      <c r="I8929">
        <f>VLOOKUP(B8929,BRAND!B:D,3,FALSE)</f>
        <v>5</v>
      </c>
      <c r="J8929">
        <v>0</v>
      </c>
      <c r="K8929" t="s">
        <v>821</v>
      </c>
      <c r="L8929">
        <v>0</v>
      </c>
      <c r="M8929">
        <v>0</v>
      </c>
    </row>
    <row r="8930" spans="1:13">
      <c r="A8930" t="s">
        <v>15061</v>
      </c>
      <c r="B8930" t="s">
        <v>14893</v>
      </c>
      <c r="C8930" s="34" t="s">
        <v>561</v>
      </c>
      <c r="F8930" t="s">
        <v>561</v>
      </c>
      <c r="G8930" t="s">
        <v>6932</v>
      </c>
      <c r="H8930">
        <v>5</v>
      </c>
      <c r="I8930">
        <f>VLOOKUP(B8930,BRAND!B:D,3,FALSE)</f>
        <v>5</v>
      </c>
      <c r="J8930">
        <v>0</v>
      </c>
      <c r="K8930" t="s">
        <v>821</v>
      </c>
      <c r="L8930">
        <v>0</v>
      </c>
      <c r="M8930">
        <v>0</v>
      </c>
    </row>
    <row r="8931" spans="1:13">
      <c r="A8931" t="s">
        <v>15062</v>
      </c>
      <c r="B8931" t="s">
        <v>14893</v>
      </c>
      <c r="C8931" s="34" t="s">
        <v>933</v>
      </c>
      <c r="F8931" t="s">
        <v>933</v>
      </c>
      <c r="G8931" t="s">
        <v>6932</v>
      </c>
      <c r="H8931">
        <v>5</v>
      </c>
      <c r="I8931">
        <f>VLOOKUP(B8931,BRAND!B:D,3,FALSE)</f>
        <v>5</v>
      </c>
      <c r="J8931">
        <v>0</v>
      </c>
      <c r="K8931" t="s">
        <v>821</v>
      </c>
      <c r="L8931">
        <v>0</v>
      </c>
      <c r="M8931">
        <v>0</v>
      </c>
    </row>
    <row r="8932" spans="1:13">
      <c r="A8932" t="s">
        <v>15063</v>
      </c>
      <c r="B8932" t="s">
        <v>14893</v>
      </c>
      <c r="C8932" s="34" t="s">
        <v>788</v>
      </c>
      <c r="F8932" t="s">
        <v>788</v>
      </c>
      <c r="G8932" t="s">
        <v>6932</v>
      </c>
      <c r="H8932">
        <v>5</v>
      </c>
      <c r="I8932">
        <f>VLOOKUP(B8932,BRAND!B:D,3,FALSE)</f>
        <v>5</v>
      </c>
      <c r="J8932">
        <v>0</v>
      </c>
      <c r="K8932" t="s">
        <v>821</v>
      </c>
      <c r="L8932">
        <v>0</v>
      </c>
      <c r="M8932">
        <v>0</v>
      </c>
    </row>
    <row r="8933" spans="1:13">
      <c r="A8933" t="s">
        <v>15064</v>
      </c>
      <c r="B8933" t="s">
        <v>14893</v>
      </c>
      <c r="C8933" s="34" t="s">
        <v>6948</v>
      </c>
      <c r="F8933" t="s">
        <v>6948</v>
      </c>
      <c r="G8933" t="s">
        <v>6932</v>
      </c>
      <c r="H8933">
        <v>5</v>
      </c>
      <c r="I8933">
        <f>VLOOKUP(B8933,BRAND!B:D,3,FALSE)</f>
        <v>5</v>
      </c>
      <c r="J8933">
        <v>0</v>
      </c>
      <c r="K8933" t="s">
        <v>821</v>
      </c>
      <c r="L8933">
        <v>0</v>
      </c>
      <c r="M8933">
        <v>0</v>
      </c>
    </row>
    <row r="8934" spans="1:13">
      <c r="A8934" t="s">
        <v>15065</v>
      </c>
      <c r="B8934" t="s">
        <v>14893</v>
      </c>
      <c r="C8934" s="34" t="s">
        <v>7855</v>
      </c>
      <c r="F8934" t="s">
        <v>7855</v>
      </c>
      <c r="G8934" t="s">
        <v>6932</v>
      </c>
      <c r="H8934">
        <v>5</v>
      </c>
      <c r="I8934">
        <f>VLOOKUP(B8934,BRAND!B:D,3,FALSE)</f>
        <v>5</v>
      </c>
      <c r="J8934">
        <v>0</v>
      </c>
      <c r="K8934" t="s">
        <v>821</v>
      </c>
      <c r="L8934">
        <v>0</v>
      </c>
      <c r="M8934">
        <v>0</v>
      </c>
    </row>
    <row r="8935" spans="1:13">
      <c r="A8935" t="s">
        <v>15066</v>
      </c>
      <c r="B8935" t="s">
        <v>14893</v>
      </c>
      <c r="C8935" s="34" t="s">
        <v>770</v>
      </c>
      <c r="F8935" t="s">
        <v>770</v>
      </c>
      <c r="G8935" t="s">
        <v>6932</v>
      </c>
      <c r="H8935">
        <v>5</v>
      </c>
      <c r="I8935">
        <f>VLOOKUP(B8935,BRAND!B:D,3,FALSE)</f>
        <v>5</v>
      </c>
      <c r="J8935">
        <v>0</v>
      </c>
      <c r="K8935" t="s">
        <v>821</v>
      </c>
      <c r="L8935">
        <v>0</v>
      </c>
      <c r="M8935">
        <v>0</v>
      </c>
    </row>
    <row r="8936" spans="1:13">
      <c r="A8936" t="s">
        <v>15067</v>
      </c>
      <c r="B8936" t="s">
        <v>14893</v>
      </c>
      <c r="C8936" s="34" t="s">
        <v>776</v>
      </c>
      <c r="F8936" t="s">
        <v>776</v>
      </c>
      <c r="G8936" t="s">
        <v>6932</v>
      </c>
      <c r="H8936">
        <v>5</v>
      </c>
      <c r="I8936">
        <f>VLOOKUP(B8936,BRAND!B:D,3,FALSE)</f>
        <v>5</v>
      </c>
      <c r="J8936">
        <v>0</v>
      </c>
      <c r="K8936" t="s">
        <v>821</v>
      </c>
      <c r="L8936">
        <v>0</v>
      </c>
      <c r="M8936">
        <v>0</v>
      </c>
    </row>
    <row r="8937" spans="1:13" s="6" customFormat="1">
      <c r="A8937" t="s">
        <v>9501</v>
      </c>
      <c r="B8937" t="s">
        <v>9502</v>
      </c>
      <c r="C8937" s="34" t="s">
        <v>1438</v>
      </c>
      <c r="D8937"/>
      <c r="E8937"/>
      <c r="F8937" t="s">
        <v>1438</v>
      </c>
      <c r="G8937" t="s">
        <v>6932</v>
      </c>
      <c r="H8937">
        <v>5</v>
      </c>
      <c r="I8937">
        <f>VLOOKUP(B8937,BRAND!B:D,3,FALSE)</f>
        <v>5.5</v>
      </c>
      <c r="J8937">
        <v>4</v>
      </c>
      <c r="K8937"/>
      <c r="L8937"/>
      <c r="M8937">
        <v>1</v>
      </c>
    </row>
    <row r="8938" spans="1:13">
      <c r="A8938" t="s">
        <v>4143</v>
      </c>
      <c r="B8938" t="s">
        <v>212</v>
      </c>
      <c r="C8938" s="34" t="s">
        <v>776</v>
      </c>
      <c r="F8938" t="s">
        <v>776</v>
      </c>
      <c r="H8938">
        <v>5</v>
      </c>
      <c r="I8938">
        <f>VLOOKUP(B8938,BRAND!B:D,3,FALSE)</f>
        <v>3</v>
      </c>
      <c r="J8938">
        <v>5</v>
      </c>
      <c r="K8938" t="s">
        <v>821</v>
      </c>
      <c r="M8938">
        <v>1</v>
      </c>
    </row>
    <row r="8939" spans="1:13">
      <c r="A8939" t="s">
        <v>2636</v>
      </c>
      <c r="B8939" t="s">
        <v>212</v>
      </c>
      <c r="C8939" s="34" t="s">
        <v>1438</v>
      </c>
      <c r="F8939" t="s">
        <v>1438</v>
      </c>
      <c r="H8939">
        <v>15</v>
      </c>
      <c r="I8939">
        <f>VLOOKUP(B8939,BRAND!B:D,3,FALSE)</f>
        <v>3</v>
      </c>
      <c r="J8939">
        <v>4</v>
      </c>
      <c r="K8939" t="s">
        <v>821</v>
      </c>
      <c r="L8939">
        <v>0</v>
      </c>
      <c r="M8939">
        <v>0</v>
      </c>
    </row>
    <row r="8940" spans="1:13">
      <c r="A8940" t="s">
        <v>3106</v>
      </c>
      <c r="B8940" t="s">
        <v>350</v>
      </c>
      <c r="C8940" s="34" t="s">
        <v>534</v>
      </c>
      <c r="F8940" t="s">
        <v>534</v>
      </c>
      <c r="H8940">
        <v>5</v>
      </c>
      <c r="I8940">
        <f>VLOOKUP(B8940,BRAND!B:D,3,FALSE)</f>
        <v>3</v>
      </c>
      <c r="J8940">
        <v>6</v>
      </c>
      <c r="K8940" t="s">
        <v>821</v>
      </c>
      <c r="L8940">
        <v>0</v>
      </c>
      <c r="M8940">
        <v>0</v>
      </c>
    </row>
    <row r="8941" spans="1:13">
      <c r="A8941" t="s">
        <v>3783</v>
      </c>
      <c r="B8941" t="s">
        <v>350</v>
      </c>
      <c r="C8941" s="34" t="s">
        <v>536</v>
      </c>
      <c r="F8941" t="s">
        <v>536</v>
      </c>
      <c r="H8941">
        <v>5</v>
      </c>
      <c r="I8941">
        <f>VLOOKUP(B8941,BRAND!B:D,3,FALSE)</f>
        <v>3</v>
      </c>
      <c r="J8941">
        <v>5</v>
      </c>
      <c r="K8941" t="s">
        <v>821</v>
      </c>
      <c r="M8941">
        <v>1</v>
      </c>
    </row>
    <row r="8942" spans="1:13">
      <c r="A8942" t="s">
        <v>4387</v>
      </c>
      <c r="B8942" t="s">
        <v>350</v>
      </c>
      <c r="C8942" s="34" t="s">
        <v>751</v>
      </c>
      <c r="F8942" t="s">
        <v>751</v>
      </c>
      <c r="H8942">
        <v>5</v>
      </c>
      <c r="I8942">
        <f>VLOOKUP(B8942,BRAND!B:D,3,FALSE)</f>
        <v>3</v>
      </c>
      <c r="J8942">
        <v>5</v>
      </c>
      <c r="K8942" t="s">
        <v>821</v>
      </c>
      <c r="M8942">
        <v>1</v>
      </c>
    </row>
    <row r="8943" spans="1:13">
      <c r="A8943" t="s">
        <v>2741</v>
      </c>
      <c r="B8943" t="s">
        <v>350</v>
      </c>
      <c r="C8943" s="34" t="s">
        <v>1438</v>
      </c>
      <c r="F8943" t="s">
        <v>1438</v>
      </c>
      <c r="H8943">
        <v>15</v>
      </c>
      <c r="I8943">
        <f>VLOOKUP(B8943,BRAND!B:D,3,FALSE)</f>
        <v>3</v>
      </c>
      <c r="J8943">
        <v>4</v>
      </c>
      <c r="K8943" t="s">
        <v>821</v>
      </c>
      <c r="L8943">
        <v>0</v>
      </c>
      <c r="M8943">
        <v>0</v>
      </c>
    </row>
    <row r="8944" spans="1:13">
      <c r="A8944" t="s">
        <v>9503</v>
      </c>
      <c r="B8944" t="s">
        <v>9504</v>
      </c>
      <c r="C8944" s="34" t="s">
        <v>1438</v>
      </c>
      <c r="F8944" t="s">
        <v>1438</v>
      </c>
      <c r="G8944" t="s">
        <v>6932</v>
      </c>
      <c r="H8944">
        <v>5</v>
      </c>
      <c r="I8944">
        <f>VLOOKUP(B8944,BRAND!B:D,3,FALSE)</f>
        <v>5.5</v>
      </c>
      <c r="J8944">
        <v>4</v>
      </c>
      <c r="M8944">
        <v>1</v>
      </c>
    </row>
    <row r="8945" spans="1:13">
      <c r="A8945" t="s">
        <v>3123</v>
      </c>
      <c r="B8945" t="s">
        <v>213</v>
      </c>
      <c r="C8945" s="34" t="s">
        <v>561</v>
      </c>
      <c r="F8945" t="s">
        <v>561</v>
      </c>
      <c r="H8945">
        <v>5</v>
      </c>
      <c r="I8945">
        <f>VLOOKUP(B8945,BRAND!B:D,3,FALSE)</f>
        <v>3</v>
      </c>
      <c r="J8945">
        <v>3</v>
      </c>
      <c r="K8945" t="s">
        <v>821</v>
      </c>
      <c r="L8945">
        <v>0</v>
      </c>
      <c r="M8945">
        <v>0</v>
      </c>
    </row>
    <row r="8946" spans="1:13">
      <c r="A8946" t="s">
        <v>2916</v>
      </c>
      <c r="B8946" t="s">
        <v>213</v>
      </c>
      <c r="C8946" s="34" t="s">
        <v>1438</v>
      </c>
      <c r="F8946" t="s">
        <v>1438</v>
      </c>
      <c r="H8946">
        <v>15</v>
      </c>
      <c r="I8946">
        <f>VLOOKUP(B8946,BRAND!B:D,3,FALSE)</f>
        <v>3</v>
      </c>
      <c r="J8946">
        <v>4</v>
      </c>
      <c r="K8946" t="s">
        <v>821</v>
      </c>
      <c r="L8946" s="29"/>
      <c r="M8946">
        <v>1</v>
      </c>
    </row>
    <row r="8947" spans="1:13">
      <c r="A8947" t="s">
        <v>3218</v>
      </c>
      <c r="B8947" t="s">
        <v>214</v>
      </c>
      <c r="C8947" s="34" t="s">
        <v>933</v>
      </c>
      <c r="F8947" t="s">
        <v>933</v>
      </c>
      <c r="H8947">
        <v>5</v>
      </c>
      <c r="I8947">
        <f>VLOOKUP(B8947,BRAND!B:D,3,FALSE)</f>
        <v>3</v>
      </c>
      <c r="J8947">
        <v>8</v>
      </c>
      <c r="K8947" t="s">
        <v>821</v>
      </c>
      <c r="L8947">
        <v>0</v>
      </c>
      <c r="M8947">
        <v>0</v>
      </c>
    </row>
    <row r="8948" spans="1:13">
      <c r="A8948" t="s">
        <v>3293</v>
      </c>
      <c r="B8948" t="s">
        <v>214</v>
      </c>
      <c r="C8948" s="34" t="s">
        <v>536</v>
      </c>
      <c r="F8948" t="s">
        <v>536</v>
      </c>
      <c r="H8948">
        <v>5</v>
      </c>
      <c r="I8948">
        <f>VLOOKUP(B8948,BRAND!B:D,3,FALSE)</f>
        <v>3</v>
      </c>
      <c r="J8948">
        <v>5</v>
      </c>
      <c r="K8948" t="s">
        <v>821</v>
      </c>
      <c r="L8948">
        <v>0</v>
      </c>
      <c r="M8948">
        <v>0</v>
      </c>
    </row>
    <row r="8949" spans="1:13">
      <c r="A8949" t="s">
        <v>3897</v>
      </c>
      <c r="B8949" t="s">
        <v>214</v>
      </c>
      <c r="C8949" s="34" t="s">
        <v>561</v>
      </c>
      <c r="F8949" t="s">
        <v>561</v>
      </c>
      <c r="H8949">
        <v>5</v>
      </c>
      <c r="I8949">
        <f>VLOOKUP(B8949,BRAND!B:D,3,FALSE)</f>
        <v>3</v>
      </c>
      <c r="J8949">
        <v>3</v>
      </c>
      <c r="K8949" t="s">
        <v>821</v>
      </c>
      <c r="L8949">
        <v>0</v>
      </c>
      <c r="M8949">
        <v>0</v>
      </c>
    </row>
    <row r="8950" spans="1:13">
      <c r="A8950" t="s">
        <v>2931</v>
      </c>
      <c r="B8950" t="s">
        <v>214</v>
      </c>
      <c r="C8950" s="34" t="s">
        <v>1438</v>
      </c>
      <c r="F8950" t="s">
        <v>1438</v>
      </c>
      <c r="H8950">
        <v>15</v>
      </c>
      <c r="I8950">
        <f>VLOOKUP(B8950,BRAND!B:D,3,FALSE)</f>
        <v>3</v>
      </c>
      <c r="J8950">
        <v>4</v>
      </c>
      <c r="K8950" t="s">
        <v>821</v>
      </c>
      <c r="M8950">
        <v>1</v>
      </c>
    </row>
    <row r="8951" spans="1:13">
      <c r="A8951" t="s">
        <v>4621</v>
      </c>
      <c r="B8951" t="s">
        <v>1380</v>
      </c>
      <c r="C8951" s="34" t="s">
        <v>1438</v>
      </c>
      <c r="F8951" t="s">
        <v>1438</v>
      </c>
      <c r="H8951">
        <v>15</v>
      </c>
      <c r="I8951">
        <f>VLOOKUP(B8951,BRAND!B:D,3,FALSE)</f>
        <v>3</v>
      </c>
      <c r="J8951">
        <v>4</v>
      </c>
      <c r="K8951" t="s">
        <v>821</v>
      </c>
      <c r="L8951">
        <v>0</v>
      </c>
      <c r="M8951">
        <v>0</v>
      </c>
    </row>
    <row r="8952" spans="1:13">
      <c r="A8952" t="s">
        <v>9000</v>
      </c>
      <c r="B8952" t="s">
        <v>9001</v>
      </c>
      <c r="C8952" s="34" t="s">
        <v>1438</v>
      </c>
      <c r="F8952" t="s">
        <v>1438</v>
      </c>
      <c r="G8952" t="s">
        <v>6932</v>
      </c>
      <c r="H8952">
        <v>5</v>
      </c>
      <c r="I8952">
        <f>VLOOKUP(B8952,BRAND!B:D,3,FALSE)</f>
        <v>5.5</v>
      </c>
      <c r="J8952">
        <v>4</v>
      </c>
      <c r="M8952">
        <v>1</v>
      </c>
    </row>
    <row r="8953" spans="1:13">
      <c r="A8953" t="s">
        <v>14617</v>
      </c>
      <c r="B8953" t="s">
        <v>14616</v>
      </c>
      <c r="C8953" s="34" t="s">
        <v>930</v>
      </c>
      <c r="F8953" t="s">
        <v>930</v>
      </c>
      <c r="G8953" t="s">
        <v>6932</v>
      </c>
      <c r="H8953">
        <v>5</v>
      </c>
      <c r="I8953">
        <f>VLOOKUP(B8953,BRAND!B:D,3,FALSE)</f>
        <v>0</v>
      </c>
      <c r="J8953">
        <f>LEN(F8953)</f>
        <v>6</v>
      </c>
      <c r="K8953" t="s">
        <v>821</v>
      </c>
      <c r="L8953">
        <v>0</v>
      </c>
      <c r="M8953">
        <v>1</v>
      </c>
    </row>
    <row r="8954" spans="1:13">
      <c r="A8954" t="s">
        <v>14615</v>
      </c>
      <c r="B8954" t="s">
        <v>14616</v>
      </c>
      <c r="C8954" s="34" t="s">
        <v>900</v>
      </c>
      <c r="F8954" t="s">
        <v>900</v>
      </c>
      <c r="G8954" t="s">
        <v>6932</v>
      </c>
      <c r="H8954">
        <v>5</v>
      </c>
      <c r="I8954">
        <f>VLOOKUP(B8954,BRAND!B:D,3,FALSE)</f>
        <v>0</v>
      </c>
      <c r="J8954">
        <f>LEN(F8954)</f>
        <v>5</v>
      </c>
      <c r="K8954" t="s">
        <v>821</v>
      </c>
      <c r="L8954">
        <v>0</v>
      </c>
      <c r="M8954">
        <v>1</v>
      </c>
    </row>
    <row r="8955" spans="1:13">
      <c r="A8955" t="s">
        <v>14613</v>
      </c>
      <c r="B8955" t="s">
        <v>14614</v>
      </c>
      <c r="C8955" s="34" t="s">
        <v>536</v>
      </c>
      <c r="F8955" t="s">
        <v>536</v>
      </c>
      <c r="G8955" t="s">
        <v>6932</v>
      </c>
      <c r="H8955">
        <v>5</v>
      </c>
      <c r="I8955">
        <f>VLOOKUP(B8955,BRAND!B:D,3,FALSE)</f>
        <v>0</v>
      </c>
      <c r="J8955">
        <f>LEN(F8955)</f>
        <v>5</v>
      </c>
      <c r="K8955" t="s">
        <v>821</v>
      </c>
      <c r="L8955">
        <v>0</v>
      </c>
      <c r="M8955">
        <v>1</v>
      </c>
    </row>
    <row r="8956" spans="1:13">
      <c r="A8956" t="s">
        <v>14618</v>
      </c>
      <c r="B8956" t="s">
        <v>14614</v>
      </c>
      <c r="C8956" s="34" t="s">
        <v>8337</v>
      </c>
      <c r="F8956" t="s">
        <v>8337</v>
      </c>
      <c r="G8956" t="s">
        <v>6932</v>
      </c>
      <c r="H8956">
        <v>5</v>
      </c>
      <c r="I8956">
        <f>VLOOKUP(B8956,BRAND!B:D,3,FALSE)</f>
        <v>0</v>
      </c>
      <c r="J8956">
        <f>LEN(F8956)</f>
        <v>5</v>
      </c>
      <c r="K8956" t="s">
        <v>821</v>
      </c>
      <c r="L8956">
        <v>0</v>
      </c>
      <c r="M8956">
        <v>1</v>
      </c>
    </row>
    <row r="8957" spans="1:13">
      <c r="A8957" t="s">
        <v>14619</v>
      </c>
      <c r="B8957" t="s">
        <v>14614</v>
      </c>
      <c r="C8957" s="34" t="s">
        <v>788</v>
      </c>
      <c r="F8957" t="s">
        <v>788</v>
      </c>
      <c r="G8957" t="s">
        <v>6932</v>
      </c>
      <c r="H8957">
        <v>5</v>
      </c>
      <c r="I8957">
        <f>VLOOKUP(B8957,BRAND!B:D,3,FALSE)</f>
        <v>0</v>
      </c>
      <c r="J8957">
        <f>LEN(F8957)</f>
        <v>4</v>
      </c>
      <c r="K8957" t="s">
        <v>821</v>
      </c>
      <c r="L8957">
        <v>0</v>
      </c>
      <c r="M8957">
        <v>1</v>
      </c>
    </row>
    <row r="8958" spans="1:13">
      <c r="A8958" t="s">
        <v>4583</v>
      </c>
      <c r="B8958" t="s">
        <v>316</v>
      </c>
      <c r="C8958" s="34" t="s">
        <v>534</v>
      </c>
      <c r="F8958" t="s">
        <v>534</v>
      </c>
      <c r="H8958">
        <v>5</v>
      </c>
      <c r="I8958">
        <f>VLOOKUP(B8958,BRAND!B:D,3,FALSE)</f>
        <v>3</v>
      </c>
      <c r="J8958">
        <v>6</v>
      </c>
      <c r="K8958" t="s">
        <v>821</v>
      </c>
      <c r="L8958">
        <v>0</v>
      </c>
      <c r="M8958">
        <v>0</v>
      </c>
    </row>
    <row r="8959" spans="1:13">
      <c r="A8959" t="s">
        <v>2959</v>
      </c>
      <c r="B8959" t="s">
        <v>316</v>
      </c>
      <c r="C8959" s="34" t="s">
        <v>1438</v>
      </c>
      <c r="F8959" t="s">
        <v>1438</v>
      </c>
      <c r="H8959">
        <v>15</v>
      </c>
      <c r="I8959">
        <f>VLOOKUP(B8959,BRAND!B:D,3,FALSE)</f>
        <v>3</v>
      </c>
      <c r="J8959">
        <v>4</v>
      </c>
      <c r="K8959" t="s">
        <v>821</v>
      </c>
      <c r="M8959">
        <v>1</v>
      </c>
    </row>
    <row r="8960" spans="1:13">
      <c r="A8960" t="s">
        <v>6805</v>
      </c>
      <c r="B8960" t="s">
        <v>6806</v>
      </c>
      <c r="C8960" s="34" t="s">
        <v>6807</v>
      </c>
      <c r="F8960" t="s">
        <v>6808</v>
      </c>
      <c r="H8960">
        <v>5</v>
      </c>
      <c r="I8960">
        <f>VLOOKUP(B8960,BRAND!B:D,3,FALSE)</f>
        <v>5</v>
      </c>
      <c r="J8960">
        <f>LEN(F8960)</f>
        <v>16</v>
      </c>
      <c r="M8960">
        <v>1</v>
      </c>
    </row>
    <row r="8961" spans="1:13">
      <c r="A8961" t="s">
        <v>6809</v>
      </c>
      <c r="B8961" t="s">
        <v>6806</v>
      </c>
      <c r="C8961" s="34" t="s">
        <v>6810</v>
      </c>
      <c r="F8961" t="s">
        <v>6811</v>
      </c>
      <c r="H8961">
        <v>5</v>
      </c>
      <c r="I8961">
        <f>VLOOKUP(B8961,BRAND!B:D,3,FALSE)</f>
        <v>5</v>
      </c>
      <c r="J8961">
        <f>LEN(F8961)</f>
        <v>13</v>
      </c>
      <c r="M8961">
        <v>1</v>
      </c>
    </row>
    <row r="8962" spans="1:13">
      <c r="A8962" t="s">
        <v>9505</v>
      </c>
      <c r="B8962" t="s">
        <v>9506</v>
      </c>
      <c r="C8962" s="34" t="s">
        <v>1438</v>
      </c>
      <c r="F8962" t="s">
        <v>1438</v>
      </c>
      <c r="G8962" t="s">
        <v>6932</v>
      </c>
      <c r="H8962">
        <v>5</v>
      </c>
      <c r="I8962">
        <f>VLOOKUP(B8962,BRAND!B:D,3,FALSE)</f>
        <v>5.5</v>
      </c>
      <c r="J8962">
        <v>4</v>
      </c>
      <c r="M8962">
        <v>1</v>
      </c>
    </row>
    <row r="8963" spans="1:13">
      <c r="A8963" t="s">
        <v>9507</v>
      </c>
      <c r="B8963" t="s">
        <v>9508</v>
      </c>
      <c r="C8963" s="34" t="s">
        <v>1438</v>
      </c>
      <c r="F8963" t="s">
        <v>1438</v>
      </c>
      <c r="G8963" t="s">
        <v>6932</v>
      </c>
      <c r="H8963">
        <v>5</v>
      </c>
      <c r="I8963">
        <f>VLOOKUP(B8963,BRAND!B:D,3,FALSE)</f>
        <v>61</v>
      </c>
      <c r="J8963">
        <v>4</v>
      </c>
      <c r="L8963" s="29"/>
      <c r="M8963">
        <v>1</v>
      </c>
    </row>
    <row r="8964" spans="1:13">
      <c r="A8964" t="s">
        <v>13442</v>
      </c>
      <c r="B8964" t="s">
        <v>9508</v>
      </c>
      <c r="C8964" s="34" t="s">
        <v>13443</v>
      </c>
      <c r="F8964" t="s">
        <v>13444</v>
      </c>
      <c r="G8964" t="s">
        <v>6932</v>
      </c>
      <c r="H8964">
        <v>5</v>
      </c>
    </row>
    <row r="8965" spans="1:13">
      <c r="A8965" t="s">
        <v>13445</v>
      </c>
      <c r="B8965" t="s">
        <v>9508</v>
      </c>
      <c r="C8965" s="34" t="s">
        <v>13446</v>
      </c>
      <c r="F8965" t="s">
        <v>13447</v>
      </c>
      <c r="G8965" t="s">
        <v>6932</v>
      </c>
      <c r="H8965">
        <v>5</v>
      </c>
    </row>
    <row r="8966" spans="1:13">
      <c r="A8966" t="s">
        <v>13448</v>
      </c>
      <c r="B8966" t="s">
        <v>9508</v>
      </c>
      <c r="C8966" s="34" t="s">
        <v>13449</v>
      </c>
      <c r="F8966" t="s">
        <v>13450</v>
      </c>
      <c r="G8966" t="s">
        <v>6932</v>
      </c>
      <c r="H8966">
        <v>5</v>
      </c>
    </row>
    <row r="8967" spans="1:13">
      <c r="A8967" t="s">
        <v>13451</v>
      </c>
      <c r="B8967" t="s">
        <v>9508</v>
      </c>
      <c r="C8967" s="34" t="s">
        <v>11178</v>
      </c>
      <c r="F8967" t="s">
        <v>13452</v>
      </c>
      <c r="G8967" t="s">
        <v>6932</v>
      </c>
      <c r="H8967">
        <v>5</v>
      </c>
    </row>
    <row r="8968" spans="1:13">
      <c r="A8968" t="s">
        <v>13453</v>
      </c>
      <c r="B8968" t="s">
        <v>9508</v>
      </c>
      <c r="C8968" s="34" t="s">
        <v>13454</v>
      </c>
      <c r="F8968" t="s">
        <v>13455</v>
      </c>
      <c r="G8968" t="s">
        <v>6932</v>
      </c>
      <c r="H8968">
        <v>5</v>
      </c>
    </row>
    <row r="8969" spans="1:13">
      <c r="A8969" t="s">
        <v>13456</v>
      </c>
      <c r="B8969" t="s">
        <v>9508</v>
      </c>
      <c r="C8969" s="34" t="s">
        <v>13457</v>
      </c>
      <c r="F8969" t="s">
        <v>13458</v>
      </c>
      <c r="G8969" t="s">
        <v>6932</v>
      </c>
      <c r="H8969">
        <v>5</v>
      </c>
    </row>
    <row r="8970" spans="1:13">
      <c r="A8970" t="s">
        <v>13459</v>
      </c>
      <c r="B8970" t="s">
        <v>9508</v>
      </c>
      <c r="C8970" s="34" t="s">
        <v>13460</v>
      </c>
      <c r="F8970" t="s">
        <v>13461</v>
      </c>
      <c r="G8970" t="s">
        <v>6932</v>
      </c>
      <c r="H8970">
        <v>5</v>
      </c>
    </row>
    <row r="8971" spans="1:13">
      <c r="A8971" t="s">
        <v>13462</v>
      </c>
      <c r="B8971" t="s">
        <v>9508</v>
      </c>
      <c r="C8971" s="34" t="s">
        <v>13463</v>
      </c>
      <c r="F8971" t="s">
        <v>13464</v>
      </c>
      <c r="G8971" t="s">
        <v>6932</v>
      </c>
      <c r="H8971">
        <v>5</v>
      </c>
    </row>
    <row r="8972" spans="1:13">
      <c r="A8972" t="s">
        <v>13465</v>
      </c>
      <c r="B8972" t="s">
        <v>9508</v>
      </c>
      <c r="C8972" s="34" t="s">
        <v>13466</v>
      </c>
      <c r="F8972" t="s">
        <v>13467</v>
      </c>
      <c r="G8972" t="s">
        <v>6932</v>
      </c>
      <c r="H8972">
        <v>5</v>
      </c>
    </row>
    <row r="8973" spans="1:13">
      <c r="A8973" t="s">
        <v>13468</v>
      </c>
      <c r="B8973" t="s">
        <v>9508</v>
      </c>
      <c r="C8973" s="34" t="s">
        <v>13469</v>
      </c>
      <c r="F8973" t="s">
        <v>13470</v>
      </c>
      <c r="G8973" t="s">
        <v>6932</v>
      </c>
      <c r="H8973">
        <v>5</v>
      </c>
    </row>
    <row r="8974" spans="1:13">
      <c r="A8974" t="s">
        <v>3593</v>
      </c>
      <c r="B8974" t="s">
        <v>215</v>
      </c>
      <c r="C8974" s="34" t="s">
        <v>775</v>
      </c>
      <c r="F8974" t="s">
        <v>775</v>
      </c>
      <c r="H8974">
        <v>5</v>
      </c>
      <c r="I8974">
        <f>VLOOKUP(B8974,BRAND!B:D,3,FALSE)</f>
        <v>3</v>
      </c>
      <c r="J8974">
        <v>3</v>
      </c>
      <c r="K8974" t="s">
        <v>821</v>
      </c>
      <c r="M8974">
        <v>1</v>
      </c>
    </row>
    <row r="8975" spans="1:13">
      <c r="A8975" t="s">
        <v>2623</v>
      </c>
      <c r="B8975" t="s">
        <v>453</v>
      </c>
      <c r="C8975" s="34" t="s">
        <v>772</v>
      </c>
      <c r="F8975" t="s">
        <v>772</v>
      </c>
      <c r="H8975">
        <v>5</v>
      </c>
      <c r="I8975">
        <f>VLOOKUP(B8975,BRAND!B:D,3,FALSE)</f>
        <v>3</v>
      </c>
      <c r="J8975">
        <v>6</v>
      </c>
      <c r="K8975" t="s">
        <v>821</v>
      </c>
      <c r="M8975">
        <v>1</v>
      </c>
    </row>
    <row r="8976" spans="1:13">
      <c r="A8976" t="s">
        <v>2081</v>
      </c>
      <c r="B8976" t="s">
        <v>453</v>
      </c>
      <c r="C8976" s="34" t="s">
        <v>842</v>
      </c>
      <c r="F8976" t="s">
        <v>842</v>
      </c>
      <c r="H8976">
        <v>5</v>
      </c>
      <c r="I8976">
        <f>VLOOKUP(B8976,BRAND!B:D,3,FALSE)</f>
        <v>3</v>
      </c>
      <c r="J8976">
        <v>5</v>
      </c>
      <c r="K8976" t="s">
        <v>821</v>
      </c>
      <c r="L8976">
        <v>0</v>
      </c>
      <c r="M8976">
        <v>0</v>
      </c>
    </row>
    <row r="8977" spans="1:13">
      <c r="A8977" t="s">
        <v>2080</v>
      </c>
      <c r="B8977" t="s">
        <v>453</v>
      </c>
      <c r="C8977" s="34" t="s">
        <v>536</v>
      </c>
      <c r="F8977" t="s">
        <v>536</v>
      </c>
      <c r="H8977">
        <v>5</v>
      </c>
      <c r="I8977">
        <f>VLOOKUP(B8977,BRAND!B:D,3,FALSE)</f>
        <v>3</v>
      </c>
      <c r="J8977">
        <v>5</v>
      </c>
      <c r="K8977" t="s">
        <v>821</v>
      </c>
      <c r="M8977">
        <v>1</v>
      </c>
    </row>
    <row r="8978" spans="1:13">
      <c r="A8978" t="s">
        <v>9957</v>
      </c>
      <c r="B8978" t="s">
        <v>453</v>
      </c>
      <c r="C8978" s="34" t="s">
        <v>534</v>
      </c>
      <c r="G8978" t="s">
        <v>6932</v>
      </c>
      <c r="H8978">
        <v>5</v>
      </c>
      <c r="I8978">
        <f>VLOOKUP(B8978,BRAND!B:D,3,FALSE)</f>
        <v>3</v>
      </c>
      <c r="J8978">
        <f>LEN(F8978)</f>
        <v>0</v>
      </c>
      <c r="L8978">
        <v>0</v>
      </c>
      <c r="M8978">
        <v>0</v>
      </c>
    </row>
    <row r="8979" spans="1:13">
      <c r="A8979" t="s">
        <v>9957</v>
      </c>
      <c r="B8979" t="s">
        <v>453</v>
      </c>
      <c r="C8979" s="34" t="s">
        <v>534</v>
      </c>
      <c r="G8979" t="s">
        <v>6932</v>
      </c>
      <c r="H8979">
        <v>5</v>
      </c>
      <c r="I8979">
        <f>VLOOKUP(B8979,BRAND!B:D,3,FALSE)</f>
        <v>3</v>
      </c>
      <c r="J8979">
        <v>0</v>
      </c>
      <c r="M8979">
        <v>1</v>
      </c>
    </row>
    <row r="8980" spans="1:13">
      <c r="A8980" t="s">
        <v>15055</v>
      </c>
      <c r="B8980" t="s">
        <v>15056</v>
      </c>
      <c r="C8980" s="34" t="s">
        <v>1438</v>
      </c>
      <c r="F8980" t="s">
        <v>1438</v>
      </c>
      <c r="G8980" t="s">
        <v>6932</v>
      </c>
      <c r="H8980">
        <v>5</v>
      </c>
      <c r="I8980" t="e">
        <f>VLOOKUP(B8980,BRAND!B:D,3,FALSE)</f>
        <v>#N/A</v>
      </c>
      <c r="J8980">
        <v>0</v>
      </c>
      <c r="K8980" t="s">
        <v>821</v>
      </c>
      <c r="L8980">
        <v>0</v>
      </c>
      <c r="M8980">
        <v>0</v>
      </c>
    </row>
    <row r="8981" spans="1:13">
      <c r="A8981" t="s">
        <v>8974</v>
      </c>
      <c r="B8981" t="s">
        <v>8975</v>
      </c>
      <c r="C8981" s="34" t="s">
        <v>1438</v>
      </c>
      <c r="F8981" t="s">
        <v>1438</v>
      </c>
      <c r="G8981" t="s">
        <v>6932</v>
      </c>
      <c r="H8981">
        <v>5</v>
      </c>
      <c r="I8981">
        <f>VLOOKUP(B8981,BRAND!B:D,3,FALSE)</f>
        <v>5.5</v>
      </c>
      <c r="J8981">
        <v>4</v>
      </c>
      <c r="L8981">
        <v>0</v>
      </c>
      <c r="M8981">
        <v>0</v>
      </c>
    </row>
    <row r="8982" spans="1:13">
      <c r="A8982" t="s">
        <v>9958</v>
      </c>
      <c r="B8982" t="s">
        <v>8975</v>
      </c>
      <c r="C8982" s="34" t="s">
        <v>536</v>
      </c>
      <c r="G8982" t="s">
        <v>6932</v>
      </c>
      <c r="H8982">
        <v>5</v>
      </c>
      <c r="I8982">
        <f>VLOOKUP(B8982,BRAND!B:D,3,FALSE)</f>
        <v>5.5</v>
      </c>
      <c r="J8982">
        <f>LEN(F8982)</f>
        <v>0</v>
      </c>
      <c r="L8982">
        <v>0</v>
      </c>
      <c r="M8982">
        <v>0</v>
      </c>
    </row>
    <row r="8983" spans="1:13">
      <c r="A8983" t="s">
        <v>9959</v>
      </c>
      <c r="B8983" t="s">
        <v>8975</v>
      </c>
      <c r="C8983" s="34" t="s">
        <v>534</v>
      </c>
      <c r="G8983" t="s">
        <v>6932</v>
      </c>
      <c r="H8983">
        <v>5</v>
      </c>
      <c r="I8983">
        <f>VLOOKUP(B8983,BRAND!B:D,3,FALSE)</f>
        <v>5.5</v>
      </c>
      <c r="J8983">
        <f>LEN(F8983)</f>
        <v>0</v>
      </c>
      <c r="L8983">
        <v>0</v>
      </c>
      <c r="M8983">
        <v>0</v>
      </c>
    </row>
    <row r="8984" spans="1:13">
      <c r="A8984" t="s">
        <v>9958</v>
      </c>
      <c r="B8984" t="s">
        <v>8975</v>
      </c>
      <c r="C8984" s="34" t="s">
        <v>536</v>
      </c>
      <c r="G8984" t="s">
        <v>6932</v>
      </c>
      <c r="H8984">
        <v>5</v>
      </c>
      <c r="I8984">
        <f>VLOOKUP(B8984,BRAND!B:D,3,FALSE)</f>
        <v>5.5</v>
      </c>
      <c r="J8984">
        <v>0</v>
      </c>
      <c r="M8984">
        <v>1</v>
      </c>
    </row>
    <row r="8985" spans="1:13">
      <c r="A8985" t="s">
        <v>9959</v>
      </c>
      <c r="B8985" t="s">
        <v>8975</v>
      </c>
      <c r="C8985" s="34" t="s">
        <v>534</v>
      </c>
      <c r="G8985" t="s">
        <v>6932</v>
      </c>
      <c r="H8985">
        <v>5</v>
      </c>
      <c r="I8985">
        <f>VLOOKUP(B8985,BRAND!B:D,3,FALSE)</f>
        <v>5.5</v>
      </c>
      <c r="J8985">
        <v>0</v>
      </c>
      <c r="M8985">
        <v>1</v>
      </c>
    </row>
    <row r="8986" spans="1:13">
      <c r="A8986" t="s">
        <v>13879</v>
      </c>
      <c r="B8986" t="s">
        <v>9510</v>
      </c>
      <c r="C8986" s="34" t="s">
        <v>13880</v>
      </c>
      <c r="F8986" t="s">
        <v>13880</v>
      </c>
      <c r="G8986" t="s">
        <v>6932</v>
      </c>
      <c r="H8986">
        <v>5</v>
      </c>
      <c r="I8986">
        <f>VLOOKUP(B8986,BRAND!B:D,3,FALSE)</f>
        <v>0</v>
      </c>
      <c r="J8986">
        <f t="shared" ref="J8986:J8991" si="67">LEN(F8986)</f>
        <v>17</v>
      </c>
      <c r="K8986" t="s">
        <v>821</v>
      </c>
      <c r="L8986">
        <v>0</v>
      </c>
      <c r="M8986">
        <v>1</v>
      </c>
    </row>
    <row r="8987" spans="1:13">
      <c r="A8987" t="s">
        <v>13881</v>
      </c>
      <c r="B8987" t="s">
        <v>9510</v>
      </c>
      <c r="C8987" s="34" t="s">
        <v>1965</v>
      </c>
      <c r="F8987" t="s">
        <v>1965</v>
      </c>
      <c r="G8987" t="s">
        <v>801</v>
      </c>
      <c r="H8987">
        <v>5</v>
      </c>
      <c r="I8987">
        <f>VLOOKUP(B8987,BRAND!B:D,3,FALSE)</f>
        <v>0</v>
      </c>
      <c r="J8987">
        <f t="shared" si="67"/>
        <v>10</v>
      </c>
      <c r="K8987" t="s">
        <v>821</v>
      </c>
      <c r="L8987">
        <v>0</v>
      </c>
      <c r="M8987">
        <v>1</v>
      </c>
    </row>
    <row r="8988" spans="1:13">
      <c r="A8988" t="s">
        <v>13882</v>
      </c>
      <c r="B8988" t="s">
        <v>9510</v>
      </c>
      <c r="C8988" s="34" t="s">
        <v>891</v>
      </c>
      <c r="F8988" t="s">
        <v>891</v>
      </c>
      <c r="G8988" t="s">
        <v>801</v>
      </c>
      <c r="H8988">
        <v>5</v>
      </c>
      <c r="I8988">
        <f>VLOOKUP(B8988,BRAND!B:D,3,FALSE)</f>
        <v>0</v>
      </c>
      <c r="J8988">
        <f t="shared" si="67"/>
        <v>7</v>
      </c>
      <c r="K8988" t="s">
        <v>821</v>
      </c>
      <c r="L8988">
        <v>0</v>
      </c>
      <c r="M8988">
        <v>1</v>
      </c>
    </row>
    <row r="8989" spans="1:13">
      <c r="A8989" t="s">
        <v>13876</v>
      </c>
      <c r="B8989" t="s">
        <v>9510</v>
      </c>
      <c r="C8989" s="34" t="s">
        <v>753</v>
      </c>
      <c r="F8989" t="s">
        <v>753</v>
      </c>
      <c r="G8989" t="s">
        <v>6932</v>
      </c>
      <c r="H8989">
        <v>5</v>
      </c>
      <c r="I8989">
        <f>VLOOKUP(B8989,BRAND!B:D,3,FALSE)</f>
        <v>0</v>
      </c>
      <c r="J8989">
        <f t="shared" si="67"/>
        <v>7</v>
      </c>
      <c r="K8989" t="s">
        <v>821</v>
      </c>
      <c r="L8989">
        <v>0</v>
      </c>
      <c r="M8989">
        <v>1</v>
      </c>
    </row>
    <row r="8990" spans="1:13">
      <c r="A8990" t="s">
        <v>13877</v>
      </c>
      <c r="B8990" t="s">
        <v>9510</v>
      </c>
      <c r="C8990" s="34" t="s">
        <v>930</v>
      </c>
      <c r="F8990" t="s">
        <v>930</v>
      </c>
      <c r="G8990" t="s">
        <v>6932</v>
      </c>
      <c r="H8990">
        <v>5</v>
      </c>
      <c r="I8990">
        <f>VLOOKUP(B8990,BRAND!B:D,3,FALSE)</f>
        <v>0</v>
      </c>
      <c r="J8990">
        <f t="shared" si="67"/>
        <v>6</v>
      </c>
      <c r="K8990" t="s">
        <v>821</v>
      </c>
      <c r="L8990">
        <v>0</v>
      </c>
      <c r="M8990">
        <v>1</v>
      </c>
    </row>
    <row r="8991" spans="1:13">
      <c r="A8991" t="s">
        <v>13878</v>
      </c>
      <c r="B8991" t="s">
        <v>9510</v>
      </c>
      <c r="C8991" s="34" t="s">
        <v>742</v>
      </c>
      <c r="F8991" t="s">
        <v>742</v>
      </c>
      <c r="G8991" t="s">
        <v>801</v>
      </c>
      <c r="H8991">
        <v>5</v>
      </c>
      <c r="I8991">
        <f>VLOOKUP(B8991,BRAND!B:D,3,FALSE)</f>
        <v>0</v>
      </c>
      <c r="J8991">
        <f t="shared" si="67"/>
        <v>6</v>
      </c>
      <c r="K8991" t="s">
        <v>821</v>
      </c>
      <c r="L8991">
        <v>0</v>
      </c>
      <c r="M8991">
        <v>1</v>
      </c>
    </row>
    <row r="8992" spans="1:13">
      <c r="A8992" t="s">
        <v>9509</v>
      </c>
      <c r="B8992" t="s">
        <v>9510</v>
      </c>
      <c r="C8992" s="34" t="s">
        <v>1438</v>
      </c>
      <c r="F8992" t="s">
        <v>1438</v>
      </c>
      <c r="G8992" t="s">
        <v>6932</v>
      </c>
      <c r="H8992">
        <v>5</v>
      </c>
      <c r="I8992">
        <f>VLOOKUP(B8992,BRAND!B:D,3,FALSE)</f>
        <v>0</v>
      </c>
      <c r="J8992">
        <v>4</v>
      </c>
      <c r="M8992">
        <v>1</v>
      </c>
    </row>
    <row r="8993" spans="1:13">
      <c r="A8993" t="s">
        <v>7092</v>
      </c>
      <c r="B8993" t="s">
        <v>6620</v>
      </c>
      <c r="C8993" s="34" t="s">
        <v>1438</v>
      </c>
      <c r="F8993" t="s">
        <v>1438</v>
      </c>
      <c r="H8993">
        <v>5</v>
      </c>
      <c r="I8993">
        <f>VLOOKUP(B8993,BRAND!B:D,3,FALSE)</f>
        <v>5</v>
      </c>
      <c r="J8993">
        <v>4</v>
      </c>
      <c r="M8993">
        <v>1</v>
      </c>
    </row>
    <row r="8994" spans="1:13">
      <c r="A8994" t="s">
        <v>7092</v>
      </c>
      <c r="B8994" t="s">
        <v>6620</v>
      </c>
      <c r="C8994" s="34" t="s">
        <v>1438</v>
      </c>
      <c r="F8994" t="s">
        <v>1438</v>
      </c>
      <c r="H8994">
        <v>5</v>
      </c>
      <c r="I8994">
        <f>VLOOKUP(B8994,BRAND!B:D,3,FALSE)</f>
        <v>5</v>
      </c>
      <c r="J8994">
        <v>4</v>
      </c>
      <c r="M8994">
        <v>1</v>
      </c>
    </row>
    <row r="8995" spans="1:13">
      <c r="A8995" t="s">
        <v>8976</v>
      </c>
      <c r="B8995" t="s">
        <v>8977</v>
      </c>
      <c r="C8995" s="34" t="s">
        <v>1438</v>
      </c>
      <c r="F8995" t="s">
        <v>1438</v>
      </c>
      <c r="G8995" t="s">
        <v>6932</v>
      </c>
      <c r="H8995">
        <v>5</v>
      </c>
      <c r="I8995">
        <f>VLOOKUP(B8995,BRAND!B:D,3,FALSE)</f>
        <v>5.5</v>
      </c>
      <c r="J8995">
        <v>4</v>
      </c>
      <c r="M8995">
        <v>1</v>
      </c>
    </row>
    <row r="8996" spans="1:13">
      <c r="A8996" t="s">
        <v>9002</v>
      </c>
      <c r="B8996" t="s">
        <v>9003</v>
      </c>
      <c r="C8996" s="34" t="s">
        <v>1438</v>
      </c>
      <c r="F8996" t="s">
        <v>1438</v>
      </c>
      <c r="G8996" t="s">
        <v>6932</v>
      </c>
      <c r="H8996">
        <v>5</v>
      </c>
      <c r="I8996">
        <f>VLOOKUP(B8996,BRAND!B:D,3,FALSE)</f>
        <v>5.5</v>
      </c>
      <c r="J8996">
        <v>4</v>
      </c>
      <c r="L8996">
        <v>0</v>
      </c>
      <c r="M8996">
        <v>0</v>
      </c>
    </row>
    <row r="8997" spans="1:13">
      <c r="A8997" t="s">
        <v>9960</v>
      </c>
      <c r="B8997" t="s">
        <v>9003</v>
      </c>
      <c r="C8997" s="34" t="s">
        <v>536</v>
      </c>
      <c r="G8997" t="s">
        <v>6932</v>
      </c>
      <c r="H8997">
        <v>5</v>
      </c>
      <c r="I8997">
        <f>VLOOKUP(B8997,BRAND!B:D,3,FALSE)</f>
        <v>5.5</v>
      </c>
      <c r="J8997">
        <f>LEN(F8997)</f>
        <v>0</v>
      </c>
      <c r="L8997">
        <v>0</v>
      </c>
      <c r="M8997">
        <v>0</v>
      </c>
    </row>
    <row r="8998" spans="1:13">
      <c r="A8998" t="s">
        <v>9961</v>
      </c>
      <c r="B8998" t="s">
        <v>9003</v>
      </c>
      <c r="C8998" s="34" t="s">
        <v>842</v>
      </c>
      <c r="G8998" t="s">
        <v>6932</v>
      </c>
      <c r="H8998">
        <v>5</v>
      </c>
      <c r="I8998">
        <f>VLOOKUP(B8998,BRAND!B:D,3,FALSE)</f>
        <v>5.5</v>
      </c>
      <c r="J8998">
        <f>LEN(F8998)</f>
        <v>0</v>
      </c>
      <c r="L8998">
        <v>0</v>
      </c>
      <c r="M8998">
        <v>0</v>
      </c>
    </row>
    <row r="8999" spans="1:13">
      <c r="A8999" t="s">
        <v>9962</v>
      </c>
      <c r="B8999" t="s">
        <v>9003</v>
      </c>
      <c r="C8999" s="34" t="s">
        <v>534</v>
      </c>
      <c r="G8999" t="s">
        <v>6932</v>
      </c>
      <c r="H8999">
        <v>5</v>
      </c>
      <c r="I8999">
        <f>VLOOKUP(B8999,BRAND!B:D,3,FALSE)</f>
        <v>5.5</v>
      </c>
      <c r="J8999">
        <f>LEN(F8999)</f>
        <v>0</v>
      </c>
      <c r="L8999">
        <v>0</v>
      </c>
      <c r="M8999">
        <v>0</v>
      </c>
    </row>
    <row r="9000" spans="1:13">
      <c r="A9000" t="s">
        <v>9960</v>
      </c>
      <c r="B9000" t="s">
        <v>9003</v>
      </c>
      <c r="C9000" s="34" t="s">
        <v>536</v>
      </c>
      <c r="G9000" t="s">
        <v>6932</v>
      </c>
      <c r="H9000">
        <v>5</v>
      </c>
      <c r="I9000">
        <f>VLOOKUP(B9000,BRAND!B:D,3,FALSE)</f>
        <v>5.5</v>
      </c>
      <c r="J9000">
        <v>0</v>
      </c>
      <c r="M9000">
        <v>1</v>
      </c>
    </row>
    <row r="9001" spans="1:13">
      <c r="A9001" t="s">
        <v>9962</v>
      </c>
      <c r="B9001" t="s">
        <v>9003</v>
      </c>
      <c r="C9001" s="34" t="s">
        <v>534</v>
      </c>
      <c r="G9001" t="s">
        <v>6932</v>
      </c>
      <c r="H9001">
        <v>5</v>
      </c>
      <c r="I9001">
        <f>VLOOKUP(B9001,BRAND!B:D,3,FALSE)</f>
        <v>5.5</v>
      </c>
      <c r="J9001">
        <v>0</v>
      </c>
      <c r="M9001">
        <v>1</v>
      </c>
    </row>
    <row r="9002" spans="1:13">
      <c r="A9002" t="s">
        <v>9961</v>
      </c>
      <c r="B9002" t="s">
        <v>9003</v>
      </c>
      <c r="C9002" s="34" t="s">
        <v>842</v>
      </c>
      <c r="G9002" t="s">
        <v>6932</v>
      </c>
      <c r="H9002">
        <v>5</v>
      </c>
      <c r="I9002">
        <f>VLOOKUP(B9002,BRAND!B:D,3,FALSE)</f>
        <v>5.5</v>
      </c>
      <c r="J9002">
        <v>0</v>
      </c>
      <c r="M9002">
        <v>1</v>
      </c>
    </row>
    <row r="9003" spans="1:13">
      <c r="A9003" t="s">
        <v>13697</v>
      </c>
      <c r="B9003" t="s">
        <v>381</v>
      </c>
      <c r="C9003" s="34" t="s">
        <v>1965</v>
      </c>
      <c r="F9003" t="s">
        <v>1965</v>
      </c>
      <c r="G9003" t="s">
        <v>801</v>
      </c>
      <c r="H9003">
        <v>5</v>
      </c>
      <c r="I9003">
        <f>VLOOKUP(B9003,BRAND!B:D,3,FALSE)</f>
        <v>3</v>
      </c>
      <c r="J9003">
        <v>9</v>
      </c>
      <c r="K9003" t="s">
        <v>821</v>
      </c>
      <c r="L9003">
        <v>0</v>
      </c>
      <c r="M9003">
        <v>1</v>
      </c>
    </row>
    <row r="9004" spans="1:13">
      <c r="A9004" t="s">
        <v>13695</v>
      </c>
      <c r="B9004" t="s">
        <v>381</v>
      </c>
      <c r="C9004" s="34" t="s">
        <v>791</v>
      </c>
      <c r="F9004" t="s">
        <v>791</v>
      </c>
      <c r="G9004" t="s">
        <v>6932</v>
      </c>
      <c r="H9004">
        <v>5</v>
      </c>
      <c r="I9004">
        <f>VLOOKUP(B9004,BRAND!B:D,3,FALSE)</f>
        <v>3</v>
      </c>
      <c r="J9004">
        <v>8</v>
      </c>
      <c r="K9004" t="s">
        <v>821</v>
      </c>
      <c r="L9004">
        <v>0</v>
      </c>
      <c r="M9004">
        <v>1</v>
      </c>
    </row>
    <row r="9005" spans="1:13">
      <c r="A9005" t="s">
        <v>4215</v>
      </c>
      <c r="B9005" t="s">
        <v>381</v>
      </c>
      <c r="C9005" s="34" t="s">
        <v>777</v>
      </c>
      <c r="F9005" t="s">
        <v>777</v>
      </c>
      <c r="H9005">
        <v>5</v>
      </c>
      <c r="I9005">
        <f>VLOOKUP(B9005,BRAND!B:D,3,FALSE)</f>
        <v>3</v>
      </c>
      <c r="J9005">
        <v>7</v>
      </c>
      <c r="K9005" t="s">
        <v>821</v>
      </c>
      <c r="L9005">
        <v>0</v>
      </c>
      <c r="M9005">
        <v>0</v>
      </c>
    </row>
    <row r="9006" spans="1:13">
      <c r="A9006" t="s">
        <v>13682</v>
      </c>
      <c r="B9006" t="s">
        <v>381</v>
      </c>
      <c r="C9006" s="34" t="s">
        <v>5374</v>
      </c>
      <c r="F9006" t="s">
        <v>777</v>
      </c>
      <c r="G9006" t="s">
        <v>6932</v>
      </c>
      <c r="H9006">
        <v>5</v>
      </c>
      <c r="I9006">
        <f>VLOOKUP(B9006,BRAND!B:D,3,FALSE)</f>
        <v>3</v>
      </c>
      <c r="J9006">
        <f>LEN(F9006)</f>
        <v>7</v>
      </c>
      <c r="K9006" t="s">
        <v>821</v>
      </c>
      <c r="L9006">
        <v>0</v>
      </c>
      <c r="M9006">
        <v>1</v>
      </c>
    </row>
    <row r="9007" spans="1:13">
      <c r="A9007" t="s">
        <v>13694</v>
      </c>
      <c r="B9007" t="s">
        <v>381</v>
      </c>
      <c r="C9007" s="34" t="s">
        <v>1965</v>
      </c>
      <c r="F9007" t="s">
        <v>1965</v>
      </c>
      <c r="G9007" t="s">
        <v>6932</v>
      </c>
      <c r="H9007">
        <v>5</v>
      </c>
      <c r="I9007">
        <f>VLOOKUP(B9007,BRAND!B:D,3,FALSE)</f>
        <v>3</v>
      </c>
      <c r="J9007">
        <v>7</v>
      </c>
      <c r="K9007" t="s">
        <v>821</v>
      </c>
      <c r="L9007">
        <v>0</v>
      </c>
      <c r="M9007">
        <v>1</v>
      </c>
    </row>
    <row r="9008" spans="1:13">
      <c r="A9008" t="s">
        <v>13698</v>
      </c>
      <c r="B9008" t="s">
        <v>381</v>
      </c>
      <c r="C9008" s="34" t="s">
        <v>13699</v>
      </c>
      <c r="F9008" t="s">
        <v>13699</v>
      </c>
      <c r="G9008" t="s">
        <v>801</v>
      </c>
      <c r="H9008">
        <v>5</v>
      </c>
      <c r="I9008">
        <f>VLOOKUP(B9008,BRAND!B:D,3,FALSE)</f>
        <v>3</v>
      </c>
      <c r="J9008">
        <f>LEN(F9008)</f>
        <v>7</v>
      </c>
      <c r="K9008" t="s">
        <v>821</v>
      </c>
      <c r="L9008">
        <v>0</v>
      </c>
      <c r="M9008">
        <v>1</v>
      </c>
    </row>
    <row r="9009" spans="1:13">
      <c r="A9009" t="s">
        <v>3826</v>
      </c>
      <c r="B9009" t="s">
        <v>381</v>
      </c>
      <c r="C9009" s="34" t="s">
        <v>742</v>
      </c>
      <c r="F9009" t="s">
        <v>742</v>
      </c>
      <c r="H9009">
        <v>5</v>
      </c>
      <c r="I9009">
        <f>VLOOKUP(B9009,BRAND!B:D,3,FALSE)</f>
        <v>3</v>
      </c>
      <c r="J9009">
        <v>6</v>
      </c>
      <c r="K9009" t="s">
        <v>821</v>
      </c>
      <c r="M9009">
        <v>1</v>
      </c>
    </row>
    <row r="9010" spans="1:13">
      <c r="A9010" t="s">
        <v>13683</v>
      </c>
      <c r="B9010" t="s">
        <v>381</v>
      </c>
      <c r="C9010" s="34" t="s">
        <v>10745</v>
      </c>
      <c r="F9010" t="s">
        <v>10745</v>
      </c>
      <c r="G9010" t="s">
        <v>6932</v>
      </c>
      <c r="H9010">
        <v>5</v>
      </c>
      <c r="I9010">
        <f>VLOOKUP(B9010,BRAND!B:D,3,FALSE)</f>
        <v>3</v>
      </c>
      <c r="J9010">
        <f>LEN(F9010)</f>
        <v>6</v>
      </c>
      <c r="K9010" t="s">
        <v>821</v>
      </c>
      <c r="L9010">
        <v>0</v>
      </c>
      <c r="M9010">
        <v>1</v>
      </c>
    </row>
    <row r="9011" spans="1:13">
      <c r="A9011" t="s">
        <v>13686</v>
      </c>
      <c r="B9011" t="s">
        <v>381</v>
      </c>
      <c r="C9011" s="34" t="s">
        <v>13687</v>
      </c>
      <c r="F9011" t="s">
        <v>6364</v>
      </c>
      <c r="G9011" t="s">
        <v>6932</v>
      </c>
      <c r="H9011">
        <v>5</v>
      </c>
      <c r="I9011">
        <f>VLOOKUP(B9011,BRAND!B:D,3,FALSE)</f>
        <v>3</v>
      </c>
      <c r="J9011">
        <f>LEN(F9011)</f>
        <v>6</v>
      </c>
      <c r="K9011" t="s">
        <v>821</v>
      </c>
      <c r="L9011">
        <v>0</v>
      </c>
      <c r="M9011">
        <v>1</v>
      </c>
    </row>
    <row r="9012" spans="1:13">
      <c r="A9012" t="s">
        <v>13692</v>
      </c>
      <c r="B9012" t="s">
        <v>381</v>
      </c>
      <c r="C9012" s="34" t="s">
        <v>742</v>
      </c>
      <c r="F9012" t="s">
        <v>742</v>
      </c>
      <c r="G9012" t="s">
        <v>6932</v>
      </c>
      <c r="H9012">
        <v>5</v>
      </c>
      <c r="I9012">
        <f>VLOOKUP(B9012,BRAND!B:D,3,FALSE)</f>
        <v>3</v>
      </c>
      <c r="J9012">
        <f>LEN(F9012)</f>
        <v>6</v>
      </c>
      <c r="K9012" t="s">
        <v>821</v>
      </c>
      <c r="L9012">
        <v>0</v>
      </c>
      <c r="M9012">
        <v>1</v>
      </c>
    </row>
    <row r="9013" spans="1:13">
      <c r="A9013" t="s">
        <v>13693</v>
      </c>
      <c r="B9013" t="s">
        <v>381</v>
      </c>
      <c r="C9013" s="34" t="s">
        <v>742</v>
      </c>
      <c r="F9013" t="s">
        <v>742</v>
      </c>
      <c r="G9013" t="s">
        <v>801</v>
      </c>
      <c r="H9013">
        <v>5</v>
      </c>
      <c r="I9013">
        <f>VLOOKUP(B9013,BRAND!B:D,3,FALSE)</f>
        <v>3</v>
      </c>
      <c r="J9013">
        <v>6</v>
      </c>
      <c r="K9013" t="s">
        <v>821</v>
      </c>
      <c r="L9013">
        <v>0</v>
      </c>
      <c r="M9013">
        <v>1</v>
      </c>
    </row>
    <row r="9014" spans="1:13">
      <c r="A9014" t="s">
        <v>13692</v>
      </c>
      <c r="B9014" t="s">
        <v>381</v>
      </c>
      <c r="C9014" s="34" t="s">
        <v>742</v>
      </c>
      <c r="F9014" t="s">
        <v>742</v>
      </c>
      <c r="G9014" t="s">
        <v>6932</v>
      </c>
      <c r="H9014">
        <v>5</v>
      </c>
      <c r="I9014">
        <f>VLOOKUP(B9014,BRAND!B:D,3,FALSE)</f>
        <v>3</v>
      </c>
      <c r="J9014">
        <f>LEN(F9014)</f>
        <v>6</v>
      </c>
      <c r="K9014" t="s">
        <v>821</v>
      </c>
      <c r="L9014">
        <v>0</v>
      </c>
      <c r="M9014">
        <v>1</v>
      </c>
    </row>
    <row r="9015" spans="1:13">
      <c r="A9015" t="s">
        <v>13690</v>
      </c>
      <c r="B9015" t="s">
        <v>381</v>
      </c>
      <c r="C9015" s="34" t="s">
        <v>13691</v>
      </c>
      <c r="F9015" t="s">
        <v>13691</v>
      </c>
      <c r="G9015" t="s">
        <v>6932</v>
      </c>
      <c r="H9015">
        <v>5</v>
      </c>
      <c r="I9015">
        <f>VLOOKUP(B9015,BRAND!B:D,3,FALSE)</f>
        <v>3</v>
      </c>
      <c r="J9015">
        <v>5</v>
      </c>
      <c r="K9015" t="s">
        <v>821</v>
      </c>
      <c r="L9015">
        <v>0</v>
      </c>
      <c r="M9015">
        <v>1</v>
      </c>
    </row>
    <row r="9016" spans="1:13">
      <c r="A9016" t="s">
        <v>13696</v>
      </c>
      <c r="B9016" t="s">
        <v>381</v>
      </c>
      <c r="C9016" s="34" t="s">
        <v>5512</v>
      </c>
      <c r="F9016" t="s">
        <v>5512</v>
      </c>
      <c r="G9016" t="s">
        <v>801</v>
      </c>
      <c r="H9016">
        <v>5</v>
      </c>
      <c r="I9016">
        <f>VLOOKUP(B9016,BRAND!B:D,3,FALSE)</f>
        <v>3</v>
      </c>
      <c r="J9016">
        <f>LEN(F9016)</f>
        <v>5</v>
      </c>
      <c r="K9016" t="s">
        <v>821</v>
      </c>
      <c r="L9016">
        <v>0</v>
      </c>
      <c r="M9016">
        <v>1</v>
      </c>
    </row>
    <row r="9017" spans="1:13">
      <c r="A9017" t="s">
        <v>13688</v>
      </c>
      <c r="B9017" t="s">
        <v>381</v>
      </c>
      <c r="C9017" s="34" t="s">
        <v>781</v>
      </c>
      <c r="F9017" t="s">
        <v>13689</v>
      </c>
      <c r="G9017" t="s">
        <v>6932</v>
      </c>
      <c r="H9017">
        <v>5</v>
      </c>
      <c r="I9017">
        <f>VLOOKUP(B9017,BRAND!B:D,3,FALSE)</f>
        <v>3</v>
      </c>
      <c r="J9017">
        <v>4</v>
      </c>
      <c r="K9017" t="s">
        <v>821</v>
      </c>
      <c r="L9017">
        <v>0</v>
      </c>
      <c r="M9017">
        <v>1</v>
      </c>
    </row>
    <row r="9018" spans="1:13">
      <c r="A9018" t="s">
        <v>13690</v>
      </c>
      <c r="B9018" t="s">
        <v>381</v>
      </c>
      <c r="C9018" s="34" t="s">
        <v>13691</v>
      </c>
      <c r="F9018" t="s">
        <v>13691</v>
      </c>
      <c r="G9018" t="s">
        <v>6932</v>
      </c>
      <c r="H9018">
        <v>5</v>
      </c>
      <c r="I9018">
        <f>VLOOKUP(B9018,BRAND!B:D,3,FALSE)</f>
        <v>3</v>
      </c>
      <c r="J9018">
        <f>LEN(F9018)</f>
        <v>4</v>
      </c>
      <c r="K9018" t="s">
        <v>821</v>
      </c>
      <c r="L9018">
        <v>0</v>
      </c>
      <c r="M9018">
        <v>1</v>
      </c>
    </row>
    <row r="9019" spans="1:13">
      <c r="A9019" t="s">
        <v>13684</v>
      </c>
      <c r="B9019" t="s">
        <v>381</v>
      </c>
      <c r="C9019" s="34" t="s">
        <v>13685</v>
      </c>
      <c r="F9019" t="s">
        <v>8174</v>
      </c>
      <c r="G9019" t="s">
        <v>6932</v>
      </c>
      <c r="H9019">
        <v>5</v>
      </c>
      <c r="I9019">
        <f>VLOOKUP(B9019,BRAND!B:D,3,FALSE)</f>
        <v>3</v>
      </c>
      <c r="J9019">
        <v>3</v>
      </c>
      <c r="K9019" t="s">
        <v>821</v>
      </c>
      <c r="L9019">
        <v>0</v>
      </c>
      <c r="M9019">
        <v>1</v>
      </c>
    </row>
    <row r="9020" spans="1:13">
      <c r="A9020" t="s">
        <v>13682</v>
      </c>
      <c r="B9020" t="s">
        <v>381</v>
      </c>
      <c r="C9020" s="34" t="s">
        <v>5374</v>
      </c>
      <c r="F9020" t="s">
        <v>777</v>
      </c>
      <c r="G9020" t="s">
        <v>6932</v>
      </c>
      <c r="H9020">
        <v>5</v>
      </c>
      <c r="I9020">
        <f>VLOOKUP(B9020,BRAND!B:D,3,FALSE)</f>
        <v>3</v>
      </c>
      <c r="J9020">
        <v>2</v>
      </c>
      <c r="K9020" t="s">
        <v>821</v>
      </c>
      <c r="L9020">
        <v>0</v>
      </c>
      <c r="M9020">
        <v>1</v>
      </c>
    </row>
    <row r="9021" spans="1:13">
      <c r="A9021" t="s">
        <v>10850</v>
      </c>
      <c r="B9021" t="s">
        <v>381</v>
      </c>
      <c r="C9021" s="34" t="s">
        <v>1438</v>
      </c>
      <c r="F9021" t="s">
        <v>1438</v>
      </c>
      <c r="G9021" t="s">
        <v>801</v>
      </c>
      <c r="H9021">
        <v>6</v>
      </c>
      <c r="I9021">
        <f>VLOOKUP(B9021,BRAND!B:D,3,FALSE)</f>
        <v>3</v>
      </c>
      <c r="J9021">
        <v>4</v>
      </c>
      <c r="K9021" t="s">
        <v>821</v>
      </c>
      <c r="L9021">
        <v>0</v>
      </c>
      <c r="M9021">
        <v>0</v>
      </c>
    </row>
    <row r="9022" spans="1:13">
      <c r="A9022" t="s">
        <v>2278</v>
      </c>
      <c r="B9022" t="s">
        <v>381</v>
      </c>
      <c r="C9022" s="34" t="s">
        <v>1438</v>
      </c>
      <c r="F9022" t="s">
        <v>1438</v>
      </c>
      <c r="H9022">
        <v>15</v>
      </c>
      <c r="I9022">
        <f>VLOOKUP(B9022,BRAND!B:D,3,FALSE)</f>
        <v>3</v>
      </c>
      <c r="J9022">
        <v>4</v>
      </c>
      <c r="K9022" t="s">
        <v>821</v>
      </c>
      <c r="M9022">
        <v>1</v>
      </c>
    </row>
    <row r="9023" spans="1:13">
      <c r="A9023" t="s">
        <v>10586</v>
      </c>
      <c r="B9023" t="s">
        <v>1455</v>
      </c>
      <c r="C9023" s="34" t="s">
        <v>898</v>
      </c>
      <c r="D9023" t="s">
        <v>1459</v>
      </c>
      <c r="F9023" t="s">
        <v>10424</v>
      </c>
      <c r="G9023" t="s">
        <v>6932</v>
      </c>
      <c r="H9023">
        <v>5</v>
      </c>
      <c r="I9023">
        <f>VLOOKUP(B9023,BRAND!B:D,3,FALSE)</f>
        <v>11</v>
      </c>
      <c r="J9023">
        <f t="shared" ref="J9023:J9029" si="68">LEN(F9023)</f>
        <v>17</v>
      </c>
      <c r="L9023">
        <v>0</v>
      </c>
    </row>
    <row r="9024" spans="1:13">
      <c r="A9024" t="s">
        <v>10615</v>
      </c>
      <c r="B9024" t="s">
        <v>1455</v>
      </c>
      <c r="C9024" s="34" t="s">
        <v>10347</v>
      </c>
      <c r="F9024" t="s">
        <v>10347</v>
      </c>
      <c r="G9024" t="s">
        <v>6932</v>
      </c>
      <c r="H9024">
        <v>5</v>
      </c>
      <c r="I9024">
        <f>VLOOKUP(B9024,BRAND!B:D,3,FALSE)</f>
        <v>11</v>
      </c>
      <c r="J9024">
        <f t="shared" si="68"/>
        <v>14</v>
      </c>
      <c r="L9024">
        <v>0</v>
      </c>
    </row>
    <row r="9025" spans="1:13">
      <c r="A9025" t="s">
        <v>10583</v>
      </c>
      <c r="B9025" t="s">
        <v>1455</v>
      </c>
      <c r="C9025" s="34" t="s">
        <v>877</v>
      </c>
      <c r="D9025" t="s">
        <v>1459</v>
      </c>
      <c r="F9025" t="s">
        <v>877</v>
      </c>
      <c r="G9025" t="s">
        <v>6932</v>
      </c>
      <c r="H9025">
        <v>5</v>
      </c>
      <c r="I9025">
        <f>VLOOKUP(B9025,BRAND!B:D,3,FALSE)</f>
        <v>11</v>
      </c>
      <c r="J9025">
        <f t="shared" si="68"/>
        <v>12</v>
      </c>
      <c r="L9025">
        <v>0</v>
      </c>
    </row>
    <row r="9026" spans="1:13">
      <c r="A9026" t="s">
        <v>10613</v>
      </c>
      <c r="B9026" t="s">
        <v>1455</v>
      </c>
      <c r="C9026" s="34" t="s">
        <v>1459</v>
      </c>
      <c r="F9026" t="s">
        <v>1459</v>
      </c>
      <c r="G9026" t="s">
        <v>6932</v>
      </c>
      <c r="H9026">
        <v>5</v>
      </c>
      <c r="I9026">
        <f>VLOOKUP(B9026,BRAND!B:D,3,FALSE)</f>
        <v>11</v>
      </c>
      <c r="J9026">
        <f t="shared" si="68"/>
        <v>9</v>
      </c>
      <c r="L9026">
        <v>0</v>
      </c>
    </row>
    <row r="9027" spans="1:13">
      <c r="A9027" t="s">
        <v>10614</v>
      </c>
      <c r="B9027" t="s">
        <v>1455</v>
      </c>
      <c r="C9027" s="34" t="s">
        <v>5190</v>
      </c>
      <c r="F9027" t="s">
        <v>5190</v>
      </c>
      <c r="G9027" t="s">
        <v>6932</v>
      </c>
      <c r="H9027">
        <v>5</v>
      </c>
      <c r="I9027">
        <f>VLOOKUP(B9027,BRAND!B:D,3,FALSE)</f>
        <v>11</v>
      </c>
      <c r="J9027">
        <f t="shared" si="68"/>
        <v>5</v>
      </c>
      <c r="L9027">
        <v>0</v>
      </c>
    </row>
    <row r="9028" spans="1:13">
      <c r="A9028" t="s">
        <v>10584</v>
      </c>
      <c r="B9028" t="s">
        <v>1455</v>
      </c>
      <c r="C9028" s="34" t="s">
        <v>1513</v>
      </c>
      <c r="D9028" t="s">
        <v>1459</v>
      </c>
      <c r="F9028" t="s">
        <v>1513</v>
      </c>
      <c r="G9028" t="s">
        <v>6932</v>
      </c>
      <c r="H9028">
        <v>5</v>
      </c>
      <c r="I9028">
        <f>VLOOKUP(B9028,BRAND!B:D,3,FALSE)</f>
        <v>11</v>
      </c>
      <c r="J9028">
        <f t="shared" si="68"/>
        <v>5</v>
      </c>
      <c r="L9028">
        <v>0</v>
      </c>
    </row>
    <row r="9029" spans="1:13">
      <c r="A9029" t="s">
        <v>10585</v>
      </c>
      <c r="B9029" t="s">
        <v>1455</v>
      </c>
      <c r="C9029" s="34" t="s">
        <v>1515</v>
      </c>
      <c r="D9029" t="s">
        <v>1459</v>
      </c>
      <c r="F9029" t="s">
        <v>1515</v>
      </c>
      <c r="G9029" t="s">
        <v>6932</v>
      </c>
      <c r="H9029">
        <v>5</v>
      </c>
      <c r="I9029">
        <f>VLOOKUP(B9029,BRAND!B:D,3,FALSE)</f>
        <v>11</v>
      </c>
      <c r="J9029">
        <f t="shared" si="68"/>
        <v>4</v>
      </c>
      <c r="L9029">
        <v>0</v>
      </c>
    </row>
    <row r="9030" spans="1:13">
      <c r="A9030" t="s">
        <v>5556</v>
      </c>
      <c r="B9030" t="s">
        <v>1455</v>
      </c>
      <c r="C9030" s="34" t="s">
        <v>1459</v>
      </c>
      <c r="F9030" t="s">
        <v>1438</v>
      </c>
      <c r="H9030">
        <v>5</v>
      </c>
      <c r="I9030">
        <f>VLOOKUP(B9030,BRAND!B:D,3,FALSE)</f>
        <v>11</v>
      </c>
      <c r="J9030">
        <v>4</v>
      </c>
      <c r="K9030" t="s">
        <v>822</v>
      </c>
      <c r="M9030">
        <v>1</v>
      </c>
    </row>
    <row r="9031" spans="1:13">
      <c r="A9031" t="s">
        <v>10125</v>
      </c>
      <c r="B9031" t="s">
        <v>1455</v>
      </c>
      <c r="C9031" s="34" t="s">
        <v>1438</v>
      </c>
      <c r="F9031" t="s">
        <v>1438</v>
      </c>
      <c r="H9031">
        <v>15</v>
      </c>
      <c r="I9031">
        <f>VLOOKUP(B9031,BRAND!B:D,3,FALSE)</f>
        <v>11</v>
      </c>
      <c r="J9031">
        <v>4</v>
      </c>
      <c r="L9031">
        <v>0</v>
      </c>
      <c r="M9031">
        <v>0</v>
      </c>
    </row>
    <row r="9032" spans="1:13">
      <c r="A9032" t="s">
        <v>5555</v>
      </c>
      <c r="B9032" t="s">
        <v>1455</v>
      </c>
      <c r="C9032" s="34" t="s">
        <v>5554</v>
      </c>
      <c r="F9032" t="s">
        <v>1438</v>
      </c>
      <c r="H9032">
        <v>15</v>
      </c>
      <c r="I9032">
        <f>VLOOKUP(B9032,BRAND!B:D,3,FALSE)</f>
        <v>11</v>
      </c>
      <c r="J9032">
        <v>4</v>
      </c>
      <c r="K9032" t="s">
        <v>822</v>
      </c>
      <c r="M9032">
        <v>1</v>
      </c>
    </row>
    <row r="9033" spans="1:13">
      <c r="A9033" t="s">
        <v>3538</v>
      </c>
      <c r="B9033" t="s">
        <v>382</v>
      </c>
      <c r="C9033" s="34" t="s">
        <v>931</v>
      </c>
      <c r="F9033" t="s">
        <v>931</v>
      </c>
      <c r="H9033">
        <v>5</v>
      </c>
      <c r="I9033">
        <f>VLOOKUP(B9033,BRAND!B:D,3,FALSE)</f>
        <v>3</v>
      </c>
      <c r="J9033">
        <f>LEN(F9033)</f>
        <v>11</v>
      </c>
      <c r="K9033" t="s">
        <v>821</v>
      </c>
      <c r="M9033">
        <v>1</v>
      </c>
    </row>
    <row r="9034" spans="1:13">
      <c r="A9034" t="s">
        <v>3837</v>
      </c>
      <c r="B9034" t="s">
        <v>382</v>
      </c>
      <c r="C9034" s="34" t="s">
        <v>930</v>
      </c>
      <c r="F9034" t="s">
        <v>930</v>
      </c>
      <c r="H9034">
        <v>5</v>
      </c>
      <c r="I9034">
        <f>VLOOKUP(B9034,BRAND!B:D,3,FALSE)</f>
        <v>3</v>
      </c>
      <c r="J9034">
        <v>6</v>
      </c>
      <c r="K9034" t="s">
        <v>821</v>
      </c>
      <c r="L9034">
        <v>0</v>
      </c>
      <c r="M9034">
        <v>0</v>
      </c>
    </row>
    <row r="9035" spans="1:13">
      <c r="A9035" t="s">
        <v>3625</v>
      </c>
      <c r="B9035" t="s">
        <v>382</v>
      </c>
      <c r="C9035" s="34" t="s">
        <v>772</v>
      </c>
      <c r="F9035" t="s">
        <v>772</v>
      </c>
      <c r="H9035">
        <v>5</v>
      </c>
      <c r="I9035">
        <f>VLOOKUP(B9035,BRAND!B:D,3,FALSE)</f>
        <v>3</v>
      </c>
      <c r="J9035">
        <v>6</v>
      </c>
      <c r="K9035" t="s">
        <v>821</v>
      </c>
      <c r="M9035">
        <v>1</v>
      </c>
    </row>
    <row r="9036" spans="1:13">
      <c r="A9036" t="s">
        <v>3417</v>
      </c>
      <c r="B9036" t="s">
        <v>382</v>
      </c>
      <c r="C9036" s="34" t="s">
        <v>534</v>
      </c>
      <c r="F9036" t="s">
        <v>534</v>
      </c>
      <c r="H9036">
        <v>5</v>
      </c>
      <c r="I9036">
        <f>VLOOKUP(B9036,BRAND!B:D,3,FALSE)</f>
        <v>3</v>
      </c>
      <c r="J9036">
        <v>6</v>
      </c>
      <c r="K9036" t="s">
        <v>821</v>
      </c>
      <c r="M9036">
        <v>1</v>
      </c>
    </row>
    <row r="9037" spans="1:13">
      <c r="A9037" t="s">
        <v>3907</v>
      </c>
      <c r="B9037" t="s">
        <v>382</v>
      </c>
      <c r="C9037" s="34" t="s">
        <v>535</v>
      </c>
      <c r="F9037" t="s">
        <v>535</v>
      </c>
      <c r="H9037">
        <v>5</v>
      </c>
      <c r="I9037">
        <f>VLOOKUP(B9037,BRAND!B:D,3,FALSE)</f>
        <v>3</v>
      </c>
      <c r="J9037">
        <v>6</v>
      </c>
      <c r="K9037" t="s">
        <v>821</v>
      </c>
      <c r="M9037">
        <v>1</v>
      </c>
    </row>
    <row r="9038" spans="1:13">
      <c r="A9038" t="s">
        <v>3636</v>
      </c>
      <c r="B9038" t="s">
        <v>382</v>
      </c>
      <c r="C9038" s="34" t="s">
        <v>746</v>
      </c>
      <c r="F9038" t="s">
        <v>746</v>
      </c>
      <c r="H9038">
        <v>5</v>
      </c>
      <c r="I9038">
        <f>VLOOKUP(B9038,BRAND!B:D,3,FALSE)</f>
        <v>3</v>
      </c>
      <c r="J9038">
        <v>6</v>
      </c>
      <c r="K9038" t="s">
        <v>821</v>
      </c>
      <c r="M9038">
        <v>1</v>
      </c>
    </row>
    <row r="9039" spans="1:13">
      <c r="A9039" t="s">
        <v>3772</v>
      </c>
      <c r="B9039" t="s">
        <v>382</v>
      </c>
      <c r="C9039" s="34" t="s">
        <v>536</v>
      </c>
      <c r="F9039" t="s">
        <v>536</v>
      </c>
      <c r="H9039">
        <v>5</v>
      </c>
      <c r="I9039">
        <f>VLOOKUP(B9039,BRAND!B:D,3,FALSE)</f>
        <v>3</v>
      </c>
      <c r="J9039">
        <v>5</v>
      </c>
      <c r="K9039" t="s">
        <v>821</v>
      </c>
      <c r="L9039">
        <v>0</v>
      </c>
      <c r="M9039">
        <v>0</v>
      </c>
    </row>
    <row r="9040" spans="1:13">
      <c r="A9040" t="s">
        <v>3847</v>
      </c>
      <c r="B9040" t="s">
        <v>382</v>
      </c>
      <c r="C9040" s="34" t="s">
        <v>842</v>
      </c>
      <c r="F9040" t="s">
        <v>842</v>
      </c>
      <c r="H9040">
        <v>5</v>
      </c>
      <c r="I9040">
        <f>VLOOKUP(B9040,BRAND!B:D,3,FALSE)</f>
        <v>3</v>
      </c>
      <c r="J9040">
        <v>5</v>
      </c>
      <c r="K9040" t="s">
        <v>821</v>
      </c>
      <c r="L9040">
        <v>0</v>
      </c>
      <c r="M9040">
        <v>0</v>
      </c>
    </row>
    <row r="9041" spans="1:13">
      <c r="A9041" t="s">
        <v>9511</v>
      </c>
      <c r="B9041" t="s">
        <v>382</v>
      </c>
      <c r="C9041" s="34" t="s">
        <v>1438</v>
      </c>
      <c r="F9041" t="s">
        <v>1438</v>
      </c>
      <c r="G9041" t="s">
        <v>6932</v>
      </c>
      <c r="H9041">
        <v>5</v>
      </c>
      <c r="I9041">
        <f>VLOOKUP(B9041,BRAND!B:D,3,FALSE)</f>
        <v>3</v>
      </c>
      <c r="J9041">
        <v>4</v>
      </c>
      <c r="L9041">
        <v>0</v>
      </c>
      <c r="M9041">
        <v>0</v>
      </c>
    </row>
    <row r="9042" spans="1:13">
      <c r="A9042" t="s">
        <v>3414</v>
      </c>
      <c r="B9042" t="s">
        <v>382</v>
      </c>
      <c r="C9042" s="34" t="s">
        <v>775</v>
      </c>
      <c r="F9042" t="s">
        <v>775</v>
      </c>
      <c r="H9042">
        <v>5</v>
      </c>
      <c r="I9042">
        <f>VLOOKUP(B9042,BRAND!B:D,3,FALSE)</f>
        <v>3</v>
      </c>
      <c r="J9042">
        <v>3</v>
      </c>
      <c r="K9042" t="s">
        <v>821</v>
      </c>
      <c r="L9042">
        <v>0</v>
      </c>
      <c r="M9042">
        <v>0</v>
      </c>
    </row>
    <row r="9043" spans="1:13">
      <c r="A9043" t="s">
        <v>9963</v>
      </c>
      <c r="B9043" t="s">
        <v>382</v>
      </c>
      <c r="C9043" s="34" t="s">
        <v>872</v>
      </c>
      <c r="H9043">
        <v>5</v>
      </c>
      <c r="I9043">
        <f>VLOOKUP(B9043,BRAND!B:D,3,FALSE)</f>
        <v>3</v>
      </c>
      <c r="J9043">
        <f>LEN(F9043)</f>
        <v>0</v>
      </c>
      <c r="L9043">
        <v>0</v>
      </c>
      <c r="M9043">
        <v>0</v>
      </c>
    </row>
    <row r="9044" spans="1:13">
      <c r="A9044" t="s">
        <v>9964</v>
      </c>
      <c r="B9044" t="s">
        <v>382</v>
      </c>
      <c r="C9044" s="34" t="s">
        <v>881</v>
      </c>
      <c r="G9044" t="s">
        <v>6932</v>
      </c>
      <c r="H9044">
        <v>5</v>
      </c>
      <c r="I9044">
        <f>VLOOKUP(B9044,BRAND!B:D,3,FALSE)</f>
        <v>3</v>
      </c>
      <c r="J9044">
        <f>LEN(F9044)</f>
        <v>0</v>
      </c>
      <c r="L9044">
        <v>0</v>
      </c>
      <c r="M9044">
        <v>0</v>
      </c>
    </row>
    <row r="9045" spans="1:13">
      <c r="A9045" t="s">
        <v>9963</v>
      </c>
      <c r="B9045" t="s">
        <v>382</v>
      </c>
      <c r="C9045" s="34" t="s">
        <v>872</v>
      </c>
      <c r="H9045">
        <v>5</v>
      </c>
      <c r="I9045">
        <f>VLOOKUP(B9045,BRAND!B:D,3,FALSE)</f>
        <v>3</v>
      </c>
      <c r="J9045">
        <v>0</v>
      </c>
      <c r="M9045">
        <v>1</v>
      </c>
    </row>
    <row r="9046" spans="1:13">
      <c r="A9046" t="s">
        <v>9964</v>
      </c>
      <c r="B9046" t="s">
        <v>382</v>
      </c>
      <c r="C9046" s="34" t="s">
        <v>881</v>
      </c>
      <c r="G9046" t="s">
        <v>6932</v>
      </c>
      <c r="H9046">
        <v>5</v>
      </c>
      <c r="I9046">
        <f>VLOOKUP(B9046,BRAND!B:D,3,FALSE)</f>
        <v>3</v>
      </c>
      <c r="J9046">
        <v>0</v>
      </c>
      <c r="M9046">
        <v>1</v>
      </c>
    </row>
    <row r="9047" spans="1:13">
      <c r="A9047" t="s">
        <v>2680</v>
      </c>
      <c r="B9047" t="s">
        <v>382</v>
      </c>
      <c r="C9047" s="34" t="s">
        <v>1438</v>
      </c>
      <c r="F9047" t="s">
        <v>1438</v>
      </c>
      <c r="H9047">
        <v>15</v>
      </c>
      <c r="I9047">
        <f>VLOOKUP(B9047,BRAND!B:D,3,FALSE)</f>
        <v>3</v>
      </c>
      <c r="J9047">
        <v>4</v>
      </c>
      <c r="K9047" t="s">
        <v>821</v>
      </c>
      <c r="L9047">
        <v>0</v>
      </c>
      <c r="M9047">
        <v>0</v>
      </c>
    </row>
    <row r="9048" spans="1:13">
      <c r="A9048" t="s">
        <v>3433</v>
      </c>
      <c r="B9048" t="s">
        <v>231</v>
      </c>
      <c r="C9048" s="34" t="s">
        <v>5441</v>
      </c>
      <c r="F9048" t="s">
        <v>946</v>
      </c>
      <c r="H9048">
        <v>5</v>
      </c>
      <c r="I9048">
        <f>VLOOKUP(B9048,BRAND!B:D,3,FALSE)</f>
        <v>3</v>
      </c>
      <c r="J9048">
        <v>6</v>
      </c>
      <c r="K9048" t="s">
        <v>821</v>
      </c>
      <c r="M9048">
        <v>1</v>
      </c>
    </row>
    <row r="9049" spans="1:13">
      <c r="A9049" t="s">
        <v>3607</v>
      </c>
      <c r="B9049" t="s">
        <v>317</v>
      </c>
      <c r="C9049" s="34" t="s">
        <v>534</v>
      </c>
      <c r="F9049" t="s">
        <v>534</v>
      </c>
      <c r="H9049">
        <v>5</v>
      </c>
      <c r="I9049">
        <f>VLOOKUP(B9049,BRAND!B:D,3,FALSE)</f>
        <v>3</v>
      </c>
      <c r="J9049">
        <v>6</v>
      </c>
      <c r="K9049" t="s">
        <v>821</v>
      </c>
      <c r="L9049">
        <v>0</v>
      </c>
      <c r="M9049">
        <v>0</v>
      </c>
    </row>
    <row r="9050" spans="1:13">
      <c r="A9050" t="s">
        <v>2840</v>
      </c>
      <c r="B9050" t="s">
        <v>317</v>
      </c>
      <c r="C9050" s="34" t="s">
        <v>872</v>
      </c>
      <c r="F9050" t="s">
        <v>872</v>
      </c>
      <c r="H9050">
        <v>5</v>
      </c>
      <c r="I9050">
        <f>VLOOKUP(B9050,BRAND!B:D,3,FALSE)</f>
        <v>3</v>
      </c>
      <c r="J9050">
        <v>5</v>
      </c>
      <c r="K9050" t="s">
        <v>821</v>
      </c>
      <c r="L9050">
        <v>0</v>
      </c>
      <c r="M9050">
        <v>0</v>
      </c>
    </row>
    <row r="9051" spans="1:13">
      <c r="A9051" t="s">
        <v>4359</v>
      </c>
      <c r="B9051" t="s">
        <v>317</v>
      </c>
      <c r="C9051" s="34" t="s">
        <v>776</v>
      </c>
      <c r="F9051" t="s">
        <v>776</v>
      </c>
      <c r="H9051">
        <v>5</v>
      </c>
      <c r="I9051">
        <f>VLOOKUP(B9051,BRAND!B:D,3,FALSE)</f>
        <v>3</v>
      </c>
      <c r="J9051">
        <v>5</v>
      </c>
      <c r="K9051" t="s">
        <v>821</v>
      </c>
      <c r="L9051">
        <v>0</v>
      </c>
      <c r="M9051">
        <v>0</v>
      </c>
    </row>
    <row r="9052" spans="1:13">
      <c r="A9052" t="s">
        <v>4359</v>
      </c>
      <c r="B9052" t="s">
        <v>317</v>
      </c>
      <c r="C9052" s="34" t="s">
        <v>776</v>
      </c>
      <c r="F9052" t="s">
        <v>776</v>
      </c>
      <c r="H9052">
        <v>5</v>
      </c>
      <c r="I9052">
        <f>VLOOKUP(B9052,BRAND!B:D,3,FALSE)</f>
        <v>3</v>
      </c>
      <c r="J9052">
        <v>5</v>
      </c>
      <c r="K9052" t="s">
        <v>821</v>
      </c>
      <c r="L9052">
        <v>0</v>
      </c>
      <c r="M9052">
        <v>0</v>
      </c>
    </row>
    <row r="9053" spans="1:13">
      <c r="A9053" t="s">
        <v>2842</v>
      </c>
      <c r="B9053" t="s">
        <v>317</v>
      </c>
      <c r="C9053" s="34" t="s">
        <v>775</v>
      </c>
      <c r="F9053" t="s">
        <v>775</v>
      </c>
      <c r="H9053">
        <v>5</v>
      </c>
      <c r="I9053">
        <f>VLOOKUP(B9053,BRAND!B:D,3,FALSE)</f>
        <v>3</v>
      </c>
      <c r="J9053">
        <v>3</v>
      </c>
      <c r="K9053" t="s">
        <v>821</v>
      </c>
      <c r="L9053">
        <v>0</v>
      </c>
      <c r="M9053">
        <v>0</v>
      </c>
    </row>
    <row r="9054" spans="1:13">
      <c r="A9054" t="s">
        <v>2720</v>
      </c>
      <c r="B9054" t="s">
        <v>317</v>
      </c>
      <c r="C9054" s="34" t="s">
        <v>1438</v>
      </c>
      <c r="F9054" t="s">
        <v>1438</v>
      </c>
      <c r="H9054">
        <v>15</v>
      </c>
      <c r="I9054">
        <f>VLOOKUP(B9054,BRAND!B:D,3,FALSE)</f>
        <v>3</v>
      </c>
      <c r="J9054">
        <v>4</v>
      </c>
      <c r="K9054" t="s">
        <v>821</v>
      </c>
      <c r="L9054">
        <v>0</v>
      </c>
      <c r="M9054">
        <v>0</v>
      </c>
    </row>
    <row r="9055" spans="1:13">
      <c r="A9055" t="s">
        <v>9512</v>
      </c>
      <c r="B9055" t="s">
        <v>9513</v>
      </c>
      <c r="C9055" s="34" t="s">
        <v>1438</v>
      </c>
      <c r="F9055" t="s">
        <v>1438</v>
      </c>
      <c r="G9055" t="s">
        <v>6932</v>
      </c>
      <c r="H9055">
        <v>5</v>
      </c>
      <c r="I9055">
        <f>VLOOKUP(B9055,BRAND!B:D,3,FALSE)</f>
        <v>5.5</v>
      </c>
      <c r="J9055">
        <v>4</v>
      </c>
      <c r="M9055">
        <v>1</v>
      </c>
    </row>
    <row r="9056" spans="1:13">
      <c r="A9056" t="s">
        <v>9514</v>
      </c>
      <c r="B9056" t="s">
        <v>9515</v>
      </c>
      <c r="C9056" s="34" t="s">
        <v>9516</v>
      </c>
      <c r="F9056" t="s">
        <v>9516</v>
      </c>
      <c r="G9056" t="s">
        <v>6932</v>
      </c>
      <c r="H9056">
        <v>5</v>
      </c>
      <c r="I9056">
        <f>VLOOKUP(B9056,BRAND!B:D,3,FALSE)</f>
        <v>5.5</v>
      </c>
      <c r="J9056">
        <v>7</v>
      </c>
      <c r="M9056">
        <v>1</v>
      </c>
    </row>
    <row r="9057" spans="1:13">
      <c r="A9057" t="s">
        <v>9517</v>
      </c>
      <c r="B9057" t="s">
        <v>9515</v>
      </c>
      <c r="C9057" s="34" t="s">
        <v>896</v>
      </c>
      <c r="F9057" t="s">
        <v>896</v>
      </c>
      <c r="G9057" t="s">
        <v>6932</v>
      </c>
      <c r="H9057">
        <v>5</v>
      </c>
      <c r="I9057">
        <f>VLOOKUP(B9057,BRAND!B:D,3,FALSE)</f>
        <v>5.5</v>
      </c>
      <c r="J9057">
        <v>6</v>
      </c>
      <c r="M9057">
        <v>1</v>
      </c>
    </row>
    <row r="9058" spans="1:13">
      <c r="A9058" t="s">
        <v>12204</v>
      </c>
      <c r="B9058" t="s">
        <v>454</v>
      </c>
      <c r="C9058" s="34" t="s">
        <v>6361</v>
      </c>
      <c r="F9058" t="s">
        <v>6361</v>
      </c>
      <c r="G9058" t="s">
        <v>6932</v>
      </c>
      <c r="H9058">
        <v>5</v>
      </c>
    </row>
    <row r="9059" spans="1:13">
      <c r="A9059" t="s">
        <v>12205</v>
      </c>
      <c r="B9059" t="s">
        <v>454</v>
      </c>
      <c r="C9059" s="34" t="s">
        <v>12206</v>
      </c>
      <c r="F9059" t="s">
        <v>12206</v>
      </c>
      <c r="G9059" t="s">
        <v>6932</v>
      </c>
      <c r="H9059">
        <v>5</v>
      </c>
    </row>
    <row r="9060" spans="1:13">
      <c r="A9060" t="s">
        <v>12207</v>
      </c>
      <c r="B9060" t="s">
        <v>454</v>
      </c>
      <c r="C9060" s="34" t="s">
        <v>5590</v>
      </c>
      <c r="F9060" t="s">
        <v>5590</v>
      </c>
      <c r="G9060" t="s">
        <v>6932</v>
      </c>
      <c r="H9060">
        <v>5</v>
      </c>
    </row>
    <row r="9061" spans="1:13">
      <c r="A9061" t="s">
        <v>12208</v>
      </c>
      <c r="B9061" t="s">
        <v>454</v>
      </c>
      <c r="C9061" s="34" t="s">
        <v>10745</v>
      </c>
      <c r="F9061" t="s">
        <v>10745</v>
      </c>
      <c r="G9061" t="s">
        <v>6932</v>
      </c>
      <c r="H9061">
        <v>5</v>
      </c>
    </row>
    <row r="9062" spans="1:13">
      <c r="A9062" t="s">
        <v>12209</v>
      </c>
      <c r="B9062" t="s">
        <v>454</v>
      </c>
      <c r="C9062" s="34" t="s">
        <v>12210</v>
      </c>
      <c r="F9062" t="s">
        <v>899</v>
      </c>
      <c r="G9062" t="s">
        <v>6932</v>
      </c>
      <c r="H9062">
        <v>5</v>
      </c>
    </row>
    <row r="9063" spans="1:13">
      <c r="A9063" t="s">
        <v>12211</v>
      </c>
      <c r="B9063" t="s">
        <v>454</v>
      </c>
      <c r="C9063" s="34" t="s">
        <v>12212</v>
      </c>
      <c r="F9063" t="s">
        <v>12212</v>
      </c>
      <c r="G9063" t="s">
        <v>6932</v>
      </c>
      <c r="H9063">
        <v>5</v>
      </c>
    </row>
    <row r="9064" spans="1:13">
      <c r="A9064" t="s">
        <v>12213</v>
      </c>
      <c r="B9064" t="s">
        <v>454</v>
      </c>
      <c r="C9064" s="34" t="s">
        <v>6363</v>
      </c>
      <c r="F9064" t="s">
        <v>6363</v>
      </c>
      <c r="G9064" t="s">
        <v>6932</v>
      </c>
      <c r="H9064">
        <v>5</v>
      </c>
    </row>
    <row r="9065" spans="1:13">
      <c r="A9065" t="s">
        <v>12214</v>
      </c>
      <c r="B9065" t="s">
        <v>454</v>
      </c>
      <c r="C9065" s="34">
        <v>1516</v>
      </c>
      <c r="F9065">
        <v>1516</v>
      </c>
      <c r="G9065" t="s">
        <v>6932</v>
      </c>
      <c r="H9065">
        <v>5</v>
      </c>
    </row>
    <row r="9066" spans="1:13">
      <c r="A9066" t="s">
        <v>12215</v>
      </c>
      <c r="B9066" t="s">
        <v>454</v>
      </c>
      <c r="C9066" s="34" t="s">
        <v>777</v>
      </c>
      <c r="F9066" t="s">
        <v>777</v>
      </c>
      <c r="G9066" t="s">
        <v>6932</v>
      </c>
      <c r="H9066">
        <v>5</v>
      </c>
    </row>
    <row r="9067" spans="1:13">
      <c r="A9067" t="s">
        <v>13628</v>
      </c>
      <c r="B9067" t="s">
        <v>454</v>
      </c>
      <c r="C9067" s="34" t="s">
        <v>6361</v>
      </c>
      <c r="F9067" t="s">
        <v>6361</v>
      </c>
      <c r="G9067" t="s">
        <v>801</v>
      </c>
      <c r="H9067">
        <v>5</v>
      </c>
    </row>
    <row r="9068" spans="1:13">
      <c r="A9068" t="s">
        <v>12216</v>
      </c>
      <c r="B9068" t="s">
        <v>454</v>
      </c>
      <c r="C9068" s="34" t="s">
        <v>819</v>
      </c>
      <c r="F9068" t="s">
        <v>819</v>
      </c>
      <c r="G9068" t="s">
        <v>6932</v>
      </c>
      <c r="H9068">
        <v>5</v>
      </c>
    </row>
    <row r="9069" spans="1:13">
      <c r="A9069" t="s">
        <v>12217</v>
      </c>
      <c r="B9069" t="s">
        <v>454</v>
      </c>
      <c r="C9069" s="34" t="s">
        <v>919</v>
      </c>
      <c r="F9069" t="s">
        <v>919</v>
      </c>
      <c r="G9069" t="s">
        <v>6932</v>
      </c>
      <c r="H9069">
        <v>5</v>
      </c>
    </row>
    <row r="9070" spans="1:13">
      <c r="A9070" t="s">
        <v>12218</v>
      </c>
      <c r="B9070" t="s">
        <v>454</v>
      </c>
      <c r="C9070" s="34" t="s">
        <v>6364</v>
      </c>
      <c r="F9070" t="s">
        <v>6364</v>
      </c>
      <c r="G9070" t="s">
        <v>6932</v>
      </c>
      <c r="H9070">
        <v>5</v>
      </c>
    </row>
    <row r="9071" spans="1:13">
      <c r="A9071" t="s">
        <v>13627</v>
      </c>
      <c r="B9071" t="s">
        <v>454</v>
      </c>
      <c r="C9071" s="34" t="s">
        <v>12219</v>
      </c>
      <c r="F9071" t="s">
        <v>12220</v>
      </c>
      <c r="G9071" t="s">
        <v>801</v>
      </c>
      <c r="H9071">
        <v>5</v>
      </c>
    </row>
    <row r="9072" spans="1:13">
      <c r="A9072" t="s">
        <v>12221</v>
      </c>
      <c r="B9072" t="s">
        <v>454</v>
      </c>
      <c r="C9072" s="34" t="s">
        <v>12222</v>
      </c>
      <c r="F9072" t="s">
        <v>12222</v>
      </c>
      <c r="G9072" t="s">
        <v>6932</v>
      </c>
      <c r="H9072">
        <v>5</v>
      </c>
    </row>
    <row r="9073" spans="1:13">
      <c r="A9073" t="s">
        <v>12223</v>
      </c>
      <c r="B9073" t="s">
        <v>454</v>
      </c>
      <c r="C9073" s="34" t="s">
        <v>6361</v>
      </c>
      <c r="F9073" t="s">
        <v>6361</v>
      </c>
      <c r="G9073" t="s">
        <v>6932</v>
      </c>
      <c r="H9073">
        <v>5</v>
      </c>
    </row>
    <row r="9074" spans="1:13">
      <c r="A9074" t="s">
        <v>12224</v>
      </c>
      <c r="B9074" t="s">
        <v>454</v>
      </c>
      <c r="C9074" s="34" t="s">
        <v>742</v>
      </c>
      <c r="F9074" t="s">
        <v>742</v>
      </c>
      <c r="G9074" t="s">
        <v>6932</v>
      </c>
      <c r="H9074">
        <v>5</v>
      </c>
    </row>
    <row r="9075" spans="1:13">
      <c r="A9075" t="s">
        <v>3217</v>
      </c>
      <c r="B9075" t="s">
        <v>217</v>
      </c>
      <c r="C9075" s="34" t="s">
        <v>561</v>
      </c>
      <c r="F9075" t="s">
        <v>561</v>
      </c>
      <c r="H9075">
        <v>5</v>
      </c>
      <c r="I9075" t="e">
        <f>VLOOKUP(B9075,BRAND!B:D,3,FALSE)</f>
        <v>#N/A</v>
      </c>
      <c r="J9075">
        <v>3</v>
      </c>
      <c r="K9075" t="s">
        <v>821</v>
      </c>
      <c r="M9075">
        <v>1</v>
      </c>
    </row>
    <row r="9076" spans="1:13">
      <c r="A9076" t="s">
        <v>7260</v>
      </c>
      <c r="B9076" t="s">
        <v>217</v>
      </c>
      <c r="C9076" s="34" t="s">
        <v>1438</v>
      </c>
      <c r="F9076" t="s">
        <v>1438</v>
      </c>
      <c r="H9076">
        <v>8</v>
      </c>
      <c r="I9076" t="e">
        <f>VLOOKUP(B9076,BRAND!B:D,3,FALSE)</f>
        <v>#N/A</v>
      </c>
      <c r="L9076">
        <v>0</v>
      </c>
      <c r="M9076">
        <v>0</v>
      </c>
    </row>
    <row r="9077" spans="1:13">
      <c r="A9077" t="s">
        <v>5553</v>
      </c>
      <c r="B9077" t="s">
        <v>299</v>
      </c>
      <c r="C9077" s="34" t="s">
        <v>4899</v>
      </c>
      <c r="F9077" t="s">
        <v>4899</v>
      </c>
      <c r="H9077">
        <v>3</v>
      </c>
      <c r="I9077">
        <f>VLOOKUP(B9077,BRAND!B:D,3,FALSE)</f>
        <v>3</v>
      </c>
      <c r="J9077">
        <v>6</v>
      </c>
      <c r="K9077" t="s">
        <v>821</v>
      </c>
      <c r="L9077">
        <v>0</v>
      </c>
      <c r="M9077">
        <v>0</v>
      </c>
    </row>
    <row r="9078" spans="1:13">
      <c r="A9078" t="s">
        <v>2602</v>
      </c>
      <c r="B9078" t="s">
        <v>299</v>
      </c>
      <c r="C9078" s="34" t="s">
        <v>1997</v>
      </c>
      <c r="F9078" t="s">
        <v>1997</v>
      </c>
      <c r="H9078">
        <v>5</v>
      </c>
      <c r="I9078">
        <f>VLOOKUP(B9078,BRAND!B:D,3,FALSE)</f>
        <v>3</v>
      </c>
      <c r="J9078">
        <v>7</v>
      </c>
      <c r="K9078" t="s">
        <v>821</v>
      </c>
      <c r="L9078">
        <v>0</v>
      </c>
      <c r="M9078">
        <v>0</v>
      </c>
    </row>
    <row r="9079" spans="1:13">
      <c r="A9079" t="s">
        <v>3932</v>
      </c>
      <c r="B9079" t="s">
        <v>299</v>
      </c>
      <c r="C9079" s="34" t="s">
        <v>772</v>
      </c>
      <c r="F9079" t="s">
        <v>772</v>
      </c>
      <c r="H9079">
        <v>5</v>
      </c>
      <c r="I9079">
        <f>VLOOKUP(B9079,BRAND!B:D,3,FALSE)</f>
        <v>3</v>
      </c>
      <c r="J9079">
        <v>6</v>
      </c>
      <c r="K9079" t="s">
        <v>821</v>
      </c>
      <c r="M9079">
        <v>1</v>
      </c>
    </row>
    <row r="9080" spans="1:13">
      <c r="A9080" t="s">
        <v>3933</v>
      </c>
      <c r="B9080" t="s">
        <v>299</v>
      </c>
      <c r="C9080" s="34" t="s">
        <v>5253</v>
      </c>
      <c r="F9080" t="s">
        <v>534</v>
      </c>
      <c r="H9080">
        <v>5</v>
      </c>
      <c r="I9080">
        <f>VLOOKUP(B9080,BRAND!B:D,3,FALSE)</f>
        <v>3</v>
      </c>
      <c r="J9080">
        <v>6</v>
      </c>
      <c r="K9080" t="s">
        <v>821</v>
      </c>
      <c r="M9080">
        <v>1</v>
      </c>
    </row>
    <row r="9081" spans="1:13">
      <c r="A9081" t="s">
        <v>3385</v>
      </c>
      <c r="B9081" t="s">
        <v>299</v>
      </c>
      <c r="C9081" s="34" t="s">
        <v>791</v>
      </c>
      <c r="F9081" t="s">
        <v>791</v>
      </c>
      <c r="H9081">
        <v>5</v>
      </c>
      <c r="I9081">
        <f>VLOOKUP(B9081,BRAND!B:D,3,FALSE)</f>
        <v>3</v>
      </c>
      <c r="J9081">
        <v>5</v>
      </c>
      <c r="K9081" t="s">
        <v>821</v>
      </c>
      <c r="M9081">
        <v>1</v>
      </c>
    </row>
    <row r="9082" spans="1:13">
      <c r="A9082" t="s">
        <v>5254</v>
      </c>
      <c r="B9082" t="s">
        <v>299</v>
      </c>
      <c r="C9082" s="34" t="s">
        <v>5255</v>
      </c>
      <c r="F9082" t="s">
        <v>5255</v>
      </c>
      <c r="H9082">
        <v>5</v>
      </c>
      <c r="I9082">
        <f>VLOOKUP(B9082,BRAND!B:D,3,FALSE)</f>
        <v>3</v>
      </c>
      <c r="J9082">
        <v>3</v>
      </c>
      <c r="K9082" t="s">
        <v>821</v>
      </c>
      <c r="L9082">
        <v>0</v>
      </c>
      <c r="M9082">
        <v>0</v>
      </c>
    </row>
    <row r="9083" spans="1:13">
      <c r="A9083" t="s">
        <v>2868</v>
      </c>
      <c r="B9083" t="s">
        <v>300</v>
      </c>
      <c r="C9083" s="34" t="s">
        <v>842</v>
      </c>
      <c r="F9083" t="s">
        <v>842</v>
      </c>
      <c r="H9083">
        <v>5</v>
      </c>
      <c r="I9083">
        <f>VLOOKUP(B9083,BRAND!B:D,3,FALSE)</f>
        <v>3</v>
      </c>
      <c r="J9083">
        <v>5</v>
      </c>
      <c r="K9083" t="s">
        <v>821</v>
      </c>
      <c r="L9083">
        <v>0</v>
      </c>
      <c r="M9083">
        <v>0</v>
      </c>
    </row>
    <row r="9084" spans="1:13">
      <c r="A9084" t="s">
        <v>3869</v>
      </c>
      <c r="B9084" t="s">
        <v>300</v>
      </c>
      <c r="C9084" s="34" t="s">
        <v>536</v>
      </c>
      <c r="F9084" t="s">
        <v>536</v>
      </c>
      <c r="H9084">
        <v>5</v>
      </c>
      <c r="I9084">
        <f>VLOOKUP(B9084,BRAND!B:D,3,FALSE)</f>
        <v>3</v>
      </c>
      <c r="J9084">
        <v>5</v>
      </c>
      <c r="K9084" t="s">
        <v>821</v>
      </c>
      <c r="M9084">
        <v>1</v>
      </c>
    </row>
    <row r="9085" spans="1:13">
      <c r="A9085" t="s">
        <v>3936</v>
      </c>
      <c r="B9085" t="s">
        <v>300</v>
      </c>
      <c r="C9085" s="34" t="s">
        <v>758</v>
      </c>
      <c r="F9085" t="s">
        <v>758</v>
      </c>
      <c r="H9085">
        <v>5</v>
      </c>
      <c r="I9085">
        <f>VLOOKUP(B9085,BRAND!B:D,3,FALSE)</f>
        <v>3</v>
      </c>
      <c r="J9085">
        <v>2</v>
      </c>
      <c r="K9085" t="s">
        <v>821</v>
      </c>
      <c r="M9085">
        <v>1</v>
      </c>
    </row>
    <row r="9086" spans="1:13">
      <c r="A9086" t="s">
        <v>2376</v>
      </c>
      <c r="B9086" t="s">
        <v>300</v>
      </c>
      <c r="C9086" s="34" t="s">
        <v>759</v>
      </c>
      <c r="F9086" t="s">
        <v>759</v>
      </c>
      <c r="H9086">
        <v>5</v>
      </c>
      <c r="I9086">
        <f>VLOOKUP(B9086,BRAND!B:D,3,FALSE)</f>
        <v>3</v>
      </c>
      <c r="J9086">
        <v>1</v>
      </c>
      <c r="K9086" t="s">
        <v>821</v>
      </c>
      <c r="L9086">
        <v>0</v>
      </c>
      <c r="M9086">
        <v>0</v>
      </c>
    </row>
    <row r="9087" spans="1:13">
      <c r="A9087" t="s">
        <v>3531</v>
      </c>
      <c r="B9087" t="s">
        <v>300</v>
      </c>
      <c r="C9087" s="34" t="s">
        <v>762</v>
      </c>
      <c r="F9087" t="s">
        <v>762</v>
      </c>
      <c r="H9087">
        <v>5</v>
      </c>
      <c r="I9087">
        <f>VLOOKUP(B9087,BRAND!B:D,3,FALSE)</f>
        <v>3</v>
      </c>
      <c r="J9087">
        <v>1</v>
      </c>
      <c r="K9087" t="s">
        <v>821</v>
      </c>
      <c r="M9087">
        <v>1</v>
      </c>
    </row>
    <row r="9088" spans="1:13">
      <c r="A9088" t="s">
        <v>2393</v>
      </c>
      <c r="B9088" t="s">
        <v>300</v>
      </c>
      <c r="C9088" s="34" t="s">
        <v>1438</v>
      </c>
      <c r="F9088" t="s">
        <v>1438</v>
      </c>
      <c r="H9088">
        <v>15</v>
      </c>
      <c r="I9088">
        <f>VLOOKUP(B9088,BRAND!B:D,3,FALSE)</f>
        <v>3</v>
      </c>
      <c r="J9088">
        <v>4</v>
      </c>
      <c r="K9088" t="s">
        <v>821</v>
      </c>
      <c r="L9088">
        <v>0</v>
      </c>
      <c r="M9088">
        <v>0</v>
      </c>
    </row>
    <row r="9089" spans="1:13">
      <c r="A9089" t="s">
        <v>7101</v>
      </c>
      <c r="B9089" t="s">
        <v>6630</v>
      </c>
      <c r="C9089" s="34" t="s">
        <v>1438</v>
      </c>
      <c r="F9089" t="s">
        <v>1438</v>
      </c>
      <c r="H9089">
        <v>5</v>
      </c>
      <c r="I9089">
        <f>VLOOKUP(B9089,BRAND!B:D,3,FALSE)</f>
        <v>5</v>
      </c>
      <c r="J9089">
        <v>4</v>
      </c>
      <c r="M9089">
        <v>1</v>
      </c>
    </row>
    <row r="9090" spans="1:13">
      <c r="A9090" t="s">
        <v>7101</v>
      </c>
      <c r="B9090" t="s">
        <v>6630</v>
      </c>
      <c r="C9090" s="34" t="s">
        <v>1438</v>
      </c>
      <c r="F9090" t="s">
        <v>1438</v>
      </c>
      <c r="H9090">
        <v>5</v>
      </c>
      <c r="I9090">
        <f>VLOOKUP(B9090,BRAND!B:D,3,FALSE)</f>
        <v>5</v>
      </c>
      <c r="J9090">
        <v>4</v>
      </c>
      <c r="M9090">
        <v>1</v>
      </c>
    </row>
    <row r="9091" spans="1:13">
      <c r="A9091" t="s">
        <v>13526</v>
      </c>
      <c r="B9091" t="s">
        <v>9519</v>
      </c>
      <c r="C9091" s="34" t="s">
        <v>13527</v>
      </c>
      <c r="F9091" t="s">
        <v>13528</v>
      </c>
      <c r="G9091" t="s">
        <v>6932</v>
      </c>
      <c r="H9091">
        <v>4</v>
      </c>
    </row>
    <row r="9092" spans="1:13">
      <c r="A9092" t="s">
        <v>9518</v>
      </c>
      <c r="B9092" t="s">
        <v>9519</v>
      </c>
      <c r="C9092" s="34" t="s">
        <v>1438</v>
      </c>
      <c r="F9092" t="s">
        <v>1438</v>
      </c>
      <c r="G9092" t="s">
        <v>6932</v>
      </c>
      <c r="H9092">
        <v>5</v>
      </c>
      <c r="I9092">
        <f>VLOOKUP(B9092,BRAND!B:D,3,FALSE)</f>
        <v>62</v>
      </c>
      <c r="J9092">
        <v>4</v>
      </c>
      <c r="M9092">
        <v>1</v>
      </c>
    </row>
    <row r="9093" spans="1:13">
      <c r="A9093" t="s">
        <v>13471</v>
      </c>
      <c r="B9093" t="s">
        <v>9519</v>
      </c>
      <c r="C9093" s="34" t="s">
        <v>10870</v>
      </c>
      <c r="F9093" t="s">
        <v>13472</v>
      </c>
      <c r="G9093" t="s">
        <v>6932</v>
      </c>
      <c r="H9093">
        <v>5</v>
      </c>
    </row>
    <row r="9094" spans="1:13">
      <c r="A9094" t="s">
        <v>13473</v>
      </c>
      <c r="B9094" t="s">
        <v>9519</v>
      </c>
      <c r="C9094" s="34" t="s">
        <v>13474</v>
      </c>
      <c r="F9094" t="s">
        <v>13474</v>
      </c>
      <c r="G9094" t="s">
        <v>6932</v>
      </c>
      <c r="H9094">
        <v>5</v>
      </c>
    </row>
    <row r="9095" spans="1:13">
      <c r="A9095" t="s">
        <v>13475</v>
      </c>
      <c r="B9095" t="s">
        <v>9519</v>
      </c>
      <c r="C9095" s="34" t="s">
        <v>13476</v>
      </c>
      <c r="F9095" t="s">
        <v>13477</v>
      </c>
      <c r="G9095" t="s">
        <v>6932</v>
      </c>
      <c r="H9095">
        <v>5</v>
      </c>
    </row>
    <row r="9096" spans="1:13">
      <c r="A9096" t="s">
        <v>13478</v>
      </c>
      <c r="B9096" t="s">
        <v>9519</v>
      </c>
      <c r="C9096" s="34" t="s">
        <v>1987</v>
      </c>
      <c r="F9096" t="s">
        <v>13479</v>
      </c>
      <c r="G9096" t="s">
        <v>6932</v>
      </c>
      <c r="H9096">
        <v>5</v>
      </c>
    </row>
    <row r="9097" spans="1:13">
      <c r="A9097" t="s">
        <v>13480</v>
      </c>
      <c r="B9097" t="s">
        <v>9519</v>
      </c>
      <c r="C9097" s="34" t="s">
        <v>13481</v>
      </c>
      <c r="F9097" t="s">
        <v>13482</v>
      </c>
      <c r="G9097" t="s">
        <v>6932</v>
      </c>
      <c r="H9097">
        <v>5</v>
      </c>
    </row>
    <row r="9098" spans="1:13">
      <c r="A9098" t="s">
        <v>13483</v>
      </c>
      <c r="B9098" t="s">
        <v>9519</v>
      </c>
      <c r="C9098" s="34" t="s">
        <v>13484</v>
      </c>
      <c r="F9098" t="s">
        <v>13485</v>
      </c>
      <c r="G9098" t="s">
        <v>6932</v>
      </c>
      <c r="H9098">
        <v>5</v>
      </c>
    </row>
    <row r="9099" spans="1:13">
      <c r="A9099" t="s">
        <v>13486</v>
      </c>
      <c r="B9099" t="s">
        <v>9519</v>
      </c>
      <c r="C9099" s="34" t="s">
        <v>13487</v>
      </c>
      <c r="F9099" t="s">
        <v>13488</v>
      </c>
      <c r="G9099" t="s">
        <v>6932</v>
      </c>
      <c r="H9099">
        <v>5</v>
      </c>
    </row>
    <row r="9100" spans="1:13">
      <c r="A9100" t="s">
        <v>13489</v>
      </c>
      <c r="B9100" t="s">
        <v>9519</v>
      </c>
      <c r="C9100" s="34" t="s">
        <v>13490</v>
      </c>
      <c r="F9100" t="s">
        <v>13491</v>
      </c>
      <c r="G9100" t="s">
        <v>6932</v>
      </c>
      <c r="H9100">
        <v>5</v>
      </c>
    </row>
    <row r="9101" spans="1:13">
      <c r="A9101" t="s">
        <v>13492</v>
      </c>
      <c r="B9101" t="s">
        <v>9519</v>
      </c>
      <c r="C9101" s="34" t="s">
        <v>13493</v>
      </c>
      <c r="F9101" t="s">
        <v>13494</v>
      </c>
      <c r="G9101" t="s">
        <v>6932</v>
      </c>
      <c r="H9101">
        <v>5</v>
      </c>
    </row>
    <row r="9102" spans="1:13">
      <c r="A9102" t="s">
        <v>13495</v>
      </c>
      <c r="B9102" t="s">
        <v>9519</v>
      </c>
      <c r="C9102" s="34" t="s">
        <v>13496</v>
      </c>
      <c r="F9102" t="s">
        <v>13497</v>
      </c>
      <c r="G9102" t="s">
        <v>6932</v>
      </c>
      <c r="H9102">
        <v>5</v>
      </c>
    </row>
    <row r="9103" spans="1:13">
      <c r="A9103" t="s">
        <v>13498</v>
      </c>
      <c r="B9103" t="s">
        <v>9519</v>
      </c>
      <c r="C9103" s="34" t="s">
        <v>10150</v>
      </c>
      <c r="F9103" t="s">
        <v>13499</v>
      </c>
      <c r="G9103" t="s">
        <v>6932</v>
      </c>
      <c r="H9103">
        <v>5</v>
      </c>
    </row>
    <row r="9104" spans="1:13">
      <c r="A9104" t="s">
        <v>13500</v>
      </c>
      <c r="B9104" t="s">
        <v>9519</v>
      </c>
      <c r="C9104" s="34" t="s">
        <v>13501</v>
      </c>
      <c r="F9104" t="s">
        <v>13502</v>
      </c>
      <c r="G9104" t="s">
        <v>6932</v>
      </c>
      <c r="H9104">
        <v>5</v>
      </c>
    </row>
    <row r="9105" spans="1:8">
      <c r="A9105" t="s">
        <v>13503</v>
      </c>
      <c r="B9105" t="s">
        <v>9519</v>
      </c>
      <c r="C9105" s="34" t="s">
        <v>13504</v>
      </c>
      <c r="F9105" t="s">
        <v>13505</v>
      </c>
      <c r="G9105" t="s">
        <v>6932</v>
      </c>
      <c r="H9105">
        <v>5</v>
      </c>
    </row>
    <row r="9106" spans="1:8">
      <c r="A9106" t="s">
        <v>13506</v>
      </c>
      <c r="B9106" t="s">
        <v>9519</v>
      </c>
      <c r="C9106" s="34" t="s">
        <v>13507</v>
      </c>
      <c r="F9106" t="s">
        <v>13508</v>
      </c>
      <c r="G9106" t="s">
        <v>6932</v>
      </c>
      <c r="H9106">
        <v>5</v>
      </c>
    </row>
    <row r="9107" spans="1:8">
      <c r="A9107" t="s">
        <v>13509</v>
      </c>
      <c r="B9107" t="s">
        <v>9519</v>
      </c>
      <c r="C9107" s="34" t="s">
        <v>13510</v>
      </c>
      <c r="F9107" t="s">
        <v>13511</v>
      </c>
      <c r="G9107" t="s">
        <v>6932</v>
      </c>
      <c r="H9107">
        <v>5</v>
      </c>
    </row>
    <row r="9108" spans="1:8">
      <c r="A9108" t="s">
        <v>13512</v>
      </c>
      <c r="B9108" t="s">
        <v>9519</v>
      </c>
      <c r="C9108" s="34" t="s">
        <v>13513</v>
      </c>
      <c r="F9108" t="s">
        <v>13513</v>
      </c>
      <c r="G9108" t="s">
        <v>6932</v>
      </c>
      <c r="H9108">
        <v>5</v>
      </c>
    </row>
    <row r="9109" spans="1:8">
      <c r="A9109" t="s">
        <v>13514</v>
      </c>
      <c r="B9109" t="s">
        <v>9519</v>
      </c>
      <c r="C9109" s="34" t="s">
        <v>13515</v>
      </c>
      <c r="F9109" t="s">
        <v>13516</v>
      </c>
      <c r="G9109" t="s">
        <v>6932</v>
      </c>
      <c r="H9109">
        <v>5</v>
      </c>
    </row>
    <row r="9110" spans="1:8">
      <c r="A9110" t="s">
        <v>13517</v>
      </c>
      <c r="B9110" t="s">
        <v>9519</v>
      </c>
      <c r="C9110" s="34" t="s">
        <v>13518</v>
      </c>
      <c r="F9110" t="s">
        <v>13518</v>
      </c>
      <c r="G9110" t="s">
        <v>6932</v>
      </c>
      <c r="H9110">
        <v>5</v>
      </c>
    </row>
    <row r="9111" spans="1:8">
      <c r="A9111" t="s">
        <v>13519</v>
      </c>
      <c r="B9111" t="s">
        <v>9519</v>
      </c>
      <c r="C9111" s="34" t="s">
        <v>216</v>
      </c>
      <c r="F9111" t="s">
        <v>13520</v>
      </c>
      <c r="G9111" t="s">
        <v>6932</v>
      </c>
      <c r="H9111">
        <v>5</v>
      </c>
    </row>
    <row r="9112" spans="1:8">
      <c r="A9112" t="s">
        <v>13521</v>
      </c>
      <c r="B9112" t="s">
        <v>9519</v>
      </c>
      <c r="C9112" s="34" t="s">
        <v>13522</v>
      </c>
      <c r="F9112" t="s">
        <v>13523</v>
      </c>
      <c r="G9112" t="s">
        <v>6932</v>
      </c>
      <c r="H9112">
        <v>5</v>
      </c>
    </row>
    <row r="9113" spans="1:8">
      <c r="A9113" t="s">
        <v>13524</v>
      </c>
      <c r="B9113" t="s">
        <v>9519</v>
      </c>
      <c r="C9113" s="34" t="s">
        <v>10004</v>
      </c>
      <c r="F9113" t="s">
        <v>13525</v>
      </c>
      <c r="G9113" t="s">
        <v>6932</v>
      </c>
      <c r="H9113">
        <v>5</v>
      </c>
    </row>
    <row r="9114" spans="1:8">
      <c r="A9114" t="s">
        <v>13529</v>
      </c>
      <c r="B9114" t="s">
        <v>9519</v>
      </c>
      <c r="C9114" s="34" t="s">
        <v>13530</v>
      </c>
      <c r="F9114" t="s">
        <v>13531</v>
      </c>
      <c r="G9114" t="s">
        <v>6932</v>
      </c>
      <c r="H9114">
        <v>5</v>
      </c>
    </row>
    <row r="9115" spans="1:8">
      <c r="A9115" t="s">
        <v>13532</v>
      </c>
      <c r="B9115" t="s">
        <v>9519</v>
      </c>
      <c r="C9115" s="34" t="s">
        <v>13533</v>
      </c>
      <c r="F9115" t="s">
        <v>13534</v>
      </c>
      <c r="G9115" t="s">
        <v>6932</v>
      </c>
      <c r="H9115">
        <v>5</v>
      </c>
    </row>
    <row r="9116" spans="1:8">
      <c r="A9116" t="s">
        <v>13535</v>
      </c>
      <c r="B9116" t="s">
        <v>9519</v>
      </c>
      <c r="C9116" s="34" t="s">
        <v>13399</v>
      </c>
      <c r="F9116" t="s">
        <v>13536</v>
      </c>
      <c r="G9116" t="s">
        <v>6932</v>
      </c>
      <c r="H9116">
        <v>5</v>
      </c>
    </row>
    <row r="9117" spans="1:8">
      <c r="A9117" t="s">
        <v>13537</v>
      </c>
      <c r="B9117" t="s">
        <v>9519</v>
      </c>
      <c r="C9117" s="34" t="s">
        <v>13538</v>
      </c>
      <c r="F9117" t="s">
        <v>13538</v>
      </c>
      <c r="G9117" t="s">
        <v>6932</v>
      </c>
      <c r="H9117">
        <v>5</v>
      </c>
    </row>
    <row r="9118" spans="1:8">
      <c r="A9118" t="s">
        <v>13539</v>
      </c>
      <c r="B9118" t="s">
        <v>9519</v>
      </c>
      <c r="C9118" s="34" t="s">
        <v>13540</v>
      </c>
      <c r="F9118" t="s">
        <v>13541</v>
      </c>
      <c r="G9118" t="s">
        <v>6932</v>
      </c>
      <c r="H9118">
        <v>5</v>
      </c>
    </row>
    <row r="9119" spans="1:8">
      <c r="A9119" t="s">
        <v>13542</v>
      </c>
      <c r="B9119" t="s">
        <v>9519</v>
      </c>
      <c r="C9119" s="34" t="s">
        <v>13543</v>
      </c>
      <c r="F9119" t="s">
        <v>13544</v>
      </c>
      <c r="G9119" t="s">
        <v>6932</v>
      </c>
      <c r="H9119">
        <v>5</v>
      </c>
    </row>
    <row r="9120" spans="1:8">
      <c r="A9120" t="s">
        <v>13545</v>
      </c>
      <c r="B9120" t="s">
        <v>9519</v>
      </c>
      <c r="C9120" s="34" t="s">
        <v>13493</v>
      </c>
      <c r="F9120" t="s">
        <v>13546</v>
      </c>
      <c r="G9120" t="s">
        <v>6932</v>
      </c>
      <c r="H9120">
        <v>5</v>
      </c>
    </row>
    <row r="9121" spans="1:13">
      <c r="A9121" t="s">
        <v>13547</v>
      </c>
      <c r="B9121" t="s">
        <v>9519</v>
      </c>
      <c r="C9121" s="34" t="s">
        <v>13548</v>
      </c>
      <c r="F9121" t="s">
        <v>13549</v>
      </c>
      <c r="G9121" t="s">
        <v>6932</v>
      </c>
      <c r="H9121">
        <v>5</v>
      </c>
    </row>
    <row r="9122" spans="1:13">
      <c r="A9122" t="s">
        <v>13550</v>
      </c>
      <c r="B9122" t="s">
        <v>9519</v>
      </c>
      <c r="C9122" s="34" t="s">
        <v>13551</v>
      </c>
      <c r="F9122" t="s">
        <v>13551</v>
      </c>
      <c r="G9122" t="s">
        <v>6932</v>
      </c>
      <c r="H9122">
        <v>5</v>
      </c>
    </row>
    <row r="9123" spans="1:13">
      <c r="A9123" t="s">
        <v>13552</v>
      </c>
      <c r="B9123" t="s">
        <v>9519</v>
      </c>
      <c r="C9123" s="34" t="s">
        <v>13553</v>
      </c>
      <c r="F9123" t="s">
        <v>13554</v>
      </c>
      <c r="G9123" t="s">
        <v>6932</v>
      </c>
      <c r="H9123">
        <v>5</v>
      </c>
    </row>
    <row r="9124" spans="1:13">
      <c r="A9124" t="s">
        <v>13555</v>
      </c>
      <c r="B9124" t="s">
        <v>9519</v>
      </c>
      <c r="C9124" s="34" t="s">
        <v>13556</v>
      </c>
      <c r="F9124" t="s">
        <v>13557</v>
      </c>
      <c r="G9124" t="s">
        <v>6932</v>
      </c>
      <c r="H9124">
        <v>5</v>
      </c>
    </row>
    <row r="9125" spans="1:13">
      <c r="A9125" t="s">
        <v>13558</v>
      </c>
      <c r="B9125" t="s">
        <v>9519</v>
      </c>
      <c r="C9125" s="34" t="s">
        <v>896</v>
      </c>
      <c r="F9125" t="s">
        <v>13559</v>
      </c>
      <c r="G9125" t="s">
        <v>6932</v>
      </c>
      <c r="H9125">
        <v>5</v>
      </c>
    </row>
    <row r="9126" spans="1:13">
      <c r="A9126" t="s">
        <v>13560</v>
      </c>
      <c r="B9126" t="s">
        <v>9519</v>
      </c>
      <c r="C9126" s="34" t="s">
        <v>13561</v>
      </c>
      <c r="F9126" t="s">
        <v>13562</v>
      </c>
      <c r="G9126" t="s">
        <v>6932</v>
      </c>
      <c r="H9126">
        <v>5</v>
      </c>
    </row>
    <row r="9127" spans="1:13">
      <c r="A9127" t="s">
        <v>13563</v>
      </c>
      <c r="B9127" t="s">
        <v>9519</v>
      </c>
      <c r="C9127" s="34" t="s">
        <v>13564</v>
      </c>
      <c r="F9127" t="s">
        <v>13565</v>
      </c>
      <c r="G9127" t="s">
        <v>6932</v>
      </c>
      <c r="H9127">
        <v>5</v>
      </c>
    </row>
    <row r="9128" spans="1:13">
      <c r="A9128" t="s">
        <v>13566</v>
      </c>
      <c r="B9128" t="s">
        <v>9519</v>
      </c>
      <c r="C9128" s="34" t="s">
        <v>7928</v>
      </c>
      <c r="F9128" t="s">
        <v>13567</v>
      </c>
      <c r="G9128" t="s">
        <v>6932</v>
      </c>
      <c r="H9128">
        <v>5</v>
      </c>
    </row>
    <row r="9129" spans="1:13">
      <c r="A9129" t="s">
        <v>13568</v>
      </c>
      <c r="B9129" t="s">
        <v>9519</v>
      </c>
      <c r="C9129" s="34" t="s">
        <v>13569</v>
      </c>
      <c r="F9129" t="s">
        <v>13570</v>
      </c>
      <c r="G9129" t="s">
        <v>6932</v>
      </c>
      <c r="H9129">
        <v>5</v>
      </c>
    </row>
    <row r="9130" spans="1:13">
      <c r="A9130" t="s">
        <v>13571</v>
      </c>
      <c r="B9130" t="s">
        <v>9519</v>
      </c>
      <c r="C9130" s="34" t="s">
        <v>13572</v>
      </c>
      <c r="F9130" t="s">
        <v>13573</v>
      </c>
      <c r="G9130" t="s">
        <v>6932</v>
      </c>
      <c r="H9130">
        <v>5</v>
      </c>
    </row>
    <row r="9131" spans="1:13">
      <c r="A9131" t="s">
        <v>9520</v>
      </c>
      <c r="B9131" t="s">
        <v>9521</v>
      </c>
      <c r="C9131" s="34" t="s">
        <v>1438</v>
      </c>
      <c r="F9131" t="s">
        <v>1438</v>
      </c>
      <c r="G9131" t="s">
        <v>6932</v>
      </c>
      <c r="H9131">
        <v>5</v>
      </c>
      <c r="I9131">
        <f>VLOOKUP(B9131,BRAND!B:D,3,FALSE)</f>
        <v>5.5</v>
      </c>
      <c r="J9131">
        <v>4</v>
      </c>
      <c r="M9131">
        <v>1</v>
      </c>
    </row>
    <row r="9132" spans="1:13">
      <c r="A9132" t="s">
        <v>10126</v>
      </c>
      <c r="B9132" t="s">
        <v>6995</v>
      </c>
      <c r="C9132" s="34" t="s">
        <v>1438</v>
      </c>
      <c r="F9132" t="s">
        <v>1438</v>
      </c>
      <c r="H9132">
        <v>15</v>
      </c>
      <c r="I9132">
        <f>VLOOKUP(B9132,BRAND!B:D,3,FALSE)</f>
        <v>11</v>
      </c>
      <c r="J9132">
        <v>4</v>
      </c>
      <c r="L9132">
        <v>0</v>
      </c>
      <c r="M9132">
        <v>0</v>
      </c>
    </row>
    <row r="9133" spans="1:13">
      <c r="A9133" t="s">
        <v>3941</v>
      </c>
      <c r="B9133" t="s">
        <v>809</v>
      </c>
      <c r="C9133" s="34" t="s">
        <v>776</v>
      </c>
      <c r="F9133" t="s">
        <v>776</v>
      </c>
      <c r="H9133">
        <v>5</v>
      </c>
      <c r="I9133">
        <f>VLOOKUP(B9133,BRAND!B:D,3,FALSE)</f>
        <v>3</v>
      </c>
      <c r="J9133">
        <v>5</v>
      </c>
      <c r="K9133" t="s">
        <v>821</v>
      </c>
      <c r="L9133">
        <v>0</v>
      </c>
      <c r="M9133">
        <v>0</v>
      </c>
    </row>
    <row r="9134" spans="1:13">
      <c r="A9134" t="s">
        <v>2219</v>
      </c>
      <c r="B9134" t="s">
        <v>670</v>
      </c>
      <c r="C9134" s="34" t="s">
        <v>776</v>
      </c>
      <c r="F9134" t="s">
        <v>776</v>
      </c>
      <c r="H9134">
        <v>5</v>
      </c>
      <c r="I9134" t="e">
        <f>VLOOKUP(B9134,BRAND!B:D,3,FALSE)</f>
        <v>#N/A</v>
      </c>
      <c r="J9134">
        <v>5</v>
      </c>
      <c r="K9134" t="s">
        <v>821</v>
      </c>
      <c r="M9134">
        <v>1</v>
      </c>
    </row>
    <row r="9135" spans="1:13">
      <c r="A9135" t="s">
        <v>9004</v>
      </c>
      <c r="B9135" t="s">
        <v>9005</v>
      </c>
      <c r="C9135" s="34" t="s">
        <v>1438</v>
      </c>
      <c r="F9135" t="s">
        <v>1438</v>
      </c>
      <c r="G9135" t="s">
        <v>6932</v>
      </c>
      <c r="H9135">
        <v>5</v>
      </c>
      <c r="I9135">
        <f>VLOOKUP(B9135,BRAND!B:D,3,FALSE)</f>
        <v>5.5</v>
      </c>
      <c r="J9135">
        <v>4</v>
      </c>
      <c r="M9135">
        <v>1</v>
      </c>
    </row>
    <row r="9136" spans="1:13">
      <c r="A9136" t="s">
        <v>3358</v>
      </c>
      <c r="B9136" t="s">
        <v>218</v>
      </c>
      <c r="C9136" s="34" t="s">
        <v>5442</v>
      </c>
      <c r="F9136" t="s">
        <v>534</v>
      </c>
      <c r="H9136">
        <v>5</v>
      </c>
      <c r="I9136">
        <f>VLOOKUP(B9136,BRAND!B:D,3,FALSE)</f>
        <v>3</v>
      </c>
      <c r="J9136">
        <v>6</v>
      </c>
      <c r="K9136" t="s">
        <v>821</v>
      </c>
      <c r="M9136">
        <v>1</v>
      </c>
    </row>
    <row r="9137" spans="1:13">
      <c r="A9137" t="s">
        <v>9966</v>
      </c>
      <c r="B9137" t="s">
        <v>218</v>
      </c>
      <c r="C9137" s="34" t="s">
        <v>777</v>
      </c>
      <c r="H9137">
        <v>5</v>
      </c>
      <c r="I9137">
        <f>VLOOKUP(B9137,BRAND!B:D,3,FALSE)</f>
        <v>3</v>
      </c>
      <c r="J9137">
        <f>LEN(F9137)</f>
        <v>0</v>
      </c>
      <c r="L9137">
        <v>0</v>
      </c>
      <c r="M9137">
        <v>0</v>
      </c>
    </row>
    <row r="9138" spans="1:13">
      <c r="A9138" t="s">
        <v>9966</v>
      </c>
      <c r="B9138" t="s">
        <v>218</v>
      </c>
      <c r="C9138" s="34" t="s">
        <v>777</v>
      </c>
      <c r="H9138">
        <v>5</v>
      </c>
      <c r="I9138">
        <f>VLOOKUP(B9138,BRAND!B:D,3,FALSE)</f>
        <v>3</v>
      </c>
      <c r="J9138">
        <v>0</v>
      </c>
      <c r="M9138">
        <v>1</v>
      </c>
    </row>
    <row r="9139" spans="1:13">
      <c r="A9139" t="s">
        <v>9522</v>
      </c>
      <c r="B9139" t="s">
        <v>9523</v>
      </c>
      <c r="C9139" s="34" t="s">
        <v>1438</v>
      </c>
      <c r="F9139" t="s">
        <v>1438</v>
      </c>
      <c r="G9139" t="s">
        <v>6932</v>
      </c>
      <c r="H9139">
        <v>5</v>
      </c>
      <c r="I9139">
        <f>VLOOKUP(B9139,BRAND!B:D,3,FALSE)</f>
        <v>5.5</v>
      </c>
      <c r="J9139">
        <v>4</v>
      </c>
      <c r="L9139">
        <v>0</v>
      </c>
      <c r="M9139">
        <v>0</v>
      </c>
    </row>
    <row r="9140" spans="1:13">
      <c r="A9140" t="s">
        <v>9967</v>
      </c>
      <c r="B9140" t="s">
        <v>9523</v>
      </c>
      <c r="C9140" s="34" t="s">
        <v>655</v>
      </c>
      <c r="G9140" t="s">
        <v>6932</v>
      </c>
      <c r="H9140">
        <v>5</v>
      </c>
      <c r="I9140">
        <f>VLOOKUP(B9140,BRAND!B:D,3,FALSE)</f>
        <v>5.5</v>
      </c>
      <c r="J9140">
        <f>LEN(F9140)</f>
        <v>0</v>
      </c>
      <c r="L9140">
        <v>0</v>
      </c>
      <c r="M9140">
        <v>0</v>
      </c>
    </row>
    <row r="9141" spans="1:13">
      <c r="A9141" t="s">
        <v>9967</v>
      </c>
      <c r="B9141" t="s">
        <v>9523</v>
      </c>
      <c r="C9141" s="34" t="s">
        <v>655</v>
      </c>
      <c r="G9141" t="s">
        <v>6932</v>
      </c>
      <c r="H9141">
        <v>5</v>
      </c>
      <c r="I9141">
        <f>VLOOKUP(B9141,BRAND!B:D,3,FALSE)</f>
        <v>5.5</v>
      </c>
      <c r="J9141">
        <v>0</v>
      </c>
      <c r="M9141">
        <v>1</v>
      </c>
    </row>
    <row r="9142" spans="1:13">
      <c r="A9142" t="s">
        <v>3402</v>
      </c>
      <c r="B9142" t="s">
        <v>219</v>
      </c>
      <c r="C9142" s="34" t="s">
        <v>988</v>
      </c>
      <c r="F9142" t="s">
        <v>988</v>
      </c>
      <c r="H9142">
        <v>4</v>
      </c>
      <c r="I9142">
        <f>VLOOKUP(B9142,BRAND!B:D,3,FALSE)</f>
        <v>3</v>
      </c>
      <c r="J9142">
        <v>4</v>
      </c>
      <c r="K9142" t="s">
        <v>821</v>
      </c>
      <c r="M9142">
        <v>1</v>
      </c>
    </row>
    <row r="9143" spans="1:13">
      <c r="A9143" t="s">
        <v>3402</v>
      </c>
      <c r="B9143" t="s">
        <v>219</v>
      </c>
      <c r="C9143" s="34" t="s">
        <v>988</v>
      </c>
      <c r="F9143" t="s">
        <v>988</v>
      </c>
      <c r="H9143">
        <v>4</v>
      </c>
      <c r="I9143">
        <f>VLOOKUP(B9143,BRAND!B:D,3,FALSE)</f>
        <v>3</v>
      </c>
      <c r="J9143">
        <v>4</v>
      </c>
      <c r="K9143" t="s">
        <v>821</v>
      </c>
      <c r="M9143">
        <v>1</v>
      </c>
    </row>
    <row r="9144" spans="1:13">
      <c r="A9144" t="s">
        <v>4349</v>
      </c>
      <c r="B9144" t="s">
        <v>220</v>
      </c>
      <c r="C9144" s="34" t="s">
        <v>988</v>
      </c>
      <c r="F9144" t="s">
        <v>988</v>
      </c>
      <c r="H9144">
        <v>5</v>
      </c>
      <c r="I9144">
        <f>VLOOKUP(B9144,BRAND!B:D,3,FALSE)</f>
        <v>3</v>
      </c>
      <c r="J9144">
        <v>4</v>
      </c>
      <c r="K9144" t="s">
        <v>821</v>
      </c>
      <c r="M9144">
        <v>1</v>
      </c>
    </row>
    <row r="9145" spans="1:13">
      <c r="A9145" t="s">
        <v>3284</v>
      </c>
      <c r="B9145" t="s">
        <v>220</v>
      </c>
      <c r="C9145" s="34" t="s">
        <v>561</v>
      </c>
      <c r="F9145" t="s">
        <v>561</v>
      </c>
      <c r="H9145">
        <v>5</v>
      </c>
      <c r="I9145">
        <f>VLOOKUP(B9145,BRAND!B:D,3,FALSE)</f>
        <v>3</v>
      </c>
      <c r="J9145">
        <v>3</v>
      </c>
      <c r="K9145" t="s">
        <v>821</v>
      </c>
      <c r="L9145">
        <v>0</v>
      </c>
      <c r="M9145">
        <v>0</v>
      </c>
    </row>
    <row r="9146" spans="1:13">
      <c r="A9146" t="s">
        <v>2705</v>
      </c>
      <c r="B9146" t="s">
        <v>220</v>
      </c>
      <c r="C9146" s="34" t="s">
        <v>1438</v>
      </c>
      <c r="F9146" t="s">
        <v>1438</v>
      </c>
      <c r="H9146">
        <v>15</v>
      </c>
      <c r="I9146">
        <f>VLOOKUP(B9146,BRAND!B:D,3,FALSE)</f>
        <v>3</v>
      </c>
      <c r="J9146">
        <v>4</v>
      </c>
      <c r="K9146" t="s">
        <v>821</v>
      </c>
      <c r="L9146">
        <v>0</v>
      </c>
      <c r="M9146">
        <v>0</v>
      </c>
    </row>
    <row r="9147" spans="1:13">
      <c r="A9147" t="s">
        <v>9968</v>
      </c>
      <c r="B9147" t="s">
        <v>7132</v>
      </c>
      <c r="C9147" s="34" t="s">
        <v>772</v>
      </c>
      <c r="G9147" t="s">
        <v>6932</v>
      </c>
      <c r="H9147">
        <v>5</v>
      </c>
      <c r="I9147">
        <f>VLOOKUP(B9147,BRAND!B:D,3,FALSE)</f>
        <v>4</v>
      </c>
      <c r="J9147">
        <f>LEN(F9147)</f>
        <v>0</v>
      </c>
      <c r="L9147">
        <v>0</v>
      </c>
      <c r="M9147">
        <v>0</v>
      </c>
    </row>
    <row r="9148" spans="1:13">
      <c r="A9148" t="s">
        <v>9968</v>
      </c>
      <c r="B9148" t="s">
        <v>7132</v>
      </c>
      <c r="C9148" s="34" t="s">
        <v>772</v>
      </c>
      <c r="F9148" t="s">
        <v>772</v>
      </c>
      <c r="G9148" t="s">
        <v>6932</v>
      </c>
      <c r="H9148">
        <v>5</v>
      </c>
      <c r="I9148">
        <f>VLOOKUP(B9148,BRAND!B:D,3,FALSE)</f>
        <v>4</v>
      </c>
      <c r="J9148">
        <v>0</v>
      </c>
      <c r="M9148">
        <v>1</v>
      </c>
    </row>
    <row r="9149" spans="1:13">
      <c r="A9149" t="s">
        <v>4255</v>
      </c>
      <c r="B9149" t="s">
        <v>1885</v>
      </c>
      <c r="C9149" s="34" t="s">
        <v>534</v>
      </c>
      <c r="F9149" t="s">
        <v>534</v>
      </c>
      <c r="H9149">
        <v>5</v>
      </c>
      <c r="I9149">
        <f>VLOOKUP(B9149,BRAND!B:D,3,FALSE)</f>
        <v>5</v>
      </c>
      <c r="J9149">
        <v>6</v>
      </c>
      <c r="K9149" t="s">
        <v>821</v>
      </c>
      <c r="L9149">
        <v>0</v>
      </c>
      <c r="M9149">
        <v>0</v>
      </c>
    </row>
    <row r="9150" spans="1:13">
      <c r="A9150" t="s">
        <v>4356</v>
      </c>
      <c r="B9150" t="s">
        <v>351</v>
      </c>
      <c r="C9150" s="34" t="s">
        <v>1472</v>
      </c>
      <c r="F9150" t="s">
        <v>1472</v>
      </c>
      <c r="H9150">
        <v>5</v>
      </c>
      <c r="I9150">
        <f>VLOOKUP(B9150,BRAND!B:D,3,FALSE)</f>
        <v>3</v>
      </c>
      <c r="J9150">
        <f>LEN(F9150)</f>
        <v>11</v>
      </c>
      <c r="K9150" t="s">
        <v>821</v>
      </c>
      <c r="L9150">
        <v>0</v>
      </c>
      <c r="M9150">
        <v>0</v>
      </c>
    </row>
    <row r="9151" spans="1:13">
      <c r="A9151" t="s">
        <v>4661</v>
      </c>
      <c r="B9151" t="s">
        <v>351</v>
      </c>
      <c r="C9151" s="34" t="s">
        <v>1476</v>
      </c>
      <c r="F9151" t="s">
        <v>1476</v>
      </c>
      <c r="H9151">
        <v>5</v>
      </c>
      <c r="I9151">
        <f>VLOOKUP(B9151,BRAND!B:D,3,FALSE)</f>
        <v>3</v>
      </c>
      <c r="J9151">
        <f>LEN(F9151)</f>
        <v>11</v>
      </c>
      <c r="K9151" t="s">
        <v>821</v>
      </c>
      <c r="L9151">
        <v>0</v>
      </c>
      <c r="M9151">
        <v>0</v>
      </c>
    </row>
    <row r="9152" spans="1:13">
      <c r="A9152" t="s">
        <v>4308</v>
      </c>
      <c r="B9152" t="s">
        <v>351</v>
      </c>
      <c r="C9152" s="34" t="s">
        <v>772</v>
      </c>
      <c r="F9152" t="s">
        <v>772</v>
      </c>
      <c r="H9152">
        <v>5</v>
      </c>
      <c r="I9152">
        <f>VLOOKUP(B9152,BRAND!B:D,3,FALSE)</f>
        <v>3</v>
      </c>
      <c r="J9152">
        <v>6</v>
      </c>
      <c r="K9152" t="s">
        <v>821</v>
      </c>
      <c r="L9152">
        <v>0</v>
      </c>
      <c r="M9152">
        <v>0</v>
      </c>
    </row>
    <row r="9153" spans="1:13">
      <c r="A9153" t="s">
        <v>4697</v>
      </c>
      <c r="B9153" t="s">
        <v>351</v>
      </c>
      <c r="C9153" s="34" t="s">
        <v>534</v>
      </c>
      <c r="F9153" t="s">
        <v>534</v>
      </c>
      <c r="H9153">
        <v>5</v>
      </c>
      <c r="I9153">
        <f>VLOOKUP(B9153,BRAND!B:D,3,FALSE)</f>
        <v>3</v>
      </c>
      <c r="J9153">
        <v>6</v>
      </c>
      <c r="K9153" t="s">
        <v>821</v>
      </c>
      <c r="L9153">
        <v>0</v>
      </c>
      <c r="M9153">
        <v>0</v>
      </c>
    </row>
    <row r="9154" spans="1:13">
      <c r="A9154" t="s">
        <v>4173</v>
      </c>
      <c r="B9154" t="s">
        <v>351</v>
      </c>
      <c r="C9154" s="34" t="s">
        <v>746</v>
      </c>
      <c r="F9154" t="s">
        <v>746</v>
      </c>
      <c r="H9154">
        <v>5</v>
      </c>
      <c r="I9154">
        <f>VLOOKUP(B9154,BRAND!B:D,3,FALSE)</f>
        <v>3</v>
      </c>
      <c r="J9154">
        <v>6</v>
      </c>
      <c r="K9154" t="s">
        <v>821</v>
      </c>
      <c r="M9154">
        <v>1</v>
      </c>
    </row>
    <row r="9155" spans="1:13">
      <c r="A9155" t="s">
        <v>9524</v>
      </c>
      <c r="B9155" t="s">
        <v>351</v>
      </c>
      <c r="C9155" s="34" t="s">
        <v>1438</v>
      </c>
      <c r="F9155" t="s">
        <v>1438</v>
      </c>
      <c r="G9155" t="s">
        <v>6932</v>
      </c>
      <c r="H9155">
        <v>5</v>
      </c>
      <c r="I9155">
        <f>VLOOKUP(B9155,BRAND!B:D,3,FALSE)</f>
        <v>3</v>
      </c>
      <c r="J9155">
        <v>4</v>
      </c>
      <c r="L9155">
        <v>0</v>
      </c>
      <c r="M9155">
        <v>0</v>
      </c>
    </row>
    <row r="9156" spans="1:13">
      <c r="A9156" t="s">
        <v>3970</v>
      </c>
      <c r="B9156" t="s">
        <v>351</v>
      </c>
      <c r="C9156" s="34" t="s">
        <v>781</v>
      </c>
      <c r="F9156" t="s">
        <v>781</v>
      </c>
      <c r="H9156">
        <v>5</v>
      </c>
      <c r="I9156">
        <f>VLOOKUP(B9156,BRAND!B:D,3,FALSE)</f>
        <v>3</v>
      </c>
      <c r="J9156">
        <v>4</v>
      </c>
      <c r="K9156" t="s">
        <v>821</v>
      </c>
      <c r="M9156">
        <v>1</v>
      </c>
    </row>
    <row r="9157" spans="1:13">
      <c r="A9157" t="s">
        <v>7067</v>
      </c>
      <c r="B9157" t="s">
        <v>7068</v>
      </c>
      <c r="C9157" s="34" t="s">
        <v>7069</v>
      </c>
      <c r="F9157" t="s">
        <v>772</v>
      </c>
      <c r="H9157">
        <v>5</v>
      </c>
      <c r="I9157">
        <f>VLOOKUP(B9157,BRAND!B:D,3,FALSE)</f>
        <v>5</v>
      </c>
      <c r="J9157">
        <v>6</v>
      </c>
      <c r="L9157">
        <v>0</v>
      </c>
      <c r="M9157">
        <v>0</v>
      </c>
    </row>
    <row r="9158" spans="1:13">
      <c r="A9158" t="s">
        <v>9525</v>
      </c>
      <c r="B9158" t="s">
        <v>9526</v>
      </c>
      <c r="C9158" s="34" t="s">
        <v>1438</v>
      </c>
      <c r="F9158" t="s">
        <v>1438</v>
      </c>
      <c r="G9158" t="s">
        <v>6932</v>
      </c>
      <c r="H9158">
        <v>5</v>
      </c>
      <c r="I9158">
        <f>VLOOKUP(B9158,BRAND!B:D,3,FALSE)</f>
        <v>5.5</v>
      </c>
      <c r="J9158">
        <v>4</v>
      </c>
      <c r="M9158">
        <v>1</v>
      </c>
    </row>
    <row r="9159" spans="1:13">
      <c r="A9159" t="s">
        <v>10127</v>
      </c>
      <c r="B9159" t="s">
        <v>7008</v>
      </c>
      <c r="C9159" s="34" t="s">
        <v>1438</v>
      </c>
      <c r="F9159" t="s">
        <v>1438</v>
      </c>
      <c r="H9159">
        <v>15</v>
      </c>
      <c r="I9159">
        <f>VLOOKUP(B9159,BRAND!B:D,3,FALSE)</f>
        <v>11</v>
      </c>
      <c r="J9159">
        <v>4</v>
      </c>
      <c r="L9159">
        <v>0</v>
      </c>
      <c r="M9159">
        <v>0</v>
      </c>
    </row>
    <row r="9160" spans="1:13">
      <c r="A9160" t="s">
        <v>4836</v>
      </c>
      <c r="B9160" t="s">
        <v>221</v>
      </c>
      <c r="C9160" s="34" t="s">
        <v>775</v>
      </c>
      <c r="F9160" t="s">
        <v>775</v>
      </c>
      <c r="H9160">
        <v>5</v>
      </c>
      <c r="I9160">
        <f>VLOOKUP(B9160,BRAND!B:D,3,FALSE)</f>
        <v>3</v>
      </c>
      <c r="J9160">
        <v>3</v>
      </c>
      <c r="K9160" t="s">
        <v>821</v>
      </c>
      <c r="L9160">
        <v>0</v>
      </c>
      <c r="M9160">
        <v>0</v>
      </c>
    </row>
    <row r="9161" spans="1:13">
      <c r="A9161" t="s">
        <v>15465</v>
      </c>
      <c r="B9161" t="s">
        <v>15466</v>
      </c>
      <c r="C9161" s="34" t="s">
        <v>761</v>
      </c>
      <c r="F9161" t="s">
        <v>761</v>
      </c>
      <c r="G9161" t="s">
        <v>6932</v>
      </c>
      <c r="H9161">
        <v>5</v>
      </c>
      <c r="I9161">
        <f>VLOOKUP(B9161,BRAND!B:D,3,FALSE)</f>
        <v>5</v>
      </c>
      <c r="J9161">
        <v>0</v>
      </c>
      <c r="K9161" t="s">
        <v>821</v>
      </c>
      <c r="L9161">
        <v>0</v>
      </c>
      <c r="M9161">
        <v>0</v>
      </c>
    </row>
    <row r="9162" spans="1:13">
      <c r="A9162" t="s">
        <v>15467</v>
      </c>
      <c r="B9162" t="s">
        <v>15466</v>
      </c>
      <c r="C9162" s="34" t="s">
        <v>749</v>
      </c>
      <c r="F9162" t="s">
        <v>749</v>
      </c>
      <c r="G9162" t="s">
        <v>6932</v>
      </c>
      <c r="H9162">
        <v>5</v>
      </c>
      <c r="I9162">
        <f>VLOOKUP(B9162,BRAND!B:D,3,FALSE)</f>
        <v>5</v>
      </c>
      <c r="J9162">
        <v>0</v>
      </c>
      <c r="K9162" t="s">
        <v>821</v>
      </c>
      <c r="L9162">
        <v>0</v>
      </c>
      <c r="M9162">
        <v>0</v>
      </c>
    </row>
    <row r="9163" spans="1:13">
      <c r="A9163" t="s">
        <v>15468</v>
      </c>
      <c r="B9163" t="s">
        <v>15466</v>
      </c>
      <c r="C9163" s="34" t="s">
        <v>775</v>
      </c>
      <c r="F9163" t="s">
        <v>775</v>
      </c>
      <c r="G9163" t="s">
        <v>6932</v>
      </c>
      <c r="H9163">
        <v>5</v>
      </c>
      <c r="I9163">
        <f>VLOOKUP(B9163,BRAND!B:D,3,FALSE)</f>
        <v>5</v>
      </c>
      <c r="J9163">
        <v>0</v>
      </c>
      <c r="K9163" t="s">
        <v>821</v>
      </c>
      <c r="L9163">
        <v>0</v>
      </c>
      <c r="M9163">
        <v>0</v>
      </c>
    </row>
    <row r="9164" spans="1:13">
      <c r="A9164" t="s">
        <v>15468</v>
      </c>
      <c r="B9164" t="s">
        <v>15466</v>
      </c>
      <c r="C9164" s="34" t="s">
        <v>775</v>
      </c>
      <c r="F9164" t="s">
        <v>775</v>
      </c>
      <c r="G9164" t="s">
        <v>6932</v>
      </c>
      <c r="H9164">
        <v>5</v>
      </c>
      <c r="I9164">
        <f>VLOOKUP(B9164,BRAND!B:D,3,FALSE)</f>
        <v>5</v>
      </c>
      <c r="J9164">
        <v>0</v>
      </c>
      <c r="K9164" t="s">
        <v>821</v>
      </c>
      <c r="L9164">
        <v>0</v>
      </c>
      <c r="M9164">
        <v>0</v>
      </c>
    </row>
    <row r="9165" spans="1:13">
      <c r="A9165" t="s">
        <v>9527</v>
      </c>
      <c r="B9165" t="s">
        <v>9528</v>
      </c>
      <c r="C9165" s="34" t="s">
        <v>1438</v>
      </c>
      <c r="F9165" t="s">
        <v>1438</v>
      </c>
      <c r="G9165" t="s">
        <v>6932</v>
      </c>
      <c r="H9165">
        <v>5</v>
      </c>
      <c r="I9165">
        <f>VLOOKUP(B9165,BRAND!B:D,3,FALSE)</f>
        <v>5.5</v>
      </c>
      <c r="J9165">
        <v>4</v>
      </c>
      <c r="M9165">
        <v>1</v>
      </c>
    </row>
    <row r="9166" spans="1:13">
      <c r="A9166" t="s">
        <v>9969</v>
      </c>
      <c r="B9166" t="s">
        <v>7168</v>
      </c>
      <c r="C9166" s="34" t="s">
        <v>535</v>
      </c>
      <c r="G9166" t="s">
        <v>6932</v>
      </c>
      <c r="H9166">
        <v>5</v>
      </c>
      <c r="I9166">
        <f>VLOOKUP(B9166,BRAND!B:D,3,FALSE)</f>
        <v>5.5</v>
      </c>
      <c r="J9166">
        <f>LEN(F9166)</f>
        <v>0</v>
      </c>
      <c r="L9166">
        <v>0</v>
      </c>
      <c r="M9166">
        <v>0</v>
      </c>
    </row>
    <row r="9167" spans="1:13">
      <c r="A9167" t="s">
        <v>9970</v>
      </c>
      <c r="B9167" t="s">
        <v>7168</v>
      </c>
      <c r="C9167" s="34" t="s">
        <v>1999</v>
      </c>
      <c r="G9167" t="s">
        <v>6932</v>
      </c>
      <c r="H9167">
        <v>5</v>
      </c>
      <c r="I9167">
        <f>VLOOKUP(B9167,BRAND!B:D,3,FALSE)</f>
        <v>5.5</v>
      </c>
      <c r="J9167">
        <f>LEN(F9167)</f>
        <v>0</v>
      </c>
      <c r="L9167">
        <v>0</v>
      </c>
      <c r="M9167">
        <v>0</v>
      </c>
    </row>
    <row r="9168" spans="1:13">
      <c r="A9168" t="s">
        <v>9969</v>
      </c>
      <c r="B9168" t="s">
        <v>7168</v>
      </c>
      <c r="C9168" s="34" t="s">
        <v>535</v>
      </c>
      <c r="G9168" t="s">
        <v>6932</v>
      </c>
      <c r="H9168">
        <v>5</v>
      </c>
      <c r="I9168">
        <f>VLOOKUP(B9168,BRAND!B:D,3,FALSE)</f>
        <v>5.5</v>
      </c>
      <c r="J9168">
        <v>0</v>
      </c>
      <c r="M9168">
        <v>1</v>
      </c>
    </row>
    <row r="9169" spans="1:13">
      <c r="A9169" t="s">
        <v>9970</v>
      </c>
      <c r="B9169" t="s">
        <v>7168</v>
      </c>
      <c r="C9169" s="34" t="s">
        <v>1999</v>
      </c>
      <c r="G9169" t="s">
        <v>6932</v>
      </c>
      <c r="H9169">
        <v>5</v>
      </c>
      <c r="I9169">
        <f>VLOOKUP(B9169,BRAND!B:D,3,FALSE)</f>
        <v>5.5</v>
      </c>
      <c r="J9169">
        <v>0</v>
      </c>
      <c r="M9169">
        <v>1</v>
      </c>
    </row>
    <row r="9170" spans="1:13">
      <c r="A9170" t="s">
        <v>7180</v>
      </c>
      <c r="B9170" t="s">
        <v>7168</v>
      </c>
      <c r="C9170" s="34" t="s">
        <v>1438</v>
      </c>
      <c r="F9170" t="s">
        <v>1438</v>
      </c>
      <c r="H9170">
        <v>5</v>
      </c>
      <c r="I9170">
        <f>VLOOKUP(B9170,BRAND!B:D,3,FALSE)</f>
        <v>5.5</v>
      </c>
      <c r="M9170">
        <v>1</v>
      </c>
    </row>
    <row r="9171" spans="1:13">
      <c r="A9171" t="s">
        <v>7176</v>
      </c>
      <c r="B9171" t="s">
        <v>7168</v>
      </c>
      <c r="C9171" s="34" t="s">
        <v>772</v>
      </c>
      <c r="F9171" t="s">
        <v>772</v>
      </c>
      <c r="H9171">
        <v>5</v>
      </c>
      <c r="I9171">
        <f>VLOOKUP(B9171,BRAND!B:D,3,FALSE)</f>
        <v>5.5</v>
      </c>
      <c r="M9171">
        <v>1</v>
      </c>
    </row>
    <row r="9172" spans="1:13">
      <c r="A9172" t="s">
        <v>7172</v>
      </c>
      <c r="B9172" t="s">
        <v>7168</v>
      </c>
      <c r="C9172" s="34" t="s">
        <v>840</v>
      </c>
      <c r="F9172" t="s">
        <v>840</v>
      </c>
      <c r="H9172">
        <v>5</v>
      </c>
      <c r="I9172">
        <f>VLOOKUP(B9172,BRAND!B:D,3,FALSE)</f>
        <v>5.5</v>
      </c>
      <c r="M9172">
        <v>1</v>
      </c>
    </row>
    <row r="9173" spans="1:13">
      <c r="A9173" t="s">
        <v>7169</v>
      </c>
      <c r="B9173" t="s">
        <v>7168</v>
      </c>
      <c r="C9173" s="34" t="s">
        <v>534</v>
      </c>
      <c r="F9173" t="s">
        <v>534</v>
      </c>
      <c r="H9173">
        <v>5</v>
      </c>
      <c r="I9173">
        <f>VLOOKUP(B9173,BRAND!B:D,3,FALSE)</f>
        <v>5.5</v>
      </c>
      <c r="M9173">
        <v>1</v>
      </c>
    </row>
    <row r="9174" spans="1:13">
      <c r="A9174" t="s">
        <v>7167</v>
      </c>
      <c r="B9174" t="s">
        <v>7168</v>
      </c>
      <c r="C9174" s="34" t="s">
        <v>536</v>
      </c>
      <c r="F9174" t="s">
        <v>5232</v>
      </c>
      <c r="H9174">
        <v>5</v>
      </c>
      <c r="I9174">
        <f>VLOOKUP(B9174,BRAND!B:D,3,FALSE)</f>
        <v>5.5</v>
      </c>
      <c r="M9174">
        <v>1</v>
      </c>
    </row>
    <row r="9175" spans="1:13">
      <c r="A9175" t="s">
        <v>7173</v>
      </c>
      <c r="B9175" t="s">
        <v>7168</v>
      </c>
      <c r="C9175" s="34" t="s">
        <v>778</v>
      </c>
      <c r="F9175" t="s">
        <v>778</v>
      </c>
      <c r="H9175">
        <v>5</v>
      </c>
      <c r="I9175">
        <f>VLOOKUP(B9175,BRAND!B:D,3,FALSE)</f>
        <v>5.5</v>
      </c>
      <c r="M9175">
        <v>1</v>
      </c>
    </row>
    <row r="9176" spans="1:13">
      <c r="A9176" t="s">
        <v>7174</v>
      </c>
      <c r="B9176" t="s">
        <v>7168</v>
      </c>
      <c r="C9176" s="34">
        <v>1863</v>
      </c>
      <c r="F9176">
        <v>1863</v>
      </c>
      <c r="H9176">
        <v>5</v>
      </c>
      <c r="I9176">
        <f>VLOOKUP(B9176,BRAND!B:D,3,FALSE)</f>
        <v>5.5</v>
      </c>
      <c r="M9176">
        <v>1</v>
      </c>
    </row>
    <row r="9177" spans="1:13">
      <c r="A9177" t="s">
        <v>7170</v>
      </c>
      <c r="B9177" t="s">
        <v>7168</v>
      </c>
      <c r="C9177" s="34" t="s">
        <v>561</v>
      </c>
      <c r="F9177" t="s">
        <v>561</v>
      </c>
      <c r="H9177">
        <v>5</v>
      </c>
      <c r="I9177">
        <f>VLOOKUP(B9177,BRAND!B:D,3,FALSE)</f>
        <v>5.5</v>
      </c>
      <c r="M9177">
        <v>1</v>
      </c>
    </row>
    <row r="9178" spans="1:13">
      <c r="A9178" t="s">
        <v>7181</v>
      </c>
      <c r="B9178" t="s">
        <v>7168</v>
      </c>
      <c r="C9178" s="34" t="s">
        <v>1438</v>
      </c>
      <c r="F9178" t="s">
        <v>1438</v>
      </c>
      <c r="G9178" t="s">
        <v>801</v>
      </c>
      <c r="H9178">
        <v>5</v>
      </c>
      <c r="I9178">
        <f>VLOOKUP(B9178,BRAND!B:D,3,FALSE)</f>
        <v>5.5</v>
      </c>
      <c r="M9178">
        <v>1</v>
      </c>
    </row>
    <row r="9179" spans="1:13">
      <c r="A9179" t="s">
        <v>7175</v>
      </c>
      <c r="B9179" t="s">
        <v>7168</v>
      </c>
      <c r="C9179" s="34" t="s">
        <v>911</v>
      </c>
      <c r="F9179" t="s">
        <v>911</v>
      </c>
      <c r="H9179">
        <v>5</v>
      </c>
      <c r="I9179">
        <f>VLOOKUP(B9179,BRAND!B:D,3,FALSE)</f>
        <v>5.5</v>
      </c>
      <c r="M9179">
        <v>1</v>
      </c>
    </row>
    <row r="9180" spans="1:13">
      <c r="A9180" t="s">
        <v>7177</v>
      </c>
      <c r="B9180" t="s">
        <v>7168</v>
      </c>
      <c r="C9180" s="34" t="s">
        <v>996</v>
      </c>
      <c r="F9180" t="s">
        <v>996</v>
      </c>
      <c r="H9180">
        <v>5</v>
      </c>
      <c r="I9180">
        <f>VLOOKUP(B9180,BRAND!B:D,3,FALSE)</f>
        <v>5.5</v>
      </c>
      <c r="M9180">
        <v>1</v>
      </c>
    </row>
    <row r="9181" spans="1:13">
      <c r="A9181" t="s">
        <v>7171</v>
      </c>
      <c r="B9181" t="s">
        <v>7168</v>
      </c>
      <c r="C9181" s="34" t="s">
        <v>776</v>
      </c>
      <c r="F9181" t="s">
        <v>776</v>
      </c>
      <c r="H9181">
        <v>5</v>
      </c>
      <c r="I9181">
        <f>VLOOKUP(B9181,BRAND!B:D,3,FALSE)</f>
        <v>5.5</v>
      </c>
      <c r="M9181">
        <v>1</v>
      </c>
    </row>
    <row r="9182" spans="1:13">
      <c r="A9182" t="s">
        <v>2908</v>
      </c>
      <c r="B9182" t="s">
        <v>1382</v>
      </c>
      <c r="C9182" s="34" t="s">
        <v>776</v>
      </c>
      <c r="F9182" t="s">
        <v>776</v>
      </c>
      <c r="H9182">
        <v>5</v>
      </c>
      <c r="I9182">
        <f>VLOOKUP(B9182,BRAND!B:D,3,FALSE)</f>
        <v>3</v>
      </c>
      <c r="J9182">
        <v>5</v>
      </c>
      <c r="K9182" t="s">
        <v>821</v>
      </c>
      <c r="L9182">
        <v>0</v>
      </c>
      <c r="M9182">
        <v>0</v>
      </c>
    </row>
    <row r="9183" spans="1:13">
      <c r="A9183" t="s">
        <v>3418</v>
      </c>
      <c r="B9183" t="s">
        <v>950</v>
      </c>
      <c r="C9183" s="34" t="s">
        <v>776</v>
      </c>
      <c r="F9183" t="s">
        <v>776</v>
      </c>
      <c r="H9183">
        <v>5</v>
      </c>
      <c r="I9183" t="e">
        <f>VLOOKUP(B9183,BRAND!B:D,3,FALSE)</f>
        <v>#N/A</v>
      </c>
      <c r="J9183">
        <v>5</v>
      </c>
      <c r="K9183" t="e">
        <v>#N/A</v>
      </c>
      <c r="L9183">
        <v>0</v>
      </c>
      <c r="M9183">
        <v>0</v>
      </c>
    </row>
    <row r="9184" spans="1:13">
      <c r="A9184" t="s">
        <v>11488</v>
      </c>
      <c r="B9184" t="s">
        <v>10910</v>
      </c>
      <c r="C9184" s="34" t="s">
        <v>1438</v>
      </c>
      <c r="F9184" t="s">
        <v>1438</v>
      </c>
      <c r="G9184" t="s">
        <v>6932</v>
      </c>
      <c r="H9184">
        <v>5</v>
      </c>
    </row>
    <row r="9185" spans="1:13">
      <c r="A9185" t="s">
        <v>9529</v>
      </c>
      <c r="B9185" t="s">
        <v>222</v>
      </c>
      <c r="C9185" s="34" t="s">
        <v>9530</v>
      </c>
      <c r="F9185" t="s">
        <v>9530</v>
      </c>
      <c r="G9185" t="s">
        <v>801</v>
      </c>
      <c r="H9185">
        <v>5</v>
      </c>
      <c r="I9185">
        <f>VLOOKUP(B9185,BRAND!B:D,3,FALSE)</f>
        <v>3</v>
      </c>
      <c r="J9185">
        <v>7</v>
      </c>
      <c r="L9185">
        <v>0</v>
      </c>
      <c r="M9185">
        <v>0</v>
      </c>
    </row>
    <row r="9186" spans="1:13">
      <c r="A9186" t="s">
        <v>4098</v>
      </c>
      <c r="B9186" t="s">
        <v>222</v>
      </c>
      <c r="C9186" s="34" t="s">
        <v>776</v>
      </c>
      <c r="F9186" t="s">
        <v>776</v>
      </c>
      <c r="H9186">
        <v>5</v>
      </c>
      <c r="I9186">
        <f>VLOOKUP(B9186,BRAND!B:D,3,FALSE)</f>
        <v>3</v>
      </c>
      <c r="J9186">
        <v>5</v>
      </c>
      <c r="K9186" t="e">
        <v>#N/A</v>
      </c>
      <c r="L9186">
        <v>0</v>
      </c>
      <c r="M9186">
        <v>0</v>
      </c>
    </row>
    <row r="9187" spans="1:13">
      <c r="A9187" t="s">
        <v>9971</v>
      </c>
      <c r="B9187" t="s">
        <v>222</v>
      </c>
      <c r="C9187" s="34" t="s">
        <v>9532</v>
      </c>
      <c r="G9187" t="s">
        <v>6932</v>
      </c>
      <c r="H9187">
        <v>5</v>
      </c>
      <c r="I9187">
        <f>VLOOKUP(B9187,BRAND!B:D,3,FALSE)</f>
        <v>3</v>
      </c>
      <c r="J9187">
        <f>LEN(F9187)</f>
        <v>0</v>
      </c>
      <c r="L9187">
        <v>0</v>
      </c>
      <c r="M9187">
        <v>0</v>
      </c>
    </row>
    <row r="9188" spans="1:13">
      <c r="A9188" t="s">
        <v>9972</v>
      </c>
      <c r="B9188" t="s">
        <v>222</v>
      </c>
      <c r="C9188" s="34" t="s">
        <v>9530</v>
      </c>
      <c r="G9188" t="s">
        <v>6932</v>
      </c>
      <c r="H9188">
        <v>5</v>
      </c>
      <c r="I9188">
        <f>VLOOKUP(B9188,BRAND!B:D,3,FALSE)</f>
        <v>3</v>
      </c>
      <c r="J9188">
        <f>LEN(F9188)</f>
        <v>0</v>
      </c>
      <c r="L9188">
        <v>0</v>
      </c>
      <c r="M9188">
        <v>0</v>
      </c>
    </row>
    <row r="9189" spans="1:13">
      <c r="A9189" t="s">
        <v>9971</v>
      </c>
      <c r="B9189" t="s">
        <v>222</v>
      </c>
      <c r="C9189" s="34" t="s">
        <v>9532</v>
      </c>
      <c r="G9189" t="s">
        <v>6932</v>
      </c>
      <c r="H9189">
        <v>5</v>
      </c>
      <c r="I9189">
        <f>VLOOKUP(B9189,BRAND!B:D,3,FALSE)</f>
        <v>3</v>
      </c>
      <c r="J9189">
        <v>0</v>
      </c>
      <c r="M9189">
        <v>1</v>
      </c>
    </row>
    <row r="9190" spans="1:13">
      <c r="A9190" t="s">
        <v>9972</v>
      </c>
      <c r="B9190" t="s">
        <v>222</v>
      </c>
      <c r="C9190" s="34" t="s">
        <v>9530</v>
      </c>
      <c r="G9190" t="s">
        <v>6932</v>
      </c>
      <c r="H9190">
        <v>5</v>
      </c>
      <c r="I9190">
        <f>VLOOKUP(B9190,BRAND!B:D,3,FALSE)</f>
        <v>3</v>
      </c>
      <c r="J9190">
        <v>0</v>
      </c>
      <c r="M9190">
        <v>1</v>
      </c>
    </row>
    <row r="9191" spans="1:13">
      <c r="A9191" t="s">
        <v>9531</v>
      </c>
      <c r="B9191" t="s">
        <v>352</v>
      </c>
      <c r="C9191" s="34" t="s">
        <v>9532</v>
      </c>
      <c r="F9191" t="s">
        <v>9532</v>
      </c>
      <c r="G9191" t="s">
        <v>6932</v>
      </c>
      <c r="H9191">
        <v>5</v>
      </c>
      <c r="I9191" t="e">
        <f>VLOOKUP(B9191,BRAND!B:D,3,FALSE)</f>
        <v>#N/A</v>
      </c>
      <c r="J9191">
        <v>7</v>
      </c>
      <c r="L9191">
        <v>0</v>
      </c>
      <c r="M9191">
        <v>0</v>
      </c>
    </row>
    <row r="9192" spans="1:13">
      <c r="A9192" t="s">
        <v>4370</v>
      </c>
      <c r="B9192" t="s">
        <v>352</v>
      </c>
      <c r="C9192" s="34" t="s">
        <v>772</v>
      </c>
      <c r="F9192" t="s">
        <v>772</v>
      </c>
      <c r="H9192">
        <v>5</v>
      </c>
      <c r="I9192" t="e">
        <f>VLOOKUP(B9192,BRAND!B:D,3,FALSE)</f>
        <v>#N/A</v>
      </c>
      <c r="J9192">
        <v>6</v>
      </c>
      <c r="K9192" t="s">
        <v>821</v>
      </c>
      <c r="M9192">
        <v>1</v>
      </c>
    </row>
    <row r="9193" spans="1:13">
      <c r="A9193" t="s">
        <v>3758</v>
      </c>
      <c r="B9193" t="s">
        <v>352</v>
      </c>
      <c r="C9193" s="34" t="s">
        <v>534</v>
      </c>
      <c r="F9193" t="s">
        <v>534</v>
      </c>
      <c r="H9193">
        <v>5</v>
      </c>
      <c r="I9193" t="e">
        <f>VLOOKUP(B9193,BRAND!B:D,3,FALSE)</f>
        <v>#N/A</v>
      </c>
      <c r="J9193">
        <v>6</v>
      </c>
      <c r="K9193" t="s">
        <v>821</v>
      </c>
      <c r="M9193">
        <v>1</v>
      </c>
    </row>
    <row r="9194" spans="1:13">
      <c r="A9194" t="s">
        <v>2988</v>
      </c>
      <c r="B9194" t="s">
        <v>352</v>
      </c>
      <c r="C9194" s="34" t="s">
        <v>536</v>
      </c>
      <c r="F9194" t="s">
        <v>536</v>
      </c>
      <c r="H9194">
        <v>5</v>
      </c>
      <c r="I9194" t="e">
        <f>VLOOKUP(B9194,BRAND!B:D,3,FALSE)</f>
        <v>#N/A</v>
      </c>
      <c r="J9194">
        <v>5</v>
      </c>
      <c r="K9194" t="s">
        <v>821</v>
      </c>
      <c r="L9194">
        <v>0</v>
      </c>
      <c r="M9194">
        <v>0</v>
      </c>
    </row>
    <row r="9195" spans="1:13">
      <c r="A9195" t="s">
        <v>4369</v>
      </c>
      <c r="B9195" t="s">
        <v>352</v>
      </c>
      <c r="C9195" s="34" t="s">
        <v>776</v>
      </c>
      <c r="F9195" t="s">
        <v>776</v>
      </c>
      <c r="H9195">
        <v>5</v>
      </c>
      <c r="I9195" t="e">
        <f>VLOOKUP(B9195,BRAND!B:D,3,FALSE)</f>
        <v>#N/A</v>
      </c>
      <c r="J9195">
        <v>5</v>
      </c>
      <c r="K9195" t="s">
        <v>821</v>
      </c>
      <c r="L9195">
        <v>0</v>
      </c>
      <c r="M9195">
        <v>0</v>
      </c>
    </row>
    <row r="9196" spans="1:13">
      <c r="A9196" t="s">
        <v>4369</v>
      </c>
      <c r="B9196" t="s">
        <v>352</v>
      </c>
      <c r="C9196" s="34" t="s">
        <v>776</v>
      </c>
      <c r="F9196" t="s">
        <v>776</v>
      </c>
      <c r="H9196">
        <v>5</v>
      </c>
      <c r="I9196" t="e">
        <f>VLOOKUP(B9196,BRAND!B:D,3,FALSE)</f>
        <v>#N/A</v>
      </c>
      <c r="J9196">
        <v>5</v>
      </c>
      <c r="K9196" t="s">
        <v>821</v>
      </c>
      <c r="L9196">
        <v>0</v>
      </c>
      <c r="M9196">
        <v>0</v>
      </c>
    </row>
    <row r="9197" spans="1:13">
      <c r="A9197" t="s">
        <v>4767</v>
      </c>
      <c r="B9197" t="s">
        <v>833</v>
      </c>
      <c r="C9197" s="34" t="s">
        <v>780</v>
      </c>
      <c r="F9197" t="s">
        <v>780</v>
      </c>
      <c r="H9197">
        <v>5</v>
      </c>
      <c r="I9197">
        <f>VLOOKUP(B9197,BRAND!B:D,3,FALSE)</f>
        <v>3</v>
      </c>
      <c r="J9197">
        <v>6</v>
      </c>
      <c r="K9197" t="s">
        <v>821</v>
      </c>
      <c r="L9197">
        <v>0</v>
      </c>
      <c r="M9197">
        <v>0</v>
      </c>
    </row>
    <row r="9198" spans="1:13">
      <c r="A9198" t="s">
        <v>4550</v>
      </c>
      <c r="B9198" t="s">
        <v>833</v>
      </c>
      <c r="C9198" s="34" t="s">
        <v>1511</v>
      </c>
      <c r="F9198" t="s">
        <v>1511</v>
      </c>
      <c r="H9198">
        <v>5</v>
      </c>
      <c r="I9198">
        <f>VLOOKUP(B9198,BRAND!B:D,3,FALSE)</f>
        <v>3</v>
      </c>
      <c r="J9198">
        <v>6</v>
      </c>
      <c r="K9198" t="s">
        <v>821</v>
      </c>
      <c r="L9198">
        <v>0</v>
      </c>
      <c r="M9198">
        <v>0</v>
      </c>
    </row>
    <row r="9199" spans="1:13">
      <c r="A9199" t="s">
        <v>2006</v>
      </c>
      <c r="B9199" t="s">
        <v>833</v>
      </c>
      <c r="C9199" s="34" t="s">
        <v>1438</v>
      </c>
      <c r="F9199" t="s">
        <v>1438</v>
      </c>
      <c r="H9199">
        <v>15</v>
      </c>
      <c r="I9199">
        <f>VLOOKUP(B9199,BRAND!B:D,3,FALSE)</f>
        <v>3</v>
      </c>
      <c r="J9199">
        <v>4</v>
      </c>
      <c r="K9199" t="s">
        <v>821</v>
      </c>
      <c r="L9199">
        <v>0</v>
      </c>
      <c r="M9199">
        <v>0</v>
      </c>
    </row>
    <row r="9200" spans="1:13">
      <c r="A9200" t="s">
        <v>2850</v>
      </c>
      <c r="B9200" t="s">
        <v>223</v>
      </c>
      <c r="C9200" s="34" t="s">
        <v>776</v>
      </c>
      <c r="F9200" t="s">
        <v>776</v>
      </c>
      <c r="H9200">
        <v>5</v>
      </c>
      <c r="I9200">
        <f>VLOOKUP(B9200,BRAND!B:D,3,FALSE)</f>
        <v>7</v>
      </c>
      <c r="J9200">
        <v>5</v>
      </c>
      <c r="K9200" t="s">
        <v>821</v>
      </c>
      <c r="L9200">
        <v>0</v>
      </c>
      <c r="M9200">
        <v>0</v>
      </c>
    </row>
    <row r="9201" spans="1:13">
      <c r="A9201" t="s">
        <v>2148</v>
      </c>
      <c r="B9201" t="s">
        <v>223</v>
      </c>
      <c r="C9201" s="34" t="s">
        <v>1438</v>
      </c>
      <c r="F9201" t="s">
        <v>1438</v>
      </c>
      <c r="H9201">
        <v>15</v>
      </c>
      <c r="I9201">
        <f>VLOOKUP(B9201,BRAND!B:D,3,FALSE)</f>
        <v>7</v>
      </c>
      <c r="J9201">
        <v>4</v>
      </c>
      <c r="K9201" t="s">
        <v>821</v>
      </c>
      <c r="L9201">
        <v>0</v>
      </c>
      <c r="M9201">
        <v>0</v>
      </c>
    </row>
    <row r="9202" spans="1:13">
      <c r="A9202" t="s">
        <v>3665</v>
      </c>
      <c r="B9202" t="s">
        <v>224</v>
      </c>
      <c r="C9202" s="34" t="s">
        <v>897</v>
      </c>
      <c r="F9202" t="s">
        <v>897</v>
      </c>
      <c r="H9202">
        <v>5</v>
      </c>
      <c r="I9202">
        <f>VLOOKUP(B9202,BRAND!B:D,3,FALSE)</f>
        <v>3</v>
      </c>
      <c r="J9202">
        <v>4</v>
      </c>
      <c r="K9202" t="s">
        <v>821</v>
      </c>
      <c r="M9202">
        <v>1</v>
      </c>
    </row>
    <row r="9203" spans="1:13">
      <c r="A9203" t="s">
        <v>3766</v>
      </c>
      <c r="B9203" t="s">
        <v>224</v>
      </c>
      <c r="C9203" s="34" t="s">
        <v>775</v>
      </c>
      <c r="F9203" t="s">
        <v>775</v>
      </c>
      <c r="H9203">
        <v>5</v>
      </c>
      <c r="I9203">
        <f>VLOOKUP(B9203,BRAND!B:D,3,FALSE)</f>
        <v>3</v>
      </c>
      <c r="J9203">
        <v>3</v>
      </c>
      <c r="K9203" t="s">
        <v>821</v>
      </c>
      <c r="L9203">
        <v>0</v>
      </c>
      <c r="M9203">
        <v>0</v>
      </c>
    </row>
    <row r="9204" spans="1:13">
      <c r="A9204" t="s">
        <v>9973</v>
      </c>
      <c r="B9204" t="s">
        <v>224</v>
      </c>
      <c r="C9204" s="34" t="s">
        <v>1438</v>
      </c>
      <c r="G9204" t="s">
        <v>6932</v>
      </c>
      <c r="H9204">
        <v>5</v>
      </c>
      <c r="I9204">
        <f>VLOOKUP(B9204,BRAND!B:D,3,FALSE)</f>
        <v>3</v>
      </c>
      <c r="J9204">
        <f>LEN(F9204)</f>
        <v>0</v>
      </c>
      <c r="L9204">
        <v>0</v>
      </c>
      <c r="M9204">
        <v>0</v>
      </c>
    </row>
    <row r="9205" spans="1:13">
      <c r="A9205" t="s">
        <v>9973</v>
      </c>
      <c r="B9205" t="s">
        <v>224</v>
      </c>
      <c r="C9205" s="34" t="s">
        <v>1438</v>
      </c>
      <c r="G9205" t="s">
        <v>6932</v>
      </c>
      <c r="H9205">
        <v>5</v>
      </c>
      <c r="I9205">
        <f>VLOOKUP(B9205,BRAND!B:D,3,FALSE)</f>
        <v>3</v>
      </c>
      <c r="J9205">
        <v>0</v>
      </c>
      <c r="M9205">
        <v>1</v>
      </c>
    </row>
    <row r="9206" spans="1:13">
      <c r="A9206" t="s">
        <v>12225</v>
      </c>
      <c r="B9206" t="s">
        <v>224</v>
      </c>
      <c r="C9206" s="34" t="s">
        <v>897</v>
      </c>
      <c r="F9206" t="s">
        <v>12226</v>
      </c>
      <c r="G9206" t="s">
        <v>6932</v>
      </c>
      <c r="H9206">
        <v>5</v>
      </c>
    </row>
    <row r="9207" spans="1:13">
      <c r="A9207" t="s">
        <v>12227</v>
      </c>
      <c r="B9207" t="s">
        <v>224</v>
      </c>
      <c r="C9207" s="34" t="s">
        <v>1965</v>
      </c>
      <c r="F9207" t="s">
        <v>12228</v>
      </c>
      <c r="G9207" t="s">
        <v>6932</v>
      </c>
      <c r="H9207">
        <v>5</v>
      </c>
    </row>
    <row r="9208" spans="1:13">
      <c r="A9208" t="s">
        <v>12229</v>
      </c>
      <c r="B9208" t="s">
        <v>224</v>
      </c>
      <c r="C9208" s="34" t="s">
        <v>994</v>
      </c>
      <c r="F9208" t="s">
        <v>12230</v>
      </c>
      <c r="G9208" t="s">
        <v>6932</v>
      </c>
      <c r="H9208">
        <v>5</v>
      </c>
    </row>
    <row r="9209" spans="1:13">
      <c r="A9209" t="s">
        <v>12231</v>
      </c>
      <c r="B9209" t="s">
        <v>224</v>
      </c>
      <c r="C9209" s="34" t="s">
        <v>1483</v>
      </c>
      <c r="F9209" t="s">
        <v>12232</v>
      </c>
      <c r="G9209" t="s">
        <v>6932</v>
      </c>
      <c r="H9209">
        <v>5</v>
      </c>
    </row>
    <row r="9210" spans="1:13">
      <c r="A9210" t="s">
        <v>2693</v>
      </c>
      <c r="B9210" t="s">
        <v>224</v>
      </c>
      <c r="C9210" s="34" t="s">
        <v>1438</v>
      </c>
      <c r="F9210" t="s">
        <v>1438</v>
      </c>
      <c r="H9210">
        <v>15</v>
      </c>
      <c r="I9210">
        <f>VLOOKUP(B9210,BRAND!B:D,3,FALSE)</f>
        <v>3</v>
      </c>
      <c r="J9210">
        <v>4</v>
      </c>
      <c r="K9210" t="s">
        <v>821</v>
      </c>
      <c r="L9210">
        <v>0</v>
      </c>
      <c r="M9210">
        <v>0</v>
      </c>
    </row>
    <row r="9211" spans="1:13">
      <c r="A9211" t="s">
        <v>7182</v>
      </c>
      <c r="B9211" t="s">
        <v>7183</v>
      </c>
      <c r="C9211" s="34" t="s">
        <v>1438</v>
      </c>
      <c r="F9211" t="s">
        <v>1438</v>
      </c>
      <c r="H9211">
        <v>5</v>
      </c>
      <c r="I9211">
        <f>VLOOKUP(B9211,BRAND!B:D,3,FALSE)</f>
        <v>5.5</v>
      </c>
      <c r="M9211">
        <v>1</v>
      </c>
    </row>
    <row r="9212" spans="1:13">
      <c r="A9212" t="s">
        <v>5052</v>
      </c>
      <c r="B9212" t="s">
        <v>5051</v>
      </c>
      <c r="C9212" s="34" t="s">
        <v>534</v>
      </c>
      <c r="F9212" t="s">
        <v>534</v>
      </c>
      <c r="H9212">
        <v>5</v>
      </c>
      <c r="I9212">
        <f>VLOOKUP(B9212,BRAND!B:D,3,FALSE)</f>
        <v>3</v>
      </c>
      <c r="J9212">
        <v>6</v>
      </c>
      <c r="K9212" t="s">
        <v>821</v>
      </c>
      <c r="L9212">
        <v>0</v>
      </c>
      <c r="M9212">
        <v>0</v>
      </c>
    </row>
    <row r="9213" spans="1:13">
      <c r="A9213" t="s">
        <v>5052</v>
      </c>
      <c r="B9213" t="s">
        <v>5051</v>
      </c>
      <c r="C9213" s="34" t="s">
        <v>534</v>
      </c>
      <c r="F9213" t="s">
        <v>534</v>
      </c>
      <c r="H9213">
        <v>5</v>
      </c>
      <c r="I9213">
        <f>VLOOKUP(B9213,BRAND!B:D,3,FALSE)</f>
        <v>3</v>
      </c>
      <c r="J9213">
        <v>6</v>
      </c>
      <c r="K9213" t="s">
        <v>821</v>
      </c>
      <c r="L9213">
        <v>0</v>
      </c>
      <c r="M9213">
        <v>0</v>
      </c>
    </row>
    <row r="9214" spans="1:13">
      <c r="A9214" t="s">
        <v>5053</v>
      </c>
      <c r="B9214" t="s">
        <v>5051</v>
      </c>
      <c r="C9214" s="34" t="s">
        <v>536</v>
      </c>
      <c r="F9214" t="s">
        <v>536</v>
      </c>
      <c r="H9214">
        <v>5</v>
      </c>
      <c r="I9214">
        <f>VLOOKUP(B9214,BRAND!B:D,3,FALSE)</f>
        <v>3</v>
      </c>
      <c r="J9214">
        <v>5</v>
      </c>
      <c r="K9214" t="s">
        <v>821</v>
      </c>
      <c r="L9214">
        <v>0</v>
      </c>
      <c r="M9214">
        <v>0</v>
      </c>
    </row>
    <row r="9215" spans="1:13">
      <c r="A9215" t="s">
        <v>5053</v>
      </c>
      <c r="B9215" t="s">
        <v>5051</v>
      </c>
      <c r="C9215" s="34" t="s">
        <v>536</v>
      </c>
      <c r="F9215" t="s">
        <v>536</v>
      </c>
      <c r="H9215">
        <v>5</v>
      </c>
      <c r="I9215">
        <f>VLOOKUP(B9215,BRAND!B:D,3,FALSE)</f>
        <v>3</v>
      </c>
      <c r="J9215">
        <v>5</v>
      </c>
      <c r="K9215" t="s">
        <v>821</v>
      </c>
      <c r="L9215">
        <v>0</v>
      </c>
      <c r="M9215">
        <v>0</v>
      </c>
    </row>
    <row r="9216" spans="1:13">
      <c r="A9216" t="s">
        <v>4509</v>
      </c>
      <c r="B9216" t="s">
        <v>815</v>
      </c>
      <c r="C9216" s="34" t="s">
        <v>1470</v>
      </c>
      <c r="F9216" t="s">
        <v>1470</v>
      </c>
      <c r="H9216">
        <v>4</v>
      </c>
      <c r="I9216">
        <f>VLOOKUP(B9216,BRAND!B:D,3,FALSE)</f>
        <v>3</v>
      </c>
      <c r="J9216">
        <f>LEN(F9216)</f>
        <v>12</v>
      </c>
      <c r="K9216" t="s">
        <v>821</v>
      </c>
      <c r="L9216">
        <v>0</v>
      </c>
      <c r="M9216">
        <v>0</v>
      </c>
    </row>
    <row r="9217" spans="1:13">
      <c r="A9217" t="s">
        <v>4510</v>
      </c>
      <c r="B9217" t="s">
        <v>815</v>
      </c>
      <c r="C9217" s="34" t="s">
        <v>880</v>
      </c>
      <c r="F9217" t="s">
        <v>880</v>
      </c>
      <c r="H9217">
        <v>5</v>
      </c>
      <c r="I9217">
        <f>VLOOKUP(B9217,BRAND!B:D,3,FALSE)</f>
        <v>3</v>
      </c>
      <c r="J9217">
        <v>7</v>
      </c>
      <c r="K9217" t="s">
        <v>821</v>
      </c>
      <c r="L9217">
        <v>0</v>
      </c>
      <c r="M9217">
        <v>0</v>
      </c>
    </row>
    <row r="9218" spans="1:13">
      <c r="A9218" t="s">
        <v>3114</v>
      </c>
      <c r="B9218" t="s">
        <v>815</v>
      </c>
      <c r="C9218" s="34" t="s">
        <v>772</v>
      </c>
      <c r="F9218" t="s">
        <v>772</v>
      </c>
      <c r="H9218">
        <v>5</v>
      </c>
      <c r="I9218">
        <f>VLOOKUP(B9218,BRAND!B:D,3,FALSE)</f>
        <v>3</v>
      </c>
      <c r="J9218">
        <v>6</v>
      </c>
      <c r="K9218" t="s">
        <v>821</v>
      </c>
      <c r="L9218">
        <v>0</v>
      </c>
      <c r="M9218">
        <v>0</v>
      </c>
    </row>
    <row r="9219" spans="1:13">
      <c r="A9219" t="s">
        <v>2855</v>
      </c>
      <c r="B9219" t="s">
        <v>815</v>
      </c>
      <c r="C9219" s="34" t="s">
        <v>776</v>
      </c>
      <c r="F9219" t="s">
        <v>776</v>
      </c>
      <c r="H9219">
        <v>5</v>
      </c>
      <c r="I9219">
        <f>VLOOKUP(B9219,BRAND!B:D,3,FALSE)</f>
        <v>3</v>
      </c>
      <c r="J9219">
        <v>5</v>
      </c>
      <c r="K9219" t="s">
        <v>821</v>
      </c>
      <c r="M9219">
        <v>1</v>
      </c>
    </row>
    <row r="9220" spans="1:13">
      <c r="A9220" t="s">
        <v>2321</v>
      </c>
      <c r="B9220" t="s">
        <v>815</v>
      </c>
      <c r="C9220" s="34" t="s">
        <v>1438</v>
      </c>
      <c r="F9220" t="s">
        <v>1438</v>
      </c>
      <c r="H9220">
        <v>15</v>
      </c>
      <c r="I9220">
        <f>VLOOKUP(B9220,BRAND!B:D,3,FALSE)</f>
        <v>3</v>
      </c>
      <c r="J9220">
        <v>4</v>
      </c>
      <c r="K9220" t="s">
        <v>821</v>
      </c>
      <c r="M9220">
        <v>1</v>
      </c>
    </row>
    <row r="9221" spans="1:13">
      <c r="A9221" t="s">
        <v>9974</v>
      </c>
      <c r="B9221" t="s">
        <v>7128</v>
      </c>
      <c r="C9221" s="34" t="s">
        <v>1438</v>
      </c>
      <c r="G9221" t="s">
        <v>6932</v>
      </c>
      <c r="H9221">
        <v>5</v>
      </c>
      <c r="I9221">
        <f>VLOOKUP(B9221,BRAND!B:D,3,FALSE)</f>
        <v>3</v>
      </c>
      <c r="J9221">
        <f>LEN(F9221)</f>
        <v>0</v>
      </c>
      <c r="L9221">
        <v>0</v>
      </c>
      <c r="M9221">
        <v>0</v>
      </c>
    </row>
    <row r="9222" spans="1:13">
      <c r="A9222" t="s">
        <v>9974</v>
      </c>
      <c r="B9222" t="s">
        <v>7128</v>
      </c>
      <c r="C9222" s="34" t="s">
        <v>1438</v>
      </c>
      <c r="F9222" t="s">
        <v>1438</v>
      </c>
      <c r="G9222" t="s">
        <v>6932</v>
      </c>
      <c r="H9222">
        <v>5</v>
      </c>
      <c r="I9222">
        <f>VLOOKUP(B9222,BRAND!B:D,3,FALSE)</f>
        <v>3</v>
      </c>
      <c r="J9222">
        <v>0</v>
      </c>
      <c r="M9222">
        <v>1</v>
      </c>
    </row>
    <row r="9223" spans="1:13">
      <c r="A9223" t="s">
        <v>9533</v>
      </c>
      <c r="B9223" t="s">
        <v>9534</v>
      </c>
      <c r="C9223" s="34" t="s">
        <v>1438</v>
      </c>
      <c r="F9223" t="s">
        <v>1438</v>
      </c>
      <c r="G9223" t="s">
        <v>6932</v>
      </c>
      <c r="H9223">
        <v>5</v>
      </c>
      <c r="I9223">
        <f>VLOOKUP(B9223,BRAND!B:D,3,FALSE)</f>
        <v>5.5</v>
      </c>
      <c r="J9223">
        <v>4</v>
      </c>
      <c r="M9223">
        <v>1</v>
      </c>
    </row>
    <row r="9224" spans="1:13">
      <c r="A9224" t="s">
        <v>4344</v>
      </c>
      <c r="B9224" t="s">
        <v>1806</v>
      </c>
      <c r="C9224" s="34" t="s">
        <v>536</v>
      </c>
      <c r="F9224" t="s">
        <v>536</v>
      </c>
      <c r="H9224">
        <v>5</v>
      </c>
      <c r="I9224">
        <f>VLOOKUP(B9224,BRAND!B:D,3,FALSE)</f>
        <v>3</v>
      </c>
      <c r="J9224">
        <v>5</v>
      </c>
      <c r="K9224" t="s">
        <v>821</v>
      </c>
      <c r="L9224">
        <v>0</v>
      </c>
      <c r="M9224">
        <v>0</v>
      </c>
    </row>
    <row r="9225" spans="1:13">
      <c r="A9225" t="s">
        <v>4345</v>
      </c>
      <c r="B9225" t="s">
        <v>1806</v>
      </c>
      <c r="C9225" s="34" t="s">
        <v>842</v>
      </c>
      <c r="F9225" t="s">
        <v>842</v>
      </c>
      <c r="H9225">
        <v>5</v>
      </c>
      <c r="I9225">
        <f>VLOOKUP(B9225,BRAND!B:D,3,FALSE)</f>
        <v>3</v>
      </c>
      <c r="J9225">
        <v>5</v>
      </c>
      <c r="K9225" t="s">
        <v>821</v>
      </c>
      <c r="L9225">
        <v>0</v>
      </c>
      <c r="M9225">
        <v>0</v>
      </c>
    </row>
    <row r="9226" spans="1:13">
      <c r="A9226" t="s">
        <v>2695</v>
      </c>
      <c r="B9226" t="s">
        <v>1806</v>
      </c>
      <c r="C9226" s="34" t="s">
        <v>1438</v>
      </c>
      <c r="F9226" t="s">
        <v>1438</v>
      </c>
      <c r="H9226">
        <v>15</v>
      </c>
      <c r="I9226">
        <f>VLOOKUP(B9226,BRAND!B:D,3,FALSE)</f>
        <v>3</v>
      </c>
      <c r="J9226">
        <v>4</v>
      </c>
      <c r="K9226" t="s">
        <v>821</v>
      </c>
      <c r="L9226">
        <v>0</v>
      </c>
      <c r="M9226">
        <v>0</v>
      </c>
    </row>
    <row r="9227" spans="1:13">
      <c r="A9227" t="s">
        <v>8434</v>
      </c>
      <c r="B9227" t="s">
        <v>8435</v>
      </c>
      <c r="C9227" s="34" t="s">
        <v>786</v>
      </c>
      <c r="F9227" t="s">
        <v>786</v>
      </c>
      <c r="G9227" t="s">
        <v>6932</v>
      </c>
      <c r="H9227">
        <v>5</v>
      </c>
      <c r="I9227">
        <f>VLOOKUP(B9227,BRAND!B:D,3,FALSE)</f>
        <v>5.5</v>
      </c>
      <c r="J9227">
        <v>3</v>
      </c>
      <c r="M9227">
        <v>1</v>
      </c>
    </row>
    <row r="9228" spans="1:13">
      <c r="A9228" t="s">
        <v>3184</v>
      </c>
      <c r="B9228" t="s">
        <v>1383</v>
      </c>
      <c r="C9228" s="34" t="s">
        <v>1438</v>
      </c>
      <c r="F9228" t="s">
        <v>1438</v>
      </c>
      <c r="H9228">
        <v>15</v>
      </c>
      <c r="I9228">
        <f>VLOOKUP(B9228,BRAND!B:D,3,FALSE)</f>
        <v>3</v>
      </c>
      <c r="J9228">
        <v>4</v>
      </c>
      <c r="K9228" t="s">
        <v>821</v>
      </c>
      <c r="L9228">
        <v>0</v>
      </c>
      <c r="M9228">
        <v>0</v>
      </c>
    </row>
    <row r="9229" spans="1:13">
      <c r="A9229" t="s">
        <v>3525</v>
      </c>
      <c r="B9229" t="s">
        <v>456</v>
      </c>
      <c r="C9229" s="34" t="s">
        <v>6441</v>
      </c>
      <c r="F9229" t="s">
        <v>561</v>
      </c>
      <c r="H9229">
        <v>5</v>
      </c>
      <c r="I9229">
        <f>VLOOKUP(B9229,BRAND!B:D,3,FALSE)</f>
        <v>3</v>
      </c>
      <c r="J9229">
        <v>3</v>
      </c>
      <c r="K9229" t="s">
        <v>821</v>
      </c>
      <c r="M9229">
        <v>1</v>
      </c>
    </row>
    <row r="9230" spans="1:13">
      <c r="A9230" t="s">
        <v>9535</v>
      </c>
      <c r="B9230" t="s">
        <v>9536</v>
      </c>
      <c r="C9230" s="34" t="s">
        <v>561</v>
      </c>
      <c r="F9230" t="s">
        <v>561</v>
      </c>
      <c r="G9230" t="s">
        <v>801</v>
      </c>
      <c r="H9230">
        <v>5</v>
      </c>
      <c r="I9230">
        <f>VLOOKUP(B9230,BRAND!B:D,3,FALSE)</f>
        <v>5.5</v>
      </c>
      <c r="J9230">
        <v>3</v>
      </c>
      <c r="M9230">
        <v>1</v>
      </c>
    </row>
    <row r="9231" spans="1:13">
      <c r="A9231" t="s">
        <v>3225</v>
      </c>
      <c r="B9231" t="s">
        <v>455</v>
      </c>
      <c r="C9231" s="34" t="s">
        <v>6441</v>
      </c>
      <c r="F9231" t="s">
        <v>561</v>
      </c>
      <c r="H9231">
        <v>5</v>
      </c>
      <c r="I9231">
        <f>VLOOKUP(B9231,BRAND!B:D,3,FALSE)</f>
        <v>4</v>
      </c>
      <c r="J9231">
        <v>3</v>
      </c>
      <c r="K9231" t="s">
        <v>821</v>
      </c>
      <c r="M9231">
        <v>1</v>
      </c>
    </row>
    <row r="9232" spans="1:13">
      <c r="A9232" t="s">
        <v>4765</v>
      </c>
      <c r="B9232" t="s">
        <v>1384</v>
      </c>
      <c r="C9232" s="34" t="s">
        <v>776</v>
      </c>
      <c r="F9232" t="s">
        <v>776</v>
      </c>
      <c r="H9232">
        <v>5</v>
      </c>
      <c r="I9232">
        <f>VLOOKUP(B9232,BRAND!B:D,3,FALSE)</f>
        <v>3</v>
      </c>
      <c r="J9232">
        <v>5</v>
      </c>
      <c r="K9232" t="s">
        <v>821</v>
      </c>
      <c r="L9232">
        <v>0</v>
      </c>
      <c r="M9232">
        <v>0</v>
      </c>
    </row>
    <row r="9233" spans="1:13">
      <c r="A9233" t="s">
        <v>2775</v>
      </c>
      <c r="B9233" t="s">
        <v>1384</v>
      </c>
      <c r="C9233" s="34" t="s">
        <v>1438</v>
      </c>
      <c r="F9233" t="s">
        <v>1438</v>
      </c>
      <c r="H9233">
        <v>15</v>
      </c>
      <c r="I9233">
        <f>VLOOKUP(B9233,BRAND!B:D,3,FALSE)</f>
        <v>3</v>
      </c>
      <c r="J9233">
        <v>4</v>
      </c>
      <c r="K9233" t="s">
        <v>821</v>
      </c>
      <c r="L9233">
        <v>0</v>
      </c>
      <c r="M9233">
        <v>0</v>
      </c>
    </row>
    <row r="9234" spans="1:13">
      <c r="A9234" t="s">
        <v>8978</v>
      </c>
      <c r="B9234" t="s">
        <v>8979</v>
      </c>
      <c r="C9234" s="34" t="s">
        <v>1438</v>
      </c>
      <c r="F9234" t="s">
        <v>1438</v>
      </c>
      <c r="G9234" t="s">
        <v>6932</v>
      </c>
      <c r="H9234">
        <v>5</v>
      </c>
      <c r="I9234">
        <f>VLOOKUP(B9234,BRAND!B:D,3,FALSE)</f>
        <v>5.5</v>
      </c>
      <c r="J9234">
        <v>4</v>
      </c>
      <c r="M9234">
        <v>1</v>
      </c>
    </row>
    <row r="9235" spans="1:13">
      <c r="A9235" t="s">
        <v>5485</v>
      </c>
      <c r="B9235" t="s">
        <v>598</v>
      </c>
      <c r="C9235" s="34" t="s">
        <v>1438</v>
      </c>
      <c r="F9235" t="s">
        <v>1438</v>
      </c>
      <c r="H9235">
        <v>5</v>
      </c>
      <c r="I9235">
        <f>VLOOKUP(B9235,BRAND!B:D,3,FALSE)</f>
        <v>5</v>
      </c>
      <c r="J9235">
        <v>4</v>
      </c>
      <c r="K9235" t="s">
        <v>821</v>
      </c>
      <c r="M9235">
        <v>1</v>
      </c>
    </row>
    <row r="9236" spans="1:13">
      <c r="A9236" t="s">
        <v>5485</v>
      </c>
      <c r="B9236" t="s">
        <v>598</v>
      </c>
      <c r="C9236" s="34" t="s">
        <v>1438</v>
      </c>
      <c r="F9236" t="s">
        <v>1438</v>
      </c>
      <c r="G9236" t="s">
        <v>6932</v>
      </c>
      <c r="H9236">
        <v>5</v>
      </c>
      <c r="I9236">
        <f>VLOOKUP(B9236,BRAND!B:D,3,FALSE)</f>
        <v>5</v>
      </c>
      <c r="J9236">
        <v>4</v>
      </c>
      <c r="M9236">
        <v>1</v>
      </c>
    </row>
    <row r="9237" spans="1:13">
      <c r="A9237" t="s">
        <v>10594</v>
      </c>
      <c r="B9237" t="s">
        <v>10318</v>
      </c>
      <c r="C9237" s="34" t="s">
        <v>994</v>
      </c>
      <c r="F9237" t="s">
        <v>994</v>
      </c>
      <c r="G9237" t="s">
        <v>6932</v>
      </c>
      <c r="H9237">
        <v>5</v>
      </c>
      <c r="I9237">
        <f>VLOOKUP(B9237,BRAND!B:D,3,FALSE)</f>
        <v>11</v>
      </c>
      <c r="J9237">
        <f>LEN(F9237)</f>
        <v>10</v>
      </c>
      <c r="L9237">
        <v>0</v>
      </c>
    </row>
    <row r="9238" spans="1:13">
      <c r="A9238" t="s">
        <v>9537</v>
      </c>
      <c r="B9238" t="s">
        <v>9538</v>
      </c>
      <c r="C9238" s="34" t="s">
        <v>1438</v>
      </c>
      <c r="F9238" t="s">
        <v>1438</v>
      </c>
      <c r="G9238" t="s">
        <v>6932</v>
      </c>
      <c r="H9238">
        <v>5</v>
      </c>
      <c r="I9238">
        <f>VLOOKUP(B9238,BRAND!B:D,3,FALSE)</f>
        <v>5.5</v>
      </c>
      <c r="J9238">
        <v>4</v>
      </c>
      <c r="M9238">
        <v>1</v>
      </c>
    </row>
    <row r="9239" spans="1:13">
      <c r="A9239" t="s">
        <v>3785</v>
      </c>
      <c r="B9239" t="s">
        <v>225</v>
      </c>
      <c r="C9239" s="34" t="s">
        <v>534</v>
      </c>
      <c r="F9239" t="s">
        <v>534</v>
      </c>
      <c r="H9239">
        <v>5</v>
      </c>
      <c r="I9239">
        <f>VLOOKUP(B9239,BRAND!B:D,3,FALSE)</f>
        <v>3</v>
      </c>
      <c r="J9239">
        <v>6</v>
      </c>
      <c r="K9239" t="s">
        <v>821</v>
      </c>
      <c r="M9239">
        <v>1</v>
      </c>
    </row>
    <row r="9240" spans="1:13">
      <c r="A9240" t="s">
        <v>3364</v>
      </c>
      <c r="B9240" t="s">
        <v>225</v>
      </c>
      <c r="C9240" s="34" t="s">
        <v>10837</v>
      </c>
      <c r="F9240" t="s">
        <v>371</v>
      </c>
      <c r="H9240">
        <v>5</v>
      </c>
      <c r="I9240">
        <f>VLOOKUP(B9240,BRAND!B:D,3,FALSE)</f>
        <v>3</v>
      </c>
      <c r="J9240">
        <v>5</v>
      </c>
      <c r="K9240" t="s">
        <v>821</v>
      </c>
      <c r="L9240">
        <v>0</v>
      </c>
      <c r="M9240">
        <v>0</v>
      </c>
    </row>
    <row r="9241" spans="1:13">
      <c r="A9241" t="s">
        <v>3364</v>
      </c>
      <c r="B9241" t="s">
        <v>225</v>
      </c>
      <c r="C9241" s="34" t="s">
        <v>536</v>
      </c>
      <c r="F9241" t="s">
        <v>536</v>
      </c>
      <c r="H9241">
        <v>5</v>
      </c>
      <c r="I9241">
        <f>VLOOKUP(B9241,BRAND!B:D,3,FALSE)</f>
        <v>3</v>
      </c>
      <c r="J9241">
        <v>5</v>
      </c>
      <c r="K9241" t="s">
        <v>821</v>
      </c>
      <c r="M9241">
        <v>1</v>
      </c>
    </row>
    <row r="9242" spans="1:13">
      <c r="A9242" t="s">
        <v>2946</v>
      </c>
      <c r="B9242" t="s">
        <v>225</v>
      </c>
      <c r="C9242" s="34" t="s">
        <v>561</v>
      </c>
      <c r="F9242" t="s">
        <v>561</v>
      </c>
      <c r="H9242">
        <v>5</v>
      </c>
      <c r="I9242">
        <f>VLOOKUP(B9242,BRAND!B:D,3,FALSE)</f>
        <v>3</v>
      </c>
      <c r="J9242">
        <v>3</v>
      </c>
      <c r="K9242" t="s">
        <v>821</v>
      </c>
      <c r="L9242">
        <v>0</v>
      </c>
      <c r="M9242">
        <v>0</v>
      </c>
    </row>
    <row r="9243" spans="1:13">
      <c r="A9243" t="s">
        <v>4996</v>
      </c>
      <c r="B9243" t="s">
        <v>225</v>
      </c>
      <c r="C9243" s="34" t="s">
        <v>10836</v>
      </c>
      <c r="H9243">
        <v>5</v>
      </c>
      <c r="I9243">
        <f>VLOOKUP(B9243,BRAND!B:D,3,FALSE)</f>
        <v>3</v>
      </c>
      <c r="J9243">
        <f>LEN(F9243)</f>
        <v>0</v>
      </c>
      <c r="L9243">
        <v>0</v>
      </c>
      <c r="M9243">
        <v>0</v>
      </c>
    </row>
    <row r="9244" spans="1:13">
      <c r="A9244" t="s">
        <v>9976</v>
      </c>
      <c r="B9244" t="s">
        <v>225</v>
      </c>
      <c r="C9244" s="34" t="s">
        <v>10021</v>
      </c>
      <c r="H9244">
        <v>5</v>
      </c>
      <c r="I9244">
        <f>VLOOKUP(B9244,BRAND!B:D,3,FALSE)</f>
        <v>3</v>
      </c>
      <c r="J9244">
        <v>0</v>
      </c>
      <c r="M9244">
        <v>1</v>
      </c>
    </row>
    <row r="9245" spans="1:13">
      <c r="A9245" t="s">
        <v>4996</v>
      </c>
      <c r="B9245" t="s">
        <v>225</v>
      </c>
      <c r="C9245" s="34" t="s">
        <v>536</v>
      </c>
      <c r="F9245" t="s">
        <v>536</v>
      </c>
      <c r="G9245" t="s">
        <v>801</v>
      </c>
      <c r="H9245">
        <v>6</v>
      </c>
      <c r="I9245">
        <f>VLOOKUP(B9245,BRAND!B:D,3,FALSE)</f>
        <v>3</v>
      </c>
      <c r="J9245">
        <v>5</v>
      </c>
      <c r="K9245" t="s">
        <v>821</v>
      </c>
      <c r="L9245">
        <v>0</v>
      </c>
      <c r="M9245">
        <v>0</v>
      </c>
    </row>
    <row r="9246" spans="1:13">
      <c r="A9246" t="s">
        <v>4923</v>
      </c>
      <c r="B9246" t="s">
        <v>225</v>
      </c>
      <c r="C9246" s="34" t="s">
        <v>1438</v>
      </c>
      <c r="F9246" t="s">
        <v>1438</v>
      </c>
      <c r="G9246" t="s">
        <v>801</v>
      </c>
      <c r="H9246">
        <v>6</v>
      </c>
      <c r="I9246">
        <f>VLOOKUP(B9246,BRAND!B:D,3,FALSE)</f>
        <v>3</v>
      </c>
      <c r="J9246">
        <v>4</v>
      </c>
      <c r="K9246" t="s">
        <v>821</v>
      </c>
      <c r="M9246">
        <v>1</v>
      </c>
    </row>
    <row r="9247" spans="1:13">
      <c r="A9247" t="s">
        <v>5016</v>
      </c>
      <c r="B9247" t="s">
        <v>225</v>
      </c>
      <c r="C9247" s="34" t="s">
        <v>786</v>
      </c>
      <c r="F9247" t="s">
        <v>786</v>
      </c>
      <c r="G9247" t="s">
        <v>801</v>
      </c>
      <c r="H9247">
        <v>6</v>
      </c>
      <c r="I9247">
        <f>VLOOKUP(B9247,BRAND!B:D,3,FALSE)</f>
        <v>3</v>
      </c>
      <c r="J9247">
        <v>3</v>
      </c>
      <c r="K9247" t="s">
        <v>821</v>
      </c>
      <c r="L9247">
        <v>0</v>
      </c>
      <c r="M9247">
        <v>0</v>
      </c>
    </row>
    <row r="9248" spans="1:13">
      <c r="A9248" t="s">
        <v>2062</v>
      </c>
      <c r="B9248" t="s">
        <v>225</v>
      </c>
      <c r="C9248" s="34" t="s">
        <v>1438</v>
      </c>
      <c r="F9248" t="s">
        <v>1438</v>
      </c>
      <c r="H9248">
        <v>15</v>
      </c>
      <c r="I9248">
        <f>VLOOKUP(B9248,BRAND!B:D,3,FALSE)</f>
        <v>3</v>
      </c>
      <c r="J9248">
        <v>4</v>
      </c>
      <c r="K9248" t="s">
        <v>821</v>
      </c>
      <c r="L9248">
        <v>0</v>
      </c>
      <c r="M9248">
        <v>0</v>
      </c>
    </row>
    <row r="9249" spans="1:13">
      <c r="A9249" t="s">
        <v>10168</v>
      </c>
      <c r="B9249" t="s">
        <v>719</v>
      </c>
      <c r="C9249" s="34" t="s">
        <v>994</v>
      </c>
      <c r="F9249" t="s">
        <v>994</v>
      </c>
      <c r="H9249">
        <v>5</v>
      </c>
      <c r="I9249">
        <f>VLOOKUP(B9249,BRAND!B:D,3,FALSE)</f>
        <v>5.5</v>
      </c>
      <c r="J9249">
        <v>3</v>
      </c>
      <c r="L9249">
        <v>1</v>
      </c>
      <c r="M9249">
        <v>1</v>
      </c>
    </row>
    <row r="9250" spans="1:13">
      <c r="A9250" t="s">
        <v>1691</v>
      </c>
      <c r="B9250" t="s">
        <v>738</v>
      </c>
      <c r="C9250" s="34" t="s">
        <v>1467</v>
      </c>
      <c r="F9250" t="s">
        <v>1467</v>
      </c>
      <c r="H9250">
        <v>4</v>
      </c>
      <c r="I9250">
        <f>VLOOKUP(B9250,BRAND!B:D,3,FALSE)</f>
        <v>3</v>
      </c>
      <c r="J9250">
        <f>LEN(F9250)</f>
        <v>12</v>
      </c>
      <c r="K9250" t="s">
        <v>822</v>
      </c>
      <c r="L9250">
        <v>0</v>
      </c>
      <c r="M9250">
        <v>0</v>
      </c>
    </row>
    <row r="9251" spans="1:13">
      <c r="A9251" t="s">
        <v>1689</v>
      </c>
      <c r="B9251" t="s">
        <v>738</v>
      </c>
      <c r="C9251" s="34" t="s">
        <v>1472</v>
      </c>
      <c r="F9251" t="s">
        <v>1472</v>
      </c>
      <c r="H9251">
        <v>5</v>
      </c>
      <c r="I9251">
        <f>VLOOKUP(B9251,BRAND!B:D,3,FALSE)</f>
        <v>3</v>
      </c>
      <c r="J9251">
        <f>LEN(F9251)</f>
        <v>11</v>
      </c>
      <c r="K9251" t="s">
        <v>822</v>
      </c>
      <c r="L9251">
        <v>0</v>
      </c>
      <c r="M9251">
        <v>0</v>
      </c>
    </row>
    <row r="9252" spans="1:13">
      <c r="A9252" t="s">
        <v>4849</v>
      </c>
      <c r="B9252" t="s">
        <v>738</v>
      </c>
      <c r="C9252" s="34" t="s">
        <v>1965</v>
      </c>
      <c r="F9252" t="s">
        <v>1965</v>
      </c>
      <c r="H9252">
        <v>5</v>
      </c>
      <c r="I9252">
        <f>VLOOKUP(B9252,BRAND!B:D,3,FALSE)</f>
        <v>3</v>
      </c>
      <c r="J9252">
        <f>LEN(F9252)</f>
        <v>10</v>
      </c>
      <c r="K9252" t="s">
        <v>822</v>
      </c>
      <c r="L9252">
        <v>0</v>
      </c>
      <c r="M9252">
        <v>0</v>
      </c>
    </row>
    <row r="9253" spans="1:13">
      <c r="A9253" t="s">
        <v>1737</v>
      </c>
      <c r="B9253" t="s">
        <v>738</v>
      </c>
      <c r="C9253" s="34" t="s">
        <v>746</v>
      </c>
      <c r="F9253" t="s">
        <v>746</v>
      </c>
      <c r="H9253">
        <v>5</v>
      </c>
      <c r="I9253">
        <f>VLOOKUP(B9253,BRAND!B:D,3,FALSE)</f>
        <v>3</v>
      </c>
      <c r="J9253">
        <v>6</v>
      </c>
      <c r="K9253" t="s">
        <v>822</v>
      </c>
      <c r="L9253">
        <v>0</v>
      </c>
      <c r="M9253">
        <v>0</v>
      </c>
    </row>
    <row r="9254" spans="1:13">
      <c r="A9254" t="s">
        <v>1688</v>
      </c>
      <c r="B9254" t="s">
        <v>738</v>
      </c>
      <c r="C9254" s="34" t="s">
        <v>898</v>
      </c>
      <c r="F9254" t="s">
        <v>898</v>
      </c>
      <c r="H9254">
        <v>5</v>
      </c>
      <c r="I9254">
        <f>VLOOKUP(B9254,BRAND!B:D,3,FALSE)</f>
        <v>3</v>
      </c>
      <c r="J9254">
        <v>6</v>
      </c>
      <c r="K9254" t="s">
        <v>822</v>
      </c>
      <c r="L9254">
        <v>0</v>
      </c>
      <c r="M9254">
        <v>0</v>
      </c>
    </row>
    <row r="9255" spans="1:13">
      <c r="A9255" t="s">
        <v>4551</v>
      </c>
      <c r="B9255" t="s">
        <v>738</v>
      </c>
      <c r="C9255" s="34" t="s">
        <v>534</v>
      </c>
      <c r="F9255" t="s">
        <v>534</v>
      </c>
      <c r="H9255">
        <v>5</v>
      </c>
      <c r="I9255">
        <f>VLOOKUP(B9255,BRAND!B:D,3,FALSE)</f>
        <v>3</v>
      </c>
      <c r="J9255">
        <v>6</v>
      </c>
      <c r="K9255" t="s">
        <v>822</v>
      </c>
      <c r="L9255">
        <v>0</v>
      </c>
      <c r="M9255">
        <v>0</v>
      </c>
    </row>
    <row r="9256" spans="1:13">
      <c r="A9256" t="s">
        <v>1738</v>
      </c>
      <c r="B9256" t="s">
        <v>738</v>
      </c>
      <c r="C9256" s="34" t="s">
        <v>764</v>
      </c>
      <c r="F9256" t="s">
        <v>764</v>
      </c>
      <c r="H9256">
        <v>5</v>
      </c>
      <c r="I9256">
        <f>VLOOKUP(B9256,BRAND!B:D,3,FALSE)</f>
        <v>3</v>
      </c>
      <c r="J9256">
        <v>5</v>
      </c>
      <c r="K9256" t="s">
        <v>822</v>
      </c>
      <c r="L9256">
        <v>0</v>
      </c>
      <c r="M9256">
        <v>0</v>
      </c>
    </row>
    <row r="9257" spans="1:13">
      <c r="A9257" t="s">
        <v>1724</v>
      </c>
      <c r="B9257" t="s">
        <v>738</v>
      </c>
      <c r="C9257" s="34" t="s">
        <v>1513</v>
      </c>
      <c r="F9257" t="s">
        <v>1513</v>
      </c>
      <c r="H9257">
        <v>5</v>
      </c>
      <c r="I9257">
        <f>VLOOKUP(B9257,BRAND!B:D,3,FALSE)</f>
        <v>3</v>
      </c>
      <c r="J9257">
        <v>5</v>
      </c>
      <c r="K9257" t="s">
        <v>822</v>
      </c>
      <c r="L9257">
        <v>0</v>
      </c>
      <c r="M9257">
        <v>0</v>
      </c>
    </row>
    <row r="9258" spans="1:13">
      <c r="A9258" t="s">
        <v>1745</v>
      </c>
      <c r="B9258" t="s">
        <v>738</v>
      </c>
      <c r="C9258" s="34" t="s">
        <v>761</v>
      </c>
      <c r="F9258" t="s">
        <v>761</v>
      </c>
      <c r="H9258">
        <v>5</v>
      </c>
      <c r="I9258">
        <f>VLOOKUP(B9258,BRAND!B:D,3,FALSE)</f>
        <v>3</v>
      </c>
      <c r="J9258">
        <v>5</v>
      </c>
      <c r="K9258" t="s">
        <v>822</v>
      </c>
      <c r="L9258">
        <v>0</v>
      </c>
      <c r="M9258">
        <v>0</v>
      </c>
    </row>
    <row r="9259" spans="1:13">
      <c r="A9259" t="s">
        <v>4473</v>
      </c>
      <c r="B9259" t="s">
        <v>738</v>
      </c>
      <c r="C9259" s="34" t="s">
        <v>775</v>
      </c>
      <c r="F9259" t="s">
        <v>775</v>
      </c>
      <c r="H9259">
        <v>5</v>
      </c>
      <c r="I9259">
        <f>VLOOKUP(B9259,BRAND!B:D,3,FALSE)</f>
        <v>3</v>
      </c>
      <c r="J9259">
        <v>3</v>
      </c>
      <c r="K9259" t="s">
        <v>822</v>
      </c>
      <c r="L9259">
        <v>0</v>
      </c>
      <c r="M9259">
        <v>0</v>
      </c>
    </row>
    <row r="9260" spans="1:13">
      <c r="A9260" t="s">
        <v>1625</v>
      </c>
      <c r="B9260" t="s">
        <v>738</v>
      </c>
      <c r="C9260" s="34" t="s">
        <v>1438</v>
      </c>
      <c r="F9260" t="s">
        <v>1438</v>
      </c>
      <c r="H9260">
        <v>15</v>
      </c>
      <c r="I9260">
        <f>VLOOKUP(B9260,BRAND!B:D,3,FALSE)</f>
        <v>3</v>
      </c>
      <c r="J9260">
        <v>4</v>
      </c>
      <c r="K9260" t="s">
        <v>822</v>
      </c>
      <c r="M9260">
        <v>1</v>
      </c>
    </row>
    <row r="9261" spans="1:13">
      <c r="A9261" t="s">
        <v>8199</v>
      </c>
      <c r="B9261" t="s">
        <v>8200</v>
      </c>
      <c r="C9261" s="34" t="s">
        <v>1438</v>
      </c>
      <c r="F9261" t="s">
        <v>1438</v>
      </c>
      <c r="G9261" t="s">
        <v>6932</v>
      </c>
      <c r="H9261">
        <v>5</v>
      </c>
      <c r="I9261">
        <f>VLOOKUP(B9261,BRAND!B:D,3,FALSE)</f>
        <v>5.5</v>
      </c>
      <c r="J9261">
        <v>4</v>
      </c>
      <c r="M9261">
        <v>1</v>
      </c>
    </row>
    <row r="9262" spans="1:13">
      <c r="A9262" t="s">
        <v>7574</v>
      </c>
      <c r="B9262" t="s">
        <v>7575</v>
      </c>
      <c r="C9262" s="34" t="s">
        <v>534</v>
      </c>
      <c r="F9262" t="s">
        <v>534</v>
      </c>
      <c r="G9262" t="s">
        <v>6932</v>
      </c>
      <c r="H9262">
        <v>5</v>
      </c>
      <c r="I9262">
        <f>VLOOKUP(B9262,BRAND!B:D,3,FALSE)</f>
        <v>5.5</v>
      </c>
      <c r="J9262">
        <v>6</v>
      </c>
      <c r="M9262">
        <v>1</v>
      </c>
    </row>
    <row r="9263" spans="1:13">
      <c r="A9263" t="s">
        <v>2322</v>
      </c>
      <c r="B9263" t="s">
        <v>457</v>
      </c>
      <c r="C9263" s="34" t="s">
        <v>1438</v>
      </c>
      <c r="F9263" t="s">
        <v>1438</v>
      </c>
      <c r="H9263">
        <v>15</v>
      </c>
      <c r="I9263">
        <f>VLOOKUP(B9263,BRAND!B:D,3,FALSE)</f>
        <v>3</v>
      </c>
      <c r="J9263">
        <v>4</v>
      </c>
      <c r="K9263" t="s">
        <v>821</v>
      </c>
      <c r="L9263" s="29"/>
      <c r="M9263">
        <v>1</v>
      </c>
    </row>
    <row r="9264" spans="1:13">
      <c r="A9264" t="s">
        <v>9539</v>
      </c>
      <c r="B9264" t="s">
        <v>9007</v>
      </c>
      <c r="C9264" s="34" t="s">
        <v>842</v>
      </c>
      <c r="F9264" t="s">
        <v>842</v>
      </c>
      <c r="G9264" t="s">
        <v>6932</v>
      </c>
      <c r="H9264">
        <v>5</v>
      </c>
      <c r="I9264">
        <f>VLOOKUP(B9264,BRAND!B:D,3,FALSE)</f>
        <v>5.5</v>
      </c>
      <c r="J9264">
        <v>5</v>
      </c>
      <c r="M9264">
        <v>1</v>
      </c>
    </row>
    <row r="9265" spans="1:13">
      <c r="A9265" t="s">
        <v>9006</v>
      </c>
      <c r="B9265" t="s">
        <v>9007</v>
      </c>
      <c r="C9265" s="34" t="s">
        <v>1438</v>
      </c>
      <c r="F9265" t="s">
        <v>1438</v>
      </c>
      <c r="G9265" t="s">
        <v>6932</v>
      </c>
      <c r="H9265">
        <v>5</v>
      </c>
      <c r="I9265">
        <f>VLOOKUP(B9265,BRAND!B:D,3,FALSE)</f>
        <v>5.5</v>
      </c>
      <c r="J9265">
        <v>4</v>
      </c>
      <c r="M9265">
        <v>1</v>
      </c>
    </row>
    <row r="9266" spans="1:13">
      <c r="A9266" t="s">
        <v>3664</v>
      </c>
      <c r="B9266" t="s">
        <v>599</v>
      </c>
      <c r="C9266" s="34" t="s">
        <v>534</v>
      </c>
      <c r="F9266" t="s">
        <v>534</v>
      </c>
      <c r="H9266">
        <v>5</v>
      </c>
      <c r="I9266">
        <f>VLOOKUP(B9266,BRAND!B:D,3,FALSE)</f>
        <v>3</v>
      </c>
      <c r="J9266">
        <v>6</v>
      </c>
      <c r="K9266" t="s">
        <v>821</v>
      </c>
      <c r="M9266">
        <v>1</v>
      </c>
    </row>
    <row r="9267" spans="1:13">
      <c r="A9267" t="s">
        <v>3947</v>
      </c>
      <c r="B9267" t="s">
        <v>599</v>
      </c>
      <c r="C9267" s="34" t="s">
        <v>536</v>
      </c>
      <c r="F9267" t="s">
        <v>536</v>
      </c>
      <c r="H9267">
        <v>5</v>
      </c>
      <c r="I9267">
        <f>VLOOKUP(B9267,BRAND!B:D,3,FALSE)</f>
        <v>3</v>
      </c>
      <c r="J9267">
        <v>5</v>
      </c>
      <c r="K9267" t="s">
        <v>821</v>
      </c>
      <c r="M9267">
        <v>1</v>
      </c>
    </row>
    <row r="9268" spans="1:13">
      <c r="A9268" t="s">
        <v>3789</v>
      </c>
      <c r="B9268" t="s">
        <v>599</v>
      </c>
      <c r="C9268" s="34" t="s">
        <v>775</v>
      </c>
      <c r="F9268" t="s">
        <v>775</v>
      </c>
      <c r="H9268">
        <v>5</v>
      </c>
      <c r="I9268">
        <f>VLOOKUP(B9268,BRAND!B:D,3,FALSE)</f>
        <v>3</v>
      </c>
      <c r="J9268">
        <v>3</v>
      </c>
      <c r="K9268" t="s">
        <v>821</v>
      </c>
      <c r="L9268">
        <v>0</v>
      </c>
      <c r="M9268">
        <v>0</v>
      </c>
    </row>
    <row r="9269" spans="1:13">
      <c r="A9269" t="s">
        <v>5018</v>
      </c>
      <c r="B9269" t="s">
        <v>599</v>
      </c>
      <c r="C9269" s="34" t="s">
        <v>883</v>
      </c>
      <c r="F9269" t="s">
        <v>883</v>
      </c>
      <c r="G9269" t="s">
        <v>801</v>
      </c>
      <c r="H9269">
        <v>6</v>
      </c>
      <c r="I9269">
        <f>VLOOKUP(B9269,BRAND!B:D,3,FALSE)</f>
        <v>3</v>
      </c>
      <c r="J9269">
        <v>6</v>
      </c>
      <c r="K9269" t="s">
        <v>821</v>
      </c>
      <c r="L9269">
        <v>0</v>
      </c>
      <c r="M9269">
        <v>0</v>
      </c>
    </row>
    <row r="9270" spans="1:13">
      <c r="A9270" t="s">
        <v>5008</v>
      </c>
      <c r="B9270" t="s">
        <v>599</v>
      </c>
      <c r="C9270" s="34" t="s">
        <v>536</v>
      </c>
      <c r="F9270" t="s">
        <v>536</v>
      </c>
      <c r="G9270" t="s">
        <v>801</v>
      </c>
      <c r="H9270">
        <v>6</v>
      </c>
      <c r="I9270">
        <f>VLOOKUP(B9270,BRAND!B:D,3,FALSE)</f>
        <v>3</v>
      </c>
      <c r="J9270">
        <v>5</v>
      </c>
      <c r="K9270" t="s">
        <v>821</v>
      </c>
      <c r="L9270">
        <v>0</v>
      </c>
      <c r="M9270">
        <v>0</v>
      </c>
    </row>
    <row r="9271" spans="1:13">
      <c r="A9271" t="s">
        <v>4925</v>
      </c>
      <c r="B9271" t="s">
        <v>599</v>
      </c>
      <c r="C9271" s="34" t="s">
        <v>1438</v>
      </c>
      <c r="F9271" t="s">
        <v>1438</v>
      </c>
      <c r="G9271" t="s">
        <v>801</v>
      </c>
      <c r="H9271">
        <v>6</v>
      </c>
      <c r="I9271">
        <f>VLOOKUP(B9271,BRAND!B:D,3,FALSE)</f>
        <v>3</v>
      </c>
      <c r="J9271">
        <v>4</v>
      </c>
      <c r="K9271" t="s">
        <v>821</v>
      </c>
      <c r="L9271">
        <v>0</v>
      </c>
      <c r="M9271">
        <v>0</v>
      </c>
    </row>
    <row r="9272" spans="1:13">
      <c r="A9272" t="s">
        <v>2171</v>
      </c>
      <c r="B9272" t="s">
        <v>599</v>
      </c>
      <c r="C9272" s="34" t="s">
        <v>1438</v>
      </c>
      <c r="F9272" t="s">
        <v>1438</v>
      </c>
      <c r="H9272">
        <v>15</v>
      </c>
      <c r="I9272">
        <f>VLOOKUP(B9272,BRAND!B:D,3,FALSE)</f>
        <v>3</v>
      </c>
      <c r="J9272">
        <v>4</v>
      </c>
      <c r="K9272" t="s">
        <v>821</v>
      </c>
      <c r="L9272">
        <v>0</v>
      </c>
      <c r="M9272">
        <v>0</v>
      </c>
    </row>
    <row r="9273" spans="1:13">
      <c r="A9273" t="s">
        <v>3169</v>
      </c>
      <c r="B9273" t="s">
        <v>458</v>
      </c>
      <c r="C9273" s="34" t="s">
        <v>5442</v>
      </c>
      <c r="F9273" t="s">
        <v>534</v>
      </c>
      <c r="H9273">
        <v>5</v>
      </c>
      <c r="I9273">
        <f>VLOOKUP(B9273,BRAND!B:D,3,FALSE)</f>
        <v>3</v>
      </c>
      <c r="J9273">
        <v>6</v>
      </c>
      <c r="K9273" t="s">
        <v>821</v>
      </c>
      <c r="M9273">
        <v>1</v>
      </c>
    </row>
    <row r="9274" spans="1:13">
      <c r="A9274" t="s">
        <v>11482</v>
      </c>
      <c r="B9274" t="s">
        <v>458</v>
      </c>
      <c r="C9274" s="34" t="s">
        <v>1438</v>
      </c>
      <c r="F9274" t="s">
        <v>1438</v>
      </c>
      <c r="G9274" t="s">
        <v>6932</v>
      </c>
      <c r="H9274">
        <v>5</v>
      </c>
    </row>
    <row r="9275" spans="1:13">
      <c r="A9275" t="s">
        <v>3747</v>
      </c>
      <c r="B9275" t="s">
        <v>226</v>
      </c>
      <c r="C9275" s="34" t="s">
        <v>777</v>
      </c>
      <c r="F9275" t="s">
        <v>777</v>
      </c>
      <c r="H9275">
        <v>5</v>
      </c>
      <c r="I9275">
        <f>VLOOKUP(B9275,BRAND!B:D,3,FALSE)</f>
        <v>5</v>
      </c>
      <c r="J9275">
        <v>7</v>
      </c>
      <c r="K9275" t="s">
        <v>821</v>
      </c>
      <c r="M9275">
        <v>1</v>
      </c>
    </row>
    <row r="9276" spans="1:13">
      <c r="A9276" t="s">
        <v>9540</v>
      </c>
      <c r="B9276" t="s">
        <v>9541</v>
      </c>
      <c r="C9276" s="34" t="s">
        <v>1438</v>
      </c>
      <c r="F9276" t="s">
        <v>1438</v>
      </c>
      <c r="G9276" t="s">
        <v>6932</v>
      </c>
      <c r="H9276">
        <v>5</v>
      </c>
      <c r="I9276">
        <f>VLOOKUP(B9276,BRAND!B:D,3,FALSE)</f>
        <v>5.5</v>
      </c>
      <c r="J9276">
        <v>4</v>
      </c>
      <c r="M9276">
        <v>1</v>
      </c>
    </row>
    <row r="9277" spans="1:13">
      <c r="A9277" t="s">
        <v>9540</v>
      </c>
      <c r="B9277" t="s">
        <v>9541</v>
      </c>
      <c r="C9277" s="34" t="s">
        <v>1438</v>
      </c>
      <c r="F9277" t="s">
        <v>1438</v>
      </c>
      <c r="H9277">
        <v>5</v>
      </c>
      <c r="I9277">
        <f>VLOOKUP(B9277,BRAND!B:D,3,FALSE)</f>
        <v>5.5</v>
      </c>
      <c r="J9277">
        <v>3</v>
      </c>
      <c r="L9277">
        <v>1</v>
      </c>
      <c r="M9277">
        <v>1</v>
      </c>
    </row>
    <row r="9278" spans="1:13">
      <c r="A9278" t="s">
        <v>9008</v>
      </c>
      <c r="B9278" t="s">
        <v>9009</v>
      </c>
      <c r="C9278" s="34" t="s">
        <v>1438</v>
      </c>
      <c r="F9278" t="s">
        <v>1438</v>
      </c>
      <c r="G9278" t="s">
        <v>6932</v>
      </c>
      <c r="H9278">
        <v>5</v>
      </c>
      <c r="I9278">
        <f>VLOOKUP(B9278,BRAND!B:D,3,FALSE)</f>
        <v>5.5</v>
      </c>
      <c r="J9278">
        <v>4</v>
      </c>
      <c r="M9278">
        <v>1</v>
      </c>
    </row>
    <row r="9279" spans="1:13">
      <c r="A9279" t="s">
        <v>4252</v>
      </c>
      <c r="B9279" t="s">
        <v>1902</v>
      </c>
      <c r="C9279" s="34" t="s">
        <v>534</v>
      </c>
      <c r="F9279" t="s">
        <v>534</v>
      </c>
      <c r="H9279">
        <v>5</v>
      </c>
      <c r="I9279">
        <f>VLOOKUP(B9279,BRAND!B:D,3,FALSE)</f>
        <v>5</v>
      </c>
      <c r="J9279">
        <v>6</v>
      </c>
      <c r="K9279" t="s">
        <v>821</v>
      </c>
      <c r="L9279">
        <v>0</v>
      </c>
      <c r="M9279">
        <v>0</v>
      </c>
    </row>
    <row r="9280" spans="1:13">
      <c r="A9280" t="s">
        <v>3860</v>
      </c>
      <c r="B9280" t="s">
        <v>1788</v>
      </c>
      <c r="C9280" s="34" t="s">
        <v>534</v>
      </c>
      <c r="F9280" t="s">
        <v>534</v>
      </c>
      <c r="H9280">
        <v>5</v>
      </c>
      <c r="I9280">
        <f>VLOOKUP(B9280,BRAND!B:D,3,FALSE)</f>
        <v>3</v>
      </c>
      <c r="J9280">
        <v>6</v>
      </c>
      <c r="K9280" t="s">
        <v>821</v>
      </c>
      <c r="L9280">
        <v>0</v>
      </c>
      <c r="M9280">
        <v>0</v>
      </c>
    </row>
    <row r="9281" spans="1:13">
      <c r="A9281" t="s">
        <v>3861</v>
      </c>
      <c r="B9281" t="s">
        <v>1788</v>
      </c>
      <c r="C9281" s="34" t="s">
        <v>536</v>
      </c>
      <c r="F9281" t="s">
        <v>536</v>
      </c>
      <c r="H9281">
        <v>5</v>
      </c>
      <c r="I9281">
        <f>VLOOKUP(B9281,BRAND!B:D,3,FALSE)</f>
        <v>3</v>
      </c>
      <c r="J9281">
        <v>5</v>
      </c>
      <c r="K9281" t="s">
        <v>821</v>
      </c>
      <c r="L9281">
        <v>0</v>
      </c>
      <c r="M9281">
        <v>0</v>
      </c>
    </row>
    <row r="9282" spans="1:13">
      <c r="A9282" t="s">
        <v>3859</v>
      </c>
      <c r="B9282" t="s">
        <v>1788</v>
      </c>
      <c r="C9282" s="34" t="s">
        <v>775</v>
      </c>
      <c r="F9282" t="s">
        <v>775</v>
      </c>
      <c r="H9282">
        <v>5</v>
      </c>
      <c r="I9282">
        <f>VLOOKUP(B9282,BRAND!B:D,3,FALSE)</f>
        <v>3</v>
      </c>
      <c r="J9282">
        <v>3</v>
      </c>
      <c r="K9282" t="s">
        <v>821</v>
      </c>
      <c r="L9282">
        <v>0</v>
      </c>
      <c r="M9282">
        <v>0</v>
      </c>
    </row>
    <row r="9283" spans="1:13">
      <c r="A9283" t="s">
        <v>3602</v>
      </c>
      <c r="B9283" t="s">
        <v>227</v>
      </c>
      <c r="C9283" s="34" t="s">
        <v>534</v>
      </c>
      <c r="F9283" t="s">
        <v>534</v>
      </c>
      <c r="H9283">
        <v>5</v>
      </c>
      <c r="I9283">
        <f>VLOOKUP(B9283,BRAND!B:D,3,FALSE)</f>
        <v>3</v>
      </c>
      <c r="J9283">
        <v>6</v>
      </c>
      <c r="K9283" t="s">
        <v>821</v>
      </c>
      <c r="L9283">
        <v>0</v>
      </c>
      <c r="M9283">
        <v>0</v>
      </c>
    </row>
    <row r="9284" spans="1:13">
      <c r="A9284" t="s">
        <v>2454</v>
      </c>
      <c r="B9284" t="s">
        <v>227</v>
      </c>
      <c r="C9284" s="34" t="s">
        <v>1438</v>
      </c>
      <c r="F9284" t="s">
        <v>1438</v>
      </c>
      <c r="H9284">
        <v>15</v>
      </c>
      <c r="I9284">
        <f>VLOOKUP(B9284,BRAND!B:D,3,FALSE)</f>
        <v>3</v>
      </c>
      <c r="J9284">
        <v>4</v>
      </c>
      <c r="K9284" t="s">
        <v>821</v>
      </c>
      <c r="M9284">
        <v>1</v>
      </c>
    </row>
    <row r="9285" spans="1:13">
      <c r="A9285" t="s">
        <v>4121</v>
      </c>
      <c r="B9285" t="s">
        <v>228</v>
      </c>
      <c r="C9285" s="34" t="s">
        <v>933</v>
      </c>
      <c r="F9285" t="s">
        <v>933</v>
      </c>
      <c r="H9285">
        <v>5</v>
      </c>
      <c r="I9285">
        <f>VLOOKUP(B9285,BRAND!B:D,3,FALSE)</f>
        <v>3</v>
      </c>
      <c r="J9285">
        <v>8</v>
      </c>
      <c r="K9285" t="s">
        <v>821</v>
      </c>
      <c r="M9285">
        <v>1</v>
      </c>
    </row>
    <row r="9286" spans="1:13">
      <c r="A9286" t="s">
        <v>3501</v>
      </c>
      <c r="B9286" t="s">
        <v>228</v>
      </c>
      <c r="C9286" s="34" t="s">
        <v>536</v>
      </c>
      <c r="F9286" t="s">
        <v>536</v>
      </c>
      <c r="H9286">
        <v>5</v>
      </c>
      <c r="I9286">
        <f>VLOOKUP(B9286,BRAND!B:D,3,FALSE)</f>
        <v>3</v>
      </c>
      <c r="J9286">
        <v>5</v>
      </c>
      <c r="K9286" t="s">
        <v>821</v>
      </c>
      <c r="L9286">
        <v>0</v>
      </c>
      <c r="M9286">
        <v>0</v>
      </c>
    </row>
    <row r="9287" spans="1:13">
      <c r="A9287" t="s">
        <v>4127</v>
      </c>
      <c r="B9287" t="s">
        <v>228</v>
      </c>
      <c r="C9287" s="34" t="s">
        <v>781</v>
      </c>
      <c r="F9287" t="s">
        <v>781</v>
      </c>
      <c r="H9287">
        <v>5</v>
      </c>
      <c r="I9287">
        <f>VLOOKUP(B9287,BRAND!B:D,3,FALSE)</f>
        <v>3</v>
      </c>
      <c r="J9287">
        <v>4</v>
      </c>
      <c r="K9287" t="s">
        <v>821</v>
      </c>
      <c r="L9287">
        <v>0</v>
      </c>
      <c r="M9287">
        <v>0</v>
      </c>
    </row>
    <row r="9288" spans="1:13">
      <c r="A9288" t="s">
        <v>2003</v>
      </c>
      <c r="B9288" t="s">
        <v>228</v>
      </c>
      <c r="C9288" s="34" t="s">
        <v>1438</v>
      </c>
      <c r="F9288" t="s">
        <v>1438</v>
      </c>
      <c r="H9288">
        <v>15</v>
      </c>
      <c r="I9288">
        <f>VLOOKUP(B9288,BRAND!B:D,3,FALSE)</f>
        <v>3</v>
      </c>
      <c r="J9288">
        <v>4</v>
      </c>
      <c r="K9288" t="s">
        <v>821</v>
      </c>
      <c r="M9288">
        <v>1</v>
      </c>
    </row>
    <row r="9289" spans="1:13">
      <c r="A9289" t="s">
        <v>2574</v>
      </c>
      <c r="B9289" t="s">
        <v>1385</v>
      </c>
      <c r="C9289" s="34" t="s">
        <v>1438</v>
      </c>
      <c r="F9289" t="s">
        <v>1438</v>
      </c>
      <c r="H9289">
        <v>15</v>
      </c>
      <c r="I9289">
        <f>VLOOKUP(B9289,BRAND!B:D,3,FALSE)</f>
        <v>3</v>
      </c>
      <c r="J9289">
        <v>4</v>
      </c>
      <c r="K9289" t="s">
        <v>821</v>
      </c>
      <c r="L9289">
        <v>0</v>
      </c>
      <c r="M9289">
        <v>0</v>
      </c>
    </row>
    <row r="9290" spans="1:13">
      <c r="A9290" t="s">
        <v>9542</v>
      </c>
      <c r="B9290" t="s">
        <v>9543</v>
      </c>
      <c r="C9290" s="34" t="s">
        <v>1438</v>
      </c>
      <c r="F9290" t="s">
        <v>1438</v>
      </c>
      <c r="G9290" t="s">
        <v>6932</v>
      </c>
      <c r="H9290">
        <v>5</v>
      </c>
      <c r="I9290">
        <f>VLOOKUP(B9290,BRAND!B:D,3,FALSE)</f>
        <v>5.5</v>
      </c>
      <c r="J9290">
        <v>4</v>
      </c>
      <c r="M9290">
        <v>1</v>
      </c>
    </row>
    <row r="9291" spans="1:13">
      <c r="A9291" t="s">
        <v>2074</v>
      </c>
      <c r="B9291" t="s">
        <v>229</v>
      </c>
      <c r="C9291" s="34" t="s">
        <v>840</v>
      </c>
      <c r="F9291" t="s">
        <v>840</v>
      </c>
      <c r="H9291">
        <v>5</v>
      </c>
      <c r="I9291">
        <f>VLOOKUP(B9291,BRAND!B:D,3,FALSE)</f>
        <v>3</v>
      </c>
      <c r="J9291">
        <v>9</v>
      </c>
      <c r="K9291" t="s">
        <v>821</v>
      </c>
      <c r="L9291">
        <v>0</v>
      </c>
      <c r="M9291">
        <v>0</v>
      </c>
    </row>
    <row r="9292" spans="1:13">
      <c r="A9292" t="s">
        <v>2073</v>
      </c>
      <c r="B9292" t="s">
        <v>229</v>
      </c>
      <c r="C9292" s="34" t="s">
        <v>534</v>
      </c>
      <c r="F9292" t="s">
        <v>534</v>
      </c>
      <c r="H9292">
        <v>5</v>
      </c>
      <c r="I9292">
        <f>VLOOKUP(B9292,BRAND!B:D,3,FALSE)</f>
        <v>3</v>
      </c>
      <c r="J9292">
        <v>6</v>
      </c>
      <c r="K9292" t="s">
        <v>821</v>
      </c>
      <c r="L9292">
        <v>0</v>
      </c>
      <c r="M9292">
        <v>0</v>
      </c>
    </row>
    <row r="9293" spans="1:13">
      <c r="A9293" t="s">
        <v>3337</v>
      </c>
      <c r="B9293" t="s">
        <v>229</v>
      </c>
      <c r="C9293" s="34" t="s">
        <v>751</v>
      </c>
      <c r="F9293" t="s">
        <v>751</v>
      </c>
      <c r="H9293">
        <v>5</v>
      </c>
      <c r="I9293">
        <f>VLOOKUP(B9293,BRAND!B:D,3,FALSE)</f>
        <v>3</v>
      </c>
      <c r="J9293">
        <v>5</v>
      </c>
      <c r="K9293" t="s">
        <v>821</v>
      </c>
      <c r="L9293">
        <v>0</v>
      </c>
      <c r="M9293">
        <v>0</v>
      </c>
    </row>
    <row r="9294" spans="1:13">
      <c r="A9294" t="s">
        <v>3790</v>
      </c>
      <c r="B9294" t="s">
        <v>229</v>
      </c>
      <c r="C9294" s="34" t="s">
        <v>3791</v>
      </c>
      <c r="F9294" t="s">
        <v>3791</v>
      </c>
      <c r="H9294">
        <v>5</v>
      </c>
      <c r="I9294">
        <f>VLOOKUP(B9294,BRAND!B:D,3,FALSE)</f>
        <v>3</v>
      </c>
      <c r="J9294">
        <v>2</v>
      </c>
      <c r="K9294" t="s">
        <v>821</v>
      </c>
      <c r="L9294">
        <v>0</v>
      </c>
      <c r="M9294">
        <v>0</v>
      </c>
    </row>
    <row r="9295" spans="1:13">
      <c r="A9295" t="s">
        <v>3360</v>
      </c>
      <c r="B9295" t="s">
        <v>229</v>
      </c>
      <c r="C9295" s="34" t="s">
        <v>757</v>
      </c>
      <c r="F9295" t="s">
        <v>757</v>
      </c>
      <c r="H9295">
        <v>5</v>
      </c>
      <c r="I9295">
        <f>VLOOKUP(B9295,BRAND!B:D,3,FALSE)</f>
        <v>3</v>
      </c>
      <c r="J9295">
        <v>2</v>
      </c>
      <c r="K9295" t="s">
        <v>821</v>
      </c>
      <c r="M9295">
        <v>1</v>
      </c>
    </row>
    <row r="9296" spans="1:13">
      <c r="A9296" t="s">
        <v>3359</v>
      </c>
      <c r="B9296" t="s">
        <v>229</v>
      </c>
      <c r="C9296" s="34" t="s">
        <v>762</v>
      </c>
      <c r="F9296" t="s">
        <v>762</v>
      </c>
      <c r="H9296">
        <v>5</v>
      </c>
      <c r="I9296">
        <f>VLOOKUP(B9296,BRAND!B:D,3,FALSE)</f>
        <v>3</v>
      </c>
      <c r="J9296">
        <v>1</v>
      </c>
      <c r="K9296" t="s">
        <v>821</v>
      </c>
      <c r="M9296">
        <v>1</v>
      </c>
    </row>
    <row r="9297" spans="1:13">
      <c r="A9297" t="str">
        <f>B9297&amp;" | "&amp;F9297&amp;" | "&amp;G9297</f>
        <v xml:space="preserve">ZUNDERT | 4 | </v>
      </c>
      <c r="B9297" t="s">
        <v>229</v>
      </c>
      <c r="C9297">
        <v>4</v>
      </c>
      <c r="F9297">
        <v>4</v>
      </c>
      <c r="H9297">
        <v>5</v>
      </c>
    </row>
    <row r="9298" spans="1:13">
      <c r="A9298" t="s">
        <v>10851</v>
      </c>
      <c r="B9298" t="s">
        <v>229</v>
      </c>
      <c r="C9298" s="34">
        <v>4</v>
      </c>
      <c r="F9298" t="s">
        <v>1438</v>
      </c>
      <c r="H9298">
        <v>15</v>
      </c>
      <c r="I9298">
        <f>VLOOKUP(B9298,BRAND!B:D,3,FALSE)</f>
        <v>3</v>
      </c>
      <c r="J9298">
        <v>4</v>
      </c>
      <c r="K9298" t="s">
        <v>821</v>
      </c>
      <c r="L9298">
        <v>0</v>
      </c>
      <c r="M9298">
        <v>0</v>
      </c>
    </row>
    <row r="9299" spans="1:13">
      <c r="A9299" t="s">
        <v>4540</v>
      </c>
      <c r="B9299" t="s">
        <v>1386</v>
      </c>
      <c r="C9299" s="34" t="s">
        <v>763</v>
      </c>
      <c r="F9299" t="s">
        <v>763</v>
      </c>
      <c r="H9299">
        <v>5</v>
      </c>
      <c r="I9299">
        <f>VLOOKUP(B9299,BRAND!B:D,3,FALSE)</f>
        <v>3</v>
      </c>
      <c r="J9299">
        <v>5</v>
      </c>
      <c r="K9299" t="s">
        <v>821</v>
      </c>
      <c r="L9299">
        <v>0</v>
      </c>
      <c r="M9299">
        <v>0</v>
      </c>
    </row>
    <row r="9300" spans="1:13">
      <c r="A9300" t="s">
        <v>2901</v>
      </c>
      <c r="B9300" t="s">
        <v>1386</v>
      </c>
      <c r="C9300" s="34" t="s">
        <v>1438</v>
      </c>
      <c r="F9300" t="s">
        <v>1438</v>
      </c>
      <c r="H9300">
        <v>15</v>
      </c>
      <c r="I9300">
        <f>VLOOKUP(B9300,BRAND!B:D,3,FALSE)</f>
        <v>3</v>
      </c>
      <c r="J9300">
        <v>4</v>
      </c>
      <c r="K9300" t="s">
        <v>821</v>
      </c>
      <c r="L9300">
        <v>0</v>
      </c>
      <c r="M9300">
        <v>0</v>
      </c>
    </row>
    <row r="9301" spans="1:13">
      <c r="A9301" t="s">
        <v>4198</v>
      </c>
      <c r="B9301" t="s">
        <v>459</v>
      </c>
      <c r="C9301" s="34" t="s">
        <v>763</v>
      </c>
      <c r="F9301" t="s">
        <v>763</v>
      </c>
      <c r="H9301">
        <v>5</v>
      </c>
      <c r="I9301">
        <f>VLOOKUP(B9301,BRAND!B:D,3,FALSE)</f>
        <v>3</v>
      </c>
      <c r="J9301">
        <v>5</v>
      </c>
      <c r="K9301" t="s">
        <v>821</v>
      </c>
      <c r="M9301">
        <v>1</v>
      </c>
    </row>
    <row r="9302" spans="1:13">
      <c r="A9302" t="s">
        <v>2212</v>
      </c>
      <c r="B9302" t="s">
        <v>459</v>
      </c>
      <c r="C9302" s="34" t="s">
        <v>1438</v>
      </c>
      <c r="F9302" t="s">
        <v>1438</v>
      </c>
      <c r="H9302">
        <v>15</v>
      </c>
      <c r="I9302">
        <f>VLOOKUP(B9302,BRAND!B:D,3,FALSE)</f>
        <v>3</v>
      </c>
      <c r="J9302">
        <v>4</v>
      </c>
      <c r="K9302" t="s">
        <v>821</v>
      </c>
      <c r="L9302">
        <v>0</v>
      </c>
      <c r="M9302">
        <v>0</v>
      </c>
    </row>
    <row r="9303" spans="1:13">
      <c r="A9303" t="s">
        <v>9977</v>
      </c>
      <c r="B9303" t="s">
        <v>7294</v>
      </c>
      <c r="C9303" s="34" t="s">
        <v>899</v>
      </c>
      <c r="G9303" t="s">
        <v>801</v>
      </c>
      <c r="H9303">
        <v>5</v>
      </c>
      <c r="I9303">
        <f>VLOOKUP(B9303,BRAND!B:D,3,FALSE)</f>
        <v>5.5</v>
      </c>
      <c r="J9303">
        <f>LEN(F9303)</f>
        <v>0</v>
      </c>
      <c r="L9303">
        <v>0</v>
      </c>
      <c r="M9303">
        <v>0</v>
      </c>
    </row>
    <row r="9304" spans="1:13">
      <c r="A9304" t="s">
        <v>9977</v>
      </c>
      <c r="B9304" t="s">
        <v>7294</v>
      </c>
      <c r="C9304" s="34" t="s">
        <v>899</v>
      </c>
      <c r="G9304" t="s">
        <v>801</v>
      </c>
      <c r="H9304">
        <v>5</v>
      </c>
      <c r="I9304">
        <f>VLOOKUP(B9304,BRAND!B:D,3,FALSE)</f>
        <v>5.5</v>
      </c>
      <c r="J9304">
        <v>0</v>
      </c>
      <c r="M9304">
        <v>1</v>
      </c>
    </row>
    <row r="9305" spans="1:13">
      <c r="A9305" t="s">
        <v>7295</v>
      </c>
      <c r="B9305" t="s">
        <v>7294</v>
      </c>
      <c r="C9305" s="34" t="s">
        <v>899</v>
      </c>
      <c r="F9305" t="s">
        <v>5393</v>
      </c>
      <c r="G9305" t="s">
        <v>801</v>
      </c>
      <c r="H9305">
        <v>5</v>
      </c>
      <c r="I9305">
        <f>VLOOKUP(B9305,BRAND!B:D,3,FALSE)</f>
        <v>5.5</v>
      </c>
      <c r="L9305">
        <v>0</v>
      </c>
      <c r="M9305">
        <v>0</v>
      </c>
    </row>
    <row r="9306" spans="1:13">
      <c r="A9306" t="s">
        <v>7293</v>
      </c>
      <c r="B9306" t="s">
        <v>7294</v>
      </c>
      <c r="C9306" s="34" t="s">
        <v>776</v>
      </c>
      <c r="F9306" t="s">
        <v>776</v>
      </c>
      <c r="G9306" t="s">
        <v>801</v>
      </c>
      <c r="H9306">
        <v>5</v>
      </c>
      <c r="I9306">
        <f>VLOOKUP(B9306,BRAND!B:D,3,FALSE)</f>
        <v>5.5</v>
      </c>
      <c r="M9306">
        <v>1</v>
      </c>
    </row>
    <row r="9307" spans="1:13">
      <c r="A9307" t="s">
        <v>9010</v>
      </c>
      <c r="B9307" t="s">
        <v>9011</v>
      </c>
      <c r="C9307" s="34" t="s">
        <v>1438</v>
      </c>
      <c r="F9307" t="s">
        <v>1438</v>
      </c>
      <c r="G9307" t="s">
        <v>6932</v>
      </c>
      <c r="H9307">
        <v>5</v>
      </c>
      <c r="I9307">
        <f>VLOOKUP(B9307,BRAND!B:D,3,FALSE)</f>
        <v>5.5</v>
      </c>
      <c r="J9307">
        <v>4</v>
      </c>
      <c r="M9307">
        <v>1</v>
      </c>
    </row>
    <row r="9308" spans="1:13">
      <c r="A9308" t="s">
        <v>5164</v>
      </c>
      <c r="B9308" t="s">
        <v>5066</v>
      </c>
      <c r="C9308" s="34" t="s">
        <v>1438</v>
      </c>
      <c r="F9308" t="s">
        <v>1438</v>
      </c>
      <c r="H9308">
        <v>15</v>
      </c>
      <c r="I9308">
        <f>VLOOKUP(B9308,BRAND!B:D,3,FALSE)</f>
        <v>3</v>
      </c>
      <c r="J9308">
        <v>4</v>
      </c>
      <c r="K9308" t="s">
        <v>821</v>
      </c>
      <c r="M9308">
        <v>1</v>
      </c>
    </row>
    <row r="9309" spans="1:13">
      <c r="A9309" t="s">
        <v>9978</v>
      </c>
      <c r="B9309" t="s">
        <v>496</v>
      </c>
      <c r="C9309" s="34" t="s">
        <v>1438</v>
      </c>
      <c r="G9309" t="s">
        <v>6932</v>
      </c>
      <c r="H9309">
        <v>5</v>
      </c>
      <c r="I9309">
        <f>VLOOKUP(B9309,BRAND!B:D,3,FALSE)</f>
        <v>3</v>
      </c>
      <c r="J9309">
        <f>LEN(F9309)</f>
        <v>0</v>
      </c>
      <c r="K9309" t="s">
        <v>821</v>
      </c>
      <c r="L9309">
        <v>0</v>
      </c>
      <c r="M9309">
        <v>0</v>
      </c>
    </row>
    <row r="9310" spans="1:13">
      <c r="A9310" t="s">
        <v>9979</v>
      </c>
      <c r="B9310" t="s">
        <v>496</v>
      </c>
      <c r="C9310" s="34" t="s">
        <v>899</v>
      </c>
      <c r="G9310" t="s">
        <v>6932</v>
      </c>
      <c r="H9310">
        <v>5</v>
      </c>
      <c r="I9310">
        <f>VLOOKUP(B9310,BRAND!B:D,3,FALSE)</f>
        <v>3</v>
      </c>
      <c r="J9310">
        <f>LEN(F9310)</f>
        <v>0</v>
      </c>
      <c r="K9310" t="s">
        <v>821</v>
      </c>
      <c r="L9310">
        <v>0</v>
      </c>
      <c r="M9310">
        <v>0</v>
      </c>
    </row>
    <row r="9311" spans="1:13">
      <c r="A9311" s="6" t="s">
        <v>9978</v>
      </c>
      <c r="B9311" s="6" t="s">
        <v>496</v>
      </c>
      <c r="C9311" s="39" t="s">
        <v>1438</v>
      </c>
      <c r="D9311" s="6"/>
      <c r="E9311" s="6"/>
      <c r="F9311" s="6"/>
      <c r="G9311" s="6" t="s">
        <v>6932</v>
      </c>
      <c r="H9311" s="6">
        <v>5</v>
      </c>
      <c r="I9311" s="6">
        <f>VLOOKUP(B9311,BRAND!B:D,3,FALSE)</f>
        <v>3</v>
      </c>
      <c r="J9311" s="6">
        <v>0</v>
      </c>
      <c r="K9311" s="6" t="s">
        <v>821</v>
      </c>
      <c r="L9311" s="6">
        <v>0</v>
      </c>
      <c r="M9311" s="6">
        <v>1</v>
      </c>
    </row>
  </sheetData>
  <sortState xmlns:xlrd2="http://schemas.microsoft.com/office/spreadsheetml/2017/richdata2" ref="A2:M9311">
    <sortCondition ref="B2:B9311"/>
  </sortState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BE68-097C-49EE-901E-C0956C23A224}">
  <dimension ref="A1:C47"/>
  <sheetViews>
    <sheetView topLeftCell="A22" workbookViewId="0">
      <selection activeCell="B23" sqref="B23"/>
    </sheetView>
  </sheetViews>
  <sheetFormatPr defaultRowHeight="16"/>
  <cols>
    <col min="1" max="1" width="26.08203125" customWidth="1"/>
    <col min="2" max="2" width="17" customWidth="1"/>
    <col min="3" max="3" width="65" customWidth="1"/>
  </cols>
  <sheetData>
    <row r="1" spans="1:3">
      <c r="A1" t="s">
        <v>6939</v>
      </c>
      <c r="B1" t="s">
        <v>830</v>
      </c>
      <c r="C1" t="s">
        <v>831</v>
      </c>
    </row>
    <row r="2" spans="1:3">
      <c r="A2" t="s">
        <v>6709</v>
      </c>
      <c r="B2" t="s">
        <v>822</v>
      </c>
      <c r="C2" t="s">
        <v>6712</v>
      </c>
    </row>
    <row r="3" spans="1:3">
      <c r="A3" t="s">
        <v>6709</v>
      </c>
      <c r="B3" t="s">
        <v>6654</v>
      </c>
      <c r="C3" t="s">
        <v>6667</v>
      </c>
    </row>
    <row r="4" spans="1:3">
      <c r="A4" t="s">
        <v>6940</v>
      </c>
      <c r="B4" t="s">
        <v>6986</v>
      </c>
      <c r="C4" t="s">
        <v>6656</v>
      </c>
    </row>
    <row r="5" spans="1:3">
      <c r="A5" t="s">
        <v>6940</v>
      </c>
      <c r="B5" t="s">
        <v>6987</v>
      </c>
      <c r="C5" t="s">
        <v>6658</v>
      </c>
    </row>
    <row r="6" spans="1:3">
      <c r="A6" t="s">
        <v>6709</v>
      </c>
      <c r="B6" t="s">
        <v>6988</v>
      </c>
      <c r="C6" t="s">
        <v>1462</v>
      </c>
    </row>
    <row r="7" spans="1:3">
      <c r="A7" t="s">
        <v>6940</v>
      </c>
      <c r="B7" t="s">
        <v>6989</v>
      </c>
      <c r="C7" t="s">
        <v>5572</v>
      </c>
    </row>
    <row r="8" spans="1:3">
      <c r="A8" t="s">
        <v>6940</v>
      </c>
      <c r="B8" t="s">
        <v>6990</v>
      </c>
      <c r="C8" t="s">
        <v>6716</v>
      </c>
    </row>
    <row r="9" spans="1:3">
      <c r="A9" t="s">
        <v>6940</v>
      </c>
      <c r="B9" t="s">
        <v>6991</v>
      </c>
      <c r="C9" t="s">
        <v>6661</v>
      </c>
    </row>
    <row r="10" spans="1:3">
      <c r="A10" t="s">
        <v>6709</v>
      </c>
      <c r="B10" t="s">
        <v>6559</v>
      </c>
      <c r="C10" t="s">
        <v>6677</v>
      </c>
    </row>
    <row r="11" spans="1:3">
      <c r="A11" t="s">
        <v>6709</v>
      </c>
      <c r="B11" t="s">
        <v>6663</v>
      </c>
      <c r="C11" t="s">
        <v>6664</v>
      </c>
    </row>
    <row r="12" spans="1:3">
      <c r="A12" t="s">
        <v>6709</v>
      </c>
      <c r="B12" t="s">
        <v>6665</v>
      </c>
      <c r="C12" t="s">
        <v>6666</v>
      </c>
    </row>
    <row r="13" spans="1:3">
      <c r="A13" t="s">
        <v>6940</v>
      </c>
      <c r="B13" t="s">
        <v>6669</v>
      </c>
      <c r="C13" t="s">
        <v>6670</v>
      </c>
    </row>
    <row r="14" spans="1:3">
      <c r="A14" t="s">
        <v>6940</v>
      </c>
      <c r="B14" t="s">
        <v>6668</v>
      </c>
      <c r="C14" t="s">
        <v>6671</v>
      </c>
    </row>
    <row r="15" spans="1:3">
      <c r="A15" t="s">
        <v>6940</v>
      </c>
      <c r="B15" t="s">
        <v>6672</v>
      </c>
      <c r="C15" t="s">
        <v>6673</v>
      </c>
    </row>
    <row r="16" spans="1:3">
      <c r="A16" t="s">
        <v>6940</v>
      </c>
      <c r="B16" t="s">
        <v>6982</v>
      </c>
      <c r="C16" t="s">
        <v>6675</v>
      </c>
    </row>
    <row r="17" spans="1:3">
      <c r="A17" t="s">
        <v>6940</v>
      </c>
      <c r="B17" t="s">
        <v>6983</v>
      </c>
      <c r="C17" t="s">
        <v>6560</v>
      </c>
    </row>
    <row r="18" spans="1:3">
      <c r="A18" t="s">
        <v>6940</v>
      </c>
      <c r="B18" t="s">
        <v>6678</v>
      </c>
      <c r="C18" t="s">
        <v>6679</v>
      </c>
    </row>
    <row r="19" spans="1:3">
      <c r="A19" t="s">
        <v>6940</v>
      </c>
      <c r="B19" t="s">
        <v>6984</v>
      </c>
      <c r="C19" t="s">
        <v>6681</v>
      </c>
    </row>
    <row r="20" spans="1:3">
      <c r="A20" t="s">
        <v>6940</v>
      </c>
      <c r="B20" t="s">
        <v>6682</v>
      </c>
      <c r="C20" t="s">
        <v>6707</v>
      </c>
    </row>
    <row r="21" spans="1:3">
      <c r="A21" t="s">
        <v>6940</v>
      </c>
      <c r="B21" t="s">
        <v>6985</v>
      </c>
      <c r="C21" t="s">
        <v>6684</v>
      </c>
    </row>
    <row r="22" spans="1:3">
      <c r="A22" t="s">
        <v>6940</v>
      </c>
      <c r="B22" t="s">
        <v>6685</v>
      </c>
      <c r="C22" t="s">
        <v>6686</v>
      </c>
    </row>
    <row r="23" spans="1:3">
      <c r="A23" t="s">
        <v>6940</v>
      </c>
      <c r="B23" t="s">
        <v>6993</v>
      </c>
      <c r="C23" t="s">
        <v>6694</v>
      </c>
    </row>
    <row r="24" spans="1:3">
      <c r="A24" t="s">
        <v>6940</v>
      </c>
      <c r="B24" t="s">
        <v>6687</v>
      </c>
      <c r="C24" t="s">
        <v>6688</v>
      </c>
    </row>
    <row r="25" spans="1:3">
      <c r="A25" t="s">
        <v>6940</v>
      </c>
      <c r="B25" t="s">
        <v>6976</v>
      </c>
      <c r="C25" t="s">
        <v>6689</v>
      </c>
    </row>
    <row r="26" spans="1:3">
      <c r="A26" t="s">
        <v>6940</v>
      </c>
      <c r="B26" t="s">
        <v>6690</v>
      </c>
      <c r="C26" t="s">
        <v>6690</v>
      </c>
    </row>
    <row r="27" spans="1:3">
      <c r="A27" t="s">
        <v>6940</v>
      </c>
      <c r="B27" t="s">
        <v>6975</v>
      </c>
      <c r="C27" t="s">
        <v>6692</v>
      </c>
    </row>
    <row r="28" spans="1:3">
      <c r="A28" t="s">
        <v>6940</v>
      </c>
      <c r="B28" t="s">
        <v>6695</v>
      </c>
      <c r="C28" t="s">
        <v>6696</v>
      </c>
    </row>
    <row r="29" spans="1:3">
      <c r="A29" t="s">
        <v>6940</v>
      </c>
      <c r="B29" t="s">
        <v>6977</v>
      </c>
      <c r="C29" t="s">
        <v>6698</v>
      </c>
    </row>
    <row r="30" spans="1:3">
      <c r="A30" t="s">
        <v>6940</v>
      </c>
      <c r="B30" t="s">
        <v>6992</v>
      </c>
      <c r="C30" t="s">
        <v>6700</v>
      </c>
    </row>
    <row r="31" spans="1:3">
      <c r="A31" t="s">
        <v>6940</v>
      </c>
      <c r="B31" t="s">
        <v>6701</v>
      </c>
      <c r="C31" t="s">
        <v>6702</v>
      </c>
    </row>
    <row r="32" spans="1:3">
      <c r="A32" t="s">
        <v>6940</v>
      </c>
      <c r="B32" t="s">
        <v>6703</v>
      </c>
      <c r="C32" t="s">
        <v>6704</v>
      </c>
    </row>
    <row r="33" spans="1:3">
      <c r="A33" t="s">
        <v>6940</v>
      </c>
      <c r="B33" t="s">
        <v>6714</v>
      </c>
      <c r="C33" t="s">
        <v>6715</v>
      </c>
    </row>
    <row r="34" spans="1:3">
      <c r="A34" t="s">
        <v>6940</v>
      </c>
      <c r="B34" t="s">
        <v>6705</v>
      </c>
      <c r="C34" t="s">
        <v>6706</v>
      </c>
    </row>
    <row r="35" spans="1:3">
      <c r="A35" t="s">
        <v>6940</v>
      </c>
      <c r="B35" t="s">
        <v>67</v>
      </c>
      <c r="C35" t="s">
        <v>6713</v>
      </c>
    </row>
    <row r="36" spans="1:3">
      <c r="A36" t="s">
        <v>6940</v>
      </c>
      <c r="B36" t="s">
        <v>6709</v>
      </c>
      <c r="C36" t="s">
        <v>6711</v>
      </c>
    </row>
    <row r="37" spans="1:3">
      <c r="A37" t="s">
        <v>6940</v>
      </c>
      <c r="B37" t="s">
        <v>6974</v>
      </c>
      <c r="C37" t="s">
        <v>5571</v>
      </c>
    </row>
    <row r="38" spans="1:3">
      <c r="A38" t="s">
        <v>6940</v>
      </c>
      <c r="B38" t="s">
        <v>824</v>
      </c>
      <c r="C38" t="s">
        <v>829</v>
      </c>
    </row>
    <row r="39" spans="1:3">
      <c r="A39" t="s">
        <v>6973</v>
      </c>
      <c r="B39" t="s">
        <v>6971</v>
      </c>
      <c r="C39" t="s">
        <v>6970</v>
      </c>
    </row>
    <row r="40" spans="1:3">
      <c r="A40" t="s">
        <v>6940</v>
      </c>
      <c r="B40" t="s">
        <v>825</v>
      </c>
      <c r="C40" t="s">
        <v>6969</v>
      </c>
    </row>
    <row r="41" spans="1:3">
      <c r="A41" t="s">
        <v>6940</v>
      </c>
      <c r="B41" t="s">
        <v>826</v>
      </c>
      <c r="C41" t="s">
        <v>827</v>
      </c>
    </row>
    <row r="42" spans="1:3">
      <c r="A42" t="s">
        <v>6973</v>
      </c>
      <c r="B42" t="s">
        <v>6978</v>
      </c>
      <c r="C42" t="s">
        <v>6708</v>
      </c>
    </row>
    <row r="43" spans="1:3">
      <c r="A43" t="s">
        <v>1420</v>
      </c>
      <c r="B43" t="s">
        <v>6979</v>
      </c>
      <c r="C43" t="s">
        <v>1420</v>
      </c>
    </row>
    <row r="44" spans="1:3">
      <c r="A44" t="s">
        <v>6940</v>
      </c>
      <c r="B44" t="s">
        <v>5569</v>
      </c>
      <c r="C44" t="s">
        <v>6659</v>
      </c>
    </row>
    <row r="45" spans="1:3">
      <c r="A45" t="s">
        <v>6973</v>
      </c>
      <c r="B45" t="s">
        <v>6980</v>
      </c>
      <c r="C45" t="s">
        <v>6676</v>
      </c>
    </row>
    <row r="46" spans="1:3">
      <c r="A46" t="s">
        <v>6973</v>
      </c>
      <c r="B46" t="s">
        <v>6981</v>
      </c>
      <c r="C46" t="s">
        <v>6972</v>
      </c>
    </row>
    <row r="47" spans="1:3">
      <c r="A47" t="s">
        <v>821</v>
      </c>
      <c r="B47" t="s">
        <v>821</v>
      </c>
      <c r="C47" t="s">
        <v>6662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1B4B-E23D-4AEF-A374-CE9CB672B9BF}">
  <dimension ref="A1:AE18"/>
  <sheetViews>
    <sheetView workbookViewId="0">
      <selection activeCell="W2" sqref="W2"/>
    </sheetView>
  </sheetViews>
  <sheetFormatPr defaultRowHeight="16"/>
  <cols>
    <col min="3" max="3" width="15.08203125" customWidth="1"/>
    <col min="4" max="4" width="26.08203125" customWidth="1"/>
    <col min="5" max="5" width="13.83203125" customWidth="1"/>
  </cols>
  <sheetData>
    <row r="1" spans="1:31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  <c r="AC1">
        <v>11</v>
      </c>
      <c r="AD1">
        <v>12</v>
      </c>
      <c r="AE1">
        <v>13</v>
      </c>
    </row>
    <row r="2" spans="1:31">
      <c r="A2" t="s">
        <v>10299</v>
      </c>
      <c r="B2" t="s">
        <v>10300</v>
      </c>
      <c r="C2" t="s">
        <v>10145</v>
      </c>
      <c r="D2" t="str">
        <f>A2&amp;B2&amp;C2</f>
        <v>AH_JUICE</v>
      </c>
      <c r="E2" t="str">
        <f>_xlfn.TEXTJOIN(";",TRUE,F2:R2)</f>
        <v>AH_APPELSAP;AH_VERS_GEPERSTE;AH_TOMATENSAP;AH_ANANASSAP;AH_SINAASAPPELSAP</v>
      </c>
      <c r="F2" t="str">
        <f>IF(S2="","",$A2&amp;$B2&amp;S2)</f>
        <v>AH_APPELSAP</v>
      </c>
      <c r="G2" t="str">
        <f t="shared" ref="G2:R2" si="0">IF(T2="","",$A2&amp;$B2&amp;T2)</f>
        <v>AH_VERS_GEPERSTE</v>
      </c>
      <c r="H2" t="str">
        <f t="shared" si="0"/>
        <v>AH_TOMATENSAP</v>
      </c>
      <c r="I2" t="str">
        <f t="shared" si="0"/>
        <v>AH_ANANASSAP</v>
      </c>
      <c r="J2" t="str">
        <f t="shared" si="0"/>
        <v>AH_SINAASAPPELSAP</v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 t="shared" si="0"/>
        <v/>
      </c>
      <c r="R2" t="str">
        <f t="shared" si="0"/>
        <v/>
      </c>
      <c r="S2" t="s">
        <v>10307</v>
      </c>
      <c r="T2" t="s">
        <v>10308</v>
      </c>
      <c r="U2" t="s">
        <v>1454</v>
      </c>
      <c r="V2" t="s">
        <v>10309</v>
      </c>
      <c r="W2" t="s">
        <v>10310</v>
      </c>
    </row>
    <row r="3" spans="1:31">
      <c r="A3" t="s">
        <v>10299</v>
      </c>
      <c r="B3" t="s">
        <v>10300</v>
      </c>
      <c r="C3" t="s">
        <v>1466</v>
      </c>
      <c r="D3" t="str">
        <f t="shared" ref="D3:D18" si="1">A3&amp;B3&amp;C3</f>
        <v>AH_COLA</v>
      </c>
      <c r="E3" t="str">
        <f t="shared" ref="E3:E18" si="2">_xlfn.TEXTJOIN(";",TRUE,F3:R3)</f>
        <v/>
      </c>
      <c r="F3" t="str">
        <f t="shared" ref="F3:F18" si="3">IF(S3="","",$A3&amp;$B3&amp;S3)</f>
        <v/>
      </c>
      <c r="G3" t="str">
        <f t="shared" ref="G3:G18" si="4">IF(T3="","",$A3&amp;$B3&amp;T3)</f>
        <v/>
      </c>
      <c r="H3" t="str">
        <f t="shared" ref="H3:H18" si="5">IF(U3="","",$A3&amp;$B3&amp;U3)</f>
        <v/>
      </c>
      <c r="I3" t="str">
        <f t="shared" ref="I3:I18" si="6">IF(V3="","",$A3&amp;$B3&amp;V3)</f>
        <v/>
      </c>
      <c r="J3" t="str">
        <f t="shared" ref="J3:J18" si="7">IF(W3="","",$A3&amp;$B3&amp;W3)</f>
        <v/>
      </c>
      <c r="K3" t="str">
        <f t="shared" ref="K3:K18" si="8">IF(X3="","",$A3&amp;$B3&amp;X3)</f>
        <v/>
      </c>
      <c r="L3" t="str">
        <f t="shared" ref="L3:L18" si="9">IF(Y3="","",$A3&amp;$B3&amp;Y3)</f>
        <v/>
      </c>
      <c r="M3" t="str">
        <f t="shared" ref="M3:M18" si="10">IF(Z3="","",$A3&amp;$B3&amp;Z3)</f>
        <v/>
      </c>
      <c r="N3" t="str">
        <f t="shared" ref="N3:N18" si="11">IF(AA3="","",$A3&amp;$B3&amp;AA3)</f>
        <v/>
      </c>
      <c r="O3" t="str">
        <f t="shared" ref="O3:O18" si="12">IF(AB3="","",$A3&amp;$B3&amp;AB3)</f>
        <v/>
      </c>
      <c r="P3" t="str">
        <f t="shared" ref="P3:P18" si="13">IF(AC3="","",$A3&amp;$B3&amp;AC3)</f>
        <v/>
      </c>
      <c r="Q3" t="str">
        <f t="shared" ref="Q3:Q18" si="14">IF(AD3="","",$A3&amp;$B3&amp;AD3)</f>
        <v/>
      </c>
      <c r="R3" t="str">
        <f t="shared" ref="R3:R18" si="15">IF(AE3="","",$A3&amp;$B3&amp;AE3)</f>
        <v/>
      </c>
    </row>
    <row r="4" spans="1:31">
      <c r="A4" t="s">
        <v>10299</v>
      </c>
      <c r="B4" t="s">
        <v>10300</v>
      </c>
      <c r="C4" t="s">
        <v>10301</v>
      </c>
      <c r="D4" t="str">
        <f t="shared" si="1"/>
        <v>AH_SPORTDRINK</v>
      </c>
      <c r="E4" t="str">
        <f t="shared" si="2"/>
        <v/>
      </c>
      <c r="F4" t="str">
        <f t="shared" si="3"/>
        <v/>
      </c>
      <c r="G4" t="str">
        <f t="shared" si="4"/>
        <v/>
      </c>
      <c r="H4" t="str">
        <f t="shared" si="5"/>
        <v/>
      </c>
      <c r="I4" t="str">
        <f t="shared" si="6"/>
        <v/>
      </c>
      <c r="J4" t="str">
        <f t="shared" si="7"/>
        <v/>
      </c>
      <c r="K4" t="str">
        <f t="shared" si="8"/>
        <v/>
      </c>
      <c r="L4" t="str">
        <f t="shared" si="9"/>
        <v/>
      </c>
      <c r="M4" t="str">
        <f t="shared" si="10"/>
        <v/>
      </c>
      <c r="N4" t="str">
        <f t="shared" si="11"/>
        <v/>
      </c>
      <c r="O4" t="str">
        <f t="shared" si="12"/>
        <v/>
      </c>
      <c r="P4" t="str">
        <f t="shared" si="13"/>
        <v/>
      </c>
      <c r="Q4" t="str">
        <f t="shared" si="14"/>
        <v/>
      </c>
      <c r="R4" t="str">
        <f t="shared" si="15"/>
        <v/>
      </c>
    </row>
    <row r="5" spans="1:31">
      <c r="A5" t="s">
        <v>10299</v>
      </c>
      <c r="B5" t="s">
        <v>10300</v>
      </c>
      <c r="C5" t="s">
        <v>10145</v>
      </c>
      <c r="D5" t="str">
        <f t="shared" si="1"/>
        <v>AH_JUICE</v>
      </c>
      <c r="E5" t="str">
        <f t="shared" si="2"/>
        <v/>
      </c>
      <c r="F5" t="str">
        <f t="shared" si="3"/>
        <v/>
      </c>
      <c r="G5" t="str">
        <f t="shared" si="4"/>
        <v/>
      </c>
      <c r="H5" t="str">
        <f t="shared" si="5"/>
        <v/>
      </c>
      <c r="I5" t="str">
        <f t="shared" si="6"/>
        <v/>
      </c>
      <c r="J5" t="str">
        <f t="shared" si="7"/>
        <v/>
      </c>
      <c r="K5" t="str">
        <f t="shared" si="8"/>
        <v/>
      </c>
      <c r="L5" t="str">
        <f t="shared" si="9"/>
        <v/>
      </c>
      <c r="M5" t="str">
        <f t="shared" si="10"/>
        <v/>
      </c>
      <c r="N5" t="str">
        <f t="shared" si="11"/>
        <v/>
      </c>
      <c r="O5" t="str">
        <f t="shared" si="12"/>
        <v/>
      </c>
      <c r="P5" t="str">
        <f t="shared" si="13"/>
        <v/>
      </c>
      <c r="Q5" t="str">
        <f t="shared" si="14"/>
        <v/>
      </c>
      <c r="R5" t="str">
        <f t="shared" si="15"/>
        <v/>
      </c>
    </row>
    <row r="6" spans="1:31">
      <c r="A6" t="s">
        <v>10299</v>
      </c>
      <c r="B6" t="s">
        <v>10300</v>
      </c>
      <c r="C6" t="s">
        <v>7014</v>
      </c>
      <c r="D6" t="str">
        <f t="shared" si="1"/>
        <v>AH_SMOOTHIE</v>
      </c>
      <c r="E6" t="str">
        <f t="shared" si="2"/>
        <v/>
      </c>
      <c r="F6" t="str">
        <f t="shared" si="3"/>
        <v/>
      </c>
      <c r="G6" t="str">
        <f t="shared" si="4"/>
        <v/>
      </c>
      <c r="H6" t="str">
        <f t="shared" si="5"/>
        <v/>
      </c>
      <c r="I6" t="str">
        <f t="shared" si="6"/>
        <v/>
      </c>
      <c r="J6" t="str">
        <f t="shared" si="7"/>
        <v/>
      </c>
      <c r="K6" t="str">
        <f t="shared" si="8"/>
        <v/>
      </c>
      <c r="L6" t="str">
        <f t="shared" si="9"/>
        <v/>
      </c>
      <c r="M6" t="str">
        <f t="shared" si="10"/>
        <v/>
      </c>
      <c r="N6" t="str">
        <f t="shared" si="11"/>
        <v/>
      </c>
      <c r="O6" t="str">
        <f t="shared" si="12"/>
        <v/>
      </c>
      <c r="P6" t="str">
        <f t="shared" si="13"/>
        <v/>
      </c>
      <c r="Q6" t="str">
        <f t="shared" si="14"/>
        <v/>
      </c>
      <c r="R6" t="str">
        <f t="shared" si="15"/>
        <v/>
      </c>
    </row>
    <row r="7" spans="1:31">
      <c r="A7" t="s">
        <v>10299</v>
      </c>
      <c r="B7" t="s">
        <v>10300</v>
      </c>
      <c r="C7" t="s">
        <v>216</v>
      </c>
      <c r="D7" t="str">
        <f t="shared" si="1"/>
        <v>AH_WATER</v>
      </c>
      <c r="E7" t="str">
        <f t="shared" si="2"/>
        <v/>
      </c>
      <c r="F7" t="str">
        <f t="shared" si="3"/>
        <v/>
      </c>
      <c r="G7" t="str">
        <f t="shared" si="4"/>
        <v/>
      </c>
      <c r="H7" t="str">
        <f t="shared" si="5"/>
        <v/>
      </c>
      <c r="I7" t="str">
        <f t="shared" si="6"/>
        <v/>
      </c>
      <c r="J7" t="str">
        <f t="shared" si="7"/>
        <v/>
      </c>
      <c r="K7" t="str">
        <f t="shared" si="8"/>
        <v/>
      </c>
      <c r="L7" t="str">
        <f t="shared" si="9"/>
        <v/>
      </c>
      <c r="M7" t="str">
        <f t="shared" si="10"/>
        <v/>
      </c>
      <c r="N7" t="str">
        <f t="shared" si="11"/>
        <v/>
      </c>
      <c r="O7" t="str">
        <f t="shared" si="12"/>
        <v/>
      </c>
      <c r="P7" t="str">
        <f t="shared" si="13"/>
        <v/>
      </c>
      <c r="Q7" t="str">
        <f t="shared" si="14"/>
        <v/>
      </c>
      <c r="R7" t="str">
        <f t="shared" si="15"/>
        <v/>
      </c>
    </row>
    <row r="8" spans="1:31">
      <c r="A8" t="s">
        <v>10299</v>
      </c>
      <c r="B8" t="s">
        <v>10300</v>
      </c>
      <c r="C8" t="s">
        <v>6937</v>
      </c>
      <c r="D8" t="str">
        <f t="shared" si="1"/>
        <v>AH_LEMONADE</v>
      </c>
      <c r="E8" t="str">
        <f t="shared" si="2"/>
        <v/>
      </c>
      <c r="F8" t="str">
        <f t="shared" si="3"/>
        <v/>
      </c>
      <c r="G8" t="str">
        <f t="shared" si="4"/>
        <v/>
      </c>
      <c r="H8" t="str">
        <f t="shared" si="5"/>
        <v/>
      </c>
      <c r="I8" t="str">
        <f t="shared" si="6"/>
        <v/>
      </c>
      <c r="J8" t="str">
        <f t="shared" si="7"/>
        <v/>
      </c>
      <c r="K8" t="str">
        <f t="shared" si="8"/>
        <v/>
      </c>
      <c r="L8" t="str">
        <f t="shared" si="9"/>
        <v/>
      </c>
      <c r="M8" t="str">
        <f t="shared" si="10"/>
        <v/>
      </c>
      <c r="N8" t="str">
        <f t="shared" si="11"/>
        <v/>
      </c>
      <c r="O8" t="str">
        <f t="shared" si="12"/>
        <v/>
      </c>
      <c r="P8" t="str">
        <f t="shared" si="13"/>
        <v/>
      </c>
      <c r="Q8" t="str">
        <f t="shared" si="14"/>
        <v/>
      </c>
      <c r="R8" t="str">
        <f t="shared" si="15"/>
        <v/>
      </c>
    </row>
    <row r="9" spans="1:31">
      <c r="A9" t="s">
        <v>10299</v>
      </c>
      <c r="B9" t="s">
        <v>10300</v>
      </c>
      <c r="C9" t="s">
        <v>6685</v>
      </c>
      <c r="D9" t="str">
        <f t="shared" si="1"/>
        <v>AH_SHOTS</v>
      </c>
      <c r="E9" t="str">
        <f t="shared" si="2"/>
        <v/>
      </c>
      <c r="F9" t="str">
        <f t="shared" si="3"/>
        <v/>
      </c>
      <c r="G9" t="str">
        <f t="shared" si="4"/>
        <v/>
      </c>
      <c r="H9" t="str">
        <f t="shared" si="5"/>
        <v/>
      </c>
      <c r="I9" t="str">
        <f t="shared" si="6"/>
        <v/>
      </c>
      <c r="J9" t="str">
        <f t="shared" si="7"/>
        <v/>
      </c>
      <c r="K9" t="str">
        <f t="shared" si="8"/>
        <v/>
      </c>
      <c r="L9" t="str">
        <f t="shared" si="9"/>
        <v/>
      </c>
      <c r="M9" t="str">
        <f t="shared" si="10"/>
        <v/>
      </c>
      <c r="N9" t="str">
        <f t="shared" si="11"/>
        <v/>
      </c>
      <c r="O9" t="str">
        <f t="shared" si="12"/>
        <v/>
      </c>
      <c r="P9" t="str">
        <f t="shared" si="13"/>
        <v/>
      </c>
      <c r="Q9" t="str">
        <f t="shared" si="14"/>
        <v/>
      </c>
      <c r="R9" t="str">
        <f t="shared" si="15"/>
        <v/>
      </c>
    </row>
    <row r="10" spans="1:31">
      <c r="A10" t="s">
        <v>10299</v>
      </c>
      <c r="B10" t="s">
        <v>10300</v>
      </c>
      <c r="C10" t="s">
        <v>1274</v>
      </c>
      <c r="D10" t="str">
        <f t="shared" si="1"/>
        <v>AH_GRENADINE</v>
      </c>
      <c r="E10" t="str">
        <f t="shared" si="2"/>
        <v/>
      </c>
      <c r="F10" t="str">
        <f t="shared" si="3"/>
        <v/>
      </c>
      <c r="G10" t="str">
        <f t="shared" si="4"/>
        <v/>
      </c>
      <c r="H10" t="str">
        <f t="shared" si="5"/>
        <v/>
      </c>
      <c r="I10" t="str">
        <f t="shared" si="6"/>
        <v/>
      </c>
      <c r="J10" t="str">
        <f t="shared" si="7"/>
        <v/>
      </c>
      <c r="K10" t="str">
        <f t="shared" si="8"/>
        <v/>
      </c>
      <c r="L10" t="str">
        <f t="shared" si="9"/>
        <v/>
      </c>
      <c r="M10" t="str">
        <f t="shared" si="10"/>
        <v/>
      </c>
      <c r="N10" t="str">
        <f t="shared" si="11"/>
        <v/>
      </c>
      <c r="O10" t="str">
        <f t="shared" si="12"/>
        <v/>
      </c>
      <c r="P10" t="str">
        <f t="shared" si="13"/>
        <v/>
      </c>
      <c r="Q10" t="str">
        <f t="shared" si="14"/>
        <v/>
      </c>
      <c r="R10" t="str">
        <f t="shared" si="15"/>
        <v/>
      </c>
    </row>
    <row r="11" spans="1:31">
      <c r="A11" t="s">
        <v>10299</v>
      </c>
      <c r="B11" t="s">
        <v>10300</v>
      </c>
      <c r="C11" t="s">
        <v>10302</v>
      </c>
      <c r="D11" t="str">
        <f t="shared" si="1"/>
        <v>AH_YOGURT</v>
      </c>
      <c r="E11" t="str">
        <f t="shared" si="2"/>
        <v/>
      </c>
      <c r="F11" t="str">
        <f t="shared" si="3"/>
        <v/>
      </c>
      <c r="G11" t="str">
        <f t="shared" si="4"/>
        <v/>
      </c>
      <c r="H11" t="str">
        <f t="shared" si="5"/>
        <v/>
      </c>
      <c r="I11" t="str">
        <f t="shared" si="6"/>
        <v/>
      </c>
      <c r="J11" t="str">
        <f t="shared" si="7"/>
        <v/>
      </c>
      <c r="K11" t="str">
        <f t="shared" si="8"/>
        <v/>
      </c>
      <c r="L11" t="str">
        <f t="shared" si="9"/>
        <v/>
      </c>
      <c r="M11" t="str">
        <f t="shared" si="10"/>
        <v/>
      </c>
      <c r="N11" t="str">
        <f t="shared" si="11"/>
        <v/>
      </c>
      <c r="O11" t="str">
        <f t="shared" si="12"/>
        <v/>
      </c>
      <c r="P11" t="str">
        <f t="shared" si="13"/>
        <v/>
      </c>
      <c r="Q11" t="str">
        <f t="shared" si="14"/>
        <v/>
      </c>
      <c r="R11" t="str">
        <f t="shared" si="15"/>
        <v/>
      </c>
    </row>
    <row r="12" spans="1:31">
      <c r="A12" t="s">
        <v>10299</v>
      </c>
      <c r="B12" t="s">
        <v>10300</v>
      </c>
      <c r="C12" t="s">
        <v>10303</v>
      </c>
      <c r="D12" t="str">
        <f t="shared" si="1"/>
        <v>AH_GINGER_DRINK</v>
      </c>
      <c r="E12" t="str">
        <f t="shared" si="2"/>
        <v/>
      </c>
      <c r="F12" t="str">
        <f t="shared" si="3"/>
        <v/>
      </c>
      <c r="G12" t="str">
        <f t="shared" si="4"/>
        <v/>
      </c>
      <c r="H12" t="str">
        <f t="shared" si="5"/>
        <v/>
      </c>
      <c r="I12" t="str">
        <f t="shared" si="6"/>
        <v/>
      </c>
      <c r="J12" t="str">
        <f t="shared" si="7"/>
        <v/>
      </c>
      <c r="K12" t="str">
        <f t="shared" si="8"/>
        <v/>
      </c>
      <c r="L12" t="str">
        <f t="shared" si="9"/>
        <v/>
      </c>
      <c r="M12" t="str">
        <f t="shared" si="10"/>
        <v/>
      </c>
      <c r="N12" t="str">
        <f t="shared" si="11"/>
        <v/>
      </c>
      <c r="O12" t="str">
        <f t="shared" si="12"/>
        <v/>
      </c>
      <c r="P12" t="str">
        <f t="shared" si="13"/>
        <v/>
      </c>
      <c r="Q12" t="str">
        <f t="shared" si="14"/>
        <v/>
      </c>
      <c r="R12" t="str">
        <f t="shared" si="15"/>
        <v/>
      </c>
    </row>
    <row r="13" spans="1:31">
      <c r="A13" t="s">
        <v>10299</v>
      </c>
      <c r="B13" t="s">
        <v>10300</v>
      </c>
      <c r="C13" t="s">
        <v>10167</v>
      </c>
      <c r="D13" t="str">
        <f t="shared" si="1"/>
        <v>AH_ICE_TEA</v>
      </c>
      <c r="E13" t="str">
        <f t="shared" si="2"/>
        <v/>
      </c>
      <c r="F13" t="str">
        <f t="shared" si="3"/>
        <v/>
      </c>
      <c r="G13" t="str">
        <f t="shared" si="4"/>
        <v/>
      </c>
      <c r="H13" t="str">
        <f t="shared" si="5"/>
        <v/>
      </c>
      <c r="I13" t="str">
        <f t="shared" si="6"/>
        <v/>
      </c>
      <c r="J13" t="str">
        <f t="shared" si="7"/>
        <v/>
      </c>
      <c r="K13" t="str">
        <f t="shared" si="8"/>
        <v/>
      </c>
      <c r="L13" t="str">
        <f t="shared" si="9"/>
        <v/>
      </c>
      <c r="M13" t="str">
        <f t="shared" si="10"/>
        <v/>
      </c>
      <c r="N13" t="str">
        <f t="shared" si="11"/>
        <v/>
      </c>
      <c r="O13" t="str">
        <f t="shared" si="12"/>
        <v/>
      </c>
      <c r="P13" t="str">
        <f t="shared" si="13"/>
        <v/>
      </c>
      <c r="Q13" t="str">
        <f t="shared" si="14"/>
        <v/>
      </c>
      <c r="R13" t="str">
        <f t="shared" si="15"/>
        <v/>
      </c>
    </row>
    <row r="14" spans="1:31">
      <c r="A14" t="s">
        <v>10299</v>
      </c>
      <c r="B14" t="s">
        <v>10300</v>
      </c>
      <c r="C14" t="s">
        <v>6709</v>
      </c>
      <c r="D14" t="str">
        <f t="shared" si="1"/>
        <v>AH_REFRESHING</v>
      </c>
      <c r="E14" t="str">
        <f t="shared" si="2"/>
        <v/>
      </c>
      <c r="F14" t="str">
        <f t="shared" si="3"/>
        <v/>
      </c>
      <c r="G14" t="str">
        <f t="shared" si="4"/>
        <v/>
      </c>
      <c r="H14" t="str">
        <f t="shared" si="5"/>
        <v/>
      </c>
      <c r="I14" t="str">
        <f t="shared" si="6"/>
        <v/>
      </c>
      <c r="J14" t="str">
        <f t="shared" si="7"/>
        <v/>
      </c>
      <c r="K14" t="str">
        <f t="shared" si="8"/>
        <v/>
      </c>
      <c r="L14" t="str">
        <f t="shared" si="9"/>
        <v/>
      </c>
      <c r="M14" t="str">
        <f t="shared" si="10"/>
        <v/>
      </c>
      <c r="N14" t="str">
        <f t="shared" si="11"/>
        <v/>
      </c>
      <c r="O14" t="str">
        <f t="shared" si="12"/>
        <v/>
      </c>
      <c r="P14" t="str">
        <f t="shared" si="13"/>
        <v/>
      </c>
      <c r="Q14" t="str">
        <f t="shared" si="14"/>
        <v/>
      </c>
      <c r="R14" t="str">
        <f t="shared" si="15"/>
        <v/>
      </c>
    </row>
    <row r="15" spans="1:31">
      <c r="A15" t="s">
        <v>10299</v>
      </c>
      <c r="B15" t="s">
        <v>10300</v>
      </c>
      <c r="C15" t="s">
        <v>10304</v>
      </c>
      <c r="D15" t="str">
        <f t="shared" si="1"/>
        <v>AH_VITAMIN_DRINK</v>
      </c>
      <c r="E15" t="str">
        <f t="shared" si="2"/>
        <v>AH_VITAMIN_DRINK</v>
      </c>
      <c r="F15" t="str">
        <f t="shared" si="3"/>
        <v>AH_VITAMIN_DRINK</v>
      </c>
      <c r="G15" t="str">
        <f t="shared" si="4"/>
        <v/>
      </c>
      <c r="H15" t="str">
        <f t="shared" si="5"/>
        <v/>
      </c>
      <c r="I15" t="str">
        <f t="shared" si="6"/>
        <v/>
      </c>
      <c r="J15" t="str">
        <f t="shared" si="7"/>
        <v/>
      </c>
      <c r="K15" t="str">
        <f t="shared" si="8"/>
        <v/>
      </c>
      <c r="L15" t="str">
        <f t="shared" si="9"/>
        <v/>
      </c>
      <c r="M15" t="str">
        <f t="shared" si="10"/>
        <v/>
      </c>
      <c r="N15" t="str">
        <f t="shared" si="11"/>
        <v/>
      </c>
      <c r="O15" t="str">
        <f t="shared" si="12"/>
        <v/>
      </c>
      <c r="P15" t="str">
        <f t="shared" si="13"/>
        <v/>
      </c>
      <c r="Q15" t="str">
        <f t="shared" si="14"/>
        <v/>
      </c>
      <c r="R15" t="str">
        <f t="shared" si="15"/>
        <v/>
      </c>
      <c r="S15" t="s">
        <v>10304</v>
      </c>
    </row>
    <row r="16" spans="1:31">
      <c r="A16" t="s">
        <v>10299</v>
      </c>
      <c r="B16" t="s">
        <v>10300</v>
      </c>
      <c r="C16" t="s">
        <v>10305</v>
      </c>
      <c r="D16" t="str">
        <f t="shared" si="1"/>
        <v>AH_ENERGY_DRINK</v>
      </c>
      <c r="E16" t="str">
        <f t="shared" si="2"/>
        <v/>
      </c>
      <c r="F16" t="str">
        <f t="shared" si="3"/>
        <v/>
      </c>
      <c r="G16" t="str">
        <f t="shared" si="4"/>
        <v/>
      </c>
      <c r="H16" t="str">
        <f t="shared" si="5"/>
        <v/>
      </c>
      <c r="I16" t="str">
        <f t="shared" si="6"/>
        <v/>
      </c>
      <c r="J16" t="str">
        <f t="shared" si="7"/>
        <v/>
      </c>
      <c r="K16" t="str">
        <f t="shared" si="8"/>
        <v/>
      </c>
      <c r="L16" t="str">
        <f t="shared" si="9"/>
        <v/>
      </c>
      <c r="M16" t="str">
        <f t="shared" si="10"/>
        <v/>
      </c>
      <c r="N16" t="str">
        <f t="shared" si="11"/>
        <v/>
      </c>
      <c r="O16" t="str">
        <f t="shared" si="12"/>
        <v/>
      </c>
      <c r="P16" t="str">
        <f t="shared" si="13"/>
        <v/>
      </c>
      <c r="Q16" t="str">
        <f t="shared" si="14"/>
        <v/>
      </c>
      <c r="R16" t="str">
        <f t="shared" si="15"/>
        <v/>
      </c>
    </row>
    <row r="17" spans="1:18">
      <c r="A17" t="s">
        <v>10299</v>
      </c>
      <c r="B17" t="s">
        <v>10300</v>
      </c>
      <c r="C17" t="s">
        <v>10306</v>
      </c>
      <c r="D17" t="str">
        <f t="shared" si="1"/>
        <v>AH_MILK_DRINK</v>
      </c>
      <c r="E17" t="str">
        <f t="shared" si="2"/>
        <v/>
      </c>
      <c r="F17" t="str">
        <f t="shared" si="3"/>
        <v/>
      </c>
      <c r="G17" t="str">
        <f t="shared" si="4"/>
        <v/>
      </c>
      <c r="H17" t="str">
        <f t="shared" si="5"/>
        <v/>
      </c>
      <c r="I17" t="str">
        <f t="shared" si="6"/>
        <v/>
      </c>
      <c r="J17" t="str">
        <f t="shared" si="7"/>
        <v/>
      </c>
      <c r="K17" t="str">
        <f t="shared" si="8"/>
        <v/>
      </c>
      <c r="L17" t="str">
        <f t="shared" si="9"/>
        <v/>
      </c>
      <c r="M17" t="str">
        <f t="shared" si="10"/>
        <v/>
      </c>
      <c r="N17" t="str">
        <f t="shared" si="11"/>
        <v/>
      </c>
      <c r="O17" t="str">
        <f t="shared" si="12"/>
        <v/>
      </c>
      <c r="P17" t="str">
        <f t="shared" si="13"/>
        <v/>
      </c>
      <c r="Q17" t="str">
        <f t="shared" si="14"/>
        <v/>
      </c>
      <c r="R17" t="str">
        <f t="shared" si="15"/>
        <v/>
      </c>
    </row>
    <row r="18" spans="1:18">
      <c r="A18" t="s">
        <v>10299</v>
      </c>
      <c r="B18" t="s">
        <v>10300</v>
      </c>
      <c r="C18" t="s">
        <v>195</v>
      </c>
      <c r="D18" t="str">
        <f t="shared" si="1"/>
        <v>AH_TONIC</v>
      </c>
      <c r="E18" t="str">
        <f t="shared" si="2"/>
        <v/>
      </c>
      <c r="F18" t="str">
        <f t="shared" si="3"/>
        <v/>
      </c>
      <c r="G18" t="str">
        <f t="shared" si="4"/>
        <v/>
      </c>
      <c r="H18" t="str">
        <f t="shared" si="5"/>
        <v/>
      </c>
      <c r="I18" t="str">
        <f t="shared" si="6"/>
        <v/>
      </c>
      <c r="J18" t="str">
        <f t="shared" si="7"/>
        <v/>
      </c>
      <c r="K18" t="str">
        <f t="shared" si="8"/>
        <v/>
      </c>
      <c r="L18" t="str">
        <f t="shared" si="9"/>
        <v/>
      </c>
      <c r="M18" t="str">
        <f t="shared" si="10"/>
        <v/>
      </c>
      <c r="N18" t="str">
        <f t="shared" si="11"/>
        <v/>
      </c>
      <c r="O18" t="str">
        <f t="shared" si="12"/>
        <v/>
      </c>
      <c r="P18" t="str">
        <f t="shared" si="13"/>
        <v/>
      </c>
      <c r="Q18" t="str">
        <f t="shared" si="14"/>
        <v/>
      </c>
      <c r="R18" t="str">
        <f t="shared" si="15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25BA-19A0-4554-8087-5C2D2A51A9F2}">
  <dimension ref="A1:O538"/>
  <sheetViews>
    <sheetView workbookViewId="0">
      <pane ySplit="1" topLeftCell="A2" activePane="bottomLeft" state="frozen"/>
      <selection pane="bottomLeft" activeCell="D516" sqref="D516"/>
    </sheetView>
  </sheetViews>
  <sheetFormatPr defaultRowHeight="16"/>
  <cols>
    <col min="1" max="1" width="49.83203125" customWidth="1"/>
    <col min="2" max="2" width="15.33203125" customWidth="1"/>
    <col min="3" max="3" width="37.58203125" customWidth="1"/>
    <col min="4" max="4" width="34.08203125" customWidth="1"/>
  </cols>
  <sheetData>
    <row r="1" spans="1:15">
      <c r="A1" s="27" t="s">
        <v>1002</v>
      </c>
      <c r="B1" s="27" t="s">
        <v>236</v>
      </c>
      <c r="C1" s="27" t="s">
        <v>1003</v>
      </c>
      <c r="D1" s="27" t="s">
        <v>1006</v>
      </c>
      <c r="E1" s="30" t="s">
        <v>801</v>
      </c>
      <c r="F1" s="8" t="s">
        <v>806</v>
      </c>
      <c r="H1" t="s">
        <v>5834</v>
      </c>
      <c r="I1" t="s">
        <v>5835</v>
      </c>
      <c r="J1" t="s">
        <v>5836</v>
      </c>
      <c r="K1" t="s">
        <v>5837</v>
      </c>
      <c r="L1" t="s">
        <v>5838</v>
      </c>
      <c r="M1" t="s">
        <v>5839</v>
      </c>
      <c r="N1" t="s">
        <v>5840</v>
      </c>
    </row>
    <row r="2" spans="1:15">
      <c r="A2" t="str">
        <f>B2&amp;" | "&amp;D2&amp;" | "&amp;E2</f>
        <v xml:space="preserve">BEER_GEN | ALTBIER &gt; STICKE | </v>
      </c>
      <c r="B2" t="s">
        <v>1844</v>
      </c>
      <c r="C2" t="str">
        <f t="shared" ref="C2:C62" si="0">_xlfn.TEXTJOIN(";",TRUE,D2,H2:N2)</f>
        <v>ALTBIER &gt; STICKE</v>
      </c>
      <c r="D2" t="s">
        <v>5630</v>
      </c>
      <c r="F2">
        <v>3001</v>
      </c>
      <c r="O2" t="s">
        <v>3095</v>
      </c>
    </row>
    <row r="3" spans="1:15">
      <c r="A3" t="str">
        <f t="shared" ref="A3:A66" si="1">B3&amp;" | "&amp;D3&amp;" | "&amp;E3</f>
        <v xml:space="preserve">BEER_GEN | ALTBIER &gt; TRADITIONAL | </v>
      </c>
      <c r="B3" t="s">
        <v>1844</v>
      </c>
      <c r="C3" t="str">
        <f t="shared" si="0"/>
        <v>ALTBIER &gt; TRADITIONAL</v>
      </c>
      <c r="D3" t="s">
        <v>5631</v>
      </c>
      <c r="F3">
        <v>3002</v>
      </c>
      <c r="O3" t="s">
        <v>2405</v>
      </c>
    </row>
    <row r="4" spans="1:15">
      <c r="A4" t="str">
        <f t="shared" si="1"/>
        <v xml:space="preserve">BEER_GEN | AUSTRALIAN_SPARKLING_ALE | </v>
      </c>
      <c r="B4" t="s">
        <v>1844</v>
      </c>
      <c r="C4" t="str">
        <f t="shared" si="0"/>
        <v>AUSTRALIAN_SPARKLING_ALE</v>
      </c>
      <c r="D4" t="s">
        <v>5574</v>
      </c>
      <c r="F4">
        <v>3003</v>
      </c>
      <c r="O4" t="s">
        <v>2116</v>
      </c>
    </row>
    <row r="5" spans="1:15">
      <c r="A5" t="str">
        <f t="shared" si="1"/>
        <v xml:space="preserve">BEER_GEN | BARLEYWINE &gt; AMERICAN | </v>
      </c>
      <c r="B5" t="s">
        <v>1844</v>
      </c>
      <c r="C5" t="str">
        <f t="shared" si="0"/>
        <v>BARLEYWINE &gt; AMERICAN</v>
      </c>
      <c r="D5" t="s">
        <v>5632</v>
      </c>
      <c r="F5">
        <v>3004</v>
      </c>
      <c r="O5" t="s">
        <v>4471</v>
      </c>
    </row>
    <row r="6" spans="1:15">
      <c r="A6" t="str">
        <f t="shared" si="1"/>
        <v xml:space="preserve">BEER_GEN | BARLEYWINE &gt; ENGLISH | </v>
      </c>
      <c r="B6" t="s">
        <v>1844</v>
      </c>
      <c r="C6" t="str">
        <f t="shared" si="0"/>
        <v>BARLEYWINE &gt; ENGLISH</v>
      </c>
      <c r="D6" t="s">
        <v>5633</v>
      </c>
      <c r="F6">
        <v>3005</v>
      </c>
      <c r="O6" t="s">
        <v>2950</v>
      </c>
    </row>
    <row r="7" spans="1:15">
      <c r="A7" t="str">
        <f t="shared" si="1"/>
        <v xml:space="preserve">BEER_GEN | BARLEYWINE &gt; OTHER | </v>
      </c>
      <c r="B7" t="s">
        <v>1844</v>
      </c>
      <c r="C7" t="str">
        <f t="shared" si="0"/>
        <v>BARLEYWINE &gt; OTHER</v>
      </c>
      <c r="D7" t="s">
        <v>5634</v>
      </c>
      <c r="F7">
        <v>3006</v>
      </c>
      <c r="O7" t="s">
        <v>3887</v>
      </c>
    </row>
    <row r="8" spans="1:15">
      <c r="A8" t="str">
        <f t="shared" si="1"/>
        <v xml:space="preserve">BEER_GEN | BELGIAN_BLONDE | </v>
      </c>
      <c r="B8" t="s">
        <v>1844</v>
      </c>
      <c r="C8" t="str">
        <f t="shared" si="0"/>
        <v>BELGIAN_BLONDE</v>
      </c>
      <c r="D8" t="s">
        <v>5575</v>
      </c>
      <c r="F8">
        <v>3007</v>
      </c>
      <c r="O8" t="s">
        <v>3143</v>
      </c>
    </row>
    <row r="9" spans="1:15">
      <c r="A9" t="str">
        <f t="shared" si="1"/>
        <v xml:space="preserve">BEER_GEN | BELGIAN_DUBBEL | </v>
      </c>
      <c r="B9" t="s">
        <v>1844</v>
      </c>
      <c r="C9" t="str">
        <f t="shared" si="0"/>
        <v>BELGIAN_DUBBEL;DUBBEL</v>
      </c>
      <c r="D9" t="s">
        <v>5576</v>
      </c>
      <c r="F9">
        <v>3008</v>
      </c>
      <c r="H9" t="s">
        <v>772</v>
      </c>
      <c r="O9" t="s">
        <v>3243</v>
      </c>
    </row>
    <row r="10" spans="1:15">
      <c r="A10" t="str">
        <f t="shared" si="1"/>
        <v xml:space="preserve">BEER_GEN | BELGIAN_ENKEL_/_PATERSBIER | </v>
      </c>
      <c r="B10" t="s">
        <v>1844</v>
      </c>
      <c r="C10" t="str">
        <f t="shared" si="0"/>
        <v>BELGIAN_ENKEL_/_PATERSBIER;ENKEL;PATERSBIER</v>
      </c>
      <c r="D10" t="s">
        <v>5577</v>
      </c>
      <c r="F10">
        <v>3009</v>
      </c>
      <c r="H10" t="s">
        <v>6355</v>
      </c>
      <c r="I10" t="s">
        <v>6356</v>
      </c>
      <c r="O10" t="s">
        <v>4114</v>
      </c>
    </row>
    <row r="11" spans="1:15">
      <c r="A11" t="str">
        <f t="shared" si="1"/>
        <v xml:space="preserve">BEER_GEN | BELGIAN_QUADRUPEL | </v>
      </c>
      <c r="B11" t="s">
        <v>1844</v>
      </c>
      <c r="C11" t="str">
        <f t="shared" si="0"/>
        <v>BELGIAN_QUADRUPEL;QUADRUPEL</v>
      </c>
      <c r="D11" t="s">
        <v>5578</v>
      </c>
      <c r="F11">
        <v>3010</v>
      </c>
      <c r="H11" t="s">
        <v>840</v>
      </c>
      <c r="O11" t="s">
        <v>3881</v>
      </c>
    </row>
    <row r="12" spans="1:15">
      <c r="A12" t="str">
        <f t="shared" si="1"/>
        <v xml:space="preserve">BEER_GEN | BELGIAN_STRONG_DARK_ALE | </v>
      </c>
      <c r="B12" t="s">
        <v>1844</v>
      </c>
      <c r="C12" t="str">
        <f t="shared" si="0"/>
        <v>BELGIAN_STRONG_DARK_ALE</v>
      </c>
      <c r="D12" t="s">
        <v>5579</v>
      </c>
      <c r="F12">
        <v>3011</v>
      </c>
      <c r="O12" t="s">
        <v>4326</v>
      </c>
    </row>
    <row r="13" spans="1:15">
      <c r="A13" t="str">
        <f t="shared" si="1"/>
        <v xml:space="preserve">BEER_GEN | BELGIAN_STRONG_GOLDEN_ALE | </v>
      </c>
      <c r="B13" t="s">
        <v>1844</v>
      </c>
      <c r="C13" t="str">
        <f t="shared" si="0"/>
        <v>BELGIAN_STRONG_GOLDEN_ALE</v>
      </c>
      <c r="D13" t="s">
        <v>5580</v>
      </c>
      <c r="F13">
        <v>3012</v>
      </c>
      <c r="O13" t="s">
        <v>3403</v>
      </c>
    </row>
    <row r="14" spans="1:15">
      <c r="A14" t="str">
        <f t="shared" si="1"/>
        <v xml:space="preserve">BEER_GEN | BELGIAN_TRIPEL | </v>
      </c>
      <c r="B14" t="s">
        <v>1844</v>
      </c>
      <c r="C14" t="str">
        <f t="shared" si="0"/>
        <v>BELGIAN_TRIPEL;TRIPEL</v>
      </c>
      <c r="D14" t="s">
        <v>5581</v>
      </c>
      <c r="F14">
        <v>3013</v>
      </c>
      <c r="H14" t="s">
        <v>534</v>
      </c>
      <c r="O14" t="s">
        <v>2851</v>
      </c>
    </row>
    <row r="15" spans="1:15">
      <c r="A15" t="str">
        <f t="shared" si="1"/>
        <v xml:space="preserve">BEER_GEN | BIERE_DE_CHAMPAGNE_/_BIERE_BRUT | </v>
      </c>
      <c r="B15" t="s">
        <v>1844</v>
      </c>
      <c r="C15" t="str">
        <f t="shared" si="0"/>
        <v>BIERE_DE_CHAMPAGNE_/_BIERE_BRUT;BRUT;CHAMPAGNE</v>
      </c>
      <c r="D15" t="s">
        <v>5582</v>
      </c>
      <c r="F15">
        <v>3014</v>
      </c>
      <c r="H15" t="s">
        <v>765</v>
      </c>
      <c r="I15" t="s">
        <v>1059</v>
      </c>
      <c r="O15" t="s">
        <v>2998</v>
      </c>
    </row>
    <row r="16" spans="1:15">
      <c r="A16" t="str">
        <f t="shared" si="1"/>
        <v xml:space="preserve">BEER_GEN | BITTER &gt; BEST | </v>
      </c>
      <c r="B16" t="s">
        <v>1844</v>
      </c>
      <c r="C16" t="str">
        <f t="shared" si="0"/>
        <v>BITTER &gt; BEST</v>
      </c>
      <c r="D16" t="s">
        <v>5635</v>
      </c>
      <c r="F16">
        <v>3015</v>
      </c>
      <c r="O16" t="s">
        <v>3889</v>
      </c>
    </row>
    <row r="17" spans="1:15">
      <c r="A17" t="str">
        <f t="shared" si="1"/>
        <v xml:space="preserve">BEER_GEN | BITTER &gt; EXTRA_SPECIAL_/_STRONG_(ESB) | </v>
      </c>
      <c r="B17" t="s">
        <v>1844</v>
      </c>
      <c r="C17" t="str">
        <f t="shared" si="0"/>
        <v>BITTER &gt; EXTRA_SPECIAL_/_STRONG_(ESB)</v>
      </c>
      <c r="D17" t="s">
        <v>5636</v>
      </c>
      <c r="F17">
        <v>3016</v>
      </c>
      <c r="O17" t="s">
        <v>4799</v>
      </c>
    </row>
    <row r="18" spans="1:15">
      <c r="A18" t="str">
        <f t="shared" si="1"/>
        <v xml:space="preserve">BEER_GEN | BITTER &gt; SESSION_/_ORDINARY | </v>
      </c>
      <c r="B18" t="s">
        <v>1844</v>
      </c>
      <c r="C18" t="str">
        <f t="shared" si="0"/>
        <v>BITTER &gt; SESSION_/_ORDINARY</v>
      </c>
      <c r="D18" t="s">
        <v>5637</v>
      </c>
      <c r="F18">
        <v>3017</v>
      </c>
      <c r="O18" t="s">
        <v>4070</v>
      </c>
    </row>
    <row r="19" spans="1:15">
      <c r="A19" t="str">
        <f t="shared" si="1"/>
        <v xml:space="preserve">BEER_GEN | BLACK_&amp;_TAN | </v>
      </c>
      <c r="B19" t="s">
        <v>1844</v>
      </c>
      <c r="C19" t="str">
        <f t="shared" si="0"/>
        <v>BLACK_&amp;_TAN</v>
      </c>
      <c r="D19" t="s">
        <v>5583</v>
      </c>
      <c r="F19">
        <v>3018</v>
      </c>
      <c r="O19" t="s">
        <v>3888</v>
      </c>
    </row>
    <row r="20" spans="1:15">
      <c r="A20" t="str">
        <f t="shared" si="1"/>
        <v xml:space="preserve">BEER_GEN | BLONDE_/_GOLDEN_ALE &gt; AMERICAN | </v>
      </c>
      <c r="B20" t="s">
        <v>1844</v>
      </c>
      <c r="C20" t="str">
        <f t="shared" si="0"/>
        <v>BLONDE_/_GOLDEN_ALE &gt; AMERICAN</v>
      </c>
      <c r="D20" t="s">
        <v>5638</v>
      </c>
      <c r="F20">
        <v>3019</v>
      </c>
      <c r="O20" t="s">
        <v>4938</v>
      </c>
    </row>
    <row r="21" spans="1:15">
      <c r="A21" t="str">
        <f t="shared" si="1"/>
        <v xml:space="preserve">BEER_GEN | BLONDE_/_GOLDEN_ALE &gt; ENGLISH | </v>
      </c>
      <c r="B21" t="s">
        <v>1844</v>
      </c>
      <c r="C21" t="str">
        <f t="shared" si="0"/>
        <v>BLONDE_/_GOLDEN_ALE &gt; ENGLISH</v>
      </c>
      <c r="D21" t="s">
        <v>5639</v>
      </c>
      <c r="F21">
        <v>3020</v>
      </c>
      <c r="O21" t="s">
        <v>2068</v>
      </c>
    </row>
    <row r="22" spans="1:15">
      <c r="A22" t="str">
        <f t="shared" si="1"/>
        <v xml:space="preserve">BEER_GEN | BLONDE_/_GOLDEN_ALE &gt; OTHER | </v>
      </c>
      <c r="B22" t="s">
        <v>1844</v>
      </c>
      <c r="C22" t="str">
        <f t="shared" si="0"/>
        <v>BLONDE_/_GOLDEN_ALE &gt; OTHER;BLOND</v>
      </c>
      <c r="D22" t="s">
        <v>5640</v>
      </c>
      <c r="F22">
        <v>3021</v>
      </c>
      <c r="H22" t="s">
        <v>536</v>
      </c>
    </row>
    <row r="23" spans="1:15">
      <c r="A23" t="str">
        <f t="shared" si="1"/>
        <v xml:space="preserve">BEER_GEN | BOCK &gt; DOPPELBOCK | </v>
      </c>
      <c r="B23" t="s">
        <v>1844</v>
      </c>
      <c r="C23" t="str">
        <f t="shared" si="0"/>
        <v>BOCK &gt; DOPPELBOCK;DOPPELBOCK</v>
      </c>
      <c r="D23" t="s">
        <v>5641</v>
      </c>
      <c r="F23">
        <v>3022</v>
      </c>
      <c r="H23" t="s">
        <v>6354</v>
      </c>
    </row>
    <row r="24" spans="1:15">
      <c r="A24" t="str">
        <f t="shared" si="1"/>
        <v xml:space="preserve">BEER_GEN | BOCK &gt; EISBOCK | </v>
      </c>
      <c r="B24" t="s">
        <v>1844</v>
      </c>
      <c r="C24" t="str">
        <f t="shared" si="0"/>
        <v>BOCK &gt; EISBOCK;EISBOCK</v>
      </c>
      <c r="D24" t="s">
        <v>5642</v>
      </c>
      <c r="F24">
        <v>3023</v>
      </c>
      <c r="H24" t="s">
        <v>6353</v>
      </c>
    </row>
    <row r="25" spans="1:15">
      <c r="A25" t="str">
        <f t="shared" si="1"/>
        <v xml:space="preserve">BEER_GEN | BOCK &gt; HELL_/_MAIBOCK_/_LENTEBOCK | </v>
      </c>
      <c r="B25" t="s">
        <v>1844</v>
      </c>
      <c r="C25" t="str">
        <f t="shared" si="0"/>
        <v>BOCK &gt; HELL_/_MAIBOCK_/_LENTEBOCK;HELL;MAIBOCK;LENTEBOCK</v>
      </c>
      <c r="D25" t="s">
        <v>5643</v>
      </c>
      <c r="F25">
        <v>3024</v>
      </c>
      <c r="H25" t="s">
        <v>6351</v>
      </c>
      <c r="I25" t="s">
        <v>6352</v>
      </c>
      <c r="J25" t="s">
        <v>795</v>
      </c>
    </row>
    <row r="26" spans="1:15">
      <c r="A26" t="str">
        <f t="shared" si="1"/>
        <v xml:space="preserve">BEER_GEN | BOCK &gt; SINGLE_/_TRADITIONAL | </v>
      </c>
      <c r="B26" t="s">
        <v>1844</v>
      </c>
      <c r="C26" t="str">
        <f t="shared" si="0"/>
        <v>BOCK &gt; SINGLE_/_TRADITIONAL;BOCK</v>
      </c>
      <c r="D26" t="s">
        <v>5644</v>
      </c>
      <c r="F26">
        <v>3025</v>
      </c>
      <c r="H26" t="s">
        <v>778</v>
      </c>
    </row>
    <row r="27" spans="1:15">
      <c r="A27" t="str">
        <f t="shared" si="1"/>
        <v xml:space="preserve">BEER_GEN | BOCK &gt; WEIZENBOCK | </v>
      </c>
      <c r="B27" t="s">
        <v>1844</v>
      </c>
      <c r="C27" t="str">
        <f t="shared" si="0"/>
        <v>BOCK &gt; WEIZENBOCK;WEIZENBOCK</v>
      </c>
      <c r="D27" t="s">
        <v>5645</v>
      </c>
      <c r="F27">
        <v>3026</v>
      </c>
      <c r="H27" t="s">
        <v>6349</v>
      </c>
    </row>
    <row r="28" spans="1:15">
      <c r="A28" t="str">
        <f t="shared" si="1"/>
        <v xml:space="preserve">BEER_GEN | BOCK &gt; WEIZENDOPPELBOCK | </v>
      </c>
      <c r="B28" t="s">
        <v>1844</v>
      </c>
      <c r="C28" t="str">
        <f t="shared" si="0"/>
        <v>BOCK &gt; WEIZENDOPPELBOCK;WEIZENDOPPELBOCK</v>
      </c>
      <c r="D28" t="s">
        <v>5646</v>
      </c>
      <c r="F28">
        <v>3027</v>
      </c>
      <c r="H28" t="s">
        <v>6350</v>
      </c>
    </row>
    <row r="29" spans="1:15">
      <c r="A29" t="str">
        <f t="shared" si="1"/>
        <v xml:space="preserve">BEER_GEN | BRETT_BEER | </v>
      </c>
      <c r="B29" t="s">
        <v>1844</v>
      </c>
      <c r="C29" t="str">
        <f t="shared" si="0"/>
        <v>BRETT_BEER;BRETT</v>
      </c>
      <c r="D29" t="s">
        <v>5584</v>
      </c>
      <c r="F29">
        <v>3028</v>
      </c>
      <c r="H29" t="s">
        <v>999</v>
      </c>
    </row>
    <row r="30" spans="1:15">
      <c r="A30" t="str">
        <f t="shared" si="1"/>
        <v xml:space="preserve">BEER_GEN | BROWN_ALE &gt; AMERICAN | </v>
      </c>
      <c r="B30" t="s">
        <v>1844</v>
      </c>
      <c r="C30" t="str">
        <f t="shared" si="0"/>
        <v>BROWN_ALE &gt; AMERICAN</v>
      </c>
      <c r="D30" t="s">
        <v>5647</v>
      </c>
      <c r="F30">
        <v>3029</v>
      </c>
    </row>
    <row r="31" spans="1:15">
      <c r="A31" t="str">
        <f t="shared" si="1"/>
        <v xml:space="preserve">BEER_GEN | BROWN_ALE &gt; BELGIAN | </v>
      </c>
      <c r="B31" t="s">
        <v>1844</v>
      </c>
      <c r="C31" t="str">
        <f t="shared" si="0"/>
        <v>BROWN_ALE &gt; BELGIAN</v>
      </c>
      <c r="D31" t="s">
        <v>5648</v>
      </c>
      <c r="F31">
        <v>3030</v>
      </c>
    </row>
    <row r="32" spans="1:15">
      <c r="A32" t="str">
        <f t="shared" si="1"/>
        <v xml:space="preserve">BEER_GEN | BROWN_ALE &gt; ENGLISH | </v>
      </c>
      <c r="B32" t="s">
        <v>1844</v>
      </c>
      <c r="C32" t="str">
        <f t="shared" si="0"/>
        <v>BROWN_ALE &gt; ENGLISH</v>
      </c>
      <c r="D32" t="s">
        <v>5649</v>
      </c>
      <c r="F32">
        <v>3031</v>
      </c>
    </row>
    <row r="33" spans="1:8">
      <c r="A33" t="str">
        <f t="shared" si="1"/>
        <v xml:space="preserve">BEER_GEN | BROWN_ALE &gt; IMPERIAL_/_DOUBLE | </v>
      </c>
      <c r="B33" t="s">
        <v>1844</v>
      </c>
      <c r="C33" t="str">
        <f t="shared" si="0"/>
        <v>BROWN_ALE &gt; IMPERIAL_/_DOUBLE</v>
      </c>
      <c r="D33" t="s">
        <v>5650</v>
      </c>
      <c r="F33">
        <v>3032</v>
      </c>
    </row>
    <row r="34" spans="1:8">
      <c r="A34" t="str">
        <f t="shared" si="1"/>
        <v xml:space="preserve">BEER_GEN | BROWN_ALE &gt; OTHER | </v>
      </c>
      <c r="B34" t="s">
        <v>1844</v>
      </c>
      <c r="C34" t="str">
        <f t="shared" si="0"/>
        <v>BROWN_ALE &gt; OTHER;BROWN</v>
      </c>
      <c r="D34" t="s">
        <v>5651</v>
      </c>
      <c r="F34">
        <v>3033</v>
      </c>
      <c r="H34" t="s">
        <v>842</v>
      </c>
    </row>
    <row r="35" spans="1:8">
      <c r="A35" t="str">
        <f t="shared" si="1"/>
        <v xml:space="preserve">BEER_GEN | CALIFORNIA_COMMON | </v>
      </c>
      <c r="B35" t="s">
        <v>1844</v>
      </c>
      <c r="C35" t="str">
        <f t="shared" si="0"/>
        <v>CALIFORNIA_COMMON</v>
      </c>
      <c r="D35" t="s">
        <v>5585</v>
      </c>
      <c r="F35">
        <v>3034</v>
      </c>
    </row>
    <row r="36" spans="1:8">
      <c r="A36" t="str">
        <f t="shared" si="1"/>
        <v xml:space="preserve">BEER_GEN | CHILLI_/_CHILE_BEER | </v>
      </c>
      <c r="B36" t="s">
        <v>1844</v>
      </c>
      <c r="C36" t="str">
        <f t="shared" si="0"/>
        <v>CHILLI_/_CHILE_BEER</v>
      </c>
      <c r="D36" t="s">
        <v>5586</v>
      </c>
      <c r="F36">
        <v>3035</v>
      </c>
    </row>
    <row r="37" spans="1:8">
      <c r="A37" t="str">
        <f t="shared" si="1"/>
        <v xml:space="preserve">BEER_GEN | CIDER &gt; APPLEWINE | </v>
      </c>
      <c r="B37" t="s">
        <v>1844</v>
      </c>
      <c r="C37" t="str">
        <f t="shared" si="0"/>
        <v>CIDER &gt; APPLEWINE</v>
      </c>
      <c r="D37" t="s">
        <v>5652</v>
      </c>
      <c r="F37">
        <v>3036</v>
      </c>
    </row>
    <row r="38" spans="1:8">
      <c r="A38" t="str">
        <f t="shared" si="1"/>
        <v xml:space="preserve">BEER_GEN | CIDER &gt; BASQUE | </v>
      </c>
      <c r="B38" t="s">
        <v>1844</v>
      </c>
      <c r="C38" t="str">
        <f t="shared" si="0"/>
        <v>CIDER &gt; BASQUE</v>
      </c>
      <c r="D38" t="s">
        <v>5653</v>
      </c>
      <c r="F38">
        <v>3037</v>
      </c>
    </row>
    <row r="39" spans="1:8">
      <c r="A39" t="str">
        <f t="shared" si="1"/>
        <v xml:space="preserve">BEER_GEN | CIDER &gt; DRY | </v>
      </c>
      <c r="B39" t="s">
        <v>1844</v>
      </c>
      <c r="C39" t="str">
        <f t="shared" si="0"/>
        <v>CIDER &gt; DRY</v>
      </c>
      <c r="D39" t="s">
        <v>5654</v>
      </c>
      <c r="F39">
        <v>3038</v>
      </c>
    </row>
    <row r="40" spans="1:8">
      <c r="A40" t="str">
        <f t="shared" si="1"/>
        <v xml:space="preserve">BEER_GEN | CIDER &gt; GRAFF | </v>
      </c>
      <c r="B40" t="s">
        <v>1844</v>
      </c>
      <c r="C40" t="str">
        <f t="shared" si="0"/>
        <v>CIDER &gt; GRAFF</v>
      </c>
      <c r="D40" t="s">
        <v>5655</v>
      </c>
      <c r="F40">
        <v>3039</v>
      </c>
    </row>
    <row r="41" spans="1:8">
      <c r="A41" t="str">
        <f t="shared" si="1"/>
        <v xml:space="preserve">BEER_GEN | CIDER &gt; HERBED_/_SPICED_/_HOPPED | </v>
      </c>
      <c r="B41" t="s">
        <v>1844</v>
      </c>
      <c r="C41" t="str">
        <f t="shared" si="0"/>
        <v>CIDER &gt; HERBED_/_SPICED_/_HOPPED</v>
      </c>
      <c r="D41" t="s">
        <v>5656</v>
      </c>
      <c r="F41">
        <v>3040</v>
      </c>
    </row>
    <row r="42" spans="1:8">
      <c r="A42" t="str">
        <f t="shared" si="1"/>
        <v xml:space="preserve">BEER_GEN | CIDER &gt; ICE | </v>
      </c>
      <c r="B42" t="s">
        <v>1844</v>
      </c>
      <c r="C42" t="str">
        <f t="shared" si="0"/>
        <v>CIDER &gt; ICE</v>
      </c>
      <c r="D42" t="s">
        <v>5657</v>
      </c>
      <c r="F42">
        <v>3041</v>
      </c>
    </row>
    <row r="43" spans="1:8">
      <c r="A43" t="str">
        <f t="shared" si="1"/>
        <v xml:space="preserve">BEER_GEN | CIDER &gt; OTHER_FRUIT | </v>
      </c>
      <c r="B43" t="s">
        <v>1844</v>
      </c>
      <c r="C43" t="str">
        <f>_xlfn.TEXTJOIN(";",TRUE,D43,H43:N43)</f>
        <v>CIDER &gt; OTHER_FRUIT;CIDER</v>
      </c>
      <c r="D43" t="s">
        <v>5658</v>
      </c>
      <c r="F43">
        <v>3042</v>
      </c>
      <c r="H43" t="s">
        <v>5570</v>
      </c>
    </row>
    <row r="44" spans="1:8">
      <c r="A44" t="str">
        <f t="shared" si="1"/>
        <v xml:space="preserve">BEER_GEN | CIDER &gt; PERRY_/_POIRE | </v>
      </c>
      <c r="B44" t="s">
        <v>1844</v>
      </c>
      <c r="C44" t="str">
        <f t="shared" si="0"/>
        <v>CIDER &gt; PERRY_/_POIRE</v>
      </c>
      <c r="D44" t="s">
        <v>5659</v>
      </c>
      <c r="F44">
        <v>3043</v>
      </c>
    </row>
    <row r="45" spans="1:8">
      <c r="A45" t="str">
        <f t="shared" si="1"/>
        <v xml:space="preserve">BEER_GEN | CIDER &gt; ROSE | </v>
      </c>
      <c r="B45" t="s">
        <v>1844</v>
      </c>
      <c r="C45" t="str">
        <f t="shared" si="0"/>
        <v>CIDER &gt; ROSE</v>
      </c>
      <c r="D45" t="s">
        <v>5660</v>
      </c>
      <c r="F45">
        <v>3044</v>
      </c>
    </row>
    <row r="46" spans="1:8">
      <c r="A46" t="str">
        <f t="shared" si="1"/>
        <v xml:space="preserve">BEER_GEN | CIDER &gt; SWEET | </v>
      </c>
      <c r="B46" t="s">
        <v>1844</v>
      </c>
      <c r="C46" t="str">
        <f t="shared" si="0"/>
        <v>CIDER &gt; SWEET</v>
      </c>
      <c r="D46" t="s">
        <v>5661</v>
      </c>
      <c r="F46">
        <v>3045</v>
      </c>
    </row>
    <row r="47" spans="1:8">
      <c r="A47" t="str">
        <f t="shared" si="1"/>
        <v xml:space="preserve">BEER_GEN | CIDER &gt; TRADITIONAL_/_APFELWEIN | </v>
      </c>
      <c r="B47" t="s">
        <v>1844</v>
      </c>
      <c r="C47" t="str">
        <f t="shared" si="0"/>
        <v>CIDER &gt; TRADITIONAL_/_APFELWEIN</v>
      </c>
      <c r="D47" t="s">
        <v>5662</v>
      </c>
      <c r="F47">
        <v>3046</v>
      </c>
    </row>
    <row r="48" spans="1:8">
      <c r="A48" t="str">
        <f t="shared" si="1"/>
        <v xml:space="preserve">BEER_GEN | CORN_BEER_/_CHICHA_DE_JORA | </v>
      </c>
      <c r="B48" t="s">
        <v>1844</v>
      </c>
      <c r="C48" t="str">
        <f t="shared" si="0"/>
        <v>CORN_BEER_/_CHICHA_DE_JORA</v>
      </c>
      <c r="D48" t="s">
        <v>5587</v>
      </c>
      <c r="F48">
        <v>3047</v>
      </c>
    </row>
    <row r="49" spans="1:8">
      <c r="A49" t="str">
        <f t="shared" si="1"/>
        <v xml:space="preserve">BEER_GEN | CREAM_ALE | </v>
      </c>
      <c r="B49" t="s">
        <v>1844</v>
      </c>
      <c r="C49" t="str">
        <f t="shared" si="0"/>
        <v>CREAM_ALE</v>
      </c>
      <c r="D49" t="s">
        <v>5588</v>
      </c>
      <c r="F49">
        <v>3048</v>
      </c>
    </row>
    <row r="50" spans="1:8">
      <c r="A50" t="str">
        <f t="shared" si="1"/>
        <v xml:space="preserve">BEER_GEN | CREAM_ALE &gt; IMPERIAL_/_DOUBLE | </v>
      </c>
      <c r="B50" t="s">
        <v>1844</v>
      </c>
      <c r="C50" t="str">
        <f t="shared" si="0"/>
        <v>CREAM_ALE &gt; IMPERIAL_/_DOUBLE</v>
      </c>
      <c r="D50" t="s">
        <v>5663</v>
      </c>
      <c r="F50">
        <v>3049</v>
      </c>
    </row>
    <row r="51" spans="1:8">
      <c r="A51" t="str">
        <f t="shared" si="1"/>
        <v xml:space="preserve">BEER_GEN | DARK_ALE | </v>
      </c>
      <c r="B51" t="s">
        <v>1844</v>
      </c>
      <c r="C51" t="str">
        <f t="shared" si="0"/>
        <v>DARK_ALE</v>
      </c>
      <c r="D51" t="s">
        <v>5589</v>
      </c>
      <c r="F51">
        <v>3050</v>
      </c>
    </row>
    <row r="52" spans="1:8">
      <c r="A52" t="str">
        <f t="shared" si="1"/>
        <v xml:space="preserve">BEER_GEN | FARMHOUSE_ALE &gt; BIERE_DE_COUPAGE | </v>
      </c>
      <c r="B52" t="s">
        <v>1844</v>
      </c>
      <c r="C52" t="str">
        <f t="shared" si="0"/>
        <v>FARMHOUSE_ALE &gt; BIERE_DE_COUPAGE</v>
      </c>
      <c r="D52" t="s">
        <v>5664</v>
      </c>
      <c r="F52">
        <v>3051</v>
      </c>
    </row>
    <row r="53" spans="1:8">
      <c r="A53" t="str">
        <f t="shared" si="1"/>
        <v xml:space="preserve">BEER_GEN | FARMHOUSE_ALE &gt; BIERE_DE_GARDE | </v>
      </c>
      <c r="B53" t="s">
        <v>1844</v>
      </c>
      <c r="C53" t="str">
        <f t="shared" si="0"/>
        <v>FARMHOUSE_ALE &gt; BIERE_DE_GARDE</v>
      </c>
      <c r="D53" t="s">
        <v>5665</v>
      </c>
      <c r="F53">
        <v>3052</v>
      </c>
    </row>
    <row r="54" spans="1:8">
      <c r="A54" t="str">
        <f t="shared" si="1"/>
        <v xml:space="preserve">BEER_GEN | FARMHOUSE_ALE &gt; BIERE_DE_MARS | </v>
      </c>
      <c r="B54" t="s">
        <v>1844</v>
      </c>
      <c r="C54" t="str">
        <f t="shared" si="0"/>
        <v>FARMHOUSE_ALE &gt; BIERE_DE_MARS</v>
      </c>
      <c r="D54" t="s">
        <v>5666</v>
      </c>
      <c r="F54">
        <v>3053</v>
      </c>
    </row>
    <row r="55" spans="1:8">
      <c r="A55" t="str">
        <f t="shared" si="1"/>
        <v xml:space="preserve">BEER_GEN | FARMHOUSE_ALE &gt; BRETT | </v>
      </c>
      <c r="B55" t="s">
        <v>1844</v>
      </c>
      <c r="C55" t="str">
        <f t="shared" si="0"/>
        <v>FARMHOUSE_ALE &gt; BRETT</v>
      </c>
      <c r="D55" t="s">
        <v>5667</v>
      </c>
      <c r="F55">
        <v>3054</v>
      </c>
    </row>
    <row r="56" spans="1:8">
      <c r="A56" t="str">
        <f t="shared" si="1"/>
        <v xml:space="preserve">BEER_GEN | FARMHOUSE_ALE &gt; GRISETTE | </v>
      </c>
      <c r="B56" t="s">
        <v>1844</v>
      </c>
      <c r="C56" t="str">
        <f t="shared" si="0"/>
        <v>FARMHOUSE_ALE &gt; GRISETTE</v>
      </c>
      <c r="D56" t="s">
        <v>5668</v>
      </c>
      <c r="F56">
        <v>3055</v>
      </c>
    </row>
    <row r="57" spans="1:8">
      <c r="A57" t="str">
        <f t="shared" si="1"/>
        <v xml:space="preserve">BEER_GEN | FARMHOUSE_ALE &gt; KORNØL | </v>
      </c>
      <c r="B57" t="s">
        <v>1844</v>
      </c>
      <c r="C57" t="str">
        <f t="shared" si="0"/>
        <v>FARMHOUSE_ALE &gt; KORNØL</v>
      </c>
      <c r="D57" t="s">
        <v>5669</v>
      </c>
      <c r="F57">
        <v>3056</v>
      </c>
    </row>
    <row r="58" spans="1:8">
      <c r="A58" t="str">
        <f t="shared" si="1"/>
        <v xml:space="preserve">BEER_GEN | FARMHOUSE_ALE &gt; OTHER | </v>
      </c>
      <c r="B58" t="s">
        <v>1844</v>
      </c>
      <c r="C58" t="str">
        <f t="shared" si="0"/>
        <v>FARMHOUSE_ALE &gt; OTHER</v>
      </c>
      <c r="D58" t="s">
        <v>5670</v>
      </c>
      <c r="F58">
        <v>3057</v>
      </c>
    </row>
    <row r="59" spans="1:8">
      <c r="A59" t="str">
        <f t="shared" si="1"/>
        <v xml:space="preserve">BEER_GEN | FARMHOUSE_ALE &gt; SAHTI | </v>
      </c>
      <c r="B59" t="s">
        <v>1844</v>
      </c>
      <c r="C59" t="str">
        <f t="shared" si="0"/>
        <v>FARMHOUSE_ALE &gt; SAHTI</v>
      </c>
      <c r="D59" t="s">
        <v>5671</v>
      </c>
      <c r="F59">
        <v>3058</v>
      </c>
    </row>
    <row r="60" spans="1:8">
      <c r="A60" t="str">
        <f t="shared" si="1"/>
        <v xml:space="preserve">BEER_GEN | FARMHOUSE_ALE &gt; SAISON | </v>
      </c>
      <c r="B60" t="s">
        <v>1844</v>
      </c>
      <c r="C60" t="str">
        <f t="shared" si="0"/>
        <v>FARMHOUSE_ALE &gt; SAISON</v>
      </c>
      <c r="D60" t="s">
        <v>5672</v>
      </c>
      <c r="F60">
        <v>3059</v>
      </c>
    </row>
    <row r="61" spans="1:8">
      <c r="A61" t="str">
        <f t="shared" si="1"/>
        <v xml:space="preserve">BEER_GEN | FESTBIER | </v>
      </c>
      <c r="B61" t="s">
        <v>1844</v>
      </c>
      <c r="C61" t="str">
        <f t="shared" si="0"/>
        <v>FESTBIER</v>
      </c>
      <c r="D61" t="s">
        <v>5590</v>
      </c>
      <c r="F61">
        <v>3060</v>
      </c>
    </row>
    <row r="62" spans="1:8">
      <c r="A62" t="str">
        <f t="shared" si="1"/>
        <v xml:space="preserve">BEER_GEN | FLAVORED_MALT_BEVERAGE | </v>
      </c>
      <c r="B62" t="s">
        <v>1844</v>
      </c>
      <c r="C62" t="str">
        <f t="shared" si="0"/>
        <v>FLAVORED_MALT_BEVERAGE</v>
      </c>
      <c r="D62" t="s">
        <v>5591</v>
      </c>
      <c r="F62">
        <v>3061</v>
      </c>
    </row>
    <row r="63" spans="1:8">
      <c r="A63" t="str">
        <f t="shared" si="1"/>
        <v xml:space="preserve">BEER_GEN | FREEZE-DISTILLED_BEER | </v>
      </c>
      <c r="B63" t="s">
        <v>1844</v>
      </c>
      <c r="C63" t="str">
        <f t="shared" ref="C63:C126" si="2">_xlfn.TEXTJOIN(";",TRUE,D63,H63:N63)</f>
        <v>FREEZE-DISTILLED_BEER</v>
      </c>
      <c r="D63" t="s">
        <v>5592</v>
      </c>
      <c r="F63">
        <v>3062</v>
      </c>
    </row>
    <row r="64" spans="1:8">
      <c r="A64" t="str">
        <f t="shared" si="1"/>
        <v xml:space="preserve">BEER_GEN | FRUIT_BEER | </v>
      </c>
      <c r="B64" t="s">
        <v>1844</v>
      </c>
      <c r="C64" t="str">
        <f t="shared" si="2"/>
        <v>FRUIT_BEER;RUBY;CHERRY;GRAPEFRUIT;PASSION;RASPBERRY;PEACH</v>
      </c>
      <c r="D64" t="s">
        <v>5593</v>
      </c>
      <c r="F64">
        <v>3063</v>
      </c>
      <c r="H64" t="s">
        <v>6357</v>
      </c>
    </row>
    <row r="65" spans="1:6">
      <c r="A65" t="str">
        <f t="shared" si="1"/>
        <v xml:space="preserve">BEER_GEN | GLUTEN-FREE | </v>
      </c>
      <c r="B65" t="s">
        <v>1844</v>
      </c>
      <c r="C65" t="str">
        <f t="shared" si="2"/>
        <v>GLUTEN-FREE</v>
      </c>
      <c r="D65" t="s">
        <v>5594</v>
      </c>
      <c r="F65">
        <v>3064</v>
      </c>
    </row>
    <row r="66" spans="1:6">
      <c r="A66" t="str">
        <f t="shared" si="1"/>
        <v xml:space="preserve">BEER_GEN | GOLDEN_ALE &gt; UKRAINIAN | </v>
      </c>
      <c r="B66" t="s">
        <v>1844</v>
      </c>
      <c r="C66" t="str">
        <f t="shared" si="2"/>
        <v>GOLDEN_ALE &gt; UKRAINIAN</v>
      </c>
      <c r="D66" t="s">
        <v>5673</v>
      </c>
      <c r="F66">
        <v>3065</v>
      </c>
    </row>
    <row r="67" spans="1:6">
      <c r="A67" t="str">
        <f t="shared" ref="A67:A130" si="3">B67&amp;" | "&amp;D67&amp;" | "&amp;E67</f>
        <v xml:space="preserve">BEER_GEN | GRAPE_ALE &gt; ITALIAN | </v>
      </c>
      <c r="B67" t="s">
        <v>1844</v>
      </c>
      <c r="C67" t="str">
        <f t="shared" si="2"/>
        <v>GRAPE_ALE &gt; ITALIAN</v>
      </c>
      <c r="D67" t="s">
        <v>5674</v>
      </c>
      <c r="F67">
        <v>3066</v>
      </c>
    </row>
    <row r="68" spans="1:6">
      <c r="A68" t="str">
        <f t="shared" si="3"/>
        <v xml:space="preserve">BEER_GEN | GRAPE_ALE &gt; OTHER | </v>
      </c>
      <c r="B68" t="s">
        <v>1844</v>
      </c>
      <c r="C68" t="str">
        <f t="shared" si="2"/>
        <v>GRAPE_ALE &gt; OTHER</v>
      </c>
      <c r="D68" t="s">
        <v>5675</v>
      </c>
      <c r="F68">
        <v>3067</v>
      </c>
    </row>
    <row r="69" spans="1:6">
      <c r="A69" t="str">
        <f t="shared" si="3"/>
        <v xml:space="preserve">BEER_GEN | GRODZISKIE_/_GRATZER | </v>
      </c>
      <c r="B69" t="s">
        <v>1844</v>
      </c>
      <c r="C69" t="str">
        <f t="shared" si="2"/>
        <v>GRODZISKIE_/_GRATZER</v>
      </c>
      <c r="D69" t="s">
        <v>5595</v>
      </c>
      <c r="F69">
        <v>3068</v>
      </c>
    </row>
    <row r="70" spans="1:6">
      <c r="A70" t="str">
        <f t="shared" si="3"/>
        <v xml:space="preserve">BEER_GEN | HAPPOSHU | </v>
      </c>
      <c r="B70" t="s">
        <v>1844</v>
      </c>
      <c r="C70" t="str">
        <f t="shared" si="2"/>
        <v>HAPPOSHU</v>
      </c>
      <c r="D70" t="s">
        <v>5596</v>
      </c>
      <c r="F70">
        <v>3069</v>
      </c>
    </row>
    <row r="71" spans="1:6">
      <c r="A71" t="str">
        <f t="shared" si="3"/>
        <v xml:space="preserve">BEER_GEN | HARD_GINGER_BEER | </v>
      </c>
      <c r="B71" t="s">
        <v>1844</v>
      </c>
      <c r="C71" t="str">
        <f t="shared" si="2"/>
        <v>HARD_GINGER_BEER</v>
      </c>
      <c r="D71" t="s">
        <v>5597</v>
      </c>
      <c r="F71">
        <v>3070</v>
      </c>
    </row>
    <row r="72" spans="1:6">
      <c r="A72" t="str">
        <f t="shared" si="3"/>
        <v xml:space="preserve">BEER_GEN | HARD_KOMBUCHA_/_JUN | </v>
      </c>
      <c r="B72" t="s">
        <v>1844</v>
      </c>
      <c r="C72" t="str">
        <f t="shared" si="2"/>
        <v>HARD_KOMBUCHA_/_JUN</v>
      </c>
      <c r="D72" t="s">
        <v>5598</v>
      </c>
      <c r="F72">
        <v>3071</v>
      </c>
    </row>
    <row r="73" spans="1:6">
      <c r="A73" t="str">
        <f t="shared" si="3"/>
        <v xml:space="preserve">BEER_GEN | HARD_SELTZER | </v>
      </c>
      <c r="B73" t="s">
        <v>1844</v>
      </c>
      <c r="C73" t="str">
        <f t="shared" si="2"/>
        <v>HARD_SELTZER</v>
      </c>
      <c r="D73" t="s">
        <v>5599</v>
      </c>
      <c r="F73">
        <v>3072</v>
      </c>
    </row>
    <row r="74" spans="1:6">
      <c r="A74" t="str">
        <f t="shared" si="3"/>
        <v xml:space="preserve">BEER_GEN | HISTORICAL_BEER &gt; ADAMBIER | </v>
      </c>
      <c r="B74" t="s">
        <v>1844</v>
      </c>
      <c r="C74" t="str">
        <f t="shared" si="2"/>
        <v>HISTORICAL_BEER &gt; ADAMBIER</v>
      </c>
      <c r="D74" t="s">
        <v>5676</v>
      </c>
      <c r="F74">
        <v>3073</v>
      </c>
    </row>
    <row r="75" spans="1:6">
      <c r="A75" t="str">
        <f t="shared" si="3"/>
        <v xml:space="preserve">BEER_GEN | HISTORICAL_BEER &gt; BERLINER_BRAUNBIER | </v>
      </c>
      <c r="B75" t="s">
        <v>1844</v>
      </c>
      <c r="C75" t="str">
        <f t="shared" si="2"/>
        <v>HISTORICAL_BEER &gt; BERLINER_BRAUNBIER</v>
      </c>
      <c r="D75" t="s">
        <v>5677</v>
      </c>
      <c r="F75">
        <v>3074</v>
      </c>
    </row>
    <row r="76" spans="1:6">
      <c r="A76" t="str">
        <f t="shared" si="3"/>
        <v xml:space="preserve">BEER_GEN | HISTORICAL_BEER &gt; BROYHAN | </v>
      </c>
      <c r="B76" t="s">
        <v>1844</v>
      </c>
      <c r="C76" t="str">
        <f t="shared" si="2"/>
        <v>HISTORICAL_BEER &gt; BROYHAN</v>
      </c>
      <c r="D76" t="s">
        <v>5678</v>
      </c>
      <c r="F76">
        <v>3075</v>
      </c>
    </row>
    <row r="77" spans="1:6">
      <c r="A77" t="str">
        <f t="shared" si="3"/>
        <v xml:space="preserve">BEER_GEN | HISTORICAL_BEER &gt; BURTON_ALE | </v>
      </c>
      <c r="B77" t="s">
        <v>1844</v>
      </c>
      <c r="C77" t="str">
        <f t="shared" si="2"/>
        <v>HISTORICAL_BEER &gt; BURTON_ALE</v>
      </c>
      <c r="D77" t="s">
        <v>5679</v>
      </c>
      <c r="F77">
        <v>3076</v>
      </c>
    </row>
    <row r="78" spans="1:6">
      <c r="A78" t="str">
        <f t="shared" si="3"/>
        <v xml:space="preserve">BEER_GEN | HISTORICAL_BEER &gt; DAMPFBIER | </v>
      </c>
      <c r="B78" t="s">
        <v>1844</v>
      </c>
      <c r="C78" t="str">
        <f t="shared" si="2"/>
        <v>HISTORICAL_BEER &gt; DAMPFBIER</v>
      </c>
      <c r="D78" t="s">
        <v>5680</v>
      </c>
      <c r="F78">
        <v>3077</v>
      </c>
    </row>
    <row r="79" spans="1:6">
      <c r="A79" t="str">
        <f t="shared" si="3"/>
        <v xml:space="preserve">BEER_GEN | HISTORICAL_BEER &gt; GRUIT_/_ANCIENT_HERBED_ALE | </v>
      </c>
      <c r="B79" t="s">
        <v>1844</v>
      </c>
      <c r="C79" t="str">
        <f t="shared" si="2"/>
        <v>HISTORICAL_BEER &gt; GRUIT_/_ANCIENT_HERBED_ALE</v>
      </c>
      <c r="D79" t="s">
        <v>5681</v>
      </c>
      <c r="F79">
        <v>3078</v>
      </c>
    </row>
    <row r="80" spans="1:6">
      <c r="A80" t="str">
        <f t="shared" si="3"/>
        <v xml:space="preserve">BEER_GEN | HISTORICAL_BEER &gt; KENTUCKY_COMMON | </v>
      </c>
      <c r="B80" t="s">
        <v>1844</v>
      </c>
      <c r="C80" t="str">
        <f t="shared" si="2"/>
        <v>HISTORICAL_BEER &gt; KENTUCKY_COMMON</v>
      </c>
      <c r="D80" t="s">
        <v>5682</v>
      </c>
      <c r="F80">
        <v>3079</v>
      </c>
    </row>
    <row r="81" spans="1:6">
      <c r="A81" t="str">
        <f t="shared" si="3"/>
        <v xml:space="preserve">BEER_GEN | HISTORICAL_BEER &gt; KOTTBUSSER | </v>
      </c>
      <c r="B81" t="s">
        <v>1844</v>
      </c>
      <c r="C81" t="str">
        <f t="shared" si="2"/>
        <v>HISTORICAL_BEER &gt; KOTTBUSSER</v>
      </c>
      <c r="D81" t="s">
        <v>5683</v>
      </c>
      <c r="F81">
        <v>3080</v>
      </c>
    </row>
    <row r="82" spans="1:6">
      <c r="A82" t="str">
        <f t="shared" si="3"/>
        <v xml:space="preserve">BEER_GEN | HISTORICAL_BEER &gt; KUIT_/_KUYT_/_KOYT | </v>
      </c>
      <c r="B82" t="s">
        <v>1844</v>
      </c>
      <c r="C82" t="str">
        <f t="shared" si="2"/>
        <v>HISTORICAL_BEER &gt; KUIT_/_KUYT_/_KOYT</v>
      </c>
      <c r="D82" t="s">
        <v>5684</v>
      </c>
      <c r="F82">
        <v>3081</v>
      </c>
    </row>
    <row r="83" spans="1:6">
      <c r="A83" t="str">
        <f t="shared" si="3"/>
        <v xml:space="preserve">BEER_GEN | HISTORICAL_BEER &gt; LICHTENHAINER | </v>
      </c>
      <c r="B83" t="s">
        <v>1844</v>
      </c>
      <c r="C83" t="str">
        <f t="shared" si="2"/>
        <v>HISTORICAL_BEER &gt; LICHTENHAINER</v>
      </c>
      <c r="D83" t="s">
        <v>5685</v>
      </c>
      <c r="F83">
        <v>3082</v>
      </c>
    </row>
    <row r="84" spans="1:6">
      <c r="A84" t="str">
        <f t="shared" si="3"/>
        <v xml:space="preserve">BEER_GEN | HISTORICAL_BEER &gt; MUMME | </v>
      </c>
      <c r="B84" t="s">
        <v>1844</v>
      </c>
      <c r="C84" t="str">
        <f t="shared" si="2"/>
        <v>HISTORICAL_BEER &gt; MUMME</v>
      </c>
      <c r="D84" t="s">
        <v>5686</v>
      </c>
      <c r="F84">
        <v>3083</v>
      </c>
    </row>
    <row r="85" spans="1:6">
      <c r="A85" t="str">
        <f t="shared" si="3"/>
        <v xml:space="preserve">BEER_GEN | HISTORICAL_BEER &gt; OTHER | </v>
      </c>
      <c r="B85" t="s">
        <v>1844</v>
      </c>
      <c r="C85" t="str">
        <f t="shared" si="2"/>
        <v>HISTORICAL_BEER &gt; OTHER</v>
      </c>
      <c r="D85" t="s">
        <v>5687</v>
      </c>
      <c r="F85">
        <v>3084</v>
      </c>
    </row>
    <row r="86" spans="1:6">
      <c r="A86" t="str">
        <f t="shared" si="3"/>
        <v xml:space="preserve">BEER_GEN | HISTORICAL_BEER &gt; STEINBIER | </v>
      </c>
      <c r="B86" t="s">
        <v>1844</v>
      </c>
      <c r="C86" t="str">
        <f t="shared" si="2"/>
        <v>HISTORICAL_BEER &gt; STEINBIER</v>
      </c>
      <c r="D86" t="s">
        <v>5688</v>
      </c>
      <c r="F86">
        <v>3085</v>
      </c>
    </row>
    <row r="87" spans="1:6">
      <c r="A87" t="str">
        <f t="shared" si="3"/>
        <v xml:space="preserve">BEER_GEN | HISTORICAL_BEER &gt; ZOIGL | </v>
      </c>
      <c r="B87" t="s">
        <v>1844</v>
      </c>
      <c r="C87" t="str">
        <f t="shared" si="2"/>
        <v>HISTORICAL_BEER &gt; ZOIGL</v>
      </c>
      <c r="D87" t="s">
        <v>5689</v>
      </c>
      <c r="F87">
        <v>3086</v>
      </c>
    </row>
    <row r="88" spans="1:6">
      <c r="A88" t="str">
        <f t="shared" si="3"/>
        <v xml:space="preserve">BEER_GEN | MAZOUT | </v>
      </c>
      <c r="B88" t="s">
        <v>1844</v>
      </c>
      <c r="C88" t="str">
        <f t="shared" si="2"/>
        <v>MAZOUT</v>
      </c>
      <c r="D88" t="s">
        <v>123</v>
      </c>
      <c r="F88">
        <v>3087</v>
      </c>
    </row>
    <row r="89" spans="1:6">
      <c r="A89" t="str">
        <f t="shared" si="3"/>
        <v xml:space="preserve">BEER_GEN | HONEY_BEER | </v>
      </c>
      <c r="B89" t="s">
        <v>1844</v>
      </c>
      <c r="C89" t="str">
        <f t="shared" si="2"/>
        <v>HONEY_BEER</v>
      </c>
      <c r="D89" t="s">
        <v>5600</v>
      </c>
      <c r="F89">
        <v>3088</v>
      </c>
    </row>
    <row r="90" spans="1:6">
      <c r="A90" t="str">
        <f t="shared" si="3"/>
        <v xml:space="preserve">BEER_GEN | IPA &gt; AMERICAN | </v>
      </c>
      <c r="B90" t="s">
        <v>1844</v>
      </c>
      <c r="C90" t="str">
        <f t="shared" si="2"/>
        <v>IPA &gt; AMERICAN</v>
      </c>
      <c r="D90" t="s">
        <v>5690</v>
      </c>
      <c r="F90">
        <v>3089</v>
      </c>
    </row>
    <row r="91" spans="1:6">
      <c r="A91" t="str">
        <f t="shared" si="3"/>
        <v xml:space="preserve">BEER_GEN | IPA &gt; BELGIAN | </v>
      </c>
      <c r="B91" t="s">
        <v>1844</v>
      </c>
      <c r="C91" t="str">
        <f t="shared" si="2"/>
        <v>IPA &gt; BELGIAN</v>
      </c>
      <c r="D91" t="s">
        <v>5691</v>
      </c>
      <c r="F91">
        <v>3090</v>
      </c>
    </row>
    <row r="92" spans="1:6">
      <c r="A92" t="str">
        <f t="shared" si="3"/>
        <v xml:space="preserve">BEER_GEN | IPA &gt; BLACK_/_CASCADIAN_DARK_ALE | </v>
      </c>
      <c r="B92" t="s">
        <v>1844</v>
      </c>
      <c r="C92" t="str">
        <f t="shared" si="2"/>
        <v>IPA &gt; BLACK_/_CASCADIAN_DARK_ALE</v>
      </c>
      <c r="D92" t="s">
        <v>5692</v>
      </c>
      <c r="F92">
        <v>3091</v>
      </c>
    </row>
    <row r="93" spans="1:6">
      <c r="A93" t="str">
        <f t="shared" si="3"/>
        <v xml:space="preserve">BEER_GEN | IPA &gt; BRETT | </v>
      </c>
      <c r="B93" t="s">
        <v>1844</v>
      </c>
      <c r="C93" t="str">
        <f t="shared" si="2"/>
        <v>IPA &gt; BRETT</v>
      </c>
      <c r="D93" t="s">
        <v>5693</v>
      </c>
      <c r="F93">
        <v>3092</v>
      </c>
    </row>
    <row r="94" spans="1:6">
      <c r="A94" t="str">
        <f t="shared" si="3"/>
        <v xml:space="preserve">BEER_GEN | IPA &gt; BROWN | </v>
      </c>
      <c r="B94" t="s">
        <v>1844</v>
      </c>
      <c r="C94" t="str">
        <f t="shared" si="2"/>
        <v>IPA &gt; BROWN</v>
      </c>
      <c r="D94" t="s">
        <v>5694</v>
      </c>
      <c r="F94">
        <v>3093</v>
      </c>
    </row>
    <row r="95" spans="1:6">
      <c r="A95" t="str">
        <f t="shared" si="3"/>
        <v xml:space="preserve">BEER_GEN | IPA &gt; BRUT | </v>
      </c>
      <c r="B95" t="s">
        <v>1844</v>
      </c>
      <c r="C95" t="str">
        <f t="shared" si="2"/>
        <v>IPA &gt; BRUT</v>
      </c>
      <c r="D95" t="s">
        <v>5695</v>
      </c>
      <c r="F95">
        <v>3094</v>
      </c>
    </row>
    <row r="96" spans="1:6">
      <c r="A96" t="str">
        <f t="shared" si="3"/>
        <v xml:space="preserve">BEER_GEN | IPA &gt; COLD | </v>
      </c>
      <c r="B96" t="s">
        <v>1844</v>
      </c>
      <c r="C96" t="str">
        <f t="shared" si="2"/>
        <v>IPA &gt; COLD</v>
      </c>
      <c r="D96" t="s">
        <v>5696</v>
      </c>
      <c r="F96">
        <v>3095</v>
      </c>
    </row>
    <row r="97" spans="1:8">
      <c r="A97" t="str">
        <f t="shared" si="3"/>
        <v xml:space="preserve">BEER_GEN | IPA &gt; ENGLISH | </v>
      </c>
      <c r="B97" t="s">
        <v>1844</v>
      </c>
      <c r="C97" t="str">
        <f t="shared" si="2"/>
        <v>IPA &gt; ENGLISH</v>
      </c>
      <c r="D97" t="s">
        <v>5697</v>
      </c>
      <c r="F97">
        <v>3096</v>
      </c>
    </row>
    <row r="98" spans="1:8">
      <c r="A98" t="str">
        <f t="shared" si="3"/>
        <v xml:space="preserve">BEER_GEN | IPA &gt; FARMHOUSE | </v>
      </c>
      <c r="B98" t="s">
        <v>1844</v>
      </c>
      <c r="C98" t="str">
        <f t="shared" si="2"/>
        <v>IPA &gt; FARMHOUSE</v>
      </c>
      <c r="D98" t="s">
        <v>5698</v>
      </c>
      <c r="F98">
        <v>3097</v>
      </c>
    </row>
    <row r="99" spans="1:8">
      <c r="A99" t="str">
        <f t="shared" si="3"/>
        <v xml:space="preserve">BEER_GEN | IPA &gt; FRUITED | </v>
      </c>
      <c r="B99" t="s">
        <v>1844</v>
      </c>
      <c r="C99" t="str">
        <f t="shared" si="2"/>
        <v>IPA &gt; FRUITED</v>
      </c>
      <c r="D99" t="s">
        <v>5699</v>
      </c>
      <c r="F99">
        <v>3098</v>
      </c>
    </row>
    <row r="100" spans="1:8">
      <c r="A100" t="str">
        <f t="shared" si="3"/>
        <v xml:space="preserve">BEER_GEN | IPA &gt; IMPERIAL_/_DOUBLE | </v>
      </c>
      <c r="B100" t="s">
        <v>1844</v>
      </c>
      <c r="C100" t="str">
        <f t="shared" si="2"/>
        <v>IPA &gt; IMPERIAL_/_DOUBLE</v>
      </c>
      <c r="D100" t="s">
        <v>5700</v>
      </c>
      <c r="F100">
        <v>3099</v>
      </c>
    </row>
    <row r="101" spans="1:8">
      <c r="A101" t="str">
        <f t="shared" si="3"/>
        <v xml:space="preserve">BEER_GEN | IPA &gt; IMPERIAL_/_DOUBLE_BLACK | </v>
      </c>
      <c r="B101" t="s">
        <v>1844</v>
      </c>
      <c r="C101" t="str">
        <f t="shared" si="2"/>
        <v>IPA &gt; IMPERIAL_/_DOUBLE_BLACK</v>
      </c>
      <c r="D101" t="s">
        <v>5701</v>
      </c>
      <c r="F101">
        <v>3100</v>
      </c>
    </row>
    <row r="102" spans="1:8">
      <c r="A102" t="str">
        <f t="shared" si="3"/>
        <v xml:space="preserve">BEER_GEN | IPA &gt; IMPERIAL_/_DOUBLE_MILKSHAKE | </v>
      </c>
      <c r="B102" t="s">
        <v>1844</v>
      </c>
      <c r="C102" t="str">
        <f t="shared" si="2"/>
        <v>IPA &gt; IMPERIAL_/_DOUBLE_MILKSHAKE</v>
      </c>
      <c r="D102" t="s">
        <v>5702</v>
      </c>
      <c r="F102">
        <v>3101</v>
      </c>
    </row>
    <row r="103" spans="1:8">
      <c r="A103" t="str">
        <f t="shared" si="3"/>
        <v xml:space="preserve">BEER_GEN | IPA &gt; IMPERIAL_/_DOUBLE_NEW_ENGLAND_/_HAZY | </v>
      </c>
      <c r="B103" t="s">
        <v>1844</v>
      </c>
      <c r="C103" t="str">
        <f t="shared" si="2"/>
        <v>IPA &gt; IMPERIAL_/_DOUBLE_NEW_ENGLAND_/_HAZY</v>
      </c>
      <c r="D103" t="s">
        <v>5703</v>
      </c>
      <c r="F103">
        <v>3102</v>
      </c>
    </row>
    <row r="104" spans="1:8">
      <c r="A104" t="str">
        <f t="shared" si="3"/>
        <v xml:space="preserve">BEER_GEN | IPA &gt; MILKSHAKE | </v>
      </c>
      <c r="B104" t="s">
        <v>1844</v>
      </c>
      <c r="C104" t="str">
        <f t="shared" si="2"/>
        <v>IPA &gt; MILKSHAKE</v>
      </c>
      <c r="D104" t="s">
        <v>5704</v>
      </c>
      <c r="F104">
        <v>3103</v>
      </c>
    </row>
    <row r="105" spans="1:8">
      <c r="A105" t="str">
        <f t="shared" si="3"/>
        <v xml:space="preserve">BEER_GEN | IPA &gt; NEW_ENGLAND_/_HAZY | </v>
      </c>
      <c r="B105" t="s">
        <v>1844</v>
      </c>
      <c r="C105" t="str">
        <f t="shared" si="2"/>
        <v>IPA &gt; NEW_ENGLAND_/_HAZY</v>
      </c>
      <c r="D105" t="s">
        <v>5705</v>
      </c>
      <c r="F105">
        <v>3104</v>
      </c>
    </row>
    <row r="106" spans="1:8">
      <c r="A106" t="str">
        <f t="shared" si="3"/>
        <v xml:space="preserve">BEER_GEN | IPA &gt; NEW_ZEALAND | </v>
      </c>
      <c r="B106" t="s">
        <v>1844</v>
      </c>
      <c r="C106" t="str">
        <f t="shared" si="2"/>
        <v>IPA &gt; NEW_ZEALAND</v>
      </c>
      <c r="D106" t="s">
        <v>5706</v>
      </c>
      <c r="F106">
        <v>3105</v>
      </c>
    </row>
    <row r="107" spans="1:8">
      <c r="A107" t="str">
        <f t="shared" si="3"/>
        <v xml:space="preserve">BEER_GEN | IPA &gt; OTHER | </v>
      </c>
      <c r="B107" t="s">
        <v>1844</v>
      </c>
      <c r="C107" t="str">
        <f t="shared" si="2"/>
        <v>IPA &gt; OTHER;IPA</v>
      </c>
      <c r="D107" t="s">
        <v>5707</v>
      </c>
      <c r="F107">
        <v>3106</v>
      </c>
      <c r="H107" t="s">
        <v>561</v>
      </c>
    </row>
    <row r="108" spans="1:8">
      <c r="A108" t="str">
        <f t="shared" si="3"/>
        <v xml:space="preserve">BEER_GEN | IPA &gt; QUADRUPLE | </v>
      </c>
      <c r="B108" t="s">
        <v>1844</v>
      </c>
      <c r="C108" t="str">
        <f t="shared" si="2"/>
        <v>IPA &gt; QUADRUPLE</v>
      </c>
      <c r="D108" t="s">
        <v>5708</v>
      </c>
      <c r="F108">
        <v>3107</v>
      </c>
    </row>
    <row r="109" spans="1:8">
      <c r="A109" t="str">
        <f t="shared" si="3"/>
        <v xml:space="preserve">BEER_GEN | IPA &gt; RED | </v>
      </c>
      <c r="B109" t="s">
        <v>1844</v>
      </c>
      <c r="C109" t="str">
        <f t="shared" si="2"/>
        <v>IPA &gt; RED</v>
      </c>
      <c r="D109" t="s">
        <v>5709</v>
      </c>
      <c r="F109">
        <v>3108</v>
      </c>
    </row>
    <row r="110" spans="1:8">
      <c r="A110" t="str">
        <f t="shared" si="3"/>
        <v xml:space="preserve">BEER_GEN | IPA &gt; RYE | </v>
      </c>
      <c r="B110" t="s">
        <v>1844</v>
      </c>
      <c r="C110" t="str">
        <f t="shared" si="2"/>
        <v>IPA &gt; RYE</v>
      </c>
      <c r="D110" t="s">
        <v>5710</v>
      </c>
      <c r="F110">
        <v>3109</v>
      </c>
    </row>
    <row r="111" spans="1:8">
      <c r="A111" t="str">
        <f t="shared" si="3"/>
        <v xml:space="preserve">BEER_GEN | IPA &gt; SESSION | </v>
      </c>
      <c r="B111" t="s">
        <v>1844</v>
      </c>
      <c r="C111" t="str">
        <f t="shared" si="2"/>
        <v>IPA &gt; SESSION</v>
      </c>
      <c r="D111" t="s">
        <v>5711</v>
      </c>
      <c r="F111">
        <v>3110</v>
      </c>
    </row>
    <row r="112" spans="1:8">
      <c r="A112" t="str">
        <f t="shared" si="3"/>
        <v xml:space="preserve">BEER_GEN | IPA &gt; SOUR | </v>
      </c>
      <c r="B112" t="s">
        <v>1844</v>
      </c>
      <c r="C112" t="str">
        <f t="shared" si="2"/>
        <v>IPA &gt; SOUR</v>
      </c>
      <c r="D112" t="s">
        <v>5712</v>
      </c>
      <c r="F112">
        <v>3111</v>
      </c>
    </row>
    <row r="113" spans="1:6">
      <c r="A113" t="str">
        <f t="shared" si="3"/>
        <v xml:space="preserve">BEER_GEN | IPA &gt; TRIPLE | </v>
      </c>
      <c r="B113" t="s">
        <v>1844</v>
      </c>
      <c r="C113" t="str">
        <f t="shared" si="2"/>
        <v>IPA &gt; TRIPLE</v>
      </c>
      <c r="D113" t="s">
        <v>5713</v>
      </c>
      <c r="F113">
        <v>3112</v>
      </c>
    </row>
    <row r="114" spans="1:6">
      <c r="A114" t="str">
        <f t="shared" si="3"/>
        <v xml:space="preserve">BEER_GEN | IPA &gt; TRIPLE_NEW_ENGLAND_/_HAZY | </v>
      </c>
      <c r="B114" t="s">
        <v>1844</v>
      </c>
      <c r="C114" t="str">
        <f t="shared" si="2"/>
        <v>IPA &gt; TRIPLE_NEW_ENGLAND_/_HAZY</v>
      </c>
      <c r="D114" t="s">
        <v>5714</v>
      </c>
      <c r="F114">
        <v>3113</v>
      </c>
    </row>
    <row r="115" spans="1:6">
      <c r="A115" t="str">
        <f t="shared" si="3"/>
        <v xml:space="preserve">BEER_GEN | IPA &gt; WHITE_/_WHEAT | </v>
      </c>
      <c r="B115" t="s">
        <v>1844</v>
      </c>
      <c r="C115" t="str">
        <f t="shared" si="2"/>
        <v>IPA &gt; WHITE_/_WHEAT</v>
      </c>
      <c r="D115" t="s">
        <v>5715</v>
      </c>
      <c r="F115">
        <v>3114</v>
      </c>
    </row>
    <row r="116" spans="1:6">
      <c r="A116" t="str">
        <f t="shared" si="3"/>
        <v xml:space="preserve">BEER_GEN | KELLERBIER_/_ZWICKELBIER | </v>
      </c>
      <c r="B116" t="s">
        <v>1844</v>
      </c>
      <c r="C116" t="str">
        <f t="shared" si="2"/>
        <v>KELLERBIER_/_ZWICKELBIER</v>
      </c>
      <c r="D116" t="s">
        <v>5601</v>
      </c>
      <c r="F116">
        <v>3115</v>
      </c>
    </row>
    <row r="117" spans="1:6">
      <c r="A117" t="str">
        <f t="shared" si="3"/>
        <v xml:space="preserve">BEER_GEN | KOJI_/_GINJO_BEER | </v>
      </c>
      <c r="B117" t="s">
        <v>1844</v>
      </c>
      <c r="C117" t="str">
        <f t="shared" si="2"/>
        <v>KOJI_/_GINJO_BEER</v>
      </c>
      <c r="D117" t="s">
        <v>5602</v>
      </c>
      <c r="F117">
        <v>3116</v>
      </c>
    </row>
    <row r="118" spans="1:6">
      <c r="A118" t="str">
        <f t="shared" si="3"/>
        <v xml:space="preserve">BEER_GEN | KOLSCH | </v>
      </c>
      <c r="B118" t="s">
        <v>1844</v>
      </c>
      <c r="C118" t="str">
        <f t="shared" si="2"/>
        <v>KOLSCH</v>
      </c>
      <c r="D118" t="s">
        <v>1000</v>
      </c>
      <c r="F118">
        <v>3117</v>
      </c>
    </row>
    <row r="119" spans="1:6">
      <c r="A119" t="str">
        <f t="shared" si="3"/>
        <v xml:space="preserve">BEER_GEN | KVASS | </v>
      </c>
      <c r="B119" t="s">
        <v>1844</v>
      </c>
      <c r="C119" t="str">
        <f t="shared" si="2"/>
        <v>KVASS</v>
      </c>
      <c r="D119" t="s">
        <v>5603</v>
      </c>
      <c r="F119">
        <v>3118</v>
      </c>
    </row>
    <row r="120" spans="1:6">
      <c r="A120" t="str">
        <f t="shared" si="3"/>
        <v xml:space="preserve">BEER_GEN | LAGER &gt; AMBER_/_RED | </v>
      </c>
      <c r="B120" t="s">
        <v>1844</v>
      </c>
      <c r="C120" t="str">
        <f t="shared" si="2"/>
        <v>LAGER &gt; AMBER_/_RED</v>
      </c>
      <c r="D120" t="s">
        <v>5716</v>
      </c>
      <c r="F120">
        <v>3119</v>
      </c>
    </row>
    <row r="121" spans="1:6">
      <c r="A121" t="str">
        <f t="shared" si="3"/>
        <v xml:space="preserve">BEER_GEN | LAGER &gt; AMERICAN | </v>
      </c>
      <c r="B121" t="s">
        <v>1844</v>
      </c>
      <c r="C121" t="str">
        <f t="shared" si="2"/>
        <v>LAGER &gt; AMERICAN</v>
      </c>
      <c r="D121" t="s">
        <v>5717</v>
      </c>
      <c r="F121">
        <v>3120</v>
      </c>
    </row>
    <row r="122" spans="1:6">
      <c r="A122" t="str">
        <f t="shared" si="3"/>
        <v xml:space="preserve">BEER_GEN | LAGER &gt; AMERICAN_AMBER_/_RED | </v>
      </c>
      <c r="B122" t="s">
        <v>1844</v>
      </c>
      <c r="C122" t="str">
        <f t="shared" si="2"/>
        <v>LAGER &gt; AMERICAN_AMBER_/_RED</v>
      </c>
      <c r="D122" t="s">
        <v>5718</v>
      </c>
      <c r="F122">
        <v>3121</v>
      </c>
    </row>
    <row r="123" spans="1:6">
      <c r="A123" t="str">
        <f t="shared" si="3"/>
        <v xml:space="preserve">BEER_GEN | LAGER &gt; AMERICAN_LIGHT | </v>
      </c>
      <c r="B123" t="s">
        <v>1844</v>
      </c>
      <c r="C123" t="str">
        <f t="shared" si="2"/>
        <v>LAGER &gt; AMERICAN_LIGHT</v>
      </c>
      <c r="D123" t="s">
        <v>5719</v>
      </c>
      <c r="F123">
        <v>3122</v>
      </c>
    </row>
    <row r="124" spans="1:6">
      <c r="A124" t="str">
        <f t="shared" si="3"/>
        <v xml:space="preserve">BEER_GEN | LAGER &gt; AMERICAN_PRE-PROHIBITION | </v>
      </c>
      <c r="B124" t="s">
        <v>1844</v>
      </c>
      <c r="C124" t="str">
        <f t="shared" si="2"/>
        <v>LAGER &gt; AMERICAN_PRE-PROHIBITION</v>
      </c>
      <c r="D124" t="s">
        <v>5720</v>
      </c>
      <c r="F124">
        <v>3123</v>
      </c>
    </row>
    <row r="125" spans="1:6">
      <c r="A125" t="str">
        <f t="shared" si="3"/>
        <v xml:space="preserve">BEER_GEN | LAGER &gt; DARK | </v>
      </c>
      <c r="B125" t="s">
        <v>1844</v>
      </c>
      <c r="C125" t="str">
        <f t="shared" si="2"/>
        <v>LAGER &gt; DARK</v>
      </c>
      <c r="D125" t="s">
        <v>5721</v>
      </c>
      <c r="F125">
        <v>3124</v>
      </c>
    </row>
    <row r="126" spans="1:6">
      <c r="A126" t="str">
        <f t="shared" si="3"/>
        <v xml:space="preserve">BEER_GEN | LAGER &gt; DORTMUNDER_/_EXPORT | </v>
      </c>
      <c r="B126" t="s">
        <v>1844</v>
      </c>
      <c r="C126" t="str">
        <f t="shared" si="2"/>
        <v>LAGER &gt; DORTMUNDER_/_EXPORT</v>
      </c>
      <c r="D126" t="s">
        <v>5722</v>
      </c>
      <c r="F126">
        <v>3125</v>
      </c>
    </row>
    <row r="127" spans="1:6">
      <c r="A127" t="str">
        <f t="shared" si="3"/>
        <v xml:space="preserve">BEER_GEN | LAGER &gt; HELLES | </v>
      </c>
      <c r="B127" t="s">
        <v>1844</v>
      </c>
      <c r="C127" t="str">
        <f t="shared" ref="C127:C190" si="4">_xlfn.TEXTJOIN(";",TRUE,D127,H127:N127)</f>
        <v>LAGER &gt; HELLES</v>
      </c>
      <c r="D127" t="s">
        <v>5723</v>
      </c>
      <c r="F127">
        <v>3126</v>
      </c>
    </row>
    <row r="128" spans="1:6">
      <c r="A128" t="str">
        <f t="shared" si="3"/>
        <v xml:space="preserve">BEER_GEN | LAGER &gt; IPL_(INDIA_PALE_LAGER) | </v>
      </c>
      <c r="B128" t="s">
        <v>1844</v>
      </c>
      <c r="C128" t="str">
        <f t="shared" si="4"/>
        <v>LAGER &gt; IPL_(INDIA_PALE_LAGER)</v>
      </c>
      <c r="D128" t="s">
        <v>5724</v>
      </c>
      <c r="F128">
        <v>3127</v>
      </c>
    </row>
    <row r="129" spans="1:8">
      <c r="A129" t="str">
        <f t="shared" si="3"/>
        <v xml:space="preserve">BEER_GEN | LAGER &gt; JAPANESE_RICE | </v>
      </c>
      <c r="B129" t="s">
        <v>1844</v>
      </c>
      <c r="C129" t="str">
        <f t="shared" si="4"/>
        <v>LAGER &gt; JAPANESE_RICE</v>
      </c>
      <c r="D129" t="s">
        <v>5725</v>
      </c>
      <c r="F129">
        <v>3128</v>
      </c>
    </row>
    <row r="130" spans="1:8">
      <c r="A130" t="str">
        <f t="shared" si="3"/>
        <v xml:space="preserve">BEER_GEN | LAGER &gt; LEICHTBIER | </v>
      </c>
      <c r="B130" t="s">
        <v>1844</v>
      </c>
      <c r="C130" t="str">
        <f t="shared" si="4"/>
        <v>LAGER &gt; LEICHTBIER</v>
      </c>
      <c r="D130" t="s">
        <v>5726</v>
      </c>
      <c r="F130">
        <v>3129</v>
      </c>
    </row>
    <row r="131" spans="1:8">
      <c r="A131" t="str">
        <f t="shared" ref="A131:A194" si="5">B131&amp;" | "&amp;D131&amp;" | "&amp;E131</f>
        <v xml:space="preserve">BEER_GEN | LAGER &gt; MEXICAN | </v>
      </c>
      <c r="B131" t="s">
        <v>1844</v>
      </c>
      <c r="C131" t="str">
        <f t="shared" si="4"/>
        <v>LAGER &gt; MEXICAN</v>
      </c>
      <c r="D131" t="s">
        <v>5727</v>
      </c>
      <c r="F131">
        <v>3130</v>
      </c>
    </row>
    <row r="132" spans="1:8">
      <c r="A132" t="str">
        <f t="shared" si="5"/>
        <v xml:space="preserve">BEER_GEN | LAGER &gt; MUNICH_DUNKEL | </v>
      </c>
      <c r="B132" t="s">
        <v>1844</v>
      </c>
      <c r="C132" t="str">
        <f t="shared" si="4"/>
        <v>LAGER &gt; MUNICH_DUNKEL</v>
      </c>
      <c r="D132" t="s">
        <v>5728</v>
      </c>
      <c r="F132">
        <v>3131</v>
      </c>
    </row>
    <row r="133" spans="1:8">
      <c r="A133" t="str">
        <f t="shared" si="5"/>
        <v xml:space="preserve">BEER_GEN | LAGER &gt; OTHER | </v>
      </c>
      <c r="B133" t="s">
        <v>1844</v>
      </c>
      <c r="C133" t="str">
        <f t="shared" si="4"/>
        <v>LAGER &gt; OTHER;LAGER</v>
      </c>
      <c r="D133" t="s">
        <v>5729</v>
      </c>
      <c r="F133">
        <v>3132</v>
      </c>
      <c r="H133" t="s">
        <v>900</v>
      </c>
    </row>
    <row r="134" spans="1:8">
      <c r="A134" t="str">
        <f t="shared" si="5"/>
        <v xml:space="preserve">BEER_GEN | LAGER &gt; PALE | </v>
      </c>
      <c r="B134" t="s">
        <v>1844</v>
      </c>
      <c r="C134" t="str">
        <f t="shared" si="4"/>
        <v>LAGER &gt; PALE</v>
      </c>
      <c r="D134" t="s">
        <v>5730</v>
      </c>
      <c r="F134">
        <v>3133</v>
      </c>
    </row>
    <row r="135" spans="1:8">
      <c r="A135" t="str">
        <f t="shared" si="5"/>
        <v xml:space="preserve">BEER_GEN | LAGER &gt; POLOTMAVE_(CZECH_AMBER) | </v>
      </c>
      <c r="B135" t="s">
        <v>1844</v>
      </c>
      <c r="C135" t="str">
        <f t="shared" si="4"/>
        <v>LAGER &gt; POLOTMAVE_(CZECH_AMBER)</v>
      </c>
      <c r="D135" t="s">
        <v>5731</v>
      </c>
      <c r="F135">
        <v>3134</v>
      </c>
    </row>
    <row r="136" spans="1:8">
      <c r="A136" t="str">
        <f t="shared" si="5"/>
        <v xml:space="preserve">BEER_GEN | LAGER &gt; ROTBIER | </v>
      </c>
      <c r="B136" t="s">
        <v>1844</v>
      </c>
      <c r="C136" t="str">
        <f t="shared" si="4"/>
        <v>LAGER &gt; ROTBIER</v>
      </c>
      <c r="D136" t="s">
        <v>5732</v>
      </c>
      <c r="F136">
        <v>3135</v>
      </c>
    </row>
    <row r="137" spans="1:8">
      <c r="A137" t="str">
        <f t="shared" si="5"/>
        <v xml:space="preserve">BEER_GEN | LAGER &gt; SMOKED | </v>
      </c>
      <c r="B137" t="s">
        <v>1844</v>
      </c>
      <c r="C137" t="str">
        <f t="shared" si="4"/>
        <v>LAGER &gt; SMOKED</v>
      </c>
      <c r="D137" t="s">
        <v>5733</v>
      </c>
      <c r="F137">
        <v>3136</v>
      </c>
    </row>
    <row r="138" spans="1:8">
      <c r="A138" t="str">
        <f t="shared" si="5"/>
        <v xml:space="preserve">BEER_GEN | LAGER &gt; STRONG | </v>
      </c>
      <c r="B138" t="s">
        <v>1844</v>
      </c>
      <c r="C138" t="str">
        <f t="shared" si="4"/>
        <v>LAGER &gt; STRONG</v>
      </c>
      <c r="D138" t="s">
        <v>5734</v>
      </c>
      <c r="F138">
        <v>3137</v>
      </c>
    </row>
    <row r="139" spans="1:8">
      <c r="A139" t="str">
        <f t="shared" si="5"/>
        <v xml:space="preserve">BEER_GEN | LAGER &gt; SVETLE_(CZECH_PALE) | </v>
      </c>
      <c r="B139" t="s">
        <v>1844</v>
      </c>
      <c r="C139" t="str">
        <f t="shared" si="4"/>
        <v>LAGER &gt; SVETLE_(CZECH_PALE)</v>
      </c>
      <c r="D139" t="s">
        <v>5735</v>
      </c>
      <c r="F139">
        <v>3138</v>
      </c>
    </row>
    <row r="140" spans="1:8">
      <c r="A140" t="str">
        <f t="shared" si="5"/>
        <v xml:space="preserve">BEER_GEN | LAGER &gt; TMAVE_(CZECH_DARK) | </v>
      </c>
      <c r="B140" t="s">
        <v>1844</v>
      </c>
      <c r="C140" t="str">
        <f t="shared" si="4"/>
        <v>LAGER &gt; TMAVE_(CZECH_DARK)</v>
      </c>
      <c r="D140" t="s">
        <v>5736</v>
      </c>
      <c r="F140">
        <v>3139</v>
      </c>
    </row>
    <row r="141" spans="1:8">
      <c r="A141" t="str">
        <f t="shared" si="5"/>
        <v xml:space="preserve">BEER_GEN | LAGER &gt; VIENNA | </v>
      </c>
      <c r="B141" t="s">
        <v>1844</v>
      </c>
      <c r="C141" t="str">
        <f t="shared" si="4"/>
        <v>LAGER &gt; VIENNA</v>
      </c>
      <c r="D141" t="s">
        <v>5737</v>
      </c>
      <c r="F141">
        <v>3140</v>
      </c>
    </row>
    <row r="142" spans="1:8">
      <c r="A142" t="str">
        <f t="shared" si="5"/>
        <v xml:space="preserve">BEER_GEN | LAGER &gt; WINTER | </v>
      </c>
      <c r="B142" t="s">
        <v>1844</v>
      </c>
      <c r="C142" t="str">
        <f t="shared" si="4"/>
        <v>LAGER &gt; WINTER</v>
      </c>
      <c r="D142" t="s">
        <v>5738</v>
      </c>
      <c r="F142">
        <v>3141</v>
      </c>
    </row>
    <row r="143" spans="1:8">
      <c r="A143" t="str">
        <f t="shared" si="5"/>
        <v xml:space="preserve">BEER_GEN | LAMBIC &gt; FARO | </v>
      </c>
      <c r="B143" t="s">
        <v>1844</v>
      </c>
      <c r="C143" t="str">
        <f t="shared" si="4"/>
        <v>LAMBIC &gt; FARO;LAMBIC_FARO</v>
      </c>
      <c r="D143" t="s">
        <v>5739</v>
      </c>
      <c r="F143">
        <v>3142</v>
      </c>
      <c r="H143" t="s">
        <v>6358</v>
      </c>
    </row>
    <row r="144" spans="1:8">
      <c r="A144" t="str">
        <f t="shared" si="5"/>
        <v xml:space="preserve">BEER_GEN | LAMBIC &gt; FRAMBOISE | </v>
      </c>
      <c r="B144" t="s">
        <v>1844</v>
      </c>
      <c r="C144" t="str">
        <f t="shared" si="4"/>
        <v>LAMBIC &gt; FRAMBOISE</v>
      </c>
      <c r="D144" t="s">
        <v>5740</v>
      </c>
      <c r="F144">
        <v>3143</v>
      </c>
    </row>
    <row r="145" spans="1:8">
      <c r="A145" t="str">
        <f t="shared" si="5"/>
        <v xml:space="preserve">BEER_GEN | LAMBIC &gt; FRUIT | </v>
      </c>
      <c r="B145" t="s">
        <v>1844</v>
      </c>
      <c r="C145" t="str">
        <f t="shared" si="4"/>
        <v>LAMBIC &gt; FRUIT</v>
      </c>
      <c r="D145" t="s">
        <v>5741</v>
      </c>
      <c r="F145">
        <v>3144</v>
      </c>
    </row>
    <row r="146" spans="1:8">
      <c r="A146" t="str">
        <f t="shared" si="5"/>
        <v xml:space="preserve">BEER_GEN | LAMBIC &gt; GUEUZE | </v>
      </c>
      <c r="B146" t="s">
        <v>1844</v>
      </c>
      <c r="C146" t="str">
        <f t="shared" si="4"/>
        <v>LAMBIC &gt; GUEUZE;GUEUZE</v>
      </c>
      <c r="D146" t="s">
        <v>5742</v>
      </c>
      <c r="F146">
        <v>3145</v>
      </c>
      <c r="H146" t="s">
        <v>780</v>
      </c>
    </row>
    <row r="147" spans="1:8">
      <c r="A147" t="str">
        <f t="shared" si="5"/>
        <v xml:space="preserve">BEER_GEN | LAMBIC &gt; KRIEK | </v>
      </c>
      <c r="B147" t="s">
        <v>1844</v>
      </c>
      <c r="C147" t="str">
        <f t="shared" si="4"/>
        <v>LAMBIC &gt; KRIEK</v>
      </c>
      <c r="D147" t="s">
        <v>5743</v>
      </c>
      <c r="F147">
        <v>3146</v>
      </c>
    </row>
    <row r="148" spans="1:8">
      <c r="A148" t="str">
        <f t="shared" si="5"/>
        <v xml:space="preserve">BEER_GEN | LAMBIC &gt; OTHER | </v>
      </c>
      <c r="B148" t="s">
        <v>1844</v>
      </c>
      <c r="C148" t="str">
        <f t="shared" si="4"/>
        <v>LAMBIC &gt; OTHER;LAMBIC</v>
      </c>
      <c r="D148" t="s">
        <v>5744</v>
      </c>
      <c r="F148">
        <v>3147</v>
      </c>
      <c r="H148" t="s">
        <v>5283</v>
      </c>
    </row>
    <row r="149" spans="1:8">
      <c r="A149" t="str">
        <f t="shared" si="5"/>
        <v xml:space="preserve">BEER_GEN | LAMBIC &gt; TRADITIONAL | </v>
      </c>
      <c r="B149" t="s">
        <v>1844</v>
      </c>
      <c r="C149" t="str">
        <f t="shared" si="4"/>
        <v>LAMBIC &gt; TRADITIONAL</v>
      </c>
      <c r="D149" t="s">
        <v>5745</v>
      </c>
      <c r="F149">
        <v>3148</v>
      </c>
    </row>
    <row r="150" spans="1:8">
      <c r="A150" t="str">
        <f t="shared" si="5"/>
        <v xml:space="preserve">BEER_GEN | MAKGEOLLI | </v>
      </c>
      <c r="B150" t="s">
        <v>1844</v>
      </c>
      <c r="C150" t="str">
        <f t="shared" si="4"/>
        <v>MAKGEOLLI</v>
      </c>
      <c r="D150" t="s">
        <v>5604</v>
      </c>
      <c r="F150">
        <v>3149</v>
      </c>
    </row>
    <row r="151" spans="1:8">
      <c r="A151" t="str">
        <f t="shared" si="5"/>
        <v xml:space="preserve">BEER_GEN | MALT_BEER | </v>
      </c>
      <c r="B151" t="s">
        <v>1844</v>
      </c>
      <c r="C151" t="str">
        <f t="shared" si="4"/>
        <v>MALT_BEER</v>
      </c>
      <c r="D151" t="s">
        <v>5605</v>
      </c>
      <c r="F151">
        <v>3150</v>
      </c>
    </row>
    <row r="152" spans="1:8">
      <c r="A152" t="str">
        <f t="shared" si="5"/>
        <v xml:space="preserve">BEER_GEN | MALT_LIQUOR | </v>
      </c>
      <c r="B152" t="s">
        <v>1844</v>
      </c>
      <c r="C152" t="str">
        <f t="shared" si="4"/>
        <v>MALT_LIQUOR</v>
      </c>
      <c r="D152" t="s">
        <v>5606</v>
      </c>
      <c r="F152">
        <v>3151</v>
      </c>
    </row>
    <row r="153" spans="1:8">
      <c r="A153" t="str">
        <f t="shared" si="5"/>
        <v xml:space="preserve">BEER_GEN | MEAD &gt; ACERGLYN_/_MAPLE_WINE | </v>
      </c>
      <c r="B153" t="s">
        <v>1844</v>
      </c>
      <c r="C153" t="str">
        <f t="shared" si="4"/>
        <v>MEAD &gt; ACERGLYN_/_MAPLE_WINE</v>
      </c>
      <c r="D153" t="s">
        <v>5746</v>
      </c>
      <c r="F153">
        <v>3152</v>
      </c>
    </row>
    <row r="154" spans="1:8">
      <c r="A154" t="str">
        <f t="shared" si="5"/>
        <v xml:space="preserve">BEER_GEN | MEAD &gt; BOCHET | </v>
      </c>
      <c r="B154" t="s">
        <v>1844</v>
      </c>
      <c r="C154" t="str">
        <f t="shared" si="4"/>
        <v>MEAD &gt; BOCHET</v>
      </c>
      <c r="D154" t="s">
        <v>5747</v>
      </c>
      <c r="F154">
        <v>3153</v>
      </c>
    </row>
    <row r="155" spans="1:8">
      <c r="A155" t="str">
        <f t="shared" si="5"/>
        <v xml:space="preserve">BEER_GEN | MEAD &gt; BRAGGOT | </v>
      </c>
      <c r="B155" t="s">
        <v>1844</v>
      </c>
      <c r="C155" t="str">
        <f t="shared" si="4"/>
        <v>MEAD &gt; BRAGGOT</v>
      </c>
      <c r="D155" t="s">
        <v>5748</v>
      </c>
      <c r="F155">
        <v>3154</v>
      </c>
    </row>
    <row r="156" spans="1:8">
      <c r="A156" t="str">
        <f t="shared" si="5"/>
        <v xml:space="preserve">BEER_GEN | MEAD &gt; CYSER | </v>
      </c>
      <c r="B156" t="s">
        <v>1844</v>
      </c>
      <c r="C156" t="str">
        <f t="shared" si="4"/>
        <v>MEAD &gt; CYSER</v>
      </c>
      <c r="D156" t="s">
        <v>5749</v>
      </c>
      <c r="F156">
        <v>3155</v>
      </c>
    </row>
    <row r="157" spans="1:8">
      <c r="A157" t="str">
        <f t="shared" si="5"/>
        <v xml:space="preserve">BEER_GEN | MEAD &gt; MELOMEL | </v>
      </c>
      <c r="B157" t="s">
        <v>1844</v>
      </c>
      <c r="C157" t="str">
        <f t="shared" si="4"/>
        <v>MEAD &gt; MELOMEL</v>
      </c>
      <c r="D157" t="s">
        <v>5750</v>
      </c>
      <c r="F157">
        <v>3156</v>
      </c>
    </row>
    <row r="158" spans="1:8">
      <c r="A158" t="str">
        <f t="shared" si="5"/>
        <v xml:space="preserve">BEER_GEN | MEAD &gt; METHEGLIN | </v>
      </c>
      <c r="B158" t="s">
        <v>1844</v>
      </c>
      <c r="C158" t="str">
        <f t="shared" si="4"/>
        <v>MEAD &gt; METHEGLIN</v>
      </c>
      <c r="D158" t="s">
        <v>5751</v>
      </c>
      <c r="F158">
        <v>3157</v>
      </c>
    </row>
    <row r="159" spans="1:8">
      <c r="A159" t="str">
        <f t="shared" si="5"/>
        <v xml:space="preserve">BEER_GEN | MEAD &gt; OTHER | </v>
      </c>
      <c r="B159" t="s">
        <v>1844</v>
      </c>
      <c r="C159" t="str">
        <f t="shared" si="4"/>
        <v>MEAD &gt; OTHER;MEAD</v>
      </c>
      <c r="D159" t="s">
        <v>5752</v>
      </c>
      <c r="F159">
        <v>3158</v>
      </c>
      <c r="H159" t="s">
        <v>6359</v>
      </c>
    </row>
    <row r="160" spans="1:8">
      <c r="A160" t="str">
        <f t="shared" si="5"/>
        <v xml:space="preserve">BEER_GEN | MEAD &gt; PYMENT | </v>
      </c>
      <c r="B160" t="s">
        <v>1844</v>
      </c>
      <c r="C160" t="str">
        <f t="shared" si="4"/>
        <v>MEAD &gt; PYMENT</v>
      </c>
      <c r="D160" t="s">
        <v>5753</v>
      </c>
      <c r="F160">
        <v>3159</v>
      </c>
    </row>
    <row r="161" spans="1:8">
      <c r="A161" t="str">
        <f t="shared" si="5"/>
        <v xml:space="preserve">BEER_GEN | MEAD &gt; SESSION_/_SHORT | </v>
      </c>
      <c r="B161" t="s">
        <v>1844</v>
      </c>
      <c r="C161" t="str">
        <f t="shared" si="4"/>
        <v>MEAD &gt; SESSION_/_SHORT</v>
      </c>
      <c r="D161" t="s">
        <v>5754</v>
      </c>
      <c r="F161">
        <v>3160</v>
      </c>
    </row>
    <row r="162" spans="1:8">
      <c r="A162" t="str">
        <f t="shared" si="5"/>
        <v xml:space="preserve">BEER_GEN | MEAD &gt; TRADITIONAL | </v>
      </c>
      <c r="B162" t="s">
        <v>1844</v>
      </c>
      <c r="C162" t="str">
        <f t="shared" si="4"/>
        <v>MEAD &gt; TRADITIONAL</v>
      </c>
      <c r="D162" t="s">
        <v>5755</v>
      </c>
      <c r="F162">
        <v>3161</v>
      </c>
    </row>
    <row r="163" spans="1:8">
      <c r="A163" t="str">
        <f t="shared" si="5"/>
        <v xml:space="preserve">BEER_GEN | MILD &gt; DARK | </v>
      </c>
      <c r="B163" t="s">
        <v>1844</v>
      </c>
      <c r="C163" t="str">
        <f t="shared" si="4"/>
        <v>MILD &gt; DARK</v>
      </c>
      <c r="D163" t="s">
        <v>5756</v>
      </c>
      <c r="F163">
        <v>3162</v>
      </c>
    </row>
    <row r="164" spans="1:8">
      <c r="A164" t="str">
        <f t="shared" si="5"/>
        <v xml:space="preserve">BEER_GEN | MILD &gt; LIGHT | </v>
      </c>
      <c r="B164" t="s">
        <v>1844</v>
      </c>
      <c r="C164" t="str">
        <f t="shared" si="4"/>
        <v>MILD &gt; LIGHT</v>
      </c>
      <c r="D164" t="s">
        <v>5757</v>
      </c>
      <c r="F164">
        <v>3163</v>
      </c>
    </row>
    <row r="165" spans="1:8">
      <c r="A165" t="str">
        <f t="shared" si="5"/>
        <v xml:space="preserve">BEER_GEN | MILD &gt; OTHER | </v>
      </c>
      <c r="B165" t="s">
        <v>1844</v>
      </c>
      <c r="C165" t="str">
        <f t="shared" si="4"/>
        <v>MILD &gt; OTHER</v>
      </c>
      <c r="D165" t="s">
        <v>5758</v>
      </c>
      <c r="F165">
        <v>3164</v>
      </c>
    </row>
    <row r="166" spans="1:8">
      <c r="A166" t="str">
        <f t="shared" si="5"/>
        <v xml:space="preserve">BEER_GEN | MARZEN | </v>
      </c>
      <c r="B166" t="s">
        <v>1844</v>
      </c>
      <c r="C166" t="str">
        <f t="shared" si="4"/>
        <v>MARZEN</v>
      </c>
      <c r="D166" t="s">
        <v>5607</v>
      </c>
      <c r="F166">
        <v>3165</v>
      </c>
    </row>
    <row r="167" spans="1:8">
      <c r="A167" t="str">
        <f t="shared" si="5"/>
        <v xml:space="preserve">BEER_GEN | OLD_/_STOCK_ALE | </v>
      </c>
      <c r="B167" t="s">
        <v>1844</v>
      </c>
      <c r="C167" t="str">
        <f t="shared" si="4"/>
        <v>OLD_/_STOCK_ALE</v>
      </c>
      <c r="D167" t="s">
        <v>5608</v>
      </c>
      <c r="F167">
        <v>3166</v>
      </c>
    </row>
    <row r="168" spans="1:8">
      <c r="A168" t="str">
        <f t="shared" si="5"/>
        <v xml:space="preserve">BEER_GEN | PALE_ALE &gt; AMERICAN | </v>
      </c>
      <c r="B168" t="s">
        <v>1844</v>
      </c>
      <c r="C168" t="str">
        <f t="shared" si="4"/>
        <v>PALE_ALE &gt; AMERICAN</v>
      </c>
      <c r="D168" t="s">
        <v>5759</v>
      </c>
      <c r="F168">
        <v>3167</v>
      </c>
    </row>
    <row r="169" spans="1:8">
      <c r="A169" t="str">
        <f t="shared" si="5"/>
        <v xml:space="preserve">BEER_GEN | PALE_ALE &gt; AUSTRALIAN | </v>
      </c>
      <c r="B169" t="s">
        <v>1844</v>
      </c>
      <c r="C169" t="str">
        <f t="shared" si="4"/>
        <v>PALE_ALE &gt; AUSTRALIAN</v>
      </c>
      <c r="D169" t="s">
        <v>5760</v>
      </c>
      <c r="F169">
        <v>3168</v>
      </c>
    </row>
    <row r="170" spans="1:8">
      <c r="A170" t="str">
        <f t="shared" si="5"/>
        <v xml:space="preserve">BEER_GEN | PALE_ALE &gt; BELGIAN | </v>
      </c>
      <c r="B170" t="s">
        <v>1844</v>
      </c>
      <c r="C170" t="str">
        <f t="shared" si="4"/>
        <v>PALE_ALE &gt; BELGIAN</v>
      </c>
      <c r="D170" t="s">
        <v>5761</v>
      </c>
      <c r="F170">
        <v>3169</v>
      </c>
    </row>
    <row r="171" spans="1:8">
      <c r="A171" t="str">
        <f t="shared" si="5"/>
        <v xml:space="preserve">BEER_GEN | PALE_ALE &gt; ENGLISH | </v>
      </c>
      <c r="B171" t="s">
        <v>1844</v>
      </c>
      <c r="C171" t="str">
        <f t="shared" si="4"/>
        <v>PALE_ALE &gt; ENGLISH</v>
      </c>
      <c r="D171" t="s">
        <v>5762</v>
      </c>
      <c r="F171">
        <v>3170</v>
      </c>
    </row>
    <row r="172" spans="1:8">
      <c r="A172" t="str">
        <f t="shared" si="5"/>
        <v xml:space="preserve">BEER_GEN | PALE_ALE &gt; FRUITED | </v>
      </c>
      <c r="B172" t="s">
        <v>1844</v>
      </c>
      <c r="C172" t="str">
        <f t="shared" si="4"/>
        <v>PALE_ALE &gt; FRUITED</v>
      </c>
      <c r="D172" t="s">
        <v>5763</v>
      </c>
      <c r="F172">
        <v>3171</v>
      </c>
    </row>
    <row r="173" spans="1:8">
      <c r="A173" t="str">
        <f t="shared" si="5"/>
        <v xml:space="preserve">BEER_GEN | PALE_ALE &gt; MILKSHAKE | </v>
      </c>
      <c r="B173" t="s">
        <v>1844</v>
      </c>
      <c r="C173" t="str">
        <f t="shared" si="4"/>
        <v>PALE_ALE &gt; MILKSHAKE</v>
      </c>
      <c r="D173" t="s">
        <v>5764</v>
      </c>
      <c r="F173">
        <v>3172</v>
      </c>
    </row>
    <row r="174" spans="1:8">
      <c r="A174" t="str">
        <f t="shared" si="5"/>
        <v xml:space="preserve">BEER_GEN | PALE_ALE &gt; NEW_ENGLAND_/_HAZY | </v>
      </c>
      <c r="B174" t="s">
        <v>1844</v>
      </c>
      <c r="C174" t="str">
        <f t="shared" si="4"/>
        <v>PALE_ALE &gt; NEW_ENGLAND_/_HAZY</v>
      </c>
      <c r="D174" t="s">
        <v>5765</v>
      </c>
      <c r="F174">
        <v>3173</v>
      </c>
    </row>
    <row r="175" spans="1:8">
      <c r="A175" t="str">
        <f t="shared" si="5"/>
        <v xml:space="preserve">BEER_GEN | PALE_ALE &gt; NEW_ZEALAND | </v>
      </c>
      <c r="B175" t="s">
        <v>1844</v>
      </c>
      <c r="C175" t="str">
        <f t="shared" si="4"/>
        <v>PALE_ALE &gt; NEW_ZEALAND</v>
      </c>
      <c r="D175" t="s">
        <v>5766</v>
      </c>
      <c r="F175">
        <v>3174</v>
      </c>
    </row>
    <row r="176" spans="1:8">
      <c r="A176" t="str">
        <f t="shared" si="5"/>
        <v xml:space="preserve">BEER_GEN | PALE_ALE &gt; OTHER | </v>
      </c>
      <c r="B176" t="s">
        <v>1844</v>
      </c>
      <c r="C176" t="str">
        <f t="shared" si="4"/>
        <v>PALE_ALE &gt; OTHER;PALE_ALE</v>
      </c>
      <c r="D176" t="s">
        <v>5767</v>
      </c>
      <c r="F176">
        <v>3175</v>
      </c>
      <c r="H176" t="s">
        <v>933</v>
      </c>
    </row>
    <row r="177" spans="1:8">
      <c r="A177" t="str">
        <f t="shared" si="5"/>
        <v xml:space="preserve">BEER_GEN | PALE_ALE &gt; XPA_(EXTRA_PALE) | </v>
      </c>
      <c r="B177" t="s">
        <v>1844</v>
      </c>
      <c r="C177" t="str">
        <f t="shared" si="4"/>
        <v>PALE_ALE &gt; XPA_(EXTRA_PALE)</v>
      </c>
      <c r="D177" t="s">
        <v>5768</v>
      </c>
      <c r="F177">
        <v>3176</v>
      </c>
    </row>
    <row r="178" spans="1:8">
      <c r="A178" t="str">
        <f t="shared" si="5"/>
        <v xml:space="preserve">BEER_GEN | PILSNER &gt; CZECH_/_BOHEMIAN | </v>
      </c>
      <c r="B178" t="s">
        <v>1844</v>
      </c>
      <c r="C178" t="str">
        <f t="shared" si="4"/>
        <v>PILSNER &gt; CZECH_/_BOHEMIAN</v>
      </c>
      <c r="D178" t="s">
        <v>5769</v>
      </c>
      <c r="F178">
        <v>3177</v>
      </c>
    </row>
    <row r="179" spans="1:8">
      <c r="A179" t="str">
        <f t="shared" si="5"/>
        <v xml:space="preserve">BEER_GEN | PILSNER &gt; GERMAN | </v>
      </c>
      <c r="B179" t="s">
        <v>1844</v>
      </c>
      <c r="C179" t="str">
        <f t="shared" si="4"/>
        <v>PILSNER &gt; GERMAN</v>
      </c>
      <c r="D179" t="s">
        <v>5770</v>
      </c>
      <c r="F179">
        <v>3178</v>
      </c>
    </row>
    <row r="180" spans="1:8">
      <c r="A180" t="str">
        <f t="shared" si="5"/>
        <v xml:space="preserve">BEER_GEN | PILSNER &gt; IMPERIAL_/_DOUBLE | </v>
      </c>
      <c r="B180" t="s">
        <v>1844</v>
      </c>
      <c r="C180" t="str">
        <f t="shared" si="4"/>
        <v>PILSNER &gt; IMPERIAL_/_DOUBLE</v>
      </c>
      <c r="D180" t="s">
        <v>5771</v>
      </c>
      <c r="F180">
        <v>3179</v>
      </c>
    </row>
    <row r="181" spans="1:8">
      <c r="A181" t="str">
        <f t="shared" si="5"/>
        <v xml:space="preserve">BEER_GEN | PILSNER &gt; ITALIAN | </v>
      </c>
      <c r="B181" t="s">
        <v>1844</v>
      </c>
      <c r="C181" t="str">
        <f t="shared" si="4"/>
        <v>PILSNER &gt; ITALIAN</v>
      </c>
      <c r="D181" t="s">
        <v>5772</v>
      </c>
      <c r="F181">
        <v>3180</v>
      </c>
    </row>
    <row r="182" spans="1:8">
      <c r="A182" t="str">
        <f t="shared" si="5"/>
        <v xml:space="preserve">BEER_GEN | PILSNER &gt; NEW_ZEALAND | </v>
      </c>
      <c r="B182" t="s">
        <v>1844</v>
      </c>
      <c r="C182" t="str">
        <f t="shared" si="4"/>
        <v>PILSNER &gt; NEW_ZEALAND</v>
      </c>
      <c r="D182" t="s">
        <v>5773</v>
      </c>
      <c r="F182">
        <v>3181</v>
      </c>
    </row>
    <row r="183" spans="1:8">
      <c r="A183" t="str">
        <f t="shared" si="5"/>
        <v xml:space="preserve">BEER_GEN | PILSNER &gt; OTHER | </v>
      </c>
      <c r="B183" t="s">
        <v>1844</v>
      </c>
      <c r="C183" t="str">
        <f t="shared" si="4"/>
        <v>PILSNER &gt; OTHER;PILSNER</v>
      </c>
      <c r="D183" t="s">
        <v>5774</v>
      </c>
      <c r="F183">
        <v>3182</v>
      </c>
      <c r="H183" t="s">
        <v>777</v>
      </c>
    </row>
    <row r="184" spans="1:8">
      <c r="A184" t="str">
        <f t="shared" si="5"/>
        <v xml:space="preserve">BEER_GEN | PORTER &gt; AMERICAN | </v>
      </c>
      <c r="B184" t="s">
        <v>1844</v>
      </c>
      <c r="C184" t="str">
        <f t="shared" si="4"/>
        <v>PORTER &gt; AMERICAN</v>
      </c>
      <c r="D184" t="s">
        <v>5775</v>
      </c>
      <c r="F184">
        <v>3183</v>
      </c>
    </row>
    <row r="185" spans="1:8">
      <c r="A185" t="str">
        <f t="shared" si="5"/>
        <v xml:space="preserve">BEER_GEN | PORTER &gt; BALTIC | </v>
      </c>
      <c r="B185" t="s">
        <v>1844</v>
      </c>
      <c r="C185" t="str">
        <f t="shared" si="4"/>
        <v>PORTER &gt; BALTIC</v>
      </c>
      <c r="D185" t="s">
        <v>5776</v>
      </c>
      <c r="F185">
        <v>3184</v>
      </c>
    </row>
    <row r="186" spans="1:8">
      <c r="A186" t="str">
        <f t="shared" si="5"/>
        <v xml:space="preserve">BEER_GEN | PORTER &gt; COFFEE | </v>
      </c>
      <c r="B186" t="s">
        <v>1844</v>
      </c>
      <c r="C186" t="str">
        <f t="shared" si="4"/>
        <v>PORTER &gt; COFFEE</v>
      </c>
      <c r="D186" t="s">
        <v>5777</v>
      </c>
      <c r="F186">
        <v>3185</v>
      </c>
    </row>
    <row r="187" spans="1:8">
      <c r="A187" t="str">
        <f t="shared" si="5"/>
        <v xml:space="preserve">BEER_GEN | PORTER &gt; ENGLISH | </v>
      </c>
      <c r="B187" t="s">
        <v>1844</v>
      </c>
      <c r="C187" t="str">
        <f t="shared" si="4"/>
        <v>PORTER &gt; ENGLISH</v>
      </c>
      <c r="D187" t="s">
        <v>5778</v>
      </c>
      <c r="F187">
        <v>3186</v>
      </c>
    </row>
    <row r="188" spans="1:8">
      <c r="A188" t="str">
        <f t="shared" si="5"/>
        <v xml:space="preserve">BEER_GEN | PORTER &gt; IMPERIAL_/_DOUBLE | </v>
      </c>
      <c r="B188" t="s">
        <v>1844</v>
      </c>
      <c r="C188" t="str">
        <f t="shared" si="4"/>
        <v>PORTER &gt; IMPERIAL_/_DOUBLE</v>
      </c>
      <c r="D188" t="s">
        <v>5779</v>
      </c>
      <c r="F188">
        <v>3187</v>
      </c>
    </row>
    <row r="189" spans="1:8">
      <c r="A189" t="str">
        <f t="shared" si="5"/>
        <v xml:space="preserve">BEER_GEN | PORTER &gt; IMPERIAL_/_DOUBLE_BALTIC | </v>
      </c>
      <c r="B189" t="s">
        <v>1844</v>
      </c>
      <c r="C189" t="str">
        <f t="shared" si="4"/>
        <v>PORTER &gt; IMPERIAL_/_DOUBLE_BALTIC</v>
      </c>
      <c r="D189" t="s">
        <v>5780</v>
      </c>
      <c r="F189">
        <v>3188</v>
      </c>
    </row>
    <row r="190" spans="1:8">
      <c r="A190" t="str">
        <f t="shared" si="5"/>
        <v xml:space="preserve">BEER_GEN | PORTER &gt; IMPERIAL_/_DOUBLE_COFFEE | </v>
      </c>
      <c r="B190" t="s">
        <v>1844</v>
      </c>
      <c r="C190" t="str">
        <f t="shared" si="4"/>
        <v>PORTER &gt; IMPERIAL_/_DOUBLE_COFFEE</v>
      </c>
      <c r="D190" t="s">
        <v>5781</v>
      </c>
      <c r="F190">
        <v>3189</v>
      </c>
    </row>
    <row r="191" spans="1:8">
      <c r="A191" t="str">
        <f t="shared" si="5"/>
        <v xml:space="preserve">BEER_GEN | PORTER &gt; OTHER | </v>
      </c>
      <c r="B191" t="s">
        <v>1844</v>
      </c>
      <c r="C191" t="str">
        <f t="shared" ref="C191:C254" si="6">_xlfn.TEXTJOIN(";",TRUE,D191,H191:N191)</f>
        <v>PORTER &gt; OTHER;PORTER</v>
      </c>
      <c r="D191" t="s">
        <v>5782</v>
      </c>
      <c r="F191">
        <v>3190</v>
      </c>
      <c r="H191" t="s">
        <v>911</v>
      </c>
    </row>
    <row r="192" spans="1:8">
      <c r="A192" t="str">
        <f t="shared" si="5"/>
        <v xml:space="preserve">BEER_GEN | PORTER &gt; SMOKED | </v>
      </c>
      <c r="B192" t="s">
        <v>1844</v>
      </c>
      <c r="C192" t="str">
        <f t="shared" si="6"/>
        <v>PORTER &gt; SMOKED</v>
      </c>
      <c r="D192" t="s">
        <v>5783</v>
      </c>
      <c r="F192">
        <v>3191</v>
      </c>
    </row>
    <row r="193" spans="1:8">
      <c r="A193" t="str">
        <f t="shared" si="5"/>
        <v xml:space="preserve">BEER_GEN | PUMPKIN_/_YAM_BEER | </v>
      </c>
      <c r="B193" t="s">
        <v>1844</v>
      </c>
      <c r="C193" t="str">
        <f t="shared" si="6"/>
        <v>PUMPKIN_/_YAM_BEER</v>
      </c>
      <c r="D193" t="s">
        <v>5609</v>
      </c>
      <c r="F193">
        <v>3192</v>
      </c>
    </row>
    <row r="194" spans="1:8">
      <c r="A194" t="str">
        <f t="shared" si="5"/>
        <v xml:space="preserve">BEER_GEN | RAUCHBIER | </v>
      </c>
      <c r="B194" t="s">
        <v>1844</v>
      </c>
      <c r="C194" t="str">
        <f t="shared" si="6"/>
        <v>RAUCHBIER</v>
      </c>
      <c r="D194" t="s">
        <v>5610</v>
      </c>
      <c r="F194">
        <v>3193</v>
      </c>
    </row>
    <row r="195" spans="1:8">
      <c r="A195" t="str">
        <f t="shared" ref="A195:A258" si="7">B195&amp;" | "&amp;D195&amp;" | "&amp;E195</f>
        <v xml:space="preserve">BEER_GEN | RED_ALE &gt; AMERICAN_AMBER_/_RED | </v>
      </c>
      <c r="B195" t="s">
        <v>1844</v>
      </c>
      <c r="C195" t="str">
        <f t="shared" si="6"/>
        <v>RED_ALE &gt; AMERICAN_AMBER_/_RED</v>
      </c>
      <c r="D195" t="s">
        <v>5784</v>
      </c>
      <c r="F195">
        <v>3194</v>
      </c>
    </row>
    <row r="196" spans="1:8">
      <c r="A196" t="str">
        <f t="shared" si="7"/>
        <v xml:space="preserve">BEER_GEN | RED_ALE &gt; IMPERIAL_/_DOUBLE | </v>
      </c>
      <c r="B196" t="s">
        <v>1844</v>
      </c>
      <c r="C196" t="str">
        <f t="shared" si="6"/>
        <v>RED_ALE &gt; IMPERIAL_/_DOUBLE</v>
      </c>
      <c r="D196" t="s">
        <v>5785</v>
      </c>
      <c r="F196">
        <v>3195</v>
      </c>
    </row>
    <row r="197" spans="1:8">
      <c r="A197" t="str">
        <f t="shared" si="7"/>
        <v xml:space="preserve">BEER_GEN | RED_ALE &gt; IRISH | </v>
      </c>
      <c r="B197" t="s">
        <v>1844</v>
      </c>
      <c r="C197" t="str">
        <f t="shared" si="6"/>
        <v>RED_ALE &gt; IRISH</v>
      </c>
      <c r="D197" t="s">
        <v>5786</v>
      </c>
      <c r="F197">
        <v>3196</v>
      </c>
    </row>
    <row r="198" spans="1:8">
      <c r="A198" t="str">
        <f t="shared" si="7"/>
        <v xml:space="preserve">BEER_GEN | RED_ALE &gt; OTHER | </v>
      </c>
      <c r="B198" t="s">
        <v>1844</v>
      </c>
      <c r="C198" t="str">
        <f t="shared" si="6"/>
        <v>RED_ALE &gt; OTHER</v>
      </c>
      <c r="D198" t="s">
        <v>5787</v>
      </c>
      <c r="F198">
        <v>3197</v>
      </c>
    </row>
    <row r="199" spans="1:8">
      <c r="A199" t="str">
        <f t="shared" si="7"/>
        <v xml:space="preserve">BEER_GEN | ROGGENBIER | </v>
      </c>
      <c r="B199" t="s">
        <v>1844</v>
      </c>
      <c r="C199" t="str">
        <f t="shared" si="6"/>
        <v>ROGGENBIER</v>
      </c>
      <c r="D199" t="s">
        <v>5611</v>
      </c>
      <c r="F199">
        <v>3198</v>
      </c>
    </row>
    <row r="200" spans="1:8">
      <c r="A200" t="str">
        <f t="shared" si="7"/>
        <v xml:space="preserve">BEER_GEN | ROOT_BEER | </v>
      </c>
      <c r="B200" t="s">
        <v>1844</v>
      </c>
      <c r="C200" t="str">
        <f t="shared" si="6"/>
        <v>ROOT_BEER</v>
      </c>
      <c r="D200" t="s">
        <v>5612</v>
      </c>
      <c r="F200">
        <v>3199</v>
      </c>
    </row>
    <row r="201" spans="1:8">
      <c r="A201" t="str">
        <f t="shared" si="7"/>
        <v xml:space="preserve">BEER_GEN | RYE_BEER | </v>
      </c>
      <c r="B201" t="s">
        <v>1844</v>
      </c>
      <c r="C201" t="str">
        <f t="shared" si="6"/>
        <v>RYE_BEER;RYE</v>
      </c>
      <c r="D201" t="s">
        <v>5613</v>
      </c>
      <c r="F201">
        <v>3200</v>
      </c>
      <c r="H201" t="s">
        <v>6360</v>
      </c>
    </row>
    <row r="202" spans="1:8">
      <c r="A202" t="str">
        <f t="shared" si="7"/>
        <v xml:space="preserve">BEER_GEN | RYE_WINE | </v>
      </c>
      <c r="B202" t="s">
        <v>1844</v>
      </c>
      <c r="C202" t="str">
        <f t="shared" si="6"/>
        <v>RYE_WINE</v>
      </c>
      <c r="D202" t="s">
        <v>5614</v>
      </c>
      <c r="F202">
        <v>3201</v>
      </c>
    </row>
    <row r="203" spans="1:8">
      <c r="A203" t="str">
        <f t="shared" si="7"/>
        <v xml:space="preserve">BEER_GEN | SCHWARZBIER | </v>
      </c>
      <c r="B203" t="s">
        <v>1844</v>
      </c>
      <c r="C203" t="str">
        <f t="shared" si="6"/>
        <v>SCHWARZBIER</v>
      </c>
      <c r="D203" t="s">
        <v>1084</v>
      </c>
      <c r="F203">
        <v>3202</v>
      </c>
    </row>
    <row r="204" spans="1:8">
      <c r="A204" t="str">
        <f t="shared" si="7"/>
        <v xml:space="preserve">BEER_GEN | SCOTCH_ALE_/_WEE_HEAVY | </v>
      </c>
      <c r="B204" t="s">
        <v>1844</v>
      </c>
      <c r="C204" t="str">
        <f t="shared" si="6"/>
        <v>SCOTCH_ALE_/_WEE_HEAVY;SCOTCH</v>
      </c>
      <c r="D204" t="s">
        <v>5615</v>
      </c>
      <c r="F204">
        <v>3203</v>
      </c>
      <c r="H204" t="s">
        <v>946</v>
      </c>
    </row>
    <row r="205" spans="1:8">
      <c r="A205" t="str">
        <f t="shared" si="7"/>
        <v xml:space="preserve">BEER_GEN | SCOTTISH_ALE | </v>
      </c>
      <c r="B205" t="s">
        <v>1844</v>
      </c>
      <c r="C205" t="str">
        <f t="shared" si="6"/>
        <v>SCOTTISH_ALE</v>
      </c>
      <c r="D205" t="s">
        <v>5616</v>
      </c>
      <c r="F205">
        <v>3204</v>
      </c>
    </row>
    <row r="206" spans="1:8">
      <c r="A206" t="str">
        <f t="shared" si="7"/>
        <v xml:space="preserve">BEER_GEN | SCOTTISH_EXPORT_ALE | </v>
      </c>
      <c r="B206" t="s">
        <v>1844</v>
      </c>
      <c r="C206" t="str">
        <f t="shared" si="6"/>
        <v>SCOTTISH_EXPORT_ALE</v>
      </c>
      <c r="D206" t="s">
        <v>5617</v>
      </c>
      <c r="F206">
        <v>3205</v>
      </c>
    </row>
    <row r="207" spans="1:8">
      <c r="A207" t="str">
        <f t="shared" si="7"/>
        <v xml:space="preserve">BEER_GEN | SHANDY_/_RADLER | </v>
      </c>
      <c r="B207" t="s">
        <v>1844</v>
      </c>
      <c r="C207" t="str">
        <f t="shared" si="6"/>
        <v>SHANDY_/_RADLER;RADLER</v>
      </c>
      <c r="D207" t="s">
        <v>5618</v>
      </c>
      <c r="F207">
        <v>3206</v>
      </c>
      <c r="H207" t="s">
        <v>742</v>
      </c>
    </row>
    <row r="208" spans="1:8">
      <c r="A208" t="str">
        <f t="shared" si="7"/>
        <v xml:space="preserve">BEER_GEN | SMOKED_BEER | </v>
      </c>
      <c r="B208" t="s">
        <v>1844</v>
      </c>
      <c r="C208" t="str">
        <f t="shared" si="6"/>
        <v>SMOKED_BEER</v>
      </c>
      <c r="D208" t="s">
        <v>5619</v>
      </c>
      <c r="F208">
        <v>3207</v>
      </c>
    </row>
    <row r="209" spans="1:8">
      <c r="A209" t="str">
        <f t="shared" si="7"/>
        <v xml:space="preserve">BEER_GEN | SORGHUM_/_MILLET_BEER | </v>
      </c>
      <c r="B209" t="s">
        <v>1844</v>
      </c>
      <c r="C209" t="str">
        <f t="shared" si="6"/>
        <v>SORGHUM_/_MILLET_BEER</v>
      </c>
      <c r="D209" t="s">
        <v>5620</v>
      </c>
      <c r="F209">
        <v>3208</v>
      </c>
    </row>
    <row r="210" spans="1:8">
      <c r="A210" t="str">
        <f t="shared" si="7"/>
        <v xml:space="preserve">BEER_GEN | SOUR &gt; BERLINER_WEISSE | </v>
      </c>
      <c r="B210" t="s">
        <v>1844</v>
      </c>
      <c r="C210" t="str">
        <f t="shared" si="6"/>
        <v>SOUR &gt; BERLINER_WEISSE</v>
      </c>
      <c r="D210" t="s">
        <v>5788</v>
      </c>
      <c r="F210">
        <v>3209</v>
      </c>
    </row>
    <row r="211" spans="1:8">
      <c r="A211" t="str">
        <f t="shared" si="7"/>
        <v xml:space="preserve">BEER_GEN | SOUR &gt; CATHARINA | </v>
      </c>
      <c r="B211" t="s">
        <v>1844</v>
      </c>
      <c r="C211" t="str">
        <f t="shared" si="6"/>
        <v>SOUR &gt; CATHARINA</v>
      </c>
      <c r="D211" t="s">
        <v>5789</v>
      </c>
      <c r="F211">
        <v>3210</v>
      </c>
    </row>
    <row r="212" spans="1:8">
      <c r="A212" t="str">
        <f t="shared" si="7"/>
        <v xml:space="preserve">BEER_GEN | SOUR &gt; FLANDERS_OUD_BRUIN | </v>
      </c>
      <c r="B212" t="s">
        <v>1844</v>
      </c>
      <c r="C212" t="str">
        <f t="shared" si="6"/>
        <v>SOUR &gt; FLANDERS_OUD_BRUIN</v>
      </c>
      <c r="D212" t="s">
        <v>5790</v>
      </c>
      <c r="F212">
        <v>3211</v>
      </c>
    </row>
    <row r="213" spans="1:8">
      <c r="A213" t="str">
        <f t="shared" si="7"/>
        <v xml:space="preserve">BEER_GEN | SOUR &gt; FLANDERS_RED_ALE | </v>
      </c>
      <c r="B213" t="s">
        <v>1844</v>
      </c>
      <c r="C213" t="str">
        <f t="shared" si="6"/>
        <v>SOUR &gt; FLANDERS_RED_ALE</v>
      </c>
      <c r="D213" t="s">
        <v>5791</v>
      </c>
      <c r="F213">
        <v>3212</v>
      </c>
    </row>
    <row r="214" spans="1:8">
      <c r="A214" t="str">
        <f t="shared" si="7"/>
        <v xml:space="preserve">BEER_GEN | SOUR &gt; FRUITED | </v>
      </c>
      <c r="B214" t="s">
        <v>1844</v>
      </c>
      <c r="C214" t="str">
        <f t="shared" si="6"/>
        <v>SOUR &gt; FRUITED</v>
      </c>
      <c r="D214" t="s">
        <v>5792</v>
      </c>
      <c r="F214">
        <v>3213</v>
      </c>
    </row>
    <row r="215" spans="1:8">
      <c r="A215" t="str">
        <f t="shared" si="7"/>
        <v xml:space="preserve">BEER_GEN | SOUR &gt; FRUITED_BERLINER_WEISSE | </v>
      </c>
      <c r="B215" t="s">
        <v>1844</v>
      </c>
      <c r="C215" t="str">
        <f t="shared" si="6"/>
        <v>SOUR &gt; FRUITED_BERLINER_WEISSE</v>
      </c>
      <c r="D215" t="s">
        <v>5793</v>
      </c>
      <c r="F215">
        <v>3214</v>
      </c>
    </row>
    <row r="216" spans="1:8">
      <c r="A216" t="str">
        <f t="shared" si="7"/>
        <v xml:space="preserve">BEER_GEN | SOUR &gt; FRUITED_GOSE | </v>
      </c>
      <c r="B216" t="s">
        <v>1844</v>
      </c>
      <c r="C216" t="str">
        <f t="shared" si="6"/>
        <v>SOUR &gt; FRUITED_GOSE</v>
      </c>
      <c r="D216" t="s">
        <v>5794</v>
      </c>
      <c r="F216">
        <v>3215</v>
      </c>
    </row>
    <row r="217" spans="1:8">
      <c r="A217" t="str">
        <f t="shared" si="7"/>
        <v xml:space="preserve">BEER_GEN | SOUR &gt; OTHER | </v>
      </c>
      <c r="B217" t="s">
        <v>1844</v>
      </c>
      <c r="C217" t="str">
        <f t="shared" si="6"/>
        <v>SOUR &gt; OTHER;SOUR</v>
      </c>
      <c r="D217" t="s">
        <v>5795</v>
      </c>
      <c r="F217">
        <v>3216</v>
      </c>
      <c r="H217" t="s">
        <v>773</v>
      </c>
    </row>
    <row r="218" spans="1:8">
      <c r="A218" t="str">
        <f t="shared" si="7"/>
        <v xml:space="preserve">BEER_GEN | SOUR &gt; OTHER_GOSE | </v>
      </c>
      <c r="B218" t="s">
        <v>1844</v>
      </c>
      <c r="C218" t="str">
        <f t="shared" si="6"/>
        <v>SOUR &gt; OTHER_GOSE;GOSE</v>
      </c>
      <c r="D218" t="s">
        <v>5796</v>
      </c>
      <c r="F218">
        <v>3217</v>
      </c>
      <c r="H218" t="s">
        <v>1974</v>
      </c>
    </row>
    <row r="219" spans="1:8">
      <c r="A219" t="str">
        <f t="shared" si="7"/>
        <v xml:space="preserve">BEER_GEN | SOUR &gt; SMOOTHIE_/_PASTRY | </v>
      </c>
      <c r="B219" t="s">
        <v>1844</v>
      </c>
      <c r="C219" t="str">
        <f t="shared" si="6"/>
        <v>SOUR &gt; SMOOTHIE_/_PASTRY</v>
      </c>
      <c r="D219" t="s">
        <v>5797</v>
      </c>
      <c r="F219">
        <v>3218</v>
      </c>
    </row>
    <row r="220" spans="1:8">
      <c r="A220" t="str">
        <f t="shared" si="7"/>
        <v xml:space="preserve">BEER_GEN | SOUR &gt; TOMATO_/_VEGETABLE_GOSE | </v>
      </c>
      <c r="B220" t="s">
        <v>1844</v>
      </c>
      <c r="C220" t="str">
        <f t="shared" si="6"/>
        <v>SOUR &gt; TOMATO_/_VEGETABLE_GOSE</v>
      </c>
      <c r="D220" t="s">
        <v>5798</v>
      </c>
      <c r="F220">
        <v>3219</v>
      </c>
    </row>
    <row r="221" spans="1:8">
      <c r="A221" t="str">
        <f t="shared" si="7"/>
        <v xml:space="preserve">BEER_GEN | SOUR &gt; TRADITIONAL_GOSE | </v>
      </c>
      <c r="B221" t="s">
        <v>1844</v>
      </c>
      <c r="C221" t="str">
        <f t="shared" si="6"/>
        <v>SOUR &gt; TRADITIONAL_GOSE</v>
      </c>
      <c r="D221" t="s">
        <v>5799</v>
      </c>
      <c r="F221">
        <v>3220</v>
      </c>
    </row>
    <row r="222" spans="1:8">
      <c r="A222" t="str">
        <f t="shared" si="7"/>
        <v xml:space="preserve">BEER_GEN | SPECIALTY_GRAIN | </v>
      </c>
      <c r="B222" t="s">
        <v>1844</v>
      </c>
      <c r="C222" t="str">
        <f t="shared" si="6"/>
        <v>SPECIALTY_GRAIN</v>
      </c>
      <c r="D222" t="s">
        <v>5621</v>
      </c>
      <c r="F222">
        <v>3221</v>
      </c>
    </row>
    <row r="223" spans="1:8">
      <c r="A223" t="str">
        <f t="shared" si="7"/>
        <v xml:space="preserve">BEER_GEN | SPICED_/_HERBED_BEER | </v>
      </c>
      <c r="B223" t="s">
        <v>1844</v>
      </c>
      <c r="C223" t="str">
        <f t="shared" si="6"/>
        <v>SPICED_/_HERBED_BEER</v>
      </c>
      <c r="D223" t="s">
        <v>5622</v>
      </c>
      <c r="F223">
        <v>3222</v>
      </c>
    </row>
    <row r="224" spans="1:8">
      <c r="A224" t="str">
        <f t="shared" si="7"/>
        <v xml:space="preserve">BEER_GEN | STOUT &gt; AMERICAN | </v>
      </c>
      <c r="B224" t="s">
        <v>1844</v>
      </c>
      <c r="C224" t="str">
        <f t="shared" si="6"/>
        <v>STOUT &gt; AMERICAN</v>
      </c>
      <c r="D224" t="s">
        <v>5800</v>
      </c>
      <c r="F224">
        <v>3223</v>
      </c>
    </row>
    <row r="225" spans="1:8">
      <c r="A225" t="str">
        <f t="shared" si="7"/>
        <v xml:space="preserve">BEER_GEN | STOUT &gt; BELGIAN | </v>
      </c>
      <c r="B225" t="s">
        <v>1844</v>
      </c>
      <c r="C225" t="str">
        <f t="shared" si="6"/>
        <v>STOUT &gt; BELGIAN</v>
      </c>
      <c r="D225" t="s">
        <v>5801</v>
      </c>
      <c r="F225">
        <v>3224</v>
      </c>
    </row>
    <row r="226" spans="1:8">
      <c r="A226" t="str">
        <f t="shared" si="7"/>
        <v xml:space="preserve">BEER_GEN | STOUT &gt; COFFEE | </v>
      </c>
      <c r="B226" t="s">
        <v>1844</v>
      </c>
      <c r="C226" t="str">
        <f t="shared" si="6"/>
        <v>STOUT &gt; COFFEE</v>
      </c>
      <c r="D226" t="s">
        <v>5802</v>
      </c>
      <c r="F226">
        <v>3225</v>
      </c>
    </row>
    <row r="227" spans="1:8">
      <c r="A227" t="str">
        <f t="shared" si="7"/>
        <v xml:space="preserve">BEER_GEN | STOUT &gt; ENGLISH | </v>
      </c>
      <c r="B227" t="s">
        <v>1844</v>
      </c>
      <c r="C227" t="str">
        <f t="shared" si="6"/>
        <v>STOUT &gt; ENGLISH</v>
      </c>
      <c r="D227" t="s">
        <v>5803</v>
      </c>
      <c r="F227">
        <v>3226</v>
      </c>
    </row>
    <row r="228" spans="1:8">
      <c r="A228" t="str">
        <f t="shared" si="7"/>
        <v xml:space="preserve">BEER_GEN | STOUT &gt; FOREIGN_/_EXPORT | </v>
      </c>
      <c r="B228" t="s">
        <v>1844</v>
      </c>
      <c r="C228" t="str">
        <f t="shared" si="6"/>
        <v>STOUT &gt; FOREIGN_/_EXPORT</v>
      </c>
      <c r="D228" t="s">
        <v>5804</v>
      </c>
      <c r="F228">
        <v>3227</v>
      </c>
    </row>
    <row r="229" spans="1:8">
      <c r="A229" t="str">
        <f t="shared" si="7"/>
        <v xml:space="preserve">BEER_GEN | STOUT &gt; IMPERIAL_/_DOUBLE | </v>
      </c>
      <c r="B229" t="s">
        <v>1844</v>
      </c>
      <c r="C229" t="str">
        <f t="shared" si="6"/>
        <v>STOUT &gt; IMPERIAL_/_DOUBLE</v>
      </c>
      <c r="D229" t="s">
        <v>5805</v>
      </c>
      <c r="F229">
        <v>3228</v>
      </c>
    </row>
    <row r="230" spans="1:8">
      <c r="A230" t="str">
        <f t="shared" si="7"/>
        <v xml:space="preserve">BEER_GEN | STOUT &gt; IMPERIAL_/_DOUBLE_COFFEE | </v>
      </c>
      <c r="B230" t="s">
        <v>1844</v>
      </c>
      <c r="C230" t="str">
        <f t="shared" si="6"/>
        <v>STOUT &gt; IMPERIAL_/_DOUBLE_COFFEE</v>
      </c>
      <c r="D230" t="s">
        <v>5806</v>
      </c>
      <c r="F230">
        <v>3229</v>
      </c>
    </row>
    <row r="231" spans="1:8">
      <c r="A231" t="str">
        <f t="shared" si="7"/>
        <v xml:space="preserve">BEER_GEN | STOUT &gt; IMPERIAL_/_DOUBLE_MILK | </v>
      </c>
      <c r="B231" t="s">
        <v>1844</v>
      </c>
      <c r="C231" t="str">
        <f t="shared" si="6"/>
        <v>STOUT &gt; IMPERIAL_/_DOUBLE_MILK</v>
      </c>
      <c r="D231" t="s">
        <v>5807</v>
      </c>
      <c r="F231">
        <v>3230</v>
      </c>
    </row>
    <row r="232" spans="1:8">
      <c r="A232" t="str">
        <f t="shared" si="7"/>
        <v xml:space="preserve">BEER_GEN | STOUT &gt; IMPERIAL_/_DOUBLE_OATMEAL | </v>
      </c>
      <c r="B232" t="s">
        <v>1844</v>
      </c>
      <c r="C232" t="str">
        <f t="shared" si="6"/>
        <v>STOUT &gt; IMPERIAL_/_DOUBLE_OATMEAL</v>
      </c>
      <c r="D232" t="s">
        <v>5808</v>
      </c>
      <c r="F232">
        <v>3231</v>
      </c>
    </row>
    <row r="233" spans="1:8">
      <c r="A233" t="str">
        <f t="shared" si="7"/>
        <v xml:space="preserve">BEER_GEN | STOUT &gt; IMPERIAL_/_DOUBLE_PASTRY | </v>
      </c>
      <c r="B233" t="s">
        <v>1844</v>
      </c>
      <c r="C233" t="str">
        <f t="shared" si="6"/>
        <v>STOUT &gt; IMPERIAL_/_DOUBLE_PASTRY</v>
      </c>
      <c r="D233" t="s">
        <v>5809</v>
      </c>
      <c r="F233">
        <v>3232</v>
      </c>
    </row>
    <row r="234" spans="1:8">
      <c r="A234" t="str">
        <f t="shared" si="7"/>
        <v xml:space="preserve">BEER_GEN | STOUT &gt; IMPERIAL_/_DOUBLE_WHITE_/_GOLDEN | </v>
      </c>
      <c r="B234" t="s">
        <v>1844</v>
      </c>
      <c r="C234" t="str">
        <f t="shared" si="6"/>
        <v>STOUT &gt; IMPERIAL_/_DOUBLE_WHITE_/_GOLDEN</v>
      </c>
      <c r="D234" t="s">
        <v>5810</v>
      </c>
      <c r="F234">
        <v>3233</v>
      </c>
    </row>
    <row r="235" spans="1:8">
      <c r="A235" t="str">
        <f t="shared" si="7"/>
        <v xml:space="preserve">BEER_GEN | STOUT &gt; IRISH_DRY | </v>
      </c>
      <c r="B235" t="s">
        <v>1844</v>
      </c>
      <c r="C235" t="str">
        <f t="shared" si="6"/>
        <v>STOUT &gt; IRISH_DRY</v>
      </c>
      <c r="D235" t="s">
        <v>5811</v>
      </c>
      <c r="F235">
        <v>3234</v>
      </c>
    </row>
    <row r="236" spans="1:8">
      <c r="A236" t="str">
        <f t="shared" si="7"/>
        <v xml:space="preserve">BEER_GEN | STOUT &gt; MILK_/_SWEET | </v>
      </c>
      <c r="B236" t="s">
        <v>1844</v>
      </c>
      <c r="C236" t="str">
        <f t="shared" si="6"/>
        <v>STOUT &gt; MILK_/_SWEET</v>
      </c>
      <c r="D236" t="s">
        <v>5812</v>
      </c>
      <c r="F236">
        <v>3235</v>
      </c>
    </row>
    <row r="237" spans="1:8">
      <c r="A237" t="str">
        <f t="shared" si="7"/>
        <v xml:space="preserve">BEER_GEN | STOUT &gt; OATMEAL | </v>
      </c>
      <c r="B237" t="s">
        <v>1844</v>
      </c>
      <c r="C237" t="str">
        <f t="shared" si="6"/>
        <v>STOUT &gt; OATMEAL</v>
      </c>
      <c r="D237" t="s">
        <v>5813</v>
      </c>
      <c r="F237">
        <v>3236</v>
      </c>
    </row>
    <row r="238" spans="1:8">
      <c r="A238" t="str">
        <f t="shared" si="7"/>
        <v xml:space="preserve">BEER_GEN | STOUT &gt; OTHER | </v>
      </c>
      <c r="B238" t="s">
        <v>1844</v>
      </c>
      <c r="C238" t="str">
        <f t="shared" si="6"/>
        <v>STOUT &gt; OTHER;STOUT</v>
      </c>
      <c r="D238" t="s">
        <v>5814</v>
      </c>
      <c r="F238">
        <v>3237</v>
      </c>
      <c r="H238" t="s">
        <v>913</v>
      </c>
    </row>
    <row r="239" spans="1:8">
      <c r="A239" t="str">
        <f t="shared" si="7"/>
        <v xml:space="preserve">BEER_GEN | STOUT &gt; OYSTER | </v>
      </c>
      <c r="B239" t="s">
        <v>1844</v>
      </c>
      <c r="C239" t="str">
        <f t="shared" si="6"/>
        <v>STOUT &gt; OYSTER</v>
      </c>
      <c r="D239" t="s">
        <v>5815</v>
      </c>
      <c r="F239">
        <v>3238</v>
      </c>
    </row>
    <row r="240" spans="1:8">
      <c r="A240" t="str">
        <f t="shared" si="7"/>
        <v xml:space="preserve">BEER_GEN | STOUT &gt; PASTRY | </v>
      </c>
      <c r="B240" t="s">
        <v>1844</v>
      </c>
      <c r="C240" t="str">
        <f t="shared" si="6"/>
        <v>STOUT &gt; PASTRY</v>
      </c>
      <c r="D240" t="s">
        <v>5816</v>
      </c>
      <c r="F240">
        <v>3239</v>
      </c>
    </row>
    <row r="241" spans="1:8">
      <c r="A241" t="str">
        <f t="shared" si="7"/>
        <v xml:space="preserve">BEER_GEN | STOUT &gt; RUSSIAN_IMPERIAL | </v>
      </c>
      <c r="B241" t="s">
        <v>1844</v>
      </c>
      <c r="C241" t="str">
        <f t="shared" si="6"/>
        <v>STOUT &gt; RUSSIAN_IMPERIAL</v>
      </c>
      <c r="D241" t="s">
        <v>5817</v>
      </c>
      <c r="F241">
        <v>3240</v>
      </c>
    </row>
    <row r="242" spans="1:8">
      <c r="A242" t="str">
        <f t="shared" si="7"/>
        <v xml:space="preserve">BEER_GEN | STOUT &gt; WHITE_/_GOLDEN | </v>
      </c>
      <c r="B242" t="s">
        <v>1844</v>
      </c>
      <c r="C242" t="str">
        <f t="shared" si="6"/>
        <v>STOUT &gt; WHITE_/_GOLDEN</v>
      </c>
      <c r="D242" t="s">
        <v>5818</v>
      </c>
      <c r="F242">
        <v>3241</v>
      </c>
    </row>
    <row r="243" spans="1:8">
      <c r="A243" t="str">
        <f t="shared" si="7"/>
        <v xml:space="preserve">BEER_GEN | STRONG_ALE &gt; AMERICAN | </v>
      </c>
      <c r="B243" t="s">
        <v>1844</v>
      </c>
      <c r="C243" t="str">
        <f t="shared" si="6"/>
        <v>STRONG_ALE &gt; AMERICAN</v>
      </c>
      <c r="D243" t="s">
        <v>5819</v>
      </c>
      <c r="F243">
        <v>3242</v>
      </c>
    </row>
    <row r="244" spans="1:8">
      <c r="A244" t="str">
        <f t="shared" si="7"/>
        <v xml:space="preserve">BEER_GEN | STRONG_ALE &gt; ENGLISH | </v>
      </c>
      <c r="B244" t="s">
        <v>1844</v>
      </c>
      <c r="C244" t="str">
        <f t="shared" si="6"/>
        <v>STRONG_ALE &gt; ENGLISH</v>
      </c>
      <c r="D244" t="s">
        <v>5820</v>
      </c>
      <c r="F244">
        <v>3243</v>
      </c>
    </row>
    <row r="245" spans="1:8">
      <c r="A245" t="str">
        <f t="shared" si="7"/>
        <v xml:space="preserve">BEER_GEN | STRONG_ALE &gt; OTHER | </v>
      </c>
      <c r="B245" t="s">
        <v>1844</v>
      </c>
      <c r="C245" t="str">
        <f t="shared" si="6"/>
        <v>STRONG_ALE &gt; OTHER</v>
      </c>
      <c r="D245" t="s">
        <v>5821</v>
      </c>
      <c r="F245">
        <v>3244</v>
      </c>
    </row>
    <row r="246" spans="1:8">
      <c r="A246" t="str">
        <f t="shared" si="7"/>
        <v xml:space="preserve">BEER_GEN | TABLE_BEER | </v>
      </c>
      <c r="B246" t="s">
        <v>1844</v>
      </c>
      <c r="C246" t="str">
        <f t="shared" si="6"/>
        <v>TABLE_BEER</v>
      </c>
      <c r="D246" t="s">
        <v>5623</v>
      </c>
      <c r="F246">
        <v>3245</v>
      </c>
    </row>
    <row r="247" spans="1:8">
      <c r="A247" t="str">
        <f t="shared" si="7"/>
        <v xml:space="preserve">BEER_GEN | TRADITIONAL_ALE | </v>
      </c>
      <c r="B247" t="s">
        <v>1844</v>
      </c>
      <c r="C247" t="str">
        <f t="shared" si="6"/>
        <v>TRADITIONAL_ALE</v>
      </c>
      <c r="D247" t="s">
        <v>5624</v>
      </c>
      <c r="F247">
        <v>3246</v>
      </c>
    </row>
    <row r="248" spans="1:8">
      <c r="A248" t="str">
        <f t="shared" si="7"/>
        <v xml:space="preserve">BEER_GEN | WHEAT_BEER &gt; AMERICAN_PALE_WHEAT | </v>
      </c>
      <c r="B248" t="s">
        <v>1844</v>
      </c>
      <c r="C248" t="str">
        <f t="shared" si="6"/>
        <v>WHEAT_BEER &gt; AMERICAN_PALE_WHEAT</v>
      </c>
      <c r="D248" t="s">
        <v>5822</v>
      </c>
      <c r="F248">
        <v>3247</v>
      </c>
    </row>
    <row r="249" spans="1:8">
      <c r="A249" t="str">
        <f t="shared" si="7"/>
        <v xml:space="preserve">BEER_GEN | WHEAT_BEER &gt; DUNKELWEIZEN | </v>
      </c>
      <c r="B249" t="s">
        <v>1844</v>
      </c>
      <c r="C249" t="str">
        <f t="shared" si="6"/>
        <v>WHEAT_BEER &gt; DUNKELWEIZEN</v>
      </c>
      <c r="D249" t="s">
        <v>5823</v>
      </c>
      <c r="F249">
        <v>3248</v>
      </c>
    </row>
    <row r="250" spans="1:8">
      <c r="A250" t="str">
        <f t="shared" si="7"/>
        <v xml:space="preserve">BEER_GEN | WHEAT_BEER &gt; FRUITED | </v>
      </c>
      <c r="B250" t="s">
        <v>1844</v>
      </c>
      <c r="C250" t="str">
        <f t="shared" si="6"/>
        <v>WHEAT_BEER &gt; FRUITED</v>
      </c>
      <c r="D250" t="s">
        <v>5824</v>
      </c>
      <c r="F250">
        <v>3249</v>
      </c>
    </row>
    <row r="251" spans="1:8">
      <c r="A251" t="str">
        <f t="shared" si="7"/>
        <v xml:space="preserve">BEER_GEN | WHEAT_BEER &gt; HEFEWEIZEN | </v>
      </c>
      <c r="B251" t="s">
        <v>1844</v>
      </c>
      <c r="C251" t="str">
        <f t="shared" si="6"/>
        <v>WHEAT_BEER &gt; HEFEWEIZEN;HEFEWEIZEN</v>
      </c>
      <c r="D251" t="s">
        <v>5825</v>
      </c>
      <c r="F251">
        <v>3250</v>
      </c>
      <c r="H251" t="s">
        <v>6361</v>
      </c>
    </row>
    <row r="252" spans="1:8">
      <c r="A252" t="str">
        <f t="shared" si="7"/>
        <v xml:space="preserve">BEER_GEN | WHEAT_BEER &gt; HEFEWEIZEN_LIGHT_/_LEICHT | </v>
      </c>
      <c r="B252" t="s">
        <v>1844</v>
      </c>
      <c r="C252" t="str">
        <f t="shared" si="6"/>
        <v>WHEAT_BEER &gt; HEFEWEIZEN_LIGHT_/_LEICHT</v>
      </c>
      <c r="D252" t="s">
        <v>5826</v>
      </c>
      <c r="F252">
        <v>3251</v>
      </c>
    </row>
    <row r="253" spans="1:8">
      <c r="A253" t="str">
        <f t="shared" si="7"/>
        <v xml:space="preserve">BEER_GEN | WHEAT_BEER &gt; HOPFENWEISSE | </v>
      </c>
      <c r="B253" t="s">
        <v>1844</v>
      </c>
      <c r="C253" t="str">
        <f t="shared" si="6"/>
        <v>WHEAT_BEER &gt; HOPFENWEISSE;HOPFENWEISSE</v>
      </c>
      <c r="D253" t="s">
        <v>5827</v>
      </c>
      <c r="F253">
        <v>3252</v>
      </c>
      <c r="H253" t="s">
        <v>6362</v>
      </c>
    </row>
    <row r="254" spans="1:8">
      <c r="A254" t="str">
        <f t="shared" si="7"/>
        <v xml:space="preserve">BEER_GEN | WHEAT_BEER &gt; KRISTALLWEIZEN | </v>
      </c>
      <c r="B254" t="s">
        <v>1844</v>
      </c>
      <c r="C254" t="str">
        <f t="shared" si="6"/>
        <v>WHEAT_BEER &gt; KRISTALLWEIZEN;KRISTALLWEIZEN</v>
      </c>
      <c r="D254" t="s">
        <v>5828</v>
      </c>
      <c r="F254">
        <v>3253</v>
      </c>
      <c r="H254" t="s">
        <v>6363</v>
      </c>
    </row>
    <row r="255" spans="1:8">
      <c r="A255" t="str">
        <f t="shared" si="7"/>
        <v xml:space="preserve">BEER_GEN | WHEAT_BEER &gt; OTHER | </v>
      </c>
      <c r="B255" t="s">
        <v>1844</v>
      </c>
      <c r="C255" t="str">
        <f t="shared" ref="C255:C314" si="8">_xlfn.TEXTJOIN(";",TRUE,D255,H255:N255)</f>
        <v>WHEAT_BEER &gt; OTHER</v>
      </c>
      <c r="D255" t="s">
        <v>5829</v>
      </c>
      <c r="F255">
        <v>3254</v>
      </c>
    </row>
    <row r="256" spans="1:8">
      <c r="A256" t="str">
        <f t="shared" si="7"/>
        <v xml:space="preserve">BEER_GEN | WHEAT_BEER &gt; WHEAT_WINE | </v>
      </c>
      <c r="B256" t="s">
        <v>1844</v>
      </c>
      <c r="C256" t="str">
        <f t="shared" si="8"/>
        <v>WHEAT_BEER &gt; WHEAT_WINE</v>
      </c>
      <c r="D256" t="s">
        <v>5830</v>
      </c>
      <c r="F256">
        <v>3255</v>
      </c>
    </row>
    <row r="257" spans="1:8">
      <c r="A257" t="str">
        <f t="shared" si="7"/>
        <v xml:space="preserve">BEER_GEN | WHEAT_BEER &gt; WITBIER_/_BLANCHE | </v>
      </c>
      <c r="B257" t="s">
        <v>1844</v>
      </c>
      <c r="C257" t="str">
        <f>_xlfn.TEXTJOIN(";",TRUE,D257,H257:N257)</f>
        <v>WHEAT_BEER &gt; WITBIER_/_BLANCHE;WHEAT</v>
      </c>
      <c r="D257" t="s">
        <v>5831</v>
      </c>
      <c r="F257">
        <v>3256</v>
      </c>
      <c r="H257" t="s">
        <v>1990</v>
      </c>
    </row>
    <row r="258" spans="1:8">
      <c r="A258" t="str">
        <f t="shared" si="7"/>
        <v xml:space="preserve">BEER_GEN | WILD_ALE &gt; AMERICAN | </v>
      </c>
      <c r="B258" t="s">
        <v>1844</v>
      </c>
      <c r="C258" t="str">
        <f t="shared" si="8"/>
        <v>WILD_ALE &gt; AMERICAN</v>
      </c>
      <c r="D258" t="s">
        <v>5832</v>
      </c>
      <c r="F258">
        <v>3257</v>
      </c>
    </row>
    <row r="259" spans="1:8">
      <c r="A259" t="str">
        <f t="shared" ref="A259:A322" si="9">B259&amp;" | "&amp;D259&amp;" | "&amp;E259</f>
        <v xml:space="preserve">BEER_GEN | WILD_ALE &gt; OTHER | </v>
      </c>
      <c r="B259" t="s">
        <v>1844</v>
      </c>
      <c r="C259" t="str">
        <f t="shared" si="8"/>
        <v>WILD_ALE &gt; OTHER</v>
      </c>
      <c r="D259" t="s">
        <v>5833</v>
      </c>
      <c r="F259">
        <v>3258</v>
      </c>
    </row>
    <row r="260" spans="1:8">
      <c r="A260" t="str">
        <f t="shared" si="9"/>
        <v xml:space="preserve">BEER_GEN | WINTER_ALE | </v>
      </c>
      <c r="B260" t="s">
        <v>1844</v>
      </c>
      <c r="C260" t="str">
        <f t="shared" si="8"/>
        <v>WINTER_ALE;WINTER</v>
      </c>
      <c r="D260" t="s">
        <v>5625</v>
      </c>
      <c r="F260">
        <v>3259</v>
      </c>
      <c r="H260" t="s">
        <v>6364</v>
      </c>
    </row>
    <row r="261" spans="1:8">
      <c r="A261" t="str">
        <f t="shared" si="9"/>
        <v xml:space="preserve">BEER_GEN | WINTER_WARMER | </v>
      </c>
      <c r="B261" t="s">
        <v>1844</v>
      </c>
      <c r="C261" t="str">
        <f t="shared" si="8"/>
        <v>WINTER_WARMER</v>
      </c>
      <c r="D261" t="s">
        <v>5626</v>
      </c>
      <c r="F261">
        <v>3260</v>
      </c>
    </row>
    <row r="262" spans="1:8">
      <c r="A262" t="str">
        <f t="shared" si="9"/>
        <v xml:space="preserve">BEER_GEN | BEERS_OTHER | </v>
      </c>
      <c r="B262" t="s">
        <v>1844</v>
      </c>
      <c r="C262" t="str">
        <f t="shared" si="8"/>
        <v>BEERS_OTHER</v>
      </c>
      <c r="D262" t="s">
        <v>5627</v>
      </c>
      <c r="F262">
        <v>3261</v>
      </c>
    </row>
    <row r="263" spans="1:8">
      <c r="A263" t="str">
        <f t="shared" si="9"/>
        <v xml:space="preserve">BEER_GEN | BEERS_SPECIAL | </v>
      </c>
      <c r="B263" t="s">
        <v>1844</v>
      </c>
      <c r="C263" t="str">
        <f t="shared" si="8"/>
        <v>BEERS_SPECIAL</v>
      </c>
      <c r="D263" t="s">
        <v>5628</v>
      </c>
      <c r="F263">
        <v>3262</v>
      </c>
    </row>
    <row r="264" spans="1:8">
      <c r="A264" t="str">
        <f t="shared" si="9"/>
        <v xml:space="preserve">BEER_GEN | SPIRIT_FLAVOURED_BEERS | </v>
      </c>
      <c r="B264" t="s">
        <v>1844</v>
      </c>
      <c r="C264" t="str">
        <f t="shared" si="8"/>
        <v>SPIRIT_FLAVOURED_BEERS</v>
      </c>
      <c r="D264" t="s">
        <v>5629</v>
      </c>
      <c r="F264">
        <v>3263</v>
      </c>
    </row>
    <row r="265" spans="1:8">
      <c r="A265" t="str">
        <f t="shared" si="9"/>
        <v>BEER_GEN | ALTBIER &gt; STICKE | ZERO</v>
      </c>
      <c r="B265" t="s">
        <v>1844</v>
      </c>
      <c r="C265" t="str">
        <f t="shared" si="8"/>
        <v>ALTBIER &gt; STICKE</v>
      </c>
      <c r="D265" t="s">
        <v>5630</v>
      </c>
      <c r="E265" t="s">
        <v>801</v>
      </c>
      <c r="F265">
        <v>3264</v>
      </c>
    </row>
    <row r="266" spans="1:8">
      <c r="A266" t="str">
        <f t="shared" si="9"/>
        <v>BEER_GEN | ALTBIER &gt; TRADITIONAL | ZERO</v>
      </c>
      <c r="B266" t="s">
        <v>1844</v>
      </c>
      <c r="C266" t="str">
        <f t="shared" si="8"/>
        <v>ALTBIER &gt; TRADITIONAL</v>
      </c>
      <c r="D266" t="s">
        <v>5631</v>
      </c>
      <c r="E266" t="s">
        <v>801</v>
      </c>
      <c r="F266">
        <v>3265</v>
      </c>
    </row>
    <row r="267" spans="1:8">
      <c r="A267" t="str">
        <f t="shared" si="9"/>
        <v>BEER_GEN | AUSTRALIAN_SPARKLING_ALE | ZERO</v>
      </c>
      <c r="B267" t="s">
        <v>1844</v>
      </c>
      <c r="C267" t="str">
        <f t="shared" si="8"/>
        <v>AUSTRALIAN_SPARKLING_ALE</v>
      </c>
      <c r="D267" t="s">
        <v>5574</v>
      </c>
      <c r="E267" t="s">
        <v>801</v>
      </c>
      <c r="F267">
        <v>3266</v>
      </c>
    </row>
    <row r="268" spans="1:8">
      <c r="A268" t="str">
        <f t="shared" si="9"/>
        <v>BEER_GEN | BARLEYWINE &gt; AMERICAN | ZERO</v>
      </c>
      <c r="B268" t="s">
        <v>1844</v>
      </c>
      <c r="C268" t="str">
        <f t="shared" si="8"/>
        <v>BARLEYWINE &gt; AMERICAN</v>
      </c>
      <c r="D268" t="s">
        <v>5632</v>
      </c>
      <c r="E268" t="s">
        <v>801</v>
      </c>
      <c r="F268">
        <v>3267</v>
      </c>
    </row>
    <row r="269" spans="1:8">
      <c r="A269" t="str">
        <f t="shared" si="9"/>
        <v>BEER_GEN | BARLEYWINE &gt; ENGLISH | ZERO</v>
      </c>
      <c r="B269" t="s">
        <v>1844</v>
      </c>
      <c r="C269" t="str">
        <f t="shared" si="8"/>
        <v>BARLEYWINE &gt; ENGLISH</v>
      </c>
      <c r="D269" t="s">
        <v>5633</v>
      </c>
      <c r="E269" t="s">
        <v>801</v>
      </c>
      <c r="F269">
        <v>3268</v>
      </c>
    </row>
    <row r="270" spans="1:8">
      <c r="A270" t="str">
        <f t="shared" si="9"/>
        <v>BEER_GEN | BARLEYWINE &gt; OTHER | ZERO</v>
      </c>
      <c r="B270" t="s">
        <v>1844</v>
      </c>
      <c r="C270" t="str">
        <f t="shared" si="8"/>
        <v>BARLEYWINE &gt; OTHER</v>
      </c>
      <c r="D270" t="s">
        <v>5634</v>
      </c>
      <c r="E270" t="s">
        <v>801</v>
      </c>
      <c r="F270">
        <v>3269</v>
      </c>
    </row>
    <row r="271" spans="1:8">
      <c r="A271" t="str">
        <f t="shared" si="9"/>
        <v>BEER_GEN | BELGIAN_BLONDE | ZERO</v>
      </c>
      <c r="B271" t="s">
        <v>1844</v>
      </c>
      <c r="C271" t="str">
        <f t="shared" si="8"/>
        <v>BELGIAN_BLONDE</v>
      </c>
      <c r="D271" t="s">
        <v>5575</v>
      </c>
      <c r="E271" t="s">
        <v>801</v>
      </c>
      <c r="F271">
        <v>3270</v>
      </c>
    </row>
    <row r="272" spans="1:8">
      <c r="A272" t="str">
        <f t="shared" si="9"/>
        <v>BEER_GEN | BELGIAN_DUBBEL | ZERO</v>
      </c>
      <c r="B272" t="s">
        <v>1844</v>
      </c>
      <c r="C272" t="str">
        <f t="shared" si="8"/>
        <v>BELGIAN_DUBBEL</v>
      </c>
      <c r="D272" t="s">
        <v>5576</v>
      </c>
      <c r="E272" t="s">
        <v>801</v>
      </c>
      <c r="F272">
        <v>3271</v>
      </c>
    </row>
    <row r="273" spans="1:6">
      <c r="A273" t="str">
        <f t="shared" si="9"/>
        <v>BEER_GEN | BELGIAN_ENKEL_/_PATERSBIER | ZERO</v>
      </c>
      <c r="B273" t="s">
        <v>1844</v>
      </c>
      <c r="C273" t="str">
        <f t="shared" si="8"/>
        <v>BELGIAN_ENKEL_/_PATERSBIER</v>
      </c>
      <c r="D273" t="s">
        <v>5577</v>
      </c>
      <c r="E273" t="s">
        <v>801</v>
      </c>
      <c r="F273">
        <v>3272</v>
      </c>
    </row>
    <row r="274" spans="1:6">
      <c r="A274" t="str">
        <f t="shared" si="9"/>
        <v>BEER_GEN | BELGIAN_QUADRUPEL | ZERO</v>
      </c>
      <c r="B274" t="s">
        <v>1844</v>
      </c>
      <c r="C274" t="str">
        <f t="shared" si="8"/>
        <v>BELGIAN_QUADRUPEL</v>
      </c>
      <c r="D274" t="s">
        <v>5578</v>
      </c>
      <c r="E274" t="s">
        <v>801</v>
      </c>
      <c r="F274">
        <v>3273</v>
      </c>
    </row>
    <row r="275" spans="1:6">
      <c r="A275" t="str">
        <f t="shared" si="9"/>
        <v>BEER_GEN | BELGIAN_STRONG_DARK_ALE | ZERO</v>
      </c>
      <c r="B275" t="s">
        <v>1844</v>
      </c>
      <c r="C275" t="str">
        <f t="shared" si="8"/>
        <v>BELGIAN_STRONG_DARK_ALE</v>
      </c>
      <c r="D275" t="s">
        <v>5579</v>
      </c>
      <c r="E275" t="s">
        <v>801</v>
      </c>
      <c r="F275">
        <v>3274</v>
      </c>
    </row>
    <row r="276" spans="1:6">
      <c r="A276" t="str">
        <f t="shared" si="9"/>
        <v>BEER_GEN | BELGIAN_STRONG_GOLDEN_ALE | ZERO</v>
      </c>
      <c r="B276" t="s">
        <v>1844</v>
      </c>
      <c r="C276" t="str">
        <f t="shared" si="8"/>
        <v>BELGIAN_STRONG_GOLDEN_ALE</v>
      </c>
      <c r="D276" t="s">
        <v>5580</v>
      </c>
      <c r="E276" t="s">
        <v>801</v>
      </c>
      <c r="F276">
        <v>3275</v>
      </c>
    </row>
    <row r="277" spans="1:6">
      <c r="A277" t="str">
        <f t="shared" si="9"/>
        <v>BEER_GEN | BELGIAN_TRIPEL | ZERO</v>
      </c>
      <c r="B277" t="s">
        <v>1844</v>
      </c>
      <c r="C277" t="str">
        <f t="shared" si="8"/>
        <v>BELGIAN_TRIPEL</v>
      </c>
      <c r="D277" t="s">
        <v>5581</v>
      </c>
      <c r="E277" t="s">
        <v>801</v>
      </c>
      <c r="F277">
        <v>3276</v>
      </c>
    </row>
    <row r="278" spans="1:6">
      <c r="A278" t="str">
        <f t="shared" si="9"/>
        <v>BEER_GEN | BIERE_DE_CHAMPAGNE_/_BIERE_BRUT | ZERO</v>
      </c>
      <c r="B278" t="s">
        <v>1844</v>
      </c>
      <c r="C278" t="str">
        <f t="shared" si="8"/>
        <v>BIERE_DE_CHAMPAGNE_/_BIERE_BRUT</v>
      </c>
      <c r="D278" t="s">
        <v>5582</v>
      </c>
      <c r="E278" t="s">
        <v>801</v>
      </c>
      <c r="F278">
        <v>3277</v>
      </c>
    </row>
    <row r="279" spans="1:6">
      <c r="A279" t="str">
        <f t="shared" si="9"/>
        <v>BEER_GEN | BITTER &gt; BEST | ZERO</v>
      </c>
      <c r="B279" t="s">
        <v>1844</v>
      </c>
      <c r="C279" t="str">
        <f t="shared" si="8"/>
        <v>BITTER &gt; BEST</v>
      </c>
      <c r="D279" t="s">
        <v>5635</v>
      </c>
      <c r="E279" t="s">
        <v>801</v>
      </c>
      <c r="F279">
        <v>3278</v>
      </c>
    </row>
    <row r="280" spans="1:6">
      <c r="A280" t="str">
        <f t="shared" si="9"/>
        <v>BEER_GEN | BITTER &gt; EXTRA_SPECIAL_/_STRONG_(ESB) | ZERO</v>
      </c>
      <c r="B280" t="s">
        <v>1844</v>
      </c>
      <c r="C280" t="str">
        <f t="shared" si="8"/>
        <v>BITTER &gt; EXTRA_SPECIAL_/_STRONG_(ESB)</v>
      </c>
      <c r="D280" t="s">
        <v>5636</v>
      </c>
      <c r="E280" t="s">
        <v>801</v>
      </c>
      <c r="F280">
        <v>3279</v>
      </c>
    </row>
    <row r="281" spans="1:6">
      <c r="A281" t="str">
        <f t="shared" si="9"/>
        <v>BEER_GEN | BITTER &gt; SESSION_/_ORDINARY | ZERO</v>
      </c>
      <c r="B281" t="s">
        <v>1844</v>
      </c>
      <c r="C281" t="str">
        <f t="shared" si="8"/>
        <v>BITTER &gt; SESSION_/_ORDINARY</v>
      </c>
      <c r="D281" t="s">
        <v>5637</v>
      </c>
      <c r="E281" t="s">
        <v>801</v>
      </c>
      <c r="F281">
        <v>3280</v>
      </c>
    </row>
    <row r="282" spans="1:6">
      <c r="A282" t="str">
        <f t="shared" si="9"/>
        <v>BEER_GEN | BLACK_&amp;_TAN | ZERO</v>
      </c>
      <c r="B282" t="s">
        <v>1844</v>
      </c>
      <c r="C282" t="str">
        <f t="shared" si="8"/>
        <v>BLACK_&amp;_TAN</v>
      </c>
      <c r="D282" t="s">
        <v>5583</v>
      </c>
      <c r="E282" t="s">
        <v>801</v>
      </c>
      <c r="F282">
        <v>3281</v>
      </c>
    </row>
    <row r="283" spans="1:6">
      <c r="A283" t="str">
        <f t="shared" si="9"/>
        <v>BEER_GEN | BLONDE_/_GOLDEN_ALE &gt; AMERICAN | ZERO</v>
      </c>
      <c r="B283" t="s">
        <v>1844</v>
      </c>
      <c r="C283" t="str">
        <f t="shared" si="8"/>
        <v>BLONDE_/_GOLDEN_ALE &gt; AMERICAN</v>
      </c>
      <c r="D283" t="s">
        <v>5638</v>
      </c>
      <c r="E283" t="s">
        <v>801</v>
      </c>
      <c r="F283">
        <v>3282</v>
      </c>
    </row>
    <row r="284" spans="1:6">
      <c r="A284" t="str">
        <f t="shared" si="9"/>
        <v>BEER_GEN | BLONDE_/_GOLDEN_ALE &gt; ENGLISH | ZERO</v>
      </c>
      <c r="B284" t="s">
        <v>1844</v>
      </c>
      <c r="C284" t="str">
        <f t="shared" si="8"/>
        <v>BLONDE_/_GOLDEN_ALE &gt; ENGLISH</v>
      </c>
      <c r="D284" t="s">
        <v>5639</v>
      </c>
      <c r="E284" t="s">
        <v>801</v>
      </c>
      <c r="F284">
        <v>3283</v>
      </c>
    </row>
    <row r="285" spans="1:6">
      <c r="A285" t="str">
        <f t="shared" si="9"/>
        <v>BEER_GEN | BLONDE_/_GOLDEN_ALE &gt; OTHER | ZERO</v>
      </c>
      <c r="B285" t="s">
        <v>1844</v>
      </c>
      <c r="C285" t="str">
        <f t="shared" si="8"/>
        <v>BLONDE_/_GOLDEN_ALE &gt; OTHER</v>
      </c>
      <c r="D285" t="s">
        <v>5640</v>
      </c>
      <c r="E285" t="s">
        <v>801</v>
      </c>
      <c r="F285">
        <v>3284</v>
      </c>
    </row>
    <row r="286" spans="1:6">
      <c r="A286" t="str">
        <f t="shared" si="9"/>
        <v>BEER_GEN | BOCK &gt; DOPPELBOCK | ZERO</v>
      </c>
      <c r="B286" t="s">
        <v>1844</v>
      </c>
      <c r="C286" t="str">
        <f t="shared" si="8"/>
        <v>BOCK &gt; DOPPELBOCK</v>
      </c>
      <c r="D286" t="s">
        <v>5641</v>
      </c>
      <c r="E286" t="s">
        <v>801</v>
      </c>
      <c r="F286">
        <v>3285</v>
      </c>
    </row>
    <row r="287" spans="1:6">
      <c r="A287" t="str">
        <f t="shared" si="9"/>
        <v>BEER_GEN | BOCK &gt; EISBOCK | ZERO</v>
      </c>
      <c r="B287" t="s">
        <v>1844</v>
      </c>
      <c r="C287" t="str">
        <f t="shared" si="8"/>
        <v>BOCK &gt; EISBOCK</v>
      </c>
      <c r="D287" t="s">
        <v>5642</v>
      </c>
      <c r="E287" t="s">
        <v>801</v>
      </c>
      <c r="F287">
        <v>3286</v>
      </c>
    </row>
    <row r="288" spans="1:6">
      <c r="A288" t="str">
        <f t="shared" si="9"/>
        <v>BEER_GEN | BOCK &gt; HELL_/_MAIBOCK_/_LENTEBOCK | ZERO</v>
      </c>
      <c r="B288" t="s">
        <v>1844</v>
      </c>
      <c r="C288" t="str">
        <f t="shared" si="8"/>
        <v>BOCK &gt; HELL_/_MAIBOCK_/_LENTEBOCK</v>
      </c>
      <c r="D288" t="s">
        <v>5643</v>
      </c>
      <c r="E288" t="s">
        <v>801</v>
      </c>
      <c r="F288">
        <v>3287</v>
      </c>
    </row>
    <row r="289" spans="1:6">
      <c r="A289" t="str">
        <f t="shared" si="9"/>
        <v>BEER_GEN | BOCK &gt; SINGLE_/_TRADITIONAL | ZERO</v>
      </c>
      <c r="B289" t="s">
        <v>1844</v>
      </c>
      <c r="C289" t="str">
        <f t="shared" si="8"/>
        <v>BOCK &gt; SINGLE_/_TRADITIONAL</v>
      </c>
      <c r="D289" t="s">
        <v>5644</v>
      </c>
      <c r="E289" t="s">
        <v>801</v>
      </c>
      <c r="F289">
        <v>3288</v>
      </c>
    </row>
    <row r="290" spans="1:6">
      <c r="A290" t="str">
        <f t="shared" si="9"/>
        <v>BEER_GEN | BOCK &gt; WEIZENBOCK | ZERO</v>
      </c>
      <c r="B290" t="s">
        <v>1844</v>
      </c>
      <c r="C290" t="str">
        <f t="shared" si="8"/>
        <v>BOCK &gt; WEIZENBOCK</v>
      </c>
      <c r="D290" t="s">
        <v>5645</v>
      </c>
      <c r="E290" t="s">
        <v>801</v>
      </c>
      <c r="F290">
        <v>3289</v>
      </c>
    </row>
    <row r="291" spans="1:6">
      <c r="A291" t="str">
        <f t="shared" si="9"/>
        <v>BEER_GEN | BOCK &gt; WEIZENDOPPELBOCK | ZERO</v>
      </c>
      <c r="B291" t="s">
        <v>1844</v>
      </c>
      <c r="C291" t="str">
        <f t="shared" si="8"/>
        <v>BOCK &gt; WEIZENDOPPELBOCK</v>
      </c>
      <c r="D291" t="s">
        <v>5646</v>
      </c>
      <c r="E291" t="s">
        <v>801</v>
      </c>
      <c r="F291">
        <v>3290</v>
      </c>
    </row>
    <row r="292" spans="1:6">
      <c r="A292" t="str">
        <f t="shared" si="9"/>
        <v>BEER_GEN | BRETT_BEER | ZERO</v>
      </c>
      <c r="B292" t="s">
        <v>1844</v>
      </c>
      <c r="C292" t="str">
        <f t="shared" si="8"/>
        <v>BRETT_BEER</v>
      </c>
      <c r="D292" t="s">
        <v>5584</v>
      </c>
      <c r="E292" t="s">
        <v>801</v>
      </c>
      <c r="F292">
        <v>3291</v>
      </c>
    </row>
    <row r="293" spans="1:6">
      <c r="A293" t="str">
        <f t="shared" si="9"/>
        <v>BEER_GEN | BROWN_ALE &gt; AMERICAN | ZERO</v>
      </c>
      <c r="B293" t="s">
        <v>1844</v>
      </c>
      <c r="C293" t="str">
        <f t="shared" si="8"/>
        <v>BROWN_ALE &gt; AMERICAN</v>
      </c>
      <c r="D293" t="s">
        <v>5647</v>
      </c>
      <c r="E293" t="s">
        <v>801</v>
      </c>
      <c r="F293">
        <v>3292</v>
      </c>
    </row>
    <row r="294" spans="1:6">
      <c r="A294" t="str">
        <f t="shared" si="9"/>
        <v>BEER_GEN | BROWN_ALE &gt; BELGIAN | ZERO</v>
      </c>
      <c r="B294" t="s">
        <v>1844</v>
      </c>
      <c r="C294" t="str">
        <f t="shared" si="8"/>
        <v>BROWN_ALE &gt; BELGIAN</v>
      </c>
      <c r="D294" t="s">
        <v>5648</v>
      </c>
      <c r="E294" t="s">
        <v>801</v>
      </c>
      <c r="F294">
        <v>3293</v>
      </c>
    </row>
    <row r="295" spans="1:6">
      <c r="A295" t="str">
        <f t="shared" si="9"/>
        <v>BEER_GEN | BROWN_ALE &gt; ENGLISH | ZERO</v>
      </c>
      <c r="B295" t="s">
        <v>1844</v>
      </c>
      <c r="C295" t="str">
        <f t="shared" si="8"/>
        <v>BROWN_ALE &gt; ENGLISH</v>
      </c>
      <c r="D295" t="s">
        <v>5649</v>
      </c>
      <c r="E295" t="s">
        <v>801</v>
      </c>
      <c r="F295">
        <v>3294</v>
      </c>
    </row>
    <row r="296" spans="1:6">
      <c r="A296" t="str">
        <f t="shared" si="9"/>
        <v>BEER_GEN | BROWN_ALE &gt; IMPERIAL_/_DOUBLE | ZERO</v>
      </c>
      <c r="B296" t="s">
        <v>1844</v>
      </c>
      <c r="C296" t="str">
        <f t="shared" si="8"/>
        <v>BROWN_ALE &gt; IMPERIAL_/_DOUBLE</v>
      </c>
      <c r="D296" t="s">
        <v>5650</v>
      </c>
      <c r="E296" t="s">
        <v>801</v>
      </c>
      <c r="F296">
        <v>3295</v>
      </c>
    </row>
    <row r="297" spans="1:6">
      <c r="A297" t="str">
        <f t="shared" si="9"/>
        <v>BEER_GEN | BROWN_ALE &gt; OTHER | ZERO</v>
      </c>
      <c r="B297" t="s">
        <v>1844</v>
      </c>
      <c r="C297" t="str">
        <f t="shared" si="8"/>
        <v>BROWN_ALE &gt; OTHER</v>
      </c>
      <c r="D297" t="s">
        <v>5651</v>
      </c>
      <c r="E297" t="s">
        <v>801</v>
      </c>
      <c r="F297">
        <v>3296</v>
      </c>
    </row>
    <row r="298" spans="1:6">
      <c r="A298" t="str">
        <f t="shared" si="9"/>
        <v>BEER_GEN | CALIFORNIA_COMMON | ZERO</v>
      </c>
      <c r="B298" t="s">
        <v>1844</v>
      </c>
      <c r="C298" t="str">
        <f t="shared" si="8"/>
        <v>CALIFORNIA_COMMON</v>
      </c>
      <c r="D298" t="s">
        <v>5585</v>
      </c>
      <c r="E298" t="s">
        <v>801</v>
      </c>
      <c r="F298">
        <v>3297</v>
      </c>
    </row>
    <row r="299" spans="1:6">
      <c r="A299" t="str">
        <f t="shared" si="9"/>
        <v>BEER_GEN | CHILLI_/_CHILE_BEER | ZERO</v>
      </c>
      <c r="B299" t="s">
        <v>1844</v>
      </c>
      <c r="C299" t="str">
        <f t="shared" si="8"/>
        <v>CHILLI_/_CHILE_BEER</v>
      </c>
      <c r="D299" t="s">
        <v>5586</v>
      </c>
      <c r="E299" t="s">
        <v>801</v>
      </c>
      <c r="F299">
        <v>3298</v>
      </c>
    </row>
    <row r="300" spans="1:6">
      <c r="A300" t="str">
        <f t="shared" si="9"/>
        <v>BEER_GEN | CIDER &gt; APPLEWINE | ZERO</v>
      </c>
      <c r="B300" t="s">
        <v>1844</v>
      </c>
      <c r="C300" t="str">
        <f t="shared" si="8"/>
        <v>CIDER &gt; APPLEWINE</v>
      </c>
      <c r="D300" t="s">
        <v>5652</v>
      </c>
      <c r="E300" t="s">
        <v>801</v>
      </c>
      <c r="F300">
        <v>3299</v>
      </c>
    </row>
    <row r="301" spans="1:6">
      <c r="A301" t="str">
        <f t="shared" si="9"/>
        <v>BEER_GEN | CIDER &gt; BASQUE | ZERO</v>
      </c>
      <c r="B301" t="s">
        <v>1844</v>
      </c>
      <c r="C301" t="str">
        <f t="shared" si="8"/>
        <v>CIDER &gt; BASQUE</v>
      </c>
      <c r="D301" t="s">
        <v>5653</v>
      </c>
      <c r="E301" t="s">
        <v>801</v>
      </c>
      <c r="F301">
        <v>3300</v>
      </c>
    </row>
    <row r="302" spans="1:6">
      <c r="A302" t="str">
        <f t="shared" si="9"/>
        <v>BEER_GEN | CIDER &gt; DRY | ZERO</v>
      </c>
      <c r="B302" t="s">
        <v>1844</v>
      </c>
      <c r="C302" t="str">
        <f t="shared" si="8"/>
        <v>CIDER &gt; DRY</v>
      </c>
      <c r="D302" t="s">
        <v>5654</v>
      </c>
      <c r="E302" t="s">
        <v>801</v>
      </c>
      <c r="F302">
        <v>3301</v>
      </c>
    </row>
    <row r="303" spans="1:6">
      <c r="A303" t="str">
        <f t="shared" si="9"/>
        <v>BEER_GEN | CIDER &gt; GRAFF | ZERO</v>
      </c>
      <c r="B303" t="s">
        <v>1844</v>
      </c>
      <c r="C303" t="str">
        <f t="shared" si="8"/>
        <v>CIDER &gt; GRAFF</v>
      </c>
      <c r="D303" t="s">
        <v>5655</v>
      </c>
      <c r="E303" t="s">
        <v>801</v>
      </c>
      <c r="F303">
        <v>3302</v>
      </c>
    </row>
    <row r="304" spans="1:6">
      <c r="A304" t="str">
        <f t="shared" si="9"/>
        <v>BEER_GEN | CIDER &gt; HERBED_/_SPICED_/_HOPPED | ZERO</v>
      </c>
      <c r="B304" t="s">
        <v>1844</v>
      </c>
      <c r="C304" t="str">
        <f t="shared" si="8"/>
        <v>CIDER &gt; HERBED_/_SPICED_/_HOPPED</v>
      </c>
      <c r="D304" t="s">
        <v>5656</v>
      </c>
      <c r="E304" t="s">
        <v>801</v>
      </c>
      <c r="F304">
        <v>3303</v>
      </c>
    </row>
    <row r="305" spans="1:6">
      <c r="A305" t="str">
        <f t="shared" si="9"/>
        <v>BEER_GEN | CIDER &gt; ICE | ZERO</v>
      </c>
      <c r="B305" t="s">
        <v>1844</v>
      </c>
      <c r="C305" t="str">
        <f t="shared" si="8"/>
        <v>CIDER &gt; ICE</v>
      </c>
      <c r="D305" t="s">
        <v>5657</v>
      </c>
      <c r="E305" t="s">
        <v>801</v>
      </c>
      <c r="F305">
        <v>3304</v>
      </c>
    </row>
    <row r="306" spans="1:6">
      <c r="A306" t="str">
        <f t="shared" si="9"/>
        <v>BEER_GEN | CIDER &gt; OTHER_FRUIT | ZERO</v>
      </c>
      <c r="B306" t="s">
        <v>1844</v>
      </c>
      <c r="C306" t="str">
        <f t="shared" si="8"/>
        <v>CIDER &gt; OTHER_FRUIT</v>
      </c>
      <c r="D306" t="s">
        <v>5658</v>
      </c>
      <c r="E306" t="s">
        <v>801</v>
      </c>
      <c r="F306">
        <v>3305</v>
      </c>
    </row>
    <row r="307" spans="1:6">
      <c r="A307" t="str">
        <f t="shared" si="9"/>
        <v>BEER_GEN | CIDER &gt; PERRY_/_POIRE | ZERO</v>
      </c>
      <c r="B307" t="s">
        <v>1844</v>
      </c>
      <c r="C307" t="str">
        <f t="shared" si="8"/>
        <v>CIDER &gt; PERRY_/_POIRE</v>
      </c>
      <c r="D307" t="s">
        <v>5659</v>
      </c>
      <c r="E307" t="s">
        <v>801</v>
      </c>
      <c r="F307">
        <v>3306</v>
      </c>
    </row>
    <row r="308" spans="1:6">
      <c r="A308" t="str">
        <f t="shared" si="9"/>
        <v>BEER_GEN | CIDER &gt; ROSE | ZERO</v>
      </c>
      <c r="B308" t="s">
        <v>1844</v>
      </c>
      <c r="C308" t="str">
        <f t="shared" si="8"/>
        <v>CIDER &gt; ROSE</v>
      </c>
      <c r="D308" t="s">
        <v>5660</v>
      </c>
      <c r="E308" t="s">
        <v>801</v>
      </c>
      <c r="F308">
        <v>3307</v>
      </c>
    </row>
    <row r="309" spans="1:6">
      <c r="A309" t="str">
        <f t="shared" si="9"/>
        <v>BEER_GEN | CIDER &gt; SWEET | ZERO</v>
      </c>
      <c r="B309" t="s">
        <v>1844</v>
      </c>
      <c r="C309" t="str">
        <f t="shared" si="8"/>
        <v>CIDER &gt; SWEET</v>
      </c>
      <c r="D309" t="s">
        <v>5661</v>
      </c>
      <c r="E309" t="s">
        <v>801</v>
      </c>
      <c r="F309">
        <v>3308</v>
      </c>
    </row>
    <row r="310" spans="1:6">
      <c r="A310" t="str">
        <f t="shared" si="9"/>
        <v>BEER_GEN | CIDER &gt; TRADITIONAL_/_APFELWEIN | ZERO</v>
      </c>
      <c r="B310" t="s">
        <v>1844</v>
      </c>
      <c r="C310" t="str">
        <f t="shared" si="8"/>
        <v>CIDER &gt; TRADITIONAL_/_APFELWEIN</v>
      </c>
      <c r="D310" t="s">
        <v>5662</v>
      </c>
      <c r="E310" t="s">
        <v>801</v>
      </c>
      <c r="F310">
        <v>3309</v>
      </c>
    </row>
    <row r="311" spans="1:6">
      <c r="A311" t="str">
        <f t="shared" si="9"/>
        <v>BEER_GEN | CORN_BEER_/_CHICHA_DE_JORA | ZERO</v>
      </c>
      <c r="B311" t="s">
        <v>1844</v>
      </c>
      <c r="C311" t="str">
        <f t="shared" si="8"/>
        <v>CORN_BEER_/_CHICHA_DE_JORA</v>
      </c>
      <c r="D311" t="s">
        <v>5587</v>
      </c>
      <c r="E311" t="s">
        <v>801</v>
      </c>
      <c r="F311">
        <v>3310</v>
      </c>
    </row>
    <row r="312" spans="1:6">
      <c r="A312" t="str">
        <f t="shared" si="9"/>
        <v>BEER_GEN | CREAM_ALE | ZERO</v>
      </c>
      <c r="B312" t="s">
        <v>1844</v>
      </c>
      <c r="C312" t="str">
        <f t="shared" si="8"/>
        <v>CREAM_ALE</v>
      </c>
      <c r="D312" t="s">
        <v>5588</v>
      </c>
      <c r="E312" t="s">
        <v>801</v>
      </c>
      <c r="F312">
        <v>3311</v>
      </c>
    </row>
    <row r="313" spans="1:6">
      <c r="A313" t="str">
        <f t="shared" si="9"/>
        <v>BEER_GEN | CREAM_ALE &gt; IMPERIAL_/_DOUBLE | ZERO</v>
      </c>
      <c r="B313" t="s">
        <v>1844</v>
      </c>
      <c r="C313" t="str">
        <f t="shared" si="8"/>
        <v>CREAM_ALE &gt; IMPERIAL_/_DOUBLE</v>
      </c>
      <c r="D313" t="s">
        <v>5663</v>
      </c>
      <c r="E313" t="s">
        <v>801</v>
      </c>
      <c r="F313">
        <v>3312</v>
      </c>
    </row>
    <row r="314" spans="1:6">
      <c r="A314" t="str">
        <f t="shared" si="9"/>
        <v>BEER_GEN | DARK_ALE | ZERO</v>
      </c>
      <c r="B314" t="s">
        <v>1844</v>
      </c>
      <c r="C314" t="str">
        <f t="shared" si="8"/>
        <v>DARK_ALE</v>
      </c>
      <c r="D314" t="s">
        <v>5589</v>
      </c>
      <c r="E314" t="s">
        <v>801</v>
      </c>
      <c r="F314">
        <v>3313</v>
      </c>
    </row>
    <row r="315" spans="1:6">
      <c r="A315" t="str">
        <f t="shared" si="9"/>
        <v>BEER_GEN | FARMHOUSE_ALE &gt; BIERE_DE_COUPAGE | ZERO</v>
      </c>
      <c r="B315" t="s">
        <v>1844</v>
      </c>
      <c r="C315" t="str">
        <f t="shared" ref="C315:C378" si="10">_xlfn.TEXTJOIN(";",TRUE,D315,H315:N315)</f>
        <v>FARMHOUSE_ALE &gt; BIERE_DE_COUPAGE</v>
      </c>
      <c r="D315" t="s">
        <v>5664</v>
      </c>
      <c r="E315" t="s">
        <v>801</v>
      </c>
      <c r="F315">
        <v>3314</v>
      </c>
    </row>
    <row r="316" spans="1:6">
      <c r="A316" t="str">
        <f t="shared" si="9"/>
        <v>BEER_GEN | FARMHOUSE_ALE &gt; BIERE_DE_GARDE | ZERO</v>
      </c>
      <c r="B316" t="s">
        <v>1844</v>
      </c>
      <c r="C316" t="str">
        <f t="shared" si="10"/>
        <v>FARMHOUSE_ALE &gt; BIERE_DE_GARDE</v>
      </c>
      <c r="D316" t="s">
        <v>5665</v>
      </c>
      <c r="E316" t="s">
        <v>801</v>
      </c>
      <c r="F316">
        <v>3315</v>
      </c>
    </row>
    <row r="317" spans="1:6">
      <c r="A317" t="str">
        <f t="shared" si="9"/>
        <v>BEER_GEN | FARMHOUSE_ALE &gt; BIERE_DE_MARS | ZERO</v>
      </c>
      <c r="B317" t="s">
        <v>1844</v>
      </c>
      <c r="C317" t="str">
        <f t="shared" si="10"/>
        <v>FARMHOUSE_ALE &gt; BIERE_DE_MARS</v>
      </c>
      <c r="D317" t="s">
        <v>5666</v>
      </c>
      <c r="E317" t="s">
        <v>801</v>
      </c>
      <c r="F317">
        <v>3316</v>
      </c>
    </row>
    <row r="318" spans="1:6">
      <c r="A318" t="str">
        <f t="shared" si="9"/>
        <v>BEER_GEN | FARMHOUSE_ALE &gt; BRETT | ZERO</v>
      </c>
      <c r="B318" t="s">
        <v>1844</v>
      </c>
      <c r="C318" t="str">
        <f t="shared" si="10"/>
        <v>FARMHOUSE_ALE &gt; BRETT</v>
      </c>
      <c r="D318" t="s">
        <v>5667</v>
      </c>
      <c r="E318" t="s">
        <v>801</v>
      </c>
      <c r="F318">
        <v>3317</v>
      </c>
    </row>
    <row r="319" spans="1:6">
      <c r="A319" t="str">
        <f t="shared" si="9"/>
        <v>BEER_GEN | FARMHOUSE_ALE &gt; GRISETTE | ZERO</v>
      </c>
      <c r="B319" t="s">
        <v>1844</v>
      </c>
      <c r="C319" t="str">
        <f t="shared" si="10"/>
        <v>FARMHOUSE_ALE &gt; GRISETTE</v>
      </c>
      <c r="D319" t="s">
        <v>5668</v>
      </c>
      <c r="E319" t="s">
        <v>801</v>
      </c>
      <c r="F319">
        <v>3318</v>
      </c>
    </row>
    <row r="320" spans="1:6">
      <c r="A320" t="str">
        <f t="shared" si="9"/>
        <v>BEER_GEN | FARMHOUSE_ALE &gt; KORNØL | ZERO</v>
      </c>
      <c r="B320" t="s">
        <v>1844</v>
      </c>
      <c r="C320" t="str">
        <f t="shared" si="10"/>
        <v>FARMHOUSE_ALE &gt; KORNØL</v>
      </c>
      <c r="D320" t="s">
        <v>5669</v>
      </c>
      <c r="E320" t="s">
        <v>801</v>
      </c>
      <c r="F320">
        <v>3319</v>
      </c>
    </row>
    <row r="321" spans="1:6">
      <c r="A321" t="str">
        <f t="shared" si="9"/>
        <v>BEER_GEN | FARMHOUSE_ALE &gt; OTHER | ZERO</v>
      </c>
      <c r="B321" t="s">
        <v>1844</v>
      </c>
      <c r="C321" t="str">
        <f t="shared" si="10"/>
        <v>FARMHOUSE_ALE &gt; OTHER</v>
      </c>
      <c r="D321" t="s">
        <v>5670</v>
      </c>
      <c r="E321" t="s">
        <v>801</v>
      </c>
      <c r="F321">
        <v>3320</v>
      </c>
    </row>
    <row r="322" spans="1:6">
      <c r="A322" t="str">
        <f t="shared" si="9"/>
        <v>BEER_GEN | FARMHOUSE_ALE &gt; SAHTI | ZERO</v>
      </c>
      <c r="B322" t="s">
        <v>1844</v>
      </c>
      <c r="C322" t="str">
        <f t="shared" si="10"/>
        <v>FARMHOUSE_ALE &gt; SAHTI</v>
      </c>
      <c r="D322" t="s">
        <v>5671</v>
      </c>
      <c r="E322" t="s">
        <v>801</v>
      </c>
      <c r="F322">
        <v>3321</v>
      </c>
    </row>
    <row r="323" spans="1:6">
      <c r="A323" t="str">
        <f t="shared" ref="A323:A386" si="11">B323&amp;" | "&amp;D323&amp;" | "&amp;E323</f>
        <v>BEER_GEN | FARMHOUSE_ALE &gt; SAISON | ZERO</v>
      </c>
      <c r="B323" t="s">
        <v>1844</v>
      </c>
      <c r="C323" t="str">
        <f t="shared" si="10"/>
        <v>FARMHOUSE_ALE &gt; SAISON</v>
      </c>
      <c r="D323" t="s">
        <v>5672</v>
      </c>
      <c r="E323" t="s">
        <v>801</v>
      </c>
      <c r="F323">
        <v>3322</v>
      </c>
    </row>
    <row r="324" spans="1:6">
      <c r="A324" t="str">
        <f t="shared" si="11"/>
        <v>BEER_GEN | FESTBIER | ZERO</v>
      </c>
      <c r="B324" t="s">
        <v>1844</v>
      </c>
      <c r="C324" t="str">
        <f t="shared" si="10"/>
        <v>FESTBIER</v>
      </c>
      <c r="D324" t="s">
        <v>5590</v>
      </c>
      <c r="E324" t="s">
        <v>801</v>
      </c>
      <c r="F324">
        <v>3323</v>
      </c>
    </row>
    <row r="325" spans="1:6">
      <c r="A325" t="str">
        <f t="shared" si="11"/>
        <v>BEER_GEN | FLAVORED_MALT_BEVERAGE | ZERO</v>
      </c>
      <c r="B325" t="s">
        <v>1844</v>
      </c>
      <c r="C325" t="str">
        <f t="shared" si="10"/>
        <v>FLAVORED_MALT_BEVERAGE</v>
      </c>
      <c r="D325" t="s">
        <v>5591</v>
      </c>
      <c r="E325" t="s">
        <v>801</v>
      </c>
      <c r="F325">
        <v>3324</v>
      </c>
    </row>
    <row r="326" spans="1:6">
      <c r="A326" t="str">
        <f t="shared" si="11"/>
        <v>BEER_GEN | FREEZE-DISTILLED_BEER | ZERO</v>
      </c>
      <c r="B326" t="s">
        <v>1844</v>
      </c>
      <c r="C326" t="str">
        <f t="shared" si="10"/>
        <v>FREEZE-DISTILLED_BEER</v>
      </c>
      <c r="D326" t="s">
        <v>5592</v>
      </c>
      <c r="E326" t="s">
        <v>801</v>
      </c>
      <c r="F326">
        <v>3325</v>
      </c>
    </row>
    <row r="327" spans="1:6">
      <c r="A327" t="str">
        <f t="shared" si="11"/>
        <v>BEER_GEN | FRUIT_BEER | ZERO</v>
      </c>
      <c r="B327" t="s">
        <v>1844</v>
      </c>
      <c r="C327" t="str">
        <f t="shared" si="10"/>
        <v>FRUIT_BEER</v>
      </c>
      <c r="D327" t="s">
        <v>5593</v>
      </c>
      <c r="E327" t="s">
        <v>801</v>
      </c>
      <c r="F327">
        <v>3326</v>
      </c>
    </row>
    <row r="328" spans="1:6">
      <c r="A328" t="str">
        <f t="shared" si="11"/>
        <v>BEER_GEN | GLUTEN-FREE | ZERO</v>
      </c>
      <c r="B328" t="s">
        <v>1844</v>
      </c>
      <c r="C328" t="str">
        <f t="shared" si="10"/>
        <v>GLUTEN-FREE</v>
      </c>
      <c r="D328" t="s">
        <v>5594</v>
      </c>
      <c r="E328" t="s">
        <v>801</v>
      </c>
      <c r="F328">
        <v>3327</v>
      </c>
    </row>
    <row r="329" spans="1:6">
      <c r="A329" t="str">
        <f t="shared" si="11"/>
        <v>BEER_GEN | GOLDEN_ALE &gt; UKRAINIAN | ZERO</v>
      </c>
      <c r="B329" t="s">
        <v>1844</v>
      </c>
      <c r="C329" t="str">
        <f t="shared" si="10"/>
        <v>GOLDEN_ALE &gt; UKRAINIAN</v>
      </c>
      <c r="D329" t="s">
        <v>5673</v>
      </c>
      <c r="E329" t="s">
        <v>801</v>
      </c>
      <c r="F329">
        <v>3328</v>
      </c>
    </row>
    <row r="330" spans="1:6">
      <c r="A330" t="str">
        <f t="shared" si="11"/>
        <v>BEER_GEN | GRAPE_ALE &gt; ITALIAN | ZERO</v>
      </c>
      <c r="B330" t="s">
        <v>1844</v>
      </c>
      <c r="C330" t="str">
        <f t="shared" si="10"/>
        <v>GRAPE_ALE &gt; ITALIAN</v>
      </c>
      <c r="D330" t="s">
        <v>5674</v>
      </c>
      <c r="E330" t="s">
        <v>801</v>
      </c>
      <c r="F330">
        <v>3329</v>
      </c>
    </row>
    <row r="331" spans="1:6">
      <c r="A331" t="str">
        <f t="shared" si="11"/>
        <v>BEER_GEN | GRAPE_ALE &gt; OTHER | ZERO</v>
      </c>
      <c r="B331" t="s">
        <v>1844</v>
      </c>
      <c r="C331" t="str">
        <f t="shared" si="10"/>
        <v>GRAPE_ALE &gt; OTHER</v>
      </c>
      <c r="D331" t="s">
        <v>5675</v>
      </c>
      <c r="E331" t="s">
        <v>801</v>
      </c>
      <c r="F331">
        <v>3330</v>
      </c>
    </row>
    <row r="332" spans="1:6">
      <c r="A332" t="str">
        <f t="shared" si="11"/>
        <v>BEER_GEN | GRODZISKIE_/_GRATZER | ZERO</v>
      </c>
      <c r="B332" t="s">
        <v>1844</v>
      </c>
      <c r="C332" t="str">
        <f t="shared" si="10"/>
        <v>GRODZISKIE_/_GRATZER</v>
      </c>
      <c r="D332" t="s">
        <v>5595</v>
      </c>
      <c r="E332" t="s">
        <v>801</v>
      </c>
      <c r="F332">
        <v>3331</v>
      </c>
    </row>
    <row r="333" spans="1:6">
      <c r="A333" t="str">
        <f t="shared" si="11"/>
        <v>BEER_GEN | HAPPOSHU | ZERO</v>
      </c>
      <c r="B333" t="s">
        <v>1844</v>
      </c>
      <c r="C333" t="str">
        <f t="shared" si="10"/>
        <v>HAPPOSHU</v>
      </c>
      <c r="D333" t="s">
        <v>5596</v>
      </c>
      <c r="E333" t="s">
        <v>801</v>
      </c>
      <c r="F333">
        <v>3332</v>
      </c>
    </row>
    <row r="334" spans="1:6">
      <c r="A334" t="str">
        <f t="shared" si="11"/>
        <v>BEER_GEN | HARD_GINGER_BEER | ZERO</v>
      </c>
      <c r="B334" t="s">
        <v>1844</v>
      </c>
      <c r="C334" t="str">
        <f t="shared" si="10"/>
        <v>HARD_GINGER_BEER</v>
      </c>
      <c r="D334" t="s">
        <v>5597</v>
      </c>
      <c r="E334" t="s">
        <v>801</v>
      </c>
      <c r="F334">
        <v>3333</v>
      </c>
    </row>
    <row r="335" spans="1:6">
      <c r="A335" t="str">
        <f t="shared" si="11"/>
        <v>BEER_GEN | HARD_KOMBUCHA_/_JUN | ZERO</v>
      </c>
      <c r="B335" t="s">
        <v>1844</v>
      </c>
      <c r="C335" t="str">
        <f t="shared" si="10"/>
        <v>HARD_KOMBUCHA_/_JUN</v>
      </c>
      <c r="D335" t="s">
        <v>5598</v>
      </c>
      <c r="E335" t="s">
        <v>801</v>
      </c>
      <c r="F335">
        <v>3334</v>
      </c>
    </row>
    <row r="336" spans="1:6">
      <c r="A336" t="str">
        <f t="shared" si="11"/>
        <v>BEER_GEN | HARD_SELTZER | ZERO</v>
      </c>
      <c r="B336" t="s">
        <v>1844</v>
      </c>
      <c r="C336" t="str">
        <f t="shared" si="10"/>
        <v>HARD_SELTZER</v>
      </c>
      <c r="D336" t="s">
        <v>5599</v>
      </c>
      <c r="E336" t="s">
        <v>801</v>
      </c>
      <c r="F336">
        <v>3335</v>
      </c>
    </row>
    <row r="337" spans="1:6">
      <c r="A337" t="str">
        <f t="shared" si="11"/>
        <v>BEER_GEN | HISTORICAL_BEER &gt; ADAMBIER | ZERO</v>
      </c>
      <c r="B337" t="s">
        <v>1844</v>
      </c>
      <c r="C337" t="str">
        <f t="shared" si="10"/>
        <v>HISTORICAL_BEER &gt; ADAMBIER</v>
      </c>
      <c r="D337" t="s">
        <v>5676</v>
      </c>
      <c r="E337" t="s">
        <v>801</v>
      </c>
      <c r="F337">
        <v>3336</v>
      </c>
    </row>
    <row r="338" spans="1:6">
      <c r="A338" t="str">
        <f t="shared" si="11"/>
        <v>BEER_GEN | HISTORICAL_BEER &gt; BERLINER_BRAUNBIER | ZERO</v>
      </c>
      <c r="B338" t="s">
        <v>1844</v>
      </c>
      <c r="C338" t="str">
        <f t="shared" si="10"/>
        <v>HISTORICAL_BEER &gt; BERLINER_BRAUNBIER</v>
      </c>
      <c r="D338" t="s">
        <v>5677</v>
      </c>
      <c r="E338" t="s">
        <v>801</v>
      </c>
      <c r="F338">
        <v>3337</v>
      </c>
    </row>
    <row r="339" spans="1:6">
      <c r="A339" t="str">
        <f t="shared" si="11"/>
        <v>BEER_GEN | HISTORICAL_BEER &gt; BROYHAN | ZERO</v>
      </c>
      <c r="B339" t="s">
        <v>1844</v>
      </c>
      <c r="C339" t="str">
        <f t="shared" si="10"/>
        <v>HISTORICAL_BEER &gt; BROYHAN</v>
      </c>
      <c r="D339" t="s">
        <v>5678</v>
      </c>
      <c r="E339" t="s">
        <v>801</v>
      </c>
      <c r="F339">
        <v>3338</v>
      </c>
    </row>
    <row r="340" spans="1:6">
      <c r="A340" t="str">
        <f t="shared" si="11"/>
        <v>BEER_GEN | HISTORICAL_BEER &gt; BURTON_ALE | ZERO</v>
      </c>
      <c r="B340" t="s">
        <v>1844</v>
      </c>
      <c r="C340" t="str">
        <f t="shared" si="10"/>
        <v>HISTORICAL_BEER &gt; BURTON_ALE</v>
      </c>
      <c r="D340" t="s">
        <v>5679</v>
      </c>
      <c r="E340" t="s">
        <v>801</v>
      </c>
      <c r="F340">
        <v>3339</v>
      </c>
    </row>
    <row r="341" spans="1:6">
      <c r="A341" t="str">
        <f t="shared" si="11"/>
        <v>BEER_GEN | HISTORICAL_BEER &gt; DAMPFBIER | ZERO</v>
      </c>
      <c r="B341" t="s">
        <v>1844</v>
      </c>
      <c r="C341" t="str">
        <f t="shared" si="10"/>
        <v>HISTORICAL_BEER &gt; DAMPFBIER</v>
      </c>
      <c r="D341" t="s">
        <v>5680</v>
      </c>
      <c r="E341" t="s">
        <v>801</v>
      </c>
      <c r="F341">
        <v>3340</v>
      </c>
    </row>
    <row r="342" spans="1:6">
      <c r="A342" t="str">
        <f t="shared" si="11"/>
        <v>BEER_GEN | HISTORICAL_BEER &gt; GRUIT_/_ANCIENT_HERBED_ALE | ZERO</v>
      </c>
      <c r="B342" t="s">
        <v>1844</v>
      </c>
      <c r="C342" t="str">
        <f t="shared" si="10"/>
        <v>HISTORICAL_BEER &gt; GRUIT_/_ANCIENT_HERBED_ALE</v>
      </c>
      <c r="D342" t="s">
        <v>5681</v>
      </c>
      <c r="E342" t="s">
        <v>801</v>
      </c>
      <c r="F342">
        <v>3341</v>
      </c>
    </row>
    <row r="343" spans="1:6">
      <c r="A343" t="str">
        <f t="shared" si="11"/>
        <v>BEER_GEN | HISTORICAL_BEER &gt; KENTUCKY_COMMON | ZERO</v>
      </c>
      <c r="B343" t="s">
        <v>1844</v>
      </c>
      <c r="C343" t="str">
        <f t="shared" si="10"/>
        <v>HISTORICAL_BEER &gt; KENTUCKY_COMMON</v>
      </c>
      <c r="D343" t="s">
        <v>5682</v>
      </c>
      <c r="E343" t="s">
        <v>801</v>
      </c>
      <c r="F343">
        <v>3342</v>
      </c>
    </row>
    <row r="344" spans="1:6">
      <c r="A344" t="str">
        <f t="shared" si="11"/>
        <v>BEER_GEN | HISTORICAL_BEER &gt; KOTTBUSSER | ZERO</v>
      </c>
      <c r="B344" t="s">
        <v>1844</v>
      </c>
      <c r="C344" t="str">
        <f t="shared" si="10"/>
        <v>HISTORICAL_BEER &gt; KOTTBUSSER</v>
      </c>
      <c r="D344" t="s">
        <v>5683</v>
      </c>
      <c r="E344" t="s">
        <v>801</v>
      </c>
      <c r="F344">
        <v>3343</v>
      </c>
    </row>
    <row r="345" spans="1:6">
      <c r="A345" t="str">
        <f t="shared" si="11"/>
        <v>BEER_GEN | HISTORICAL_BEER &gt; KUIT_/_KUYT_/_KOYT | ZERO</v>
      </c>
      <c r="B345" t="s">
        <v>1844</v>
      </c>
      <c r="C345" t="str">
        <f t="shared" si="10"/>
        <v>HISTORICAL_BEER &gt; KUIT_/_KUYT_/_KOYT</v>
      </c>
      <c r="D345" t="s">
        <v>5684</v>
      </c>
      <c r="E345" t="s">
        <v>801</v>
      </c>
      <c r="F345">
        <v>3344</v>
      </c>
    </row>
    <row r="346" spans="1:6">
      <c r="A346" t="str">
        <f t="shared" si="11"/>
        <v>BEER_GEN | HISTORICAL_BEER &gt; LICHTENHAINER | ZERO</v>
      </c>
      <c r="B346" t="s">
        <v>1844</v>
      </c>
      <c r="C346" t="str">
        <f t="shared" si="10"/>
        <v>HISTORICAL_BEER &gt; LICHTENHAINER</v>
      </c>
      <c r="D346" t="s">
        <v>5685</v>
      </c>
      <c r="E346" t="s">
        <v>801</v>
      </c>
      <c r="F346">
        <v>3345</v>
      </c>
    </row>
    <row r="347" spans="1:6">
      <c r="A347" t="str">
        <f t="shared" si="11"/>
        <v>BEER_GEN | HISTORICAL_BEER &gt; MUMME | ZERO</v>
      </c>
      <c r="B347" t="s">
        <v>1844</v>
      </c>
      <c r="C347" t="str">
        <f t="shared" si="10"/>
        <v>HISTORICAL_BEER &gt; MUMME</v>
      </c>
      <c r="D347" t="s">
        <v>5686</v>
      </c>
      <c r="E347" t="s">
        <v>801</v>
      </c>
      <c r="F347">
        <v>3346</v>
      </c>
    </row>
    <row r="348" spans="1:6">
      <c r="A348" t="str">
        <f t="shared" si="11"/>
        <v>BEER_GEN | HISTORICAL_BEER &gt; OTHER | ZERO</v>
      </c>
      <c r="B348" t="s">
        <v>1844</v>
      </c>
      <c r="C348" t="str">
        <f t="shared" si="10"/>
        <v>HISTORICAL_BEER &gt; OTHER</v>
      </c>
      <c r="D348" t="s">
        <v>5687</v>
      </c>
      <c r="E348" t="s">
        <v>801</v>
      </c>
      <c r="F348">
        <v>3347</v>
      </c>
    </row>
    <row r="349" spans="1:6">
      <c r="A349" t="str">
        <f t="shared" si="11"/>
        <v>BEER_GEN | HISTORICAL_BEER &gt; STEINBIER | ZERO</v>
      </c>
      <c r="B349" t="s">
        <v>1844</v>
      </c>
      <c r="C349" t="str">
        <f t="shared" si="10"/>
        <v>HISTORICAL_BEER &gt; STEINBIER</v>
      </c>
      <c r="D349" t="s">
        <v>5688</v>
      </c>
      <c r="E349" t="s">
        <v>801</v>
      </c>
      <c r="F349">
        <v>3348</v>
      </c>
    </row>
    <row r="350" spans="1:6">
      <c r="A350" t="str">
        <f t="shared" si="11"/>
        <v>BEER_GEN | HISTORICAL_BEER &gt; ZOIGL | ZERO</v>
      </c>
      <c r="B350" t="s">
        <v>1844</v>
      </c>
      <c r="C350" t="str">
        <f t="shared" si="10"/>
        <v>HISTORICAL_BEER &gt; ZOIGL</v>
      </c>
      <c r="D350" t="s">
        <v>5689</v>
      </c>
      <c r="E350" t="s">
        <v>801</v>
      </c>
      <c r="F350">
        <v>3349</v>
      </c>
    </row>
    <row r="351" spans="1:6">
      <c r="A351" t="str">
        <f t="shared" si="11"/>
        <v>BEER_GEN | MAZOUT | ZERO</v>
      </c>
      <c r="B351" t="s">
        <v>1844</v>
      </c>
      <c r="C351" t="str">
        <f t="shared" si="10"/>
        <v>MAZOUT</v>
      </c>
      <c r="D351" t="s">
        <v>123</v>
      </c>
      <c r="E351" t="s">
        <v>801</v>
      </c>
      <c r="F351">
        <v>3350</v>
      </c>
    </row>
    <row r="352" spans="1:6">
      <c r="A352" t="str">
        <f t="shared" si="11"/>
        <v>BEER_GEN | HONEY_BEER | ZERO</v>
      </c>
      <c r="B352" t="s">
        <v>1844</v>
      </c>
      <c r="C352" t="str">
        <f t="shared" si="10"/>
        <v>HONEY_BEER</v>
      </c>
      <c r="D352" t="s">
        <v>5600</v>
      </c>
      <c r="E352" t="s">
        <v>801</v>
      </c>
      <c r="F352">
        <v>3351</v>
      </c>
    </row>
    <row r="353" spans="1:6">
      <c r="A353" t="str">
        <f t="shared" si="11"/>
        <v>BEER_GEN | IPA &gt; AMERICAN | ZERO</v>
      </c>
      <c r="B353" t="s">
        <v>1844</v>
      </c>
      <c r="C353" t="str">
        <f t="shared" si="10"/>
        <v>IPA &gt; AMERICAN</v>
      </c>
      <c r="D353" t="s">
        <v>5690</v>
      </c>
      <c r="E353" t="s">
        <v>801</v>
      </c>
      <c r="F353">
        <v>3352</v>
      </c>
    </row>
    <row r="354" spans="1:6">
      <c r="A354" t="str">
        <f t="shared" si="11"/>
        <v>BEER_GEN | IPA &gt; BELGIAN | ZERO</v>
      </c>
      <c r="B354" t="s">
        <v>1844</v>
      </c>
      <c r="C354" t="str">
        <f t="shared" si="10"/>
        <v>IPA &gt; BELGIAN</v>
      </c>
      <c r="D354" t="s">
        <v>5691</v>
      </c>
      <c r="E354" t="s">
        <v>801</v>
      </c>
      <c r="F354">
        <v>3353</v>
      </c>
    </row>
    <row r="355" spans="1:6">
      <c r="A355" t="str">
        <f t="shared" si="11"/>
        <v>BEER_GEN | IPA &gt; BLACK_/_CASCADIAN_DARK_ALE | ZERO</v>
      </c>
      <c r="B355" t="s">
        <v>1844</v>
      </c>
      <c r="C355" t="str">
        <f t="shared" si="10"/>
        <v>IPA &gt; BLACK_/_CASCADIAN_DARK_ALE</v>
      </c>
      <c r="D355" t="s">
        <v>5692</v>
      </c>
      <c r="E355" t="s">
        <v>801</v>
      </c>
      <c r="F355">
        <v>3354</v>
      </c>
    </row>
    <row r="356" spans="1:6">
      <c r="A356" t="str">
        <f t="shared" si="11"/>
        <v>BEER_GEN | IPA &gt; BRETT | ZERO</v>
      </c>
      <c r="B356" t="s">
        <v>1844</v>
      </c>
      <c r="C356" t="str">
        <f t="shared" si="10"/>
        <v>IPA &gt; BRETT</v>
      </c>
      <c r="D356" t="s">
        <v>5693</v>
      </c>
      <c r="E356" t="s">
        <v>801</v>
      </c>
      <c r="F356">
        <v>3355</v>
      </c>
    </row>
    <row r="357" spans="1:6">
      <c r="A357" t="str">
        <f t="shared" si="11"/>
        <v>BEER_GEN | IPA &gt; BROWN | ZERO</v>
      </c>
      <c r="B357" t="s">
        <v>1844</v>
      </c>
      <c r="C357" t="str">
        <f t="shared" si="10"/>
        <v>IPA &gt; BROWN</v>
      </c>
      <c r="D357" t="s">
        <v>5694</v>
      </c>
      <c r="E357" t="s">
        <v>801</v>
      </c>
      <c r="F357">
        <v>3356</v>
      </c>
    </row>
    <row r="358" spans="1:6">
      <c r="A358" t="str">
        <f t="shared" si="11"/>
        <v>BEER_GEN | IPA &gt; BRUT | ZERO</v>
      </c>
      <c r="B358" t="s">
        <v>1844</v>
      </c>
      <c r="C358" t="str">
        <f t="shared" si="10"/>
        <v>IPA &gt; BRUT</v>
      </c>
      <c r="D358" t="s">
        <v>5695</v>
      </c>
      <c r="E358" t="s">
        <v>801</v>
      </c>
      <c r="F358">
        <v>3357</v>
      </c>
    </row>
    <row r="359" spans="1:6">
      <c r="A359" t="str">
        <f t="shared" si="11"/>
        <v>BEER_GEN | IPA &gt; COLD | ZERO</v>
      </c>
      <c r="B359" t="s">
        <v>1844</v>
      </c>
      <c r="C359" t="str">
        <f t="shared" si="10"/>
        <v>IPA &gt; COLD</v>
      </c>
      <c r="D359" t="s">
        <v>5696</v>
      </c>
      <c r="E359" t="s">
        <v>801</v>
      </c>
      <c r="F359">
        <v>3358</v>
      </c>
    </row>
    <row r="360" spans="1:6">
      <c r="A360" t="str">
        <f t="shared" si="11"/>
        <v>BEER_GEN | IPA &gt; ENGLISH | ZERO</v>
      </c>
      <c r="B360" t="s">
        <v>1844</v>
      </c>
      <c r="C360" t="str">
        <f t="shared" si="10"/>
        <v>IPA &gt; ENGLISH</v>
      </c>
      <c r="D360" t="s">
        <v>5697</v>
      </c>
      <c r="E360" t="s">
        <v>801</v>
      </c>
      <c r="F360">
        <v>3359</v>
      </c>
    </row>
    <row r="361" spans="1:6">
      <c r="A361" t="str">
        <f t="shared" si="11"/>
        <v>BEER_GEN | IPA &gt; FARMHOUSE | ZERO</v>
      </c>
      <c r="B361" t="s">
        <v>1844</v>
      </c>
      <c r="C361" t="str">
        <f t="shared" si="10"/>
        <v>IPA &gt; FARMHOUSE</v>
      </c>
      <c r="D361" t="s">
        <v>5698</v>
      </c>
      <c r="E361" t="s">
        <v>801</v>
      </c>
      <c r="F361">
        <v>3360</v>
      </c>
    </row>
    <row r="362" spans="1:6">
      <c r="A362" t="str">
        <f t="shared" si="11"/>
        <v>BEER_GEN | IPA &gt; FRUITED | ZERO</v>
      </c>
      <c r="B362" t="s">
        <v>1844</v>
      </c>
      <c r="C362" t="str">
        <f t="shared" si="10"/>
        <v>IPA &gt; FRUITED</v>
      </c>
      <c r="D362" t="s">
        <v>5699</v>
      </c>
      <c r="E362" t="s">
        <v>801</v>
      </c>
      <c r="F362">
        <v>3361</v>
      </c>
    </row>
    <row r="363" spans="1:6">
      <c r="A363" t="str">
        <f t="shared" si="11"/>
        <v>BEER_GEN | IPA &gt; IMPERIAL_/_DOUBLE | ZERO</v>
      </c>
      <c r="B363" t="s">
        <v>1844</v>
      </c>
      <c r="C363" t="str">
        <f t="shared" si="10"/>
        <v>IPA &gt; IMPERIAL_/_DOUBLE</v>
      </c>
      <c r="D363" t="s">
        <v>5700</v>
      </c>
      <c r="E363" t="s">
        <v>801</v>
      </c>
      <c r="F363">
        <v>3362</v>
      </c>
    </row>
    <row r="364" spans="1:6">
      <c r="A364" t="str">
        <f t="shared" si="11"/>
        <v>BEER_GEN | IPA &gt; IMPERIAL_/_DOUBLE_BLACK | ZERO</v>
      </c>
      <c r="B364" t="s">
        <v>1844</v>
      </c>
      <c r="C364" t="str">
        <f t="shared" si="10"/>
        <v>IPA &gt; IMPERIAL_/_DOUBLE_BLACK</v>
      </c>
      <c r="D364" t="s">
        <v>5701</v>
      </c>
      <c r="E364" t="s">
        <v>801</v>
      </c>
      <c r="F364">
        <v>3363</v>
      </c>
    </row>
    <row r="365" spans="1:6">
      <c r="A365" t="str">
        <f t="shared" si="11"/>
        <v>BEER_GEN | IPA &gt; IMPERIAL_/_DOUBLE_MILKSHAKE | ZERO</v>
      </c>
      <c r="B365" t="s">
        <v>1844</v>
      </c>
      <c r="C365" t="str">
        <f t="shared" si="10"/>
        <v>IPA &gt; IMPERIAL_/_DOUBLE_MILKSHAKE</v>
      </c>
      <c r="D365" t="s">
        <v>5702</v>
      </c>
      <c r="E365" t="s">
        <v>801</v>
      </c>
      <c r="F365">
        <v>3364</v>
      </c>
    </row>
    <row r="366" spans="1:6">
      <c r="A366" t="str">
        <f t="shared" si="11"/>
        <v>BEER_GEN | IPA &gt; IMPERIAL_/_DOUBLE_NEW_ENGLAND_/_HAZY | ZERO</v>
      </c>
      <c r="B366" t="s">
        <v>1844</v>
      </c>
      <c r="C366" t="str">
        <f t="shared" si="10"/>
        <v>IPA &gt; IMPERIAL_/_DOUBLE_NEW_ENGLAND_/_HAZY</v>
      </c>
      <c r="D366" t="s">
        <v>5703</v>
      </c>
      <c r="E366" t="s">
        <v>801</v>
      </c>
      <c r="F366">
        <v>3365</v>
      </c>
    </row>
    <row r="367" spans="1:6">
      <c r="A367" t="str">
        <f t="shared" si="11"/>
        <v>BEER_GEN | IPA &gt; MILKSHAKE | ZERO</v>
      </c>
      <c r="B367" t="s">
        <v>1844</v>
      </c>
      <c r="C367" t="str">
        <f t="shared" si="10"/>
        <v>IPA &gt; MILKSHAKE</v>
      </c>
      <c r="D367" t="s">
        <v>5704</v>
      </c>
      <c r="E367" t="s">
        <v>801</v>
      </c>
      <c r="F367">
        <v>3366</v>
      </c>
    </row>
    <row r="368" spans="1:6">
      <c r="A368" t="str">
        <f t="shared" si="11"/>
        <v>BEER_GEN | IPA &gt; NEW_ENGLAND_/_HAZY | ZERO</v>
      </c>
      <c r="B368" t="s">
        <v>1844</v>
      </c>
      <c r="C368" t="str">
        <f t="shared" si="10"/>
        <v>IPA &gt; NEW_ENGLAND_/_HAZY</v>
      </c>
      <c r="D368" t="s">
        <v>5705</v>
      </c>
      <c r="E368" t="s">
        <v>801</v>
      </c>
      <c r="F368">
        <v>3367</v>
      </c>
    </row>
    <row r="369" spans="1:6">
      <c r="A369" t="str">
        <f t="shared" si="11"/>
        <v>BEER_GEN | IPA &gt; NEW_ZEALAND | ZERO</v>
      </c>
      <c r="B369" t="s">
        <v>1844</v>
      </c>
      <c r="C369" t="str">
        <f t="shared" si="10"/>
        <v>IPA &gt; NEW_ZEALAND</v>
      </c>
      <c r="D369" t="s">
        <v>5706</v>
      </c>
      <c r="E369" t="s">
        <v>801</v>
      </c>
      <c r="F369">
        <v>3368</v>
      </c>
    </row>
    <row r="370" spans="1:6">
      <c r="A370" t="str">
        <f t="shared" si="11"/>
        <v>BEER_GEN | IPA &gt; OTHER | ZERO</v>
      </c>
      <c r="B370" t="s">
        <v>1844</v>
      </c>
      <c r="C370" t="str">
        <f t="shared" si="10"/>
        <v>IPA &gt; OTHER</v>
      </c>
      <c r="D370" t="s">
        <v>5707</v>
      </c>
      <c r="E370" t="s">
        <v>801</v>
      </c>
      <c r="F370">
        <v>3369</v>
      </c>
    </row>
    <row r="371" spans="1:6">
      <c r="A371" t="str">
        <f t="shared" si="11"/>
        <v>BEER_GEN | IPA &gt; QUADRUPLE | ZERO</v>
      </c>
      <c r="B371" t="s">
        <v>1844</v>
      </c>
      <c r="C371" t="str">
        <f t="shared" si="10"/>
        <v>IPA &gt; QUADRUPLE</v>
      </c>
      <c r="D371" t="s">
        <v>5708</v>
      </c>
      <c r="E371" t="s">
        <v>801</v>
      </c>
      <c r="F371">
        <v>3370</v>
      </c>
    </row>
    <row r="372" spans="1:6">
      <c r="A372" t="str">
        <f t="shared" si="11"/>
        <v>BEER_GEN | IPA &gt; RED | ZERO</v>
      </c>
      <c r="B372" t="s">
        <v>1844</v>
      </c>
      <c r="C372" t="str">
        <f t="shared" si="10"/>
        <v>IPA &gt; RED</v>
      </c>
      <c r="D372" t="s">
        <v>5709</v>
      </c>
      <c r="E372" t="s">
        <v>801</v>
      </c>
      <c r="F372">
        <v>3371</v>
      </c>
    </row>
    <row r="373" spans="1:6">
      <c r="A373" t="str">
        <f t="shared" si="11"/>
        <v>BEER_GEN | IPA &gt; RYE | ZERO</v>
      </c>
      <c r="B373" t="s">
        <v>1844</v>
      </c>
      <c r="C373" t="str">
        <f t="shared" si="10"/>
        <v>IPA &gt; RYE</v>
      </c>
      <c r="D373" t="s">
        <v>5710</v>
      </c>
      <c r="E373" t="s">
        <v>801</v>
      </c>
      <c r="F373">
        <v>3372</v>
      </c>
    </row>
    <row r="374" spans="1:6">
      <c r="A374" t="str">
        <f t="shared" si="11"/>
        <v>BEER_GEN | IPA &gt; SESSION | ZERO</v>
      </c>
      <c r="B374" t="s">
        <v>1844</v>
      </c>
      <c r="C374" t="str">
        <f t="shared" si="10"/>
        <v>IPA &gt; SESSION</v>
      </c>
      <c r="D374" t="s">
        <v>5711</v>
      </c>
      <c r="E374" t="s">
        <v>801</v>
      </c>
      <c r="F374">
        <v>3373</v>
      </c>
    </row>
    <row r="375" spans="1:6">
      <c r="A375" t="str">
        <f t="shared" si="11"/>
        <v>BEER_GEN | IPA &gt; SOUR | ZERO</v>
      </c>
      <c r="B375" t="s">
        <v>1844</v>
      </c>
      <c r="C375" t="str">
        <f t="shared" si="10"/>
        <v>IPA &gt; SOUR</v>
      </c>
      <c r="D375" t="s">
        <v>5712</v>
      </c>
      <c r="E375" t="s">
        <v>801</v>
      </c>
      <c r="F375">
        <v>3374</v>
      </c>
    </row>
    <row r="376" spans="1:6">
      <c r="A376" t="str">
        <f t="shared" si="11"/>
        <v>BEER_GEN | IPA &gt; TRIPLE | ZERO</v>
      </c>
      <c r="B376" t="s">
        <v>1844</v>
      </c>
      <c r="C376" t="str">
        <f t="shared" si="10"/>
        <v>IPA &gt; TRIPLE</v>
      </c>
      <c r="D376" t="s">
        <v>5713</v>
      </c>
      <c r="E376" t="s">
        <v>801</v>
      </c>
      <c r="F376">
        <v>3375</v>
      </c>
    </row>
    <row r="377" spans="1:6">
      <c r="A377" t="str">
        <f t="shared" si="11"/>
        <v>BEER_GEN | IPA &gt; TRIPLE_NEW_ENGLAND_/_HAZY | ZERO</v>
      </c>
      <c r="B377" t="s">
        <v>1844</v>
      </c>
      <c r="C377" t="str">
        <f t="shared" si="10"/>
        <v>IPA &gt; TRIPLE_NEW_ENGLAND_/_HAZY</v>
      </c>
      <c r="D377" t="s">
        <v>5714</v>
      </c>
      <c r="E377" t="s">
        <v>801</v>
      </c>
      <c r="F377">
        <v>3376</v>
      </c>
    </row>
    <row r="378" spans="1:6">
      <c r="A378" t="str">
        <f t="shared" si="11"/>
        <v>BEER_GEN | IPA &gt; WHITE_/_WHEAT | ZERO</v>
      </c>
      <c r="B378" t="s">
        <v>1844</v>
      </c>
      <c r="C378" t="str">
        <f t="shared" si="10"/>
        <v>IPA &gt; WHITE_/_WHEAT</v>
      </c>
      <c r="D378" t="s">
        <v>5715</v>
      </c>
      <c r="E378" t="s">
        <v>801</v>
      </c>
      <c r="F378">
        <v>3377</v>
      </c>
    </row>
    <row r="379" spans="1:6">
      <c r="A379" t="str">
        <f t="shared" si="11"/>
        <v>BEER_GEN | KELLERBIER_/_ZWICKELBIER | ZERO</v>
      </c>
      <c r="B379" t="s">
        <v>1844</v>
      </c>
      <c r="C379" t="str">
        <f t="shared" ref="C379:C442" si="12">_xlfn.TEXTJOIN(";",TRUE,D379,H379:N379)</f>
        <v>KELLERBIER_/_ZWICKELBIER</v>
      </c>
      <c r="D379" t="s">
        <v>5601</v>
      </c>
      <c r="E379" t="s">
        <v>801</v>
      </c>
      <c r="F379">
        <v>3378</v>
      </c>
    </row>
    <row r="380" spans="1:6">
      <c r="A380" t="str">
        <f t="shared" si="11"/>
        <v>BEER_GEN | KOJI_/_GINJO_BEER | ZERO</v>
      </c>
      <c r="B380" t="s">
        <v>1844</v>
      </c>
      <c r="C380" t="str">
        <f t="shared" si="12"/>
        <v>KOJI_/_GINJO_BEER</v>
      </c>
      <c r="D380" t="s">
        <v>5602</v>
      </c>
      <c r="E380" t="s">
        <v>801</v>
      </c>
      <c r="F380">
        <v>3379</v>
      </c>
    </row>
    <row r="381" spans="1:6">
      <c r="A381" t="str">
        <f t="shared" si="11"/>
        <v>BEER_GEN | KOLSCH | ZERO</v>
      </c>
      <c r="B381" t="s">
        <v>1844</v>
      </c>
      <c r="C381" t="str">
        <f t="shared" si="12"/>
        <v>KOLSCH</v>
      </c>
      <c r="D381" t="s">
        <v>1000</v>
      </c>
      <c r="E381" t="s">
        <v>801</v>
      </c>
      <c r="F381">
        <v>3380</v>
      </c>
    </row>
    <row r="382" spans="1:6">
      <c r="A382" t="str">
        <f t="shared" si="11"/>
        <v>BEER_GEN | KVASS | ZERO</v>
      </c>
      <c r="B382" t="s">
        <v>1844</v>
      </c>
      <c r="C382" t="str">
        <f t="shared" si="12"/>
        <v>KVASS</v>
      </c>
      <c r="D382" t="s">
        <v>5603</v>
      </c>
      <c r="E382" t="s">
        <v>801</v>
      </c>
      <c r="F382">
        <v>3381</v>
      </c>
    </row>
    <row r="383" spans="1:6">
      <c r="A383" t="str">
        <f t="shared" si="11"/>
        <v>BEER_GEN | LAGER &gt; AMBER_/_RED | ZERO</v>
      </c>
      <c r="B383" t="s">
        <v>1844</v>
      </c>
      <c r="C383" t="str">
        <f t="shared" si="12"/>
        <v>LAGER &gt; AMBER_/_RED</v>
      </c>
      <c r="D383" t="s">
        <v>5716</v>
      </c>
      <c r="E383" t="s">
        <v>801</v>
      </c>
      <c r="F383">
        <v>3382</v>
      </c>
    </row>
    <row r="384" spans="1:6">
      <c r="A384" t="str">
        <f t="shared" si="11"/>
        <v>BEER_GEN | LAGER &gt; AMERICAN | ZERO</v>
      </c>
      <c r="B384" t="s">
        <v>1844</v>
      </c>
      <c r="C384" t="str">
        <f t="shared" si="12"/>
        <v>LAGER &gt; AMERICAN</v>
      </c>
      <c r="D384" t="s">
        <v>5717</v>
      </c>
      <c r="E384" t="s">
        <v>801</v>
      </c>
      <c r="F384">
        <v>3383</v>
      </c>
    </row>
    <row r="385" spans="1:6">
      <c r="A385" t="str">
        <f t="shared" si="11"/>
        <v>BEER_GEN | LAGER &gt; AMERICAN_AMBER_/_RED | ZERO</v>
      </c>
      <c r="B385" t="s">
        <v>1844</v>
      </c>
      <c r="C385" t="str">
        <f t="shared" si="12"/>
        <v>LAGER &gt; AMERICAN_AMBER_/_RED</v>
      </c>
      <c r="D385" t="s">
        <v>5718</v>
      </c>
      <c r="E385" t="s">
        <v>801</v>
      </c>
      <c r="F385">
        <v>3384</v>
      </c>
    </row>
    <row r="386" spans="1:6">
      <c r="A386" t="str">
        <f t="shared" si="11"/>
        <v>BEER_GEN | LAGER &gt; AMERICAN_LIGHT | ZERO</v>
      </c>
      <c r="B386" t="s">
        <v>1844</v>
      </c>
      <c r="C386" t="str">
        <f t="shared" si="12"/>
        <v>LAGER &gt; AMERICAN_LIGHT</v>
      </c>
      <c r="D386" t="s">
        <v>5719</v>
      </c>
      <c r="E386" t="s">
        <v>801</v>
      </c>
      <c r="F386">
        <v>3385</v>
      </c>
    </row>
    <row r="387" spans="1:6">
      <c r="A387" t="str">
        <f t="shared" ref="A387:A450" si="13">B387&amp;" | "&amp;D387&amp;" | "&amp;E387</f>
        <v>BEER_GEN | LAGER &gt; AMERICAN_PRE-PROHIBITION | ZERO</v>
      </c>
      <c r="B387" t="s">
        <v>1844</v>
      </c>
      <c r="C387" t="str">
        <f t="shared" si="12"/>
        <v>LAGER &gt; AMERICAN_PRE-PROHIBITION</v>
      </c>
      <c r="D387" t="s">
        <v>5720</v>
      </c>
      <c r="E387" t="s">
        <v>801</v>
      </c>
      <c r="F387">
        <v>3386</v>
      </c>
    </row>
    <row r="388" spans="1:6">
      <c r="A388" t="str">
        <f t="shared" si="13"/>
        <v>BEER_GEN | LAGER &gt; DARK | ZERO</v>
      </c>
      <c r="B388" t="s">
        <v>1844</v>
      </c>
      <c r="C388" t="str">
        <f t="shared" si="12"/>
        <v>LAGER &gt; DARK</v>
      </c>
      <c r="D388" t="s">
        <v>5721</v>
      </c>
      <c r="E388" t="s">
        <v>801</v>
      </c>
      <c r="F388">
        <v>3387</v>
      </c>
    </row>
    <row r="389" spans="1:6">
      <c r="A389" t="str">
        <f t="shared" si="13"/>
        <v>BEER_GEN | LAGER &gt; DORTMUNDER_/_EXPORT | ZERO</v>
      </c>
      <c r="B389" t="s">
        <v>1844</v>
      </c>
      <c r="C389" t="str">
        <f t="shared" si="12"/>
        <v>LAGER &gt; DORTMUNDER_/_EXPORT</v>
      </c>
      <c r="D389" t="s">
        <v>5722</v>
      </c>
      <c r="E389" t="s">
        <v>801</v>
      </c>
      <c r="F389">
        <v>3388</v>
      </c>
    </row>
    <row r="390" spans="1:6">
      <c r="A390" t="str">
        <f t="shared" si="13"/>
        <v>BEER_GEN | LAGER &gt; HELLES | ZERO</v>
      </c>
      <c r="B390" t="s">
        <v>1844</v>
      </c>
      <c r="C390" t="str">
        <f t="shared" si="12"/>
        <v>LAGER &gt; HELLES</v>
      </c>
      <c r="D390" t="s">
        <v>5723</v>
      </c>
      <c r="E390" t="s">
        <v>801</v>
      </c>
      <c r="F390">
        <v>3389</v>
      </c>
    </row>
    <row r="391" spans="1:6">
      <c r="A391" t="str">
        <f t="shared" si="13"/>
        <v>BEER_GEN | LAGER &gt; IPL_(INDIA_PALE_LAGER) | ZERO</v>
      </c>
      <c r="B391" t="s">
        <v>1844</v>
      </c>
      <c r="C391" t="str">
        <f t="shared" si="12"/>
        <v>LAGER &gt; IPL_(INDIA_PALE_LAGER)</v>
      </c>
      <c r="D391" t="s">
        <v>5724</v>
      </c>
      <c r="E391" t="s">
        <v>801</v>
      </c>
      <c r="F391">
        <v>3390</v>
      </c>
    </row>
    <row r="392" spans="1:6">
      <c r="A392" t="str">
        <f t="shared" si="13"/>
        <v>BEER_GEN | LAGER &gt; JAPANESE_RICE | ZERO</v>
      </c>
      <c r="B392" t="s">
        <v>1844</v>
      </c>
      <c r="C392" t="str">
        <f t="shared" si="12"/>
        <v>LAGER &gt; JAPANESE_RICE</v>
      </c>
      <c r="D392" t="s">
        <v>5725</v>
      </c>
      <c r="E392" t="s">
        <v>801</v>
      </c>
      <c r="F392">
        <v>3391</v>
      </c>
    </row>
    <row r="393" spans="1:6">
      <c r="A393" t="str">
        <f t="shared" si="13"/>
        <v>BEER_GEN | LAGER &gt; LEICHTBIER | ZERO</v>
      </c>
      <c r="B393" t="s">
        <v>1844</v>
      </c>
      <c r="C393" t="str">
        <f t="shared" si="12"/>
        <v>LAGER &gt; LEICHTBIER</v>
      </c>
      <c r="D393" t="s">
        <v>5726</v>
      </c>
      <c r="E393" t="s">
        <v>801</v>
      </c>
      <c r="F393">
        <v>3392</v>
      </c>
    </row>
    <row r="394" spans="1:6">
      <c r="A394" t="str">
        <f t="shared" si="13"/>
        <v>BEER_GEN | LAGER &gt; MEXICAN | ZERO</v>
      </c>
      <c r="B394" t="s">
        <v>1844</v>
      </c>
      <c r="C394" t="str">
        <f t="shared" si="12"/>
        <v>LAGER &gt; MEXICAN</v>
      </c>
      <c r="D394" t="s">
        <v>5727</v>
      </c>
      <c r="E394" t="s">
        <v>801</v>
      </c>
      <c r="F394">
        <v>3393</v>
      </c>
    </row>
    <row r="395" spans="1:6">
      <c r="A395" t="str">
        <f t="shared" si="13"/>
        <v>BEER_GEN | LAGER &gt; MUNICH_DUNKEL | ZERO</v>
      </c>
      <c r="B395" t="s">
        <v>1844</v>
      </c>
      <c r="C395" t="str">
        <f t="shared" si="12"/>
        <v>LAGER &gt; MUNICH_DUNKEL</v>
      </c>
      <c r="D395" t="s">
        <v>5728</v>
      </c>
      <c r="E395" t="s">
        <v>801</v>
      </c>
      <c r="F395">
        <v>3394</v>
      </c>
    </row>
    <row r="396" spans="1:6">
      <c r="A396" t="str">
        <f t="shared" si="13"/>
        <v>BEER_GEN | LAGER &gt; OTHER | ZERO</v>
      </c>
      <c r="B396" t="s">
        <v>1844</v>
      </c>
      <c r="C396" t="str">
        <f t="shared" si="12"/>
        <v>LAGER &gt; OTHER</v>
      </c>
      <c r="D396" t="s">
        <v>5729</v>
      </c>
      <c r="E396" t="s">
        <v>801</v>
      </c>
      <c r="F396">
        <v>3395</v>
      </c>
    </row>
    <row r="397" spans="1:6">
      <c r="A397" t="str">
        <f t="shared" si="13"/>
        <v>BEER_GEN | LAGER &gt; PALE | ZERO</v>
      </c>
      <c r="B397" t="s">
        <v>1844</v>
      </c>
      <c r="C397" t="str">
        <f t="shared" si="12"/>
        <v>LAGER &gt; PALE</v>
      </c>
      <c r="D397" t="s">
        <v>5730</v>
      </c>
      <c r="E397" t="s">
        <v>801</v>
      </c>
      <c r="F397">
        <v>3396</v>
      </c>
    </row>
    <row r="398" spans="1:6">
      <c r="A398" t="str">
        <f t="shared" si="13"/>
        <v>BEER_GEN | LAGER &gt; POLOTMAVE_(CZECH_AMBER) | ZERO</v>
      </c>
      <c r="B398" t="s">
        <v>1844</v>
      </c>
      <c r="C398" t="str">
        <f t="shared" si="12"/>
        <v>LAGER &gt; POLOTMAVE_(CZECH_AMBER)</v>
      </c>
      <c r="D398" t="s">
        <v>5731</v>
      </c>
      <c r="E398" t="s">
        <v>801</v>
      </c>
      <c r="F398">
        <v>3397</v>
      </c>
    </row>
    <row r="399" spans="1:6">
      <c r="A399" t="str">
        <f t="shared" si="13"/>
        <v>BEER_GEN | LAGER &gt; ROTBIER | ZERO</v>
      </c>
      <c r="B399" t="s">
        <v>1844</v>
      </c>
      <c r="C399" t="str">
        <f t="shared" si="12"/>
        <v>LAGER &gt; ROTBIER</v>
      </c>
      <c r="D399" t="s">
        <v>5732</v>
      </c>
      <c r="E399" t="s">
        <v>801</v>
      </c>
      <c r="F399">
        <v>3398</v>
      </c>
    </row>
    <row r="400" spans="1:6">
      <c r="A400" t="str">
        <f t="shared" si="13"/>
        <v>BEER_GEN | LAGER &gt; SMOKED | ZERO</v>
      </c>
      <c r="B400" t="s">
        <v>1844</v>
      </c>
      <c r="C400" t="str">
        <f t="shared" si="12"/>
        <v>LAGER &gt; SMOKED</v>
      </c>
      <c r="D400" t="s">
        <v>5733</v>
      </c>
      <c r="E400" t="s">
        <v>801</v>
      </c>
      <c r="F400">
        <v>3399</v>
      </c>
    </row>
    <row r="401" spans="1:6">
      <c r="A401" t="str">
        <f t="shared" si="13"/>
        <v>BEER_GEN | LAGER &gt; STRONG | ZERO</v>
      </c>
      <c r="B401" t="s">
        <v>1844</v>
      </c>
      <c r="C401" t="str">
        <f t="shared" si="12"/>
        <v>LAGER &gt; STRONG</v>
      </c>
      <c r="D401" t="s">
        <v>5734</v>
      </c>
      <c r="E401" t="s">
        <v>801</v>
      </c>
      <c r="F401">
        <v>3400</v>
      </c>
    </row>
    <row r="402" spans="1:6">
      <c r="A402" t="str">
        <f t="shared" si="13"/>
        <v>BEER_GEN | LAGER &gt; SVETLE_(CZECH_PALE) | ZERO</v>
      </c>
      <c r="B402" t="s">
        <v>1844</v>
      </c>
      <c r="C402" t="str">
        <f t="shared" si="12"/>
        <v>LAGER &gt; SVETLE_(CZECH_PALE)</v>
      </c>
      <c r="D402" t="s">
        <v>5735</v>
      </c>
      <c r="E402" t="s">
        <v>801</v>
      </c>
      <c r="F402">
        <v>3401</v>
      </c>
    </row>
    <row r="403" spans="1:6">
      <c r="A403" t="str">
        <f t="shared" si="13"/>
        <v>BEER_GEN | LAGER &gt; TMAVE_(CZECH_DARK) | ZERO</v>
      </c>
      <c r="B403" t="s">
        <v>1844</v>
      </c>
      <c r="C403" t="str">
        <f t="shared" si="12"/>
        <v>LAGER &gt; TMAVE_(CZECH_DARK)</v>
      </c>
      <c r="D403" t="s">
        <v>5736</v>
      </c>
      <c r="E403" t="s">
        <v>801</v>
      </c>
      <c r="F403">
        <v>3402</v>
      </c>
    </row>
    <row r="404" spans="1:6">
      <c r="A404" t="str">
        <f t="shared" si="13"/>
        <v>BEER_GEN | LAGER &gt; VIENNA | ZERO</v>
      </c>
      <c r="B404" t="s">
        <v>1844</v>
      </c>
      <c r="C404" t="str">
        <f t="shared" si="12"/>
        <v>LAGER &gt; VIENNA</v>
      </c>
      <c r="D404" t="s">
        <v>5737</v>
      </c>
      <c r="E404" t="s">
        <v>801</v>
      </c>
      <c r="F404">
        <v>3403</v>
      </c>
    </row>
    <row r="405" spans="1:6">
      <c r="A405" t="str">
        <f t="shared" si="13"/>
        <v>BEER_GEN | LAGER &gt; WINTER | ZERO</v>
      </c>
      <c r="B405" t="s">
        <v>1844</v>
      </c>
      <c r="C405" t="str">
        <f t="shared" si="12"/>
        <v>LAGER &gt; WINTER</v>
      </c>
      <c r="D405" t="s">
        <v>5738</v>
      </c>
      <c r="E405" t="s">
        <v>801</v>
      </c>
      <c r="F405">
        <v>3404</v>
      </c>
    </row>
    <row r="406" spans="1:6">
      <c r="A406" t="str">
        <f t="shared" si="13"/>
        <v>BEER_GEN | LAMBIC &gt; FARO | ZERO</v>
      </c>
      <c r="B406" t="s">
        <v>1844</v>
      </c>
      <c r="C406" t="str">
        <f t="shared" si="12"/>
        <v>LAMBIC &gt; FARO</v>
      </c>
      <c r="D406" t="s">
        <v>5739</v>
      </c>
      <c r="E406" t="s">
        <v>801</v>
      </c>
      <c r="F406">
        <v>3405</v>
      </c>
    </row>
    <row r="407" spans="1:6">
      <c r="A407" t="str">
        <f t="shared" si="13"/>
        <v>BEER_GEN | LAMBIC &gt; FRAMBOISE | ZERO</v>
      </c>
      <c r="B407" t="s">
        <v>1844</v>
      </c>
      <c r="C407" t="str">
        <f t="shared" si="12"/>
        <v>LAMBIC &gt; FRAMBOISE</v>
      </c>
      <c r="D407" t="s">
        <v>5740</v>
      </c>
      <c r="E407" t="s">
        <v>801</v>
      </c>
      <c r="F407">
        <v>3406</v>
      </c>
    </row>
    <row r="408" spans="1:6">
      <c r="A408" t="str">
        <f t="shared" si="13"/>
        <v>BEER_GEN | LAMBIC &gt; FRUIT | ZERO</v>
      </c>
      <c r="B408" t="s">
        <v>1844</v>
      </c>
      <c r="C408" t="str">
        <f t="shared" si="12"/>
        <v>LAMBIC &gt; FRUIT</v>
      </c>
      <c r="D408" t="s">
        <v>5741</v>
      </c>
      <c r="E408" t="s">
        <v>801</v>
      </c>
      <c r="F408">
        <v>3407</v>
      </c>
    </row>
    <row r="409" spans="1:6">
      <c r="A409" t="str">
        <f t="shared" si="13"/>
        <v>BEER_GEN | LAMBIC &gt; GUEUZE | ZERO</v>
      </c>
      <c r="B409" t="s">
        <v>1844</v>
      </c>
      <c r="C409" t="str">
        <f t="shared" si="12"/>
        <v>LAMBIC &gt; GUEUZE</v>
      </c>
      <c r="D409" t="s">
        <v>5742</v>
      </c>
      <c r="E409" t="s">
        <v>801</v>
      </c>
      <c r="F409">
        <v>3408</v>
      </c>
    </row>
    <row r="410" spans="1:6">
      <c r="A410" t="str">
        <f t="shared" si="13"/>
        <v>BEER_GEN | LAMBIC &gt; KRIEK | ZERO</v>
      </c>
      <c r="B410" t="s">
        <v>1844</v>
      </c>
      <c r="C410" t="str">
        <f t="shared" si="12"/>
        <v>LAMBIC &gt; KRIEK</v>
      </c>
      <c r="D410" t="s">
        <v>5743</v>
      </c>
      <c r="E410" t="s">
        <v>801</v>
      </c>
      <c r="F410">
        <v>3409</v>
      </c>
    </row>
    <row r="411" spans="1:6">
      <c r="A411" t="str">
        <f t="shared" si="13"/>
        <v>BEER_GEN | LAMBIC &gt; OTHER | ZERO</v>
      </c>
      <c r="B411" t="s">
        <v>1844</v>
      </c>
      <c r="C411" t="str">
        <f t="shared" si="12"/>
        <v>LAMBIC &gt; OTHER</v>
      </c>
      <c r="D411" t="s">
        <v>5744</v>
      </c>
      <c r="E411" t="s">
        <v>801</v>
      </c>
      <c r="F411">
        <v>3410</v>
      </c>
    </row>
    <row r="412" spans="1:6">
      <c r="A412" t="str">
        <f t="shared" si="13"/>
        <v>BEER_GEN | LAMBIC &gt; TRADITIONAL | ZERO</v>
      </c>
      <c r="B412" t="s">
        <v>1844</v>
      </c>
      <c r="C412" t="str">
        <f t="shared" si="12"/>
        <v>LAMBIC &gt; TRADITIONAL</v>
      </c>
      <c r="D412" t="s">
        <v>5745</v>
      </c>
      <c r="E412" t="s">
        <v>801</v>
      </c>
      <c r="F412">
        <v>3411</v>
      </c>
    </row>
    <row r="413" spans="1:6">
      <c r="A413" t="str">
        <f t="shared" si="13"/>
        <v>BEER_GEN | MAKGEOLLI | ZERO</v>
      </c>
      <c r="B413" t="s">
        <v>1844</v>
      </c>
      <c r="C413" t="str">
        <f t="shared" si="12"/>
        <v>MAKGEOLLI</v>
      </c>
      <c r="D413" t="s">
        <v>5604</v>
      </c>
      <c r="E413" t="s">
        <v>801</v>
      </c>
      <c r="F413">
        <v>3412</v>
      </c>
    </row>
    <row r="414" spans="1:6">
      <c r="A414" t="str">
        <f t="shared" si="13"/>
        <v>BEER_GEN | MALT_BEER | ZERO</v>
      </c>
      <c r="B414" t="s">
        <v>1844</v>
      </c>
      <c r="C414" t="str">
        <f t="shared" si="12"/>
        <v>MALT_BEER</v>
      </c>
      <c r="D414" t="s">
        <v>5605</v>
      </c>
      <c r="E414" t="s">
        <v>801</v>
      </c>
      <c r="F414">
        <v>3413</v>
      </c>
    </row>
    <row r="415" spans="1:6">
      <c r="A415" t="str">
        <f t="shared" si="13"/>
        <v>BEER_GEN | MALT_LIQUOR | ZERO</v>
      </c>
      <c r="B415" t="s">
        <v>1844</v>
      </c>
      <c r="C415" t="str">
        <f t="shared" si="12"/>
        <v>MALT_LIQUOR</v>
      </c>
      <c r="D415" t="s">
        <v>5606</v>
      </c>
      <c r="E415" t="s">
        <v>801</v>
      </c>
      <c r="F415">
        <v>3414</v>
      </c>
    </row>
    <row r="416" spans="1:6">
      <c r="A416" t="str">
        <f t="shared" si="13"/>
        <v>BEER_GEN | MEAD &gt; ACERGLYN_/_MAPLE_WINE | ZERO</v>
      </c>
      <c r="B416" t="s">
        <v>1844</v>
      </c>
      <c r="C416" t="str">
        <f t="shared" si="12"/>
        <v>MEAD &gt; ACERGLYN_/_MAPLE_WINE</v>
      </c>
      <c r="D416" t="s">
        <v>5746</v>
      </c>
      <c r="E416" t="s">
        <v>801</v>
      </c>
      <c r="F416">
        <v>3415</v>
      </c>
    </row>
    <row r="417" spans="1:6">
      <c r="A417" t="str">
        <f t="shared" si="13"/>
        <v>BEER_GEN | MEAD &gt; BOCHET | ZERO</v>
      </c>
      <c r="B417" t="s">
        <v>1844</v>
      </c>
      <c r="C417" t="str">
        <f t="shared" si="12"/>
        <v>MEAD &gt; BOCHET</v>
      </c>
      <c r="D417" t="s">
        <v>5747</v>
      </c>
      <c r="E417" t="s">
        <v>801</v>
      </c>
      <c r="F417">
        <v>3416</v>
      </c>
    </row>
    <row r="418" spans="1:6">
      <c r="A418" t="str">
        <f t="shared" si="13"/>
        <v>BEER_GEN | MEAD &gt; BRAGGOT | ZERO</v>
      </c>
      <c r="B418" t="s">
        <v>1844</v>
      </c>
      <c r="C418" t="str">
        <f t="shared" si="12"/>
        <v>MEAD &gt; BRAGGOT</v>
      </c>
      <c r="D418" t="s">
        <v>5748</v>
      </c>
      <c r="E418" t="s">
        <v>801</v>
      </c>
      <c r="F418">
        <v>3417</v>
      </c>
    </row>
    <row r="419" spans="1:6">
      <c r="A419" t="str">
        <f t="shared" si="13"/>
        <v>BEER_GEN | MEAD &gt; CYSER | ZERO</v>
      </c>
      <c r="B419" t="s">
        <v>1844</v>
      </c>
      <c r="C419" t="str">
        <f t="shared" si="12"/>
        <v>MEAD &gt; CYSER</v>
      </c>
      <c r="D419" t="s">
        <v>5749</v>
      </c>
      <c r="E419" t="s">
        <v>801</v>
      </c>
      <c r="F419">
        <v>3418</v>
      </c>
    </row>
    <row r="420" spans="1:6">
      <c r="A420" t="str">
        <f t="shared" si="13"/>
        <v>BEER_GEN | MEAD &gt; MELOMEL | ZERO</v>
      </c>
      <c r="B420" t="s">
        <v>1844</v>
      </c>
      <c r="C420" t="str">
        <f t="shared" si="12"/>
        <v>MEAD &gt; MELOMEL</v>
      </c>
      <c r="D420" t="s">
        <v>5750</v>
      </c>
      <c r="E420" t="s">
        <v>801</v>
      </c>
      <c r="F420">
        <v>3419</v>
      </c>
    </row>
    <row r="421" spans="1:6">
      <c r="A421" t="str">
        <f t="shared" si="13"/>
        <v>BEER_GEN | MEAD &gt; METHEGLIN | ZERO</v>
      </c>
      <c r="B421" t="s">
        <v>1844</v>
      </c>
      <c r="C421" t="str">
        <f t="shared" si="12"/>
        <v>MEAD &gt; METHEGLIN</v>
      </c>
      <c r="D421" t="s">
        <v>5751</v>
      </c>
      <c r="E421" t="s">
        <v>801</v>
      </c>
      <c r="F421">
        <v>3420</v>
      </c>
    </row>
    <row r="422" spans="1:6">
      <c r="A422" t="str">
        <f t="shared" si="13"/>
        <v>BEER_GEN | MEAD &gt; OTHER | ZERO</v>
      </c>
      <c r="B422" t="s">
        <v>1844</v>
      </c>
      <c r="C422" t="str">
        <f t="shared" si="12"/>
        <v>MEAD &gt; OTHER</v>
      </c>
      <c r="D422" t="s">
        <v>5752</v>
      </c>
      <c r="E422" t="s">
        <v>801</v>
      </c>
      <c r="F422">
        <v>3421</v>
      </c>
    </row>
    <row r="423" spans="1:6">
      <c r="A423" t="str">
        <f t="shared" si="13"/>
        <v>BEER_GEN | MEAD &gt; PYMENT | ZERO</v>
      </c>
      <c r="B423" t="s">
        <v>1844</v>
      </c>
      <c r="C423" t="str">
        <f t="shared" si="12"/>
        <v>MEAD &gt; PYMENT</v>
      </c>
      <c r="D423" t="s">
        <v>5753</v>
      </c>
      <c r="E423" t="s">
        <v>801</v>
      </c>
      <c r="F423">
        <v>3422</v>
      </c>
    </row>
    <row r="424" spans="1:6">
      <c r="A424" t="str">
        <f t="shared" si="13"/>
        <v>BEER_GEN | MEAD &gt; SESSION_/_SHORT | ZERO</v>
      </c>
      <c r="B424" t="s">
        <v>1844</v>
      </c>
      <c r="C424" t="str">
        <f t="shared" si="12"/>
        <v>MEAD &gt; SESSION_/_SHORT</v>
      </c>
      <c r="D424" t="s">
        <v>5754</v>
      </c>
      <c r="E424" t="s">
        <v>801</v>
      </c>
      <c r="F424">
        <v>3423</v>
      </c>
    </row>
    <row r="425" spans="1:6">
      <c r="A425" t="str">
        <f t="shared" si="13"/>
        <v>BEER_GEN | MEAD &gt; TRADITIONAL | ZERO</v>
      </c>
      <c r="B425" t="s">
        <v>1844</v>
      </c>
      <c r="C425" t="str">
        <f t="shared" si="12"/>
        <v>MEAD &gt; TRADITIONAL</v>
      </c>
      <c r="D425" t="s">
        <v>5755</v>
      </c>
      <c r="E425" t="s">
        <v>801</v>
      </c>
      <c r="F425">
        <v>3424</v>
      </c>
    </row>
    <row r="426" spans="1:6">
      <c r="A426" t="str">
        <f t="shared" si="13"/>
        <v>BEER_GEN | MILD &gt; DARK | ZERO</v>
      </c>
      <c r="B426" t="s">
        <v>1844</v>
      </c>
      <c r="C426" t="str">
        <f t="shared" si="12"/>
        <v>MILD &gt; DARK</v>
      </c>
      <c r="D426" t="s">
        <v>5756</v>
      </c>
      <c r="E426" t="s">
        <v>801</v>
      </c>
      <c r="F426">
        <v>3425</v>
      </c>
    </row>
    <row r="427" spans="1:6">
      <c r="A427" t="str">
        <f t="shared" si="13"/>
        <v>BEER_GEN | MILD &gt; LIGHT | ZERO</v>
      </c>
      <c r="B427" t="s">
        <v>1844</v>
      </c>
      <c r="C427" t="str">
        <f t="shared" si="12"/>
        <v>MILD &gt; LIGHT</v>
      </c>
      <c r="D427" t="s">
        <v>5757</v>
      </c>
      <c r="E427" t="s">
        <v>801</v>
      </c>
      <c r="F427">
        <v>3426</v>
      </c>
    </row>
    <row r="428" spans="1:6">
      <c r="A428" t="str">
        <f t="shared" si="13"/>
        <v>BEER_GEN | MILD &gt; OTHER | ZERO</v>
      </c>
      <c r="B428" t="s">
        <v>1844</v>
      </c>
      <c r="C428" t="str">
        <f t="shared" si="12"/>
        <v>MILD &gt; OTHER</v>
      </c>
      <c r="D428" t="s">
        <v>5758</v>
      </c>
      <c r="E428" t="s">
        <v>801</v>
      </c>
      <c r="F428">
        <v>3427</v>
      </c>
    </row>
    <row r="429" spans="1:6">
      <c r="A429" t="str">
        <f t="shared" si="13"/>
        <v>BEER_GEN | MARZEN | ZERO</v>
      </c>
      <c r="B429" t="s">
        <v>1844</v>
      </c>
      <c r="C429" t="str">
        <f t="shared" si="12"/>
        <v>MARZEN</v>
      </c>
      <c r="D429" t="s">
        <v>5607</v>
      </c>
      <c r="E429" t="s">
        <v>801</v>
      </c>
      <c r="F429">
        <v>3428</v>
      </c>
    </row>
    <row r="430" spans="1:6">
      <c r="A430" t="str">
        <f t="shared" si="13"/>
        <v>BEER_GEN | OLD_/_STOCK_ALE | ZERO</v>
      </c>
      <c r="B430" t="s">
        <v>1844</v>
      </c>
      <c r="C430" t="str">
        <f t="shared" si="12"/>
        <v>OLD_/_STOCK_ALE</v>
      </c>
      <c r="D430" t="s">
        <v>5608</v>
      </c>
      <c r="E430" t="s">
        <v>801</v>
      </c>
      <c r="F430">
        <v>3429</v>
      </c>
    </row>
    <row r="431" spans="1:6">
      <c r="A431" t="str">
        <f t="shared" si="13"/>
        <v>BEER_GEN | PALE_ALE &gt; AMERICAN | ZERO</v>
      </c>
      <c r="B431" t="s">
        <v>1844</v>
      </c>
      <c r="C431" t="str">
        <f t="shared" si="12"/>
        <v>PALE_ALE &gt; AMERICAN</v>
      </c>
      <c r="D431" t="s">
        <v>5759</v>
      </c>
      <c r="E431" t="s">
        <v>801</v>
      </c>
      <c r="F431">
        <v>3430</v>
      </c>
    </row>
    <row r="432" spans="1:6">
      <c r="A432" t="str">
        <f t="shared" si="13"/>
        <v>BEER_GEN | PALE_ALE &gt; AUSTRALIAN | ZERO</v>
      </c>
      <c r="B432" t="s">
        <v>1844</v>
      </c>
      <c r="C432" t="str">
        <f t="shared" si="12"/>
        <v>PALE_ALE &gt; AUSTRALIAN</v>
      </c>
      <c r="D432" t="s">
        <v>5760</v>
      </c>
      <c r="E432" t="s">
        <v>801</v>
      </c>
      <c r="F432">
        <v>3431</v>
      </c>
    </row>
    <row r="433" spans="1:6">
      <c r="A433" t="str">
        <f t="shared" si="13"/>
        <v>BEER_GEN | PALE_ALE &gt; BELGIAN | ZERO</v>
      </c>
      <c r="B433" t="s">
        <v>1844</v>
      </c>
      <c r="C433" t="str">
        <f t="shared" si="12"/>
        <v>PALE_ALE &gt; BELGIAN</v>
      </c>
      <c r="D433" t="s">
        <v>5761</v>
      </c>
      <c r="E433" t="s">
        <v>801</v>
      </c>
      <c r="F433">
        <v>3432</v>
      </c>
    </row>
    <row r="434" spans="1:6">
      <c r="A434" t="str">
        <f t="shared" si="13"/>
        <v>BEER_GEN | PALE_ALE &gt; ENGLISH | ZERO</v>
      </c>
      <c r="B434" t="s">
        <v>1844</v>
      </c>
      <c r="C434" t="str">
        <f t="shared" si="12"/>
        <v>PALE_ALE &gt; ENGLISH</v>
      </c>
      <c r="D434" t="s">
        <v>5762</v>
      </c>
      <c r="E434" t="s">
        <v>801</v>
      </c>
      <c r="F434">
        <v>3433</v>
      </c>
    </row>
    <row r="435" spans="1:6">
      <c r="A435" t="str">
        <f t="shared" si="13"/>
        <v>BEER_GEN | PALE_ALE &gt; FRUITED | ZERO</v>
      </c>
      <c r="B435" t="s">
        <v>1844</v>
      </c>
      <c r="C435" t="str">
        <f t="shared" si="12"/>
        <v>PALE_ALE &gt; FRUITED</v>
      </c>
      <c r="D435" t="s">
        <v>5763</v>
      </c>
      <c r="E435" t="s">
        <v>801</v>
      </c>
      <c r="F435">
        <v>3434</v>
      </c>
    </row>
    <row r="436" spans="1:6">
      <c r="A436" t="str">
        <f t="shared" si="13"/>
        <v>BEER_GEN | PALE_ALE &gt; MILKSHAKE | ZERO</v>
      </c>
      <c r="B436" t="s">
        <v>1844</v>
      </c>
      <c r="C436" t="str">
        <f t="shared" si="12"/>
        <v>PALE_ALE &gt; MILKSHAKE</v>
      </c>
      <c r="D436" t="s">
        <v>5764</v>
      </c>
      <c r="E436" t="s">
        <v>801</v>
      </c>
      <c r="F436">
        <v>3435</v>
      </c>
    </row>
    <row r="437" spans="1:6">
      <c r="A437" t="str">
        <f t="shared" si="13"/>
        <v>BEER_GEN | PALE_ALE &gt; NEW_ENGLAND_/_HAZY | ZERO</v>
      </c>
      <c r="B437" t="s">
        <v>1844</v>
      </c>
      <c r="C437" t="str">
        <f t="shared" si="12"/>
        <v>PALE_ALE &gt; NEW_ENGLAND_/_HAZY</v>
      </c>
      <c r="D437" t="s">
        <v>5765</v>
      </c>
      <c r="E437" t="s">
        <v>801</v>
      </c>
      <c r="F437">
        <v>3436</v>
      </c>
    </row>
    <row r="438" spans="1:6">
      <c r="A438" t="str">
        <f t="shared" si="13"/>
        <v>BEER_GEN | PALE_ALE &gt; NEW_ZEALAND | ZERO</v>
      </c>
      <c r="B438" t="s">
        <v>1844</v>
      </c>
      <c r="C438" t="str">
        <f t="shared" si="12"/>
        <v>PALE_ALE &gt; NEW_ZEALAND</v>
      </c>
      <c r="D438" t="s">
        <v>5766</v>
      </c>
      <c r="E438" t="s">
        <v>801</v>
      </c>
      <c r="F438">
        <v>3437</v>
      </c>
    </row>
    <row r="439" spans="1:6">
      <c r="A439" t="str">
        <f t="shared" si="13"/>
        <v>BEER_GEN | PALE_ALE &gt; OTHER | ZERO</v>
      </c>
      <c r="B439" t="s">
        <v>1844</v>
      </c>
      <c r="C439" t="str">
        <f t="shared" si="12"/>
        <v>PALE_ALE &gt; OTHER</v>
      </c>
      <c r="D439" t="s">
        <v>5767</v>
      </c>
      <c r="E439" t="s">
        <v>801</v>
      </c>
      <c r="F439">
        <v>3438</v>
      </c>
    </row>
    <row r="440" spans="1:6">
      <c r="A440" t="str">
        <f t="shared" si="13"/>
        <v>BEER_GEN | PALE_ALE &gt; XPA_(EXTRA_PALE) | ZERO</v>
      </c>
      <c r="B440" t="s">
        <v>1844</v>
      </c>
      <c r="C440" t="str">
        <f t="shared" si="12"/>
        <v>PALE_ALE &gt; XPA_(EXTRA_PALE)</v>
      </c>
      <c r="D440" t="s">
        <v>5768</v>
      </c>
      <c r="E440" t="s">
        <v>801</v>
      </c>
      <c r="F440">
        <v>3439</v>
      </c>
    </row>
    <row r="441" spans="1:6">
      <c r="A441" t="str">
        <f t="shared" si="13"/>
        <v>BEER_GEN | PILSNER &gt; CZECH_/_BOHEMIAN | ZERO</v>
      </c>
      <c r="B441" t="s">
        <v>1844</v>
      </c>
      <c r="C441" t="str">
        <f t="shared" si="12"/>
        <v>PILSNER &gt; CZECH_/_BOHEMIAN</v>
      </c>
      <c r="D441" t="s">
        <v>5769</v>
      </c>
      <c r="E441" t="s">
        <v>801</v>
      </c>
      <c r="F441">
        <v>3440</v>
      </c>
    </row>
    <row r="442" spans="1:6">
      <c r="A442" t="str">
        <f t="shared" si="13"/>
        <v>BEER_GEN | PILSNER &gt; GERMAN | ZERO</v>
      </c>
      <c r="B442" t="s">
        <v>1844</v>
      </c>
      <c r="C442" t="str">
        <f t="shared" si="12"/>
        <v>PILSNER &gt; GERMAN</v>
      </c>
      <c r="D442" t="s">
        <v>5770</v>
      </c>
      <c r="E442" t="s">
        <v>801</v>
      </c>
      <c r="F442">
        <v>3441</v>
      </c>
    </row>
    <row r="443" spans="1:6">
      <c r="A443" t="str">
        <f t="shared" si="13"/>
        <v>BEER_GEN | PILSNER &gt; IMPERIAL_/_DOUBLE | ZERO</v>
      </c>
      <c r="B443" t="s">
        <v>1844</v>
      </c>
      <c r="C443" t="str">
        <f t="shared" ref="C443:C506" si="14">_xlfn.TEXTJOIN(";",TRUE,D443,H443:N443)</f>
        <v>PILSNER &gt; IMPERIAL_/_DOUBLE</v>
      </c>
      <c r="D443" t="s">
        <v>5771</v>
      </c>
      <c r="E443" t="s">
        <v>801</v>
      </c>
      <c r="F443">
        <v>3442</v>
      </c>
    </row>
    <row r="444" spans="1:6">
      <c r="A444" t="str">
        <f t="shared" si="13"/>
        <v>BEER_GEN | PILSNER &gt; ITALIAN | ZERO</v>
      </c>
      <c r="B444" t="s">
        <v>1844</v>
      </c>
      <c r="C444" t="str">
        <f t="shared" si="14"/>
        <v>PILSNER &gt; ITALIAN</v>
      </c>
      <c r="D444" t="s">
        <v>5772</v>
      </c>
      <c r="E444" t="s">
        <v>801</v>
      </c>
      <c r="F444">
        <v>3443</v>
      </c>
    </row>
    <row r="445" spans="1:6">
      <c r="A445" t="str">
        <f t="shared" si="13"/>
        <v>BEER_GEN | PILSNER &gt; NEW_ZEALAND | ZERO</v>
      </c>
      <c r="B445" t="s">
        <v>1844</v>
      </c>
      <c r="C445" t="str">
        <f t="shared" si="14"/>
        <v>PILSNER &gt; NEW_ZEALAND</v>
      </c>
      <c r="D445" t="s">
        <v>5773</v>
      </c>
      <c r="E445" t="s">
        <v>801</v>
      </c>
      <c r="F445">
        <v>3444</v>
      </c>
    </row>
    <row r="446" spans="1:6">
      <c r="A446" t="str">
        <f t="shared" si="13"/>
        <v>BEER_GEN | PILSNER &gt; OTHER | ZERO</v>
      </c>
      <c r="B446" t="s">
        <v>1844</v>
      </c>
      <c r="C446" t="str">
        <f t="shared" si="14"/>
        <v>PILSNER &gt; OTHER</v>
      </c>
      <c r="D446" t="s">
        <v>5774</v>
      </c>
      <c r="E446" t="s">
        <v>801</v>
      </c>
      <c r="F446">
        <v>3445</v>
      </c>
    </row>
    <row r="447" spans="1:6">
      <c r="A447" t="str">
        <f t="shared" si="13"/>
        <v>BEER_GEN | PORTER &gt; AMERICAN | ZERO</v>
      </c>
      <c r="B447" t="s">
        <v>1844</v>
      </c>
      <c r="C447" t="str">
        <f t="shared" si="14"/>
        <v>PORTER &gt; AMERICAN</v>
      </c>
      <c r="D447" t="s">
        <v>5775</v>
      </c>
      <c r="E447" t="s">
        <v>801</v>
      </c>
      <c r="F447">
        <v>3446</v>
      </c>
    </row>
    <row r="448" spans="1:6">
      <c r="A448" t="str">
        <f t="shared" si="13"/>
        <v>BEER_GEN | PORTER &gt; BALTIC | ZERO</v>
      </c>
      <c r="B448" t="s">
        <v>1844</v>
      </c>
      <c r="C448" t="str">
        <f t="shared" si="14"/>
        <v>PORTER &gt; BALTIC</v>
      </c>
      <c r="D448" t="s">
        <v>5776</v>
      </c>
      <c r="E448" t="s">
        <v>801</v>
      </c>
      <c r="F448">
        <v>3447</v>
      </c>
    </row>
    <row r="449" spans="1:6">
      <c r="A449" t="str">
        <f t="shared" si="13"/>
        <v>BEER_GEN | PORTER &gt; COFFEE | ZERO</v>
      </c>
      <c r="B449" t="s">
        <v>1844</v>
      </c>
      <c r="C449" t="str">
        <f t="shared" si="14"/>
        <v>PORTER &gt; COFFEE</v>
      </c>
      <c r="D449" t="s">
        <v>5777</v>
      </c>
      <c r="E449" t="s">
        <v>801</v>
      </c>
      <c r="F449">
        <v>3448</v>
      </c>
    </row>
    <row r="450" spans="1:6">
      <c r="A450" t="str">
        <f t="shared" si="13"/>
        <v>BEER_GEN | PORTER &gt; ENGLISH | ZERO</v>
      </c>
      <c r="B450" t="s">
        <v>1844</v>
      </c>
      <c r="C450" t="str">
        <f t="shared" si="14"/>
        <v>PORTER &gt; ENGLISH</v>
      </c>
      <c r="D450" t="s">
        <v>5778</v>
      </c>
      <c r="E450" t="s">
        <v>801</v>
      </c>
      <c r="F450">
        <v>3449</v>
      </c>
    </row>
    <row r="451" spans="1:6">
      <c r="A451" t="str">
        <f t="shared" ref="A451:A514" si="15">B451&amp;" | "&amp;D451&amp;" | "&amp;E451</f>
        <v>BEER_GEN | PORTER &gt; IMPERIAL_/_DOUBLE | ZERO</v>
      </c>
      <c r="B451" t="s">
        <v>1844</v>
      </c>
      <c r="C451" t="str">
        <f t="shared" si="14"/>
        <v>PORTER &gt; IMPERIAL_/_DOUBLE</v>
      </c>
      <c r="D451" t="s">
        <v>5779</v>
      </c>
      <c r="E451" t="s">
        <v>801</v>
      </c>
      <c r="F451">
        <v>3450</v>
      </c>
    </row>
    <row r="452" spans="1:6">
      <c r="A452" t="str">
        <f t="shared" si="15"/>
        <v>BEER_GEN | PORTER &gt; IMPERIAL_/_DOUBLE_BALTIC | ZERO</v>
      </c>
      <c r="B452" t="s">
        <v>1844</v>
      </c>
      <c r="C452" t="str">
        <f t="shared" si="14"/>
        <v>PORTER &gt; IMPERIAL_/_DOUBLE_BALTIC</v>
      </c>
      <c r="D452" t="s">
        <v>5780</v>
      </c>
      <c r="E452" t="s">
        <v>801</v>
      </c>
      <c r="F452">
        <v>3451</v>
      </c>
    </row>
    <row r="453" spans="1:6">
      <c r="A453" t="str">
        <f t="shared" si="15"/>
        <v>BEER_GEN | PORTER &gt; IMPERIAL_/_DOUBLE_COFFEE | ZERO</v>
      </c>
      <c r="B453" t="s">
        <v>1844</v>
      </c>
      <c r="C453" t="str">
        <f t="shared" si="14"/>
        <v>PORTER &gt; IMPERIAL_/_DOUBLE_COFFEE</v>
      </c>
      <c r="D453" t="s">
        <v>5781</v>
      </c>
      <c r="E453" t="s">
        <v>801</v>
      </c>
      <c r="F453">
        <v>3452</v>
      </c>
    </row>
    <row r="454" spans="1:6">
      <c r="A454" t="str">
        <f t="shared" si="15"/>
        <v>BEER_GEN | PORTER &gt; OTHER | ZERO</v>
      </c>
      <c r="B454" t="s">
        <v>1844</v>
      </c>
      <c r="C454" t="str">
        <f t="shared" si="14"/>
        <v>PORTER &gt; OTHER</v>
      </c>
      <c r="D454" t="s">
        <v>5782</v>
      </c>
      <c r="E454" t="s">
        <v>801</v>
      </c>
      <c r="F454">
        <v>3453</v>
      </c>
    </row>
    <row r="455" spans="1:6">
      <c r="A455" t="str">
        <f t="shared" si="15"/>
        <v>BEER_GEN | PORTER &gt; SMOKED | ZERO</v>
      </c>
      <c r="B455" t="s">
        <v>1844</v>
      </c>
      <c r="C455" t="str">
        <f t="shared" si="14"/>
        <v>PORTER &gt; SMOKED</v>
      </c>
      <c r="D455" t="s">
        <v>5783</v>
      </c>
      <c r="E455" t="s">
        <v>801</v>
      </c>
      <c r="F455">
        <v>3454</v>
      </c>
    </row>
    <row r="456" spans="1:6">
      <c r="A456" t="str">
        <f t="shared" si="15"/>
        <v>BEER_GEN | PUMPKIN_/_YAM_BEER | ZERO</v>
      </c>
      <c r="B456" t="s">
        <v>1844</v>
      </c>
      <c r="C456" t="str">
        <f t="shared" si="14"/>
        <v>PUMPKIN_/_YAM_BEER</v>
      </c>
      <c r="D456" t="s">
        <v>5609</v>
      </c>
      <c r="E456" t="s">
        <v>801</v>
      </c>
      <c r="F456">
        <v>3455</v>
      </c>
    </row>
    <row r="457" spans="1:6">
      <c r="A457" t="str">
        <f t="shared" si="15"/>
        <v>BEER_GEN | RAUCHBIER | ZERO</v>
      </c>
      <c r="B457" t="s">
        <v>1844</v>
      </c>
      <c r="C457" t="str">
        <f t="shared" si="14"/>
        <v>RAUCHBIER</v>
      </c>
      <c r="D457" t="s">
        <v>5610</v>
      </c>
      <c r="E457" t="s">
        <v>801</v>
      </c>
      <c r="F457">
        <v>3456</v>
      </c>
    </row>
    <row r="458" spans="1:6">
      <c r="A458" t="str">
        <f t="shared" si="15"/>
        <v>BEER_GEN | RED_ALE &gt; AMERICAN_AMBER_/_RED | ZERO</v>
      </c>
      <c r="B458" t="s">
        <v>1844</v>
      </c>
      <c r="C458" t="str">
        <f t="shared" si="14"/>
        <v>RED_ALE &gt; AMERICAN_AMBER_/_RED</v>
      </c>
      <c r="D458" t="s">
        <v>5784</v>
      </c>
      <c r="E458" t="s">
        <v>801</v>
      </c>
      <c r="F458">
        <v>3457</v>
      </c>
    </row>
    <row r="459" spans="1:6">
      <c r="A459" t="str">
        <f t="shared" si="15"/>
        <v>BEER_GEN | RED_ALE &gt; IMPERIAL_/_DOUBLE | ZERO</v>
      </c>
      <c r="B459" t="s">
        <v>1844</v>
      </c>
      <c r="C459" t="str">
        <f t="shared" si="14"/>
        <v>RED_ALE &gt; IMPERIAL_/_DOUBLE</v>
      </c>
      <c r="D459" t="s">
        <v>5785</v>
      </c>
      <c r="E459" t="s">
        <v>801</v>
      </c>
      <c r="F459">
        <v>3458</v>
      </c>
    </row>
    <row r="460" spans="1:6">
      <c r="A460" t="str">
        <f t="shared" si="15"/>
        <v>BEER_GEN | RED_ALE &gt; IRISH | ZERO</v>
      </c>
      <c r="B460" t="s">
        <v>1844</v>
      </c>
      <c r="C460" t="str">
        <f t="shared" si="14"/>
        <v>RED_ALE &gt; IRISH</v>
      </c>
      <c r="D460" t="s">
        <v>5786</v>
      </c>
      <c r="E460" t="s">
        <v>801</v>
      </c>
      <c r="F460">
        <v>3459</v>
      </c>
    </row>
    <row r="461" spans="1:6">
      <c r="A461" t="str">
        <f t="shared" si="15"/>
        <v>BEER_GEN | RED_ALE &gt; OTHER | ZERO</v>
      </c>
      <c r="B461" t="s">
        <v>1844</v>
      </c>
      <c r="C461" t="str">
        <f t="shared" si="14"/>
        <v>RED_ALE &gt; OTHER</v>
      </c>
      <c r="D461" t="s">
        <v>5787</v>
      </c>
      <c r="E461" t="s">
        <v>801</v>
      </c>
      <c r="F461">
        <v>3460</v>
      </c>
    </row>
    <row r="462" spans="1:6">
      <c r="A462" t="str">
        <f t="shared" si="15"/>
        <v>BEER_GEN | ROGGENBIER | ZERO</v>
      </c>
      <c r="B462" t="s">
        <v>1844</v>
      </c>
      <c r="C462" t="str">
        <f t="shared" si="14"/>
        <v>ROGGENBIER</v>
      </c>
      <c r="D462" t="s">
        <v>5611</v>
      </c>
      <c r="E462" t="s">
        <v>801</v>
      </c>
      <c r="F462">
        <v>3461</v>
      </c>
    </row>
    <row r="463" spans="1:6">
      <c r="A463" t="str">
        <f t="shared" si="15"/>
        <v>BEER_GEN | ROOT_BEER | ZERO</v>
      </c>
      <c r="B463" t="s">
        <v>1844</v>
      </c>
      <c r="C463" t="str">
        <f t="shared" si="14"/>
        <v>ROOT_BEER</v>
      </c>
      <c r="D463" t="s">
        <v>5612</v>
      </c>
      <c r="E463" t="s">
        <v>801</v>
      </c>
      <c r="F463">
        <v>3462</v>
      </c>
    </row>
    <row r="464" spans="1:6">
      <c r="A464" t="str">
        <f t="shared" si="15"/>
        <v>BEER_GEN | RYE_BEER | ZERO</v>
      </c>
      <c r="B464" t="s">
        <v>1844</v>
      </c>
      <c r="C464" t="str">
        <f t="shared" si="14"/>
        <v>RYE_BEER</v>
      </c>
      <c r="D464" t="s">
        <v>5613</v>
      </c>
      <c r="E464" t="s">
        <v>801</v>
      </c>
      <c r="F464">
        <v>3463</v>
      </c>
    </row>
    <row r="465" spans="1:6">
      <c r="A465" t="str">
        <f t="shared" si="15"/>
        <v>BEER_GEN | RYE_WINE | ZERO</v>
      </c>
      <c r="B465" t="s">
        <v>1844</v>
      </c>
      <c r="C465" t="str">
        <f t="shared" si="14"/>
        <v>RYE_WINE</v>
      </c>
      <c r="D465" t="s">
        <v>5614</v>
      </c>
      <c r="E465" t="s">
        <v>801</v>
      </c>
      <c r="F465">
        <v>3464</v>
      </c>
    </row>
    <row r="466" spans="1:6">
      <c r="A466" t="str">
        <f t="shared" si="15"/>
        <v>BEER_GEN | SCHWARZBIER | ZERO</v>
      </c>
      <c r="B466" t="s">
        <v>1844</v>
      </c>
      <c r="C466" t="str">
        <f t="shared" si="14"/>
        <v>SCHWARZBIER</v>
      </c>
      <c r="D466" t="s">
        <v>1084</v>
      </c>
      <c r="E466" t="s">
        <v>801</v>
      </c>
      <c r="F466">
        <v>3465</v>
      </c>
    </row>
    <row r="467" spans="1:6">
      <c r="A467" t="str">
        <f t="shared" si="15"/>
        <v>BEER_GEN | SCOTCH_ALE_/_WEE_HEAVY | ZERO</v>
      </c>
      <c r="B467" t="s">
        <v>1844</v>
      </c>
      <c r="C467" t="str">
        <f t="shared" si="14"/>
        <v>SCOTCH_ALE_/_WEE_HEAVY</v>
      </c>
      <c r="D467" t="s">
        <v>5615</v>
      </c>
      <c r="E467" t="s">
        <v>801</v>
      </c>
      <c r="F467">
        <v>3466</v>
      </c>
    </row>
    <row r="468" spans="1:6">
      <c r="A468" t="str">
        <f t="shared" si="15"/>
        <v>BEER_GEN | SCOTTISH_ALE | ZERO</v>
      </c>
      <c r="B468" t="s">
        <v>1844</v>
      </c>
      <c r="C468" t="str">
        <f t="shared" si="14"/>
        <v>SCOTTISH_ALE</v>
      </c>
      <c r="D468" t="s">
        <v>5616</v>
      </c>
      <c r="E468" t="s">
        <v>801</v>
      </c>
      <c r="F468">
        <v>3467</v>
      </c>
    </row>
    <row r="469" spans="1:6">
      <c r="A469" t="str">
        <f t="shared" si="15"/>
        <v>BEER_GEN | SCOTTISH_EXPORT_ALE | ZERO</v>
      </c>
      <c r="B469" t="s">
        <v>1844</v>
      </c>
      <c r="C469" t="str">
        <f t="shared" si="14"/>
        <v>SCOTTISH_EXPORT_ALE</v>
      </c>
      <c r="D469" t="s">
        <v>5617</v>
      </c>
      <c r="E469" t="s">
        <v>801</v>
      </c>
      <c r="F469">
        <v>3468</v>
      </c>
    </row>
    <row r="470" spans="1:6">
      <c r="A470" t="str">
        <f t="shared" si="15"/>
        <v>BEER_GEN | SHANDY_/_RADLER | ZERO</v>
      </c>
      <c r="B470" t="s">
        <v>1844</v>
      </c>
      <c r="C470" t="str">
        <f t="shared" si="14"/>
        <v>SHANDY_/_RADLER</v>
      </c>
      <c r="D470" t="s">
        <v>5618</v>
      </c>
      <c r="E470" t="s">
        <v>801</v>
      </c>
      <c r="F470">
        <v>3469</v>
      </c>
    </row>
    <row r="471" spans="1:6">
      <c r="A471" t="str">
        <f t="shared" si="15"/>
        <v>BEER_GEN | SMOKED_BEER | ZERO</v>
      </c>
      <c r="B471" t="s">
        <v>1844</v>
      </c>
      <c r="C471" t="str">
        <f t="shared" si="14"/>
        <v>SMOKED_BEER</v>
      </c>
      <c r="D471" t="s">
        <v>5619</v>
      </c>
      <c r="E471" t="s">
        <v>801</v>
      </c>
      <c r="F471">
        <v>3470</v>
      </c>
    </row>
    <row r="472" spans="1:6">
      <c r="A472" t="str">
        <f t="shared" si="15"/>
        <v>BEER_GEN | SORGHUM_/_MILLET_BEER | ZERO</v>
      </c>
      <c r="B472" t="s">
        <v>1844</v>
      </c>
      <c r="C472" t="str">
        <f t="shared" si="14"/>
        <v>SORGHUM_/_MILLET_BEER</v>
      </c>
      <c r="D472" t="s">
        <v>5620</v>
      </c>
      <c r="E472" t="s">
        <v>801</v>
      </c>
      <c r="F472">
        <v>3471</v>
      </c>
    </row>
    <row r="473" spans="1:6">
      <c r="A473" t="str">
        <f t="shared" si="15"/>
        <v>BEER_GEN | SOUR &gt; BERLINER_WEISSE | ZERO</v>
      </c>
      <c r="B473" t="s">
        <v>1844</v>
      </c>
      <c r="C473" t="str">
        <f t="shared" si="14"/>
        <v>SOUR &gt; BERLINER_WEISSE</v>
      </c>
      <c r="D473" t="s">
        <v>5788</v>
      </c>
      <c r="E473" t="s">
        <v>801</v>
      </c>
      <c r="F473">
        <v>3472</v>
      </c>
    </row>
    <row r="474" spans="1:6">
      <c r="A474" t="str">
        <f t="shared" si="15"/>
        <v>BEER_GEN | SOUR &gt; CATHARINA | ZERO</v>
      </c>
      <c r="B474" t="s">
        <v>1844</v>
      </c>
      <c r="C474" t="str">
        <f t="shared" si="14"/>
        <v>SOUR &gt; CATHARINA</v>
      </c>
      <c r="D474" t="s">
        <v>5789</v>
      </c>
      <c r="E474" t="s">
        <v>801</v>
      </c>
      <c r="F474">
        <v>3473</v>
      </c>
    </row>
    <row r="475" spans="1:6">
      <c r="A475" t="str">
        <f t="shared" si="15"/>
        <v>BEER_GEN | SOUR &gt; FLANDERS_OUD_BRUIN | ZERO</v>
      </c>
      <c r="B475" t="s">
        <v>1844</v>
      </c>
      <c r="C475" t="str">
        <f t="shared" si="14"/>
        <v>SOUR &gt; FLANDERS_OUD_BRUIN</v>
      </c>
      <c r="D475" t="s">
        <v>5790</v>
      </c>
      <c r="E475" t="s">
        <v>801</v>
      </c>
      <c r="F475">
        <v>3474</v>
      </c>
    </row>
    <row r="476" spans="1:6">
      <c r="A476" t="str">
        <f t="shared" si="15"/>
        <v>BEER_GEN | SOUR &gt; FLANDERS_RED_ALE | ZERO</v>
      </c>
      <c r="B476" t="s">
        <v>1844</v>
      </c>
      <c r="C476" t="str">
        <f t="shared" si="14"/>
        <v>SOUR &gt; FLANDERS_RED_ALE</v>
      </c>
      <c r="D476" t="s">
        <v>5791</v>
      </c>
      <c r="E476" t="s">
        <v>801</v>
      </c>
      <c r="F476">
        <v>3475</v>
      </c>
    </row>
    <row r="477" spans="1:6">
      <c r="A477" t="str">
        <f t="shared" si="15"/>
        <v>BEER_GEN | SOUR &gt; FRUITED | ZERO</v>
      </c>
      <c r="B477" t="s">
        <v>1844</v>
      </c>
      <c r="C477" t="str">
        <f t="shared" si="14"/>
        <v>SOUR &gt; FRUITED</v>
      </c>
      <c r="D477" t="s">
        <v>5792</v>
      </c>
      <c r="E477" t="s">
        <v>801</v>
      </c>
      <c r="F477">
        <v>3476</v>
      </c>
    </row>
    <row r="478" spans="1:6">
      <c r="A478" t="str">
        <f t="shared" si="15"/>
        <v>BEER_GEN | SOUR &gt; FRUITED_BERLINER_WEISSE | ZERO</v>
      </c>
      <c r="B478" t="s">
        <v>1844</v>
      </c>
      <c r="C478" t="str">
        <f t="shared" si="14"/>
        <v>SOUR &gt; FRUITED_BERLINER_WEISSE</v>
      </c>
      <c r="D478" t="s">
        <v>5793</v>
      </c>
      <c r="E478" t="s">
        <v>801</v>
      </c>
      <c r="F478">
        <v>3477</v>
      </c>
    </row>
    <row r="479" spans="1:6">
      <c r="A479" t="str">
        <f t="shared" si="15"/>
        <v>BEER_GEN | SOUR &gt; FRUITED_GOSE | ZERO</v>
      </c>
      <c r="B479" t="s">
        <v>1844</v>
      </c>
      <c r="C479" t="str">
        <f t="shared" si="14"/>
        <v>SOUR &gt; FRUITED_GOSE</v>
      </c>
      <c r="D479" t="s">
        <v>5794</v>
      </c>
      <c r="E479" t="s">
        <v>801</v>
      </c>
      <c r="F479">
        <v>3478</v>
      </c>
    </row>
    <row r="480" spans="1:6">
      <c r="A480" t="str">
        <f t="shared" si="15"/>
        <v>BEER_GEN | SOUR &gt; OTHER | ZERO</v>
      </c>
      <c r="B480" t="s">
        <v>1844</v>
      </c>
      <c r="C480" t="str">
        <f t="shared" si="14"/>
        <v>SOUR &gt; OTHER</v>
      </c>
      <c r="D480" t="s">
        <v>5795</v>
      </c>
      <c r="E480" t="s">
        <v>801</v>
      </c>
      <c r="F480">
        <v>3479</v>
      </c>
    </row>
    <row r="481" spans="1:6">
      <c r="A481" t="str">
        <f t="shared" si="15"/>
        <v>BEER_GEN | SOUR &gt; OTHER_GOSE | ZERO</v>
      </c>
      <c r="B481" t="s">
        <v>1844</v>
      </c>
      <c r="C481" t="str">
        <f t="shared" si="14"/>
        <v>SOUR &gt; OTHER_GOSE</v>
      </c>
      <c r="D481" t="s">
        <v>5796</v>
      </c>
      <c r="E481" t="s">
        <v>801</v>
      </c>
      <c r="F481">
        <v>3480</v>
      </c>
    </row>
    <row r="482" spans="1:6">
      <c r="A482" t="str">
        <f t="shared" si="15"/>
        <v>BEER_GEN | SOUR &gt; SMOOTHIE_/_PASTRY | ZERO</v>
      </c>
      <c r="B482" t="s">
        <v>1844</v>
      </c>
      <c r="C482" t="str">
        <f t="shared" si="14"/>
        <v>SOUR &gt; SMOOTHIE_/_PASTRY</v>
      </c>
      <c r="D482" t="s">
        <v>5797</v>
      </c>
      <c r="E482" t="s">
        <v>801</v>
      </c>
      <c r="F482">
        <v>3481</v>
      </c>
    </row>
    <row r="483" spans="1:6">
      <c r="A483" t="str">
        <f t="shared" si="15"/>
        <v>BEER_GEN | SOUR &gt; TOMATO_/_VEGETABLE_GOSE | ZERO</v>
      </c>
      <c r="B483" t="s">
        <v>1844</v>
      </c>
      <c r="C483" t="str">
        <f t="shared" si="14"/>
        <v>SOUR &gt; TOMATO_/_VEGETABLE_GOSE</v>
      </c>
      <c r="D483" t="s">
        <v>5798</v>
      </c>
      <c r="E483" t="s">
        <v>801</v>
      </c>
      <c r="F483">
        <v>3482</v>
      </c>
    </row>
    <row r="484" spans="1:6">
      <c r="A484" t="str">
        <f t="shared" si="15"/>
        <v>BEER_GEN | SOUR &gt; TRADITIONAL_GOSE | ZERO</v>
      </c>
      <c r="B484" t="s">
        <v>1844</v>
      </c>
      <c r="C484" t="str">
        <f t="shared" si="14"/>
        <v>SOUR &gt; TRADITIONAL_GOSE</v>
      </c>
      <c r="D484" t="s">
        <v>5799</v>
      </c>
      <c r="E484" t="s">
        <v>801</v>
      </c>
      <c r="F484">
        <v>3483</v>
      </c>
    </row>
    <row r="485" spans="1:6">
      <c r="A485" t="str">
        <f t="shared" si="15"/>
        <v>BEER_GEN | SPECIALTY_GRAIN | ZERO</v>
      </c>
      <c r="B485" t="s">
        <v>1844</v>
      </c>
      <c r="C485" t="str">
        <f t="shared" si="14"/>
        <v>SPECIALTY_GRAIN</v>
      </c>
      <c r="D485" t="s">
        <v>5621</v>
      </c>
      <c r="E485" t="s">
        <v>801</v>
      </c>
      <c r="F485">
        <v>3484</v>
      </c>
    </row>
    <row r="486" spans="1:6">
      <c r="A486" t="str">
        <f t="shared" si="15"/>
        <v>BEER_GEN | SPICED_/_HERBED_BEER | ZERO</v>
      </c>
      <c r="B486" t="s">
        <v>1844</v>
      </c>
      <c r="C486" t="str">
        <f t="shared" si="14"/>
        <v>SPICED_/_HERBED_BEER</v>
      </c>
      <c r="D486" t="s">
        <v>5622</v>
      </c>
      <c r="E486" t="s">
        <v>801</v>
      </c>
      <c r="F486">
        <v>3485</v>
      </c>
    </row>
    <row r="487" spans="1:6">
      <c r="A487" t="str">
        <f t="shared" si="15"/>
        <v>BEER_GEN | STOUT &gt; AMERICAN | ZERO</v>
      </c>
      <c r="B487" t="s">
        <v>1844</v>
      </c>
      <c r="C487" t="str">
        <f t="shared" si="14"/>
        <v>STOUT &gt; AMERICAN</v>
      </c>
      <c r="D487" t="s">
        <v>5800</v>
      </c>
      <c r="E487" t="s">
        <v>801</v>
      </c>
      <c r="F487">
        <v>3486</v>
      </c>
    </row>
    <row r="488" spans="1:6">
      <c r="A488" t="str">
        <f t="shared" si="15"/>
        <v>BEER_GEN | STOUT &gt; BELGIAN | ZERO</v>
      </c>
      <c r="B488" t="s">
        <v>1844</v>
      </c>
      <c r="C488" t="str">
        <f t="shared" si="14"/>
        <v>STOUT &gt; BELGIAN</v>
      </c>
      <c r="D488" t="s">
        <v>5801</v>
      </c>
      <c r="E488" t="s">
        <v>801</v>
      </c>
      <c r="F488">
        <v>3487</v>
      </c>
    </row>
    <row r="489" spans="1:6">
      <c r="A489" t="str">
        <f t="shared" si="15"/>
        <v>BEER_GEN | STOUT &gt; COFFEE | ZERO</v>
      </c>
      <c r="B489" t="s">
        <v>1844</v>
      </c>
      <c r="C489" t="str">
        <f t="shared" si="14"/>
        <v>STOUT &gt; COFFEE</v>
      </c>
      <c r="D489" t="s">
        <v>5802</v>
      </c>
      <c r="E489" t="s">
        <v>801</v>
      </c>
      <c r="F489">
        <v>3488</v>
      </c>
    </row>
    <row r="490" spans="1:6">
      <c r="A490" t="str">
        <f t="shared" si="15"/>
        <v>BEER_GEN | STOUT &gt; ENGLISH | ZERO</v>
      </c>
      <c r="B490" t="s">
        <v>1844</v>
      </c>
      <c r="C490" t="str">
        <f t="shared" si="14"/>
        <v>STOUT &gt; ENGLISH</v>
      </c>
      <c r="D490" t="s">
        <v>5803</v>
      </c>
      <c r="E490" t="s">
        <v>801</v>
      </c>
      <c r="F490">
        <v>3489</v>
      </c>
    </row>
    <row r="491" spans="1:6">
      <c r="A491" t="str">
        <f t="shared" si="15"/>
        <v>BEER_GEN | STOUT &gt; FOREIGN_/_EXPORT | ZERO</v>
      </c>
      <c r="B491" t="s">
        <v>1844</v>
      </c>
      <c r="C491" t="str">
        <f t="shared" si="14"/>
        <v>STOUT &gt; FOREIGN_/_EXPORT</v>
      </c>
      <c r="D491" t="s">
        <v>5804</v>
      </c>
      <c r="E491" t="s">
        <v>801</v>
      </c>
      <c r="F491">
        <v>3490</v>
      </c>
    </row>
    <row r="492" spans="1:6">
      <c r="A492" t="str">
        <f t="shared" si="15"/>
        <v>BEER_GEN | STOUT &gt; IMPERIAL_/_DOUBLE | ZERO</v>
      </c>
      <c r="B492" t="s">
        <v>1844</v>
      </c>
      <c r="C492" t="str">
        <f t="shared" si="14"/>
        <v>STOUT &gt; IMPERIAL_/_DOUBLE</v>
      </c>
      <c r="D492" t="s">
        <v>5805</v>
      </c>
      <c r="E492" t="s">
        <v>801</v>
      </c>
      <c r="F492">
        <v>3491</v>
      </c>
    </row>
    <row r="493" spans="1:6">
      <c r="A493" t="str">
        <f t="shared" si="15"/>
        <v>BEER_GEN | STOUT &gt; IMPERIAL_/_DOUBLE_COFFEE | ZERO</v>
      </c>
      <c r="B493" t="s">
        <v>1844</v>
      </c>
      <c r="C493" t="str">
        <f t="shared" si="14"/>
        <v>STOUT &gt; IMPERIAL_/_DOUBLE_COFFEE</v>
      </c>
      <c r="D493" t="s">
        <v>5806</v>
      </c>
      <c r="E493" t="s">
        <v>801</v>
      </c>
      <c r="F493">
        <v>3492</v>
      </c>
    </row>
    <row r="494" spans="1:6">
      <c r="A494" t="str">
        <f t="shared" si="15"/>
        <v>BEER_GEN | STOUT &gt; IMPERIAL_/_DOUBLE_MILK | ZERO</v>
      </c>
      <c r="B494" t="s">
        <v>1844</v>
      </c>
      <c r="C494" t="str">
        <f t="shared" si="14"/>
        <v>STOUT &gt; IMPERIAL_/_DOUBLE_MILK</v>
      </c>
      <c r="D494" t="s">
        <v>5807</v>
      </c>
      <c r="E494" t="s">
        <v>801</v>
      </c>
      <c r="F494">
        <v>3493</v>
      </c>
    </row>
    <row r="495" spans="1:6">
      <c r="A495" t="str">
        <f t="shared" si="15"/>
        <v>BEER_GEN | STOUT &gt; IMPERIAL_/_DOUBLE_OATMEAL | ZERO</v>
      </c>
      <c r="B495" t="s">
        <v>1844</v>
      </c>
      <c r="C495" t="str">
        <f t="shared" si="14"/>
        <v>STOUT &gt; IMPERIAL_/_DOUBLE_OATMEAL</v>
      </c>
      <c r="D495" t="s">
        <v>5808</v>
      </c>
      <c r="E495" t="s">
        <v>801</v>
      </c>
      <c r="F495">
        <v>3494</v>
      </c>
    </row>
    <row r="496" spans="1:6">
      <c r="A496" t="str">
        <f t="shared" si="15"/>
        <v>BEER_GEN | STOUT &gt; IMPERIAL_/_DOUBLE_PASTRY | ZERO</v>
      </c>
      <c r="B496" t="s">
        <v>1844</v>
      </c>
      <c r="C496" t="str">
        <f t="shared" si="14"/>
        <v>STOUT &gt; IMPERIAL_/_DOUBLE_PASTRY</v>
      </c>
      <c r="D496" t="s">
        <v>5809</v>
      </c>
      <c r="E496" t="s">
        <v>801</v>
      </c>
      <c r="F496">
        <v>3495</v>
      </c>
    </row>
    <row r="497" spans="1:6">
      <c r="A497" t="str">
        <f t="shared" si="15"/>
        <v>BEER_GEN | STOUT &gt; IMPERIAL_/_DOUBLE_WHITE_/_GOLDEN | ZERO</v>
      </c>
      <c r="B497" t="s">
        <v>1844</v>
      </c>
      <c r="C497" t="str">
        <f t="shared" si="14"/>
        <v>STOUT &gt; IMPERIAL_/_DOUBLE_WHITE_/_GOLDEN</v>
      </c>
      <c r="D497" t="s">
        <v>5810</v>
      </c>
      <c r="E497" t="s">
        <v>801</v>
      </c>
      <c r="F497">
        <v>3496</v>
      </c>
    </row>
    <row r="498" spans="1:6">
      <c r="A498" t="str">
        <f t="shared" si="15"/>
        <v>BEER_GEN | STOUT &gt; IRISH_DRY | ZERO</v>
      </c>
      <c r="B498" t="s">
        <v>1844</v>
      </c>
      <c r="C498" t="str">
        <f t="shared" si="14"/>
        <v>STOUT &gt; IRISH_DRY</v>
      </c>
      <c r="D498" t="s">
        <v>5811</v>
      </c>
      <c r="E498" t="s">
        <v>801</v>
      </c>
      <c r="F498">
        <v>3497</v>
      </c>
    </row>
    <row r="499" spans="1:6">
      <c r="A499" t="str">
        <f t="shared" si="15"/>
        <v>BEER_GEN | STOUT &gt; MILK_/_SWEET | ZERO</v>
      </c>
      <c r="B499" t="s">
        <v>1844</v>
      </c>
      <c r="C499" t="str">
        <f t="shared" si="14"/>
        <v>STOUT &gt; MILK_/_SWEET</v>
      </c>
      <c r="D499" t="s">
        <v>5812</v>
      </c>
      <c r="E499" t="s">
        <v>801</v>
      </c>
      <c r="F499">
        <v>3498</v>
      </c>
    </row>
    <row r="500" spans="1:6">
      <c r="A500" t="str">
        <f t="shared" si="15"/>
        <v>BEER_GEN | STOUT &gt; OATMEAL | ZERO</v>
      </c>
      <c r="B500" t="s">
        <v>1844</v>
      </c>
      <c r="C500" t="str">
        <f t="shared" si="14"/>
        <v>STOUT &gt; OATMEAL</v>
      </c>
      <c r="D500" t="s">
        <v>5813</v>
      </c>
      <c r="E500" t="s">
        <v>801</v>
      </c>
      <c r="F500">
        <v>3499</v>
      </c>
    </row>
    <row r="501" spans="1:6">
      <c r="A501" t="str">
        <f t="shared" si="15"/>
        <v>BEER_GEN | STOUT &gt; OTHER | ZERO</v>
      </c>
      <c r="B501" t="s">
        <v>1844</v>
      </c>
      <c r="C501" t="str">
        <f t="shared" si="14"/>
        <v>STOUT &gt; OTHER</v>
      </c>
      <c r="D501" t="s">
        <v>5814</v>
      </c>
      <c r="E501" t="s">
        <v>801</v>
      </c>
      <c r="F501">
        <v>3500</v>
      </c>
    </row>
    <row r="502" spans="1:6">
      <c r="A502" t="str">
        <f t="shared" si="15"/>
        <v>BEER_GEN | STOUT &gt; OYSTER | ZERO</v>
      </c>
      <c r="B502" t="s">
        <v>1844</v>
      </c>
      <c r="C502" t="str">
        <f t="shared" si="14"/>
        <v>STOUT &gt; OYSTER</v>
      </c>
      <c r="D502" t="s">
        <v>5815</v>
      </c>
      <c r="E502" t="s">
        <v>801</v>
      </c>
      <c r="F502">
        <v>3501</v>
      </c>
    </row>
    <row r="503" spans="1:6">
      <c r="A503" t="str">
        <f t="shared" si="15"/>
        <v>BEER_GEN | STOUT &gt; PASTRY | ZERO</v>
      </c>
      <c r="B503" t="s">
        <v>1844</v>
      </c>
      <c r="C503" t="str">
        <f t="shared" si="14"/>
        <v>STOUT &gt; PASTRY</v>
      </c>
      <c r="D503" t="s">
        <v>5816</v>
      </c>
      <c r="E503" t="s">
        <v>801</v>
      </c>
      <c r="F503">
        <v>3502</v>
      </c>
    </row>
    <row r="504" spans="1:6">
      <c r="A504" t="str">
        <f t="shared" si="15"/>
        <v>BEER_GEN | STOUT &gt; RUSSIAN_IMPERIAL | ZERO</v>
      </c>
      <c r="B504" t="s">
        <v>1844</v>
      </c>
      <c r="C504" t="str">
        <f t="shared" si="14"/>
        <v>STOUT &gt; RUSSIAN_IMPERIAL</v>
      </c>
      <c r="D504" t="s">
        <v>5817</v>
      </c>
      <c r="E504" t="s">
        <v>801</v>
      </c>
      <c r="F504">
        <v>3503</v>
      </c>
    </row>
    <row r="505" spans="1:6">
      <c r="A505" t="str">
        <f t="shared" si="15"/>
        <v>BEER_GEN | STOUT &gt; WHITE_/_GOLDEN | ZERO</v>
      </c>
      <c r="B505" t="s">
        <v>1844</v>
      </c>
      <c r="C505" t="str">
        <f t="shared" si="14"/>
        <v>STOUT &gt; WHITE_/_GOLDEN</v>
      </c>
      <c r="D505" t="s">
        <v>5818</v>
      </c>
      <c r="E505" t="s">
        <v>801</v>
      </c>
      <c r="F505">
        <v>3504</v>
      </c>
    </row>
    <row r="506" spans="1:6">
      <c r="A506" t="str">
        <f t="shared" si="15"/>
        <v>BEER_GEN | STRONG_ALE &gt; AMERICAN | ZERO</v>
      </c>
      <c r="B506" t="s">
        <v>1844</v>
      </c>
      <c r="C506" t="str">
        <f t="shared" si="14"/>
        <v>STRONG_ALE &gt; AMERICAN</v>
      </c>
      <c r="D506" t="s">
        <v>5819</v>
      </c>
      <c r="E506" t="s">
        <v>801</v>
      </c>
      <c r="F506">
        <v>3505</v>
      </c>
    </row>
    <row r="507" spans="1:6">
      <c r="A507" t="str">
        <f t="shared" si="15"/>
        <v>BEER_GEN | STRONG_ALE &gt; ENGLISH | ZERO</v>
      </c>
      <c r="B507" t="s">
        <v>1844</v>
      </c>
      <c r="C507" t="str">
        <f t="shared" ref="C507:C527" si="16">_xlfn.TEXTJOIN(";",TRUE,D507,H507:N507)</f>
        <v>STRONG_ALE &gt; ENGLISH</v>
      </c>
      <c r="D507" t="s">
        <v>5820</v>
      </c>
      <c r="E507" t="s">
        <v>801</v>
      </c>
      <c r="F507">
        <v>3506</v>
      </c>
    </row>
    <row r="508" spans="1:6">
      <c r="A508" t="str">
        <f t="shared" si="15"/>
        <v>BEER_GEN | STRONG_ALE &gt; OTHER | ZERO</v>
      </c>
      <c r="B508" t="s">
        <v>1844</v>
      </c>
      <c r="C508" t="str">
        <f t="shared" si="16"/>
        <v>STRONG_ALE &gt; OTHER</v>
      </c>
      <c r="D508" t="s">
        <v>5821</v>
      </c>
      <c r="E508" t="s">
        <v>801</v>
      </c>
      <c r="F508">
        <v>3507</v>
      </c>
    </row>
    <row r="509" spans="1:6">
      <c r="A509" t="str">
        <f t="shared" si="15"/>
        <v>BEER_GEN | TABLE_BEER | ZERO</v>
      </c>
      <c r="B509" t="s">
        <v>1844</v>
      </c>
      <c r="C509" t="str">
        <f t="shared" si="16"/>
        <v>TABLE_BEER</v>
      </c>
      <c r="D509" t="s">
        <v>5623</v>
      </c>
      <c r="E509" t="s">
        <v>801</v>
      </c>
      <c r="F509">
        <v>3508</v>
      </c>
    </row>
    <row r="510" spans="1:6">
      <c r="A510" t="str">
        <f t="shared" si="15"/>
        <v>BEER_GEN | TRADITIONAL_ALE | ZERO</v>
      </c>
      <c r="B510" t="s">
        <v>1844</v>
      </c>
      <c r="C510" t="str">
        <f t="shared" si="16"/>
        <v>TRADITIONAL_ALE</v>
      </c>
      <c r="D510" t="s">
        <v>5624</v>
      </c>
      <c r="E510" t="s">
        <v>801</v>
      </c>
      <c r="F510">
        <v>3509</v>
      </c>
    </row>
    <row r="511" spans="1:6">
      <c r="A511" t="str">
        <f t="shared" si="15"/>
        <v>BEER_GEN | WHEAT_BEER &gt; AMERICAN_PALE_WHEAT | ZERO</v>
      </c>
      <c r="B511" t="s">
        <v>1844</v>
      </c>
      <c r="C511" t="str">
        <f t="shared" si="16"/>
        <v>WHEAT_BEER &gt; AMERICAN_PALE_WHEAT</v>
      </c>
      <c r="D511" t="s">
        <v>5822</v>
      </c>
      <c r="E511" t="s">
        <v>801</v>
      </c>
      <c r="F511">
        <v>3510</v>
      </c>
    </row>
    <row r="512" spans="1:6">
      <c r="A512" t="str">
        <f t="shared" si="15"/>
        <v>BEER_GEN | WHEAT_BEER &gt; DUNKELWEIZEN | ZERO</v>
      </c>
      <c r="B512" t="s">
        <v>1844</v>
      </c>
      <c r="C512" t="str">
        <f t="shared" si="16"/>
        <v>WHEAT_BEER &gt; DUNKELWEIZEN</v>
      </c>
      <c r="D512" t="s">
        <v>5823</v>
      </c>
      <c r="E512" t="s">
        <v>801</v>
      </c>
      <c r="F512">
        <v>3511</v>
      </c>
    </row>
    <row r="513" spans="1:6">
      <c r="A513" t="str">
        <f t="shared" si="15"/>
        <v>BEER_GEN | WHEAT_BEER &gt; FRUITED | ZERO</v>
      </c>
      <c r="B513" t="s">
        <v>1844</v>
      </c>
      <c r="C513" t="str">
        <f t="shared" si="16"/>
        <v>WHEAT_BEER &gt; FRUITED</v>
      </c>
      <c r="D513" t="s">
        <v>5824</v>
      </c>
      <c r="E513" t="s">
        <v>801</v>
      </c>
      <c r="F513">
        <v>3512</v>
      </c>
    </row>
    <row r="514" spans="1:6">
      <c r="A514" t="str">
        <f t="shared" si="15"/>
        <v>BEER_GEN | WHEAT_BEER &gt; HEFEWEIZEN | ZERO</v>
      </c>
      <c r="B514" t="s">
        <v>1844</v>
      </c>
      <c r="C514" t="str">
        <f t="shared" si="16"/>
        <v>WHEAT_BEER &gt; HEFEWEIZEN</v>
      </c>
      <c r="D514" t="s">
        <v>5825</v>
      </c>
      <c r="E514" t="s">
        <v>801</v>
      </c>
      <c r="F514">
        <v>3513</v>
      </c>
    </row>
    <row r="515" spans="1:6">
      <c r="A515" t="str">
        <f t="shared" ref="A515:A529" si="17">B515&amp;" | "&amp;D515&amp;" | "&amp;E515</f>
        <v>BEER_GEN | WHEAT_BEER &gt; HEFEWEIZEN_LIGHT_/_LEICHT | ZERO</v>
      </c>
      <c r="B515" t="s">
        <v>1844</v>
      </c>
      <c r="C515" t="str">
        <f t="shared" si="16"/>
        <v>WHEAT_BEER &gt; HEFEWEIZEN_LIGHT_/_LEICHT</v>
      </c>
      <c r="D515" t="s">
        <v>5826</v>
      </c>
      <c r="E515" t="s">
        <v>801</v>
      </c>
      <c r="F515">
        <v>3514</v>
      </c>
    </row>
    <row r="516" spans="1:6">
      <c r="A516" t="str">
        <f t="shared" si="17"/>
        <v>BEER_GEN | WHEAT_BEER &gt; HOPFENWEISSE | ZERO</v>
      </c>
      <c r="B516" t="s">
        <v>1844</v>
      </c>
      <c r="C516" t="str">
        <f t="shared" si="16"/>
        <v>WHEAT_BEER &gt; HOPFENWEISSE</v>
      </c>
      <c r="D516" t="s">
        <v>5827</v>
      </c>
      <c r="E516" t="s">
        <v>801</v>
      </c>
      <c r="F516">
        <v>3515</v>
      </c>
    </row>
    <row r="517" spans="1:6">
      <c r="A517" t="str">
        <f t="shared" si="17"/>
        <v>BEER_GEN | WHEAT_BEER &gt; KRISTALLWEIZEN | ZERO</v>
      </c>
      <c r="B517" t="s">
        <v>1844</v>
      </c>
      <c r="C517" t="str">
        <f t="shared" si="16"/>
        <v>WHEAT_BEER &gt; KRISTALLWEIZEN</v>
      </c>
      <c r="D517" t="s">
        <v>5828</v>
      </c>
      <c r="E517" t="s">
        <v>801</v>
      </c>
      <c r="F517">
        <v>3516</v>
      </c>
    </row>
    <row r="518" spans="1:6">
      <c r="A518" t="str">
        <f t="shared" si="17"/>
        <v>BEER_GEN | WHEAT_BEER &gt; OTHER | ZERO</v>
      </c>
      <c r="B518" t="s">
        <v>1844</v>
      </c>
      <c r="C518" t="str">
        <f t="shared" si="16"/>
        <v>WHEAT_BEER &gt; OTHER</v>
      </c>
      <c r="D518" t="s">
        <v>5829</v>
      </c>
      <c r="E518" t="s">
        <v>801</v>
      </c>
      <c r="F518">
        <v>3517</v>
      </c>
    </row>
    <row r="519" spans="1:6">
      <c r="A519" t="str">
        <f t="shared" si="17"/>
        <v>BEER_GEN | WHEAT_BEER &gt; WHEAT_WINE | ZERO</v>
      </c>
      <c r="B519" t="s">
        <v>1844</v>
      </c>
      <c r="C519" t="str">
        <f t="shared" si="16"/>
        <v>WHEAT_BEER &gt; WHEAT_WINE</v>
      </c>
      <c r="D519" t="s">
        <v>5830</v>
      </c>
      <c r="E519" t="s">
        <v>801</v>
      </c>
      <c r="F519">
        <v>3518</v>
      </c>
    </row>
    <row r="520" spans="1:6">
      <c r="A520" t="str">
        <f t="shared" si="17"/>
        <v>BEER_GEN | WHEAT_BEER &gt; WITBIER_/_BLANCHE | ZERO</v>
      </c>
      <c r="B520" t="s">
        <v>1844</v>
      </c>
      <c r="C520" t="str">
        <f t="shared" si="16"/>
        <v>WHEAT_BEER &gt; WITBIER_/_BLANCHE</v>
      </c>
      <c r="D520" t="s">
        <v>5831</v>
      </c>
      <c r="E520" t="s">
        <v>801</v>
      </c>
      <c r="F520">
        <v>3519</v>
      </c>
    </row>
    <row r="521" spans="1:6">
      <c r="A521" t="str">
        <f t="shared" si="17"/>
        <v>BEER_GEN | WILD_ALE &gt; AMERICAN | ZERO</v>
      </c>
      <c r="B521" t="s">
        <v>1844</v>
      </c>
      <c r="C521" t="str">
        <f t="shared" si="16"/>
        <v>WILD_ALE &gt; AMERICAN</v>
      </c>
      <c r="D521" t="s">
        <v>5832</v>
      </c>
      <c r="E521" t="s">
        <v>801</v>
      </c>
      <c r="F521">
        <v>3520</v>
      </c>
    </row>
    <row r="522" spans="1:6">
      <c r="A522" t="str">
        <f t="shared" si="17"/>
        <v>BEER_GEN | WILD_ALE &gt; OTHER | ZERO</v>
      </c>
      <c r="B522" t="s">
        <v>1844</v>
      </c>
      <c r="C522" t="str">
        <f t="shared" si="16"/>
        <v>WILD_ALE &gt; OTHER</v>
      </c>
      <c r="D522" t="s">
        <v>5833</v>
      </c>
      <c r="E522" t="s">
        <v>801</v>
      </c>
      <c r="F522">
        <v>3521</v>
      </c>
    </row>
    <row r="523" spans="1:6">
      <c r="A523" t="str">
        <f t="shared" si="17"/>
        <v>BEER_GEN | WINTER_ALE | ZERO</v>
      </c>
      <c r="B523" t="s">
        <v>1844</v>
      </c>
      <c r="C523" t="str">
        <f t="shared" si="16"/>
        <v>WINTER_ALE</v>
      </c>
      <c r="D523" t="s">
        <v>5625</v>
      </c>
      <c r="E523" t="s">
        <v>801</v>
      </c>
      <c r="F523">
        <v>3522</v>
      </c>
    </row>
    <row r="524" spans="1:6">
      <c r="A524" t="str">
        <f t="shared" si="17"/>
        <v>BEER_GEN | WINTER_WARMER | ZERO</v>
      </c>
      <c r="B524" t="s">
        <v>1844</v>
      </c>
      <c r="C524" t="str">
        <f t="shared" si="16"/>
        <v>WINTER_WARMER</v>
      </c>
      <c r="D524" t="s">
        <v>5626</v>
      </c>
      <c r="E524" t="s">
        <v>801</v>
      </c>
      <c r="F524">
        <v>3523</v>
      </c>
    </row>
    <row r="525" spans="1:6">
      <c r="A525" t="str">
        <f t="shared" si="17"/>
        <v>BEER_GEN | BEERS_OTHER | ZERO</v>
      </c>
      <c r="B525" t="s">
        <v>1844</v>
      </c>
      <c r="C525" t="str">
        <f t="shared" si="16"/>
        <v>BEERS_OTHER</v>
      </c>
      <c r="D525" t="s">
        <v>5627</v>
      </c>
      <c r="E525" t="s">
        <v>801</v>
      </c>
      <c r="F525">
        <v>3524</v>
      </c>
    </row>
    <row r="526" spans="1:6">
      <c r="A526" t="str">
        <f t="shared" si="17"/>
        <v>BEER_GEN | BEERS_SPECIAL | ZERO</v>
      </c>
      <c r="B526" t="s">
        <v>1844</v>
      </c>
      <c r="C526" t="str">
        <f t="shared" si="16"/>
        <v>BEERS_SPECIAL</v>
      </c>
      <c r="D526" t="s">
        <v>5628</v>
      </c>
      <c r="E526" t="s">
        <v>801</v>
      </c>
      <c r="F526">
        <v>3525</v>
      </c>
    </row>
    <row r="527" spans="1:6">
      <c r="A527" t="str">
        <f t="shared" si="17"/>
        <v>BEER_GEN | SPIRIT_FLAVOURED_BEERS | ZERO</v>
      </c>
      <c r="B527" t="s">
        <v>1844</v>
      </c>
      <c r="C527" t="str">
        <f t="shared" si="16"/>
        <v>SPIRIT_FLAVOURED_BEERS</v>
      </c>
      <c r="D527" t="s">
        <v>5629</v>
      </c>
      <c r="E527" t="s">
        <v>801</v>
      </c>
      <c r="F527">
        <v>3526</v>
      </c>
    </row>
    <row r="528" spans="1:6">
      <c r="A528" t="str">
        <f t="shared" si="17"/>
        <v>BEER_GEN | BEER_SODA_MIX | ZERO</v>
      </c>
      <c r="B528" t="s">
        <v>1844</v>
      </c>
      <c r="C528" t="s">
        <v>5841</v>
      </c>
      <c r="D528" t="s">
        <v>5841</v>
      </c>
      <c r="E528" t="s">
        <v>801</v>
      </c>
      <c r="F528">
        <v>3527</v>
      </c>
    </row>
    <row r="529" spans="1:6">
      <c r="A529" t="str">
        <f t="shared" si="17"/>
        <v>BEER_GEN | BLOND_FRUITED | ZERO</v>
      </c>
      <c r="B529" t="s">
        <v>1844</v>
      </c>
      <c r="C529" s="31" t="s">
        <v>5842</v>
      </c>
      <c r="D529" s="31" t="s">
        <v>5842</v>
      </c>
      <c r="E529" t="s">
        <v>801</v>
      </c>
      <c r="F529">
        <v>3528</v>
      </c>
    </row>
    <row r="530" spans="1:6">
      <c r="A530" t="str">
        <f t="shared" ref="A530" si="18">B530&amp;" | "&amp;D530&amp;" | "&amp;E530</f>
        <v xml:space="preserve">BEER_GEN | CRAFT | </v>
      </c>
      <c r="B530" t="s">
        <v>1844</v>
      </c>
      <c r="C530" s="31" t="s">
        <v>6421</v>
      </c>
      <c r="D530" t="s">
        <v>6421</v>
      </c>
      <c r="F530">
        <v>3529</v>
      </c>
    </row>
    <row r="531" spans="1:6">
      <c r="A531" t="str">
        <f t="shared" ref="A531:A533" si="19">B531&amp;" | "&amp;D531&amp;" | "&amp;E531</f>
        <v xml:space="preserve">BEER_GEN | TASTING_MIX | </v>
      </c>
      <c r="B531" t="s">
        <v>1844</v>
      </c>
      <c r="C531" s="31" t="s">
        <v>6423</v>
      </c>
      <c r="D531" s="31" t="s">
        <v>6423</v>
      </c>
      <c r="F531">
        <v>3529</v>
      </c>
    </row>
    <row r="532" spans="1:6">
      <c r="A532" t="str">
        <f t="shared" si="19"/>
        <v xml:space="preserve">BEER_GEN | BEER_SODA_MIX | </v>
      </c>
      <c r="B532" t="s">
        <v>1844</v>
      </c>
      <c r="C532" t="s">
        <v>5841</v>
      </c>
      <c r="D532" t="s">
        <v>5841</v>
      </c>
      <c r="F532">
        <v>3530</v>
      </c>
    </row>
    <row r="533" spans="1:6">
      <c r="A533" t="str">
        <f t="shared" si="19"/>
        <v xml:space="preserve">BEER_GEN | BLOND_FRUITED | </v>
      </c>
      <c r="B533" t="s">
        <v>1844</v>
      </c>
      <c r="C533" s="31" t="s">
        <v>5842</v>
      </c>
      <c r="D533" s="31" t="s">
        <v>5842</v>
      </c>
      <c r="F533">
        <v>3531</v>
      </c>
    </row>
    <row r="534" spans="1:6">
      <c r="C534" s="31"/>
    </row>
    <row r="535" spans="1:6">
      <c r="C535" s="31"/>
    </row>
    <row r="536" spans="1:6">
      <c r="C536" s="31"/>
    </row>
    <row r="537" spans="1:6">
      <c r="C537" s="31"/>
    </row>
    <row r="538" spans="1:6">
      <c r="C538" s="31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C9AB-7A54-4F94-97D2-EC53162B3D82}">
  <dimension ref="A1:J12"/>
  <sheetViews>
    <sheetView workbookViewId="0">
      <selection activeCell="M18" sqref="M18"/>
    </sheetView>
  </sheetViews>
  <sheetFormatPr defaultRowHeight="16"/>
  <sheetData>
    <row r="1" spans="1:10">
      <c r="A1" t="str">
        <f>_xlfn.TEXTJOIN(";",TRUE,C1:K1)</f>
        <v>BRUISEND;TONIC;WATERS;WATER;SUMOS</v>
      </c>
      <c r="B1" t="s">
        <v>830</v>
      </c>
      <c r="C1" t="s">
        <v>6556</v>
      </c>
      <c r="D1" t="s">
        <v>195</v>
      </c>
      <c r="E1" t="s">
        <v>6559</v>
      </c>
      <c r="F1" t="s">
        <v>216</v>
      </c>
      <c r="J1" t="s">
        <v>6561</v>
      </c>
    </row>
    <row r="2" spans="1:10">
      <c r="A2" t="str">
        <f>_xlfn.TEXTJOIN(";",TRUE,C2:K2)</f>
        <v>BIEREN;CERVEZAS</v>
      </c>
      <c r="B2" t="s">
        <v>821</v>
      </c>
      <c r="C2" t="s">
        <v>6557</v>
      </c>
      <c r="D2" t="s">
        <v>6558</v>
      </c>
    </row>
    <row r="3" spans="1:10">
      <c r="B3" t="s">
        <v>822</v>
      </c>
    </row>
    <row r="4" spans="1:10">
      <c r="B4" t="s">
        <v>823</v>
      </c>
    </row>
    <row r="5" spans="1:10">
      <c r="B5" t="s">
        <v>824</v>
      </c>
    </row>
    <row r="6" spans="1:10">
      <c r="B6" t="s">
        <v>825</v>
      </c>
      <c r="H6" t="s">
        <v>6562</v>
      </c>
    </row>
    <row r="7" spans="1:10">
      <c r="B7" t="s">
        <v>826</v>
      </c>
      <c r="H7" t="s">
        <v>6563</v>
      </c>
    </row>
    <row r="8" spans="1:10">
      <c r="B8" t="s">
        <v>67</v>
      </c>
    </row>
    <row r="9" spans="1:10">
      <c r="B9" t="s">
        <v>828</v>
      </c>
    </row>
    <row r="10" spans="1:10">
      <c r="B10" t="s">
        <v>1420</v>
      </c>
    </row>
    <row r="11" spans="1:10">
      <c r="B11" t="s">
        <v>5569</v>
      </c>
    </row>
    <row r="12" spans="1:10">
      <c r="B12" t="s">
        <v>5570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79AE-22AB-45C1-A6F4-83584B63FBA2}">
  <dimension ref="A1:BL112"/>
  <sheetViews>
    <sheetView topLeftCell="F1" workbookViewId="0">
      <selection activeCell="U5" sqref="U5"/>
    </sheetView>
  </sheetViews>
  <sheetFormatPr defaultRowHeight="16"/>
  <cols>
    <col min="1" max="1" width="20.08203125" customWidth="1"/>
    <col min="2" max="2" width="23.5" customWidth="1"/>
    <col min="3" max="3" width="10.58203125" customWidth="1"/>
  </cols>
  <sheetData>
    <row r="1" spans="1:64">
      <c r="A1" t="s">
        <v>484</v>
      </c>
      <c r="C1" t="s">
        <v>1438</v>
      </c>
      <c r="D1" t="str" cm="1">
        <f t="array" ref="D1">_xlfn.TEXTSPLIT(C1,";")</f>
        <v>CORE</v>
      </c>
      <c r="J1" t="s">
        <v>1438</v>
      </c>
      <c r="K1" t="str">
        <f>VLOOKUP(J1,VARIANT!B:C,2,FALSE)</f>
        <v>CORE</v>
      </c>
      <c r="S1" t="s">
        <v>6710</v>
      </c>
      <c r="T1" t="str">
        <f>_xlfn.TEXTJOIN("','",TRUE,U1:BL1)</f>
        <v>FRISDRANK','JUICES','HOMEMADE','TEA','COFFEE','KOMBUCHA','CIDER','WHISKEY','JENEVER','WATER','MILKSHAKES','SMOOTHIES','PIZZAS','DFS','FRIES','SAUZEN','GIN','SALADS','SOUP','BITES','DIGESTIF','SHOTS','ICE_CREAM','SUPPLEMENTS','TEQUILA','SPIRITS','VODKA','SANDWICHES','DESSERT','BREAKFAST','PANCAKES','PASTAS','TOASTS','BURGERS','FOOD','REFRESHING','WINE','HOT_DRINKS','COCKTAILS','STRONG_DRINKS','APERITIF','OTHER','MEADS','BEER</v>
      </c>
      <c r="U1" t="s">
        <v>6710</v>
      </c>
      <c r="V1" t="s">
        <v>6654</v>
      </c>
      <c r="W1" t="s">
        <v>5473</v>
      </c>
      <c r="X1" t="s">
        <v>6655</v>
      </c>
      <c r="Y1" t="s">
        <v>6657</v>
      </c>
      <c r="Z1" t="s">
        <v>1462</v>
      </c>
      <c r="AA1" t="s">
        <v>5570</v>
      </c>
      <c r="AB1" t="s">
        <v>6660</v>
      </c>
      <c r="AC1" t="s">
        <v>6661</v>
      </c>
      <c r="AD1" t="s">
        <v>216</v>
      </c>
      <c r="AE1" t="s">
        <v>6663</v>
      </c>
      <c r="AF1" t="s">
        <v>6665</v>
      </c>
      <c r="AG1" t="s">
        <v>6669</v>
      </c>
      <c r="AH1" t="s">
        <v>6668</v>
      </c>
      <c r="AI1" t="s">
        <v>6672</v>
      </c>
      <c r="AJ1" t="s">
        <v>6674</v>
      </c>
      <c r="AK1" t="s">
        <v>6560</v>
      </c>
      <c r="AL1" t="s">
        <v>6678</v>
      </c>
      <c r="AM1" t="s">
        <v>6680</v>
      </c>
      <c r="AN1" t="s">
        <v>6682</v>
      </c>
      <c r="AO1" t="s">
        <v>6683</v>
      </c>
      <c r="AP1" t="s">
        <v>6685</v>
      </c>
      <c r="AQ1" t="s">
        <v>6693</v>
      </c>
      <c r="AR1" t="s">
        <v>6687</v>
      </c>
      <c r="AS1" t="s">
        <v>6689</v>
      </c>
      <c r="AT1" t="s">
        <v>6690</v>
      </c>
      <c r="AU1" t="s">
        <v>6691</v>
      </c>
      <c r="AV1" t="s">
        <v>6695</v>
      </c>
      <c r="AW1" t="s">
        <v>6697</v>
      </c>
      <c r="AX1" t="s">
        <v>6699</v>
      </c>
      <c r="AY1" t="s">
        <v>6701</v>
      </c>
      <c r="AZ1" t="s">
        <v>6703</v>
      </c>
      <c r="BA1" t="s">
        <v>6714</v>
      </c>
      <c r="BB1" t="s">
        <v>6705</v>
      </c>
      <c r="BC1" t="s">
        <v>67</v>
      </c>
      <c r="BD1" t="s">
        <v>6709</v>
      </c>
      <c r="BE1" t="s">
        <v>823</v>
      </c>
      <c r="BF1" t="s">
        <v>824</v>
      </c>
      <c r="BG1" t="s">
        <v>825</v>
      </c>
      <c r="BH1" t="s">
        <v>826</v>
      </c>
      <c r="BI1" t="s">
        <v>828</v>
      </c>
      <c r="BJ1" t="s">
        <v>1420</v>
      </c>
      <c r="BK1" t="s">
        <v>5569</v>
      </c>
      <c r="BL1" t="s">
        <v>821</v>
      </c>
    </row>
    <row r="2" spans="1:64">
      <c r="A2" t="s">
        <v>1142</v>
      </c>
      <c r="B2" t="str">
        <f>VLOOKUP(A2,BRAND!B:C,2,FALSE)</f>
        <v>ANTIGOON</v>
      </c>
      <c r="C2" t="s">
        <v>6584</v>
      </c>
      <c r="D2" t="str" cm="1">
        <f t="array" ref="D2">_xlfn.TEXTSPLIT(C2,";")</f>
        <v>MILNUEVE</v>
      </c>
      <c r="J2" t="s">
        <v>4896</v>
      </c>
      <c r="K2" t="str">
        <f>VLOOKUP(J2,VARIANT!B:C,2,FALSE)</f>
        <v>ACE</v>
      </c>
      <c r="S2" t="s">
        <v>6654</v>
      </c>
    </row>
    <row r="3" spans="1:64">
      <c r="A3" t="s">
        <v>484</v>
      </c>
      <c r="B3" t="str">
        <f>VLOOKUP(A3,BRAND!B:C,2,FALSE)</f>
        <v>ESTRELLA_GALICIA;GALICA;GALICIA</v>
      </c>
      <c r="C3" t="s">
        <v>775</v>
      </c>
      <c r="D3" t="str" cm="1">
        <f t="array" ref="D3">_xlfn.TEXTSPLIT(C3,";")</f>
        <v>RED</v>
      </c>
      <c r="J3" t="s">
        <v>751</v>
      </c>
      <c r="K3" t="str">
        <f>VLOOKUP(J3,VARIANT!B:C,2,FALSE)</f>
        <v>AMBER;AMBREE;AMBRE</v>
      </c>
      <c r="S3" t="s">
        <v>5473</v>
      </c>
    </row>
    <row r="4" spans="1:64">
      <c r="A4" t="s">
        <v>1844</v>
      </c>
      <c r="B4" t="str">
        <f>VLOOKUP(A4,BRAND!B:C,2,FALSE)</f>
        <v>IPA;HOUBLON;BEER;BIER;BIERE;PILSKE;PILS;PILSNER;CERVECA;BOERKE;FLUITJE;WITBIER</v>
      </c>
      <c r="C4" t="s">
        <v>763</v>
      </c>
      <c r="D4" t="str" cm="1">
        <f t="array" ref="D4">_xlfn.TEXTSPLIT(C4,";")</f>
        <v>BLACK</v>
      </c>
      <c r="J4" t="s">
        <v>764</v>
      </c>
      <c r="K4" t="str">
        <f>VLOOKUP(J4,VARIANT!B:C,2,FALSE)</f>
        <v>APPLE;APPEL;POMME;MANZANA;APFEL;POMMES</v>
      </c>
      <c r="S4" t="s">
        <v>6655</v>
      </c>
    </row>
    <row r="5" spans="1:64">
      <c r="A5" t="s">
        <v>1779</v>
      </c>
      <c r="B5" t="str">
        <f>VLOOKUP(A5,BRAND!B:C,2,FALSE)</f>
        <v>KATHEDRAAL</v>
      </c>
      <c r="C5" t="s">
        <v>6585</v>
      </c>
      <c r="D5" t="str" cm="1">
        <f t="array" ref="D5">_xlfn.TEXTSPLIT(C5,";")</f>
        <v>IRISH</v>
      </c>
      <c r="J5" t="s">
        <v>5176</v>
      </c>
      <c r="K5" t="str">
        <f>VLOOKUP(J5,VARIANT!B:C,2,FALSE)</f>
        <v>BITTER</v>
      </c>
      <c r="S5" t="s">
        <v>6657</v>
      </c>
      <c r="U5" t="s">
        <v>6938</v>
      </c>
    </row>
    <row r="6" spans="1:64">
      <c r="A6" t="s">
        <v>125</v>
      </c>
      <c r="B6" t="str">
        <f>VLOOKUP(A6,BRAND!B:C,2,FALSE)</f>
        <v>MAID;MINUTE_MADE;MINUTE_MATE;MINUTE_MAIT</v>
      </c>
      <c r="C6" t="s">
        <v>534</v>
      </c>
      <c r="D6" t="str" cm="1">
        <f t="array" ref="D6">_xlfn.TEXTSPLIT(C6,";")</f>
        <v>TRIPEL</v>
      </c>
      <c r="J6" t="s">
        <v>763</v>
      </c>
      <c r="K6" t="str">
        <f>VLOOKUP(J6,VARIANT!B:C,2,FALSE)</f>
        <v>BLACK;ZWARTE;ZWART;NOIR,</v>
      </c>
      <c r="S6" t="s">
        <v>1462</v>
      </c>
    </row>
    <row r="7" spans="1:64">
      <c r="A7" t="s">
        <v>1463</v>
      </c>
      <c r="B7" t="str">
        <f>VLOOKUP(A7,BRAND!B:C,2,FALSE)</f>
        <v>POMTON;POM_TON</v>
      </c>
      <c r="C7" t="s">
        <v>788</v>
      </c>
      <c r="D7" t="str" cm="1">
        <f t="array" ref="D7">_xlfn.TEXTSPLIT(C7,";")</f>
        <v>XMAS</v>
      </c>
      <c r="J7" t="s">
        <v>782</v>
      </c>
      <c r="K7" t="str">
        <f>VLOOKUP(J7,VARIANT!B:C,2,FALSE)</f>
        <v>BLAUW;BLUE;BLEU;BLEUE;BLAUWE;BLAUW,;"BLUE";BLUE/</v>
      </c>
      <c r="S7" t="s">
        <v>5570</v>
      </c>
    </row>
    <row r="8" spans="1:64">
      <c r="A8" t="s">
        <v>1125</v>
      </c>
      <c r="B8" t="str">
        <f>VLOOKUP(A8,BRAND!B:C,2,FALSE)</f>
        <v>SCHUPPENBOER;SCHUPPEN_BOER</v>
      </c>
      <c r="C8" t="s">
        <v>751</v>
      </c>
      <c r="D8" t="str" cm="1">
        <f t="array" ref="D8">_xlfn.TEXTSPLIT(C8,";")</f>
        <v>AMBER</v>
      </c>
      <c r="J8" t="s">
        <v>536</v>
      </c>
      <c r="K8" t="str">
        <f>VLOOKUP(J8,VARIANT!B:C,2,FALSE)</f>
        <v>BLOND;BLONDE;BLONDA;BLONDE;BLOND/</v>
      </c>
      <c r="S8" t="s">
        <v>6660</v>
      </c>
    </row>
    <row r="9" spans="1:64">
      <c r="A9" t="s">
        <v>6464</v>
      </c>
      <c r="B9" t="str">
        <f>VLOOKUP(A9,BRAND!B:C,2,FALSE)</f>
        <v>SILLY;SWAF</v>
      </c>
      <c r="C9" t="s">
        <v>561</v>
      </c>
      <c r="D9" t="str" cm="1">
        <f t="array" ref="D9">_xlfn.TEXTSPLIT(C9,";")</f>
        <v>IPA</v>
      </c>
      <c r="J9" t="s">
        <v>877</v>
      </c>
      <c r="K9" t="str">
        <f>VLOOKUP(J9,VARIANT!B:C,2,FALSE)</f>
        <v>BLOOD;BLOED;SANGINE;ARANCIATA_ROSSA</v>
      </c>
      <c r="S9" t="s">
        <v>6661</v>
      </c>
    </row>
    <row r="10" spans="1:64">
      <c r="A10" t="s">
        <v>185</v>
      </c>
      <c r="B10" t="str">
        <f>VLOOKUP(A10,BRAND!B:C,2,FALSE)</f>
        <v>SUPER_BOCK</v>
      </c>
      <c r="C10" t="s">
        <v>776</v>
      </c>
      <c r="D10" t="str" cm="1">
        <f t="array" ref="D10">_xlfn.TEXTSPLIT(C10,";")</f>
        <v>WHITE</v>
      </c>
      <c r="J10" t="s">
        <v>842</v>
      </c>
      <c r="K10" t="str">
        <f>VLOOKUP(J10,VARIANT!B:C,2,FALSE)</f>
        <v>BROWN;BRUNE;BRUIN;DONKERBRUIN;BRUIN0%;BRUINE;BRUN;BRUNETTE</v>
      </c>
      <c r="S10" t="s">
        <v>216</v>
      </c>
    </row>
    <row r="11" spans="1:64">
      <c r="A11" t="s">
        <v>345</v>
      </c>
      <c r="B11" t="str">
        <f>VLOOKUP(A11,BRAND!B:C,2,FALSE)</f>
        <v>TETE_DE_MORT;TE_DE_MORT</v>
      </c>
      <c r="C11" t="s">
        <v>777</v>
      </c>
      <c r="D11" t="str" cm="1">
        <f t="array" ref="D11">_xlfn.TEXTSPLIT(C11,";")</f>
        <v>PILSNER</v>
      </c>
      <c r="J11" t="s">
        <v>749</v>
      </c>
      <c r="K11" t="str">
        <f>VLOOKUP(J11,VARIANT!B:C,2,FALSE)</f>
        <v>CASSIS;GROSELLA_NEGRA;SCHWARZE_JOHANNISBEERE</v>
      </c>
      <c r="S11" t="s">
        <v>6663</v>
      </c>
    </row>
    <row r="12" spans="1:64">
      <c r="A12" t="s">
        <v>298</v>
      </c>
      <c r="B12" t="str">
        <f>VLOOKUP(A12,BRAND!B:C,2,FALSE)</f>
        <v>VIVEN;NADA_IPA;BIRA_NADA</v>
      </c>
      <c r="C12" t="s">
        <v>6594</v>
      </c>
      <c r="D12" t="str" cm="1">
        <f t="array" ref="D12">_xlfn.TEXTSPLIT(C12,";")</f>
        <v>HELLAS</v>
      </c>
      <c r="J12" t="s">
        <v>746</v>
      </c>
      <c r="K12" t="str">
        <f>VLOOKUP(J12,VARIANT!B:C,2,FALSE)</f>
        <v>CHERRY;KERS;CERISE;CEREZA;KIRSCHE;CHERRY;KRIEK;CERISE;CERISE,;KRIECK</v>
      </c>
      <c r="S12" t="s">
        <v>6665</v>
      </c>
    </row>
    <row r="13" spans="1:64">
      <c r="A13">
        <v>1906</v>
      </c>
      <c r="B13">
        <f>VLOOKUP(A13,BRAND!B:C,2,FALSE)</f>
        <v>1906</v>
      </c>
      <c r="C13" t="s">
        <v>6596</v>
      </c>
      <c r="D13" t="str" cm="1">
        <f t="array" ref="D13">_xlfn.TEXTSPLIT(C13,";")</f>
        <v>MOSCATEL</v>
      </c>
      <c r="J13" t="s">
        <v>878</v>
      </c>
      <c r="K13" t="str">
        <f>VLOOKUP(J13,VARIANT!B:C,2,FALSE)</f>
        <v>CHOCOLAT</v>
      </c>
      <c r="S13" t="s">
        <v>6669</v>
      </c>
    </row>
    <row r="14" spans="1:64">
      <c r="A14" t="s">
        <v>6586</v>
      </c>
      <c r="B14" t="str">
        <f>VLOOKUP(A14,BRAND!B:C,2,FALSE)</f>
        <v>100_PAP</v>
      </c>
      <c r="C14" t="s">
        <v>6421</v>
      </c>
      <c r="D14" t="str" cm="1">
        <f t="array" ref="D14">_xlfn.TEXTSPLIT(C14,";")</f>
        <v>CRAFT</v>
      </c>
      <c r="J14" t="s">
        <v>788</v>
      </c>
      <c r="K14" t="str">
        <f>VLOOKUP(J14,VARIANT!B:C,2,FALSE)</f>
        <v>CHRISTMAS;XMAS;KERSTMIS;NOEL;CHRISMAS;KERST;NOAL</v>
      </c>
      <c r="S14" t="s">
        <v>6668</v>
      </c>
    </row>
    <row r="15" spans="1:64">
      <c r="A15" t="s">
        <v>6587</v>
      </c>
      <c r="B15" t="str">
        <f>VLOOKUP(A15,BRAND!B:C,2,FALSE)</f>
        <v>SHANDY_BEER_SPRITE</v>
      </c>
      <c r="C15" t="s">
        <v>6598</v>
      </c>
      <c r="D15" t="str" cm="1">
        <f t="array" ref="D15:E15">_xlfn.TEXTSPLIT(C15,";")</f>
        <v>BLOND</v>
      </c>
      <c r="E15" t="str">
        <v>AURORA</v>
      </c>
      <c r="J15" t="s">
        <v>753</v>
      </c>
      <c r="K15" t="str">
        <f>VLOOKUP(J15,VARIANT!B:C,2,FALSE)</f>
        <v>CLASSIC</v>
      </c>
      <c r="S15" t="s">
        <v>6672</v>
      </c>
    </row>
    <row r="16" spans="1:64">
      <c r="A16" t="s">
        <v>6588</v>
      </c>
      <c r="B16" t="str">
        <f>VLOOKUP(A16,BRAND!B:C,2,FALSE)</f>
        <v>SAIGON</v>
      </c>
      <c r="C16" t="s">
        <v>6599</v>
      </c>
      <c r="D16" t="str" cm="1">
        <f t="array" ref="D16:E16">_xlfn.TEXTSPLIT(C16,";")</f>
        <v>DARK</v>
      </c>
      <c r="E16" t="str">
        <v>MEMENTO</v>
      </c>
      <c r="J16" t="s">
        <v>1466</v>
      </c>
      <c r="K16" t="str">
        <f>VLOOKUP(J16,VARIANT!B:C,2,FALSE)</f>
        <v>COLA;KOLA</v>
      </c>
      <c r="S16" t="s">
        <v>6674</v>
      </c>
    </row>
    <row r="17" spans="1:19">
      <c r="A17" t="s">
        <v>6589</v>
      </c>
      <c r="B17" t="str">
        <f>VLOOKUP(A17,BRAND!B:C,2,FALSE)</f>
        <v>NELLO_S</v>
      </c>
      <c r="C17" t="s">
        <v>781</v>
      </c>
      <c r="D17" t="str" cm="1">
        <f t="array" ref="D17">_xlfn.TEXTSPLIT(C17,";")</f>
        <v>GOLD</v>
      </c>
      <c r="J17" t="s">
        <v>1483</v>
      </c>
      <c r="K17" t="str">
        <f>VLOOKUP(J17,VARIANT!B:C,2,FALSE)</f>
        <v>CRANBERRY;VEENBES;CANNEBERGE;ARÃNDANO_ROJO;PREISELBEERE</v>
      </c>
      <c r="S17" t="s">
        <v>6560</v>
      </c>
    </row>
    <row r="18" spans="1:19">
      <c r="A18" t="s">
        <v>6590</v>
      </c>
      <c r="B18" t="str">
        <f>VLOOKUP(A18,BRAND!B:C,2,FALSE)</f>
        <v>AL_BLONDY</v>
      </c>
      <c r="C18" t="s">
        <v>6602</v>
      </c>
      <c r="D18" t="str" cm="1">
        <f t="array" ref="D18:E18">_xlfn.TEXTSPLIT(C18,";")</f>
        <v>PILNSER</v>
      </c>
      <c r="E18" t="str">
        <v>CORE</v>
      </c>
      <c r="J18" t="s">
        <v>903</v>
      </c>
      <c r="K18" t="str">
        <f>VLOOKUP(J18,VARIANT!B:C,2,FALSE)</f>
        <v>DONKERE;DARK;DONKER;NOIR</v>
      </c>
      <c r="S18" t="s">
        <v>6678</v>
      </c>
    </row>
    <row r="19" spans="1:19">
      <c r="A19" t="s">
        <v>6591</v>
      </c>
      <c r="B19" t="str">
        <f>VLOOKUP(A19,BRAND!B:C,2,FALSE)</f>
        <v>MAMPOKO</v>
      </c>
      <c r="C19" t="s">
        <v>6604</v>
      </c>
      <c r="D19" t="str" cm="1">
        <f t="array" ref="D19">_xlfn.TEXTSPLIT(C19,";")</f>
        <v>RESERVA</v>
      </c>
      <c r="J19" t="s">
        <v>898</v>
      </c>
      <c r="K19" t="str">
        <f>VLOOKUP(J19,VARIANT!B:C,2,FALSE)</f>
        <v>GINGER;GEMBER;GINGEMBRE;JENGIBRE;INGWER;GINGER</v>
      </c>
      <c r="S19" t="s">
        <v>6680</v>
      </c>
    </row>
    <row r="20" spans="1:19">
      <c r="A20" t="s">
        <v>6592</v>
      </c>
      <c r="B20" t="str">
        <f>VLOOKUP(A20,BRAND!B:C,2,FALSE)</f>
        <v>EFES</v>
      </c>
      <c r="C20" t="s">
        <v>6605</v>
      </c>
      <c r="D20" t="str" cm="1">
        <f t="array" ref="D20">_xlfn.TEXTSPLIT(C20,";")</f>
        <v>GRAND</v>
      </c>
      <c r="J20" t="s">
        <v>4901</v>
      </c>
      <c r="K20" t="str">
        <f>VLOOKUP(J20,VARIANT!B:C,2,FALSE)</f>
        <v>GINGER_ALE</v>
      </c>
      <c r="S20" t="s">
        <v>6682</v>
      </c>
    </row>
    <row r="21" spans="1:19">
      <c r="A21" t="s">
        <v>6593</v>
      </c>
      <c r="B21" t="str">
        <f>VLOOKUP(A21,BRAND!B:C,2,FALSE)</f>
        <v>FIX</v>
      </c>
      <c r="C21" t="s">
        <v>900</v>
      </c>
      <c r="D21" t="str" cm="1">
        <f t="array" ref="D21">_xlfn.TEXTSPLIT(C21,";")</f>
        <v>LAGER</v>
      </c>
      <c r="J21" t="s">
        <v>79</v>
      </c>
      <c r="K21" t="str">
        <f>VLOOKUP(J21,VARIANT!B:C,2,FALSE)</f>
        <v>GINGER_BEER</v>
      </c>
      <c r="S21" t="s">
        <v>6683</v>
      </c>
    </row>
    <row r="22" spans="1:19">
      <c r="A22" t="s">
        <v>6595</v>
      </c>
      <c r="B22" t="str">
        <f>VLOOKUP(A22,BRAND!B:C,2,FALSE)</f>
        <v>TORNADO</v>
      </c>
      <c r="C22" t="s">
        <v>1990</v>
      </c>
      <c r="D22" t="str" cm="1">
        <f t="array" ref="D22">_xlfn.TEXTSPLIT(C22,";")</f>
        <v>WHEAT</v>
      </c>
      <c r="J22" t="s">
        <v>781</v>
      </c>
      <c r="K22" t="str">
        <f>VLOOKUP(J22,VARIANT!B:C,2,FALSE)</f>
        <v>GOUD;DORE;DORE;GOLD;DOREE;DOREE;DORE;D_OR</v>
      </c>
      <c r="S22" t="s">
        <v>6685</v>
      </c>
    </row>
    <row r="23" spans="1:19">
      <c r="A23" t="s">
        <v>6597</v>
      </c>
      <c r="B23" t="str">
        <f>VLOOKUP(A23,BRAND!B:C,2,FALSE)</f>
        <v>BELMONDO</v>
      </c>
      <c r="C23" t="s">
        <v>6608</v>
      </c>
      <c r="D23" t="str" cm="1">
        <f t="array" ref="D23:F23">_xlfn.TEXTSPLIT(C23,";")</f>
        <v>BLOND</v>
      </c>
      <c r="E23" t="str">
        <v>YUZU</v>
      </c>
      <c r="F23" t="str">
        <v>CORE</v>
      </c>
      <c r="J23" t="s">
        <v>1965</v>
      </c>
      <c r="K23" t="str">
        <f>VLOOKUP(J23,VARIANT!B:C,2,FALSE)</f>
        <v>GRAPEFRUIT;PAMPLEMOUSSE,;PAMPLEMOUSSE;POMPELMOES;PAMPLEMOUS</v>
      </c>
      <c r="S23" t="s">
        <v>6693</v>
      </c>
    </row>
    <row r="24" spans="1:19">
      <c r="A24" t="s">
        <v>6600</v>
      </c>
      <c r="B24" t="str">
        <f>VLOOKUP(A24,BRAND!B:C,2,FALSE)</f>
        <v>PRESIDENTE</v>
      </c>
      <c r="C24" t="s">
        <v>6441</v>
      </c>
      <c r="D24" t="str" cm="1">
        <f t="array" ref="D24:E24">_xlfn.TEXTSPLIT(C24,";")</f>
        <v>IPA</v>
      </c>
      <c r="E24" t="str">
        <v>CORE</v>
      </c>
      <c r="J24" t="s">
        <v>799</v>
      </c>
      <c r="K24" t="str">
        <f>VLOOKUP(J24,VARIANT!B:C,2,FALSE)</f>
        <v>GREEN;GROEN;VERT;VERDE;;GROEN;VERT;GREEN;GREEN,;VERTE</v>
      </c>
      <c r="S24" t="s">
        <v>6687</v>
      </c>
    </row>
    <row r="25" spans="1:19">
      <c r="A25" t="s">
        <v>6601</v>
      </c>
      <c r="B25" t="str">
        <f>VLOOKUP(A25,BRAND!B:C,2,FALSE)</f>
        <v>POLAR</v>
      </c>
      <c r="C25" t="s">
        <v>6615</v>
      </c>
      <c r="D25" t="str" cm="1">
        <f t="array" ref="D25:E25">_xlfn.TEXTSPLIT(C25,";")</f>
        <v>DIPA</v>
      </c>
      <c r="E25" t="str">
        <v>CORE</v>
      </c>
      <c r="J25" t="s">
        <v>867</v>
      </c>
      <c r="K25" t="str">
        <f>VLOOKUP(J25,VARIANT!B:C,2,FALSE)</f>
        <v>H_PINK;PINK;ROZE</v>
      </c>
      <c r="S25" t="s">
        <v>6689</v>
      </c>
    </row>
    <row r="26" spans="1:19">
      <c r="A26" t="s">
        <v>1982</v>
      </c>
      <c r="B26" t="str">
        <f>VLOOKUP(A26,BRAND!B:C,2,FALSE)</f>
        <v>EXCELSIOR</v>
      </c>
      <c r="C26" t="s">
        <v>6628</v>
      </c>
      <c r="D26" t="str" cm="1">
        <f t="array" ref="D26:E26">_xlfn.TEXTSPLIT(C26,";")</f>
        <v>CORE</v>
      </c>
      <c r="E26" t="str">
        <v>KRIEK</v>
      </c>
      <c r="J26" t="s">
        <v>561</v>
      </c>
      <c r="K26" t="str">
        <f>VLOOKUP(J26,VARIANT!B:C,2,FALSE)</f>
        <v>IPA;INDIA_PALE_ALE;I.P.A;I.P.A.</v>
      </c>
      <c r="S26" t="s">
        <v>6690</v>
      </c>
    </row>
    <row r="27" spans="1:19">
      <c r="A27" t="s">
        <v>6603</v>
      </c>
      <c r="B27" t="str">
        <f>VLOOKUP(A27,BRAND!B:C,2,FALSE)</f>
        <v>CLASH_OF_THE_TITANS</v>
      </c>
      <c r="C27" t="s">
        <v>6632</v>
      </c>
      <c r="D27" t="str" cm="1">
        <f t="array" ref="D27">_xlfn.TEXTSPLIT(C27,";")</f>
        <v>SARDEGNA</v>
      </c>
      <c r="J27" t="s">
        <v>900</v>
      </c>
      <c r="K27" t="str">
        <f>VLOOKUP(J27,VARIANT!B:C,2,FALSE)</f>
        <v>LAGER;FLUITJE;BOERKE</v>
      </c>
      <c r="S27" t="s">
        <v>6691</v>
      </c>
    </row>
    <row r="28" spans="1:19">
      <c r="A28" t="s">
        <v>6606</v>
      </c>
      <c r="B28" t="str">
        <f>VLOOKUP(A28,BRAND!B:C,2,FALSE)</f>
        <v>SCANNING_FOR_SIGNS</v>
      </c>
      <c r="C28" t="s">
        <v>6636</v>
      </c>
      <c r="D28" t="str" cm="1">
        <f t="array" ref="D28:E28">_xlfn.TEXTSPLIT(C28,";")</f>
        <v>RED</v>
      </c>
      <c r="E28" t="str">
        <v>BROWN</v>
      </c>
      <c r="J28" t="s">
        <v>1513</v>
      </c>
      <c r="K28" t="str">
        <f>VLOOKUP(J28,VARIANT!B:C,2,FALSE)</f>
        <v>LEMON;CITROEN;CITRON;LIMÃ“N;ZITRONE;LIMONATA;CITROEN/;CITRON,;LIMOEN,;LIMONE;LEMON,</v>
      </c>
      <c r="S28" t="s">
        <v>6695</v>
      </c>
    </row>
    <row r="29" spans="1:19">
      <c r="A29" t="s">
        <v>1824</v>
      </c>
      <c r="B29" t="str">
        <f>VLOOKUP(A29,BRAND!B:C,2,FALSE)</f>
        <v>STAR</v>
      </c>
      <c r="D29" t="e" cm="1">
        <f t="array" ref="D29">_xlfn.TEXTSPLIT(C29,";")</f>
        <v>#VALUE!</v>
      </c>
      <c r="J29" t="s">
        <v>876</v>
      </c>
      <c r="K29" t="str">
        <f>VLOOKUP(J29,VARIANT!B:C,2,FALSE)</f>
        <v>LIME;LIMOEN;CITRON_VERT;LIMA;LIMETTE</v>
      </c>
      <c r="S29" t="s">
        <v>6697</v>
      </c>
    </row>
    <row r="30" spans="1:19">
      <c r="A30" t="s">
        <v>6607</v>
      </c>
      <c r="B30" t="str">
        <f>VLOOKUP(A30,BRAND!B:C,2,FALSE)</f>
        <v>UIJIN</v>
      </c>
      <c r="C30" t="s">
        <v>6640</v>
      </c>
      <c r="D30" t="str" cm="1">
        <f t="array" ref="D30">_xlfn.TEXTSPLIT(C30,";")</f>
        <v>EVIL</v>
      </c>
      <c r="J30" t="s">
        <v>1498</v>
      </c>
      <c r="K30" t="str">
        <f>VLOOKUP(J30,VARIANT!B:C,2,FALSE)</f>
        <v>LYCHEE;LYCHEE;LITCHI;LICHI;LITSCHI</v>
      </c>
      <c r="S30" t="s">
        <v>6699</v>
      </c>
    </row>
    <row r="31" spans="1:19">
      <c r="A31" t="s">
        <v>6609</v>
      </c>
      <c r="B31" t="str">
        <f>VLOOKUP(A31,BRAND!B:C,2,FALSE)</f>
        <v>OWA</v>
      </c>
      <c r="C31" t="s">
        <v>6548</v>
      </c>
      <c r="D31" t="str" cm="1">
        <f t="array" ref="D31:E31">_xlfn.TEXTSPLIT(C31,";")</f>
        <v>CLASSIC</v>
      </c>
      <c r="E31" t="str">
        <v>CORE</v>
      </c>
      <c r="J31" t="s">
        <v>761</v>
      </c>
      <c r="K31" t="str">
        <f>VLOOKUP(J31,VARIANT!B:C,2,FALSE)</f>
        <v>MANGO;MANGO;MANGUE;MANGO;MANGO</v>
      </c>
      <c r="S31" t="s">
        <v>6701</v>
      </c>
    </row>
    <row r="32" spans="1:19">
      <c r="A32" t="s">
        <v>6610</v>
      </c>
      <c r="B32" t="str">
        <f>VLOOKUP(A32,BRAND!B:C,2,FALSE)</f>
        <v>BITTERE_BLOEMEN</v>
      </c>
      <c r="C32" t="s">
        <v>913</v>
      </c>
      <c r="D32" t="str" cm="1">
        <f t="array" ref="D32">_xlfn.TEXTSPLIT(C32,";")</f>
        <v>STOUT</v>
      </c>
      <c r="J32" t="s">
        <v>1515</v>
      </c>
      <c r="K32" t="str">
        <f>VLOOKUP(J32,VARIANT!B:C,2,FALSE)</f>
        <v>MINT;MUNT;MENTHE;MENTA;MINZE;MUNT,</v>
      </c>
      <c r="S32" t="s">
        <v>6703</v>
      </c>
    </row>
    <row r="33" spans="1:19">
      <c r="A33" t="s">
        <v>6611</v>
      </c>
      <c r="B33" t="str">
        <f>VLOOKUP(A33,BRAND!B:C,2,FALSE)</f>
        <v>JOUR_DE_FETE</v>
      </c>
      <c r="C33" t="s">
        <v>6643</v>
      </c>
      <c r="D33" t="str" cm="1">
        <f t="array" ref="D33">_xlfn.TEXTSPLIT(C33,";")</f>
        <v>ABADIA</v>
      </c>
      <c r="J33" t="s">
        <v>129</v>
      </c>
      <c r="K33" t="str">
        <f>VLOOKUP(J33,VARIANT!B:C,2,FALSE)</f>
        <v>MOJITO</v>
      </c>
      <c r="S33" t="s">
        <v>6714</v>
      </c>
    </row>
    <row r="34" spans="1:19">
      <c r="A34" t="s">
        <v>6612</v>
      </c>
      <c r="B34" t="str">
        <f>VLOOKUP(A34,BRAND!B:C,2,FALSE)</f>
        <v>THE_BELGIAN_CIDER</v>
      </c>
      <c r="C34" t="s">
        <v>6644</v>
      </c>
      <c r="D34" t="str" cm="1">
        <f t="array" ref="D34:F34">_xlfn.TEXTSPLIT(C34,";")</f>
        <v>RADLER</v>
      </c>
      <c r="E34" t="str">
        <v>GREEN</v>
      </c>
      <c r="F34" t="str">
        <v>LEMON</v>
      </c>
      <c r="J34" t="s">
        <v>1481</v>
      </c>
      <c r="K34" t="str">
        <f>VLOOKUP(J34,VARIANT!B:C,2,FALSE)</f>
        <v>MULTIFRUIT;MULTIVRUCHT;MULTIFRUITS;MULTIFRUTA;MEHRFRUCHT;MULTIVRUCHTEN;VRUCHTENKORF;FRUITKORF</v>
      </c>
      <c r="S34" t="s">
        <v>6705</v>
      </c>
    </row>
    <row r="35" spans="1:19">
      <c r="A35" t="s">
        <v>6613</v>
      </c>
      <c r="B35" t="str">
        <f>VLOOKUP(A35,BRAND!B:C,2,FALSE)</f>
        <v>DOKKIE</v>
      </c>
      <c r="C35" t="s">
        <v>6645</v>
      </c>
      <c r="D35" t="str" cm="1">
        <f t="array" ref="D35">_xlfn.TEXTSPLIT(C35,";")</f>
        <v>SKY</v>
      </c>
      <c r="J35" t="s">
        <v>5187</v>
      </c>
      <c r="K35" t="str">
        <f>VLOOKUP(J35,VARIANT!B:C,2,FALSE)</f>
        <v>MULTIVITAMIN;MULTI_VITAMIN</v>
      </c>
      <c r="S35" t="s">
        <v>67</v>
      </c>
    </row>
    <row r="36" spans="1:19">
      <c r="A36" t="s">
        <v>6614</v>
      </c>
      <c r="B36" t="str">
        <f>VLOOKUP(A36,BRAND!B:C,2,FALSE)</f>
        <v>PERLE</v>
      </c>
      <c r="C36" t="s">
        <v>1207</v>
      </c>
      <c r="D36" t="str" cm="1">
        <f t="array" ref="D36">_xlfn.TEXTSPLIT(C36,";")</f>
        <v>TANGO</v>
      </c>
      <c r="J36" t="s">
        <v>899</v>
      </c>
      <c r="K36" t="str">
        <f>VLOOKUP(J36,VARIANT!B:C,2,FALSE)</f>
        <v>ORIGINAL</v>
      </c>
      <c r="S36" t="s">
        <v>6709</v>
      </c>
    </row>
    <row r="37" spans="1:19">
      <c r="A37" t="s">
        <v>6617</v>
      </c>
      <c r="B37" t="str">
        <f>VLOOKUP(A37,BRAND!B:C,2,FALSE)</f>
        <v>IFIGENIA</v>
      </c>
      <c r="C37" t="s">
        <v>6649</v>
      </c>
      <c r="D37" t="str" cm="1">
        <f t="array" ref="D37:E37">_xlfn.TEXTSPLIT(C37,";")</f>
        <v>MALT</v>
      </c>
      <c r="E37" t="str">
        <v>CORE</v>
      </c>
      <c r="J37" t="s">
        <v>880</v>
      </c>
      <c r="K37" t="str">
        <f>VLOOKUP(J37,VARIANT!B:C,2,FALSE)</f>
        <v>PASSION</v>
      </c>
      <c r="S37" t="s">
        <v>823</v>
      </c>
    </row>
    <row r="38" spans="1:19">
      <c r="A38" t="s">
        <v>6618</v>
      </c>
      <c r="B38" t="str">
        <f>VLOOKUP(A38,BRAND!B:C,2,FALSE)</f>
        <v>LES_PERLES_DU_HOMARD</v>
      </c>
      <c r="C38" t="s">
        <v>6652</v>
      </c>
      <c r="D38" t="str" cm="1">
        <f t="array" ref="D38:E38">_xlfn.TEXTSPLIT(C38,";")</f>
        <v>ORIGINAL</v>
      </c>
      <c r="E38" t="str">
        <v>CORE</v>
      </c>
      <c r="J38" t="s">
        <v>881</v>
      </c>
      <c r="K38" t="str">
        <f>VLOOKUP(J38,VARIANT!B:C,2,FALSE)</f>
        <v>PEACH;PERZIK;PÃŠCHE;MELOCOT;PFIRSICH;PCHERESSE;Píche;PEACH;PERZIK;PCHE;PICHE,;PECHE;PICHERESSE</v>
      </c>
      <c r="S38" t="s">
        <v>824</v>
      </c>
    </row>
    <row r="39" spans="1:19">
      <c r="A39" t="s">
        <v>6619</v>
      </c>
      <c r="B39" t="str">
        <f>VLOOKUP(A39,BRAND!B:C,2,FALSE)</f>
        <v>OCATA</v>
      </c>
      <c r="C39" t="s">
        <v>995</v>
      </c>
      <c r="D39" t="str" cm="1">
        <f t="array" ref="D39">_xlfn.TEXTSPLIT(C39,";")</f>
        <v>ORANGE</v>
      </c>
      <c r="J39" t="s">
        <v>777</v>
      </c>
      <c r="K39" t="str">
        <f>VLOOKUP(J39,VARIANT!B:C,2,FALSE)</f>
        <v>PILS;PINTJE;BIRA;FLUIT;BOERKE;PINKE</v>
      </c>
      <c r="S39" t="s">
        <v>825</v>
      </c>
    </row>
    <row r="40" spans="1:19">
      <c r="A40" t="s">
        <v>6620</v>
      </c>
      <c r="B40" t="str">
        <f>VLOOKUP(A40,BRAND!B:C,2,FALSE)</f>
        <v>WARMOUTH</v>
      </c>
      <c r="C40" t="s">
        <v>764</v>
      </c>
      <c r="D40" t="str" cm="1">
        <f t="array" ref="D40">_xlfn.TEXTSPLIT(C40,";")</f>
        <v>APPLE</v>
      </c>
      <c r="J40" t="s">
        <v>1983</v>
      </c>
      <c r="K40" t="str">
        <f>VLOOKUP(J40,VARIANT!B:C,2,FALSE)</f>
        <v>PINEAPPLE;ANANAS;ANANAS,</v>
      </c>
      <c r="S40" t="s">
        <v>826</v>
      </c>
    </row>
    <row r="41" spans="1:19">
      <c r="A41" t="s">
        <v>6621</v>
      </c>
      <c r="B41" t="str">
        <f>VLOOKUP(A41,BRAND!B:C,2,FALSE)</f>
        <v>DEAD_CAT</v>
      </c>
      <c r="C41" t="s">
        <v>761</v>
      </c>
      <c r="D41" t="str" cm="1">
        <f t="array" ref="D41">_xlfn.TEXTSPLIT(C41,";")</f>
        <v>MANGO</v>
      </c>
      <c r="J41" t="s">
        <v>1478</v>
      </c>
      <c r="K41" t="str">
        <f>VLOOKUP(J41,VARIANT!B:C,2,FALSE)</f>
        <v>POMEGRANATE;GRANAATAPPEL;GRENADE;GRANADA;GRANATAPFEL;POMMEGRANATE</v>
      </c>
      <c r="S41" t="s">
        <v>828</v>
      </c>
    </row>
    <row r="42" spans="1:19">
      <c r="A42" t="s">
        <v>6622</v>
      </c>
      <c r="B42" t="str">
        <f>VLOOKUP(A42,BRAND!B:C,2,FALSE)</f>
        <v>ELLIOT</v>
      </c>
      <c r="C42" t="s">
        <v>5187</v>
      </c>
      <c r="D42" t="str" cm="1">
        <f t="array" ref="D42">_xlfn.TEXTSPLIT(C42,";")</f>
        <v>MULTIVITAMIN</v>
      </c>
      <c r="J42" t="s">
        <v>742</v>
      </c>
      <c r="K42" t="str">
        <f>VLOOKUP(J42,VARIANT!B:C,2,FALSE)</f>
        <v>RADLER</v>
      </c>
      <c r="S42" t="s">
        <v>1420</v>
      </c>
    </row>
    <row r="43" spans="1:19">
      <c r="A43" t="s">
        <v>6623</v>
      </c>
      <c r="B43" t="str">
        <f>VLOOKUP(A43,BRAND!B:C,2,FALSE)</f>
        <v>BOBBY_BROWN</v>
      </c>
      <c r="C43" t="s">
        <v>6733</v>
      </c>
      <c r="D43" t="str" cm="1">
        <f t="array" ref="D43">_xlfn.TEXTSPLIT(C43,";")</f>
        <v>GUAVA</v>
      </c>
      <c r="J43" t="s">
        <v>775</v>
      </c>
      <c r="K43" t="str">
        <f>VLOOKUP(J43,VARIANT!B:C,2,FALSE)</f>
        <v>RED;ROOD;ROUGE;ROJO;ROT;RED;ROUGE;ROOD;ROUGE,;ROUGES;ROOD,;</v>
      </c>
      <c r="S43" t="s">
        <v>5569</v>
      </c>
    </row>
    <row r="44" spans="1:19">
      <c r="A44" t="s">
        <v>6624</v>
      </c>
      <c r="B44" t="str">
        <f>VLOOKUP(A44,BRAND!B:C,2,FALSE)</f>
        <v>GONNA_GRILL_SOME_BACON</v>
      </c>
      <c r="C44" t="s">
        <v>994</v>
      </c>
      <c r="D44" t="str" cm="1">
        <f t="array" ref="D44">_xlfn.TEXTSPLIT(C44,";")</f>
        <v>STRAWBERRY</v>
      </c>
      <c r="J44" t="s">
        <v>897</v>
      </c>
      <c r="K44" t="str">
        <f>VLOOKUP(J44,VARIANT!B:C,2,FALSE)</f>
        <v>ROSE;ROSA</v>
      </c>
      <c r="S44" t="s">
        <v>821</v>
      </c>
    </row>
    <row r="45" spans="1:19">
      <c r="A45" t="s">
        <v>6625</v>
      </c>
      <c r="B45" t="str">
        <f>VLOOKUP(A45,BRAND!B:C,2,FALSE)</f>
        <v>JOLLY_FUCKER</v>
      </c>
      <c r="C45" t="s">
        <v>882</v>
      </c>
      <c r="D45" t="str" cm="1">
        <f t="array" ref="D45">_xlfn.TEXTSPLIT(C45,";")</f>
        <v>WATERMELON</v>
      </c>
      <c r="J45" t="s">
        <v>995</v>
      </c>
      <c r="K45" t="str">
        <f>VLOOKUP(J45,VARIANT!B:C,2,FALSE)</f>
        <v>SINAAS;ORANGE;SINAASAPPEL;ORANGE;NARANJA;ORANGE;APPELSIEN;ORANGE,;SINAAS;ORANJE;SINNAS;SINAS</v>
      </c>
    </row>
    <row r="46" spans="1:19">
      <c r="A46" t="s">
        <v>6626</v>
      </c>
      <c r="B46" t="str">
        <f>VLOOKUP(A46,BRAND!B:C,2,FALSE)</f>
        <v>PINK_ELISE</v>
      </c>
      <c r="C46" t="s">
        <v>6737</v>
      </c>
      <c r="D46" t="str" cm="1">
        <f t="array" ref="D46">_xlfn.TEXTSPLIT(C46,";")</f>
        <v>FRUIT_PUNCH</v>
      </c>
      <c r="J46" t="s">
        <v>1459</v>
      </c>
      <c r="K46" t="str">
        <f>VLOOKUP(J46,VARIANT!B:C,2,FALSE)</f>
        <v>SPARKLING;SPUITWATER;PETTILLANTE;BRUIS;GAZEUSE;GASEUS;KOOLZUURHOUDEND</v>
      </c>
    </row>
    <row r="47" spans="1:19">
      <c r="A47" t="s">
        <v>6627</v>
      </c>
      <c r="B47" t="str">
        <f>VLOOKUP(A47,BRAND!B:C,2,FALSE)</f>
        <v>BOHEMIAN_LAGER</v>
      </c>
      <c r="C47" t="s">
        <v>6739</v>
      </c>
      <c r="D47" t="str" cm="1">
        <f t="array" ref="D47">_xlfn.TEXTSPLIT(C47,";")</f>
        <v>MANDARIN</v>
      </c>
      <c r="J47" t="s">
        <v>913</v>
      </c>
      <c r="K47" t="str">
        <f>VLOOKUP(J47,VARIANT!B:C,2,FALSE)</f>
        <v>STOUT</v>
      </c>
    </row>
    <row r="48" spans="1:19">
      <c r="A48" t="s">
        <v>6630</v>
      </c>
      <c r="B48" t="str">
        <f>VLOOKUP(A48,BRAND!B:C,2,FALSE)</f>
        <v>WEYN</v>
      </c>
      <c r="C48" t="s">
        <v>880</v>
      </c>
      <c r="D48" t="str" cm="1">
        <f t="array" ref="D48">_xlfn.TEXTSPLIT(C48,";")</f>
        <v>PASSION</v>
      </c>
      <c r="J48" t="s">
        <v>994</v>
      </c>
      <c r="K48" t="str">
        <f>VLOOKUP(J48,VARIANT!B:C,2,FALSE)</f>
        <v>STRAWBERRY;AARDBEI;FRAISE;FRESA;ERDBEERE;AARDBEIEN;FRAIS</v>
      </c>
    </row>
    <row r="49" spans="1:11">
      <c r="A49" t="s">
        <v>6631</v>
      </c>
      <c r="B49" t="e">
        <f>VLOOKUP(A49,BRAND!B:C,2,FALSE)</f>
        <v>#N/A</v>
      </c>
      <c r="C49" t="s">
        <v>1983</v>
      </c>
      <c r="D49" t="str" cm="1">
        <f t="array" ref="D49">_xlfn.TEXTSPLIT(C49,";")</f>
        <v>PINEAPPLE</v>
      </c>
      <c r="J49" t="s">
        <v>1511</v>
      </c>
      <c r="K49" t="str">
        <f>VLOOKUP(J49,VARIANT!B:C,2,FALSE)</f>
        <v>TOMATO;TOMAAT;TOMATE;TOMATE;TOMATE</v>
      </c>
    </row>
    <row r="50" spans="1:11">
      <c r="A50" t="s">
        <v>6633</v>
      </c>
      <c r="B50" t="str">
        <f>VLOOKUP(A50,BRAND!B:C,2,FALSE)</f>
        <v>LECH</v>
      </c>
      <c r="C50" t="s">
        <v>876</v>
      </c>
      <c r="D50" t="str" cm="1">
        <f t="array" ref="D50">_xlfn.TEXTSPLIT(C50,";")</f>
        <v>LIME</v>
      </c>
      <c r="J50" t="s">
        <v>534</v>
      </c>
      <c r="K50" t="str">
        <f>VLOOKUP(J50,VARIANT!B:C,2,FALSE)</f>
        <v>TRIPEL;TRIPLE;TRIPPEL;TRIPPLE;TRIPEL/;TRIPEL,;TRIPEL:;"TRIPLE;TIPEL;TRIP</v>
      </c>
    </row>
    <row r="51" spans="1:11">
      <c r="A51" t="s">
        <v>6634</v>
      </c>
      <c r="B51" t="str">
        <f>VLOOKUP(A51,BRAND!B:C,2,FALSE)</f>
        <v>BEIRUT</v>
      </c>
      <c r="C51" t="s">
        <v>1965</v>
      </c>
      <c r="D51" t="str" cm="1">
        <f t="array" ref="D51">_xlfn.TEXTSPLIT(C51,";")</f>
        <v>GRAPEFRUIT</v>
      </c>
      <c r="J51" t="s">
        <v>769</v>
      </c>
      <c r="K51" t="str">
        <f>VLOOKUP(J51,VARIANT!B:C,2,FALSE)</f>
        <v>TROPICAL;TROPISCH;TROPICAL;TROPICAL;TROPISCH;TROPICAL</v>
      </c>
    </row>
    <row r="52" spans="1:11">
      <c r="A52" t="s">
        <v>6635</v>
      </c>
      <c r="B52" t="str">
        <f>VLOOKUP(A52,BRAND!B:C,2,FALSE)</f>
        <v>CUM_LAUDE</v>
      </c>
      <c r="C52" t="s">
        <v>6746</v>
      </c>
      <c r="D52" t="str" cm="1">
        <f t="array" ref="D52">_xlfn.TEXTSPLIT(C52,";")</f>
        <v>TAMARIND</v>
      </c>
      <c r="J52" t="s">
        <v>1489</v>
      </c>
      <c r="K52" t="str">
        <f>VLOOKUP(J52,VARIANT!B:C,2,FALSE)</f>
        <v>VANILLA;VANILLE;VANILLE;VAINILLA;VANILLE</v>
      </c>
    </row>
    <row r="53" spans="1:11">
      <c r="A53" t="s">
        <v>6637</v>
      </c>
      <c r="B53" t="str">
        <f>VLOOKUP(A53,BRAND!B:C,2,FALSE)</f>
        <v>BLONDE_BRIES</v>
      </c>
      <c r="C53" t="s">
        <v>1466</v>
      </c>
      <c r="D53" t="str" cm="1">
        <f t="array" ref="D53">_xlfn.TEXTSPLIT(C53,";")</f>
        <v>COLA</v>
      </c>
      <c r="J53" t="s">
        <v>882</v>
      </c>
      <c r="K53" t="str">
        <f>VLOOKUP(J53,VARIANT!B:C,2,FALSE)</f>
        <v>WATERMELON;WATERMELOEN;PASTÃˆQUE;SANDÃA;WASSERMELONE</v>
      </c>
    </row>
    <row r="54" spans="1:11">
      <c r="A54" t="s">
        <v>6638</v>
      </c>
      <c r="B54" t="str">
        <f>VLOOKUP(A54,BRAND!B:C,2,FALSE)</f>
        <v>DONKERE_DAUW</v>
      </c>
      <c r="C54" t="s">
        <v>746</v>
      </c>
      <c r="D54" t="str" cm="1">
        <f t="array" ref="D54">_xlfn.TEXTSPLIT(C54,";")</f>
        <v>CHERRY</v>
      </c>
      <c r="J54" t="s">
        <v>1990</v>
      </c>
      <c r="K54" t="str">
        <f>VLOOKUP(J54,VARIANT!B:C,2,FALSE)</f>
        <v>WHEAT</v>
      </c>
    </row>
    <row r="55" spans="1:11">
      <c r="A55" t="s">
        <v>6639</v>
      </c>
      <c r="B55" t="str">
        <f>VLOOKUP(A55,BRAND!B:C,2,FALSE)</f>
        <v>ARABIER</v>
      </c>
      <c r="C55" t="s">
        <v>799</v>
      </c>
      <c r="D55" t="str" cm="1">
        <f t="array" ref="D55">_xlfn.TEXTSPLIT(C55,";")</f>
        <v>GREEN</v>
      </c>
      <c r="J55" t="s">
        <v>776</v>
      </c>
      <c r="K55" t="str">
        <f>VLOOKUP(J55,VARIANT!B:C,2,FALSE)</f>
        <v>WIT;WHITE;BLANCHE;WHIT;WITBIER;BLANKA;WEISS;WEIZ;BLANC;BLANC,;WIT,</v>
      </c>
    </row>
    <row r="56" spans="1:11">
      <c r="A56" t="s">
        <v>6641</v>
      </c>
      <c r="B56" t="str">
        <f>VLOOKUP(A56,BRAND!B:C,2,FALSE)</f>
        <v>QUILMES</v>
      </c>
      <c r="C56" t="s">
        <v>898</v>
      </c>
      <c r="D56" t="str" cm="1">
        <f t="array" ref="D56">_xlfn.TEXTSPLIT(C56,";")</f>
        <v>GINGER</v>
      </c>
      <c r="J56" t="s">
        <v>5325</v>
      </c>
      <c r="K56" t="str">
        <f>VLOOKUP(J56,VARIANT!B:C,2,FALSE)</f>
        <v>YUZU</v>
      </c>
    </row>
    <row r="57" spans="1:11">
      <c r="A57" t="s">
        <v>6642</v>
      </c>
      <c r="B57" t="str">
        <f>VLOOKUP(A57,BRAND!B:C,2,FALSE)</f>
        <v>CORUJA</v>
      </c>
      <c r="C57" t="s">
        <v>6754</v>
      </c>
      <c r="D57" t="str" cm="1">
        <f t="array" ref="D57">_xlfn.TEXTSPLIT(C57,";")</f>
        <v>GRAPE</v>
      </c>
      <c r="J57" t="s">
        <v>6584</v>
      </c>
      <c r="K57" t="str">
        <f>VLOOKUP(J57,VARIANT!B:C,2,FALSE)</f>
        <v>MILNUEVE</v>
      </c>
    </row>
    <row r="58" spans="1:11">
      <c r="A58" t="s">
        <v>6646</v>
      </c>
      <c r="B58" t="str">
        <f>VLOOKUP(A58,BRAND!B:C,2,FALSE)</f>
        <v>MARINA</v>
      </c>
      <c r="C58" t="s">
        <v>878</v>
      </c>
      <c r="D58" t="str" cm="1">
        <f t="array" ref="D58">_xlfn.TEXTSPLIT(C58,";")</f>
        <v>CHOCOLAT</v>
      </c>
      <c r="J58" t="s">
        <v>6585</v>
      </c>
      <c r="K58" t="str">
        <f>VLOOKUP(J58,VARIANT!B:C,2,FALSE)</f>
        <v>IRISH</v>
      </c>
    </row>
    <row r="59" spans="1:11">
      <c r="A59" t="s">
        <v>6647</v>
      </c>
      <c r="B59" t="str">
        <f>VLOOKUP(A59,BRAND!B:C,2,FALSE)</f>
        <v>BOOTJESBIER;BOOTJES</v>
      </c>
      <c r="C59" t="s">
        <v>6759</v>
      </c>
      <c r="D59" t="str" cm="1">
        <f t="array" ref="D59:E59">_xlfn.TEXTSPLIT(C59,";")</f>
        <v>GINGER_BEER</v>
      </c>
      <c r="E59" t="str">
        <v>GINGER</v>
      </c>
      <c r="J59" t="s">
        <v>6594</v>
      </c>
      <c r="K59" t="str">
        <f>VLOOKUP(J59,VARIANT!B:C,2,FALSE)</f>
        <v>HELLAS</v>
      </c>
    </row>
    <row r="60" spans="1:11">
      <c r="A60" t="s">
        <v>6648</v>
      </c>
      <c r="B60" t="str">
        <f>VLOOKUP(A60,BRAND!B:C,2,FALSE)</f>
        <v>TOURTEL</v>
      </c>
      <c r="C60" t="s">
        <v>877</v>
      </c>
      <c r="D60" t="str" cm="1">
        <f t="array" ref="D60">_xlfn.TEXTSPLIT(C60,";")</f>
        <v>BLOOD_ORANGE</v>
      </c>
      <c r="J60" t="s">
        <v>6596</v>
      </c>
      <c r="K60" t="str">
        <f>VLOOKUP(J60,VARIANT!B:C,2,FALSE)</f>
        <v>MOSCATEL</v>
      </c>
    </row>
    <row r="61" spans="1:11">
      <c r="A61" t="s">
        <v>6651</v>
      </c>
      <c r="B61" t="str">
        <f>VLOOKUP(A61,BRAND!B:C,2,FALSE)</f>
        <v>MAGNERS</v>
      </c>
      <c r="C61" t="s">
        <v>881</v>
      </c>
      <c r="D61" t="str" cm="1">
        <f t="array" ref="D61">_xlfn.TEXTSPLIT(C61,";")</f>
        <v>PEACH</v>
      </c>
      <c r="J61" t="s">
        <v>6421</v>
      </c>
      <c r="K61" t="str">
        <f>VLOOKUP(J61,VARIANT!B:C,2,FALSE)</f>
        <v>CRAFT</v>
      </c>
    </row>
    <row r="62" spans="1:11">
      <c r="A62" t="s">
        <v>6724</v>
      </c>
      <c r="B62" t="str">
        <f>VLOOKUP(A62,BRAND!B:C,2,FALSE)</f>
        <v>TANUSQUELLE</v>
      </c>
      <c r="C62" t="s">
        <v>6766</v>
      </c>
      <c r="D62" t="str" cm="1">
        <f t="array" ref="D62:E62">_xlfn.TEXTSPLIT(C62,";")</f>
        <v>MANGO</v>
      </c>
      <c r="E62" t="str">
        <v>TROPICAL</v>
      </c>
      <c r="J62" t="s">
        <v>6924</v>
      </c>
      <c r="K62" t="str">
        <f>VLOOKUP(J62,VARIANT!B:C,2,FALSE)</f>
        <v>PILNSER</v>
      </c>
    </row>
    <row r="63" spans="1:11">
      <c r="A63" t="s">
        <v>6726</v>
      </c>
      <c r="B63" t="str">
        <f>VLOOKUP(A63,BRAND!B:C,2,FALSE)</f>
        <v>JUICES_GEN</v>
      </c>
      <c r="C63" t="s">
        <v>6769</v>
      </c>
      <c r="D63" t="str" cm="1">
        <f t="array" ref="D63:E63">_xlfn.TEXTSPLIT(C63,";")</f>
        <v>PINEAPPLE</v>
      </c>
      <c r="E63" t="str">
        <v>COCONUT</v>
      </c>
      <c r="J63" t="s">
        <v>6604</v>
      </c>
      <c r="K63" t="str">
        <f>VLOOKUP(J63,VARIANT!B:C,2,FALSE)</f>
        <v>RESERVA</v>
      </c>
    </row>
    <row r="64" spans="1:11">
      <c r="A64" t="s">
        <v>6728</v>
      </c>
      <c r="B64" t="str">
        <f>VLOOKUP(A64,BRAND!B:C,2,FALSE)</f>
        <v>SMOOTHIES_GEN</v>
      </c>
      <c r="C64" t="s">
        <v>6772</v>
      </c>
      <c r="D64" t="str" cm="1">
        <f t="array" ref="D64">_xlfn.TEXTSPLIT(C64,";")</f>
        <v>SARSAPARILLA</v>
      </c>
      <c r="J64" t="s">
        <v>6605</v>
      </c>
      <c r="K64" t="str">
        <f>VLOOKUP(J64,VARIANT!B:C,2,FALSE)</f>
        <v>GRAND</v>
      </c>
    </row>
    <row r="65" spans="1:11">
      <c r="A65" t="s">
        <v>6732</v>
      </c>
      <c r="B65" t="str">
        <f>VLOOKUP(A65,BRAND!B:C,2,FALSE)</f>
        <v>JARRITOS</v>
      </c>
      <c r="C65" t="s">
        <v>6774</v>
      </c>
      <c r="D65" t="str" cm="1">
        <f t="array" ref="D65:F65">_xlfn.TEXTSPLIT(C65,";")</f>
        <v>LEMON</v>
      </c>
      <c r="E65" t="str">
        <v>LIME</v>
      </c>
      <c r="F65" t="str">
        <v>BITTER</v>
      </c>
      <c r="J65" t="s">
        <v>6616</v>
      </c>
      <c r="K65" t="str">
        <f>VLOOKUP(J65,VARIANT!B:C,2,FALSE)</f>
        <v>DIPA</v>
      </c>
    </row>
    <row r="66" spans="1:11">
      <c r="A66" t="s">
        <v>6749</v>
      </c>
      <c r="B66" t="str">
        <f>VLOOKUP(A66,BRAND!B:C,2,FALSE)</f>
        <v>FERNANDES</v>
      </c>
      <c r="C66" t="s">
        <v>6777</v>
      </c>
      <c r="D66" t="str" cm="1">
        <f t="array" ref="D66">_xlfn.TEXTSPLIT(C66,";")</f>
        <v>BURGUNDEE</v>
      </c>
      <c r="J66" t="s">
        <v>6632</v>
      </c>
      <c r="K66" t="str">
        <f>VLOOKUP(J66,VARIANT!B:C,2,FALSE)</f>
        <v>SARDEGNA</v>
      </c>
    </row>
    <row r="67" spans="1:11">
      <c r="A67" t="s">
        <v>6756</v>
      </c>
      <c r="B67" t="str">
        <f>VLOOKUP(A67,BRAND!B:C,2,FALSE)</f>
        <v>INZA</v>
      </c>
      <c r="C67" t="s">
        <v>6780</v>
      </c>
      <c r="D67" t="str" cm="1">
        <f t="array" ref="D67:E67">_xlfn.TEXTSPLIT(C67,";")</f>
        <v>INDIAN</v>
      </c>
      <c r="E67" t="str">
        <v>CORE</v>
      </c>
      <c r="J67" t="e">
        <v>#VALUE!</v>
      </c>
      <c r="K67" t="e">
        <f>VLOOKUP(J67,VARIANT!B:C,2,FALSE)</f>
        <v>#VALUE!</v>
      </c>
    </row>
    <row r="68" spans="1:11">
      <c r="A68" t="s">
        <v>6758</v>
      </c>
      <c r="B68" t="str">
        <f>VLOOKUP(A68,BRAND!B:C,2,FALSE)</f>
        <v>BUNDABERG</v>
      </c>
      <c r="C68" t="s">
        <v>6783</v>
      </c>
      <c r="D68" t="str" cm="1">
        <f t="array" ref="D68">_xlfn.TEXTSPLIT(C68,";")</f>
        <v>SKINNY</v>
      </c>
      <c r="J68" t="s">
        <v>6640</v>
      </c>
      <c r="K68" t="str">
        <f>VLOOKUP(J68,VARIANT!B:C,2,FALSE)</f>
        <v>EVIL</v>
      </c>
    </row>
    <row r="69" spans="1:11">
      <c r="A69" t="s">
        <v>6779</v>
      </c>
      <c r="B69" t="str">
        <f>VLOOKUP(A69,BRAND!B:C,2,FALSE)</f>
        <v>DOUBLE_DUTCH</v>
      </c>
      <c r="C69" t="s">
        <v>6785</v>
      </c>
      <c r="D69" t="str" cm="1">
        <f t="array" ref="D69:E69">_xlfn.TEXTSPLIT(C69,";")</f>
        <v>CRANBERRY</v>
      </c>
      <c r="E69" t="str">
        <v>GINGER</v>
      </c>
      <c r="J69" t="s">
        <v>6643</v>
      </c>
      <c r="K69" t="str">
        <f>VLOOKUP(J69,VARIANT!B:C,2,FALSE)</f>
        <v>ABADIA</v>
      </c>
    </row>
    <row r="70" spans="1:11">
      <c r="A70" t="s">
        <v>6804</v>
      </c>
      <c r="B70" t="str">
        <f>VLOOKUP(A70,BRAND!B:C,2,FALSE)</f>
        <v>OLD_JAMAICA</v>
      </c>
      <c r="C70" t="s">
        <v>4901</v>
      </c>
      <c r="D70" t="str" cm="1">
        <f t="array" ref="D70">_xlfn.TEXTSPLIT(C70,";")</f>
        <v>GINGER_ALE</v>
      </c>
      <c r="J70" t="s">
        <v>6645</v>
      </c>
      <c r="K70" t="str">
        <f>VLOOKUP(J70,VARIANT!B:C,2,FALSE)</f>
        <v>SKY</v>
      </c>
    </row>
    <row r="71" spans="1:11">
      <c r="A71" t="s">
        <v>6806</v>
      </c>
      <c r="B71" t="str">
        <f>VLOOKUP(A71,BRAND!B:C,2,FALSE)</f>
        <v>WALDEN</v>
      </c>
      <c r="C71" t="s">
        <v>79</v>
      </c>
      <c r="D71" t="str" cm="1">
        <f t="array" ref="D71">_xlfn.TEXTSPLIT(C71,";")</f>
        <v>GINGER_BEER</v>
      </c>
      <c r="J71" t="s">
        <v>1207</v>
      </c>
      <c r="K71" t="str">
        <f>VLOOKUP(J71,VARIANT!B:C,2,FALSE)</f>
        <v>TANGO</v>
      </c>
    </row>
    <row r="72" spans="1:11">
      <c r="A72" t="s">
        <v>6813</v>
      </c>
      <c r="B72" t="str">
        <f>VLOOKUP(A72,BRAND!B:C,2,FALSE)</f>
        <v>RC</v>
      </c>
      <c r="C72" t="s">
        <v>6790</v>
      </c>
      <c r="D72" t="str" cm="1">
        <f t="array" ref="D72:E72">_xlfn.TEXTSPLIT(C72,";")</f>
        <v>GRAPEFRUIT</v>
      </c>
      <c r="E72" t="str">
        <v>PINK</v>
      </c>
      <c r="J72" t="s">
        <v>6650</v>
      </c>
      <c r="K72" t="str">
        <f>VLOOKUP(J72,VARIANT!B:C,2,FALSE)</f>
        <v>MALT</v>
      </c>
    </row>
    <row r="73" spans="1:11">
      <c r="A73" t="s">
        <v>6820</v>
      </c>
      <c r="B73" t="str">
        <f>VLOOKUP(A73,BRAND!B:C,2,FALSE)</f>
        <v>ROYAL_CROWN</v>
      </c>
      <c r="C73" t="s">
        <v>6793</v>
      </c>
      <c r="D73" t="str" cm="1">
        <f t="array" ref="D73:E73">_xlfn.TEXTSPLIT(C73,";")</f>
        <v>POMEGRANATE</v>
      </c>
      <c r="E73" t="str">
        <v>BASIL</v>
      </c>
      <c r="J73" t="s">
        <v>6733</v>
      </c>
      <c r="K73" t="str">
        <f>VLOOKUP(J73,VARIANT!B:C,2,FALSE)</f>
        <v>GUAVA</v>
      </c>
    </row>
    <row r="74" spans="1:11">
      <c r="A74" t="s">
        <v>6825</v>
      </c>
      <c r="B74" t="str">
        <f>VLOOKUP(A74,BRAND!B:C,2,FALSE)</f>
        <v>DE_DRIE_WILGEN</v>
      </c>
      <c r="C74" t="s">
        <v>6796</v>
      </c>
      <c r="D74" t="str" cm="1">
        <f t="array" ref="D74:E74">_xlfn.TEXTSPLIT(C74,";")</f>
        <v>CUCUMBER</v>
      </c>
      <c r="E74" t="str">
        <v>WATERMELON</v>
      </c>
      <c r="J74" t="s">
        <v>6737</v>
      </c>
      <c r="K74" t="str">
        <f>VLOOKUP(J74,VARIANT!B:C,2,FALSE)</f>
        <v>FRUIT_PUNCH</v>
      </c>
    </row>
    <row r="75" spans="1:11">
      <c r="A75" t="s">
        <v>6832</v>
      </c>
      <c r="B75" t="str">
        <f>VLOOKUP(A75,BRAND!B:C,2,FALSE)</f>
        <v>BIMSTER</v>
      </c>
      <c r="C75" t="s">
        <v>216</v>
      </c>
      <c r="D75" t="str" cm="1">
        <f t="array" ref="D75">_xlfn.TEXTSPLIT(C75,";")</f>
        <v>WATER</v>
      </c>
      <c r="J75" t="s">
        <v>6739</v>
      </c>
      <c r="K75" t="str">
        <f>VLOOKUP(J75,VARIANT!B:C,2,FALSE)</f>
        <v>MANDARIN</v>
      </c>
    </row>
    <row r="76" spans="1:11">
      <c r="A76" t="s">
        <v>6839</v>
      </c>
      <c r="B76" t="str">
        <f>VLOOKUP(A76,BRAND!B:C,2,FALSE)</f>
        <v>EPSA</v>
      </c>
      <c r="C76" t="s">
        <v>1513</v>
      </c>
      <c r="D76" t="str" cm="1">
        <f t="array" ref="D76">_xlfn.TEXTSPLIT(C76,";")</f>
        <v>LEMON</v>
      </c>
      <c r="J76" t="s">
        <v>6746</v>
      </c>
      <c r="K76" t="str">
        <f>VLOOKUP(J76,VARIANT!B:C,2,FALSE)</f>
        <v>TAMARIND</v>
      </c>
    </row>
    <row r="77" spans="1:11">
      <c r="A77" t="s">
        <v>6852</v>
      </c>
      <c r="B77" t="str">
        <f>VLOOKUP(A77,BRAND!B:C,2,FALSE)</f>
        <v>SALGAM_GEN</v>
      </c>
      <c r="C77" t="s">
        <v>6709</v>
      </c>
      <c r="D77" t="str" cm="1">
        <f t="array" ref="D77">_xlfn.TEXTSPLIT(C77,";")</f>
        <v>REFRESHING</v>
      </c>
      <c r="J77" t="s">
        <v>6754</v>
      </c>
      <c r="K77" t="str">
        <f>VLOOKUP(J77,VARIANT!B:C,2,FALSE)</f>
        <v>GRAPE</v>
      </c>
    </row>
    <row r="78" spans="1:11">
      <c r="A78" t="s">
        <v>6854</v>
      </c>
      <c r="B78" t="str">
        <f>VLOOKUP(A78,BRAND!B:C,2,FALSE)</f>
        <v>GOLDEN_POWER</v>
      </c>
      <c r="C78" t="s">
        <v>6807</v>
      </c>
      <c r="D78" t="str" cm="1">
        <f t="array" ref="D78:E78">_xlfn.TEXTSPLIT(C78,";")</f>
        <v>LEMON</v>
      </c>
      <c r="E78" t="str">
        <v>LEMONGRASS</v>
      </c>
      <c r="J78" t="s">
        <v>6772</v>
      </c>
      <c r="K78" t="str">
        <f>VLOOKUP(J78,VARIANT!B:C,2,FALSE)</f>
        <v>SARSAPARILLA</v>
      </c>
    </row>
    <row r="79" spans="1:11">
      <c r="A79" t="s">
        <v>6856</v>
      </c>
      <c r="B79" t="str">
        <f>VLOOKUP(A79,BRAND!B:C,2,FALSE)</f>
        <v>PERELEARE</v>
      </c>
      <c r="C79" t="s">
        <v>6810</v>
      </c>
      <c r="D79" t="str" cm="1">
        <f t="array" ref="D79:E79">_xlfn.TEXTSPLIT(C79,";")</f>
        <v>PEACH</v>
      </c>
      <c r="E79" t="str">
        <v>JASMINE</v>
      </c>
      <c r="J79" t="s">
        <v>6777</v>
      </c>
      <c r="K79" t="str">
        <f>VLOOKUP(J79,VARIANT!B:C,2,FALSE)</f>
        <v>BURGUNDEE</v>
      </c>
    </row>
    <row r="80" spans="1:11">
      <c r="A80" t="s">
        <v>6860</v>
      </c>
      <c r="B80" t="str">
        <f>VLOOKUP(A80,BRAND!B:C,2,FALSE)</f>
        <v>FREEZ</v>
      </c>
      <c r="C80" t="s">
        <v>1489</v>
      </c>
      <c r="D80" t="str" cm="1">
        <f t="array" ref="D80">_xlfn.TEXTSPLIT(C80,";")</f>
        <v>VANILLA</v>
      </c>
      <c r="J80" t="s">
        <v>6926</v>
      </c>
      <c r="K80" t="str">
        <f>VLOOKUP(J80,VARIANT!B:C,2,FALSE)</f>
        <v>INDIAN</v>
      </c>
    </row>
    <row r="81" spans="1:11">
      <c r="A81" t="s">
        <v>6888</v>
      </c>
      <c r="B81" t="str">
        <f>VLOOKUP(A81,BRAND!B:C,2,FALSE)</f>
        <v>ROYAL_CLUB</v>
      </c>
      <c r="C81" t="s">
        <v>6817</v>
      </c>
      <c r="D81" t="str" cm="1">
        <f t="array" ref="D81:E81">_xlfn.TEXTSPLIT(C81,";")</f>
        <v>DOUBLE</v>
      </c>
      <c r="E81" t="str">
        <v/>
      </c>
      <c r="J81" t="s">
        <v>6783</v>
      </c>
      <c r="K81" t="str">
        <f>VLOOKUP(J81,VARIANT!B:C,2,FALSE)</f>
        <v>SKINNY</v>
      </c>
    </row>
    <row r="82" spans="1:11">
      <c r="A82" t="s">
        <v>6911</v>
      </c>
      <c r="B82" t="str">
        <f>VLOOKUP(A82,BRAND!B:C,2,FALSE)</f>
        <v>BIG_TOM</v>
      </c>
      <c r="C82" t="s">
        <v>6823</v>
      </c>
      <c r="D82" t="str" cm="1">
        <f t="array" ref="D82">_xlfn.TEXTSPLIT(C82,";")</f>
        <v>REFRESHER</v>
      </c>
      <c r="J82" t="s">
        <v>6928</v>
      </c>
      <c r="K82" t="str">
        <f>VLOOKUP(J82,VARIANT!B:C,2,FALSE)</f>
        <v>CUCUMBER</v>
      </c>
    </row>
    <row r="83" spans="1:11">
      <c r="A83" t="s">
        <v>6914</v>
      </c>
      <c r="B83" t="str">
        <f>VLOOKUP(A83,BRAND!B:C,2,FALSE)</f>
        <v>KAS</v>
      </c>
      <c r="C83" t="s">
        <v>6827</v>
      </c>
      <c r="D83" t="str" cm="1">
        <f t="array" ref="D83:E83">_xlfn.TEXTSPLIT(C83,";")</f>
        <v>ACE</v>
      </c>
      <c r="E83" t="str">
        <v>MULTIFRUIT</v>
      </c>
      <c r="J83" t="s">
        <v>216</v>
      </c>
      <c r="K83" t="str">
        <f>VLOOKUP(J83,VARIANT!B:C,2,FALSE)</f>
        <v>WATER</v>
      </c>
    </row>
    <row r="84" spans="1:11">
      <c r="A84" t="s">
        <v>6917</v>
      </c>
      <c r="B84" t="str">
        <f>VLOOKUP(A84,BRAND!B:C,2,FALSE)</f>
        <v>CASERA</v>
      </c>
      <c r="C84" t="s">
        <v>1511</v>
      </c>
      <c r="D84" t="str" cm="1">
        <f t="array" ref="D84">_xlfn.TEXTSPLIT(C84,";")</f>
        <v>TOMATO</v>
      </c>
      <c r="J84" t="s">
        <v>6709</v>
      </c>
      <c r="K84" t="str">
        <f>VLOOKUP(J84,VARIANT!B:C,2,FALSE)</f>
        <v>REFRESHING</v>
      </c>
    </row>
    <row r="85" spans="1:11">
      <c r="A85" t="s">
        <v>6921</v>
      </c>
      <c r="B85" t="str">
        <f>VLOOKUP(A85,BRAND!B:C,2,FALSE)</f>
        <v>SCHULP</v>
      </c>
      <c r="C85" t="s">
        <v>1483</v>
      </c>
      <c r="D85" t="str" cm="1">
        <f t="array" ref="D85">_xlfn.TEXTSPLIT(C85,";")</f>
        <v>CRANBERRY</v>
      </c>
      <c r="J85" t="s">
        <v>6931</v>
      </c>
      <c r="K85" t="str">
        <f>VLOOKUP(J85,VARIANT!B:C,2,FALSE)</f>
        <v>DOUBLE</v>
      </c>
    </row>
    <row r="86" spans="1:11">
      <c r="C86" t="s">
        <v>6833</v>
      </c>
      <c r="D86" t="str" cm="1">
        <f t="array" ref="D86:E86">_xlfn.TEXTSPLIT(C86,";")</f>
        <v>GINGER</v>
      </c>
      <c r="E86" t="str">
        <v>MANGO</v>
      </c>
      <c r="J86" t="s">
        <v>6823</v>
      </c>
      <c r="K86" t="str">
        <f>VLOOKUP(J86,VARIANT!B:C,2,FALSE)</f>
        <v>REFRESHER</v>
      </c>
    </row>
    <row r="87" spans="1:11">
      <c r="C87" t="s">
        <v>6836</v>
      </c>
      <c r="D87" t="str" cm="1">
        <f t="array" ref="D87:E87">_xlfn.TEXTSPLIT(C87,";")</f>
        <v>GRAPEFRUIT</v>
      </c>
      <c r="E87" t="str">
        <v>CARDEMON</v>
      </c>
      <c r="J87" t="s">
        <v>6843</v>
      </c>
      <c r="K87" t="str">
        <f>VLOOKUP(J87,VARIANT!B:C,2,FALSE)</f>
        <v>LEMON_SODA</v>
      </c>
    </row>
    <row r="88" spans="1:11">
      <c r="C88" t="s">
        <v>6843</v>
      </c>
      <c r="D88" t="str" cm="1">
        <f t="array" ref="D88">_xlfn.TEXTSPLIT(C88,";")</f>
        <v>LEMON_SODA</v>
      </c>
      <c r="J88" t="s">
        <v>195</v>
      </c>
      <c r="K88" t="str">
        <f>VLOOKUP(J88,VARIANT!B:C,2,FALSE)</f>
        <v>TONIC</v>
      </c>
    </row>
    <row r="89" spans="1:11">
      <c r="C89" t="s">
        <v>6845</v>
      </c>
      <c r="D89" t="str" cm="1">
        <f t="array" ref="D89:F89">_xlfn.TEXTSPLIT(C89,";")</f>
        <v>SPARKLING</v>
      </c>
      <c r="E89" t="str">
        <v>WATER</v>
      </c>
      <c r="F89" t="str">
        <v>SODA</v>
      </c>
      <c r="J89" t="s">
        <v>6858</v>
      </c>
      <c r="K89" t="str">
        <f>VLOOKUP(J89,VARIANT!B:C,2,FALSE)</f>
        <v>POAR;PEER</v>
      </c>
    </row>
    <row r="90" spans="1:11">
      <c r="C90" t="s">
        <v>195</v>
      </c>
      <c r="D90" t="str" cm="1">
        <f t="array" ref="D90">_xlfn.TEXTSPLIT(C90,";")</f>
        <v>TONIC</v>
      </c>
      <c r="J90" t="s">
        <v>6868</v>
      </c>
      <c r="K90" t="str">
        <f>VLOOKUP(J90,VARIANT!B:C,2,FALSE)</f>
        <v>BERRIES</v>
      </c>
    </row>
    <row r="91" spans="1:11">
      <c r="C91" t="s">
        <v>6857</v>
      </c>
      <c r="D91" t="str" cm="1">
        <f t="array" ref="D91:E91">_xlfn.TEXTSPLIT(C91,";")</f>
        <v>POAR</v>
      </c>
      <c r="E91" t="str">
        <v>CORE</v>
      </c>
      <c r="J91" t="s">
        <v>6936</v>
      </c>
      <c r="K91" t="str">
        <f>VLOOKUP(J91,VARIANT!B:C,2,FALSE)</f>
        <v>KIWI</v>
      </c>
    </row>
    <row r="92" spans="1:11">
      <c r="C92" t="s">
        <v>6861</v>
      </c>
      <c r="D92" t="str" cm="1">
        <f t="array" ref="D92:E92">_xlfn.TEXTSPLIT(C92,";")</f>
        <v>LEMON</v>
      </c>
      <c r="E92" t="str">
        <v>MINT</v>
      </c>
      <c r="J92" t="s">
        <v>6791</v>
      </c>
      <c r="K92" t="str">
        <f>VLOOKUP(J92,VARIANT!B:C,2,FALSE)</f>
        <v>PINK_GRAPEFRUIT</v>
      </c>
    </row>
    <row r="93" spans="1:11">
      <c r="C93" t="s">
        <v>6864</v>
      </c>
      <c r="D93" t="str" cm="1">
        <f t="array" ref="D93:F93">_xlfn.TEXTSPLIT(C93,";")</f>
        <v>BLUE</v>
      </c>
      <c r="E93" t="str">
        <v>HAWAII</v>
      </c>
      <c r="F93" t="str">
        <v>TROPICAL</v>
      </c>
      <c r="J93" t="s">
        <v>6893</v>
      </c>
      <c r="K93" t="str">
        <f>VLOOKUP(J93,VARIANT!B:C,2,FALSE)</f>
        <v>G_T</v>
      </c>
    </row>
    <row r="94" spans="1:11">
      <c r="C94" t="s">
        <v>1498</v>
      </c>
      <c r="D94" t="str" cm="1">
        <f t="array" ref="D94">_xlfn.TEXTSPLIT(C94,";")</f>
        <v>LYCHEE</v>
      </c>
      <c r="J94" t="s">
        <v>6896</v>
      </c>
      <c r="K94" t="str">
        <f>VLOOKUP(J94,VARIANT!B:C,2,FALSE)</f>
        <v>MULE</v>
      </c>
    </row>
    <row r="95" spans="1:11">
      <c r="C95" t="s">
        <v>6868</v>
      </c>
      <c r="D95" t="str" cm="1">
        <f t="array" ref="D95">_xlfn.TEXTSPLIT(C95,";")</f>
        <v>BERRIES</v>
      </c>
      <c r="J95" t="s">
        <v>6905</v>
      </c>
      <c r="K95" t="str">
        <f>VLOOKUP(J95,VARIANT!B:C,2,FALSE)</f>
        <v>ALE</v>
      </c>
    </row>
    <row r="96" spans="1:11">
      <c r="C96" t="s">
        <v>1478</v>
      </c>
      <c r="D96" t="str" cm="1">
        <f t="array" ref="D96">_xlfn.TEXTSPLIT(C96,";")</f>
        <v>POMEGRANATE</v>
      </c>
      <c r="J96" t="s">
        <v>6922</v>
      </c>
      <c r="K96" t="str">
        <f>VLOOKUP(J96,VARIANT!B:C,2,FALSE)</f>
        <v>AURORA</v>
      </c>
    </row>
    <row r="97" spans="3:11">
      <c r="C97" t="s">
        <v>6871</v>
      </c>
      <c r="D97" t="str" cm="1">
        <f t="array" ref="D97:E97">_xlfn.TEXTSPLIT(C97,";")</f>
        <v>MANGO</v>
      </c>
      <c r="E97" t="str">
        <v>PEACH</v>
      </c>
      <c r="J97" t="s">
        <v>6923</v>
      </c>
      <c r="K97" t="str">
        <f>VLOOKUP(J97,VARIANT!B:C,2,FALSE)</f>
        <v>MEMENTO</v>
      </c>
    </row>
    <row r="98" spans="3:11">
      <c r="C98" t="s">
        <v>6875</v>
      </c>
      <c r="D98" t="str" cm="1">
        <f t="array" ref="D98:E98">_xlfn.TEXTSPLIT(C98,";")</f>
        <v>KIWI</v>
      </c>
      <c r="E98" t="str">
        <v>LIME</v>
      </c>
      <c r="J98" t="s">
        <v>6629</v>
      </c>
      <c r="K98" t="str">
        <f>VLOOKUP(J98,VARIANT!B:C,2,FALSE)</f>
        <v>KRIEK</v>
      </c>
    </row>
    <row r="99" spans="3:11">
      <c r="C99" t="s">
        <v>5394</v>
      </c>
      <c r="D99" t="str" cm="1">
        <f t="array" ref="D99:E99">_xlfn.TEXTSPLIT(C99,";")</f>
        <v>LEMON</v>
      </c>
      <c r="E99" t="str">
        <v>GINGER</v>
      </c>
      <c r="J99" t="s">
        <v>6925</v>
      </c>
      <c r="K99" t="str">
        <f>VLOOKUP(J99,VARIANT!B:C,2,FALSE)</f>
        <v>COCONUT;KOKOS</v>
      </c>
    </row>
    <row r="100" spans="3:11">
      <c r="C100" t="s">
        <v>6881</v>
      </c>
      <c r="D100" t="str" cm="1">
        <f t="array" ref="D100:E100">_xlfn.TEXTSPLIT(C100,";")</f>
        <v>MOJITO</v>
      </c>
      <c r="E100" t="str">
        <v>STRAWBERRY</v>
      </c>
      <c r="J100" t="s">
        <v>6927</v>
      </c>
      <c r="K100" t="str">
        <f>VLOOKUP(J100,VARIANT!B:C,2,FALSE)</f>
        <v>BASIL</v>
      </c>
    </row>
    <row r="101" spans="3:11">
      <c r="C101" t="s">
        <v>6885</v>
      </c>
      <c r="D101" t="str" cm="1">
        <f t="array" ref="D101:E101">_xlfn.TEXTSPLIT(C101,";")</f>
        <v>APPLE</v>
      </c>
      <c r="E101" t="str">
        <v>GRAPE</v>
      </c>
      <c r="J101" t="s">
        <v>6929</v>
      </c>
      <c r="K101" t="str">
        <f>VLOOKUP(J101,VARIANT!B:C,2,FALSE)</f>
        <v>LEMONGRASS</v>
      </c>
    </row>
    <row r="102" spans="3:11">
      <c r="C102" t="s">
        <v>6889</v>
      </c>
      <c r="D102" t="str" cm="1">
        <f t="array" ref="D102:E102">_xlfn.TEXTSPLIT(C102,";")</f>
        <v>ROSE</v>
      </c>
      <c r="E102" t="str">
        <v>LEMONADE</v>
      </c>
      <c r="J102" t="s">
        <v>6930</v>
      </c>
      <c r="K102" t="str">
        <f>VLOOKUP(J102,VARIANT!B:C,2,FALSE)</f>
        <v>JASMINE</v>
      </c>
    </row>
    <row r="103" spans="3:11">
      <c r="C103" t="s">
        <v>6791</v>
      </c>
      <c r="D103" t="str" cm="1">
        <f t="array" ref="D103">_xlfn.TEXTSPLIT(C103,";")</f>
        <v>PINK_GRAPEFRUIT</v>
      </c>
      <c r="J103" t="s">
        <v>6932</v>
      </c>
      <c r="K103" t="str">
        <f>VLOOKUP(J103,VARIANT!B:C,2,FALSE)</f>
        <v/>
      </c>
    </row>
    <row r="104" spans="3:11">
      <c r="C104" t="s">
        <v>6893</v>
      </c>
      <c r="D104" t="str" cm="1">
        <f t="array" ref="D104">_xlfn.TEXTSPLIT(C104,";")</f>
        <v>G_T</v>
      </c>
      <c r="J104" t="s">
        <v>6933</v>
      </c>
      <c r="K104" t="str">
        <f>VLOOKUP(J104,VARIANT!B:C,2,FALSE)</f>
        <v>CARDEMON</v>
      </c>
    </row>
    <row r="105" spans="3:11">
      <c r="C105" t="s">
        <v>129</v>
      </c>
      <c r="D105" t="str" cm="1">
        <f t="array" ref="D105">_xlfn.TEXTSPLIT(C105,";")</f>
        <v>MOJITO</v>
      </c>
      <c r="J105" t="s">
        <v>6935</v>
      </c>
      <c r="K105" t="str">
        <f>VLOOKUP(J105,VARIANT!B:C,2,FALSE)</f>
        <v>HAWAII</v>
      </c>
    </row>
    <row r="106" spans="3:11">
      <c r="C106" t="s">
        <v>6896</v>
      </c>
      <c r="D106" t="str" cm="1">
        <f t="array" ref="D106">_xlfn.TEXTSPLIT(C106,";")</f>
        <v>MULE</v>
      </c>
      <c r="J106" t="s">
        <v>6937</v>
      </c>
      <c r="K106" t="str">
        <f>VLOOKUP(J106,VARIANT!B:C,2,FALSE)</f>
        <v>LEMONADE</v>
      </c>
    </row>
    <row r="107" spans="3:11">
      <c r="C107" t="s">
        <v>6900</v>
      </c>
      <c r="D107" t="str" cm="1">
        <f t="array" ref="D107:E107">_xlfn.TEXTSPLIT(C107,";")</f>
        <v>BITTER</v>
      </c>
      <c r="E107" t="str">
        <v>LEMON</v>
      </c>
      <c r="J107" t="s">
        <v>6934</v>
      </c>
      <c r="K107" t="str">
        <f>VLOOKUP(J107,VARIANT!B:C,2,FALSE)</f>
        <v>SODA</v>
      </c>
    </row>
    <row r="108" spans="3:11">
      <c r="C108" t="s">
        <v>6902</v>
      </c>
      <c r="D108" t="str" cm="1">
        <f t="array" ref="D108:F108">_xlfn.TEXTSPLIT(C108,";")</f>
        <v>TONIC</v>
      </c>
      <c r="E108" t="str">
        <v>CLASSIC</v>
      </c>
      <c r="F108" t="str">
        <v>CORE</v>
      </c>
    </row>
    <row r="109" spans="3:11">
      <c r="C109" t="s">
        <v>6905</v>
      </c>
      <c r="D109" t="str" cm="1">
        <f t="array" ref="D109">_xlfn.TEXTSPLIT(C109,";")</f>
        <v>ALE</v>
      </c>
    </row>
    <row r="110" spans="3:11">
      <c r="C110" t="s">
        <v>749</v>
      </c>
      <c r="D110" t="str" cm="1">
        <f t="array" ref="D110">_xlfn.TEXTSPLIT(C110,";")</f>
        <v>CASSIS</v>
      </c>
    </row>
    <row r="111" spans="3:11">
      <c r="C111" t="s">
        <v>6912</v>
      </c>
      <c r="D111" t="str" cm="1">
        <f t="array" ref="D111:E111">_xlfn.TEXTSPLIT(C111,";")</f>
        <v>CORE</v>
      </c>
      <c r="E111" t="str">
        <v>TOMATO</v>
      </c>
    </row>
    <row r="112" spans="3:11">
      <c r="C112" t="s">
        <v>6918</v>
      </c>
      <c r="D112" t="str" cm="1">
        <f t="array" ref="D112:E112">_xlfn.TEXTSPLIT(C112,";")</f>
        <v>APPLE</v>
      </c>
      <c r="E112" t="str">
        <v>CORE</v>
      </c>
    </row>
  </sheetData>
  <sortState xmlns:xlrd2="http://schemas.microsoft.com/office/spreadsheetml/2017/richdata2" ref="J2:K112">
    <sortCondition ref="K2:K112"/>
  </sortState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0F5C-AD3F-49D4-AA38-84AB777961C7}">
  <dimension ref="A1:G400"/>
  <sheetViews>
    <sheetView workbookViewId="0">
      <selection activeCell="F400" sqref="A1:F400"/>
    </sheetView>
  </sheetViews>
  <sheetFormatPr defaultRowHeight="16"/>
  <cols>
    <col min="1" max="1" width="19.58203125" customWidth="1"/>
    <col min="2" max="2" width="20.58203125" customWidth="1"/>
    <col min="3" max="3" width="16.08203125" customWidth="1"/>
    <col min="4" max="4" width="19.58203125" customWidth="1"/>
  </cols>
  <sheetData>
    <row r="1" spans="1:7">
      <c r="A1" t="s">
        <v>9546</v>
      </c>
      <c r="B1" t="s">
        <v>7340</v>
      </c>
      <c r="C1" t="s">
        <v>777</v>
      </c>
      <c r="D1" t="s">
        <v>6932</v>
      </c>
      <c r="E1" t="s">
        <v>7340</v>
      </c>
      <c r="F1" t="s">
        <v>777</v>
      </c>
      <c r="G1" t="s">
        <v>6932</v>
      </c>
    </row>
    <row r="2" spans="1:7">
      <c r="A2" t="s">
        <v>9547</v>
      </c>
      <c r="B2" t="s">
        <v>9980</v>
      </c>
      <c r="C2" t="s">
        <v>535</v>
      </c>
      <c r="D2" t="s">
        <v>6932</v>
      </c>
      <c r="E2" t="s">
        <v>9980</v>
      </c>
      <c r="F2" t="s">
        <v>535</v>
      </c>
      <c r="G2" t="s">
        <v>6932</v>
      </c>
    </row>
    <row r="3" spans="1:7">
      <c r="A3" t="s">
        <v>9554</v>
      </c>
      <c r="B3" t="s">
        <v>604</v>
      </c>
      <c r="C3" t="s">
        <v>10022</v>
      </c>
      <c r="E3" t="s">
        <v>604</v>
      </c>
      <c r="F3" t="s">
        <v>10022</v>
      </c>
    </row>
    <row r="4" spans="1:7">
      <c r="A4" t="s">
        <v>9555</v>
      </c>
      <c r="B4" t="s">
        <v>604</v>
      </c>
      <c r="C4" t="s">
        <v>775</v>
      </c>
      <c r="E4" t="s">
        <v>604</v>
      </c>
      <c r="F4" t="s">
        <v>775</v>
      </c>
    </row>
    <row r="5" spans="1:7">
      <c r="A5" t="s">
        <v>9556</v>
      </c>
      <c r="B5" t="s">
        <v>516</v>
      </c>
      <c r="C5" t="s">
        <v>10023</v>
      </c>
      <c r="E5" t="s">
        <v>516</v>
      </c>
      <c r="F5" t="s">
        <v>10023</v>
      </c>
    </row>
    <row r="6" spans="1:7">
      <c r="A6" t="s">
        <v>9557</v>
      </c>
      <c r="B6" t="s">
        <v>7377</v>
      </c>
      <c r="C6" t="s">
        <v>1438</v>
      </c>
      <c r="D6" t="s">
        <v>6932</v>
      </c>
      <c r="E6" t="s">
        <v>7377</v>
      </c>
      <c r="F6" t="s">
        <v>1438</v>
      </c>
      <c r="G6" t="s">
        <v>6932</v>
      </c>
    </row>
    <row r="8" spans="1:7">
      <c r="A8" t="s">
        <v>9558</v>
      </c>
      <c r="B8" t="s">
        <v>387</v>
      </c>
      <c r="C8" t="s">
        <v>536</v>
      </c>
      <c r="E8" t="s">
        <v>387</v>
      </c>
      <c r="F8" t="s">
        <v>536</v>
      </c>
    </row>
    <row r="9" spans="1:7">
      <c r="A9" t="s">
        <v>9560</v>
      </c>
      <c r="B9" t="s">
        <v>239</v>
      </c>
      <c r="C9" t="s">
        <v>536</v>
      </c>
      <c r="E9" t="s">
        <v>239</v>
      </c>
      <c r="F9" t="s">
        <v>536</v>
      </c>
    </row>
    <row r="10" spans="1:7">
      <c r="A10" t="s">
        <v>9561</v>
      </c>
      <c r="B10" t="s">
        <v>239</v>
      </c>
      <c r="C10" t="s">
        <v>777</v>
      </c>
      <c r="D10" t="s">
        <v>801</v>
      </c>
      <c r="E10" t="s">
        <v>239</v>
      </c>
      <c r="F10" t="s">
        <v>777</v>
      </c>
      <c r="G10" t="s">
        <v>801</v>
      </c>
    </row>
    <row r="11" spans="1:7">
      <c r="A11" t="s">
        <v>9562</v>
      </c>
      <c r="B11" t="s">
        <v>239</v>
      </c>
      <c r="C11" t="s">
        <v>1513</v>
      </c>
      <c r="D11" t="s">
        <v>6932</v>
      </c>
      <c r="E11" t="s">
        <v>239</v>
      </c>
      <c r="F11" t="s">
        <v>1513</v>
      </c>
      <c r="G11" t="s">
        <v>6932</v>
      </c>
    </row>
    <row r="12" spans="1:7">
      <c r="A12" t="s">
        <v>9563</v>
      </c>
      <c r="B12" t="s">
        <v>239</v>
      </c>
      <c r="C12" t="s">
        <v>778</v>
      </c>
      <c r="D12" t="s">
        <v>6932</v>
      </c>
      <c r="E12" t="s">
        <v>239</v>
      </c>
      <c r="F12" t="s">
        <v>778</v>
      </c>
      <c r="G12" t="s">
        <v>6932</v>
      </c>
    </row>
    <row r="13" spans="1:7">
      <c r="A13" t="s">
        <v>9564</v>
      </c>
      <c r="B13" t="s">
        <v>239</v>
      </c>
      <c r="C13" t="s">
        <v>897</v>
      </c>
      <c r="D13" t="s">
        <v>6932</v>
      </c>
      <c r="E13" t="s">
        <v>239</v>
      </c>
      <c r="F13" t="s">
        <v>897</v>
      </c>
      <c r="G13" t="s">
        <v>6932</v>
      </c>
    </row>
    <row r="14" spans="1:7">
      <c r="A14" t="s">
        <v>9565</v>
      </c>
      <c r="B14" t="s">
        <v>355</v>
      </c>
      <c r="C14" t="s">
        <v>535</v>
      </c>
      <c r="D14" t="s">
        <v>6932</v>
      </c>
      <c r="E14" t="s">
        <v>355</v>
      </c>
      <c r="F14" t="s">
        <v>535</v>
      </c>
      <c r="G14" t="s">
        <v>6932</v>
      </c>
    </row>
    <row r="15" spans="1:7">
      <c r="A15" t="s">
        <v>9566</v>
      </c>
      <c r="B15" t="s">
        <v>242</v>
      </c>
      <c r="C15" t="s">
        <v>9981</v>
      </c>
      <c r="D15" t="s">
        <v>10039</v>
      </c>
      <c r="E15" t="s">
        <v>242</v>
      </c>
      <c r="F15" t="s">
        <v>9981</v>
      </c>
      <c r="G15" t="s">
        <v>10039</v>
      </c>
    </row>
    <row r="16" spans="1:7">
      <c r="A16" t="s">
        <v>9567</v>
      </c>
      <c r="B16" t="s">
        <v>357</v>
      </c>
      <c r="C16" t="s">
        <v>772</v>
      </c>
      <c r="D16" t="s">
        <v>6932</v>
      </c>
      <c r="E16" t="s">
        <v>357</v>
      </c>
      <c r="F16" t="s">
        <v>772</v>
      </c>
      <c r="G16" t="s">
        <v>6932</v>
      </c>
    </row>
    <row r="17" spans="1:7">
      <c r="A17" t="s">
        <v>9568</v>
      </c>
      <c r="B17" t="s">
        <v>357</v>
      </c>
      <c r="C17" t="s">
        <v>788</v>
      </c>
      <c r="D17" t="s">
        <v>6932</v>
      </c>
      <c r="E17" t="s">
        <v>357</v>
      </c>
      <c r="F17" t="s">
        <v>788</v>
      </c>
      <c r="G17" t="s">
        <v>6932</v>
      </c>
    </row>
    <row r="18" spans="1:7">
      <c r="A18" t="s">
        <v>9569</v>
      </c>
      <c r="B18" t="s">
        <v>244</v>
      </c>
      <c r="C18" t="s">
        <v>776</v>
      </c>
      <c r="E18" t="s">
        <v>244</v>
      </c>
      <c r="F18" t="s">
        <v>776</v>
      </c>
    </row>
    <row r="19" spans="1:7">
      <c r="A19" t="s">
        <v>9571</v>
      </c>
      <c r="B19" t="s">
        <v>1844</v>
      </c>
      <c r="C19" t="s">
        <v>9982</v>
      </c>
      <c r="E19" t="s">
        <v>1844</v>
      </c>
      <c r="F19" t="s">
        <v>9982</v>
      </c>
    </row>
    <row r="20" spans="1:7">
      <c r="A20" t="s">
        <v>9572</v>
      </c>
      <c r="B20" t="s">
        <v>1844</v>
      </c>
      <c r="C20" t="s">
        <v>9983</v>
      </c>
      <c r="E20" t="s">
        <v>1844</v>
      </c>
      <c r="F20" t="s">
        <v>9983</v>
      </c>
    </row>
    <row r="21" spans="1:7">
      <c r="A21" t="s">
        <v>9573</v>
      </c>
      <c r="B21" t="s">
        <v>1844</v>
      </c>
      <c r="C21" t="s">
        <v>9984</v>
      </c>
      <c r="E21" t="s">
        <v>1844</v>
      </c>
      <c r="F21" t="s">
        <v>9984</v>
      </c>
    </row>
    <row r="22" spans="1:7">
      <c r="A22" t="s">
        <v>9574</v>
      </c>
      <c r="B22" t="s">
        <v>1844</v>
      </c>
      <c r="C22" t="s">
        <v>873</v>
      </c>
      <c r="D22" t="s">
        <v>801</v>
      </c>
      <c r="E22" t="s">
        <v>1844</v>
      </c>
      <c r="F22" t="s">
        <v>873</v>
      </c>
      <c r="G22" t="s">
        <v>801</v>
      </c>
    </row>
    <row r="23" spans="1:7">
      <c r="A23" t="s">
        <v>9575</v>
      </c>
      <c r="B23" t="s">
        <v>1844</v>
      </c>
      <c r="C23" t="s">
        <v>655</v>
      </c>
      <c r="D23" t="s">
        <v>801</v>
      </c>
      <c r="E23" t="s">
        <v>1844</v>
      </c>
      <c r="F23" t="s">
        <v>655</v>
      </c>
      <c r="G23" t="s">
        <v>801</v>
      </c>
    </row>
    <row r="24" spans="1:7">
      <c r="A24" t="s">
        <v>9576</v>
      </c>
      <c r="B24" t="s">
        <v>1844</v>
      </c>
      <c r="C24" t="s">
        <v>861</v>
      </c>
      <c r="D24" t="s">
        <v>801</v>
      </c>
      <c r="E24" t="s">
        <v>1844</v>
      </c>
      <c r="F24" t="s">
        <v>861</v>
      </c>
      <c r="G24" t="s">
        <v>801</v>
      </c>
    </row>
    <row r="25" spans="1:7">
      <c r="A25" t="s">
        <v>9577</v>
      </c>
      <c r="B25" t="e" vm="2">
        <v>#VALUE!</v>
      </c>
      <c r="E25" t="e" vm="2">
        <v>#VALUE!</v>
      </c>
    </row>
    <row r="26" spans="1:7">
      <c r="A26" t="s">
        <v>9578</v>
      </c>
      <c r="B26" t="s">
        <v>1844</v>
      </c>
      <c r="C26" t="s">
        <v>5629</v>
      </c>
      <c r="D26" t="s">
        <v>801</v>
      </c>
      <c r="E26" t="s">
        <v>1844</v>
      </c>
      <c r="F26" t="s">
        <v>5629</v>
      </c>
      <c r="G26" t="s">
        <v>801</v>
      </c>
    </row>
    <row r="27" spans="1:7">
      <c r="A27" t="s">
        <v>9579</v>
      </c>
      <c r="B27" t="s">
        <v>993</v>
      </c>
      <c r="C27" t="s">
        <v>762</v>
      </c>
      <c r="D27" t="s">
        <v>6932</v>
      </c>
      <c r="E27" t="s">
        <v>993</v>
      </c>
      <c r="F27" t="s">
        <v>762</v>
      </c>
      <c r="G27" t="s">
        <v>6932</v>
      </c>
    </row>
    <row r="28" spans="1:7">
      <c r="A28" t="s">
        <v>9581</v>
      </c>
      <c r="B28" t="s">
        <v>363</v>
      </c>
      <c r="C28" t="s">
        <v>536</v>
      </c>
      <c r="D28" t="s">
        <v>2000</v>
      </c>
      <c r="E28" t="s">
        <v>363</v>
      </c>
      <c r="F28" t="s">
        <v>536</v>
      </c>
      <c r="G28" t="s">
        <v>2000</v>
      </c>
    </row>
    <row r="29" spans="1:7">
      <c r="A29" t="s">
        <v>9582</v>
      </c>
      <c r="B29" t="s">
        <v>1224</v>
      </c>
      <c r="C29" t="s">
        <v>788</v>
      </c>
      <c r="E29" t="s">
        <v>1224</v>
      </c>
      <c r="F29" t="s">
        <v>788</v>
      </c>
    </row>
    <row r="30" spans="1:7">
      <c r="A30" t="s">
        <v>9584</v>
      </c>
      <c r="B30" t="s">
        <v>843</v>
      </c>
      <c r="C30" t="s">
        <v>782</v>
      </c>
      <c r="D30" t="s">
        <v>6932</v>
      </c>
      <c r="E30" t="s">
        <v>843</v>
      </c>
      <c r="F30" t="s">
        <v>782</v>
      </c>
      <c r="G30" t="s">
        <v>6932</v>
      </c>
    </row>
    <row r="31" spans="1:7">
      <c r="A31" t="s">
        <v>9585</v>
      </c>
      <c r="B31" t="s">
        <v>24</v>
      </c>
      <c r="C31" t="s">
        <v>534</v>
      </c>
      <c r="E31" t="s">
        <v>24</v>
      </c>
      <c r="F31" t="s">
        <v>534</v>
      </c>
    </row>
    <row r="32" spans="1:7">
      <c r="A32" t="s">
        <v>9586</v>
      </c>
      <c r="B32" t="s">
        <v>9985</v>
      </c>
      <c r="C32" t="s">
        <v>534</v>
      </c>
      <c r="D32" t="s">
        <v>6932</v>
      </c>
      <c r="E32" t="s">
        <v>9985</v>
      </c>
      <c r="F32" t="s">
        <v>534</v>
      </c>
      <c r="G32" t="s">
        <v>6932</v>
      </c>
    </row>
    <row r="33" spans="1:7">
      <c r="A33" t="s">
        <v>9587</v>
      </c>
      <c r="B33" t="s">
        <v>303</v>
      </c>
      <c r="C33" t="s">
        <v>536</v>
      </c>
      <c r="D33" t="s">
        <v>6932</v>
      </c>
      <c r="E33" t="s">
        <v>303</v>
      </c>
      <c r="F33" t="s">
        <v>536</v>
      </c>
      <c r="G33" t="s">
        <v>6932</v>
      </c>
    </row>
    <row r="34" spans="1:7">
      <c r="A34" t="s">
        <v>9588</v>
      </c>
      <c r="B34" t="s">
        <v>236</v>
      </c>
      <c r="C34" t="s">
        <v>777</v>
      </c>
      <c r="E34" t="s">
        <v>236</v>
      </c>
      <c r="F34" t="s">
        <v>777</v>
      </c>
    </row>
    <row r="35" spans="1:7">
      <c r="A35" t="s">
        <v>9589</v>
      </c>
      <c r="B35" t="s">
        <v>304</v>
      </c>
      <c r="C35" t="s">
        <v>534</v>
      </c>
      <c r="E35" t="s">
        <v>304</v>
      </c>
      <c r="F35" t="s">
        <v>534</v>
      </c>
    </row>
    <row r="36" spans="1:7">
      <c r="A36" t="s">
        <v>9590</v>
      </c>
      <c r="B36" t="s">
        <v>304</v>
      </c>
      <c r="C36" t="s">
        <v>788</v>
      </c>
      <c r="D36" t="s">
        <v>6932</v>
      </c>
      <c r="E36" t="s">
        <v>304</v>
      </c>
      <c r="F36" t="s">
        <v>788</v>
      </c>
      <c r="G36" t="s">
        <v>6932</v>
      </c>
    </row>
    <row r="37" spans="1:7">
      <c r="A37" t="s">
        <v>9591</v>
      </c>
      <c r="B37" t="s">
        <v>465</v>
      </c>
      <c r="C37" t="s">
        <v>1438</v>
      </c>
      <c r="D37" t="s">
        <v>6932</v>
      </c>
      <c r="E37" t="s">
        <v>465</v>
      </c>
      <c r="F37" t="s">
        <v>1438</v>
      </c>
      <c r="G37" t="s">
        <v>6932</v>
      </c>
    </row>
    <row r="38" spans="1:7">
      <c r="A38" t="s">
        <v>9592</v>
      </c>
      <c r="B38" t="s">
        <v>1387</v>
      </c>
      <c r="C38" t="s">
        <v>1999</v>
      </c>
      <c r="E38" t="s">
        <v>1387</v>
      </c>
      <c r="F38" t="s">
        <v>1999</v>
      </c>
    </row>
    <row r="39" spans="1:7">
      <c r="A39" t="s">
        <v>9593</v>
      </c>
      <c r="B39" t="s">
        <v>674</v>
      </c>
      <c r="C39" t="s">
        <v>5176</v>
      </c>
      <c r="D39" t="s">
        <v>6932</v>
      </c>
      <c r="E39" t="s">
        <v>674</v>
      </c>
      <c r="F39" t="s">
        <v>5176</v>
      </c>
      <c r="G39" t="s">
        <v>6932</v>
      </c>
    </row>
    <row r="40" spans="1:7">
      <c r="A40" t="s">
        <v>9594</v>
      </c>
      <c r="B40" t="s">
        <v>251</v>
      </c>
      <c r="C40" t="s">
        <v>751</v>
      </c>
      <c r="E40" t="s">
        <v>251</v>
      </c>
      <c r="F40" t="s">
        <v>751</v>
      </c>
    </row>
    <row r="41" spans="1:7">
      <c r="A41" t="s">
        <v>9595</v>
      </c>
      <c r="B41" t="s">
        <v>251</v>
      </c>
      <c r="C41" t="s">
        <v>5181</v>
      </c>
      <c r="D41" t="s">
        <v>6932</v>
      </c>
      <c r="E41" t="s">
        <v>251</v>
      </c>
      <c r="F41" t="s">
        <v>5181</v>
      </c>
      <c r="G41" t="s">
        <v>6932</v>
      </c>
    </row>
    <row r="42" spans="1:7">
      <c r="A42" t="s">
        <v>9596</v>
      </c>
      <c r="B42" t="s">
        <v>251</v>
      </c>
      <c r="C42" t="s">
        <v>1438</v>
      </c>
      <c r="D42" t="s">
        <v>6932</v>
      </c>
      <c r="E42" t="s">
        <v>251</v>
      </c>
      <c r="F42" t="s">
        <v>1438</v>
      </c>
      <c r="G42" t="s">
        <v>6932</v>
      </c>
    </row>
    <row r="43" spans="1:7">
      <c r="A43" t="s">
        <v>9597</v>
      </c>
      <c r="B43" t="s">
        <v>251</v>
      </c>
      <c r="C43" t="s">
        <v>7401</v>
      </c>
      <c r="D43" t="s">
        <v>6932</v>
      </c>
      <c r="E43" t="s">
        <v>251</v>
      </c>
      <c r="F43" t="s">
        <v>7401</v>
      </c>
      <c r="G43" t="s">
        <v>6932</v>
      </c>
    </row>
    <row r="44" spans="1:7">
      <c r="A44" t="s">
        <v>9598</v>
      </c>
      <c r="B44" t="s">
        <v>251</v>
      </c>
      <c r="C44" t="s">
        <v>881</v>
      </c>
      <c r="D44" t="s">
        <v>6932</v>
      </c>
      <c r="E44" t="s">
        <v>251</v>
      </c>
      <c r="F44" t="s">
        <v>881</v>
      </c>
      <c r="G44" t="s">
        <v>6932</v>
      </c>
    </row>
    <row r="45" spans="1:7">
      <c r="A45" t="s">
        <v>9599</v>
      </c>
      <c r="B45" t="s">
        <v>251</v>
      </c>
      <c r="C45" t="s">
        <v>904</v>
      </c>
      <c r="D45" t="s">
        <v>6932</v>
      </c>
      <c r="E45" t="s">
        <v>251</v>
      </c>
      <c r="F45" t="s">
        <v>904</v>
      </c>
      <c r="G45" t="s">
        <v>6932</v>
      </c>
    </row>
    <row r="46" spans="1:7">
      <c r="A46" t="s">
        <v>9600</v>
      </c>
      <c r="B46" t="s">
        <v>251</v>
      </c>
      <c r="C46" t="s">
        <v>994</v>
      </c>
      <c r="D46" t="s">
        <v>6932</v>
      </c>
      <c r="E46" t="s">
        <v>251</v>
      </c>
      <c r="F46" t="s">
        <v>994</v>
      </c>
      <c r="G46" t="s">
        <v>6932</v>
      </c>
    </row>
    <row r="47" spans="1:7">
      <c r="A47" t="s">
        <v>9601</v>
      </c>
      <c r="B47" t="s">
        <v>9986</v>
      </c>
      <c r="C47" t="s">
        <v>946</v>
      </c>
      <c r="D47" t="s">
        <v>6932</v>
      </c>
      <c r="E47" t="s">
        <v>9986</v>
      </c>
      <c r="F47" t="s">
        <v>946</v>
      </c>
      <c r="G47" t="s">
        <v>6932</v>
      </c>
    </row>
    <row r="48" spans="1:7">
      <c r="A48" t="s">
        <v>9602</v>
      </c>
      <c r="B48" t="s">
        <v>9986</v>
      </c>
      <c r="C48" t="s">
        <v>788</v>
      </c>
      <c r="D48" t="s">
        <v>6932</v>
      </c>
      <c r="E48" t="s">
        <v>9986</v>
      </c>
      <c r="F48" t="s">
        <v>788</v>
      </c>
      <c r="G48" t="s">
        <v>6932</v>
      </c>
    </row>
    <row r="49" spans="1:7">
      <c r="A49" t="s">
        <v>9606</v>
      </c>
      <c r="B49" t="s">
        <v>466</v>
      </c>
      <c r="C49" t="s">
        <v>536</v>
      </c>
      <c r="D49" t="s">
        <v>6932</v>
      </c>
      <c r="E49" t="s">
        <v>466</v>
      </c>
      <c r="F49" t="s">
        <v>536</v>
      </c>
      <c r="G49" t="s">
        <v>6932</v>
      </c>
    </row>
    <row r="50" spans="1:7">
      <c r="A50" t="s">
        <v>9607</v>
      </c>
      <c r="B50" t="s">
        <v>466</v>
      </c>
      <c r="C50" t="s">
        <v>561</v>
      </c>
      <c r="D50" t="s">
        <v>6932</v>
      </c>
      <c r="E50" t="s">
        <v>466</v>
      </c>
      <c r="F50" t="s">
        <v>561</v>
      </c>
      <c r="G50" t="s">
        <v>6932</v>
      </c>
    </row>
    <row r="51" spans="1:7">
      <c r="A51" t="s">
        <v>9608</v>
      </c>
      <c r="B51" t="s">
        <v>399</v>
      </c>
      <c r="C51" t="s">
        <v>9981</v>
      </c>
      <c r="D51" t="s">
        <v>10039</v>
      </c>
      <c r="E51" t="s">
        <v>399</v>
      </c>
      <c r="F51" t="s">
        <v>9981</v>
      </c>
      <c r="G51" t="s">
        <v>10039</v>
      </c>
    </row>
    <row r="52" spans="1:7">
      <c r="A52" t="s">
        <v>9609</v>
      </c>
      <c r="B52" t="s">
        <v>399</v>
      </c>
      <c r="C52" t="s">
        <v>773</v>
      </c>
      <c r="D52" t="s">
        <v>6932</v>
      </c>
      <c r="E52" t="s">
        <v>399</v>
      </c>
      <c r="F52" t="s">
        <v>773</v>
      </c>
      <c r="G52" t="s">
        <v>6932</v>
      </c>
    </row>
    <row r="53" spans="1:7">
      <c r="A53" t="s">
        <v>9610</v>
      </c>
      <c r="B53" t="s">
        <v>7965</v>
      </c>
      <c r="C53" t="s">
        <v>751</v>
      </c>
      <c r="D53" t="s">
        <v>6932</v>
      </c>
      <c r="E53" t="s">
        <v>7965</v>
      </c>
      <c r="F53" t="s">
        <v>751</v>
      </c>
      <c r="G53" t="s">
        <v>6932</v>
      </c>
    </row>
    <row r="54" spans="1:7">
      <c r="A54" t="s">
        <v>9611</v>
      </c>
      <c r="B54" t="s">
        <v>5191</v>
      </c>
      <c r="C54" t="s">
        <v>1493</v>
      </c>
      <c r="D54" t="s">
        <v>6932</v>
      </c>
      <c r="E54" t="s">
        <v>5191</v>
      </c>
      <c r="F54" t="s">
        <v>1493</v>
      </c>
      <c r="G54" t="s">
        <v>6932</v>
      </c>
    </row>
    <row r="55" spans="1:7">
      <c r="A55" t="s">
        <v>9612</v>
      </c>
      <c r="B55" t="s">
        <v>5191</v>
      </c>
      <c r="C55" t="s">
        <v>746</v>
      </c>
      <c r="D55" t="s">
        <v>6932</v>
      </c>
      <c r="E55" t="s">
        <v>5191</v>
      </c>
      <c r="F55" t="s">
        <v>746</v>
      </c>
      <c r="G55" t="s">
        <v>6932</v>
      </c>
    </row>
    <row r="56" spans="1:7">
      <c r="A56" t="s">
        <v>9613</v>
      </c>
      <c r="B56" t="s">
        <v>5191</v>
      </c>
      <c r="C56" t="s">
        <v>1467</v>
      </c>
      <c r="D56" t="s">
        <v>6932</v>
      </c>
      <c r="E56" t="s">
        <v>5191</v>
      </c>
      <c r="F56" t="s">
        <v>1467</v>
      </c>
      <c r="G56" t="s">
        <v>6932</v>
      </c>
    </row>
    <row r="57" spans="1:7">
      <c r="A57" t="s">
        <v>9614</v>
      </c>
      <c r="B57" t="s">
        <v>5191</v>
      </c>
      <c r="C57" t="s">
        <v>881</v>
      </c>
      <c r="D57" t="s">
        <v>6932</v>
      </c>
      <c r="E57" t="s">
        <v>5191</v>
      </c>
      <c r="F57" t="s">
        <v>881</v>
      </c>
      <c r="G57" t="s">
        <v>6932</v>
      </c>
    </row>
    <row r="58" spans="1:7">
      <c r="A58" t="s">
        <v>9615</v>
      </c>
      <c r="B58" t="s">
        <v>5191</v>
      </c>
      <c r="C58" t="s">
        <v>1478</v>
      </c>
      <c r="D58" t="s">
        <v>6932</v>
      </c>
      <c r="E58" t="s">
        <v>5191</v>
      </c>
      <c r="F58" t="s">
        <v>1478</v>
      </c>
      <c r="G58" t="s">
        <v>6932</v>
      </c>
    </row>
    <row r="59" spans="1:7">
      <c r="A59" t="s">
        <v>9616</v>
      </c>
      <c r="B59" t="s">
        <v>5191</v>
      </c>
      <c r="C59" t="s">
        <v>798</v>
      </c>
      <c r="D59" t="s">
        <v>6932</v>
      </c>
      <c r="E59" t="s">
        <v>5191</v>
      </c>
      <c r="F59" t="s">
        <v>798</v>
      </c>
      <c r="G59" t="s">
        <v>6932</v>
      </c>
    </row>
    <row r="60" spans="1:7">
      <c r="A60" t="s">
        <v>9617</v>
      </c>
      <c r="B60" t="s">
        <v>641</v>
      </c>
      <c r="C60" t="s">
        <v>536</v>
      </c>
      <c r="E60" t="s">
        <v>641</v>
      </c>
      <c r="F60" t="s">
        <v>536</v>
      </c>
    </row>
    <row r="61" spans="1:7">
      <c r="A61" t="s">
        <v>9618</v>
      </c>
      <c r="B61" t="s">
        <v>678</v>
      </c>
      <c r="C61" t="s">
        <v>9981</v>
      </c>
      <c r="D61" t="s">
        <v>10039</v>
      </c>
      <c r="E61" t="s">
        <v>678</v>
      </c>
      <c r="F61" t="s">
        <v>9981</v>
      </c>
      <c r="G61" t="s">
        <v>10039</v>
      </c>
    </row>
    <row r="62" spans="1:7">
      <c r="A62" t="s">
        <v>9619</v>
      </c>
      <c r="B62" t="s">
        <v>482</v>
      </c>
      <c r="C62" t="s">
        <v>1438</v>
      </c>
      <c r="D62" t="s">
        <v>6932</v>
      </c>
      <c r="E62" t="s">
        <v>482</v>
      </c>
      <c r="F62" t="s">
        <v>1438</v>
      </c>
      <c r="G62" t="s">
        <v>6932</v>
      </c>
    </row>
    <row r="63" spans="1:7">
      <c r="A63" t="s">
        <v>9619</v>
      </c>
      <c r="B63" t="s">
        <v>482</v>
      </c>
      <c r="C63" t="s">
        <v>1438</v>
      </c>
      <c r="D63" t="s">
        <v>6932</v>
      </c>
      <c r="E63" t="s">
        <v>482</v>
      </c>
      <c r="F63" t="s">
        <v>1438</v>
      </c>
      <c r="G63" t="s">
        <v>6932</v>
      </c>
    </row>
    <row r="64" spans="1:7">
      <c r="A64" t="s">
        <v>9623</v>
      </c>
      <c r="B64" t="s">
        <v>7223</v>
      </c>
      <c r="C64" t="s">
        <v>536</v>
      </c>
      <c r="D64" t="s">
        <v>6932</v>
      </c>
      <c r="E64" t="s">
        <v>7223</v>
      </c>
      <c r="F64" t="s">
        <v>536</v>
      </c>
      <c r="G64" t="s">
        <v>6932</v>
      </c>
    </row>
    <row r="65" spans="1:7">
      <c r="A65" t="s">
        <v>9624</v>
      </c>
      <c r="B65" t="s">
        <v>400</v>
      </c>
      <c r="C65" t="s">
        <v>842</v>
      </c>
      <c r="D65" t="s">
        <v>6932</v>
      </c>
      <c r="E65" t="s">
        <v>400</v>
      </c>
      <c r="F65" t="s">
        <v>842</v>
      </c>
      <c r="G65" t="s">
        <v>6932</v>
      </c>
    </row>
    <row r="66" spans="1:7">
      <c r="A66" t="s">
        <v>9625</v>
      </c>
      <c r="B66" t="s">
        <v>400</v>
      </c>
      <c r="C66" t="s">
        <v>1438</v>
      </c>
      <c r="D66" t="s">
        <v>6932</v>
      </c>
      <c r="E66" t="s">
        <v>400</v>
      </c>
      <c r="F66" t="s">
        <v>1438</v>
      </c>
      <c r="G66" t="s">
        <v>6932</v>
      </c>
    </row>
    <row r="67" spans="1:7">
      <c r="A67" t="s">
        <v>9626</v>
      </c>
      <c r="B67" t="s">
        <v>43</v>
      </c>
      <c r="C67" t="s">
        <v>2000</v>
      </c>
      <c r="D67" t="s">
        <v>6932</v>
      </c>
      <c r="E67" t="s">
        <v>43</v>
      </c>
      <c r="F67" t="s">
        <v>2000</v>
      </c>
      <c r="G67" t="s">
        <v>6932</v>
      </c>
    </row>
    <row r="68" spans="1:7">
      <c r="A68" t="s">
        <v>9627</v>
      </c>
      <c r="B68" t="s">
        <v>256</v>
      </c>
      <c r="C68" t="s">
        <v>9987</v>
      </c>
      <c r="E68" t="s">
        <v>256</v>
      </c>
      <c r="F68" t="s">
        <v>9987</v>
      </c>
    </row>
    <row r="69" spans="1:7">
      <c r="A69" t="s">
        <v>9628</v>
      </c>
      <c r="B69" t="s">
        <v>6635</v>
      </c>
      <c r="C69" t="s">
        <v>561</v>
      </c>
      <c r="D69" t="s">
        <v>801</v>
      </c>
      <c r="E69" t="s">
        <v>6635</v>
      </c>
      <c r="F69" t="s">
        <v>561</v>
      </c>
      <c r="G69" t="s">
        <v>801</v>
      </c>
    </row>
    <row r="70" spans="1:7">
      <c r="A70" t="s">
        <v>9629</v>
      </c>
      <c r="B70" t="s">
        <v>1754</v>
      </c>
      <c r="C70" t="s">
        <v>772</v>
      </c>
      <c r="E70" t="s">
        <v>1754</v>
      </c>
      <c r="F70" t="s">
        <v>772</v>
      </c>
    </row>
    <row r="71" spans="1:7">
      <c r="A71" t="s">
        <v>9630</v>
      </c>
      <c r="B71" t="s">
        <v>1754</v>
      </c>
      <c r="C71" t="s">
        <v>1967</v>
      </c>
      <c r="E71" t="s">
        <v>1754</v>
      </c>
      <c r="F71" t="s">
        <v>1967</v>
      </c>
    </row>
    <row r="72" spans="1:7">
      <c r="A72" t="s">
        <v>9631</v>
      </c>
      <c r="B72" t="s">
        <v>7234</v>
      </c>
      <c r="C72" t="s">
        <v>536</v>
      </c>
      <c r="D72" t="s">
        <v>6932</v>
      </c>
      <c r="E72" t="s">
        <v>7234</v>
      </c>
      <c r="F72" t="s">
        <v>536</v>
      </c>
      <c r="G72" t="s">
        <v>6932</v>
      </c>
    </row>
    <row r="73" spans="1:7">
      <c r="A73" t="s">
        <v>9632</v>
      </c>
      <c r="B73" t="s">
        <v>624</v>
      </c>
      <c r="C73" t="s">
        <v>751</v>
      </c>
      <c r="E73" t="s">
        <v>624</v>
      </c>
      <c r="F73" t="s">
        <v>751</v>
      </c>
    </row>
    <row r="74" spans="1:7">
      <c r="A74" t="s">
        <v>9633</v>
      </c>
      <c r="B74" t="s">
        <v>7805</v>
      </c>
      <c r="C74" t="s">
        <v>772</v>
      </c>
      <c r="D74" t="s">
        <v>6932</v>
      </c>
      <c r="E74" t="s">
        <v>7805</v>
      </c>
      <c r="F74" t="s">
        <v>772</v>
      </c>
      <c r="G74" t="s">
        <v>6932</v>
      </c>
    </row>
    <row r="75" spans="1:7">
      <c r="A75" t="s">
        <v>9634</v>
      </c>
      <c r="B75" t="s">
        <v>7805</v>
      </c>
      <c r="C75" t="s">
        <v>534</v>
      </c>
      <c r="D75" t="s">
        <v>6932</v>
      </c>
      <c r="E75" t="s">
        <v>7805</v>
      </c>
      <c r="F75" t="s">
        <v>534</v>
      </c>
      <c r="G75" t="s">
        <v>6932</v>
      </c>
    </row>
    <row r="76" spans="1:7">
      <c r="A76" t="s">
        <v>9635</v>
      </c>
      <c r="B76" t="s">
        <v>47</v>
      </c>
      <c r="C76" t="s">
        <v>766</v>
      </c>
      <c r="E76" t="s">
        <v>47</v>
      </c>
      <c r="F76" t="s">
        <v>766</v>
      </c>
    </row>
    <row r="77" spans="1:7">
      <c r="A77" t="s">
        <v>9636</v>
      </c>
      <c r="B77" t="s">
        <v>47</v>
      </c>
      <c r="C77" t="s">
        <v>913</v>
      </c>
      <c r="E77" t="s">
        <v>47</v>
      </c>
      <c r="F77" t="s">
        <v>913</v>
      </c>
    </row>
    <row r="78" spans="1:7">
      <c r="A78" t="s">
        <v>9637</v>
      </c>
      <c r="B78" t="s">
        <v>632</v>
      </c>
      <c r="C78" t="s">
        <v>10024</v>
      </c>
      <c r="E78" t="s">
        <v>632</v>
      </c>
      <c r="F78" t="s">
        <v>10024</v>
      </c>
    </row>
    <row r="79" spans="1:7">
      <c r="A79" t="s">
        <v>9638</v>
      </c>
      <c r="B79" t="s">
        <v>632</v>
      </c>
      <c r="C79" t="s">
        <v>994</v>
      </c>
      <c r="E79" t="s">
        <v>632</v>
      </c>
      <c r="F79" t="s">
        <v>994</v>
      </c>
    </row>
    <row r="80" spans="1:7">
      <c r="A80" t="s">
        <v>9639</v>
      </c>
      <c r="B80" t="s">
        <v>384</v>
      </c>
      <c r="C80" t="s">
        <v>1438</v>
      </c>
      <c r="D80" t="s">
        <v>6932</v>
      </c>
      <c r="E80" t="s">
        <v>384</v>
      </c>
      <c r="F80" t="s">
        <v>1438</v>
      </c>
      <c r="G80" t="s">
        <v>6932</v>
      </c>
    </row>
    <row r="81" spans="1:7">
      <c r="A81" t="s">
        <v>9640</v>
      </c>
      <c r="B81" t="s">
        <v>257</v>
      </c>
      <c r="C81" t="s">
        <v>773</v>
      </c>
      <c r="D81" t="s">
        <v>6932</v>
      </c>
      <c r="E81" t="s">
        <v>257</v>
      </c>
      <c r="F81" t="s">
        <v>773</v>
      </c>
      <c r="G81" t="s">
        <v>6932</v>
      </c>
    </row>
    <row r="82" spans="1:7">
      <c r="A82" t="s">
        <v>9641</v>
      </c>
      <c r="B82" t="s">
        <v>51</v>
      </c>
      <c r="C82" t="s">
        <v>8079</v>
      </c>
      <c r="D82" t="s">
        <v>6932</v>
      </c>
      <c r="E82" t="s">
        <v>51</v>
      </c>
      <c r="F82" t="s">
        <v>8079</v>
      </c>
      <c r="G82" t="s">
        <v>6932</v>
      </c>
    </row>
    <row r="83" spans="1:7">
      <c r="A83" t="s">
        <v>9642</v>
      </c>
      <c r="B83" t="s">
        <v>51</v>
      </c>
      <c r="C83" t="s">
        <v>876</v>
      </c>
      <c r="D83" t="s">
        <v>6932</v>
      </c>
      <c r="E83" t="s">
        <v>51</v>
      </c>
      <c r="F83" t="s">
        <v>876</v>
      </c>
      <c r="G83" t="s">
        <v>6932</v>
      </c>
    </row>
    <row r="84" spans="1:7">
      <c r="A84" t="s">
        <v>9643</v>
      </c>
      <c r="B84" t="s">
        <v>51</v>
      </c>
      <c r="C84" t="s">
        <v>1515</v>
      </c>
      <c r="D84" t="s">
        <v>6932</v>
      </c>
      <c r="E84" t="s">
        <v>51</v>
      </c>
      <c r="F84" t="s">
        <v>1515</v>
      </c>
      <c r="G84" t="s">
        <v>6932</v>
      </c>
    </row>
    <row r="85" spans="1:7">
      <c r="A85" t="s">
        <v>9644</v>
      </c>
      <c r="B85" t="s">
        <v>51</v>
      </c>
      <c r="C85" t="s">
        <v>1983</v>
      </c>
      <c r="D85" t="s">
        <v>6932</v>
      </c>
      <c r="E85" t="s">
        <v>51</v>
      </c>
      <c r="F85" t="s">
        <v>1983</v>
      </c>
      <c r="G85" t="s">
        <v>6932</v>
      </c>
    </row>
    <row r="86" spans="1:7">
      <c r="A86" t="s">
        <v>9645</v>
      </c>
      <c r="B86" t="s">
        <v>321</v>
      </c>
      <c r="C86" t="s">
        <v>742</v>
      </c>
      <c r="E86" t="s">
        <v>321</v>
      </c>
      <c r="F86" t="s">
        <v>742</v>
      </c>
    </row>
    <row r="87" spans="1:7">
      <c r="A87" t="s">
        <v>9646</v>
      </c>
      <c r="B87" t="s">
        <v>321</v>
      </c>
      <c r="C87" t="s">
        <v>788</v>
      </c>
      <c r="E87" t="s">
        <v>321</v>
      </c>
      <c r="F87" t="s">
        <v>788</v>
      </c>
    </row>
    <row r="88" spans="1:7">
      <c r="A88" t="s">
        <v>9647</v>
      </c>
      <c r="B88" t="s">
        <v>9988</v>
      </c>
      <c r="C88" t="s">
        <v>561</v>
      </c>
      <c r="D88" t="s">
        <v>6932</v>
      </c>
      <c r="E88" t="s">
        <v>9988</v>
      </c>
      <c r="F88" t="s">
        <v>561</v>
      </c>
      <c r="G88" t="s">
        <v>6932</v>
      </c>
    </row>
    <row r="89" spans="1:7">
      <c r="A89" t="s">
        <v>9648</v>
      </c>
      <c r="B89" t="s">
        <v>9989</v>
      </c>
      <c r="C89" t="s">
        <v>6932</v>
      </c>
      <c r="E89" t="s">
        <v>9989</v>
      </c>
      <c r="F89" t="s">
        <v>6932</v>
      </c>
    </row>
    <row r="90" spans="1:7">
      <c r="A90" t="s">
        <v>9649</v>
      </c>
      <c r="B90" t="s">
        <v>7641</v>
      </c>
      <c r="C90" t="s">
        <v>775</v>
      </c>
      <c r="D90" t="s">
        <v>6932</v>
      </c>
      <c r="E90" t="s">
        <v>7641</v>
      </c>
      <c r="F90" t="s">
        <v>775</v>
      </c>
      <c r="G90" t="s">
        <v>6932</v>
      </c>
    </row>
    <row r="91" spans="1:7">
      <c r="A91" t="s">
        <v>9650</v>
      </c>
      <c r="B91" t="s">
        <v>7641</v>
      </c>
      <c r="C91" t="s">
        <v>9990</v>
      </c>
      <c r="E91" t="s">
        <v>7641</v>
      </c>
      <c r="F91" t="s">
        <v>9990</v>
      </c>
    </row>
    <row r="92" spans="1:7">
      <c r="A92" t="s">
        <v>9651</v>
      </c>
      <c r="B92" t="s">
        <v>7643</v>
      </c>
      <c r="C92" t="s">
        <v>872</v>
      </c>
      <c r="D92" t="s">
        <v>6932</v>
      </c>
      <c r="E92" t="s">
        <v>7643</v>
      </c>
      <c r="F92" t="s">
        <v>872</v>
      </c>
      <c r="G92" t="s">
        <v>6932</v>
      </c>
    </row>
    <row r="93" spans="1:7">
      <c r="A93" t="s">
        <v>9652</v>
      </c>
      <c r="B93" t="s">
        <v>7816</v>
      </c>
      <c r="C93" t="s">
        <v>842</v>
      </c>
      <c r="D93" t="s">
        <v>6932</v>
      </c>
      <c r="E93" t="s">
        <v>7816</v>
      </c>
      <c r="F93" t="s">
        <v>842</v>
      </c>
      <c r="G93" t="s">
        <v>6932</v>
      </c>
    </row>
    <row r="94" spans="1:7">
      <c r="A94" t="s">
        <v>9653</v>
      </c>
      <c r="B94" t="s">
        <v>7816</v>
      </c>
      <c r="C94" t="s">
        <v>536</v>
      </c>
      <c r="D94" t="s">
        <v>6932</v>
      </c>
      <c r="E94" t="s">
        <v>7816</v>
      </c>
      <c r="F94" t="s">
        <v>536</v>
      </c>
      <c r="G94" t="s">
        <v>6932</v>
      </c>
    </row>
    <row r="95" spans="1:7">
      <c r="A95" t="s">
        <v>9654</v>
      </c>
      <c r="B95" t="s">
        <v>56</v>
      </c>
      <c r="C95" t="s">
        <v>561</v>
      </c>
      <c r="E95" t="s">
        <v>56</v>
      </c>
      <c r="F95" t="s">
        <v>561</v>
      </c>
    </row>
    <row r="96" spans="1:7">
      <c r="A96" t="s">
        <v>9656</v>
      </c>
      <c r="B96" t="s">
        <v>57</v>
      </c>
      <c r="C96" t="s">
        <v>1438</v>
      </c>
      <c r="E96" t="s">
        <v>57</v>
      </c>
      <c r="F96" t="s">
        <v>1438</v>
      </c>
    </row>
    <row r="97" spans="1:7">
      <c r="A97" t="s">
        <v>9657</v>
      </c>
      <c r="B97" t="s">
        <v>365</v>
      </c>
      <c r="C97" t="s">
        <v>6500</v>
      </c>
      <c r="E97" t="s">
        <v>365</v>
      </c>
      <c r="F97" t="s">
        <v>6500</v>
      </c>
    </row>
    <row r="98" spans="1:7">
      <c r="A98" t="s">
        <v>9658</v>
      </c>
      <c r="B98" t="s">
        <v>59</v>
      </c>
      <c r="C98" t="s">
        <v>1513</v>
      </c>
      <c r="D98" t="s">
        <v>801</v>
      </c>
      <c r="E98" t="s">
        <v>59</v>
      </c>
      <c r="F98" t="s">
        <v>1513</v>
      </c>
      <c r="G98" t="s">
        <v>801</v>
      </c>
    </row>
    <row r="99" spans="1:7">
      <c r="A99" t="s">
        <v>9659</v>
      </c>
      <c r="B99" t="s">
        <v>682</v>
      </c>
      <c r="C99" t="s">
        <v>840</v>
      </c>
      <c r="D99" t="s">
        <v>6932</v>
      </c>
      <c r="E99" t="s">
        <v>682</v>
      </c>
      <c r="F99" t="s">
        <v>840</v>
      </c>
      <c r="G99" t="s">
        <v>6932</v>
      </c>
    </row>
    <row r="100" spans="1:7">
      <c r="A100" t="s">
        <v>9660</v>
      </c>
      <c r="B100" t="s">
        <v>646</v>
      </c>
      <c r="C100">
        <v>6</v>
      </c>
      <c r="E100" t="s">
        <v>646</v>
      </c>
      <c r="F100">
        <v>6</v>
      </c>
    </row>
    <row r="101" spans="1:7">
      <c r="A101" t="s">
        <v>9661</v>
      </c>
      <c r="B101" t="s">
        <v>646</v>
      </c>
      <c r="C101" t="s">
        <v>771</v>
      </c>
      <c r="D101" t="s">
        <v>6932</v>
      </c>
      <c r="E101" t="s">
        <v>646</v>
      </c>
      <c r="F101" t="s">
        <v>771</v>
      </c>
      <c r="G101" t="s">
        <v>6932</v>
      </c>
    </row>
    <row r="102" spans="1:7">
      <c r="A102" t="s">
        <v>9662</v>
      </c>
      <c r="B102" t="s">
        <v>61</v>
      </c>
      <c r="C102" t="s">
        <v>534</v>
      </c>
      <c r="E102" t="s">
        <v>61</v>
      </c>
      <c r="F102" t="s">
        <v>534</v>
      </c>
    </row>
    <row r="103" spans="1:7">
      <c r="A103" t="s">
        <v>9663</v>
      </c>
      <c r="B103" t="s">
        <v>471</v>
      </c>
      <c r="C103" t="s">
        <v>561</v>
      </c>
      <c r="D103" t="s">
        <v>6932</v>
      </c>
      <c r="E103" t="s">
        <v>471</v>
      </c>
      <c r="F103" t="s">
        <v>561</v>
      </c>
      <c r="G103" t="s">
        <v>6932</v>
      </c>
    </row>
    <row r="104" spans="1:7">
      <c r="A104" t="s">
        <v>9664</v>
      </c>
      <c r="B104" t="s">
        <v>471</v>
      </c>
      <c r="C104" t="s">
        <v>534</v>
      </c>
      <c r="D104" t="s">
        <v>6932</v>
      </c>
      <c r="E104" t="s">
        <v>471</v>
      </c>
      <c r="F104" t="s">
        <v>534</v>
      </c>
      <c r="G104" t="s">
        <v>6932</v>
      </c>
    </row>
    <row r="105" spans="1:7">
      <c r="A105" t="s">
        <v>9665</v>
      </c>
      <c r="B105" t="s">
        <v>1982</v>
      </c>
      <c r="C105" t="s">
        <v>777</v>
      </c>
      <c r="D105" t="s">
        <v>6932</v>
      </c>
      <c r="E105" t="s">
        <v>1982</v>
      </c>
      <c r="F105" t="s">
        <v>777</v>
      </c>
      <c r="G105" t="s">
        <v>6932</v>
      </c>
    </row>
    <row r="106" spans="1:7">
      <c r="A106" t="s">
        <v>9666</v>
      </c>
      <c r="B106" t="s">
        <v>325</v>
      </c>
      <c r="C106" t="s">
        <v>781</v>
      </c>
      <c r="D106" t="s">
        <v>6932</v>
      </c>
      <c r="E106" t="s">
        <v>325</v>
      </c>
      <c r="F106" t="s">
        <v>781</v>
      </c>
      <c r="G106" t="s">
        <v>6932</v>
      </c>
    </row>
    <row r="107" spans="1:7">
      <c r="A107" t="s">
        <v>9667</v>
      </c>
      <c r="B107" t="e" vm="3">
        <v>#VALUE!</v>
      </c>
      <c r="E107" t="e" vm="3">
        <v>#VALUE!</v>
      </c>
    </row>
    <row r="108" spans="1:7">
      <c r="A108" t="s">
        <v>9669</v>
      </c>
      <c r="B108" t="s">
        <v>1818</v>
      </c>
      <c r="C108" t="s">
        <v>561</v>
      </c>
      <c r="D108" t="s">
        <v>6932</v>
      </c>
      <c r="E108" t="s">
        <v>1818</v>
      </c>
      <c r="F108" t="s">
        <v>561</v>
      </c>
      <c r="G108" t="s">
        <v>6932</v>
      </c>
    </row>
    <row r="109" spans="1:7">
      <c r="A109" t="s">
        <v>9670</v>
      </c>
      <c r="B109" t="s">
        <v>1818</v>
      </c>
      <c r="C109" t="s">
        <v>798</v>
      </c>
      <c r="D109" t="s">
        <v>6932</v>
      </c>
      <c r="E109" t="s">
        <v>1818</v>
      </c>
      <c r="F109" t="s">
        <v>798</v>
      </c>
      <c r="G109" t="s">
        <v>6932</v>
      </c>
    </row>
    <row r="110" spans="1:7">
      <c r="A110" t="s">
        <v>9671</v>
      </c>
      <c r="B110" t="s">
        <v>9991</v>
      </c>
      <c r="C110" t="s">
        <v>1438</v>
      </c>
      <c r="E110" t="s">
        <v>9991</v>
      </c>
      <c r="F110" t="s">
        <v>1438</v>
      </c>
    </row>
    <row r="111" spans="1:7">
      <c r="A111" t="s">
        <v>9672</v>
      </c>
      <c r="B111" t="s">
        <v>9992</v>
      </c>
      <c r="C111" t="s">
        <v>1987</v>
      </c>
      <c r="E111" t="s">
        <v>9992</v>
      </c>
      <c r="F111" t="s">
        <v>1987</v>
      </c>
    </row>
    <row r="112" spans="1:7">
      <c r="A112" t="s">
        <v>9673</v>
      </c>
      <c r="B112" t="s">
        <v>405</v>
      </c>
      <c r="C112" t="s">
        <v>536</v>
      </c>
      <c r="D112" t="s">
        <v>6932</v>
      </c>
      <c r="E112" t="s">
        <v>405</v>
      </c>
      <c r="F112" t="s">
        <v>536</v>
      </c>
      <c r="G112" t="s">
        <v>6932</v>
      </c>
    </row>
    <row r="113" spans="1:7">
      <c r="A113" t="s">
        <v>9674</v>
      </c>
      <c r="B113" t="s">
        <v>405</v>
      </c>
      <c r="C113" t="s">
        <v>1438</v>
      </c>
      <c r="D113" t="s">
        <v>6932</v>
      </c>
      <c r="E113" t="s">
        <v>405</v>
      </c>
      <c r="F113" t="s">
        <v>1438</v>
      </c>
      <c r="G113" t="s">
        <v>6932</v>
      </c>
    </row>
    <row r="114" spans="1:7">
      <c r="A114" t="s">
        <v>9675</v>
      </c>
      <c r="B114" t="s">
        <v>405</v>
      </c>
      <c r="C114" t="s">
        <v>775</v>
      </c>
      <c r="D114" t="s">
        <v>6932</v>
      </c>
      <c r="E114" t="s">
        <v>405</v>
      </c>
      <c r="F114" t="s">
        <v>775</v>
      </c>
      <c r="G114" t="s">
        <v>6932</v>
      </c>
    </row>
    <row r="115" spans="1:7">
      <c r="A115" t="s">
        <v>9676</v>
      </c>
      <c r="B115" t="s">
        <v>405</v>
      </c>
      <c r="C115" t="s">
        <v>939</v>
      </c>
      <c r="D115" t="s">
        <v>6932</v>
      </c>
      <c r="E115" t="s">
        <v>405</v>
      </c>
      <c r="F115" t="s">
        <v>939</v>
      </c>
      <c r="G115" t="s">
        <v>6932</v>
      </c>
    </row>
    <row r="116" spans="1:7">
      <c r="A116" t="s">
        <v>9677</v>
      </c>
      <c r="B116" t="s">
        <v>306</v>
      </c>
      <c r="C116" t="s">
        <v>9993</v>
      </c>
      <c r="D116" t="s">
        <v>6932</v>
      </c>
      <c r="E116" t="s">
        <v>306</v>
      </c>
      <c r="F116" t="s">
        <v>9993</v>
      </c>
      <c r="G116" t="s">
        <v>6932</v>
      </c>
    </row>
    <row r="117" spans="1:7">
      <c r="A117" t="s">
        <v>9678</v>
      </c>
      <c r="B117" t="s">
        <v>260</v>
      </c>
      <c r="C117" t="s">
        <v>879</v>
      </c>
      <c r="D117" t="s">
        <v>6932</v>
      </c>
      <c r="E117" t="s">
        <v>260</v>
      </c>
      <c r="F117" t="s">
        <v>879</v>
      </c>
      <c r="G117" t="s">
        <v>6932</v>
      </c>
    </row>
    <row r="118" spans="1:7">
      <c r="A118" t="s">
        <v>9679</v>
      </c>
      <c r="B118" t="s">
        <v>260</v>
      </c>
      <c r="C118" t="s">
        <v>776</v>
      </c>
      <c r="D118" t="s">
        <v>6932</v>
      </c>
      <c r="E118" t="s">
        <v>260</v>
      </c>
      <c r="F118" t="s">
        <v>776</v>
      </c>
      <c r="G118" t="s">
        <v>6932</v>
      </c>
    </row>
    <row r="119" spans="1:7">
      <c r="A119" t="s">
        <v>9680</v>
      </c>
      <c r="B119" t="s">
        <v>9680</v>
      </c>
      <c r="E119" t="s">
        <v>9680</v>
      </c>
    </row>
    <row r="120" spans="1:7">
      <c r="A120" t="s">
        <v>9681</v>
      </c>
      <c r="B120" t="s">
        <v>407</v>
      </c>
      <c r="C120" t="s">
        <v>561</v>
      </c>
      <c r="D120" t="s">
        <v>6932</v>
      </c>
      <c r="E120" t="s">
        <v>407</v>
      </c>
      <c r="F120" t="s">
        <v>561</v>
      </c>
      <c r="G120" t="s">
        <v>6932</v>
      </c>
    </row>
    <row r="121" spans="1:7">
      <c r="A121" t="s">
        <v>9682</v>
      </c>
      <c r="B121" t="s">
        <v>606</v>
      </c>
      <c r="C121" t="s">
        <v>776</v>
      </c>
      <c r="E121" t="s">
        <v>606</v>
      </c>
      <c r="F121" t="s">
        <v>776</v>
      </c>
    </row>
    <row r="122" spans="1:7">
      <c r="A122" t="s">
        <v>9683</v>
      </c>
      <c r="B122" t="s">
        <v>505</v>
      </c>
      <c r="C122" t="s">
        <v>1438</v>
      </c>
      <c r="D122" t="s">
        <v>801</v>
      </c>
      <c r="E122" t="s">
        <v>505</v>
      </c>
      <c r="F122" t="s">
        <v>1438</v>
      </c>
      <c r="G122" t="s">
        <v>801</v>
      </c>
    </row>
    <row r="123" spans="1:7">
      <c r="A123" t="s">
        <v>9684</v>
      </c>
      <c r="B123" t="s">
        <v>408</v>
      </c>
      <c r="C123" t="s">
        <v>9994</v>
      </c>
      <c r="D123" t="s">
        <v>6932</v>
      </c>
      <c r="E123" t="s">
        <v>408</v>
      </c>
      <c r="F123" t="s">
        <v>9994</v>
      </c>
      <c r="G123" t="s">
        <v>6932</v>
      </c>
    </row>
    <row r="124" spans="1:7">
      <c r="A124" t="s">
        <v>9685</v>
      </c>
      <c r="B124" t="s">
        <v>7209</v>
      </c>
      <c r="C124" t="s">
        <v>1438</v>
      </c>
      <c r="D124" t="s">
        <v>6932</v>
      </c>
      <c r="E124" t="s">
        <v>7209</v>
      </c>
      <c r="F124" t="s">
        <v>1438</v>
      </c>
      <c r="G124" t="s">
        <v>6932</v>
      </c>
    </row>
    <row r="125" spans="1:7">
      <c r="A125" t="s">
        <v>9686</v>
      </c>
      <c r="B125" t="s">
        <v>71</v>
      </c>
      <c r="C125" t="s">
        <v>773</v>
      </c>
      <c r="E125" t="s">
        <v>71</v>
      </c>
      <c r="F125" t="s">
        <v>773</v>
      </c>
    </row>
    <row r="126" spans="1:7">
      <c r="A126" t="s">
        <v>9687</v>
      </c>
      <c r="B126" t="s">
        <v>72</v>
      </c>
      <c r="C126" t="s">
        <v>6500</v>
      </c>
      <c r="E126" t="s">
        <v>72</v>
      </c>
      <c r="F126" t="s">
        <v>6500</v>
      </c>
    </row>
    <row r="127" spans="1:7">
      <c r="A127" t="s">
        <v>9688</v>
      </c>
      <c r="B127" t="s">
        <v>72</v>
      </c>
      <c r="C127" t="s">
        <v>788</v>
      </c>
      <c r="E127" t="s">
        <v>72</v>
      </c>
      <c r="F127" t="s">
        <v>788</v>
      </c>
    </row>
    <row r="128" spans="1:7">
      <c r="A128" t="s">
        <v>9689</v>
      </c>
      <c r="B128" t="s">
        <v>367</v>
      </c>
      <c r="C128" t="s">
        <v>6500</v>
      </c>
      <c r="D128" t="s">
        <v>6932</v>
      </c>
      <c r="E128" t="s">
        <v>367</v>
      </c>
      <c r="F128" t="s">
        <v>6500</v>
      </c>
      <c r="G128" t="s">
        <v>6932</v>
      </c>
    </row>
    <row r="129" spans="1:7">
      <c r="A129" t="s">
        <v>9690</v>
      </c>
      <c r="B129" t="e" vm="2">
        <v>#VALUE!</v>
      </c>
      <c r="E129" t="e" vm="2">
        <v>#VALUE!</v>
      </c>
    </row>
    <row r="130" spans="1:7">
      <c r="A130" t="s">
        <v>9691</v>
      </c>
      <c r="B130" t="s">
        <v>409</v>
      </c>
      <c r="C130" t="s">
        <v>933</v>
      </c>
      <c r="D130" t="s">
        <v>6932</v>
      </c>
      <c r="E130" t="s">
        <v>409</v>
      </c>
      <c r="F130" t="s">
        <v>933</v>
      </c>
      <c r="G130" t="s">
        <v>6932</v>
      </c>
    </row>
    <row r="131" spans="1:7">
      <c r="A131" t="s">
        <v>9692</v>
      </c>
      <c r="B131" t="s">
        <v>410</v>
      </c>
      <c r="C131" t="s">
        <v>1438</v>
      </c>
      <c r="D131" t="s">
        <v>6932</v>
      </c>
      <c r="E131" t="s">
        <v>410</v>
      </c>
      <c r="F131" t="s">
        <v>1438</v>
      </c>
      <c r="G131" t="s">
        <v>6932</v>
      </c>
    </row>
    <row r="132" spans="1:7">
      <c r="A132" t="s">
        <v>9693</v>
      </c>
      <c r="B132" t="s">
        <v>410</v>
      </c>
      <c r="C132" t="s">
        <v>898</v>
      </c>
      <c r="D132" t="s">
        <v>6932</v>
      </c>
      <c r="E132" t="s">
        <v>410</v>
      </c>
      <c r="F132" t="s">
        <v>898</v>
      </c>
      <c r="G132" t="s">
        <v>6932</v>
      </c>
    </row>
    <row r="133" spans="1:7">
      <c r="A133" t="s">
        <v>9694</v>
      </c>
      <c r="B133" t="s">
        <v>6959</v>
      </c>
      <c r="C133" t="s">
        <v>1438</v>
      </c>
      <c r="D133" t="s">
        <v>801</v>
      </c>
      <c r="E133" t="s">
        <v>6959</v>
      </c>
      <c r="F133" t="s">
        <v>1438</v>
      </c>
      <c r="G133" t="s">
        <v>801</v>
      </c>
    </row>
    <row r="134" spans="1:7">
      <c r="A134" t="s">
        <v>9695</v>
      </c>
      <c r="B134" t="s">
        <v>327</v>
      </c>
      <c r="C134" t="s">
        <v>788</v>
      </c>
      <c r="E134" t="s">
        <v>327</v>
      </c>
      <c r="F134" t="s">
        <v>788</v>
      </c>
    </row>
    <row r="135" spans="1:7">
      <c r="A135" t="s">
        <v>9696</v>
      </c>
      <c r="B135" t="s">
        <v>327</v>
      </c>
      <c r="C135" t="s">
        <v>6364</v>
      </c>
      <c r="E135" t="s">
        <v>327</v>
      </c>
      <c r="F135" t="s">
        <v>6364</v>
      </c>
    </row>
    <row r="136" spans="1:7">
      <c r="A136" t="s">
        <v>9697</v>
      </c>
      <c r="B136" t="s">
        <v>329</v>
      </c>
      <c r="C136" t="s">
        <v>751</v>
      </c>
      <c r="E136" t="s">
        <v>329</v>
      </c>
      <c r="F136" t="s">
        <v>751</v>
      </c>
    </row>
    <row r="137" spans="1:7">
      <c r="A137" t="s">
        <v>9698</v>
      </c>
      <c r="B137" t="s">
        <v>262</v>
      </c>
      <c r="C137" t="s">
        <v>842</v>
      </c>
      <c r="E137" t="s">
        <v>262</v>
      </c>
      <c r="F137" t="s">
        <v>842</v>
      </c>
    </row>
    <row r="138" spans="1:7">
      <c r="A138" t="s">
        <v>9699</v>
      </c>
      <c r="B138" t="s">
        <v>262</v>
      </c>
      <c r="C138" t="s">
        <v>10025</v>
      </c>
      <c r="E138" t="s">
        <v>262</v>
      </c>
      <c r="F138" t="s">
        <v>10025</v>
      </c>
    </row>
    <row r="139" spans="1:7">
      <c r="A139" t="s">
        <v>9700</v>
      </c>
      <c r="B139" t="s">
        <v>262</v>
      </c>
      <c r="C139" t="s">
        <v>536</v>
      </c>
      <c r="D139" t="s">
        <v>801</v>
      </c>
      <c r="E139" t="s">
        <v>262</v>
      </c>
      <c r="F139" t="s">
        <v>536</v>
      </c>
      <c r="G139" t="s">
        <v>801</v>
      </c>
    </row>
    <row r="140" spans="1:7">
      <c r="A140" t="s">
        <v>9701</v>
      </c>
      <c r="B140" t="s">
        <v>262</v>
      </c>
      <c r="C140" t="s">
        <v>7324</v>
      </c>
      <c r="D140" t="s">
        <v>6932</v>
      </c>
      <c r="E140" t="s">
        <v>262</v>
      </c>
      <c r="F140" t="s">
        <v>7324</v>
      </c>
      <c r="G140" t="s">
        <v>6932</v>
      </c>
    </row>
    <row r="141" spans="1:7">
      <c r="A141" t="s">
        <v>9702</v>
      </c>
      <c r="B141" t="s">
        <v>263</v>
      </c>
      <c r="C141" t="s">
        <v>1979</v>
      </c>
      <c r="D141" t="s">
        <v>6932</v>
      </c>
      <c r="E141" t="s">
        <v>263</v>
      </c>
      <c r="F141" t="s">
        <v>1979</v>
      </c>
      <c r="G141" t="s">
        <v>6932</v>
      </c>
    </row>
    <row r="142" spans="1:7">
      <c r="A142" t="s">
        <v>2007</v>
      </c>
      <c r="B142" t="s">
        <v>263</v>
      </c>
      <c r="C142" t="s">
        <v>1438</v>
      </c>
      <c r="E142" t="s">
        <v>263</v>
      </c>
      <c r="F142" t="s">
        <v>1438</v>
      </c>
    </row>
    <row r="143" spans="1:7">
      <c r="A143" t="s">
        <v>9703</v>
      </c>
      <c r="B143" t="s">
        <v>263</v>
      </c>
      <c r="C143" t="s">
        <v>1985</v>
      </c>
      <c r="E143" t="s">
        <v>263</v>
      </c>
      <c r="F143" t="s">
        <v>1985</v>
      </c>
    </row>
    <row r="144" spans="1:7">
      <c r="A144" t="s">
        <v>9704</v>
      </c>
      <c r="B144" t="s">
        <v>9995</v>
      </c>
      <c r="C144" t="s">
        <v>780</v>
      </c>
      <c r="E144" t="s">
        <v>9995</v>
      </c>
      <c r="F144" t="s">
        <v>780</v>
      </c>
    </row>
    <row r="145" spans="1:7">
      <c r="A145" t="s">
        <v>9705</v>
      </c>
      <c r="B145" t="s">
        <v>264</v>
      </c>
      <c r="C145" t="s">
        <v>9532</v>
      </c>
      <c r="E145" t="s">
        <v>264</v>
      </c>
      <c r="F145" t="s">
        <v>9532</v>
      </c>
    </row>
    <row r="146" spans="1:7">
      <c r="A146" t="s">
        <v>9706</v>
      </c>
      <c r="B146" t="s">
        <v>611</v>
      </c>
      <c r="C146" t="s">
        <v>1438</v>
      </c>
      <c r="D146" t="s">
        <v>6932</v>
      </c>
      <c r="E146" t="s">
        <v>611</v>
      </c>
      <c r="F146" t="s">
        <v>1438</v>
      </c>
      <c r="G146" t="s">
        <v>6932</v>
      </c>
    </row>
    <row r="147" spans="1:7">
      <c r="A147" t="s">
        <v>9707</v>
      </c>
      <c r="B147" t="s">
        <v>611</v>
      </c>
      <c r="C147" t="s">
        <v>840</v>
      </c>
      <c r="D147" t="s">
        <v>6932</v>
      </c>
      <c r="E147" t="s">
        <v>611</v>
      </c>
      <c r="F147" t="s">
        <v>840</v>
      </c>
      <c r="G147" t="s">
        <v>6932</v>
      </c>
    </row>
    <row r="148" spans="1:7">
      <c r="A148" t="s">
        <v>9708</v>
      </c>
      <c r="B148" t="s">
        <v>265</v>
      </c>
      <c r="C148" t="s">
        <v>536</v>
      </c>
      <c r="D148" t="s">
        <v>6932</v>
      </c>
      <c r="E148" t="s">
        <v>265</v>
      </c>
      <c r="F148" t="s">
        <v>536</v>
      </c>
      <c r="G148" t="s">
        <v>6932</v>
      </c>
    </row>
    <row r="149" spans="1:7">
      <c r="A149" t="s">
        <v>9709</v>
      </c>
      <c r="B149" t="s">
        <v>265</v>
      </c>
      <c r="C149" t="s">
        <v>9996</v>
      </c>
      <c r="E149" t="s">
        <v>265</v>
      </c>
      <c r="F149" t="s">
        <v>9996</v>
      </c>
    </row>
    <row r="150" spans="1:7">
      <c r="A150" t="s">
        <v>9710</v>
      </c>
      <c r="B150" t="s">
        <v>265</v>
      </c>
      <c r="C150" t="s">
        <v>776</v>
      </c>
      <c r="D150" t="s">
        <v>801</v>
      </c>
      <c r="E150" t="s">
        <v>265</v>
      </c>
      <c r="F150" t="s">
        <v>776</v>
      </c>
      <c r="G150" t="s">
        <v>801</v>
      </c>
    </row>
    <row r="151" spans="1:7">
      <c r="A151" t="s">
        <v>9711</v>
      </c>
      <c r="B151" t="s">
        <v>265</v>
      </c>
      <c r="C151" t="s">
        <v>794</v>
      </c>
      <c r="D151" t="s">
        <v>6932</v>
      </c>
      <c r="E151" t="s">
        <v>265</v>
      </c>
      <c r="F151" t="s">
        <v>794</v>
      </c>
      <c r="G151" t="s">
        <v>6932</v>
      </c>
    </row>
    <row r="152" spans="1:7">
      <c r="A152" t="s">
        <v>9712</v>
      </c>
      <c r="B152" t="s">
        <v>8374</v>
      </c>
      <c r="C152" t="s">
        <v>881</v>
      </c>
      <c r="D152" t="s">
        <v>6932</v>
      </c>
      <c r="E152" t="s">
        <v>8374</v>
      </c>
      <c r="F152" t="s">
        <v>881</v>
      </c>
      <c r="G152" t="s">
        <v>6932</v>
      </c>
    </row>
    <row r="153" spans="1:7">
      <c r="A153" t="s">
        <v>9713</v>
      </c>
      <c r="B153" t="s">
        <v>8374</v>
      </c>
      <c r="C153" t="s">
        <v>775</v>
      </c>
      <c r="E153" t="s">
        <v>8374</v>
      </c>
      <c r="F153" t="s">
        <v>775</v>
      </c>
    </row>
    <row r="154" spans="1:7">
      <c r="A154" t="s">
        <v>9714</v>
      </c>
      <c r="B154" t="s">
        <v>1903</v>
      </c>
      <c r="C154" t="s">
        <v>534</v>
      </c>
      <c r="D154" t="s">
        <v>6932</v>
      </c>
      <c r="E154" t="s">
        <v>1903</v>
      </c>
      <c r="F154" t="s">
        <v>534</v>
      </c>
      <c r="G154" t="s">
        <v>6932</v>
      </c>
    </row>
    <row r="155" spans="1:7">
      <c r="A155" t="s">
        <v>9715</v>
      </c>
      <c r="B155" t="s">
        <v>266</v>
      </c>
      <c r="C155" t="s">
        <v>1513</v>
      </c>
      <c r="D155" t="s">
        <v>6932</v>
      </c>
      <c r="E155" t="s">
        <v>266</v>
      </c>
      <c r="F155" t="s">
        <v>1513</v>
      </c>
      <c r="G155" t="s">
        <v>6932</v>
      </c>
    </row>
    <row r="156" spans="1:7">
      <c r="A156" t="s">
        <v>9716</v>
      </c>
      <c r="B156" t="s">
        <v>6448</v>
      </c>
      <c r="C156" t="s">
        <v>561</v>
      </c>
      <c r="E156" t="s">
        <v>6448</v>
      </c>
      <c r="F156" t="s">
        <v>561</v>
      </c>
    </row>
    <row r="157" spans="1:7">
      <c r="A157" t="s">
        <v>9717</v>
      </c>
      <c r="B157" t="s">
        <v>418</v>
      </c>
      <c r="C157" t="s">
        <v>777</v>
      </c>
      <c r="D157" t="s">
        <v>6932</v>
      </c>
      <c r="E157" t="s">
        <v>418</v>
      </c>
      <c r="F157" t="s">
        <v>777</v>
      </c>
      <c r="G157" t="s">
        <v>6932</v>
      </c>
    </row>
    <row r="158" spans="1:7">
      <c r="A158" t="s">
        <v>9718</v>
      </c>
      <c r="B158" t="s">
        <v>419</v>
      </c>
      <c r="C158" t="s">
        <v>842</v>
      </c>
      <c r="D158" t="s">
        <v>6932</v>
      </c>
      <c r="E158" t="s">
        <v>419</v>
      </c>
      <c r="F158" t="s">
        <v>842</v>
      </c>
      <c r="G158" t="s">
        <v>6932</v>
      </c>
    </row>
    <row r="159" spans="1:7">
      <c r="A159" t="s">
        <v>9720</v>
      </c>
      <c r="B159" t="s">
        <v>99</v>
      </c>
      <c r="C159" t="s">
        <v>761</v>
      </c>
      <c r="E159" t="s">
        <v>99</v>
      </c>
      <c r="F159" t="s">
        <v>761</v>
      </c>
    </row>
    <row r="160" spans="1:7">
      <c r="A160" t="s">
        <v>9721</v>
      </c>
      <c r="B160" t="s">
        <v>8526</v>
      </c>
      <c r="C160" t="s">
        <v>757</v>
      </c>
      <c r="D160" t="s">
        <v>6932</v>
      </c>
      <c r="E160" t="s">
        <v>8526</v>
      </c>
      <c r="F160" t="s">
        <v>757</v>
      </c>
      <c r="G160" t="s">
        <v>6932</v>
      </c>
    </row>
    <row r="161" spans="1:7">
      <c r="A161" t="s">
        <v>9724</v>
      </c>
      <c r="B161" t="s">
        <v>474</v>
      </c>
      <c r="C161" t="s">
        <v>1438</v>
      </c>
      <c r="D161" t="s">
        <v>6932</v>
      </c>
      <c r="E161" t="s">
        <v>474</v>
      </c>
      <c r="F161" t="s">
        <v>1438</v>
      </c>
      <c r="G161" t="s">
        <v>6932</v>
      </c>
    </row>
    <row r="162" spans="1:7">
      <c r="A162" t="s">
        <v>9725</v>
      </c>
      <c r="B162" t="s">
        <v>474</v>
      </c>
      <c r="C162" t="s">
        <v>786</v>
      </c>
      <c r="D162" t="s">
        <v>6932</v>
      </c>
      <c r="E162" t="s">
        <v>474</v>
      </c>
      <c r="F162" t="s">
        <v>786</v>
      </c>
      <c r="G162" t="s">
        <v>6932</v>
      </c>
    </row>
    <row r="163" spans="1:7">
      <c r="A163" t="s">
        <v>9726</v>
      </c>
      <c r="B163" t="s">
        <v>8532</v>
      </c>
      <c r="C163" t="s">
        <v>751</v>
      </c>
      <c r="D163" t="s">
        <v>6932</v>
      </c>
      <c r="E163" t="s">
        <v>8532</v>
      </c>
      <c r="F163" t="s">
        <v>751</v>
      </c>
      <c r="G163" t="s">
        <v>6932</v>
      </c>
    </row>
    <row r="164" spans="1:7">
      <c r="A164" t="s">
        <v>9727</v>
      </c>
      <c r="B164" t="s">
        <v>8532</v>
      </c>
      <c r="C164" t="s">
        <v>775</v>
      </c>
      <c r="D164" t="s">
        <v>6932</v>
      </c>
      <c r="E164" t="s">
        <v>8532</v>
      </c>
      <c r="F164" t="s">
        <v>775</v>
      </c>
      <c r="G164" t="s">
        <v>6932</v>
      </c>
    </row>
    <row r="165" spans="1:7">
      <c r="A165" t="s">
        <v>9728</v>
      </c>
      <c r="B165" t="s">
        <v>268</v>
      </c>
      <c r="C165" t="s">
        <v>9981</v>
      </c>
      <c r="D165" t="s">
        <v>10039</v>
      </c>
      <c r="E165" t="s">
        <v>268</v>
      </c>
      <c r="F165" t="s">
        <v>9981</v>
      </c>
      <c r="G165" t="s">
        <v>10039</v>
      </c>
    </row>
    <row r="166" spans="1:7">
      <c r="A166" t="s">
        <v>9729</v>
      </c>
      <c r="B166" t="s">
        <v>1000</v>
      </c>
      <c r="C166" t="s">
        <v>1438</v>
      </c>
      <c r="D166" t="s">
        <v>6932</v>
      </c>
      <c r="E166" t="s">
        <v>1000</v>
      </c>
      <c r="F166" t="s">
        <v>1438</v>
      </c>
      <c r="G166" t="s">
        <v>6932</v>
      </c>
    </row>
    <row r="167" spans="1:7">
      <c r="A167" t="s">
        <v>9730</v>
      </c>
      <c r="B167" t="s">
        <v>554</v>
      </c>
      <c r="C167" t="s">
        <v>536</v>
      </c>
      <c r="D167" t="s">
        <v>6932</v>
      </c>
      <c r="E167" t="s">
        <v>554</v>
      </c>
      <c r="F167" t="s">
        <v>536</v>
      </c>
      <c r="G167" t="s">
        <v>6932</v>
      </c>
    </row>
    <row r="168" spans="1:7">
      <c r="A168" t="s">
        <v>9731</v>
      </c>
      <c r="B168" t="s">
        <v>1016</v>
      </c>
      <c r="C168" t="s">
        <v>534</v>
      </c>
      <c r="D168" t="s">
        <v>6932</v>
      </c>
      <c r="E168" t="s">
        <v>1016</v>
      </c>
      <c r="F168" t="s">
        <v>534</v>
      </c>
      <c r="G168" t="s">
        <v>6932</v>
      </c>
    </row>
    <row r="169" spans="1:7">
      <c r="A169" t="s">
        <v>9732</v>
      </c>
      <c r="B169" t="s">
        <v>8599</v>
      </c>
      <c r="C169" t="s">
        <v>536</v>
      </c>
      <c r="D169" t="s">
        <v>6932</v>
      </c>
      <c r="E169" t="s">
        <v>8599</v>
      </c>
      <c r="F169" t="s">
        <v>536</v>
      </c>
      <c r="G169" t="s">
        <v>6932</v>
      </c>
    </row>
    <row r="170" spans="1:7">
      <c r="A170" t="s">
        <v>9733</v>
      </c>
      <c r="B170" t="s">
        <v>8601</v>
      </c>
      <c r="C170" t="s">
        <v>9997</v>
      </c>
      <c r="D170" t="s">
        <v>6932</v>
      </c>
      <c r="E170" t="s">
        <v>8601</v>
      </c>
      <c r="F170" t="s">
        <v>9997</v>
      </c>
      <c r="G170" t="s">
        <v>6932</v>
      </c>
    </row>
    <row r="171" spans="1:7">
      <c r="A171" t="s">
        <v>9734</v>
      </c>
      <c r="B171" t="s">
        <v>8601</v>
      </c>
      <c r="C171" t="s">
        <v>8035</v>
      </c>
      <c r="D171" t="s">
        <v>6932</v>
      </c>
      <c r="E171" t="s">
        <v>8601</v>
      </c>
      <c r="F171" t="s">
        <v>8035</v>
      </c>
      <c r="G171" t="s">
        <v>6932</v>
      </c>
    </row>
    <row r="172" spans="1:7">
      <c r="A172" t="s">
        <v>9735</v>
      </c>
      <c r="B172" t="s">
        <v>8605</v>
      </c>
      <c r="C172" t="s">
        <v>751</v>
      </c>
      <c r="D172" t="s">
        <v>6932</v>
      </c>
      <c r="E172" t="s">
        <v>8605</v>
      </c>
      <c r="F172" t="s">
        <v>751</v>
      </c>
      <c r="G172" t="s">
        <v>6932</v>
      </c>
    </row>
    <row r="173" spans="1:7">
      <c r="A173" t="s">
        <v>9736</v>
      </c>
      <c r="B173" t="s">
        <v>558</v>
      </c>
      <c r="C173" t="s">
        <v>763</v>
      </c>
      <c r="E173" t="s">
        <v>558</v>
      </c>
      <c r="F173" t="s">
        <v>763</v>
      </c>
    </row>
    <row r="174" spans="1:7">
      <c r="A174" t="s">
        <v>9737</v>
      </c>
      <c r="B174" t="s">
        <v>8728</v>
      </c>
      <c r="C174" t="s">
        <v>751</v>
      </c>
      <c r="D174" t="s">
        <v>6932</v>
      </c>
      <c r="E174" t="s">
        <v>8728</v>
      </c>
      <c r="F174" t="s">
        <v>751</v>
      </c>
      <c r="G174" t="s">
        <v>6932</v>
      </c>
    </row>
    <row r="175" spans="1:7">
      <c r="A175" t="s">
        <v>9738</v>
      </c>
      <c r="B175" t="s">
        <v>8728</v>
      </c>
      <c r="C175" t="s">
        <v>534</v>
      </c>
      <c r="D175" t="s">
        <v>6932</v>
      </c>
      <c r="E175" t="s">
        <v>8728</v>
      </c>
      <c r="F175" t="s">
        <v>534</v>
      </c>
      <c r="G175" t="s">
        <v>6932</v>
      </c>
    </row>
    <row r="176" spans="1:7">
      <c r="A176" t="s">
        <v>9739</v>
      </c>
      <c r="B176" t="s">
        <v>8728</v>
      </c>
      <c r="C176" t="s">
        <v>946</v>
      </c>
      <c r="D176" t="s">
        <v>6932</v>
      </c>
      <c r="E176" t="s">
        <v>8728</v>
      </c>
      <c r="F176" t="s">
        <v>946</v>
      </c>
      <c r="G176" t="s">
        <v>6932</v>
      </c>
    </row>
    <row r="177" spans="1:7">
      <c r="A177" t="s">
        <v>9740</v>
      </c>
      <c r="B177" t="s">
        <v>662</v>
      </c>
      <c r="C177" t="s">
        <v>561</v>
      </c>
      <c r="E177" t="s">
        <v>662</v>
      </c>
      <c r="F177" t="s">
        <v>561</v>
      </c>
    </row>
    <row r="178" spans="1:7">
      <c r="A178" t="s">
        <v>9741</v>
      </c>
      <c r="B178" t="s">
        <v>308</v>
      </c>
      <c r="C178" t="s">
        <v>534</v>
      </c>
      <c r="E178" t="s">
        <v>308</v>
      </c>
      <c r="F178" t="s">
        <v>534</v>
      </c>
    </row>
    <row r="179" spans="1:7">
      <c r="A179" t="s">
        <v>9742</v>
      </c>
      <c r="B179" t="s">
        <v>308</v>
      </c>
      <c r="C179" t="s">
        <v>846</v>
      </c>
      <c r="D179" t="s">
        <v>6932</v>
      </c>
      <c r="E179" t="s">
        <v>308</v>
      </c>
      <c r="F179" t="s">
        <v>846</v>
      </c>
      <c r="G179" t="s">
        <v>6932</v>
      </c>
    </row>
    <row r="180" spans="1:7">
      <c r="A180" t="s">
        <v>9743</v>
      </c>
      <c r="B180" t="s">
        <v>9998</v>
      </c>
      <c r="C180" t="s">
        <v>561</v>
      </c>
      <c r="D180" t="s">
        <v>6932</v>
      </c>
      <c r="E180" t="s">
        <v>9998</v>
      </c>
      <c r="F180" t="s">
        <v>561</v>
      </c>
      <c r="G180" t="s">
        <v>6932</v>
      </c>
    </row>
    <row r="181" spans="1:7">
      <c r="A181" t="s">
        <v>9744</v>
      </c>
      <c r="B181" t="s">
        <v>9998</v>
      </c>
      <c r="C181" t="s">
        <v>913</v>
      </c>
      <c r="D181" t="s">
        <v>6932</v>
      </c>
      <c r="E181" t="s">
        <v>9998</v>
      </c>
      <c r="F181" t="s">
        <v>913</v>
      </c>
      <c r="G181" t="s">
        <v>6932</v>
      </c>
    </row>
    <row r="182" spans="1:7">
      <c r="A182" t="s">
        <v>9745</v>
      </c>
      <c r="B182" t="s">
        <v>634</v>
      </c>
      <c r="C182" t="s">
        <v>561</v>
      </c>
      <c r="D182" t="s">
        <v>6932</v>
      </c>
      <c r="E182" t="s">
        <v>634</v>
      </c>
      <c r="F182" t="s">
        <v>561</v>
      </c>
      <c r="G182" t="s">
        <v>6932</v>
      </c>
    </row>
    <row r="183" spans="1:7">
      <c r="A183" t="s">
        <v>9746</v>
      </c>
      <c r="B183" t="s">
        <v>634</v>
      </c>
      <c r="C183" t="s">
        <v>846</v>
      </c>
      <c r="D183" t="s">
        <v>6932</v>
      </c>
      <c r="E183" t="s">
        <v>634</v>
      </c>
      <c r="F183" t="s">
        <v>846</v>
      </c>
      <c r="G183" t="s">
        <v>6932</v>
      </c>
    </row>
    <row r="184" spans="1:7">
      <c r="A184" t="s">
        <v>9747</v>
      </c>
      <c r="B184" t="s">
        <v>634</v>
      </c>
      <c r="C184" t="s">
        <v>7388</v>
      </c>
      <c r="E184" t="s">
        <v>634</v>
      </c>
      <c r="F184" t="s">
        <v>7388</v>
      </c>
    </row>
    <row r="185" spans="1:7">
      <c r="A185" t="s">
        <v>9748</v>
      </c>
      <c r="B185" t="e" vm="2">
        <v>#VALUE!</v>
      </c>
      <c r="E185" t="e" vm="2">
        <v>#VALUE!</v>
      </c>
    </row>
    <row r="186" spans="1:7">
      <c r="A186" t="s">
        <v>9749</v>
      </c>
      <c r="B186" t="s">
        <v>8674</v>
      </c>
      <c r="C186" t="s">
        <v>777</v>
      </c>
      <c r="D186" t="s">
        <v>6932</v>
      </c>
      <c r="E186" t="s">
        <v>8674</v>
      </c>
      <c r="F186" t="s">
        <v>777</v>
      </c>
      <c r="G186" t="s">
        <v>6932</v>
      </c>
    </row>
    <row r="187" spans="1:7">
      <c r="A187" t="s">
        <v>9750</v>
      </c>
      <c r="B187" t="s">
        <v>8674</v>
      </c>
      <c r="C187" t="s">
        <v>9999</v>
      </c>
      <c r="D187" t="s">
        <v>6932</v>
      </c>
      <c r="E187" t="s">
        <v>8674</v>
      </c>
      <c r="F187" t="s">
        <v>9999</v>
      </c>
      <c r="G187" t="s">
        <v>6932</v>
      </c>
    </row>
    <row r="188" spans="1:7">
      <c r="A188" t="s">
        <v>9751</v>
      </c>
      <c r="B188" t="s">
        <v>653</v>
      </c>
      <c r="C188" t="s">
        <v>842</v>
      </c>
      <c r="D188" t="s">
        <v>6932</v>
      </c>
      <c r="E188" t="s">
        <v>653</v>
      </c>
      <c r="F188" t="s">
        <v>842</v>
      </c>
      <c r="G188" t="s">
        <v>6932</v>
      </c>
    </row>
    <row r="189" spans="1:7">
      <c r="A189" t="s">
        <v>9752</v>
      </c>
      <c r="B189" t="s">
        <v>332</v>
      </c>
      <c r="C189" t="s">
        <v>1438</v>
      </c>
      <c r="D189" t="s">
        <v>2000</v>
      </c>
      <c r="E189" t="s">
        <v>332</v>
      </c>
      <c r="F189" t="s">
        <v>1438</v>
      </c>
      <c r="G189" t="s">
        <v>2000</v>
      </c>
    </row>
    <row r="190" spans="1:7">
      <c r="A190" t="s">
        <v>9753</v>
      </c>
      <c r="B190" t="s">
        <v>8770</v>
      </c>
      <c r="C190" t="s">
        <v>842</v>
      </c>
      <c r="D190" t="s">
        <v>6932</v>
      </c>
      <c r="E190" t="s">
        <v>8770</v>
      </c>
      <c r="F190" t="s">
        <v>842</v>
      </c>
      <c r="G190" t="s">
        <v>6932</v>
      </c>
    </row>
    <row r="191" spans="1:7">
      <c r="A191" t="s">
        <v>9754</v>
      </c>
      <c r="B191" t="s">
        <v>8770</v>
      </c>
      <c r="C191" t="s">
        <v>536</v>
      </c>
      <c r="D191" t="s">
        <v>6932</v>
      </c>
      <c r="E191" t="s">
        <v>8770</v>
      </c>
      <c r="F191" t="s">
        <v>536</v>
      </c>
      <c r="G191" t="s">
        <v>6932</v>
      </c>
    </row>
    <row r="192" spans="1:7">
      <c r="A192" t="s">
        <v>9755</v>
      </c>
      <c r="B192" t="s">
        <v>8480</v>
      </c>
      <c r="C192" t="s">
        <v>6500</v>
      </c>
      <c r="D192" t="s">
        <v>6932</v>
      </c>
      <c r="E192" t="s">
        <v>8480</v>
      </c>
      <c r="F192" t="s">
        <v>6500</v>
      </c>
      <c r="G192" t="s">
        <v>6932</v>
      </c>
    </row>
    <row r="193" spans="1:7">
      <c r="A193" t="s">
        <v>9756</v>
      </c>
      <c r="B193" t="s">
        <v>8480</v>
      </c>
      <c r="C193" t="s">
        <v>534</v>
      </c>
      <c r="D193" t="s">
        <v>6932</v>
      </c>
      <c r="E193" t="s">
        <v>8480</v>
      </c>
      <c r="F193" t="s">
        <v>534</v>
      </c>
      <c r="G193" t="s">
        <v>6932</v>
      </c>
    </row>
    <row r="194" spans="1:7">
      <c r="A194" t="s">
        <v>9757</v>
      </c>
      <c r="B194" t="s">
        <v>113</v>
      </c>
      <c r="C194" t="s">
        <v>5366</v>
      </c>
      <c r="E194" t="s">
        <v>113</v>
      </c>
      <c r="F194" t="s">
        <v>5366</v>
      </c>
    </row>
    <row r="195" spans="1:7">
      <c r="A195" t="s">
        <v>9758</v>
      </c>
      <c r="B195" t="s">
        <v>627</v>
      </c>
      <c r="C195" t="s">
        <v>8070</v>
      </c>
      <c r="E195" t="s">
        <v>627</v>
      </c>
      <c r="F195" t="s">
        <v>8070</v>
      </c>
    </row>
    <row r="196" spans="1:7">
      <c r="A196" t="s">
        <v>9759</v>
      </c>
      <c r="B196" t="s">
        <v>627</v>
      </c>
      <c r="C196" t="s">
        <v>536</v>
      </c>
      <c r="E196" t="s">
        <v>627</v>
      </c>
      <c r="F196" t="s">
        <v>536</v>
      </c>
    </row>
    <row r="197" spans="1:7">
      <c r="A197" t="s">
        <v>5286</v>
      </c>
      <c r="B197" t="s">
        <v>271</v>
      </c>
      <c r="C197" t="s">
        <v>992</v>
      </c>
      <c r="E197" t="s">
        <v>271</v>
      </c>
      <c r="F197" t="s">
        <v>992</v>
      </c>
    </row>
    <row r="198" spans="1:7">
      <c r="A198" t="s">
        <v>9760</v>
      </c>
      <c r="B198" t="s">
        <v>334</v>
      </c>
      <c r="C198" t="s">
        <v>777</v>
      </c>
      <c r="E198" t="s">
        <v>334</v>
      </c>
      <c r="F198" t="s">
        <v>777</v>
      </c>
    </row>
    <row r="199" spans="1:7">
      <c r="A199" t="s">
        <v>9761</v>
      </c>
      <c r="B199" t="s">
        <v>8830</v>
      </c>
      <c r="C199" t="s">
        <v>948</v>
      </c>
      <c r="D199" t="s">
        <v>6932</v>
      </c>
      <c r="E199" t="s">
        <v>8830</v>
      </c>
      <c r="F199" t="s">
        <v>948</v>
      </c>
      <c r="G199" t="s">
        <v>6932</v>
      </c>
    </row>
    <row r="200" spans="1:7">
      <c r="A200" t="s">
        <v>9762</v>
      </c>
      <c r="B200" t="s">
        <v>8830</v>
      </c>
      <c r="C200" t="s">
        <v>886</v>
      </c>
      <c r="D200" t="s">
        <v>6932</v>
      </c>
      <c r="E200" t="s">
        <v>8830</v>
      </c>
      <c r="F200" t="s">
        <v>886</v>
      </c>
      <c r="G200" t="s">
        <v>6932</v>
      </c>
    </row>
    <row r="201" spans="1:7">
      <c r="A201" t="s">
        <v>9763</v>
      </c>
      <c r="B201" t="s">
        <v>428</v>
      </c>
      <c r="C201" t="s">
        <v>763</v>
      </c>
      <c r="D201" t="s">
        <v>6932</v>
      </c>
      <c r="E201" t="s">
        <v>428</v>
      </c>
      <c r="F201" t="s">
        <v>763</v>
      </c>
      <c r="G201" t="s">
        <v>6932</v>
      </c>
    </row>
    <row r="202" spans="1:7">
      <c r="A202" t="s">
        <v>9764</v>
      </c>
      <c r="B202" t="s">
        <v>428</v>
      </c>
      <c r="C202" t="s">
        <v>842</v>
      </c>
      <c r="D202" t="s">
        <v>6932</v>
      </c>
      <c r="E202" t="s">
        <v>428</v>
      </c>
      <c r="F202" t="s">
        <v>842</v>
      </c>
      <c r="G202" t="s">
        <v>6932</v>
      </c>
    </row>
    <row r="203" spans="1:7">
      <c r="A203" t="s">
        <v>9765</v>
      </c>
      <c r="B203" t="s">
        <v>428</v>
      </c>
      <c r="C203" t="s">
        <v>1438</v>
      </c>
      <c r="D203" t="s">
        <v>6932</v>
      </c>
      <c r="E203" t="s">
        <v>428</v>
      </c>
      <c r="F203" t="s">
        <v>1438</v>
      </c>
      <c r="G203" t="s">
        <v>6932</v>
      </c>
    </row>
    <row r="204" spans="1:7">
      <c r="A204" t="s">
        <v>1017</v>
      </c>
      <c r="B204" t="s">
        <v>273</v>
      </c>
      <c r="C204" t="s">
        <v>873</v>
      </c>
      <c r="E204" t="s">
        <v>273</v>
      </c>
      <c r="F204" t="s">
        <v>873</v>
      </c>
    </row>
    <row r="205" spans="1:7">
      <c r="A205" t="s">
        <v>9766</v>
      </c>
      <c r="B205" t="s">
        <v>273</v>
      </c>
      <c r="C205" t="s">
        <v>10026</v>
      </c>
      <c r="E205" t="s">
        <v>273</v>
      </c>
      <c r="F205" t="s">
        <v>10026</v>
      </c>
    </row>
    <row r="206" spans="1:7">
      <c r="A206" t="s">
        <v>9767</v>
      </c>
      <c r="B206" t="s">
        <v>273</v>
      </c>
      <c r="C206" t="s">
        <v>898</v>
      </c>
      <c r="E206" t="s">
        <v>273</v>
      </c>
      <c r="F206" t="s">
        <v>898</v>
      </c>
    </row>
    <row r="207" spans="1:7">
      <c r="A207" t="s">
        <v>9768</v>
      </c>
      <c r="B207" t="s">
        <v>273</v>
      </c>
      <c r="C207" t="s">
        <v>994</v>
      </c>
      <c r="D207" t="s">
        <v>6932</v>
      </c>
      <c r="E207" t="s">
        <v>273</v>
      </c>
      <c r="F207" t="s">
        <v>994</v>
      </c>
      <c r="G207" t="s">
        <v>6932</v>
      </c>
    </row>
    <row r="208" spans="1:7">
      <c r="A208" t="s">
        <v>9769</v>
      </c>
      <c r="B208" t="s">
        <v>7730</v>
      </c>
      <c r="C208" t="s">
        <v>536</v>
      </c>
      <c r="D208" t="s">
        <v>6932</v>
      </c>
      <c r="E208" t="s">
        <v>7730</v>
      </c>
      <c r="F208" t="s">
        <v>536</v>
      </c>
      <c r="G208" t="s">
        <v>6932</v>
      </c>
    </row>
    <row r="209" spans="1:7">
      <c r="A209" t="s">
        <v>9770</v>
      </c>
      <c r="B209" t="s">
        <v>511</v>
      </c>
      <c r="C209" t="s">
        <v>561</v>
      </c>
      <c r="D209" t="s">
        <v>6932</v>
      </c>
      <c r="E209" t="s">
        <v>511</v>
      </c>
      <c r="F209" t="s">
        <v>561</v>
      </c>
      <c r="G209" t="s">
        <v>6932</v>
      </c>
    </row>
    <row r="210" spans="1:7">
      <c r="A210" t="s">
        <v>2017</v>
      </c>
      <c r="B210" t="s">
        <v>274</v>
      </c>
      <c r="C210" t="s">
        <v>1438</v>
      </c>
      <c r="E210" t="s">
        <v>274</v>
      </c>
      <c r="F210" t="s">
        <v>1438</v>
      </c>
    </row>
    <row r="211" spans="1:7">
      <c r="A211" t="s">
        <v>9771</v>
      </c>
      <c r="B211" t="s">
        <v>274</v>
      </c>
      <c r="C211" t="s">
        <v>10000</v>
      </c>
      <c r="E211" t="s">
        <v>274</v>
      </c>
      <c r="F211" t="s">
        <v>10000</v>
      </c>
    </row>
    <row r="212" spans="1:7">
      <c r="A212" t="s">
        <v>9772</v>
      </c>
      <c r="B212" t="s">
        <v>10001</v>
      </c>
      <c r="C212" t="s">
        <v>1438</v>
      </c>
      <c r="D212" t="s">
        <v>6932</v>
      </c>
      <c r="E212" t="s">
        <v>10001</v>
      </c>
      <c r="F212" t="s">
        <v>1438</v>
      </c>
      <c r="G212" t="s">
        <v>6932</v>
      </c>
    </row>
    <row r="213" spans="1:7">
      <c r="A213" t="s">
        <v>9774</v>
      </c>
      <c r="B213" t="s">
        <v>475</v>
      </c>
      <c r="C213" t="s">
        <v>9981</v>
      </c>
      <c r="D213" t="s">
        <v>10039</v>
      </c>
      <c r="E213" t="s">
        <v>475</v>
      </c>
      <c r="F213" t="s">
        <v>9981</v>
      </c>
      <c r="G213" t="s">
        <v>10039</v>
      </c>
    </row>
    <row r="214" spans="1:7">
      <c r="A214" t="s">
        <v>9775</v>
      </c>
      <c r="B214" t="s">
        <v>277</v>
      </c>
      <c r="C214" t="s">
        <v>775</v>
      </c>
      <c r="E214" t="s">
        <v>277</v>
      </c>
      <c r="F214" t="s">
        <v>775</v>
      </c>
    </row>
    <row r="215" spans="1:7">
      <c r="A215" t="s">
        <v>9776</v>
      </c>
      <c r="B215" t="s">
        <v>1817</v>
      </c>
      <c r="C215" t="s">
        <v>536</v>
      </c>
      <c r="D215" t="s">
        <v>6932</v>
      </c>
      <c r="E215" t="s">
        <v>1817</v>
      </c>
      <c r="F215" t="s">
        <v>536</v>
      </c>
      <c r="G215" t="s">
        <v>6932</v>
      </c>
    </row>
    <row r="216" spans="1:7">
      <c r="A216" t="s">
        <v>9777</v>
      </c>
      <c r="B216" t="s">
        <v>431</v>
      </c>
      <c r="C216" t="s">
        <v>10002</v>
      </c>
      <c r="D216" t="s">
        <v>6932</v>
      </c>
      <c r="E216" t="s">
        <v>431</v>
      </c>
      <c r="F216" t="s">
        <v>10002</v>
      </c>
      <c r="G216" t="s">
        <v>6932</v>
      </c>
    </row>
    <row r="217" spans="1:7">
      <c r="A217" t="s">
        <v>9778</v>
      </c>
      <c r="B217" t="s">
        <v>431</v>
      </c>
      <c r="C217" t="s">
        <v>534</v>
      </c>
      <c r="E217" t="s">
        <v>431</v>
      </c>
      <c r="F217" t="s">
        <v>534</v>
      </c>
    </row>
    <row r="218" spans="1:7">
      <c r="A218" t="s">
        <v>9779</v>
      </c>
      <c r="B218" t="s">
        <v>431</v>
      </c>
      <c r="C218" t="s">
        <v>776</v>
      </c>
      <c r="E218" t="s">
        <v>431</v>
      </c>
      <c r="F218" t="s">
        <v>776</v>
      </c>
    </row>
    <row r="219" spans="1:7">
      <c r="A219" t="s">
        <v>9780</v>
      </c>
      <c r="B219" t="s">
        <v>7238</v>
      </c>
      <c r="C219" t="s">
        <v>534</v>
      </c>
      <c r="D219" t="s">
        <v>6932</v>
      </c>
      <c r="E219" t="s">
        <v>7238</v>
      </c>
      <c r="F219" t="s">
        <v>534</v>
      </c>
      <c r="G219" t="s">
        <v>6932</v>
      </c>
    </row>
    <row r="220" spans="1:7">
      <c r="A220" t="s">
        <v>9781</v>
      </c>
      <c r="B220" t="s">
        <v>8947</v>
      </c>
      <c r="C220" t="s">
        <v>536</v>
      </c>
      <c r="D220" t="s">
        <v>6932</v>
      </c>
      <c r="E220" t="s">
        <v>8947</v>
      </c>
      <c r="F220" t="s">
        <v>536</v>
      </c>
      <c r="G220" t="s">
        <v>6932</v>
      </c>
    </row>
    <row r="221" spans="1:7">
      <c r="A221" t="s">
        <v>9782</v>
      </c>
      <c r="B221" t="s">
        <v>8947</v>
      </c>
      <c r="C221" t="s">
        <v>7388</v>
      </c>
      <c r="D221" t="s">
        <v>6932</v>
      </c>
      <c r="E221" t="s">
        <v>8947</v>
      </c>
      <c r="F221" t="s">
        <v>7388</v>
      </c>
      <c r="G221" t="s">
        <v>6932</v>
      </c>
    </row>
    <row r="222" spans="1:7">
      <c r="A222" t="s">
        <v>9783</v>
      </c>
      <c r="B222" t="s">
        <v>6589</v>
      </c>
      <c r="C222" t="s">
        <v>536</v>
      </c>
      <c r="D222" t="s">
        <v>6932</v>
      </c>
      <c r="E222" t="s">
        <v>6589</v>
      </c>
      <c r="F222" t="s">
        <v>536</v>
      </c>
      <c r="G222" t="s">
        <v>6932</v>
      </c>
    </row>
    <row r="223" spans="1:7">
      <c r="A223" t="s">
        <v>9785</v>
      </c>
      <c r="B223" t="s">
        <v>10003</v>
      </c>
      <c r="C223" t="s">
        <v>1438</v>
      </c>
      <c r="D223" t="s">
        <v>6932</v>
      </c>
      <c r="E223" t="s">
        <v>10003</v>
      </c>
      <c r="F223" t="s">
        <v>1438</v>
      </c>
      <c r="G223" t="s">
        <v>6932</v>
      </c>
    </row>
    <row r="224" spans="1:7">
      <c r="A224" t="s">
        <v>9786</v>
      </c>
      <c r="B224" t="s">
        <v>666</v>
      </c>
      <c r="C224" t="s">
        <v>1438</v>
      </c>
      <c r="E224" t="s">
        <v>666</v>
      </c>
      <c r="F224" t="s">
        <v>1438</v>
      </c>
    </row>
    <row r="225" spans="1:7">
      <c r="A225" t="s">
        <v>9787</v>
      </c>
      <c r="B225" t="s">
        <v>477</v>
      </c>
      <c r="C225" t="s">
        <v>561</v>
      </c>
      <c r="D225" t="s">
        <v>6932</v>
      </c>
      <c r="E225" t="s">
        <v>477</v>
      </c>
      <c r="F225" t="s">
        <v>561</v>
      </c>
      <c r="G225" t="s">
        <v>6932</v>
      </c>
    </row>
    <row r="226" spans="1:7">
      <c r="A226" t="s">
        <v>9788</v>
      </c>
      <c r="B226" t="s">
        <v>477</v>
      </c>
      <c r="C226" t="s">
        <v>534</v>
      </c>
      <c r="E226" t="s">
        <v>477</v>
      </c>
      <c r="F226" t="s">
        <v>534</v>
      </c>
    </row>
    <row r="227" spans="1:7">
      <c r="A227" t="s">
        <v>9789</v>
      </c>
      <c r="B227" t="s">
        <v>135</v>
      </c>
      <c r="C227" t="s">
        <v>765</v>
      </c>
      <c r="D227" t="s">
        <v>6932</v>
      </c>
      <c r="E227" t="s">
        <v>135</v>
      </c>
      <c r="F227" t="s">
        <v>765</v>
      </c>
      <c r="G227" t="s">
        <v>6932</v>
      </c>
    </row>
    <row r="228" spans="1:7">
      <c r="A228" t="s">
        <v>9790</v>
      </c>
      <c r="B228" t="s">
        <v>136</v>
      </c>
      <c r="C228" t="s">
        <v>534</v>
      </c>
      <c r="D228" t="s">
        <v>6932</v>
      </c>
      <c r="E228" t="s">
        <v>136</v>
      </c>
      <c r="F228" t="s">
        <v>534</v>
      </c>
      <c r="G228" t="s">
        <v>6932</v>
      </c>
    </row>
    <row r="229" spans="1:7">
      <c r="A229" t="s">
        <v>9791</v>
      </c>
      <c r="B229" t="s">
        <v>506</v>
      </c>
      <c r="C229" t="s">
        <v>1438</v>
      </c>
      <c r="E229" t="s">
        <v>506</v>
      </c>
      <c r="F229" t="s">
        <v>1438</v>
      </c>
    </row>
    <row r="230" spans="1:7">
      <c r="A230" t="s">
        <v>9792</v>
      </c>
      <c r="B230" t="s">
        <v>506</v>
      </c>
      <c r="C230" t="s">
        <v>776</v>
      </c>
      <c r="E230" t="s">
        <v>506</v>
      </c>
      <c r="F230" t="s">
        <v>776</v>
      </c>
    </row>
    <row r="231" spans="1:7">
      <c r="A231" t="s">
        <v>9793</v>
      </c>
      <c r="B231" t="s">
        <v>436</v>
      </c>
      <c r="C231" t="s">
        <v>842</v>
      </c>
      <c r="D231" t="s">
        <v>6932</v>
      </c>
      <c r="E231" t="s">
        <v>436</v>
      </c>
      <c r="F231" t="s">
        <v>842</v>
      </c>
      <c r="G231" t="s">
        <v>6932</v>
      </c>
    </row>
    <row r="232" spans="1:7">
      <c r="A232" t="s">
        <v>9794</v>
      </c>
      <c r="B232" t="s">
        <v>436</v>
      </c>
      <c r="C232" t="s">
        <v>534</v>
      </c>
      <c r="D232" t="s">
        <v>6932</v>
      </c>
      <c r="E232" t="s">
        <v>436</v>
      </c>
      <c r="F232" t="s">
        <v>534</v>
      </c>
      <c r="G232" t="s">
        <v>6932</v>
      </c>
    </row>
    <row r="233" spans="1:7">
      <c r="B233" t="e">
        <v>#VALUE!</v>
      </c>
      <c r="E233" t="e">
        <v>#VALUE!</v>
      </c>
    </row>
    <row r="234" spans="1:7">
      <c r="A234" t="s">
        <v>9795</v>
      </c>
      <c r="B234" t="s">
        <v>613</v>
      </c>
      <c r="C234" t="s">
        <v>799</v>
      </c>
      <c r="E234" t="s">
        <v>613</v>
      </c>
      <c r="F234" t="s">
        <v>799</v>
      </c>
    </row>
    <row r="235" spans="1:7">
      <c r="A235" t="s">
        <v>9796</v>
      </c>
      <c r="B235" t="s">
        <v>613</v>
      </c>
      <c r="C235" t="s">
        <v>863</v>
      </c>
      <c r="E235" t="s">
        <v>613</v>
      </c>
      <c r="F235" t="s">
        <v>863</v>
      </c>
    </row>
    <row r="236" spans="1:7">
      <c r="A236" t="s">
        <v>9797</v>
      </c>
      <c r="B236" t="s">
        <v>613</v>
      </c>
      <c r="C236" t="s">
        <v>10027</v>
      </c>
      <c r="E236" t="s">
        <v>613</v>
      </c>
      <c r="F236" t="s">
        <v>10027</v>
      </c>
    </row>
    <row r="237" spans="1:7">
      <c r="A237" t="s">
        <v>9798</v>
      </c>
      <c r="B237" t="s">
        <v>613</v>
      </c>
      <c r="C237" t="s">
        <v>775</v>
      </c>
      <c r="E237" t="s">
        <v>613</v>
      </c>
      <c r="F237" t="s">
        <v>775</v>
      </c>
    </row>
    <row r="238" spans="1:7">
      <c r="A238" t="s">
        <v>9799</v>
      </c>
      <c r="B238" t="s">
        <v>613</v>
      </c>
      <c r="C238" t="s">
        <v>994</v>
      </c>
      <c r="E238" t="s">
        <v>613</v>
      </c>
      <c r="F238" t="s">
        <v>994</v>
      </c>
    </row>
    <row r="239" spans="1:7">
      <c r="A239" t="s">
        <v>9800</v>
      </c>
      <c r="B239" t="s">
        <v>613</v>
      </c>
      <c r="C239" t="s">
        <v>6364</v>
      </c>
      <c r="E239" t="s">
        <v>613</v>
      </c>
      <c r="F239" t="s">
        <v>6364</v>
      </c>
    </row>
    <row r="240" spans="1:7">
      <c r="A240" t="s">
        <v>9801</v>
      </c>
      <c r="B240" t="s">
        <v>655</v>
      </c>
      <c r="C240" t="s">
        <v>786</v>
      </c>
      <c r="D240" t="s">
        <v>6932</v>
      </c>
      <c r="E240" t="s">
        <v>655</v>
      </c>
      <c r="F240" t="s">
        <v>786</v>
      </c>
      <c r="G240" t="s">
        <v>6932</v>
      </c>
    </row>
    <row r="241" spans="1:7">
      <c r="A241" t="s">
        <v>9802</v>
      </c>
      <c r="B241" t="s">
        <v>141</v>
      </c>
      <c r="C241" t="s">
        <v>536</v>
      </c>
      <c r="E241" t="s">
        <v>141</v>
      </c>
      <c r="F241" t="s">
        <v>536</v>
      </c>
    </row>
    <row r="242" spans="1:7">
      <c r="A242" t="s">
        <v>9803</v>
      </c>
      <c r="B242" t="s">
        <v>280</v>
      </c>
      <c r="C242" t="s">
        <v>535</v>
      </c>
      <c r="D242" t="s">
        <v>6932</v>
      </c>
      <c r="E242" t="s">
        <v>280</v>
      </c>
      <c r="F242" t="s">
        <v>535</v>
      </c>
      <c r="G242" t="s">
        <v>6932</v>
      </c>
    </row>
    <row r="243" spans="1:7">
      <c r="A243" t="s">
        <v>9804</v>
      </c>
      <c r="B243" t="s">
        <v>143</v>
      </c>
      <c r="C243" t="s">
        <v>10004</v>
      </c>
      <c r="D243" t="s">
        <v>6932</v>
      </c>
      <c r="E243" t="s">
        <v>143</v>
      </c>
      <c r="F243" t="s">
        <v>10004</v>
      </c>
      <c r="G243" t="s">
        <v>6932</v>
      </c>
    </row>
    <row r="244" spans="1:7">
      <c r="A244" t="s">
        <v>9805</v>
      </c>
      <c r="B244" t="s">
        <v>145</v>
      </c>
      <c r="C244" t="s">
        <v>536</v>
      </c>
      <c r="D244" t="s">
        <v>6932</v>
      </c>
      <c r="E244" t="s">
        <v>145</v>
      </c>
      <c r="F244" t="s">
        <v>536</v>
      </c>
      <c r="G244" t="s">
        <v>6932</v>
      </c>
    </row>
    <row r="245" spans="1:7">
      <c r="A245" t="s">
        <v>9806</v>
      </c>
      <c r="B245" t="s">
        <v>145</v>
      </c>
      <c r="C245" t="s">
        <v>561</v>
      </c>
      <c r="D245" t="s">
        <v>801</v>
      </c>
      <c r="E245" t="s">
        <v>145</v>
      </c>
      <c r="F245" t="s">
        <v>561</v>
      </c>
      <c r="G245" t="s">
        <v>801</v>
      </c>
    </row>
    <row r="246" spans="1:7">
      <c r="A246" t="s">
        <v>9807</v>
      </c>
      <c r="B246" t="s">
        <v>614</v>
      </c>
      <c r="C246" t="s">
        <v>788</v>
      </c>
      <c r="E246" t="s">
        <v>614</v>
      </c>
      <c r="F246" t="s">
        <v>788</v>
      </c>
    </row>
    <row r="247" spans="1:7">
      <c r="A247" t="s">
        <v>9808</v>
      </c>
      <c r="B247" t="s">
        <v>507</v>
      </c>
      <c r="C247" t="s">
        <v>1019</v>
      </c>
      <c r="D247" t="s">
        <v>801</v>
      </c>
      <c r="E247" t="s">
        <v>507</v>
      </c>
      <c r="F247" t="s">
        <v>1019</v>
      </c>
      <c r="G247" t="s">
        <v>801</v>
      </c>
    </row>
    <row r="248" spans="1:7">
      <c r="A248" t="s">
        <v>9809</v>
      </c>
      <c r="B248" t="s">
        <v>312</v>
      </c>
      <c r="C248" t="s">
        <v>10005</v>
      </c>
      <c r="D248" t="s">
        <v>6932</v>
      </c>
      <c r="E248" t="s">
        <v>312</v>
      </c>
      <c r="F248" t="s">
        <v>10005</v>
      </c>
      <c r="G248" t="s">
        <v>6932</v>
      </c>
    </row>
    <row r="249" spans="1:7">
      <c r="A249" t="s">
        <v>9810</v>
      </c>
      <c r="B249" t="s">
        <v>10006</v>
      </c>
      <c r="C249" t="s">
        <v>788</v>
      </c>
      <c r="E249" t="s">
        <v>10006</v>
      </c>
      <c r="F249" t="s">
        <v>788</v>
      </c>
    </row>
    <row r="250" spans="1:7">
      <c r="A250" t="s">
        <v>9811</v>
      </c>
      <c r="B250" t="s">
        <v>10007</v>
      </c>
      <c r="C250" t="s">
        <v>1438</v>
      </c>
      <c r="E250" t="s">
        <v>10007</v>
      </c>
      <c r="F250" t="s">
        <v>1438</v>
      </c>
    </row>
    <row r="251" spans="1:7">
      <c r="A251" t="s">
        <v>9812</v>
      </c>
      <c r="B251" t="s">
        <v>6614</v>
      </c>
      <c r="C251" t="s">
        <v>751</v>
      </c>
      <c r="E251" t="s">
        <v>6614</v>
      </c>
      <c r="F251" t="s">
        <v>751</v>
      </c>
    </row>
    <row r="252" spans="1:7">
      <c r="A252" t="s">
        <v>9813</v>
      </c>
      <c r="B252" t="s">
        <v>9136</v>
      </c>
      <c r="C252" t="s">
        <v>9139</v>
      </c>
      <c r="D252" t="s">
        <v>6932</v>
      </c>
      <c r="E252" t="s">
        <v>9136</v>
      </c>
      <c r="F252" t="s">
        <v>9139</v>
      </c>
      <c r="G252" t="s">
        <v>6932</v>
      </c>
    </row>
    <row r="253" spans="1:7">
      <c r="A253" t="s">
        <v>9816</v>
      </c>
      <c r="B253" t="s">
        <v>337</v>
      </c>
      <c r="C253" t="s">
        <v>895</v>
      </c>
      <c r="D253" t="s">
        <v>6932</v>
      </c>
      <c r="E253" t="s">
        <v>337</v>
      </c>
      <c r="F253" t="s">
        <v>895</v>
      </c>
      <c r="G253" t="s">
        <v>6932</v>
      </c>
    </row>
    <row r="254" spans="1:7">
      <c r="A254" t="s">
        <v>9817</v>
      </c>
      <c r="B254" t="s">
        <v>337</v>
      </c>
      <c r="C254" t="s">
        <v>786</v>
      </c>
      <c r="D254" t="s">
        <v>6932</v>
      </c>
      <c r="E254" t="s">
        <v>337</v>
      </c>
      <c r="F254" t="s">
        <v>786</v>
      </c>
      <c r="G254" t="s">
        <v>6932</v>
      </c>
    </row>
    <row r="255" spans="1:7">
      <c r="A255" t="s">
        <v>9818</v>
      </c>
      <c r="B255" t="s">
        <v>575</v>
      </c>
      <c r="C255" t="s">
        <v>536</v>
      </c>
      <c r="D255" t="s">
        <v>6932</v>
      </c>
      <c r="E255" t="s">
        <v>575</v>
      </c>
      <c r="F255" t="s">
        <v>536</v>
      </c>
      <c r="G255" t="s">
        <v>6932</v>
      </c>
    </row>
    <row r="256" spans="1:7">
      <c r="A256" t="s">
        <v>9819</v>
      </c>
      <c r="B256" t="s">
        <v>575</v>
      </c>
      <c r="C256" t="s">
        <v>534</v>
      </c>
      <c r="D256" t="s">
        <v>6932</v>
      </c>
      <c r="E256" t="s">
        <v>575</v>
      </c>
      <c r="F256" t="s">
        <v>534</v>
      </c>
      <c r="G256" t="s">
        <v>6932</v>
      </c>
    </row>
    <row r="257" spans="1:7">
      <c r="A257" t="s">
        <v>9820</v>
      </c>
      <c r="B257" t="s">
        <v>812</v>
      </c>
      <c r="C257" t="s">
        <v>842</v>
      </c>
      <c r="D257" t="s">
        <v>6932</v>
      </c>
      <c r="E257" t="s">
        <v>812</v>
      </c>
      <c r="F257" t="s">
        <v>842</v>
      </c>
      <c r="G257" t="s">
        <v>6932</v>
      </c>
    </row>
    <row r="258" spans="1:7">
      <c r="A258" t="s">
        <v>9821</v>
      </c>
      <c r="B258" t="s">
        <v>812</v>
      </c>
      <c r="C258" t="s">
        <v>1438</v>
      </c>
      <c r="D258" t="s">
        <v>6932</v>
      </c>
      <c r="E258" t="s">
        <v>812</v>
      </c>
      <c r="F258" t="s">
        <v>1438</v>
      </c>
      <c r="G258" t="s">
        <v>6932</v>
      </c>
    </row>
    <row r="259" spans="1:7">
      <c r="A259" t="s">
        <v>9822</v>
      </c>
      <c r="B259" t="s">
        <v>812</v>
      </c>
      <c r="C259" t="s">
        <v>777</v>
      </c>
      <c r="D259" t="s">
        <v>6932</v>
      </c>
      <c r="E259" t="s">
        <v>812</v>
      </c>
      <c r="F259" t="s">
        <v>777</v>
      </c>
      <c r="G259" t="s">
        <v>6932</v>
      </c>
    </row>
    <row r="260" spans="1:7">
      <c r="A260" t="s">
        <v>9823</v>
      </c>
      <c r="B260" t="s">
        <v>812</v>
      </c>
      <c r="C260" t="s">
        <v>534</v>
      </c>
      <c r="D260" t="s">
        <v>6932</v>
      </c>
      <c r="E260" t="s">
        <v>812</v>
      </c>
      <c r="F260" t="s">
        <v>534</v>
      </c>
      <c r="G260" t="s">
        <v>6932</v>
      </c>
    </row>
    <row r="261" spans="1:7">
      <c r="A261" t="s">
        <v>9824</v>
      </c>
      <c r="B261" t="s">
        <v>153</v>
      </c>
      <c r="C261" t="s">
        <v>1438</v>
      </c>
      <c r="D261" t="s">
        <v>6932</v>
      </c>
      <c r="E261" t="s">
        <v>153</v>
      </c>
      <c r="F261" t="s">
        <v>1438</v>
      </c>
      <c r="G261" t="s">
        <v>6932</v>
      </c>
    </row>
    <row r="262" spans="1:7">
      <c r="A262" t="s">
        <v>9825</v>
      </c>
      <c r="B262" t="s">
        <v>377</v>
      </c>
      <c r="C262" t="s">
        <v>536</v>
      </c>
      <c r="E262" t="s">
        <v>377</v>
      </c>
      <c r="F262" t="s">
        <v>536</v>
      </c>
    </row>
    <row r="263" spans="1:7">
      <c r="A263" t="s">
        <v>9827</v>
      </c>
      <c r="B263" t="s">
        <v>338</v>
      </c>
      <c r="C263" t="s">
        <v>1992</v>
      </c>
      <c r="D263" t="s">
        <v>6932</v>
      </c>
      <c r="E263" t="s">
        <v>338</v>
      </c>
      <c r="F263" t="s">
        <v>1992</v>
      </c>
      <c r="G263" t="s">
        <v>6932</v>
      </c>
    </row>
    <row r="264" spans="1:7">
      <c r="A264" t="s">
        <v>9828</v>
      </c>
      <c r="B264" t="s">
        <v>339</v>
      </c>
      <c r="C264" t="s">
        <v>4896</v>
      </c>
      <c r="D264" t="s">
        <v>6932</v>
      </c>
      <c r="E264" t="s">
        <v>339</v>
      </c>
      <c r="F264" t="s">
        <v>4896</v>
      </c>
      <c r="G264" t="s">
        <v>6932</v>
      </c>
    </row>
    <row r="265" spans="1:7">
      <c r="A265" t="s">
        <v>9833</v>
      </c>
      <c r="B265" t="s">
        <v>9203</v>
      </c>
      <c r="C265" t="s">
        <v>751</v>
      </c>
      <c r="D265" t="s">
        <v>6932</v>
      </c>
      <c r="E265" t="s">
        <v>9203</v>
      </c>
      <c r="F265" t="s">
        <v>751</v>
      </c>
      <c r="G265" t="s">
        <v>6932</v>
      </c>
    </row>
    <row r="266" spans="1:7">
      <c r="A266" t="s">
        <v>9834</v>
      </c>
      <c r="B266" t="s">
        <v>10008</v>
      </c>
      <c r="C266" t="s">
        <v>536</v>
      </c>
      <c r="D266" t="s">
        <v>6932</v>
      </c>
      <c r="E266" t="s">
        <v>10008</v>
      </c>
      <c r="F266" t="s">
        <v>536</v>
      </c>
      <c r="G266" t="s">
        <v>6932</v>
      </c>
    </row>
    <row r="267" spans="1:7">
      <c r="A267" t="s">
        <v>9835</v>
      </c>
      <c r="B267" t="s">
        <v>581</v>
      </c>
      <c r="C267" t="s">
        <v>1438</v>
      </c>
      <c r="E267" t="s">
        <v>581</v>
      </c>
      <c r="F267" t="s">
        <v>1438</v>
      </c>
    </row>
    <row r="268" spans="1:7">
      <c r="A268" t="s">
        <v>9836</v>
      </c>
      <c r="B268" t="s">
        <v>340</v>
      </c>
      <c r="C268" t="s">
        <v>6364</v>
      </c>
      <c r="E268" t="s">
        <v>340</v>
      </c>
      <c r="F268" t="s">
        <v>6364</v>
      </c>
    </row>
    <row r="269" spans="1:7">
      <c r="A269" t="s">
        <v>9837</v>
      </c>
      <c r="B269" t="s">
        <v>286</v>
      </c>
      <c r="C269" t="s">
        <v>959</v>
      </c>
      <c r="D269" t="s">
        <v>6932</v>
      </c>
      <c r="E269" t="s">
        <v>286</v>
      </c>
      <c r="F269" t="s">
        <v>959</v>
      </c>
      <c r="G269" t="s">
        <v>6932</v>
      </c>
    </row>
    <row r="270" spans="1:7">
      <c r="A270" t="s">
        <v>9838</v>
      </c>
      <c r="B270" t="s">
        <v>286</v>
      </c>
      <c r="C270" t="s">
        <v>793</v>
      </c>
      <c r="E270" t="s">
        <v>286</v>
      </c>
      <c r="F270" t="s">
        <v>793</v>
      </c>
    </row>
    <row r="271" spans="1:7">
      <c r="A271" t="s">
        <v>9839</v>
      </c>
      <c r="B271" t="s">
        <v>286</v>
      </c>
      <c r="C271" t="s">
        <v>753</v>
      </c>
      <c r="E271" t="s">
        <v>286</v>
      </c>
      <c r="F271" t="s">
        <v>753</v>
      </c>
    </row>
    <row r="272" spans="1:7">
      <c r="A272" t="s">
        <v>9840</v>
      </c>
      <c r="B272" t="s">
        <v>9229</v>
      </c>
      <c r="C272" t="s">
        <v>777</v>
      </c>
      <c r="D272" t="s">
        <v>6932</v>
      </c>
      <c r="E272" t="s">
        <v>9229</v>
      </c>
      <c r="F272" t="s">
        <v>777</v>
      </c>
      <c r="G272" t="s">
        <v>6932</v>
      </c>
    </row>
    <row r="273" spans="1:7">
      <c r="A273" t="s">
        <v>9841</v>
      </c>
      <c r="B273" t="s">
        <v>8483</v>
      </c>
      <c r="C273" t="s">
        <v>897</v>
      </c>
      <c r="E273" t="s">
        <v>8483</v>
      </c>
      <c r="F273" t="s">
        <v>897</v>
      </c>
    </row>
    <row r="274" spans="1:7">
      <c r="A274" t="s">
        <v>9842</v>
      </c>
      <c r="B274" t="s">
        <v>440</v>
      </c>
      <c r="C274" t="s">
        <v>772</v>
      </c>
      <c r="D274" t="s">
        <v>6932</v>
      </c>
      <c r="E274" t="s">
        <v>440</v>
      </c>
      <c r="F274" t="s">
        <v>772</v>
      </c>
      <c r="G274" t="s">
        <v>6932</v>
      </c>
    </row>
    <row r="275" spans="1:7">
      <c r="A275" t="s">
        <v>9843</v>
      </c>
      <c r="B275" t="s">
        <v>440</v>
      </c>
      <c r="C275" t="s">
        <v>536</v>
      </c>
      <c r="D275" t="s">
        <v>6932</v>
      </c>
      <c r="E275" t="s">
        <v>440</v>
      </c>
      <c r="F275" t="s">
        <v>536</v>
      </c>
      <c r="G275" t="s">
        <v>6932</v>
      </c>
    </row>
    <row r="276" spans="1:7">
      <c r="A276" t="s">
        <v>9844</v>
      </c>
      <c r="B276" t="s">
        <v>440</v>
      </c>
      <c r="C276" t="s">
        <v>534</v>
      </c>
      <c r="D276" t="s">
        <v>6932</v>
      </c>
      <c r="E276" t="s">
        <v>440</v>
      </c>
      <c r="F276" t="s">
        <v>534</v>
      </c>
      <c r="G276" t="s">
        <v>6932</v>
      </c>
    </row>
    <row r="277" spans="1:7">
      <c r="A277" t="s">
        <v>9845</v>
      </c>
      <c r="B277" t="s">
        <v>440</v>
      </c>
      <c r="C277" t="s">
        <v>755</v>
      </c>
      <c r="D277" t="s">
        <v>6932</v>
      </c>
      <c r="E277" t="s">
        <v>440</v>
      </c>
      <c r="F277" t="s">
        <v>755</v>
      </c>
      <c r="G277" t="s">
        <v>6932</v>
      </c>
    </row>
    <row r="278" spans="1:7">
      <c r="A278" t="s">
        <v>9846</v>
      </c>
      <c r="B278" t="s">
        <v>9242</v>
      </c>
      <c r="C278" t="s">
        <v>979</v>
      </c>
      <c r="D278" t="s">
        <v>6932</v>
      </c>
      <c r="E278" t="s">
        <v>9242</v>
      </c>
      <c r="F278" t="s">
        <v>979</v>
      </c>
      <c r="G278" t="s">
        <v>6932</v>
      </c>
    </row>
    <row r="279" spans="1:7">
      <c r="A279" t="s">
        <v>9847</v>
      </c>
      <c r="B279" t="s">
        <v>6588</v>
      </c>
      <c r="C279" t="s">
        <v>766</v>
      </c>
      <c r="D279" t="s">
        <v>6932</v>
      </c>
      <c r="E279" t="s">
        <v>6588</v>
      </c>
      <c r="F279" t="s">
        <v>766</v>
      </c>
      <c r="G279" t="s">
        <v>6932</v>
      </c>
    </row>
    <row r="280" spans="1:7">
      <c r="A280" t="s">
        <v>9848</v>
      </c>
      <c r="B280" t="s">
        <v>9270</v>
      </c>
      <c r="C280" t="s">
        <v>9274</v>
      </c>
      <c r="D280" t="s">
        <v>6932</v>
      </c>
      <c r="E280" t="s">
        <v>9270</v>
      </c>
      <c r="F280" t="s">
        <v>9274</v>
      </c>
      <c r="G280" t="s">
        <v>6932</v>
      </c>
    </row>
    <row r="281" spans="1:7">
      <c r="A281" t="s">
        <v>9849</v>
      </c>
      <c r="B281" t="s">
        <v>628</v>
      </c>
      <c r="C281" t="s">
        <v>751</v>
      </c>
      <c r="D281" t="s">
        <v>6932</v>
      </c>
      <c r="E281" t="s">
        <v>628</v>
      </c>
      <c r="F281" t="s">
        <v>751</v>
      </c>
      <c r="G281" t="s">
        <v>6932</v>
      </c>
    </row>
    <row r="282" spans="1:7">
      <c r="A282" t="s">
        <v>9850</v>
      </c>
      <c r="B282" t="s">
        <v>628</v>
      </c>
      <c r="C282" t="s">
        <v>842</v>
      </c>
      <c r="D282" t="s">
        <v>6932</v>
      </c>
      <c r="E282" t="s">
        <v>628</v>
      </c>
      <c r="F282" t="s">
        <v>842</v>
      </c>
      <c r="G282" t="s">
        <v>6932</v>
      </c>
    </row>
    <row r="283" spans="1:7">
      <c r="A283" t="s">
        <v>9851</v>
      </c>
      <c r="B283" t="s">
        <v>628</v>
      </c>
      <c r="C283" t="s">
        <v>879</v>
      </c>
      <c r="D283" t="s">
        <v>6932</v>
      </c>
      <c r="E283" t="s">
        <v>628</v>
      </c>
      <c r="F283" t="s">
        <v>879</v>
      </c>
      <c r="G283" t="s">
        <v>6932</v>
      </c>
    </row>
    <row r="284" spans="1:7">
      <c r="A284" t="s">
        <v>9852</v>
      </c>
      <c r="B284" t="s">
        <v>628</v>
      </c>
      <c r="C284" t="s">
        <v>10009</v>
      </c>
      <c r="D284" t="s">
        <v>6932</v>
      </c>
      <c r="E284" t="s">
        <v>628</v>
      </c>
      <c r="F284" t="s">
        <v>10009</v>
      </c>
      <c r="G284" t="s">
        <v>6932</v>
      </c>
    </row>
    <row r="285" spans="1:7">
      <c r="A285" t="s">
        <v>9853</v>
      </c>
      <c r="B285" t="s">
        <v>583</v>
      </c>
      <c r="C285" t="s">
        <v>536</v>
      </c>
      <c r="E285" t="s">
        <v>583</v>
      </c>
      <c r="F285" t="s">
        <v>536</v>
      </c>
    </row>
    <row r="286" spans="1:7">
      <c r="A286" t="s">
        <v>9854</v>
      </c>
      <c r="B286" t="s">
        <v>10010</v>
      </c>
      <c r="C286" t="s">
        <v>1438</v>
      </c>
      <c r="D286" t="s">
        <v>6932</v>
      </c>
      <c r="E286" t="s">
        <v>10010</v>
      </c>
      <c r="F286" t="s">
        <v>1438</v>
      </c>
      <c r="G286" t="s">
        <v>6932</v>
      </c>
    </row>
    <row r="287" spans="1:7">
      <c r="A287" t="s">
        <v>9855</v>
      </c>
      <c r="B287" t="s">
        <v>441</v>
      </c>
      <c r="C287" t="s">
        <v>775</v>
      </c>
      <c r="E287" t="s">
        <v>441</v>
      </c>
      <c r="F287" t="s">
        <v>775</v>
      </c>
    </row>
    <row r="288" spans="1:7">
      <c r="A288" t="s">
        <v>9857</v>
      </c>
      <c r="B288" t="s">
        <v>168</v>
      </c>
      <c r="C288" t="s">
        <v>6364</v>
      </c>
      <c r="E288" t="s">
        <v>168</v>
      </c>
      <c r="F288" t="s">
        <v>6364</v>
      </c>
    </row>
    <row r="289" spans="1:7">
      <c r="A289" t="s">
        <v>9860</v>
      </c>
      <c r="B289" t="s">
        <v>342</v>
      </c>
      <c r="C289" t="s">
        <v>777</v>
      </c>
      <c r="D289" t="s">
        <v>7515</v>
      </c>
      <c r="E289" t="s">
        <v>342</v>
      </c>
      <c r="F289" t="s">
        <v>777</v>
      </c>
      <c r="G289" t="s">
        <v>7515</v>
      </c>
    </row>
    <row r="290" spans="1:7">
      <c r="A290" t="s">
        <v>9861</v>
      </c>
      <c r="B290" t="s">
        <v>342</v>
      </c>
      <c r="C290" t="s">
        <v>8784</v>
      </c>
      <c r="E290" t="s">
        <v>342</v>
      </c>
      <c r="F290" t="s">
        <v>8784</v>
      </c>
    </row>
    <row r="291" spans="1:7">
      <c r="A291" t="s">
        <v>9862</v>
      </c>
      <c r="B291" t="s">
        <v>615</v>
      </c>
      <c r="C291" t="s">
        <v>772</v>
      </c>
      <c r="D291" t="s">
        <v>6932</v>
      </c>
      <c r="E291" t="s">
        <v>615</v>
      </c>
      <c r="F291" t="s">
        <v>772</v>
      </c>
      <c r="G291" t="s">
        <v>6932</v>
      </c>
    </row>
    <row r="292" spans="1:7">
      <c r="A292" t="s">
        <v>9863</v>
      </c>
      <c r="B292" t="s">
        <v>287</v>
      </c>
      <c r="C292" t="s">
        <v>776</v>
      </c>
      <c r="D292" t="s">
        <v>6932</v>
      </c>
      <c r="E292" t="s">
        <v>287</v>
      </c>
      <c r="F292" t="s">
        <v>776</v>
      </c>
      <c r="G292" t="s">
        <v>6932</v>
      </c>
    </row>
    <row r="293" spans="1:7">
      <c r="A293" t="s">
        <v>9864</v>
      </c>
      <c r="B293" t="s">
        <v>287</v>
      </c>
      <c r="C293" t="s">
        <v>1987</v>
      </c>
      <c r="E293" t="s">
        <v>287</v>
      </c>
      <c r="F293" t="s">
        <v>1987</v>
      </c>
    </row>
    <row r="294" spans="1:7">
      <c r="A294" t="s">
        <v>9865</v>
      </c>
      <c r="B294" t="s">
        <v>287</v>
      </c>
      <c r="C294" t="s">
        <v>788</v>
      </c>
      <c r="E294" t="s">
        <v>287</v>
      </c>
      <c r="F294" t="s">
        <v>788</v>
      </c>
    </row>
    <row r="295" spans="1:7">
      <c r="A295" t="s">
        <v>9866</v>
      </c>
      <c r="B295" t="s">
        <v>175</v>
      </c>
      <c r="C295" t="s">
        <v>10028</v>
      </c>
      <c r="E295" t="s">
        <v>175</v>
      </c>
      <c r="F295" t="s">
        <v>10028</v>
      </c>
    </row>
    <row r="296" spans="1:7">
      <c r="A296" t="s">
        <v>9867</v>
      </c>
      <c r="B296" t="s">
        <v>175</v>
      </c>
      <c r="C296" t="s">
        <v>933</v>
      </c>
      <c r="E296" t="s">
        <v>175</v>
      </c>
      <c r="F296" t="s">
        <v>933</v>
      </c>
    </row>
    <row r="297" spans="1:7">
      <c r="A297" t="s">
        <v>9868</v>
      </c>
      <c r="B297" t="s">
        <v>175</v>
      </c>
      <c r="C297" t="s">
        <v>777</v>
      </c>
      <c r="E297" t="s">
        <v>175</v>
      </c>
      <c r="F297" t="s">
        <v>777</v>
      </c>
    </row>
    <row r="298" spans="1:7">
      <c r="A298" t="s">
        <v>9869</v>
      </c>
      <c r="B298" t="s">
        <v>9346</v>
      </c>
      <c r="C298" t="s">
        <v>129</v>
      </c>
      <c r="D298" t="s">
        <v>6932</v>
      </c>
      <c r="E298" t="s">
        <v>9346</v>
      </c>
      <c r="F298" t="s">
        <v>129</v>
      </c>
      <c r="G298" t="s">
        <v>6932</v>
      </c>
    </row>
    <row r="299" spans="1:7">
      <c r="A299" t="s">
        <v>9870</v>
      </c>
      <c r="B299" t="s">
        <v>9346</v>
      </c>
      <c r="C299" t="s">
        <v>7473</v>
      </c>
      <c r="D299" t="s">
        <v>6932</v>
      </c>
      <c r="E299" t="s">
        <v>9346</v>
      </c>
      <c r="F299" t="s">
        <v>7473</v>
      </c>
      <c r="G299" t="s">
        <v>6932</v>
      </c>
    </row>
    <row r="300" spans="1:7">
      <c r="A300" t="s">
        <v>9871</v>
      </c>
      <c r="B300" t="s">
        <v>177</v>
      </c>
      <c r="C300" t="s">
        <v>561</v>
      </c>
      <c r="D300" t="s">
        <v>6932</v>
      </c>
      <c r="E300" t="s">
        <v>177</v>
      </c>
      <c r="F300" t="s">
        <v>561</v>
      </c>
      <c r="G300" t="s">
        <v>6932</v>
      </c>
    </row>
    <row r="301" spans="1:7">
      <c r="A301" t="s">
        <v>9872</v>
      </c>
      <c r="B301" t="s">
        <v>10011</v>
      </c>
      <c r="C301" t="s">
        <v>1438</v>
      </c>
      <c r="E301" t="s">
        <v>10011</v>
      </c>
      <c r="F301" t="s">
        <v>1438</v>
      </c>
    </row>
    <row r="302" spans="1:7">
      <c r="A302" t="s">
        <v>9873</v>
      </c>
      <c r="B302" t="s">
        <v>10012</v>
      </c>
      <c r="C302" t="s">
        <v>1438</v>
      </c>
      <c r="D302" t="s">
        <v>6932</v>
      </c>
      <c r="E302" t="s">
        <v>10012</v>
      </c>
      <c r="F302" t="s">
        <v>1438</v>
      </c>
      <c r="G302" t="s">
        <v>6932</v>
      </c>
    </row>
    <row r="303" spans="1:7">
      <c r="A303" t="s">
        <v>9874</v>
      </c>
      <c r="B303" t="s">
        <v>9353</v>
      </c>
      <c r="C303" t="s">
        <v>913</v>
      </c>
      <c r="D303" t="s">
        <v>6932</v>
      </c>
      <c r="E303" t="s">
        <v>9353</v>
      </c>
      <c r="F303" t="s">
        <v>913</v>
      </c>
      <c r="G303" t="s">
        <v>6932</v>
      </c>
    </row>
    <row r="304" spans="1:7">
      <c r="A304" t="s">
        <v>9875</v>
      </c>
      <c r="B304" t="s">
        <v>600</v>
      </c>
      <c r="C304" t="s">
        <v>10013</v>
      </c>
      <c r="D304" t="s">
        <v>6932</v>
      </c>
      <c r="E304" t="s">
        <v>600</v>
      </c>
      <c r="F304" t="s">
        <v>10013</v>
      </c>
      <c r="G304" t="s">
        <v>6932</v>
      </c>
    </row>
    <row r="305" spans="1:7">
      <c r="A305" t="s">
        <v>9876</v>
      </c>
      <c r="B305" t="s">
        <v>1007</v>
      </c>
      <c r="C305" t="s">
        <v>9981</v>
      </c>
      <c r="D305" t="s">
        <v>10039</v>
      </c>
      <c r="E305" t="s">
        <v>1007</v>
      </c>
      <c r="F305" t="s">
        <v>9981</v>
      </c>
      <c r="G305" t="s">
        <v>10039</v>
      </c>
    </row>
    <row r="306" spans="1:7">
      <c r="A306" t="s">
        <v>9877</v>
      </c>
      <c r="B306" t="s">
        <v>9877</v>
      </c>
      <c r="E306" t="s">
        <v>9877</v>
      </c>
    </row>
    <row r="307" spans="1:7">
      <c r="A307" t="s">
        <v>9878</v>
      </c>
      <c r="B307" t="s">
        <v>9878</v>
      </c>
      <c r="E307" t="s">
        <v>9878</v>
      </c>
    </row>
    <row r="308" spans="1:7">
      <c r="A308" t="s">
        <v>9879</v>
      </c>
      <c r="B308" t="s">
        <v>9879</v>
      </c>
      <c r="E308" t="s">
        <v>9879</v>
      </c>
    </row>
    <row r="309" spans="1:7">
      <c r="A309" t="s">
        <v>9881</v>
      </c>
      <c r="B309" t="s">
        <v>7204</v>
      </c>
      <c r="C309" t="s">
        <v>534</v>
      </c>
      <c r="D309" t="s">
        <v>6932</v>
      </c>
      <c r="E309" t="s">
        <v>7204</v>
      </c>
      <c r="F309" t="s">
        <v>534</v>
      </c>
      <c r="G309" t="s">
        <v>6932</v>
      </c>
    </row>
    <row r="310" spans="1:7">
      <c r="A310" t="s">
        <v>9882</v>
      </c>
      <c r="B310" t="s">
        <v>290</v>
      </c>
      <c r="C310" t="s">
        <v>10014</v>
      </c>
      <c r="D310" t="s">
        <v>6932</v>
      </c>
      <c r="E310" t="s">
        <v>290</v>
      </c>
      <c r="F310" t="s">
        <v>10014</v>
      </c>
      <c r="G310" t="s">
        <v>6932</v>
      </c>
    </row>
    <row r="311" spans="1:7">
      <c r="A311" t="s">
        <v>9883</v>
      </c>
      <c r="B311" t="s">
        <v>290</v>
      </c>
      <c r="C311" t="s">
        <v>10015</v>
      </c>
      <c r="D311" t="s">
        <v>6932</v>
      </c>
      <c r="E311" t="s">
        <v>290</v>
      </c>
      <c r="F311" t="s">
        <v>10015</v>
      </c>
      <c r="G311" t="s">
        <v>6932</v>
      </c>
    </row>
    <row r="312" spans="1:7">
      <c r="A312" t="s">
        <v>9884</v>
      </c>
      <c r="B312" t="s">
        <v>290</v>
      </c>
      <c r="C312" t="s">
        <v>7233</v>
      </c>
      <c r="D312" t="s">
        <v>6932</v>
      </c>
      <c r="E312" t="s">
        <v>290</v>
      </c>
      <c r="F312" t="s">
        <v>7233</v>
      </c>
      <c r="G312" t="s">
        <v>6932</v>
      </c>
    </row>
    <row r="313" spans="1:7">
      <c r="A313" t="s">
        <v>9885</v>
      </c>
      <c r="B313" t="s">
        <v>616</v>
      </c>
      <c r="C313" t="s">
        <v>535</v>
      </c>
      <c r="D313" t="s">
        <v>6932</v>
      </c>
      <c r="E313" t="s">
        <v>616</v>
      </c>
      <c r="F313" t="s">
        <v>535</v>
      </c>
      <c r="G313" t="s">
        <v>6932</v>
      </c>
    </row>
    <row r="314" spans="1:7">
      <c r="A314" t="s">
        <v>9886</v>
      </c>
      <c r="B314" t="s">
        <v>590</v>
      </c>
      <c r="C314" t="s">
        <v>788</v>
      </c>
      <c r="E314" t="s">
        <v>590</v>
      </c>
      <c r="F314" t="s">
        <v>788</v>
      </c>
    </row>
    <row r="315" spans="1:7">
      <c r="A315" t="s">
        <v>9887</v>
      </c>
      <c r="B315" t="s">
        <v>493</v>
      </c>
      <c r="C315" t="s">
        <v>777</v>
      </c>
      <c r="E315" t="s">
        <v>493</v>
      </c>
      <c r="F315" t="s">
        <v>777</v>
      </c>
    </row>
    <row r="316" spans="1:7">
      <c r="A316" t="s">
        <v>9887</v>
      </c>
      <c r="B316" t="s">
        <v>493</v>
      </c>
      <c r="C316" t="s">
        <v>777</v>
      </c>
      <c r="E316" t="s">
        <v>493</v>
      </c>
      <c r="F316" t="s">
        <v>777</v>
      </c>
    </row>
    <row r="317" spans="1:7">
      <c r="A317" t="s">
        <v>9888</v>
      </c>
      <c r="B317" t="s">
        <v>188</v>
      </c>
      <c r="C317" t="s">
        <v>786</v>
      </c>
      <c r="D317" t="s">
        <v>6932</v>
      </c>
      <c r="E317" t="s">
        <v>188</v>
      </c>
      <c r="F317" t="s">
        <v>786</v>
      </c>
      <c r="G317" t="s">
        <v>6932</v>
      </c>
    </row>
    <row r="318" spans="1:7">
      <c r="A318" t="s">
        <v>9889</v>
      </c>
      <c r="B318" t="s">
        <v>6464</v>
      </c>
      <c r="C318" t="s">
        <v>1438</v>
      </c>
      <c r="E318" t="s">
        <v>6464</v>
      </c>
      <c r="F318" t="s">
        <v>1438</v>
      </c>
    </row>
    <row r="319" spans="1:7">
      <c r="A319" t="s">
        <v>9890</v>
      </c>
      <c r="B319" t="s">
        <v>7253</v>
      </c>
      <c r="C319" t="s">
        <v>535</v>
      </c>
      <c r="D319" t="s">
        <v>6932</v>
      </c>
      <c r="E319" t="s">
        <v>7253</v>
      </c>
      <c r="F319" t="s">
        <v>535</v>
      </c>
      <c r="G319" t="s">
        <v>6932</v>
      </c>
    </row>
    <row r="320" spans="1:7">
      <c r="A320" t="s">
        <v>9891</v>
      </c>
      <c r="B320" t="s">
        <v>190</v>
      </c>
      <c r="C320" t="s">
        <v>786</v>
      </c>
      <c r="E320" t="s">
        <v>190</v>
      </c>
      <c r="F320" t="s">
        <v>786</v>
      </c>
    </row>
    <row r="321" spans="1:7">
      <c r="A321" t="s">
        <v>9892</v>
      </c>
      <c r="B321" t="s">
        <v>7241</v>
      </c>
      <c r="C321" t="s">
        <v>786</v>
      </c>
      <c r="D321" t="s">
        <v>6932</v>
      </c>
      <c r="E321" t="s">
        <v>7241</v>
      </c>
      <c r="F321" t="s">
        <v>786</v>
      </c>
      <c r="G321" t="s">
        <v>6932</v>
      </c>
    </row>
    <row r="322" spans="1:7">
      <c r="A322" t="s">
        <v>9893</v>
      </c>
      <c r="B322" t="s">
        <v>343</v>
      </c>
      <c r="C322" t="s">
        <v>751</v>
      </c>
      <c r="D322" t="s">
        <v>6932</v>
      </c>
      <c r="E322" t="s">
        <v>343</v>
      </c>
      <c r="F322" t="s">
        <v>751</v>
      </c>
      <c r="G322" t="s">
        <v>6932</v>
      </c>
    </row>
    <row r="323" spans="1:7">
      <c r="A323" t="s">
        <v>9894</v>
      </c>
      <c r="B323" t="s">
        <v>343</v>
      </c>
      <c r="C323" t="s">
        <v>536</v>
      </c>
      <c r="D323" t="s">
        <v>6932</v>
      </c>
      <c r="E323" t="s">
        <v>343</v>
      </c>
      <c r="F323" t="s">
        <v>536</v>
      </c>
      <c r="G323" t="s">
        <v>6932</v>
      </c>
    </row>
    <row r="324" spans="1:7">
      <c r="A324" t="s">
        <v>9895</v>
      </c>
      <c r="B324" t="s">
        <v>344</v>
      </c>
      <c r="C324" t="s">
        <v>794</v>
      </c>
      <c r="E324" t="s">
        <v>344</v>
      </c>
      <c r="F324" t="s">
        <v>794</v>
      </c>
    </row>
    <row r="325" spans="1:7">
      <c r="A325" t="s">
        <v>9896</v>
      </c>
      <c r="B325" t="s">
        <v>9013</v>
      </c>
      <c r="C325" t="s">
        <v>561</v>
      </c>
      <c r="D325" t="s">
        <v>6932</v>
      </c>
      <c r="E325" t="s">
        <v>9013</v>
      </c>
      <c r="F325" t="s">
        <v>561</v>
      </c>
      <c r="G325" t="s">
        <v>6932</v>
      </c>
    </row>
    <row r="326" spans="1:7">
      <c r="A326" t="s">
        <v>9897</v>
      </c>
      <c r="B326" t="s">
        <v>9013</v>
      </c>
      <c r="C326" t="s">
        <v>534</v>
      </c>
      <c r="D326" t="s">
        <v>6932</v>
      </c>
      <c r="E326" t="s">
        <v>9013</v>
      </c>
      <c r="F326" t="s">
        <v>534</v>
      </c>
      <c r="G326" t="s">
        <v>6932</v>
      </c>
    </row>
    <row r="327" spans="1:7">
      <c r="A327" t="s">
        <v>9903</v>
      </c>
      <c r="B327" t="s">
        <v>446</v>
      </c>
      <c r="C327" t="s">
        <v>536</v>
      </c>
      <c r="E327" t="s">
        <v>446</v>
      </c>
      <c r="F327" t="s">
        <v>536</v>
      </c>
    </row>
    <row r="328" spans="1:7">
      <c r="A328" t="s">
        <v>9904</v>
      </c>
      <c r="B328" t="s">
        <v>446</v>
      </c>
      <c r="C328" t="s">
        <v>778</v>
      </c>
      <c r="D328" t="s">
        <v>6932</v>
      </c>
      <c r="E328" t="s">
        <v>446</v>
      </c>
      <c r="F328" t="s">
        <v>778</v>
      </c>
      <c r="G328" t="s">
        <v>6932</v>
      </c>
    </row>
    <row r="329" spans="1:7">
      <c r="A329" t="s">
        <v>9905</v>
      </c>
      <c r="B329" t="s">
        <v>446</v>
      </c>
      <c r="C329" t="s">
        <v>10029</v>
      </c>
      <c r="E329" t="s">
        <v>446</v>
      </c>
      <c r="F329" t="s">
        <v>10029</v>
      </c>
    </row>
    <row r="330" spans="1:7">
      <c r="A330" t="s">
        <v>9906</v>
      </c>
      <c r="B330" t="s">
        <v>446</v>
      </c>
      <c r="C330" t="s">
        <v>7424</v>
      </c>
      <c r="E330" t="s">
        <v>446</v>
      </c>
      <c r="F330" t="s">
        <v>7424</v>
      </c>
    </row>
    <row r="331" spans="1:7">
      <c r="A331" t="s">
        <v>9907</v>
      </c>
      <c r="B331" t="s">
        <v>8965</v>
      </c>
      <c r="C331" t="s">
        <v>536</v>
      </c>
      <c r="D331" t="s">
        <v>6932</v>
      </c>
      <c r="E331" t="s">
        <v>8965</v>
      </c>
      <c r="F331" t="s">
        <v>536</v>
      </c>
      <c r="G331" t="s">
        <v>6932</v>
      </c>
    </row>
    <row r="332" spans="1:7">
      <c r="A332" t="s">
        <v>9908</v>
      </c>
      <c r="B332" t="s">
        <v>8965</v>
      </c>
      <c r="C332" t="s">
        <v>534</v>
      </c>
      <c r="D332" t="s">
        <v>6932</v>
      </c>
      <c r="E332" t="s">
        <v>8965</v>
      </c>
      <c r="F332" t="s">
        <v>534</v>
      </c>
      <c r="G332" t="s">
        <v>6932</v>
      </c>
    </row>
    <row r="333" spans="1:7">
      <c r="A333" t="s">
        <v>9909</v>
      </c>
      <c r="B333" t="s">
        <v>9020</v>
      </c>
      <c r="C333" t="s">
        <v>899</v>
      </c>
      <c r="D333" t="s">
        <v>6932</v>
      </c>
      <c r="E333" t="s">
        <v>9020</v>
      </c>
      <c r="F333" t="s">
        <v>899</v>
      </c>
      <c r="G333" t="s">
        <v>6932</v>
      </c>
    </row>
    <row r="334" spans="1:7">
      <c r="A334" t="s">
        <v>9910</v>
      </c>
      <c r="B334" t="s">
        <v>9020</v>
      </c>
      <c r="C334" t="s">
        <v>10016</v>
      </c>
      <c r="D334" t="s">
        <v>6932</v>
      </c>
      <c r="E334" t="s">
        <v>9020</v>
      </c>
      <c r="F334" t="s">
        <v>10016</v>
      </c>
      <c r="G334" t="s">
        <v>6932</v>
      </c>
    </row>
    <row r="335" spans="1:7">
      <c r="A335" t="s">
        <v>9911</v>
      </c>
      <c r="B335" t="s">
        <v>380</v>
      </c>
      <c r="C335" t="s">
        <v>869</v>
      </c>
      <c r="E335" t="s">
        <v>380</v>
      </c>
      <c r="F335" t="s">
        <v>869</v>
      </c>
    </row>
    <row r="336" spans="1:7">
      <c r="A336" t="s">
        <v>9912</v>
      </c>
      <c r="B336" t="s">
        <v>380</v>
      </c>
      <c r="C336" t="s">
        <v>10030</v>
      </c>
      <c r="E336" t="s">
        <v>380</v>
      </c>
      <c r="F336" t="s">
        <v>10030</v>
      </c>
    </row>
    <row r="337" spans="1:7">
      <c r="A337" t="s">
        <v>9913</v>
      </c>
      <c r="B337" t="s">
        <v>380</v>
      </c>
      <c r="C337" t="s">
        <v>863</v>
      </c>
      <c r="E337" t="s">
        <v>380</v>
      </c>
      <c r="F337" t="s">
        <v>863</v>
      </c>
    </row>
    <row r="338" spans="1:7">
      <c r="A338" t="s">
        <v>9914</v>
      </c>
      <c r="B338" t="s">
        <v>380</v>
      </c>
      <c r="C338" t="s">
        <v>10031</v>
      </c>
      <c r="E338" t="s">
        <v>380</v>
      </c>
      <c r="F338" t="s">
        <v>10031</v>
      </c>
    </row>
    <row r="339" spans="1:7">
      <c r="A339" t="s">
        <v>9915</v>
      </c>
      <c r="B339" t="s">
        <v>380</v>
      </c>
      <c r="C339" t="s">
        <v>913</v>
      </c>
      <c r="E339" t="s">
        <v>380</v>
      </c>
      <c r="F339" t="s">
        <v>913</v>
      </c>
    </row>
    <row r="340" spans="1:7">
      <c r="A340" t="s">
        <v>9916</v>
      </c>
      <c r="B340" t="s">
        <v>292</v>
      </c>
      <c r="C340" t="s">
        <v>536</v>
      </c>
      <c r="E340" t="s">
        <v>292</v>
      </c>
      <c r="F340" t="s">
        <v>536</v>
      </c>
    </row>
    <row r="341" spans="1:7">
      <c r="A341" t="s">
        <v>9917</v>
      </c>
      <c r="B341" t="s">
        <v>292</v>
      </c>
      <c r="C341" t="s">
        <v>842</v>
      </c>
      <c r="E341" t="s">
        <v>292</v>
      </c>
      <c r="F341" t="s">
        <v>842</v>
      </c>
    </row>
    <row r="342" spans="1:7">
      <c r="A342" t="s">
        <v>9918</v>
      </c>
      <c r="B342" t="s">
        <v>292</v>
      </c>
      <c r="C342" t="s">
        <v>767</v>
      </c>
      <c r="E342" t="s">
        <v>292</v>
      </c>
      <c r="F342" t="s">
        <v>767</v>
      </c>
    </row>
    <row r="343" spans="1:7">
      <c r="A343" t="s">
        <v>9919</v>
      </c>
      <c r="B343" t="s">
        <v>292</v>
      </c>
      <c r="C343" t="s">
        <v>768</v>
      </c>
      <c r="E343" t="s">
        <v>292</v>
      </c>
      <c r="F343" t="s">
        <v>768</v>
      </c>
    </row>
    <row r="344" spans="1:7">
      <c r="A344" t="s">
        <v>9920</v>
      </c>
      <c r="B344" t="s">
        <v>292</v>
      </c>
      <c r="C344" t="s">
        <v>534</v>
      </c>
      <c r="E344" t="s">
        <v>292</v>
      </c>
      <c r="F344" t="s">
        <v>534</v>
      </c>
    </row>
    <row r="345" spans="1:7">
      <c r="A345" t="s">
        <v>9922</v>
      </c>
      <c r="B345" t="s">
        <v>447</v>
      </c>
      <c r="C345">
        <v>30</v>
      </c>
      <c r="E345" t="s">
        <v>447</v>
      </c>
      <c r="F345">
        <v>30</v>
      </c>
    </row>
    <row r="346" spans="1:7">
      <c r="A346" t="s">
        <v>9923</v>
      </c>
      <c r="B346" t="s">
        <v>622</v>
      </c>
      <c r="C346" t="s">
        <v>10032</v>
      </c>
      <c r="E346" t="s">
        <v>622</v>
      </c>
      <c r="F346" t="s">
        <v>10032</v>
      </c>
    </row>
    <row r="347" spans="1:7">
      <c r="A347" t="s">
        <v>9924</v>
      </c>
      <c r="B347" t="s">
        <v>560</v>
      </c>
      <c r="C347" t="s">
        <v>534</v>
      </c>
      <c r="D347" t="s">
        <v>6932</v>
      </c>
      <c r="E347" t="s">
        <v>560</v>
      </c>
      <c r="F347" t="s">
        <v>534</v>
      </c>
      <c r="G347" t="s">
        <v>6932</v>
      </c>
    </row>
    <row r="348" spans="1:7">
      <c r="A348" t="s">
        <v>9925</v>
      </c>
      <c r="B348" t="s">
        <v>346</v>
      </c>
      <c r="C348" t="s">
        <v>1438</v>
      </c>
      <c r="D348" t="s">
        <v>6932</v>
      </c>
      <c r="E348" t="s">
        <v>346</v>
      </c>
      <c r="F348" t="s">
        <v>1438</v>
      </c>
      <c r="G348" t="s">
        <v>6932</v>
      </c>
    </row>
    <row r="349" spans="1:7">
      <c r="A349" t="s">
        <v>9926</v>
      </c>
      <c r="B349" t="s">
        <v>347</v>
      </c>
      <c r="C349" t="s">
        <v>757</v>
      </c>
      <c r="D349" t="s">
        <v>6932</v>
      </c>
      <c r="E349" t="s">
        <v>347</v>
      </c>
      <c r="F349" t="s">
        <v>757</v>
      </c>
      <c r="G349" t="s">
        <v>6932</v>
      </c>
    </row>
    <row r="350" spans="1:7">
      <c r="A350" t="s">
        <v>9927</v>
      </c>
      <c r="B350" t="s">
        <v>173</v>
      </c>
      <c r="C350" t="s">
        <v>534</v>
      </c>
      <c r="E350" t="s">
        <v>173</v>
      </c>
      <c r="F350" t="s">
        <v>534</v>
      </c>
    </row>
    <row r="351" spans="1:7">
      <c r="A351" t="s">
        <v>9928</v>
      </c>
      <c r="B351" t="s">
        <v>293</v>
      </c>
      <c r="C351" t="s">
        <v>10033</v>
      </c>
      <c r="E351" t="s">
        <v>293</v>
      </c>
      <c r="F351" t="s">
        <v>10033</v>
      </c>
    </row>
    <row r="352" spans="1:7">
      <c r="A352" t="s">
        <v>9929</v>
      </c>
      <c r="B352" t="s">
        <v>293</v>
      </c>
      <c r="C352" t="s">
        <v>6351</v>
      </c>
      <c r="E352" t="s">
        <v>293</v>
      </c>
      <c r="F352" t="s">
        <v>6351</v>
      </c>
    </row>
    <row r="353" spans="1:7">
      <c r="A353" t="s">
        <v>9930</v>
      </c>
      <c r="B353" t="s">
        <v>293</v>
      </c>
      <c r="C353" t="s">
        <v>10034</v>
      </c>
      <c r="E353" t="s">
        <v>293</v>
      </c>
      <c r="F353" t="s">
        <v>10034</v>
      </c>
    </row>
    <row r="354" spans="1:7">
      <c r="A354" t="s">
        <v>9931</v>
      </c>
      <c r="B354" t="s">
        <v>293</v>
      </c>
      <c r="C354" t="s">
        <v>10035</v>
      </c>
      <c r="E354" t="s">
        <v>293</v>
      </c>
      <c r="F354" t="s">
        <v>10035</v>
      </c>
    </row>
    <row r="355" spans="1:7">
      <c r="A355" t="s">
        <v>9932</v>
      </c>
      <c r="B355" t="s">
        <v>294</v>
      </c>
      <c r="C355" t="s">
        <v>8070</v>
      </c>
      <c r="E355" t="s">
        <v>294</v>
      </c>
      <c r="F355" t="s">
        <v>8070</v>
      </c>
    </row>
    <row r="356" spans="1:7">
      <c r="A356" t="s">
        <v>9933</v>
      </c>
      <c r="B356" t="s">
        <v>294</v>
      </c>
      <c r="C356" t="s">
        <v>1438</v>
      </c>
      <c r="D356" t="s">
        <v>6932</v>
      </c>
      <c r="E356" t="s">
        <v>294</v>
      </c>
      <c r="F356" t="s">
        <v>1438</v>
      </c>
      <c r="G356" t="s">
        <v>6932</v>
      </c>
    </row>
    <row r="357" spans="1:7">
      <c r="A357" t="s">
        <v>9934</v>
      </c>
      <c r="B357" t="s">
        <v>294</v>
      </c>
      <c r="C357" t="s">
        <v>10036</v>
      </c>
      <c r="E357" t="s">
        <v>294</v>
      </c>
      <c r="F357" t="s">
        <v>10036</v>
      </c>
    </row>
    <row r="358" spans="1:7">
      <c r="A358" t="s">
        <v>9935</v>
      </c>
      <c r="B358" t="s">
        <v>450</v>
      </c>
      <c r="C358" t="s">
        <v>991</v>
      </c>
      <c r="E358" t="s">
        <v>450</v>
      </c>
      <c r="F358" t="s">
        <v>991</v>
      </c>
    </row>
    <row r="359" spans="1:7">
      <c r="A359" t="s">
        <v>9936</v>
      </c>
      <c r="B359" t="s">
        <v>450</v>
      </c>
      <c r="C359" t="s">
        <v>10017</v>
      </c>
      <c r="D359" t="s">
        <v>6932</v>
      </c>
      <c r="E359" t="s">
        <v>450</v>
      </c>
      <c r="F359" t="s">
        <v>10017</v>
      </c>
      <c r="G359" t="s">
        <v>6932</v>
      </c>
    </row>
    <row r="360" spans="1:7">
      <c r="A360" t="s">
        <v>9939</v>
      </c>
      <c r="B360" t="s">
        <v>203</v>
      </c>
      <c r="C360" t="s">
        <v>872</v>
      </c>
      <c r="D360" t="s">
        <v>6932</v>
      </c>
      <c r="E360" t="s">
        <v>203</v>
      </c>
      <c r="F360" t="s">
        <v>872</v>
      </c>
      <c r="G360" t="s">
        <v>6932</v>
      </c>
    </row>
    <row r="361" spans="1:7">
      <c r="A361" t="s">
        <v>9940</v>
      </c>
      <c r="B361" t="s">
        <v>203</v>
      </c>
      <c r="C361" t="s">
        <v>788</v>
      </c>
      <c r="E361" t="s">
        <v>203</v>
      </c>
      <c r="F361" t="s">
        <v>788</v>
      </c>
    </row>
    <row r="362" spans="1:7">
      <c r="A362" t="s">
        <v>9941</v>
      </c>
      <c r="B362" t="s">
        <v>348</v>
      </c>
      <c r="C362" t="s">
        <v>10037</v>
      </c>
      <c r="E362" t="s">
        <v>348</v>
      </c>
      <c r="F362" t="s">
        <v>10037</v>
      </c>
    </row>
    <row r="363" spans="1:7">
      <c r="A363" t="s">
        <v>9942</v>
      </c>
      <c r="B363" t="s">
        <v>594</v>
      </c>
      <c r="C363" t="s">
        <v>776</v>
      </c>
      <c r="D363" t="s">
        <v>6932</v>
      </c>
      <c r="E363" t="s">
        <v>594</v>
      </c>
      <c r="F363" t="s">
        <v>776</v>
      </c>
      <c r="G363" t="s">
        <v>6932</v>
      </c>
    </row>
    <row r="364" spans="1:7">
      <c r="A364" t="s">
        <v>9943</v>
      </c>
      <c r="B364" t="s">
        <v>10018</v>
      </c>
      <c r="C364" t="s">
        <v>1970</v>
      </c>
      <c r="E364" t="s">
        <v>10018</v>
      </c>
      <c r="F364" t="s">
        <v>1970</v>
      </c>
    </row>
    <row r="365" spans="1:7">
      <c r="A365" t="s">
        <v>9944</v>
      </c>
      <c r="B365" t="s">
        <v>515</v>
      </c>
      <c r="C365" t="s">
        <v>536</v>
      </c>
      <c r="D365" t="s">
        <v>6932</v>
      </c>
      <c r="E365" t="s">
        <v>515</v>
      </c>
      <c r="F365" t="s">
        <v>536</v>
      </c>
      <c r="G365" t="s">
        <v>6932</v>
      </c>
    </row>
    <row r="366" spans="1:7">
      <c r="A366" t="s">
        <v>9945</v>
      </c>
      <c r="B366" t="s">
        <v>515</v>
      </c>
      <c r="C366" t="s">
        <v>1438</v>
      </c>
      <c r="D366" t="s">
        <v>6932</v>
      </c>
      <c r="E366" t="s">
        <v>515</v>
      </c>
      <c r="F366" t="s">
        <v>1438</v>
      </c>
      <c r="G366" t="s">
        <v>6932</v>
      </c>
    </row>
    <row r="367" spans="1:7">
      <c r="A367" t="s">
        <v>9946</v>
      </c>
      <c r="B367" t="s">
        <v>1421</v>
      </c>
      <c r="C367" t="s">
        <v>10038</v>
      </c>
      <c r="E367" t="s">
        <v>1421</v>
      </c>
      <c r="F367" t="s">
        <v>10038</v>
      </c>
    </row>
    <row r="368" spans="1:7">
      <c r="A368" t="s">
        <v>9947</v>
      </c>
      <c r="B368" t="s">
        <v>1421</v>
      </c>
      <c r="C368" t="s">
        <v>10019</v>
      </c>
      <c r="D368" t="s">
        <v>6932</v>
      </c>
      <c r="E368" t="s">
        <v>1421</v>
      </c>
      <c r="F368" t="s">
        <v>10019</v>
      </c>
      <c r="G368" t="s">
        <v>6932</v>
      </c>
    </row>
    <row r="369" spans="1:7">
      <c r="A369" t="s">
        <v>9948</v>
      </c>
      <c r="B369" t="s">
        <v>296</v>
      </c>
      <c r="C369" t="s">
        <v>1999</v>
      </c>
      <c r="E369" t="s">
        <v>296</v>
      </c>
      <c r="F369" t="s">
        <v>1999</v>
      </c>
    </row>
    <row r="370" spans="1:7">
      <c r="A370" t="s">
        <v>9949</v>
      </c>
      <c r="B370" t="s">
        <v>296</v>
      </c>
      <c r="C370" t="s">
        <v>769</v>
      </c>
      <c r="E370" t="s">
        <v>296</v>
      </c>
      <c r="F370" t="s">
        <v>769</v>
      </c>
    </row>
    <row r="371" spans="1:7">
      <c r="A371" t="s">
        <v>9950</v>
      </c>
      <c r="B371" t="s">
        <v>9024</v>
      </c>
      <c r="C371" t="s">
        <v>878</v>
      </c>
      <c r="D371" t="s">
        <v>6932</v>
      </c>
      <c r="E371" t="s">
        <v>9024</v>
      </c>
      <c r="F371" t="s">
        <v>878</v>
      </c>
      <c r="G371" t="s">
        <v>6932</v>
      </c>
    </row>
    <row r="372" spans="1:7">
      <c r="A372" t="s">
        <v>9951</v>
      </c>
      <c r="B372" t="s">
        <v>9024</v>
      </c>
      <c r="C372" t="s">
        <v>788</v>
      </c>
      <c r="D372" t="s">
        <v>6932</v>
      </c>
      <c r="E372" t="s">
        <v>9024</v>
      </c>
      <c r="F372" t="s">
        <v>788</v>
      </c>
      <c r="G372" t="s">
        <v>6932</v>
      </c>
    </row>
    <row r="373" spans="1:7">
      <c r="A373" t="s">
        <v>9952</v>
      </c>
      <c r="B373" t="s">
        <v>1816</v>
      </c>
      <c r="C373" t="s">
        <v>842</v>
      </c>
      <c r="D373" t="s">
        <v>6932</v>
      </c>
      <c r="E373" t="s">
        <v>1816</v>
      </c>
      <c r="F373" t="s">
        <v>842</v>
      </c>
      <c r="G373" t="s">
        <v>6932</v>
      </c>
    </row>
    <row r="374" spans="1:7">
      <c r="A374" t="s">
        <v>9953</v>
      </c>
      <c r="B374" t="s">
        <v>1816</v>
      </c>
      <c r="C374" t="s">
        <v>799</v>
      </c>
      <c r="D374" t="s">
        <v>6932</v>
      </c>
      <c r="E374" t="s">
        <v>1816</v>
      </c>
      <c r="F374" t="s">
        <v>799</v>
      </c>
      <c r="G374" t="s">
        <v>6932</v>
      </c>
    </row>
    <row r="375" spans="1:7">
      <c r="A375" t="s">
        <v>9954</v>
      </c>
      <c r="B375" t="s">
        <v>10020</v>
      </c>
      <c r="C375" t="s">
        <v>751</v>
      </c>
      <c r="D375" t="s">
        <v>6932</v>
      </c>
      <c r="E375" t="s">
        <v>10020</v>
      </c>
      <c r="F375" t="s">
        <v>751</v>
      </c>
      <c r="G375" t="s">
        <v>6932</v>
      </c>
    </row>
    <row r="376" spans="1:7">
      <c r="A376" t="s">
        <v>9955</v>
      </c>
      <c r="B376" t="s">
        <v>452</v>
      </c>
      <c r="C376" t="s">
        <v>536</v>
      </c>
      <c r="D376" t="s">
        <v>6932</v>
      </c>
      <c r="E376" t="s">
        <v>452</v>
      </c>
      <c r="F376" t="s">
        <v>536</v>
      </c>
      <c r="G376" t="s">
        <v>6932</v>
      </c>
    </row>
    <row r="377" spans="1:7">
      <c r="A377" t="s">
        <v>9956</v>
      </c>
      <c r="B377" t="s">
        <v>349</v>
      </c>
      <c r="C377" t="s">
        <v>9981</v>
      </c>
      <c r="D377" t="s">
        <v>10039</v>
      </c>
      <c r="E377" t="s">
        <v>349</v>
      </c>
      <c r="F377" t="s">
        <v>9981</v>
      </c>
      <c r="G377" t="s">
        <v>10039</v>
      </c>
    </row>
    <row r="378" spans="1:7">
      <c r="A378" t="s">
        <v>9957</v>
      </c>
      <c r="B378" t="s">
        <v>453</v>
      </c>
      <c r="C378" t="s">
        <v>534</v>
      </c>
      <c r="D378" t="s">
        <v>6932</v>
      </c>
      <c r="E378" t="s">
        <v>453</v>
      </c>
      <c r="F378" t="s">
        <v>534</v>
      </c>
      <c r="G378" t="s">
        <v>6932</v>
      </c>
    </row>
    <row r="379" spans="1:7">
      <c r="A379" t="s">
        <v>9958</v>
      </c>
      <c r="B379" t="s">
        <v>8975</v>
      </c>
      <c r="C379" t="s">
        <v>536</v>
      </c>
      <c r="D379" t="s">
        <v>6932</v>
      </c>
      <c r="E379" t="s">
        <v>8975</v>
      </c>
      <c r="F379" t="s">
        <v>536</v>
      </c>
      <c r="G379" t="s">
        <v>6932</v>
      </c>
    </row>
    <row r="380" spans="1:7">
      <c r="A380" t="s">
        <v>9959</v>
      </c>
      <c r="B380" t="s">
        <v>8975</v>
      </c>
      <c r="C380" t="s">
        <v>534</v>
      </c>
      <c r="D380" t="s">
        <v>6932</v>
      </c>
      <c r="E380" t="s">
        <v>8975</v>
      </c>
      <c r="F380" t="s">
        <v>534</v>
      </c>
      <c r="G380" t="s">
        <v>6932</v>
      </c>
    </row>
    <row r="381" spans="1:7">
      <c r="A381" t="s">
        <v>9960</v>
      </c>
      <c r="B381" t="s">
        <v>9003</v>
      </c>
      <c r="C381" t="s">
        <v>536</v>
      </c>
      <c r="D381" t="s">
        <v>6932</v>
      </c>
      <c r="E381" t="s">
        <v>9003</v>
      </c>
      <c r="F381" t="s">
        <v>536</v>
      </c>
      <c r="G381" t="s">
        <v>6932</v>
      </c>
    </row>
    <row r="382" spans="1:7">
      <c r="A382" t="s">
        <v>9961</v>
      </c>
      <c r="B382" t="s">
        <v>9003</v>
      </c>
      <c r="C382" t="s">
        <v>842</v>
      </c>
      <c r="D382" t="s">
        <v>6932</v>
      </c>
      <c r="E382" t="s">
        <v>9003</v>
      </c>
      <c r="F382" t="s">
        <v>842</v>
      </c>
      <c r="G382" t="s">
        <v>6932</v>
      </c>
    </row>
    <row r="383" spans="1:7">
      <c r="A383" t="s">
        <v>9962</v>
      </c>
      <c r="B383" t="s">
        <v>9003</v>
      </c>
      <c r="C383" t="s">
        <v>534</v>
      </c>
      <c r="D383" t="s">
        <v>6932</v>
      </c>
      <c r="E383" t="s">
        <v>9003</v>
      </c>
      <c r="F383" t="s">
        <v>534</v>
      </c>
      <c r="G383" t="s">
        <v>6932</v>
      </c>
    </row>
    <row r="384" spans="1:7">
      <c r="A384" t="s">
        <v>9963</v>
      </c>
      <c r="B384" t="s">
        <v>382</v>
      </c>
      <c r="C384" t="s">
        <v>872</v>
      </c>
      <c r="E384" t="s">
        <v>382</v>
      </c>
      <c r="F384" t="s">
        <v>872</v>
      </c>
    </row>
    <row r="385" spans="1:7">
      <c r="A385" t="s">
        <v>9964</v>
      </c>
      <c r="B385" t="s">
        <v>382</v>
      </c>
      <c r="C385" t="s">
        <v>881</v>
      </c>
      <c r="D385" t="s">
        <v>6932</v>
      </c>
      <c r="E385" t="s">
        <v>382</v>
      </c>
      <c r="F385" t="s">
        <v>881</v>
      </c>
      <c r="G385" t="s">
        <v>6932</v>
      </c>
    </row>
    <row r="386" spans="1:7">
      <c r="A386" t="s">
        <v>9965</v>
      </c>
      <c r="B386" t="s">
        <v>454</v>
      </c>
      <c r="C386" t="s">
        <v>1019</v>
      </c>
      <c r="D386" t="s">
        <v>801</v>
      </c>
      <c r="E386" t="s">
        <v>454</v>
      </c>
      <c r="F386" t="s">
        <v>1019</v>
      </c>
      <c r="G386" t="s">
        <v>801</v>
      </c>
    </row>
    <row r="387" spans="1:7">
      <c r="A387" t="s">
        <v>9966</v>
      </c>
      <c r="B387" t="s">
        <v>218</v>
      </c>
      <c r="C387" t="s">
        <v>777</v>
      </c>
      <c r="E387" t="s">
        <v>218</v>
      </c>
      <c r="F387" t="s">
        <v>777</v>
      </c>
    </row>
    <row r="388" spans="1:7">
      <c r="A388" t="s">
        <v>9967</v>
      </c>
      <c r="B388" t="s">
        <v>9523</v>
      </c>
      <c r="C388" t="s">
        <v>655</v>
      </c>
      <c r="D388" t="s">
        <v>6932</v>
      </c>
      <c r="E388" t="s">
        <v>9523</v>
      </c>
      <c r="F388" t="s">
        <v>655</v>
      </c>
      <c r="G388" t="s">
        <v>6932</v>
      </c>
    </row>
    <row r="389" spans="1:7">
      <c r="A389" t="s">
        <v>9968</v>
      </c>
      <c r="B389" t="s">
        <v>7132</v>
      </c>
      <c r="C389" t="s">
        <v>772</v>
      </c>
      <c r="D389" t="s">
        <v>6932</v>
      </c>
      <c r="E389" t="s">
        <v>7132</v>
      </c>
      <c r="F389" t="s">
        <v>772</v>
      </c>
      <c r="G389" t="s">
        <v>6932</v>
      </c>
    </row>
    <row r="390" spans="1:7">
      <c r="A390" t="s">
        <v>9969</v>
      </c>
      <c r="B390" t="s">
        <v>7168</v>
      </c>
      <c r="C390" t="s">
        <v>535</v>
      </c>
      <c r="D390" t="s">
        <v>6932</v>
      </c>
      <c r="E390" t="s">
        <v>7168</v>
      </c>
      <c r="F390" t="s">
        <v>535</v>
      </c>
      <c r="G390" t="s">
        <v>6932</v>
      </c>
    </row>
    <row r="391" spans="1:7">
      <c r="A391" t="s">
        <v>9970</v>
      </c>
      <c r="B391" t="s">
        <v>7168</v>
      </c>
      <c r="C391" t="s">
        <v>1999</v>
      </c>
      <c r="D391" t="s">
        <v>6932</v>
      </c>
      <c r="E391" t="s">
        <v>7168</v>
      </c>
      <c r="F391" t="s">
        <v>1999</v>
      </c>
      <c r="G391" t="s">
        <v>6932</v>
      </c>
    </row>
    <row r="392" spans="1:7">
      <c r="A392" t="s">
        <v>9971</v>
      </c>
      <c r="B392" t="s">
        <v>222</v>
      </c>
      <c r="C392" t="s">
        <v>9532</v>
      </c>
      <c r="D392" t="s">
        <v>6932</v>
      </c>
      <c r="E392" t="s">
        <v>222</v>
      </c>
      <c r="F392" t="s">
        <v>9532</v>
      </c>
      <c r="G392" t="s">
        <v>6932</v>
      </c>
    </row>
    <row r="393" spans="1:7">
      <c r="A393" t="s">
        <v>9972</v>
      </c>
      <c r="B393" t="s">
        <v>222</v>
      </c>
      <c r="C393" t="s">
        <v>9530</v>
      </c>
      <c r="D393" t="s">
        <v>6932</v>
      </c>
      <c r="E393" t="s">
        <v>222</v>
      </c>
      <c r="F393" t="s">
        <v>9530</v>
      </c>
      <c r="G393" t="s">
        <v>6932</v>
      </c>
    </row>
    <row r="394" spans="1:7">
      <c r="A394" t="s">
        <v>9973</v>
      </c>
      <c r="B394" t="s">
        <v>224</v>
      </c>
      <c r="C394" t="s">
        <v>1438</v>
      </c>
      <c r="D394" t="s">
        <v>6932</v>
      </c>
      <c r="E394" t="s">
        <v>224</v>
      </c>
      <c r="F394" t="s">
        <v>1438</v>
      </c>
      <c r="G394" t="s">
        <v>6932</v>
      </c>
    </row>
    <row r="395" spans="1:7">
      <c r="A395" t="s">
        <v>9974</v>
      </c>
      <c r="B395" t="s">
        <v>7128</v>
      </c>
      <c r="C395" t="s">
        <v>1438</v>
      </c>
      <c r="D395" t="s">
        <v>6932</v>
      </c>
      <c r="E395" t="s">
        <v>7128</v>
      </c>
      <c r="F395" t="s">
        <v>1438</v>
      </c>
      <c r="G395" t="s">
        <v>6932</v>
      </c>
    </row>
    <row r="396" spans="1:7">
      <c r="A396" t="s">
        <v>9975</v>
      </c>
      <c r="B396" t="s">
        <v>257</v>
      </c>
      <c r="C396" t="s">
        <v>763</v>
      </c>
      <c r="E396" t="s">
        <v>257</v>
      </c>
      <c r="F396" t="s">
        <v>763</v>
      </c>
    </row>
    <row r="397" spans="1:7">
      <c r="A397" t="s">
        <v>9976</v>
      </c>
      <c r="B397" t="s">
        <v>225</v>
      </c>
      <c r="C397" t="s">
        <v>10021</v>
      </c>
      <c r="E397" t="s">
        <v>225</v>
      </c>
      <c r="F397" t="s">
        <v>10021</v>
      </c>
    </row>
    <row r="398" spans="1:7">
      <c r="A398" t="s">
        <v>9977</v>
      </c>
      <c r="B398" t="s">
        <v>7294</v>
      </c>
      <c r="C398" t="s">
        <v>899</v>
      </c>
      <c r="D398" t="s">
        <v>801</v>
      </c>
      <c r="E398" t="s">
        <v>7294</v>
      </c>
      <c r="F398" t="s">
        <v>899</v>
      </c>
      <c r="G398" t="s">
        <v>801</v>
      </c>
    </row>
    <row r="399" spans="1:7">
      <c r="A399" t="s">
        <v>9978</v>
      </c>
      <c r="B399" t="s">
        <v>496</v>
      </c>
      <c r="C399" t="s">
        <v>1438</v>
      </c>
      <c r="D399" t="s">
        <v>6932</v>
      </c>
      <c r="E399" t="s">
        <v>496</v>
      </c>
      <c r="F399" t="s">
        <v>1438</v>
      </c>
      <c r="G399" t="s">
        <v>6932</v>
      </c>
    </row>
    <row r="400" spans="1:7">
      <c r="A400" t="s">
        <v>9979</v>
      </c>
      <c r="B400" t="s">
        <v>496</v>
      </c>
      <c r="C400" t="s">
        <v>899</v>
      </c>
      <c r="D400" t="s">
        <v>6932</v>
      </c>
      <c r="E400" t="s">
        <v>496</v>
      </c>
      <c r="F400" t="s">
        <v>899</v>
      </c>
      <c r="G400" t="s">
        <v>6932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4389-8785-4C21-8F32-66C10046D5A1}">
  <dimension ref="A1:P2096"/>
  <sheetViews>
    <sheetView topLeftCell="A19" workbookViewId="0">
      <selection activeCell="Q37" sqref="Q37"/>
    </sheetView>
  </sheetViews>
  <sheetFormatPr defaultRowHeight="16"/>
  <cols>
    <col min="1" max="2" width="23.08203125" customWidth="1"/>
  </cols>
  <sheetData>
    <row r="1" spans="1:15">
      <c r="A1" t="s">
        <v>1844</v>
      </c>
      <c r="B1" t="s">
        <v>1844</v>
      </c>
      <c r="G1" t="s">
        <v>5630</v>
      </c>
      <c r="H1" t="str" cm="1">
        <f t="array" ref="H1">_xlfn.TEXTSPLIT(G1,";")</f>
        <v>ALTBIER &gt; STICKE</v>
      </c>
      <c r="M1" t="s">
        <v>5630</v>
      </c>
    </row>
    <row r="2" spans="1:15">
      <c r="A2" t="s">
        <v>452</v>
      </c>
      <c r="B2" t="s">
        <v>452</v>
      </c>
      <c r="G2" t="s">
        <v>5631</v>
      </c>
      <c r="H2" t="str" cm="1">
        <f t="array" ref="H2">_xlfn.TEXTSPLIT(G2,";")</f>
        <v>ALTBIER &gt; TRADITIONAL</v>
      </c>
      <c r="M2" t="s">
        <v>5631</v>
      </c>
      <c r="O2" t="s">
        <v>1438</v>
      </c>
    </row>
    <row r="3" spans="1:15">
      <c r="A3" t="s">
        <v>6603</v>
      </c>
      <c r="B3" t="s">
        <v>6603</v>
      </c>
      <c r="G3" t="s">
        <v>9982</v>
      </c>
      <c r="H3" t="str" cm="1">
        <f t="array" ref="H3">_xlfn.TEXTSPLIT(G3,";")</f>
        <v>ALTBIER &gt; TRADITIONAL| ZERO</v>
      </c>
      <c r="M3" t="s">
        <v>9982</v>
      </c>
      <c r="O3" t="s">
        <v>757</v>
      </c>
    </row>
    <row r="4" spans="1:15">
      <c r="A4" t="s">
        <v>6587</v>
      </c>
      <c r="B4" t="s">
        <v>6587</v>
      </c>
      <c r="G4" t="s">
        <v>1438</v>
      </c>
      <c r="H4" t="str" cm="1">
        <f t="array" ref="H4">_xlfn.TEXTSPLIT(G4,";")</f>
        <v>CORE</v>
      </c>
      <c r="M4" t="s">
        <v>1438</v>
      </c>
      <c r="O4" t="s">
        <v>786</v>
      </c>
    </row>
    <row r="5" spans="1:15">
      <c r="A5" t="s">
        <v>7187</v>
      </c>
      <c r="B5" t="s">
        <v>7187</v>
      </c>
      <c r="G5" t="s">
        <v>5574</v>
      </c>
      <c r="H5" t="str" cm="1">
        <f t="array" ref="H5">_xlfn.TEXTSPLIT(G5,";")</f>
        <v>AUSTRALIAN_SPARKLING_ALE</v>
      </c>
      <c r="M5" t="s">
        <v>5574</v>
      </c>
      <c r="O5" t="s">
        <v>842</v>
      </c>
    </row>
    <row r="6" spans="1:15">
      <c r="A6" t="s">
        <v>1207</v>
      </c>
      <c r="B6" t="s">
        <v>1207</v>
      </c>
      <c r="G6" t="s">
        <v>6605</v>
      </c>
      <c r="H6" t="str" cm="1">
        <f t="array" ref="H6">_xlfn.TEXTSPLIT(G6,";")</f>
        <v>GRAND</v>
      </c>
      <c r="M6" t="s">
        <v>6605</v>
      </c>
      <c r="O6" t="s">
        <v>972</v>
      </c>
    </row>
    <row r="7" spans="1:15">
      <c r="A7" t="s">
        <v>7495</v>
      </c>
      <c r="B7" t="s">
        <v>7495</v>
      </c>
      <c r="G7" t="s">
        <v>6604</v>
      </c>
      <c r="H7" t="str" cm="1">
        <f t="array" ref="H7">_xlfn.TEXTSPLIT(G7,";")</f>
        <v>RESERVA</v>
      </c>
      <c r="M7" t="s">
        <v>6604</v>
      </c>
      <c r="O7" t="s">
        <v>989</v>
      </c>
    </row>
    <row r="8" spans="1:15">
      <c r="A8" t="s">
        <v>7518</v>
      </c>
      <c r="B8" t="s">
        <v>7518</v>
      </c>
      <c r="G8" t="s">
        <v>5632</v>
      </c>
      <c r="H8" t="str" cm="1">
        <f t="array" ref="H8">_xlfn.TEXTSPLIT(G8,";")</f>
        <v>BARLEYWINE &gt; AMERICAN</v>
      </c>
      <c r="M8" t="s">
        <v>5632</v>
      </c>
      <c r="O8" t="s">
        <v>536</v>
      </c>
    </row>
    <row r="9" spans="1:15">
      <c r="A9" t="s">
        <v>7542</v>
      </c>
      <c r="B9" t="s">
        <v>7542</v>
      </c>
      <c r="G9" t="s">
        <v>9983</v>
      </c>
      <c r="H9" t="str" cm="1">
        <f t="array" ref="H9">_xlfn.TEXTSPLIT(G9,";")</f>
        <v>BARLEYWINE &gt; AMERICAN| ZERO</v>
      </c>
      <c r="M9" t="s">
        <v>9983</v>
      </c>
      <c r="O9" t="s">
        <v>767</v>
      </c>
    </row>
    <row r="10" spans="1:15">
      <c r="A10" t="s">
        <v>7562</v>
      </c>
      <c r="B10" t="s">
        <v>7562</v>
      </c>
      <c r="G10" t="s">
        <v>5633</v>
      </c>
      <c r="H10" t="str" cm="1">
        <f t="array" ref="H10">_xlfn.TEXTSPLIT(G10,";")</f>
        <v>BARLEYWINE &gt; ENGLISH</v>
      </c>
      <c r="M10" t="s">
        <v>5633</v>
      </c>
      <c r="O10" t="s">
        <v>772</v>
      </c>
    </row>
    <row r="11" spans="1:15">
      <c r="A11" t="s">
        <v>7920</v>
      </c>
      <c r="B11" t="s">
        <v>7920</v>
      </c>
      <c r="G11" t="s">
        <v>5634</v>
      </c>
      <c r="H11" t="str" cm="1">
        <f t="array" ref="H11">_xlfn.TEXTSPLIT(G11,";")</f>
        <v>BARLEYWINE &gt; OTHER</v>
      </c>
      <c r="M11" t="s">
        <v>5634</v>
      </c>
      <c r="O11" t="s">
        <v>6932</v>
      </c>
    </row>
    <row r="12" spans="1:15">
      <c r="A12" t="s">
        <v>7965</v>
      </c>
      <c r="B12" t="s">
        <v>7965</v>
      </c>
      <c r="G12" t="s">
        <v>5841</v>
      </c>
      <c r="H12" t="str" cm="1">
        <f t="array" ref="H12">_xlfn.TEXTSPLIT(G12,";")</f>
        <v>BEER_SODA_MIX</v>
      </c>
      <c r="M12" t="s">
        <v>5841</v>
      </c>
      <c r="O12" t="s">
        <v>903</v>
      </c>
    </row>
    <row r="13" spans="1:15">
      <c r="A13" t="s">
        <v>7991</v>
      </c>
      <c r="B13" t="s">
        <v>7991</v>
      </c>
      <c r="G13" t="s">
        <v>7050</v>
      </c>
      <c r="H13" t="str" cm="1">
        <f t="array" ref="H13:I13">_xlfn.TEXTSPLIT(G13,";")</f>
        <v>CORE</v>
      </c>
      <c r="I13" t="str">
        <v>GRENADINE</v>
      </c>
      <c r="M13" t="s">
        <v>7504</v>
      </c>
      <c r="O13" t="s">
        <v>6516</v>
      </c>
    </row>
    <row r="14" spans="1:15">
      <c r="A14" t="s">
        <v>643</v>
      </c>
      <c r="B14" t="s">
        <v>643</v>
      </c>
      <c r="G14" t="s">
        <v>7504</v>
      </c>
      <c r="H14" t="str" cm="1">
        <f t="array" ref="H14">_xlfn.TEXTSPLIT(G14,";")</f>
        <v>INFUSED</v>
      </c>
      <c r="M14" t="s">
        <v>901</v>
      </c>
      <c r="O14" t="s">
        <v>6356</v>
      </c>
    </row>
    <row r="15" spans="1:15">
      <c r="A15" t="s">
        <v>8092</v>
      </c>
      <c r="B15" t="s">
        <v>8092</v>
      </c>
      <c r="G15" t="s">
        <v>901</v>
      </c>
      <c r="H15" t="str" cm="1">
        <f t="array" ref="H15">_xlfn.TEXTSPLIT(G15,";")</f>
        <v>BAOBAB</v>
      </c>
      <c r="M15" t="s">
        <v>5627</v>
      </c>
      <c r="O15" t="s">
        <v>782</v>
      </c>
    </row>
    <row r="16" spans="1:15">
      <c r="A16" t="s">
        <v>8259</v>
      </c>
      <c r="B16" t="s">
        <v>8259</v>
      </c>
      <c r="G16" t="s">
        <v>10040</v>
      </c>
      <c r="H16" t="str" cm="1">
        <f t="array" ref="H16:I16">_xlfn.TEXTSPLIT(G16,";")</f>
        <v>BEERS_OTHER</v>
      </c>
      <c r="I16" t="str">
        <v>CORE</v>
      </c>
      <c r="M16" t="s">
        <v>867</v>
      </c>
      <c r="O16" t="s">
        <v>840</v>
      </c>
    </row>
    <row r="17" spans="1:15">
      <c r="A17" t="s">
        <v>410</v>
      </c>
      <c r="B17" t="s">
        <v>410</v>
      </c>
      <c r="G17" t="s">
        <v>867</v>
      </c>
      <c r="H17" t="str" cm="1">
        <f t="array" ref="H17">_xlfn.TEXTSPLIT(G17,";")</f>
        <v>PINK</v>
      </c>
      <c r="M17" t="s">
        <v>7967</v>
      </c>
      <c r="O17" t="s">
        <v>775</v>
      </c>
    </row>
    <row r="18" spans="1:15">
      <c r="A18" t="s">
        <v>8343</v>
      </c>
      <c r="B18" t="s">
        <v>8343</v>
      </c>
      <c r="G18" t="s">
        <v>7967</v>
      </c>
      <c r="H18" t="str" cm="1">
        <f t="array" ref="H18">_xlfn.TEXTSPLIT(G18,";")</f>
        <v>GARDE</v>
      </c>
      <c r="M18" t="s">
        <v>898</v>
      </c>
      <c r="O18" t="s">
        <v>799</v>
      </c>
    </row>
    <row r="19" spans="1:15">
      <c r="A19" t="s">
        <v>8407</v>
      </c>
      <c r="B19" t="s">
        <v>8407</v>
      </c>
      <c r="G19" t="s">
        <v>898</v>
      </c>
      <c r="H19" t="str" cm="1">
        <f t="array" ref="H19">_xlfn.TEXTSPLIT(G19,";")</f>
        <v>GINGER</v>
      </c>
      <c r="M19" t="s">
        <v>8410</v>
      </c>
      <c r="O19" t="s">
        <v>781</v>
      </c>
    </row>
    <row r="20" spans="1:15">
      <c r="A20" t="s">
        <v>8560</v>
      </c>
      <c r="B20" t="s">
        <v>8560</v>
      </c>
      <c r="G20" t="s">
        <v>8410</v>
      </c>
      <c r="H20" t="str" cm="1">
        <f t="array" ref="H20">_xlfn.TEXTSPLIT(G20,";")</f>
        <v>DAD</v>
      </c>
      <c r="M20" t="s">
        <v>6364</v>
      </c>
      <c r="O20" t="s">
        <v>534</v>
      </c>
    </row>
    <row r="21" spans="1:15">
      <c r="A21" t="s">
        <v>8574</v>
      </c>
      <c r="B21" t="s">
        <v>8574</v>
      </c>
      <c r="G21" t="s">
        <v>6364</v>
      </c>
      <c r="H21" t="str" cm="1">
        <f t="array" ref="H21">_xlfn.TEXTSPLIT(G21,";")</f>
        <v>WINTER</v>
      </c>
      <c r="M21" t="s">
        <v>534</v>
      </c>
      <c r="O21" t="s">
        <v>1059</v>
      </c>
    </row>
    <row r="22" spans="1:15">
      <c r="A22" t="s">
        <v>8597</v>
      </c>
      <c r="B22" t="s">
        <v>8597</v>
      </c>
      <c r="G22" t="s">
        <v>534</v>
      </c>
      <c r="H22" t="str" cm="1">
        <f t="array" ref="H22">_xlfn.TEXTSPLIT(G22,";")</f>
        <v>TRIPEL</v>
      </c>
      <c r="M22" t="s">
        <v>913</v>
      </c>
      <c r="O22" t="s">
        <v>6352</v>
      </c>
    </row>
    <row r="23" spans="1:15">
      <c r="A23" t="s">
        <v>8716</v>
      </c>
      <c r="B23" t="s">
        <v>8716</v>
      </c>
      <c r="G23" t="s">
        <v>913</v>
      </c>
      <c r="H23" t="str" cm="1">
        <f t="array" ref="H23">_xlfn.TEXTSPLIT(G23,";")</f>
        <v>STOUT</v>
      </c>
      <c r="M23" t="s">
        <v>780</v>
      </c>
      <c r="O23" t="s">
        <v>1466</v>
      </c>
    </row>
    <row r="24" spans="1:15">
      <c r="A24" t="s">
        <v>8718</v>
      </c>
      <c r="B24" t="s">
        <v>8718</v>
      </c>
      <c r="G24" t="s">
        <v>780</v>
      </c>
      <c r="H24" t="str" cm="1">
        <f t="array" ref="H24">_xlfn.TEXTSPLIT(G24,";")</f>
        <v>GUEUZE</v>
      </c>
      <c r="M24" t="s">
        <v>5628</v>
      </c>
      <c r="O24" t="s">
        <v>6500</v>
      </c>
    </row>
    <row r="25" spans="1:15">
      <c r="A25" t="s">
        <v>8963</v>
      </c>
      <c r="B25" t="s">
        <v>8963</v>
      </c>
      <c r="G25" t="s">
        <v>5628</v>
      </c>
      <c r="H25" t="str" cm="1">
        <f t="array" ref="H25">_xlfn.TEXTSPLIT(G25,";")</f>
        <v>BEERS_SPECIAL</v>
      </c>
      <c r="M25" t="s">
        <v>6421</v>
      </c>
      <c r="O25" t="s">
        <v>792</v>
      </c>
    </row>
    <row r="26" spans="1:15">
      <c r="A26" t="s">
        <v>9018</v>
      </c>
      <c r="B26" t="s">
        <v>9018</v>
      </c>
      <c r="G26" t="s">
        <v>6958</v>
      </c>
      <c r="H26" t="str" cm="1">
        <f t="array" ref="H26:I26">_xlfn.TEXTSPLIT(G26,";")</f>
        <v>CRAFT</v>
      </c>
      <c r="I26" t="str">
        <v>CORE</v>
      </c>
      <c r="M26" t="s">
        <v>536</v>
      </c>
      <c r="O26" t="s">
        <v>746</v>
      </c>
    </row>
    <row r="27" spans="1:15">
      <c r="A27" t="s">
        <v>275</v>
      </c>
      <c r="B27" t="s">
        <v>275</v>
      </c>
      <c r="G27" t="s">
        <v>5232</v>
      </c>
      <c r="H27" t="str" cm="1">
        <f t="array" ref="H27:I27">_xlfn.TEXTSPLIT(G27,";")</f>
        <v>BLOND</v>
      </c>
      <c r="I27" t="str">
        <v>CORE</v>
      </c>
      <c r="M27" t="s">
        <v>755</v>
      </c>
      <c r="O27" t="s">
        <v>1979</v>
      </c>
    </row>
    <row r="28" spans="1:15">
      <c r="A28" t="s">
        <v>311</v>
      </c>
      <c r="B28" t="s">
        <v>311</v>
      </c>
      <c r="G28" t="s">
        <v>755</v>
      </c>
      <c r="H28" t="str" cm="1">
        <f t="array" ref="H28">_xlfn.TEXTSPLIT(G28,";")</f>
        <v>SUMMER</v>
      </c>
      <c r="M28" t="s">
        <v>7236</v>
      </c>
      <c r="O28" t="s">
        <v>876</v>
      </c>
    </row>
    <row r="29" spans="1:15">
      <c r="A29" t="s">
        <v>513</v>
      </c>
      <c r="B29" t="s">
        <v>513</v>
      </c>
      <c r="G29" t="s">
        <v>7236</v>
      </c>
      <c r="H29" t="str" cm="1">
        <f t="array" ref="H29">_xlfn.TEXTSPLIT(G29,";")</f>
        <v>VISTA</v>
      </c>
      <c r="M29" t="s">
        <v>786</v>
      </c>
      <c r="O29" t="s">
        <v>899</v>
      </c>
    </row>
    <row r="30" spans="1:15">
      <c r="A30" t="s">
        <v>380</v>
      </c>
      <c r="B30" t="s">
        <v>380</v>
      </c>
      <c r="G30" t="s">
        <v>7060</v>
      </c>
      <c r="H30" t="str" cm="1">
        <f t="array" ref="H30:I30">_xlfn.TEXTSPLIT(G30,";")</f>
        <v>HOP</v>
      </c>
      <c r="I30" t="str">
        <v>CORE</v>
      </c>
      <c r="M30" t="s">
        <v>7287</v>
      </c>
      <c r="O30" t="s">
        <v>1478</v>
      </c>
    </row>
    <row r="31" spans="1:15">
      <c r="A31" t="s">
        <v>6595</v>
      </c>
      <c r="B31" t="s">
        <v>6595</v>
      </c>
      <c r="G31" t="s">
        <v>7287</v>
      </c>
      <c r="H31" t="str" cm="1">
        <f t="array" ref="H31">_xlfn.TEXTSPLIT(G31,";")</f>
        <v>NATURE</v>
      </c>
      <c r="M31" t="s">
        <v>768</v>
      </c>
      <c r="O31" t="s">
        <v>777</v>
      </c>
    </row>
    <row r="32" spans="1:15">
      <c r="A32" t="s">
        <v>9476</v>
      </c>
      <c r="B32" t="s">
        <v>9476</v>
      </c>
      <c r="G32" t="s">
        <v>768</v>
      </c>
      <c r="H32" t="str" cm="1">
        <f t="array" ref="H32">_xlfn.TEXTSPLIT(G32,";")</f>
        <v>PRIOR</v>
      </c>
      <c r="M32" t="s">
        <v>772</v>
      </c>
      <c r="O32" t="s">
        <v>1496</v>
      </c>
    </row>
    <row r="33" spans="1:15">
      <c r="A33" t="s">
        <v>9487</v>
      </c>
      <c r="B33" t="s">
        <v>9487</v>
      </c>
      <c r="G33" t="s">
        <v>536</v>
      </c>
      <c r="H33" t="str" cm="1">
        <f t="array" ref="H33">_xlfn.TEXTSPLIT(G33,";")</f>
        <v>BLOND</v>
      </c>
      <c r="M33" t="s">
        <v>444</v>
      </c>
      <c r="O33" t="s">
        <v>5176</v>
      </c>
    </row>
    <row r="34" spans="1:15">
      <c r="A34" t="s">
        <v>206</v>
      </c>
      <c r="B34" t="s">
        <v>206</v>
      </c>
      <c r="G34" t="s">
        <v>6608</v>
      </c>
      <c r="H34" t="str" cm="1">
        <f t="array" ref="H34:J34">_xlfn.TEXTSPLIT(G34,";")</f>
        <v>BLOND</v>
      </c>
      <c r="I34" t="str">
        <v>YUZU</v>
      </c>
      <c r="J34" t="str">
        <v>CORE</v>
      </c>
      <c r="M34" t="s">
        <v>903</v>
      </c>
      <c r="O34" t="s">
        <v>898</v>
      </c>
    </row>
    <row r="35" spans="1:15">
      <c r="A35" t="s">
        <v>7273</v>
      </c>
      <c r="B35" t="s">
        <v>7273</v>
      </c>
      <c r="G35" t="s">
        <v>772</v>
      </c>
      <c r="H35" t="str" cm="1">
        <f t="array" ref="H35">_xlfn.TEXTSPLIT(G35,";")</f>
        <v>DUBBEL</v>
      </c>
      <c r="M35" t="s">
        <v>840</v>
      </c>
      <c r="O35" t="s">
        <v>769</v>
      </c>
    </row>
    <row r="36" spans="1:15">
      <c r="A36" t="s">
        <v>6597</v>
      </c>
      <c r="B36" t="s">
        <v>6597</v>
      </c>
      <c r="G36" t="s">
        <v>444</v>
      </c>
      <c r="H36" t="str" cm="1">
        <f t="array" ref="H36">_xlfn.TEXTSPLIT(G36,";")</f>
        <v>SINGLE</v>
      </c>
      <c r="M36" t="s">
        <v>7032</v>
      </c>
      <c r="O36" t="s">
        <v>751</v>
      </c>
    </row>
    <row r="37" spans="1:15">
      <c r="A37" t="s">
        <v>7152</v>
      </c>
      <c r="B37" t="s">
        <v>7152</v>
      </c>
      <c r="G37" t="s">
        <v>903</v>
      </c>
      <c r="H37" t="str" cm="1">
        <f t="array" ref="H37">_xlfn.TEXTSPLIT(G37,";")</f>
        <v>DARK</v>
      </c>
      <c r="O37" t="s">
        <v>6934</v>
      </c>
    </row>
    <row r="38" spans="1:15">
      <c r="A38" t="s">
        <v>7223</v>
      </c>
      <c r="B38" t="s">
        <v>7223</v>
      </c>
      <c r="G38" t="s">
        <v>840</v>
      </c>
      <c r="H38" t="str" cm="1">
        <f t="array" ref="H38">_xlfn.TEXTSPLIT(G38,";")</f>
        <v>QUADRUPEL</v>
      </c>
      <c r="M38" t="s">
        <v>7216</v>
      </c>
      <c r="O38" t="s">
        <v>5190</v>
      </c>
    </row>
    <row r="39" spans="1:15">
      <c r="A39" t="s">
        <v>7234</v>
      </c>
      <c r="B39" t="s">
        <v>7234</v>
      </c>
      <c r="G39" t="s">
        <v>6599</v>
      </c>
      <c r="H39" t="str" cm="1">
        <f t="array" ref="H39:I39">_xlfn.TEXTSPLIT(G39,";")</f>
        <v>DARK</v>
      </c>
      <c r="I39" t="str">
        <v>MEMENTO</v>
      </c>
      <c r="M39" t="s">
        <v>751</v>
      </c>
      <c r="O39" t="s">
        <v>1513</v>
      </c>
    </row>
    <row r="40" spans="1:15">
      <c r="A40" t="s">
        <v>7154</v>
      </c>
      <c r="B40" t="s">
        <v>7154</v>
      </c>
      <c r="G40" t="s">
        <v>7031</v>
      </c>
      <c r="H40" t="str" cm="1">
        <f t="array" ref="H40:I40">_xlfn.TEXTSPLIT(G40,";")</f>
        <v>GALLANT</v>
      </c>
      <c r="I40" t="str">
        <v>GRAND_CRU</v>
      </c>
      <c r="M40" t="s">
        <v>7302</v>
      </c>
      <c r="O40" t="s">
        <v>1469</v>
      </c>
    </row>
    <row r="41" spans="1:15">
      <c r="A41" t="s">
        <v>7268</v>
      </c>
      <c r="B41" t="s">
        <v>7268</v>
      </c>
      <c r="G41" t="s">
        <v>7032</v>
      </c>
      <c r="H41" t="str" cm="1">
        <f t="array" ref="H41">_xlfn.TEXTSPLIT(G41,";")</f>
        <v>GALLANT</v>
      </c>
      <c r="M41" t="s">
        <v>6596</v>
      </c>
      <c r="O41" t="s">
        <v>6926</v>
      </c>
    </row>
    <row r="42" spans="1:15">
      <c r="A42" t="s">
        <v>7198</v>
      </c>
      <c r="B42" t="s">
        <v>7198</v>
      </c>
      <c r="M42" t="s">
        <v>7344</v>
      </c>
      <c r="O42" t="s">
        <v>1488</v>
      </c>
    </row>
    <row r="43" spans="1:15">
      <c r="A43" t="s">
        <v>271</v>
      </c>
      <c r="B43" t="s">
        <v>271</v>
      </c>
      <c r="G43" t="s">
        <v>7216</v>
      </c>
      <c r="H43" t="str" cm="1">
        <f t="array" ref="H43">_xlfn.TEXTSPLIT(G43,";")</f>
        <v>WIJZE</v>
      </c>
      <c r="M43" t="s">
        <v>7346</v>
      </c>
      <c r="O43" t="s">
        <v>788</v>
      </c>
    </row>
    <row r="44" spans="1:15">
      <c r="A44" t="s">
        <v>274</v>
      </c>
      <c r="B44" t="s">
        <v>274</v>
      </c>
      <c r="G44" t="s">
        <v>6598</v>
      </c>
      <c r="H44" t="str" cm="1">
        <f t="array" ref="H44:I44">_xlfn.TEXTSPLIT(G44,";")</f>
        <v>BLOND</v>
      </c>
      <c r="I44" t="str">
        <v>AURORA</v>
      </c>
      <c r="M44" t="s">
        <v>7348</v>
      </c>
      <c r="O44" t="s">
        <v>10147</v>
      </c>
    </row>
    <row r="45" spans="1:15">
      <c r="A45" t="s">
        <v>1057</v>
      </c>
      <c r="B45" t="s">
        <v>1057</v>
      </c>
      <c r="G45" t="s">
        <v>751</v>
      </c>
      <c r="H45" t="str" cm="1">
        <f t="array" ref="H45">_xlfn.TEXTSPLIT(G45,";")</f>
        <v>AMBER</v>
      </c>
      <c r="M45" t="s">
        <v>10023</v>
      </c>
      <c r="O45" t="s">
        <v>904</v>
      </c>
    </row>
    <row r="46" spans="1:15">
      <c r="A46" t="s">
        <v>7283</v>
      </c>
      <c r="B46" t="s">
        <v>7283</v>
      </c>
      <c r="G46" t="s">
        <v>786</v>
      </c>
      <c r="H46" t="str" cm="1">
        <f t="array" ref="H46">_xlfn.TEXTSPLIT(G46,";")</f>
        <v>HOP</v>
      </c>
      <c r="M46" t="s">
        <v>899</v>
      </c>
      <c r="O46" t="s">
        <v>872</v>
      </c>
    </row>
    <row r="47" spans="1:15">
      <c r="A47" t="s">
        <v>1124</v>
      </c>
      <c r="B47" t="s">
        <v>1124</v>
      </c>
      <c r="G47" t="s">
        <v>7302</v>
      </c>
      <c r="H47" t="str" cm="1">
        <f t="array" ref="H47">_xlfn.TEXTSPLIT(G47,";")</f>
        <v>CANTOR</v>
      </c>
      <c r="M47" t="s">
        <v>7413</v>
      </c>
      <c r="O47" t="s">
        <v>655</v>
      </c>
    </row>
    <row r="48" spans="1:15">
      <c r="A48" t="s">
        <v>287</v>
      </c>
      <c r="B48" t="s">
        <v>287</v>
      </c>
      <c r="G48" t="s">
        <v>6596</v>
      </c>
      <c r="H48" t="str" cm="1">
        <f t="array" ref="H48">_xlfn.TEXTSPLIT(G48,";")</f>
        <v>MOSCATEL</v>
      </c>
      <c r="M48" t="s">
        <v>781</v>
      </c>
    </row>
    <row r="49" spans="1:13">
      <c r="A49" t="s">
        <v>7257</v>
      </c>
      <c r="B49" t="s">
        <v>7257</v>
      </c>
      <c r="G49" t="s">
        <v>7344</v>
      </c>
      <c r="H49" t="str" cm="1">
        <f t="array" ref="H49">_xlfn.TEXTSPLIT(G49,";")</f>
        <v>LIBERTE</v>
      </c>
      <c r="M49" t="s">
        <v>765</v>
      </c>
    </row>
    <row r="50" spans="1:13">
      <c r="A50" t="s">
        <v>6607</v>
      </c>
      <c r="B50" t="s">
        <v>6607</v>
      </c>
      <c r="G50" t="s">
        <v>7346</v>
      </c>
      <c r="H50" t="str" cm="1">
        <f t="array" ref="H50">_xlfn.TEXTSPLIT(G50,";")</f>
        <v>LOI</v>
      </c>
      <c r="M50" t="s">
        <v>904</v>
      </c>
    </row>
    <row r="51" spans="1:13">
      <c r="A51" t="s">
        <v>7168</v>
      </c>
      <c r="B51" t="s">
        <v>7168</v>
      </c>
      <c r="G51" t="s">
        <v>7348</v>
      </c>
      <c r="H51" t="str" cm="1">
        <f t="array" ref="H51">_xlfn.TEXTSPLIT(G51,";")</f>
        <v>ROI</v>
      </c>
      <c r="M51" t="s">
        <v>7471</v>
      </c>
    </row>
    <row r="52" spans="1:13">
      <c r="A52" t="s">
        <v>289</v>
      </c>
      <c r="B52" t="s">
        <v>289</v>
      </c>
      <c r="G52" t="s">
        <v>10023</v>
      </c>
      <c r="H52" t="str" cm="1">
        <f t="array" ref="H52">_xlfn.TEXTSPLIT(G52,";")</f>
        <v>AMBREE</v>
      </c>
      <c r="M52" t="s">
        <v>7473</v>
      </c>
    </row>
    <row r="53" spans="1:13">
      <c r="A53" t="s">
        <v>7132</v>
      </c>
      <c r="B53" t="s">
        <v>7132</v>
      </c>
      <c r="G53" t="s">
        <v>6652</v>
      </c>
      <c r="H53" t="str" cm="1">
        <f t="array" ref="H53:I53">_xlfn.TEXTSPLIT(G53,";")</f>
        <v>ORIGINAL</v>
      </c>
      <c r="I53" t="str">
        <v>CORE</v>
      </c>
      <c r="M53" t="s">
        <v>7488</v>
      </c>
    </row>
    <row r="54" spans="1:13">
      <c r="A54" t="s">
        <v>237</v>
      </c>
      <c r="B54" t="s">
        <v>237</v>
      </c>
      <c r="G54" t="s">
        <v>7413</v>
      </c>
      <c r="H54" t="str" cm="1">
        <f t="array" ref="H54">_xlfn.TEXTSPLIT(G54,";")</f>
        <v>JUBILEUM</v>
      </c>
      <c r="M54" t="s">
        <v>7522</v>
      </c>
    </row>
    <row r="55" spans="1:13">
      <c r="A55" t="s">
        <v>1779</v>
      </c>
      <c r="B55" t="s">
        <v>1779</v>
      </c>
      <c r="G55" t="s">
        <v>781</v>
      </c>
      <c r="H55" t="str" cm="1">
        <f t="array" ref="H55">_xlfn.TEXTSPLIT(G55,";")</f>
        <v>GOLD</v>
      </c>
      <c r="M55" t="s">
        <v>7524</v>
      </c>
    </row>
    <row r="56" spans="1:13">
      <c r="A56" t="s">
        <v>7281</v>
      </c>
      <c r="B56" t="s">
        <v>7281</v>
      </c>
      <c r="G56" t="s">
        <v>5235</v>
      </c>
      <c r="H56" t="str" cm="1">
        <f t="array" ref="H56:I56">_xlfn.TEXTSPLIT(G56,";")</f>
        <v>CORE</v>
      </c>
      <c r="I56" t="str">
        <v>BLOND</v>
      </c>
      <c r="M56" t="s">
        <v>908</v>
      </c>
    </row>
    <row r="57" spans="1:13">
      <c r="A57" t="s">
        <v>1329</v>
      </c>
      <c r="B57" t="s">
        <v>1329</v>
      </c>
      <c r="G57" t="s">
        <v>765</v>
      </c>
      <c r="H57" t="str" cm="1">
        <f t="array" ref="H57">_xlfn.TEXTSPLIT(G57,";")</f>
        <v>BRUT</v>
      </c>
      <c r="M57" t="s">
        <v>879</v>
      </c>
    </row>
    <row r="58" spans="1:13">
      <c r="A58" t="s">
        <v>7128</v>
      </c>
      <c r="B58" t="s">
        <v>7128</v>
      </c>
      <c r="G58" t="s">
        <v>7434</v>
      </c>
      <c r="H58" t="str" cm="1">
        <f t="array" ref="H58:I58">_xlfn.TEXTSPLIT(G58,";")</f>
        <v>CORE</v>
      </c>
      <c r="I58" t="str">
        <v>TRINQUE</v>
      </c>
      <c r="M58" t="s">
        <v>7544</v>
      </c>
    </row>
    <row r="59" spans="1:13">
      <c r="A59" t="s">
        <v>6639</v>
      </c>
      <c r="B59" t="s">
        <v>6639</v>
      </c>
      <c r="G59" t="s">
        <v>6945</v>
      </c>
      <c r="H59" t="str" cm="1">
        <f t="array" ref="H59:I59">_xlfn.TEXTSPLIT(G59,";")</f>
        <v>AMBER</v>
      </c>
      <c r="I59" t="str">
        <v>CORE</v>
      </c>
      <c r="M59" t="s">
        <v>5575</v>
      </c>
    </row>
    <row r="60" spans="1:13">
      <c r="A60" t="s">
        <v>240</v>
      </c>
      <c r="B60" t="s">
        <v>240</v>
      </c>
      <c r="G60" t="s">
        <v>904</v>
      </c>
      <c r="H60" t="str" cm="1">
        <f t="array" ref="H60">_xlfn.TEXTSPLIT(G60,";")</f>
        <v>PRESTIGE</v>
      </c>
      <c r="M60" t="s">
        <v>7566</v>
      </c>
    </row>
    <row r="61" spans="1:13">
      <c r="A61" t="s">
        <v>7207</v>
      </c>
      <c r="B61" t="s">
        <v>7207</v>
      </c>
      <c r="G61" t="s">
        <v>7471</v>
      </c>
      <c r="H61" t="str" cm="1">
        <f t="array" ref="H61">_xlfn.TEXTSPLIT(G61,";")</f>
        <v>BEE_GEES</v>
      </c>
      <c r="M61" t="s">
        <v>7590</v>
      </c>
    </row>
    <row r="62" spans="1:13">
      <c r="A62" t="s">
        <v>7164</v>
      </c>
      <c r="B62" t="s">
        <v>7164</v>
      </c>
      <c r="G62" t="s">
        <v>7473</v>
      </c>
      <c r="H62" t="str" cm="1">
        <f t="array" ref="H62">_xlfn.TEXTSPLIT(G62,";")</f>
        <v>SPIRIT</v>
      </c>
      <c r="M62" t="s">
        <v>775</v>
      </c>
    </row>
    <row r="63" spans="1:13">
      <c r="A63" t="s">
        <v>6589</v>
      </c>
      <c r="B63" t="s">
        <v>6589</v>
      </c>
      <c r="G63" t="s">
        <v>7488</v>
      </c>
      <c r="H63" t="str" cm="1">
        <f t="array" ref="H63">_xlfn.TEXTSPLIT(G63,";")</f>
        <v>MAISON</v>
      </c>
      <c r="M63" t="s">
        <v>7602</v>
      </c>
    </row>
    <row r="64" spans="1:13">
      <c r="A64" t="s">
        <v>6637</v>
      </c>
      <c r="B64" t="s">
        <v>6637</v>
      </c>
      <c r="G64" t="s">
        <v>7522</v>
      </c>
      <c r="H64" t="str" cm="1">
        <f t="array" ref="H64">_xlfn.TEXTSPLIT(G64,";")</f>
        <v>HUGUES</v>
      </c>
      <c r="M64" t="s">
        <v>7624</v>
      </c>
    </row>
    <row r="65" spans="1:13">
      <c r="A65" t="s">
        <v>7297</v>
      </c>
      <c r="B65" t="s">
        <v>7297</v>
      </c>
      <c r="G65" t="s">
        <v>7524</v>
      </c>
      <c r="H65" t="str" cm="1">
        <f t="array" ref="H65">_xlfn.TEXTSPLIT(G65,";")</f>
        <v>SERGE</v>
      </c>
      <c r="M65" t="s">
        <v>2000</v>
      </c>
    </row>
    <row r="66" spans="1:13">
      <c r="A66" t="s">
        <v>7161</v>
      </c>
      <c r="B66" t="s">
        <v>7161</v>
      </c>
      <c r="G66" t="s">
        <v>908</v>
      </c>
      <c r="H66" t="str" cm="1">
        <f t="array" ref="H66">_xlfn.TEXTSPLIT(G66,";")</f>
        <v>FESTIVE</v>
      </c>
      <c r="M66" t="s">
        <v>7675</v>
      </c>
    </row>
    <row r="67" spans="1:13">
      <c r="A67" t="s">
        <v>7238</v>
      </c>
      <c r="B67" t="s">
        <v>7238</v>
      </c>
      <c r="G67" t="s">
        <v>879</v>
      </c>
      <c r="H67" t="str" cm="1">
        <f t="array" ref="H67">_xlfn.TEXTSPLIT(G67,";")</f>
        <v>HONEY</v>
      </c>
      <c r="M67" t="s">
        <v>7773</v>
      </c>
    </row>
    <row r="68" spans="1:13">
      <c r="A68" t="s">
        <v>7320</v>
      </c>
      <c r="B68" t="s">
        <v>7320</v>
      </c>
      <c r="G68" t="s">
        <v>7544</v>
      </c>
      <c r="H68" t="str" cm="1">
        <f t="array" ref="H68">_xlfn.TEXTSPLIT(G68,";")</f>
        <v>BARON</v>
      </c>
      <c r="M68" t="s">
        <v>7775</v>
      </c>
    </row>
    <row r="69" spans="1:13">
      <c r="A69" t="s">
        <v>1125</v>
      </c>
      <c r="B69" t="s">
        <v>1125</v>
      </c>
      <c r="G69" t="s">
        <v>5575</v>
      </c>
      <c r="H69" t="str" cm="1">
        <f t="array" ref="H69">_xlfn.TEXTSPLIT(G69,";")</f>
        <v>BELGIAN_BLONDE</v>
      </c>
      <c r="M69" t="s">
        <v>7890</v>
      </c>
    </row>
    <row r="70" spans="1:13">
      <c r="A70" t="s">
        <v>7204</v>
      </c>
      <c r="B70" t="s">
        <v>7204</v>
      </c>
      <c r="G70" t="s">
        <v>7566</v>
      </c>
      <c r="H70" t="str" cm="1">
        <f t="array" ref="H70">_xlfn.TEXTSPLIT(G70,";")</f>
        <v>EVENTS</v>
      </c>
      <c r="M70" t="s">
        <v>7904</v>
      </c>
    </row>
    <row r="71" spans="1:13">
      <c r="A71" t="s">
        <v>345</v>
      </c>
      <c r="B71" t="s">
        <v>345</v>
      </c>
      <c r="G71" t="s">
        <v>7590</v>
      </c>
      <c r="H71" t="str" cm="1">
        <f t="array" ref="H71">_xlfn.TEXTSPLIT(G71,";")</f>
        <v>KITAP</v>
      </c>
      <c r="M71" t="s">
        <v>793</v>
      </c>
    </row>
    <row r="72" spans="1:13">
      <c r="A72" t="s">
        <v>7259</v>
      </c>
      <c r="B72" t="s">
        <v>7259</v>
      </c>
      <c r="G72" t="s">
        <v>775</v>
      </c>
      <c r="H72" t="str" cm="1">
        <f t="array" ref="H72">_xlfn.TEXTSPLIT(G72,";")</f>
        <v>RED</v>
      </c>
      <c r="M72" t="s">
        <v>7928</v>
      </c>
    </row>
    <row r="73" spans="1:13">
      <c r="A73" t="s">
        <v>7183</v>
      </c>
      <c r="B73" t="s">
        <v>7183</v>
      </c>
      <c r="G73" t="s">
        <v>7602</v>
      </c>
      <c r="H73" t="str" cm="1">
        <f t="array" ref="H73">_xlfn.TEXTSPLIT(G73,";")</f>
        <v>MAGUS</v>
      </c>
      <c r="M73" t="s">
        <v>7950</v>
      </c>
    </row>
    <row r="74" spans="1:13">
      <c r="A74" t="s">
        <v>7342</v>
      </c>
      <c r="B74" t="s">
        <v>7342</v>
      </c>
      <c r="G74" t="s">
        <v>7624</v>
      </c>
      <c r="H74" t="str" cm="1">
        <f t="array" ref="H74">_xlfn.TEXTSPLIT(G74,";")</f>
        <v>CADET</v>
      </c>
      <c r="M74" t="s">
        <v>799</v>
      </c>
    </row>
    <row r="75" spans="1:13">
      <c r="A75" t="s">
        <v>7352</v>
      </c>
      <c r="B75" t="s">
        <v>7352</v>
      </c>
      <c r="G75" t="s">
        <v>2000</v>
      </c>
      <c r="H75" t="str" cm="1">
        <f t="array" ref="H75">_xlfn.TEXTSPLIT(G75,";")</f>
        <v>LIGHT</v>
      </c>
      <c r="M75" t="s">
        <v>747</v>
      </c>
    </row>
    <row r="76" spans="1:13">
      <c r="A76" t="s">
        <v>516</v>
      </c>
      <c r="B76" t="s">
        <v>516</v>
      </c>
      <c r="G76" t="s">
        <v>7675</v>
      </c>
      <c r="H76" t="str" cm="1">
        <f t="array" ref="H76">_xlfn.TEXTSPLIT(G76,";")</f>
        <v>SEIZE</v>
      </c>
      <c r="M76" t="s">
        <v>561</v>
      </c>
    </row>
    <row r="77" spans="1:13">
      <c r="A77" t="s">
        <v>7371</v>
      </c>
      <c r="B77" t="s">
        <v>7371</v>
      </c>
      <c r="G77" t="s">
        <v>7773</v>
      </c>
      <c r="H77" t="str" cm="1">
        <f t="array" ref="H77">_xlfn.TEXTSPLIT(G77,";")</f>
        <v>EMERITE</v>
      </c>
      <c r="M77" t="s">
        <v>1987</v>
      </c>
    </row>
    <row r="78" spans="1:13">
      <c r="A78" t="s">
        <v>7375</v>
      </c>
      <c r="B78" t="s">
        <v>7375</v>
      </c>
      <c r="G78" t="s">
        <v>7775</v>
      </c>
      <c r="H78" t="str" cm="1">
        <f t="array" ref="H78">_xlfn.TEXTSPLIT(G78,";")</f>
        <v>HERITAGE</v>
      </c>
      <c r="M78" t="s">
        <v>976</v>
      </c>
    </row>
    <row r="79" spans="1:13">
      <c r="A79" t="s">
        <v>7377</v>
      </c>
      <c r="B79" t="s">
        <v>7377</v>
      </c>
      <c r="G79" t="s">
        <v>7890</v>
      </c>
      <c r="H79" t="str" cm="1">
        <f t="array" ref="H79">_xlfn.TEXTSPLIT(G79,";")</f>
        <v>ARTISANAL</v>
      </c>
      <c r="M79" t="s">
        <v>872</v>
      </c>
    </row>
    <row r="80" spans="1:13">
      <c r="A80" t="s">
        <v>1418</v>
      </c>
      <c r="B80" t="s">
        <v>1418</v>
      </c>
      <c r="G80" t="s">
        <v>7904</v>
      </c>
      <c r="H80" t="str" cm="1">
        <f t="array" ref="H80">_xlfn.TEXTSPLIT(G80,";")</f>
        <v>AMUSE</v>
      </c>
      <c r="M80" t="s">
        <v>8031</v>
      </c>
    </row>
    <row r="81" spans="1:13">
      <c r="A81" t="s">
        <v>301</v>
      </c>
      <c r="B81" t="s">
        <v>301</v>
      </c>
      <c r="G81" t="s">
        <v>793</v>
      </c>
      <c r="H81" t="str" cm="1">
        <f t="array" ref="H81">_xlfn.TEXTSPLIT(G81,";")</f>
        <v>CARACTERE</v>
      </c>
      <c r="M81" t="s">
        <v>782</v>
      </c>
    </row>
    <row r="82" spans="1:13">
      <c r="A82" t="s">
        <v>7415</v>
      </c>
      <c r="B82" t="s">
        <v>7415</v>
      </c>
      <c r="G82" t="s">
        <v>7928</v>
      </c>
      <c r="H82" t="str" cm="1">
        <f t="array" ref="H82">_xlfn.TEXTSPLIT(G82,";")</f>
        <v>PARADISE</v>
      </c>
      <c r="M82" t="s">
        <v>1992</v>
      </c>
    </row>
    <row r="83" spans="1:13">
      <c r="A83" t="s">
        <v>3</v>
      </c>
      <c r="B83" t="s">
        <v>3</v>
      </c>
      <c r="G83" t="s">
        <v>7950</v>
      </c>
      <c r="H83" t="str" cm="1">
        <f t="array" ref="H83">_xlfn.TEXTSPLIT(G83,";")</f>
        <v>ZEBREE</v>
      </c>
      <c r="M83" t="s">
        <v>7515</v>
      </c>
    </row>
    <row r="84" spans="1:13">
      <c r="A84" t="s">
        <v>386</v>
      </c>
      <c r="B84" t="s">
        <v>386</v>
      </c>
      <c r="G84" t="s">
        <v>5487</v>
      </c>
      <c r="H84" t="str" cm="1">
        <f t="array" ref="H84:J84">_xlfn.TEXTSPLIT(G84,";")</f>
        <v>GREEN</v>
      </c>
      <c r="I84" t="str">
        <v>150</v>
      </c>
      <c r="J84" t="str">
        <v>10</v>
      </c>
      <c r="M84" t="s">
        <v>9990</v>
      </c>
    </row>
    <row r="85" spans="1:13">
      <c r="A85" t="s">
        <v>238</v>
      </c>
      <c r="B85" t="s">
        <v>238</v>
      </c>
      <c r="G85" t="s">
        <v>6438</v>
      </c>
      <c r="H85" t="str" cm="1">
        <f t="array" ref="H85:I85">_xlfn.TEXTSPLIT(G85,";")</f>
        <v>GOLD</v>
      </c>
      <c r="I85" t="str">
        <v>LAGER</v>
      </c>
      <c r="M85" t="s">
        <v>1986</v>
      </c>
    </row>
    <row r="86" spans="1:13">
      <c r="A86" t="s">
        <v>7275</v>
      </c>
      <c r="B86" t="s">
        <v>7275</v>
      </c>
      <c r="G86" t="s">
        <v>5242</v>
      </c>
      <c r="H86" t="str" cm="1">
        <f t="array" ref="H86:I86">_xlfn.TEXTSPLIT(G86,";")</f>
        <v>LITE</v>
      </c>
      <c r="I86" t="str">
        <v>LIGHT</v>
      </c>
      <c r="M86" t="s">
        <v>3476</v>
      </c>
    </row>
    <row r="87" spans="1:13">
      <c r="A87" t="s">
        <v>387</v>
      </c>
      <c r="B87" t="s">
        <v>387</v>
      </c>
      <c r="G87" t="s">
        <v>561</v>
      </c>
      <c r="H87" t="str" cm="1">
        <f t="array" ref="H87">_xlfn.TEXTSPLIT(G87,";")</f>
        <v>IPA</v>
      </c>
      <c r="M87" t="s">
        <v>939</v>
      </c>
    </row>
    <row r="88" spans="1:13">
      <c r="A88" t="s">
        <v>7433</v>
      </c>
      <c r="B88" t="s">
        <v>7433</v>
      </c>
      <c r="G88" t="s">
        <v>1987</v>
      </c>
      <c r="H88" t="str" cm="1">
        <f t="array" ref="H88">_xlfn.TEXTSPLIT(G88,";")</f>
        <v>SUN</v>
      </c>
      <c r="M88" t="s">
        <v>8070</v>
      </c>
    </row>
    <row r="89" spans="1:13">
      <c r="A89" t="s">
        <v>7437</v>
      </c>
      <c r="B89" t="s">
        <v>7437</v>
      </c>
      <c r="G89" t="s">
        <v>5247</v>
      </c>
      <c r="H89" t="str" cm="1">
        <f t="array" ref="H89:I89">_xlfn.TEXTSPLIT(G89,";")</f>
        <v>GOLDEN_BLOND</v>
      </c>
      <c r="I89" t="str">
        <v>GOLD</v>
      </c>
      <c r="M89" t="s">
        <v>8136</v>
      </c>
    </row>
    <row r="90" spans="1:13">
      <c r="A90" t="s">
        <v>7439</v>
      </c>
      <c r="B90" t="s">
        <v>7439</v>
      </c>
      <c r="G90" t="s">
        <v>872</v>
      </c>
      <c r="H90" t="str" cm="1">
        <f t="array" ref="H90">_xlfn.TEXTSPLIT(G90,";")</f>
        <v>CUVEE</v>
      </c>
      <c r="M90" t="s">
        <v>6585</v>
      </c>
    </row>
    <row r="91" spans="1:13">
      <c r="A91" t="s">
        <v>7445</v>
      </c>
      <c r="B91" t="s">
        <v>7445</v>
      </c>
      <c r="G91" t="s">
        <v>8031</v>
      </c>
      <c r="H91" t="str" cm="1">
        <f t="array" ref="H91">_xlfn.TEXTSPLIT(G91,";")</f>
        <v>PAPA</v>
      </c>
      <c r="M91" t="s">
        <v>8139</v>
      </c>
    </row>
    <row r="92" spans="1:13">
      <c r="A92" t="s">
        <v>388</v>
      </c>
      <c r="B92" t="s">
        <v>388</v>
      </c>
      <c r="G92" t="s">
        <v>782</v>
      </c>
      <c r="H92" t="str" cm="1">
        <f t="array" ref="H92">_xlfn.TEXTSPLIT(G92,";")</f>
        <v>BLUE</v>
      </c>
      <c r="M92" t="s">
        <v>8151</v>
      </c>
    </row>
    <row r="93" spans="1:13">
      <c r="A93" t="s">
        <v>7464</v>
      </c>
      <c r="B93" t="s">
        <v>7464</v>
      </c>
      <c r="G93" t="s">
        <v>7815</v>
      </c>
      <c r="H93" t="str" cm="1">
        <f t="array" ref="H93:I93">_xlfn.TEXTSPLIT(G93,";")</f>
        <v>CRU</v>
      </c>
      <c r="I93" t="str">
        <v>GRAND</v>
      </c>
      <c r="M93" t="s">
        <v>7253</v>
      </c>
    </row>
    <row r="94" spans="1:13">
      <c r="A94" t="s">
        <v>318</v>
      </c>
      <c r="B94" t="s">
        <v>318</v>
      </c>
      <c r="G94" t="s">
        <v>7515</v>
      </c>
      <c r="H94" t="str" cm="1">
        <f t="array" ref="H94">_xlfn.TEXTSPLIT(G94,";")</f>
        <v>BIO</v>
      </c>
      <c r="M94" t="s">
        <v>917</v>
      </c>
    </row>
    <row r="95" spans="1:13">
      <c r="A95" t="s">
        <v>7467</v>
      </c>
      <c r="B95" t="s">
        <v>7467</v>
      </c>
      <c r="G95" t="s">
        <v>9990</v>
      </c>
      <c r="H95" t="str" cm="1">
        <f t="array" ref="H95">_xlfn.TEXTSPLIT(G95,";")</f>
        <v xml:space="preserve">BLOND| </v>
      </c>
      <c r="M95" t="s">
        <v>748</v>
      </c>
    </row>
    <row r="96" spans="1:13">
      <c r="A96" t="s">
        <v>355</v>
      </c>
      <c r="B96" t="s">
        <v>355</v>
      </c>
      <c r="G96" t="s">
        <v>1986</v>
      </c>
      <c r="H96" t="str" cm="1">
        <f t="array" ref="H96">_xlfn.TEXTSPLIT(G96,";")</f>
        <v>CASHMERE</v>
      </c>
      <c r="M96" t="s">
        <v>759</v>
      </c>
    </row>
    <row r="97" spans="1:16">
      <c r="A97" t="s">
        <v>390</v>
      </c>
      <c r="B97" t="s">
        <v>390</v>
      </c>
      <c r="G97" t="s">
        <v>3476</v>
      </c>
      <c r="H97" t="str" cm="1">
        <f t="array" ref="H97">_xlfn.TEXTSPLIT(G97,";")</f>
        <v>666</v>
      </c>
      <c r="M97" t="s">
        <v>771</v>
      </c>
    </row>
    <row r="98" spans="1:16">
      <c r="A98" t="s">
        <v>7645</v>
      </c>
      <c r="B98" t="s">
        <v>7645</v>
      </c>
      <c r="G98" t="s">
        <v>6966</v>
      </c>
      <c r="H98" t="str" cm="1">
        <f t="array" ref="H98:K98">_xlfn.TEXTSPLIT(G98,";")</f>
        <v>TRIPEL_HOP</v>
      </c>
      <c r="I98" t="str">
        <v>TRIPEL</v>
      </c>
      <c r="J98" t="str">
        <v>HOP</v>
      </c>
      <c r="K98" t="str">
        <v>IPA</v>
      </c>
      <c r="M98" t="s">
        <v>8184</v>
      </c>
      <c r="P98" t="s">
        <v>561</v>
      </c>
    </row>
    <row r="99" spans="1:16">
      <c r="A99" t="s">
        <v>7485</v>
      </c>
      <c r="B99" t="s">
        <v>7485</v>
      </c>
      <c r="G99" t="s">
        <v>8070</v>
      </c>
      <c r="H99" t="str" cm="1">
        <f t="array" ref="H99">_xlfn.TEXTSPLIT(G99,";")</f>
        <v>BARREL</v>
      </c>
      <c r="M99" t="s">
        <v>8190</v>
      </c>
    </row>
    <row r="100" spans="1:16">
      <c r="A100" t="s">
        <v>391</v>
      </c>
      <c r="B100" t="s">
        <v>391</v>
      </c>
      <c r="G100" t="s">
        <v>8136</v>
      </c>
      <c r="H100" t="str" cm="1">
        <f t="array" ref="H100">_xlfn.TEXTSPLIT(G100,";")</f>
        <v>BRASIL</v>
      </c>
      <c r="M100" t="s">
        <v>8283</v>
      </c>
    </row>
    <row r="101" spans="1:16">
      <c r="A101" t="s">
        <v>7507</v>
      </c>
      <c r="B101" t="s">
        <v>7507</v>
      </c>
      <c r="G101" t="s">
        <v>6585</v>
      </c>
      <c r="H101" t="str" cm="1">
        <f t="array" ref="H101">_xlfn.TEXTSPLIT(G101,";")</f>
        <v>IRISH</v>
      </c>
      <c r="M101" t="s">
        <v>8292</v>
      </c>
    </row>
    <row r="102" spans="1:16">
      <c r="A102" t="s">
        <v>241</v>
      </c>
      <c r="B102" t="s">
        <v>241</v>
      </c>
      <c r="G102" t="s">
        <v>8139</v>
      </c>
      <c r="H102" t="str" cm="1">
        <f t="array" ref="H102">_xlfn.TEXTSPLIT(G102,";")</f>
        <v>RUM</v>
      </c>
      <c r="M102" t="s">
        <v>8294</v>
      </c>
    </row>
    <row r="103" spans="1:16">
      <c r="A103" t="s">
        <v>7381</v>
      </c>
      <c r="B103" t="s">
        <v>7381</v>
      </c>
      <c r="G103" t="s">
        <v>8151</v>
      </c>
      <c r="H103" t="str" cm="1">
        <f t="array" ref="H103">_xlfn.TEXTSPLIT(G103,";")</f>
        <v>CASQUETTE</v>
      </c>
      <c r="M103" t="s">
        <v>8296</v>
      </c>
    </row>
    <row r="104" spans="1:16">
      <c r="A104" t="s">
        <v>7510</v>
      </c>
      <c r="B104" t="s">
        <v>7510</v>
      </c>
      <c r="G104" t="s">
        <v>7253</v>
      </c>
      <c r="H104" t="str" cm="1">
        <f t="array" ref="H104">_xlfn.TEXTSPLIT(G104,";")</f>
        <v>TANTEKE</v>
      </c>
      <c r="M104" t="s">
        <v>6948</v>
      </c>
    </row>
    <row r="105" spans="1:16">
      <c r="A105" t="s">
        <v>8</v>
      </c>
      <c r="B105" t="s">
        <v>8</v>
      </c>
      <c r="G105" t="s">
        <v>917</v>
      </c>
      <c r="H105" t="str" cm="1">
        <f t="array" ref="H105">_xlfn.TEXTSPLIT(G105,";")</f>
        <v>YODELEIR</v>
      </c>
      <c r="M105" t="s">
        <v>8319</v>
      </c>
    </row>
    <row r="106" spans="1:16">
      <c r="A106" t="s">
        <v>7521</v>
      </c>
      <c r="B106" t="s">
        <v>7521</v>
      </c>
      <c r="G106" t="s">
        <v>748</v>
      </c>
      <c r="H106" t="str" cm="1">
        <f t="array" ref="H106">_xlfn.TEXTSPLIT(G106,";")</f>
        <v>PATER</v>
      </c>
      <c r="M106" t="s">
        <v>854</v>
      </c>
    </row>
    <row r="107" spans="1:16">
      <c r="A107" t="s">
        <v>7527</v>
      </c>
      <c r="B107" t="s">
        <v>7527</v>
      </c>
      <c r="G107">
        <v>6</v>
      </c>
      <c r="H107" t="str" cm="1">
        <f t="array" ref="H107">_xlfn.TEXTSPLIT(G107,";")</f>
        <v>6</v>
      </c>
      <c r="M107" t="s">
        <v>8335</v>
      </c>
    </row>
    <row r="108" spans="1:16">
      <c r="A108" t="s">
        <v>242</v>
      </c>
      <c r="B108" t="s">
        <v>242</v>
      </c>
      <c r="G108" t="s">
        <v>771</v>
      </c>
      <c r="H108" t="str" cm="1">
        <f t="array" ref="H108">_xlfn.TEXTSPLIT(G108,";")</f>
        <v>7</v>
      </c>
      <c r="M108" t="s">
        <v>1102</v>
      </c>
    </row>
    <row r="109" spans="1:16">
      <c r="A109" t="s">
        <v>11</v>
      </c>
      <c r="B109" t="s">
        <v>11</v>
      </c>
      <c r="G109" t="s">
        <v>8184</v>
      </c>
      <c r="H109" t="str" cm="1">
        <f t="array" ref="H109">_xlfn.TEXTSPLIT(G109,";")</f>
        <v>GLA</v>
      </c>
      <c r="M109" t="s">
        <v>8452</v>
      </c>
    </row>
    <row r="110" spans="1:16">
      <c r="A110" t="s">
        <v>243</v>
      </c>
      <c r="B110" t="s">
        <v>243</v>
      </c>
      <c r="G110" t="s">
        <v>8190</v>
      </c>
      <c r="H110" t="str" cm="1">
        <f t="array" ref="H110">_xlfn.TEXTSPLIT(G110,";")</f>
        <v>OWL</v>
      </c>
      <c r="M110" t="s">
        <v>10129</v>
      </c>
    </row>
    <row r="111" spans="1:16">
      <c r="A111" t="s">
        <v>357</v>
      </c>
      <c r="B111" t="s">
        <v>357</v>
      </c>
      <c r="G111" t="s">
        <v>8256</v>
      </c>
      <c r="H111" t="str" cm="1">
        <f t="array" ref="H111:I111">_xlfn.TEXTSPLIT(G111,";")</f>
        <v>BLOND</v>
      </c>
      <c r="I111" t="str">
        <v>LIGHT</v>
      </c>
      <c r="M111" t="s">
        <v>8457</v>
      </c>
    </row>
    <row r="112" spans="1:16">
      <c r="A112" t="s">
        <v>14</v>
      </c>
      <c r="B112" t="s">
        <v>14</v>
      </c>
      <c r="G112" t="s">
        <v>8283</v>
      </c>
      <c r="H112" t="str" cm="1">
        <f t="array" ref="H112">_xlfn.TEXTSPLIT(G112,";")</f>
        <v>SABROSA</v>
      </c>
      <c r="M112" t="s">
        <v>8461</v>
      </c>
    </row>
    <row r="113" spans="1:16">
      <c r="A113" t="s">
        <v>7533</v>
      </c>
      <c r="B113" t="s">
        <v>7533</v>
      </c>
      <c r="G113" t="s">
        <v>8292</v>
      </c>
      <c r="H113" t="str" cm="1">
        <f t="array" ref="H113">_xlfn.TEXTSPLIT(G113,";")</f>
        <v>CEPES</v>
      </c>
      <c r="M113" t="s">
        <v>971</v>
      </c>
    </row>
    <row r="114" spans="1:16">
      <c r="A114" t="s">
        <v>7537</v>
      </c>
      <c r="B114" t="s">
        <v>7537</v>
      </c>
      <c r="G114" t="s">
        <v>8294</v>
      </c>
      <c r="H114" t="str" cm="1">
        <f t="array" ref="H114">_xlfn.TEXTSPLIT(G114,";")</f>
        <v>ARTISANALE</v>
      </c>
      <c r="M114" t="s">
        <v>974</v>
      </c>
    </row>
    <row r="115" spans="1:16">
      <c r="A115" t="s">
        <v>7560</v>
      </c>
      <c r="B115" t="s">
        <v>7560</v>
      </c>
      <c r="G115" t="s">
        <v>8296</v>
      </c>
      <c r="H115" t="str" cm="1">
        <f t="array" ref="H115">_xlfn.TEXTSPLIT(G115,";")</f>
        <v>TOUT</v>
      </c>
      <c r="M115" t="s">
        <v>8564</v>
      </c>
    </row>
    <row r="116" spans="1:16">
      <c r="A116" t="s">
        <v>7558</v>
      </c>
      <c r="B116" t="s">
        <v>7558</v>
      </c>
      <c r="G116" t="s">
        <v>6948</v>
      </c>
      <c r="H116" t="str" cm="1">
        <f t="array" ref="H116">_xlfn.TEXTSPLIT(G116,";")</f>
        <v>SPRING</v>
      </c>
      <c r="M116" t="s">
        <v>8787</v>
      </c>
    </row>
    <row r="117" spans="1:16">
      <c r="A117" t="s">
        <v>360</v>
      </c>
      <c r="B117" t="s">
        <v>360</v>
      </c>
      <c r="G117" t="s">
        <v>8319</v>
      </c>
      <c r="H117" t="str" cm="1">
        <f t="array" ref="H117">_xlfn.TEXTSPLIT(G117,";")</f>
        <v>BEURRE</v>
      </c>
      <c r="M117" t="s">
        <v>8035</v>
      </c>
    </row>
    <row r="118" spans="1:16">
      <c r="A118" t="s">
        <v>7581</v>
      </c>
      <c r="B118" t="s">
        <v>7581</v>
      </c>
      <c r="G118" t="s">
        <v>854</v>
      </c>
      <c r="H118" t="str" cm="1">
        <f t="array" ref="H118">_xlfn.TEXTSPLIT(G118,";")</f>
        <v>AMBRIO</v>
      </c>
      <c r="M118" t="s">
        <v>798</v>
      </c>
    </row>
    <row r="119" spans="1:16">
      <c r="A119" t="s">
        <v>7586</v>
      </c>
      <c r="B119" t="s">
        <v>7586</v>
      </c>
      <c r="G119" t="s">
        <v>8335</v>
      </c>
      <c r="H119" t="str" cm="1">
        <f t="array" ref="H119">_xlfn.TEXTSPLIT(G119,";")</f>
        <v>SOYEUSE</v>
      </c>
      <c r="M119" t="s">
        <v>846</v>
      </c>
    </row>
    <row r="120" spans="1:16">
      <c r="A120" t="s">
        <v>245</v>
      </c>
      <c r="B120" t="s">
        <v>245</v>
      </c>
      <c r="G120" t="s">
        <v>1102</v>
      </c>
      <c r="H120" t="str" cm="1">
        <f t="array" ref="H120">_xlfn.TEXTSPLIT(G120,";")</f>
        <v>CISTER</v>
      </c>
      <c r="M120" t="s">
        <v>9999</v>
      </c>
    </row>
    <row r="121" spans="1:16">
      <c r="A121" t="s">
        <v>638</v>
      </c>
      <c r="B121" t="s">
        <v>638</v>
      </c>
      <c r="G121" t="s">
        <v>8452</v>
      </c>
      <c r="H121" t="str" cm="1">
        <f t="array" ref="H121">_xlfn.TEXTSPLIT(G121,";")</f>
        <v>ABEILLE</v>
      </c>
      <c r="M121" t="s">
        <v>954</v>
      </c>
    </row>
    <row r="122" spans="1:16">
      <c r="A122" t="s">
        <v>7621</v>
      </c>
      <c r="B122" t="s">
        <v>7621</v>
      </c>
      <c r="G122" t="s">
        <v>8454</v>
      </c>
      <c r="H122" t="str" cm="1">
        <f t="array" ref="H122:I122">_xlfn.TEXTSPLIT(G122,";")</f>
        <v>BADEN</v>
      </c>
      <c r="I122" t="str">
        <v>SKIFFLE</v>
      </c>
      <c r="M122" t="s">
        <v>8886</v>
      </c>
    </row>
    <row r="123" spans="1:16">
      <c r="A123" t="s">
        <v>519</v>
      </c>
      <c r="B123" t="s">
        <v>519</v>
      </c>
      <c r="G123" t="s">
        <v>8457</v>
      </c>
      <c r="H123" t="str" cm="1">
        <f t="array" ref="H123">_xlfn.TEXTSPLIT(G123,";")</f>
        <v>BARDCORE</v>
      </c>
      <c r="M123" t="s">
        <v>8930</v>
      </c>
    </row>
    <row r="124" spans="1:16">
      <c r="A124" t="s">
        <v>361</v>
      </c>
      <c r="B124" t="s">
        <v>361</v>
      </c>
      <c r="G124" t="s">
        <v>799</v>
      </c>
      <c r="H124" t="str" cm="1">
        <f t="array" ref="H124">_xlfn.TEXTSPLIT(G124,";")</f>
        <v>GREEN</v>
      </c>
      <c r="M124" t="s">
        <v>7388</v>
      </c>
    </row>
    <row r="125" spans="1:16">
      <c r="A125" t="s">
        <v>363</v>
      </c>
      <c r="B125" t="s">
        <v>363</v>
      </c>
      <c r="G125" t="s">
        <v>8461</v>
      </c>
      <c r="H125" t="str" cm="1">
        <f t="array" ref="H125">_xlfn.TEXTSPLIT(G125,";")</f>
        <v>JAMBES</v>
      </c>
      <c r="M125" t="s">
        <v>9051</v>
      </c>
    </row>
    <row r="126" spans="1:16">
      <c r="A126" t="s">
        <v>7632</v>
      </c>
      <c r="B126" t="s">
        <v>7632</v>
      </c>
      <c r="G126" t="s">
        <v>971</v>
      </c>
      <c r="H126" t="str" cm="1">
        <f t="array" ref="H126">_xlfn.TEXTSPLIT(G126,";")</f>
        <v>LIEDERICQ</v>
      </c>
      <c r="M126" t="s">
        <v>9139</v>
      </c>
    </row>
    <row r="127" spans="1:16">
      <c r="A127" t="s">
        <v>7719</v>
      </c>
      <c r="B127" t="s">
        <v>7719</v>
      </c>
      <c r="G127" t="s">
        <v>974</v>
      </c>
      <c r="H127" t="str" cm="1">
        <f t="array" ref="H127">_xlfn.TEXTSPLIT(G127,";")</f>
        <v>PRION_DES_FLEURS</v>
      </c>
      <c r="M127" t="s">
        <v>7832</v>
      </c>
    </row>
    <row r="128" spans="1:16">
      <c r="A128" t="s">
        <v>520</v>
      </c>
      <c r="B128" t="s">
        <v>520</v>
      </c>
      <c r="G128" t="s">
        <v>5404</v>
      </c>
      <c r="H128" t="str" cm="1">
        <f t="array" ref="H128:L128">_xlfn.TEXTSPLIT(G128,";")</f>
        <v>DUBBEL</v>
      </c>
      <c r="I128" t="str">
        <v>ONDERGRONDS</v>
      </c>
      <c r="J128" t="str">
        <v>BROWN</v>
      </c>
      <c r="K128" t="str">
        <v>ONDERGRONDS</v>
      </c>
      <c r="L128" t="str">
        <v>BROWN</v>
      </c>
      <c r="M128" t="s">
        <v>9146</v>
      </c>
      <c r="P128" t="s">
        <v>924</v>
      </c>
    </row>
    <row r="129" spans="1:13">
      <c r="A129" t="s">
        <v>1224</v>
      </c>
      <c r="B129" t="s">
        <v>1224</v>
      </c>
      <c r="G129" t="s">
        <v>5400</v>
      </c>
      <c r="H129" t="str" cm="1">
        <f t="array" ref="H129:J129">_xlfn.TEXTSPLIT(G129,";")</f>
        <v>BLOND</v>
      </c>
      <c r="I129" t="str">
        <v>BOVENGRONDS</v>
      </c>
      <c r="J129" t="str">
        <v>BOVENGRONDS</v>
      </c>
      <c r="M129" t="s">
        <v>1515</v>
      </c>
    </row>
    <row r="130" spans="1:13">
      <c r="A130" t="s">
        <v>7673</v>
      </c>
      <c r="B130" t="s">
        <v>7673</v>
      </c>
      <c r="G130" t="s">
        <v>8564</v>
      </c>
      <c r="H130" t="str" cm="1">
        <f t="array" ref="H130">_xlfn.TEXTSPLIT(G130,";")</f>
        <v>METTEKO</v>
      </c>
      <c r="M130" t="s">
        <v>10131</v>
      </c>
    </row>
    <row r="131" spans="1:13">
      <c r="A131" t="s">
        <v>7682</v>
      </c>
      <c r="B131" t="s">
        <v>7682</v>
      </c>
      <c r="G131" t="s">
        <v>5406</v>
      </c>
      <c r="H131" t="str" cm="1">
        <f t="array" ref="H131:J131">_xlfn.TEXTSPLIT(G131,";")</f>
        <v>BLOND</v>
      </c>
      <c r="I131" t="str">
        <v>CORE</v>
      </c>
      <c r="J131" t="str">
        <v>CORE</v>
      </c>
      <c r="M131" t="s">
        <v>9274</v>
      </c>
    </row>
    <row r="132" spans="1:13">
      <c r="A132" t="s">
        <v>7711</v>
      </c>
      <c r="B132" t="s">
        <v>7711</v>
      </c>
      <c r="G132" t="s">
        <v>8787</v>
      </c>
      <c r="H132" t="str" cm="1">
        <f t="array" ref="H132">_xlfn.TEXTSPLIT(G132,";")</f>
        <v>UNION</v>
      </c>
      <c r="M132" t="s">
        <v>9268</v>
      </c>
    </row>
    <row r="133" spans="1:13">
      <c r="A133" t="s">
        <v>7647</v>
      </c>
      <c r="B133" t="s">
        <v>7647</v>
      </c>
      <c r="G133" t="s">
        <v>8035</v>
      </c>
      <c r="H133" t="str" cm="1">
        <f t="array" ref="H133">_xlfn.TEXTSPLIT(G133,";")</f>
        <v>BELGE</v>
      </c>
      <c r="M133" t="s">
        <v>9291</v>
      </c>
    </row>
    <row r="134" spans="1:13">
      <c r="A134" t="s">
        <v>7649</v>
      </c>
      <c r="B134" t="s">
        <v>7649</v>
      </c>
      <c r="G134" t="s">
        <v>798</v>
      </c>
      <c r="H134" t="str" cm="1">
        <f t="array" ref="H134">_xlfn.TEXTSPLIT(G134,";")</f>
        <v>RASPBERRY</v>
      </c>
      <c r="M134" t="s">
        <v>791</v>
      </c>
    </row>
    <row r="135" spans="1:13">
      <c r="A135" t="s">
        <v>7651</v>
      </c>
      <c r="B135" t="s">
        <v>7651</v>
      </c>
      <c r="G135" t="s">
        <v>846</v>
      </c>
      <c r="H135" t="str" cm="1">
        <f t="array" ref="H135">_xlfn.TEXTSPLIT(G135,";")</f>
        <v>TRIPEL_BLOND</v>
      </c>
      <c r="M135" t="s">
        <v>852</v>
      </c>
    </row>
    <row r="136" spans="1:13">
      <c r="A136" t="s">
        <v>603</v>
      </c>
      <c r="B136" t="s">
        <v>603</v>
      </c>
      <c r="G136" t="s">
        <v>9999</v>
      </c>
      <c r="H136" t="str" cm="1">
        <f t="array" ref="H136">_xlfn.TEXTSPLIT(G136,";")</f>
        <v>VINCENT</v>
      </c>
      <c r="M136" t="s">
        <v>777</v>
      </c>
    </row>
    <row r="137" spans="1:13">
      <c r="A137" t="s">
        <v>25</v>
      </c>
      <c r="B137" t="s">
        <v>25</v>
      </c>
      <c r="G137" t="s">
        <v>5481</v>
      </c>
      <c r="H137" t="str" cm="1">
        <f t="array" ref="H137:I137">_xlfn.TEXTSPLIT(G137,";")</f>
        <v>CRU</v>
      </c>
      <c r="I137" t="str">
        <v>PRESTIGE</v>
      </c>
      <c r="M137" t="s">
        <v>9387</v>
      </c>
    </row>
    <row r="138" spans="1:13">
      <c r="A138" t="s">
        <v>523</v>
      </c>
      <c r="B138" t="s">
        <v>523</v>
      </c>
      <c r="G138" t="s">
        <v>954</v>
      </c>
      <c r="H138" t="str" cm="1">
        <f t="array" ref="H138">_xlfn.TEXTSPLIT(G138,";")</f>
        <v>PLACEBO</v>
      </c>
      <c r="M138" t="s">
        <v>9405</v>
      </c>
    </row>
    <row r="139" spans="1:13">
      <c r="A139" t="s">
        <v>7741</v>
      </c>
      <c r="B139" t="s">
        <v>7741</v>
      </c>
      <c r="G139" t="s">
        <v>5416</v>
      </c>
      <c r="H139" t="str" cm="1">
        <f t="array" ref="H139:J139">_xlfn.TEXTSPLIT(G139,";")</f>
        <v>6</v>
      </c>
      <c r="I139" t="str">
        <v>BLOND</v>
      </c>
      <c r="J139" t="str">
        <v>CORE</v>
      </c>
      <c r="M139" t="s">
        <v>767</v>
      </c>
    </row>
    <row r="140" spans="1:13">
      <c r="A140" t="s">
        <v>463</v>
      </c>
      <c r="B140" t="s">
        <v>463</v>
      </c>
      <c r="G140" t="s">
        <v>8886</v>
      </c>
      <c r="H140" t="str" cm="1">
        <f t="array" ref="H140">_xlfn.TEXTSPLIT(G140,";")</f>
        <v>GUILTY</v>
      </c>
      <c r="M140" t="s">
        <v>10032</v>
      </c>
    </row>
    <row r="141" spans="1:13">
      <c r="A141" t="s">
        <v>7751</v>
      </c>
      <c r="B141" t="s">
        <v>7751</v>
      </c>
      <c r="G141" t="s">
        <v>8930</v>
      </c>
      <c r="H141" t="str" cm="1">
        <f t="array" ref="H141">_xlfn.TEXTSPLIT(G141,";")</f>
        <v>LITTLE_ONE</v>
      </c>
      <c r="M141" t="s">
        <v>990</v>
      </c>
    </row>
    <row r="142" spans="1:13">
      <c r="A142" t="s">
        <v>247</v>
      </c>
      <c r="B142" t="s">
        <v>247</v>
      </c>
      <c r="G142" t="s">
        <v>7388</v>
      </c>
      <c r="H142" t="str" cm="1">
        <f t="array" ref="H142">_xlfn.TEXTSPLIT(G142,";")</f>
        <v>TRIPEL_BROWN</v>
      </c>
      <c r="M142" t="s">
        <v>10033</v>
      </c>
    </row>
    <row r="143" spans="1:13">
      <c r="A143" t="s">
        <v>7760</v>
      </c>
      <c r="B143" t="s">
        <v>7760</v>
      </c>
      <c r="G143" t="s">
        <v>9051</v>
      </c>
      <c r="H143" t="str" cm="1">
        <f t="array" ref="H143">_xlfn.TEXTSPLIT(G143,";")</f>
        <v>TICHKE</v>
      </c>
      <c r="M143" t="s">
        <v>8993</v>
      </c>
    </row>
    <row r="144" spans="1:13">
      <c r="A144" t="s">
        <v>7767</v>
      </c>
      <c r="B144" t="s">
        <v>7767</v>
      </c>
      <c r="G144" t="s">
        <v>9139</v>
      </c>
      <c r="H144" t="str" cm="1">
        <f t="array" ref="H144">_xlfn.TEXTSPLIT(G144,";")</f>
        <v>STEEPLE</v>
      </c>
      <c r="M144" t="s">
        <v>991</v>
      </c>
    </row>
    <row r="145" spans="1:16">
      <c r="A145" t="s">
        <v>464</v>
      </c>
      <c r="B145" t="s">
        <v>464</v>
      </c>
      <c r="G145" t="s">
        <v>7832</v>
      </c>
      <c r="H145" t="str" cm="1">
        <f t="array" ref="H145">_xlfn.TEXTSPLIT(G145,";")</f>
        <v>ESUS</v>
      </c>
      <c r="M145" t="s">
        <v>10037</v>
      </c>
    </row>
    <row r="146" spans="1:16">
      <c r="A146" t="s">
        <v>7779</v>
      </c>
      <c r="B146" t="s">
        <v>7779</v>
      </c>
      <c r="G146" t="s">
        <v>9146</v>
      </c>
      <c r="H146" t="str" cm="1">
        <f t="array" ref="H146">_xlfn.TEXTSPLIT(G146,";")</f>
        <v>FLORALE</v>
      </c>
      <c r="M146" t="s">
        <v>10038</v>
      </c>
    </row>
    <row r="147" spans="1:16">
      <c r="A147" t="s">
        <v>673</v>
      </c>
      <c r="B147" t="s">
        <v>673</v>
      </c>
      <c r="G147" t="s">
        <v>1515</v>
      </c>
      <c r="H147" t="str" cm="1">
        <f t="array" ref="H147">_xlfn.TEXTSPLIT(G147,";")</f>
        <v>MINT</v>
      </c>
      <c r="M147" t="s">
        <v>957</v>
      </c>
    </row>
    <row r="148" spans="1:16">
      <c r="A148" t="s">
        <v>7791</v>
      </c>
      <c r="B148" t="s">
        <v>7791</v>
      </c>
      <c r="G148">
        <v>2</v>
      </c>
      <c r="H148" t="str" cm="1">
        <f t="array" ref="H148">_xlfn.TEXTSPLIT(G148,";")</f>
        <v>2</v>
      </c>
      <c r="M148" t="s">
        <v>9494</v>
      </c>
    </row>
    <row r="149" spans="1:16">
      <c r="A149" t="s">
        <v>303</v>
      </c>
      <c r="B149" t="s">
        <v>303</v>
      </c>
      <c r="G149" t="s">
        <v>9274</v>
      </c>
      <c r="H149" t="str" cm="1">
        <f t="array" ref="H149">_xlfn.TEXTSPLIT(G149,";")</f>
        <v>TOURNAISIS</v>
      </c>
      <c r="M149" t="s">
        <v>800</v>
      </c>
    </row>
    <row r="150" spans="1:16">
      <c r="A150" t="s">
        <v>7794</v>
      </c>
      <c r="B150" t="s">
        <v>7794</v>
      </c>
      <c r="G150" t="s">
        <v>9268</v>
      </c>
      <c r="H150" t="str" cm="1">
        <f t="array" ref="H150">_xlfn.TEXTSPLIT(G150,";")</f>
        <v>ARDENTE</v>
      </c>
      <c r="M150" t="s">
        <v>774</v>
      </c>
    </row>
    <row r="151" spans="1:16">
      <c r="A151" t="s">
        <v>7796</v>
      </c>
      <c r="B151" t="s">
        <v>7796</v>
      </c>
      <c r="G151" t="s">
        <v>9291</v>
      </c>
      <c r="H151" t="str" cm="1">
        <f t="array" ref="H151">_xlfn.TEXTSPLIT(G151,";")</f>
        <v>BOEKEWEIT</v>
      </c>
      <c r="M151" t="s">
        <v>9516</v>
      </c>
    </row>
    <row r="152" spans="1:16">
      <c r="A152" t="s">
        <v>7863</v>
      </c>
      <c r="B152" t="s">
        <v>7863</v>
      </c>
      <c r="G152" t="s">
        <v>5426</v>
      </c>
      <c r="H152" t="str" cm="1">
        <f t="array" ref="H152:K152">_xlfn.TEXTSPLIT(G152,";")</f>
        <v>EXTRA</v>
      </c>
      <c r="I152" t="str">
        <v>4</v>
      </c>
      <c r="J152" t="str">
        <v>4</v>
      </c>
      <c r="K152" t="str">
        <v>4</v>
      </c>
      <c r="M152" t="s">
        <v>762</v>
      </c>
      <c r="P152" t="s">
        <v>989</v>
      </c>
    </row>
    <row r="153" spans="1:16">
      <c r="A153" t="s">
        <v>527</v>
      </c>
      <c r="B153" t="s">
        <v>527</v>
      </c>
      <c r="G153" t="s">
        <v>852</v>
      </c>
      <c r="H153" t="str" cm="1">
        <f t="array" ref="H153">_xlfn.TEXTSPLIT(G153,";")</f>
        <v>ROUSSE</v>
      </c>
      <c r="M153" t="s">
        <v>842</v>
      </c>
    </row>
    <row r="154" spans="1:16">
      <c r="A154" t="s">
        <v>304</v>
      </c>
      <c r="B154" t="s">
        <v>304</v>
      </c>
      <c r="G154" t="s">
        <v>5431</v>
      </c>
      <c r="H154" t="str" cm="1">
        <f t="array" ref="H154:J154">_xlfn.TEXTSPLIT(G154,";")</f>
        <v>CORE</v>
      </c>
      <c r="I154" t="str">
        <v>FLANDRIEN</v>
      </c>
      <c r="J154" t="str">
        <v>BLOND</v>
      </c>
      <c r="M154" t="s">
        <v>902</v>
      </c>
    </row>
    <row r="155" spans="1:16">
      <c r="A155" t="s">
        <v>529</v>
      </c>
      <c r="B155" t="s">
        <v>529</v>
      </c>
      <c r="G155" t="s">
        <v>5432</v>
      </c>
      <c r="H155" t="str" cm="1">
        <f t="array" ref="H155:K155">_xlfn.TEXTSPLIT(G155,";")</f>
        <v>PILSNER</v>
      </c>
      <c r="I155" t="str">
        <v>CORE</v>
      </c>
      <c r="J155" t="str">
        <v>CORE</v>
      </c>
      <c r="K155" t="str">
        <v>CORE</v>
      </c>
      <c r="M155" t="s">
        <v>5576</v>
      </c>
      <c r="P155" t="s">
        <v>1438</v>
      </c>
    </row>
    <row r="156" spans="1:16">
      <c r="A156" t="s">
        <v>530</v>
      </c>
      <c r="B156" t="s">
        <v>530</v>
      </c>
      <c r="G156" t="s">
        <v>9387</v>
      </c>
      <c r="H156" t="str" cm="1">
        <f t="array" ref="H156">_xlfn.TEXTSPLIT(G156,";")</f>
        <v>5G</v>
      </c>
      <c r="M156" t="s">
        <v>792</v>
      </c>
    </row>
    <row r="157" spans="1:16">
      <c r="A157" t="s">
        <v>31</v>
      </c>
      <c r="B157" t="s">
        <v>31</v>
      </c>
      <c r="G157" t="s">
        <v>9405</v>
      </c>
      <c r="H157" t="str" cm="1">
        <f t="array" ref="H157">_xlfn.TEXTSPLIT(G157,";")</f>
        <v>ALMA</v>
      </c>
      <c r="M157" t="s">
        <v>784</v>
      </c>
    </row>
    <row r="158" spans="1:16">
      <c r="A158" t="s">
        <v>7900</v>
      </c>
      <c r="B158" t="s">
        <v>7900</v>
      </c>
      <c r="G158" t="s">
        <v>6522</v>
      </c>
      <c r="H158" t="str" cm="1">
        <f t="array" ref="H158:J158">_xlfn.TEXTSPLIT(G158,";")</f>
        <v>BLOND</v>
      </c>
      <c r="I158" t="str">
        <v>CORE</v>
      </c>
      <c r="J158" t="str">
        <v>LUX</v>
      </c>
      <c r="M158" t="s">
        <v>789</v>
      </c>
    </row>
    <row r="159" spans="1:16">
      <c r="A159" t="s">
        <v>7916</v>
      </c>
      <c r="B159" t="s">
        <v>7916</v>
      </c>
      <c r="G159" t="s">
        <v>767</v>
      </c>
      <c r="H159" t="str" cm="1">
        <f t="array" ref="H159">_xlfn.TEXTSPLIT(G159,";")</f>
        <v>LUX</v>
      </c>
      <c r="M159" t="s">
        <v>8902</v>
      </c>
    </row>
    <row r="160" spans="1:16">
      <c r="A160" t="s">
        <v>5474</v>
      </c>
      <c r="B160" t="s">
        <v>5474</v>
      </c>
      <c r="G160" t="s">
        <v>10032</v>
      </c>
      <c r="H160" t="str" cm="1">
        <f t="array" ref="H160">_xlfn.TEXTSPLIT(G160,";")</f>
        <v>SCALA</v>
      </c>
      <c r="M160" t="s">
        <v>1998</v>
      </c>
    </row>
    <row r="161" spans="1:13">
      <c r="A161" t="s">
        <v>319</v>
      </c>
      <c r="B161" t="s">
        <v>319</v>
      </c>
      <c r="G161">
        <v>5</v>
      </c>
      <c r="H161" t="str" cm="1">
        <f t="array" ref="H161">_xlfn.TEXTSPLIT(G161,";")</f>
        <v>5</v>
      </c>
      <c r="M161" t="s">
        <v>5577</v>
      </c>
    </row>
    <row r="162" spans="1:13">
      <c r="A162" t="s">
        <v>466</v>
      </c>
      <c r="B162" t="s">
        <v>466</v>
      </c>
      <c r="G162" t="s">
        <v>10033</v>
      </c>
      <c r="H162" t="str" cm="1">
        <f t="array" ref="H162">_xlfn.TEXTSPLIT(G162,";")</f>
        <v>HEAVEN</v>
      </c>
      <c r="M162" t="s">
        <v>5578</v>
      </c>
    </row>
    <row r="163" spans="1:13">
      <c r="A163" t="s">
        <v>7947</v>
      </c>
      <c r="B163" t="s">
        <v>7947</v>
      </c>
      <c r="G163" t="s">
        <v>8993</v>
      </c>
      <c r="H163" t="str" cm="1">
        <f t="array" ref="H163">_xlfn.TEXTSPLIT(G163,";")</f>
        <v>AMARA</v>
      </c>
      <c r="M163" t="s">
        <v>1967</v>
      </c>
    </row>
    <row r="164" spans="1:13">
      <c r="A164" t="s">
        <v>7957</v>
      </c>
      <c r="B164" t="s">
        <v>7957</v>
      </c>
      <c r="G164" t="s">
        <v>991</v>
      </c>
      <c r="H164" t="str" cm="1">
        <f t="array" ref="H164">_xlfn.TEXTSPLIT(G164,";")</f>
        <v>AURA</v>
      </c>
      <c r="M164" t="s">
        <v>921</v>
      </c>
    </row>
    <row r="165" spans="1:13">
      <c r="A165" t="s">
        <v>7959</v>
      </c>
      <c r="B165" t="s">
        <v>7959</v>
      </c>
      <c r="G165" t="s">
        <v>10037</v>
      </c>
      <c r="H165" t="str" cm="1">
        <f t="array" ref="H165">_xlfn.TEXTSPLIT(G165,";")</f>
        <v>STEVE</v>
      </c>
      <c r="M165" t="s">
        <v>878</v>
      </c>
    </row>
    <row r="166" spans="1:13">
      <c r="A166" t="s">
        <v>641</v>
      </c>
      <c r="B166" t="s">
        <v>641</v>
      </c>
      <c r="G166" t="s">
        <v>791</v>
      </c>
      <c r="H166" t="str" cm="1">
        <f t="array" ref="H166">_xlfn.TEXTSPLIT(G166,";")</f>
        <v>EXTRA</v>
      </c>
      <c r="M166" t="s">
        <v>8864</v>
      </c>
    </row>
    <row r="167" spans="1:13">
      <c r="A167" t="s">
        <v>254</v>
      </c>
      <c r="B167" t="s">
        <v>254</v>
      </c>
      <c r="G167" t="s">
        <v>10038</v>
      </c>
      <c r="H167" t="str" cm="1">
        <f t="array" ref="H167">_xlfn.TEXTSPLIT(G167,";")</f>
        <v>FOLIE</v>
      </c>
      <c r="M167" t="s">
        <v>757</v>
      </c>
    </row>
    <row r="168" spans="1:13">
      <c r="A168" t="s">
        <v>253</v>
      </c>
      <c r="B168" t="s">
        <v>253</v>
      </c>
      <c r="G168" t="s">
        <v>957</v>
      </c>
      <c r="H168" t="str" cm="1">
        <f t="array" ref="H168">_xlfn.TEXTSPLIT(G168,";")</f>
        <v>NANO</v>
      </c>
      <c r="M168" t="e" vm="1">
        <v>#VALUE!</v>
      </c>
    </row>
    <row r="169" spans="1:13">
      <c r="A169" t="s">
        <v>305</v>
      </c>
      <c r="B169" t="s">
        <v>305</v>
      </c>
      <c r="G169" t="s">
        <v>9494</v>
      </c>
      <c r="H169" t="str" cm="1">
        <f t="array" ref="H169">_xlfn.TEXTSPLIT(G169,";")</f>
        <v>DOREE</v>
      </c>
      <c r="M169" t="s">
        <v>788</v>
      </c>
    </row>
    <row r="170" spans="1:13">
      <c r="A170" t="s">
        <v>10012</v>
      </c>
      <c r="B170" t="s">
        <v>10012</v>
      </c>
      <c r="G170" t="s">
        <v>800</v>
      </c>
      <c r="H170" t="str" cm="1">
        <f t="array" ref="H170">_xlfn.TEXTSPLIT(G170,";")</f>
        <v>SILVER</v>
      </c>
      <c r="M170" t="s">
        <v>758</v>
      </c>
    </row>
    <row r="171" spans="1:13">
      <c r="A171" t="s">
        <v>400</v>
      </c>
      <c r="B171" t="s">
        <v>400</v>
      </c>
      <c r="G171" t="s">
        <v>5391</v>
      </c>
      <c r="H171" t="str" cm="1">
        <f t="array" ref="H171:I171">_xlfn.TEXTSPLIT(G171,";")</f>
        <v>GRAND_CRU</v>
      </c>
      <c r="I171" t="str">
        <v>CRU</v>
      </c>
      <c r="M171" t="s">
        <v>797</v>
      </c>
    </row>
    <row r="172" spans="1:13">
      <c r="A172" t="s">
        <v>675</v>
      </c>
      <c r="B172" t="s">
        <v>675</v>
      </c>
      <c r="G172" t="s">
        <v>9516</v>
      </c>
      <c r="H172" t="str" cm="1">
        <f t="array" ref="H172">_xlfn.TEXTSPLIT(G172,";")</f>
        <v>MYSTERY</v>
      </c>
      <c r="M172" t="s">
        <v>7475</v>
      </c>
    </row>
    <row r="173" spans="1:13">
      <c r="A173" t="s">
        <v>7975</v>
      </c>
      <c r="B173" t="s">
        <v>7975</v>
      </c>
      <c r="G173" t="s">
        <v>762</v>
      </c>
      <c r="H173" t="str" cm="1">
        <f t="array" ref="H173">_xlfn.TEXTSPLIT(G173,";")</f>
        <v>8</v>
      </c>
      <c r="M173" t="s">
        <v>5579</v>
      </c>
    </row>
    <row r="174" spans="1:13">
      <c r="A174" t="s">
        <v>7977</v>
      </c>
      <c r="B174" t="s">
        <v>7977</v>
      </c>
      <c r="G174" t="s">
        <v>5251</v>
      </c>
      <c r="H174" t="str" cm="1">
        <f t="array" ref="H174:I174">_xlfn.TEXTSPLIT(G174,";")</f>
        <v>DUBBEL</v>
      </c>
      <c r="I174" t="str">
        <v>BROWN</v>
      </c>
      <c r="M174" t="s">
        <v>7872</v>
      </c>
    </row>
    <row r="175" spans="1:13">
      <c r="A175" t="s">
        <v>255</v>
      </c>
      <c r="B175" t="s">
        <v>255</v>
      </c>
      <c r="G175" t="s">
        <v>7422</v>
      </c>
      <c r="H175" t="str" cm="1">
        <f t="array" ref="H175:I175">_xlfn.TEXTSPLIT(G175,";")</f>
        <v>DARK</v>
      </c>
      <c r="I175" t="str">
        <v>GOLD</v>
      </c>
      <c r="M175" t="s">
        <v>7875</v>
      </c>
    </row>
    <row r="176" spans="1:13">
      <c r="A176" t="s">
        <v>256</v>
      </c>
      <c r="B176" t="s">
        <v>256</v>
      </c>
      <c r="G176" t="s">
        <v>842</v>
      </c>
      <c r="H176" t="str" cm="1">
        <f t="array" ref="H176">_xlfn.TEXTSPLIT(G176,";")</f>
        <v>BROWN</v>
      </c>
      <c r="M176" t="s">
        <v>7906</v>
      </c>
    </row>
    <row r="177" spans="1:16">
      <c r="A177" t="s">
        <v>44</v>
      </c>
      <c r="B177" t="s">
        <v>44</v>
      </c>
      <c r="G177" t="s">
        <v>902</v>
      </c>
      <c r="H177" t="str" cm="1">
        <f t="array" ref="H177">_xlfn.TEXTSPLIT(G177,";")</f>
        <v>BATTELAAR</v>
      </c>
      <c r="M177" t="s">
        <v>7401</v>
      </c>
    </row>
    <row r="178" spans="1:16">
      <c r="A178" t="s">
        <v>7985</v>
      </c>
      <c r="B178" t="s">
        <v>7985</v>
      </c>
      <c r="G178" t="s">
        <v>6365</v>
      </c>
      <c r="H178" t="str" cm="1">
        <f t="array" ref="H178:I178">_xlfn.TEXTSPLIT(G178,";")</f>
        <v>BELGIAN_DUBBEL</v>
      </c>
      <c r="I178" t="str">
        <v>DUBBEL</v>
      </c>
      <c r="M178" t="s">
        <v>783</v>
      </c>
    </row>
    <row r="179" spans="1:16">
      <c r="A179" t="s">
        <v>7987</v>
      </c>
      <c r="B179" t="s">
        <v>7987</v>
      </c>
      <c r="G179" t="s">
        <v>5576</v>
      </c>
      <c r="H179" t="str" cm="1">
        <f t="array" ref="H179">_xlfn.TEXTSPLIT(G179,";")</f>
        <v>BELGIAN_DUBBEL</v>
      </c>
      <c r="M179" t="s">
        <v>5201</v>
      </c>
    </row>
    <row r="180" spans="1:16">
      <c r="A180" t="s">
        <v>7989</v>
      </c>
      <c r="B180" t="s">
        <v>7989</v>
      </c>
      <c r="G180" t="s">
        <v>5380</v>
      </c>
      <c r="H180" t="str" cm="1">
        <f t="array" ref="H180:I180">_xlfn.TEXTSPLIT(G180,";")</f>
        <v>RUBY</v>
      </c>
      <c r="I180" t="str">
        <v>RED</v>
      </c>
      <c r="M180" t="s">
        <v>763</v>
      </c>
    </row>
    <row r="181" spans="1:16">
      <c r="A181" t="s">
        <v>7993</v>
      </c>
      <c r="B181" t="s">
        <v>7993</v>
      </c>
      <c r="G181" t="s">
        <v>5240</v>
      </c>
      <c r="H181" t="str" cm="1">
        <f t="array" ref="H181:I181">_xlfn.TEXTSPLIT(G181,";")</f>
        <v>RED</v>
      </c>
      <c r="I181" t="str">
        <v>7</v>
      </c>
      <c r="M181" t="s">
        <v>790</v>
      </c>
    </row>
    <row r="182" spans="1:16">
      <c r="A182" t="s">
        <v>46</v>
      </c>
      <c r="B182" t="s">
        <v>46</v>
      </c>
      <c r="G182" t="s">
        <v>5243</v>
      </c>
      <c r="H182" t="str" cm="1">
        <f t="array" ref="H182:K182">_xlfn.TEXTSPLIT(G182,";")</f>
        <v>MC</v>
      </c>
      <c r="I182" t="str">
        <v>MAC</v>
      </c>
      <c r="J182" t="str">
        <v>DUBBEL</v>
      </c>
      <c r="K182" t="str">
        <v>BROWN</v>
      </c>
      <c r="M182" t="s">
        <v>9993</v>
      </c>
      <c r="P182" t="s">
        <v>842</v>
      </c>
    </row>
    <row r="183" spans="1:16">
      <c r="A183" t="s">
        <v>8008</v>
      </c>
      <c r="B183" t="s">
        <v>8008</v>
      </c>
      <c r="G183" t="s">
        <v>5470</v>
      </c>
      <c r="H183" t="str" cm="1">
        <f t="array" ref="H183:I183">_xlfn.TEXTSPLIT(G183,";")</f>
        <v>PATER_DUBBEL</v>
      </c>
      <c r="I183" t="str">
        <v>PATER</v>
      </c>
      <c r="M183" t="s">
        <v>918</v>
      </c>
    </row>
    <row r="184" spans="1:16">
      <c r="A184" t="s">
        <v>235</v>
      </c>
      <c r="B184" t="s">
        <v>235</v>
      </c>
      <c r="G184" t="s">
        <v>7146</v>
      </c>
      <c r="H184" t="str" cm="1">
        <f t="array" ref="H184:J184">_xlfn.TEXTSPLIT(G184,";")</f>
        <v>BROWN</v>
      </c>
      <c r="I184" t="str">
        <v>DARK</v>
      </c>
      <c r="J184" t="str">
        <v/>
      </c>
      <c r="M184" t="s">
        <v>753</v>
      </c>
    </row>
    <row r="185" spans="1:16">
      <c r="A185" t="s">
        <v>8012</v>
      </c>
      <c r="B185" t="s">
        <v>8012</v>
      </c>
      <c r="G185" t="s">
        <v>7129</v>
      </c>
      <c r="H185" t="str" cm="1">
        <f t="array" ref="H185:K185">_xlfn.TEXTSPLIT(G185,";")</f>
        <v>DUBBEL</v>
      </c>
      <c r="I185" t="str">
        <v>AMBER</v>
      </c>
      <c r="J185" t="str">
        <v>BROWN</v>
      </c>
      <c r="K185" t="str">
        <v>DARK</v>
      </c>
      <c r="M185" t="s">
        <v>752</v>
      </c>
      <c r="P185" t="s">
        <v>903</v>
      </c>
    </row>
    <row r="186" spans="1:16">
      <c r="A186" t="s">
        <v>965</v>
      </c>
      <c r="B186" t="s">
        <v>965</v>
      </c>
      <c r="G186" t="s">
        <v>6503</v>
      </c>
      <c r="H186" t="str" cm="1">
        <f t="array" ref="H186:J186">_xlfn.TEXTSPLIT(G186,";")</f>
        <v>BROWN</v>
      </c>
      <c r="I186" t="str">
        <v>DUBBEL</v>
      </c>
      <c r="J186" t="str">
        <v>DARK</v>
      </c>
      <c r="M186" t="s">
        <v>931</v>
      </c>
    </row>
    <row r="187" spans="1:16">
      <c r="A187" t="s">
        <v>8004</v>
      </c>
      <c r="B187" t="s">
        <v>8004</v>
      </c>
      <c r="G187" t="s">
        <v>8902</v>
      </c>
      <c r="H187" t="str" cm="1">
        <f t="array" ref="H187">_xlfn.TEXTSPLIT(G187,";")</f>
        <v>ROYAL</v>
      </c>
      <c r="M187" t="s">
        <v>8497</v>
      </c>
    </row>
    <row r="188" spans="1:16">
      <c r="A188" t="s">
        <v>8016</v>
      </c>
      <c r="B188" t="s">
        <v>8016</v>
      </c>
      <c r="G188" t="s">
        <v>1998</v>
      </c>
      <c r="H188" t="str" cm="1">
        <f t="array" ref="H188">_xlfn.TEXTSPLIT(G188,";")</f>
        <v>NITRO</v>
      </c>
      <c r="M188" t="s">
        <v>851</v>
      </c>
    </row>
    <row r="189" spans="1:16">
      <c r="A189" t="s">
        <v>8018</v>
      </c>
      <c r="B189" t="s">
        <v>8018</v>
      </c>
      <c r="G189" t="s">
        <v>7145</v>
      </c>
      <c r="H189" t="str" cm="1">
        <f t="array" ref="H189:J189">_xlfn.TEXTSPLIT(G189,";")</f>
        <v>PATER</v>
      </c>
      <c r="I189" t="str">
        <v>6</v>
      </c>
      <c r="J189" t="str">
        <v/>
      </c>
      <c r="M189" t="s">
        <v>8556</v>
      </c>
    </row>
    <row r="190" spans="1:16">
      <c r="A190" t="s">
        <v>8049</v>
      </c>
      <c r="B190" t="s">
        <v>8049</v>
      </c>
      <c r="G190" t="s">
        <v>5514</v>
      </c>
      <c r="H190" t="str" cm="1">
        <f t="array" ref="H190:I190">_xlfn.TEXTSPLIT(G190,";")</f>
        <v>8</v>
      </c>
      <c r="I190" t="str">
        <v>PRIOR</v>
      </c>
      <c r="M190" t="s">
        <v>9997</v>
      </c>
    </row>
    <row r="191" spans="1:16">
      <c r="A191" t="s">
        <v>644</v>
      </c>
      <c r="B191" t="s">
        <v>644</v>
      </c>
      <c r="G191" t="s">
        <v>7139</v>
      </c>
      <c r="H191" t="str" cm="1">
        <f t="array" ref="H191:J191">_xlfn.TEXTSPLIT(G191,";")</f>
        <v>DUBBEL</v>
      </c>
      <c r="I191" t="str">
        <v>BROWN</v>
      </c>
      <c r="J191" t="str">
        <v>DARK</v>
      </c>
      <c r="M191" t="s">
        <v>776</v>
      </c>
    </row>
    <row r="192" spans="1:16">
      <c r="A192" t="s">
        <v>624</v>
      </c>
      <c r="B192" t="s">
        <v>624</v>
      </c>
      <c r="G192" t="s">
        <v>6517</v>
      </c>
      <c r="H192" t="str" cm="1">
        <f t="array" ref="H192:J192">_xlfn.TEXTSPLIT(G192,";")</f>
        <v>BROWN</v>
      </c>
      <c r="I192" t="str">
        <v>DUBBEL</v>
      </c>
      <c r="J192" t="str">
        <v>NOX</v>
      </c>
      <c r="M192" t="s">
        <v>6660</v>
      </c>
    </row>
    <row r="193" spans="1:16">
      <c r="A193" t="s">
        <v>402</v>
      </c>
      <c r="B193" t="s">
        <v>402</v>
      </c>
      <c r="G193" t="s">
        <v>6366</v>
      </c>
      <c r="H193" t="str" cm="1">
        <f t="array" ref="H193:J193">_xlfn.TEXTSPLIT(G193,";")</f>
        <v>BELGIAN_ENKEL_/_PATERSBIER</v>
      </c>
      <c r="I193" t="str">
        <v>ENKEL</v>
      </c>
      <c r="J193" t="str">
        <v>PATERSBIER</v>
      </c>
      <c r="M193" t="s">
        <v>8798</v>
      </c>
    </row>
    <row r="194" spans="1:16">
      <c r="A194" t="s">
        <v>8030</v>
      </c>
      <c r="B194" t="s">
        <v>8030</v>
      </c>
      <c r="G194" t="s">
        <v>5577</v>
      </c>
      <c r="H194" t="str" cm="1">
        <f t="array" ref="H194">_xlfn.TEXTSPLIT(G194,";")</f>
        <v>BELGIAN_ENKEL_/_PATERSBIER</v>
      </c>
      <c r="M194" t="s">
        <v>984</v>
      </c>
    </row>
    <row r="195" spans="1:16">
      <c r="A195" t="s">
        <v>7636</v>
      </c>
      <c r="B195" t="s">
        <v>7636</v>
      </c>
      <c r="G195" t="s">
        <v>6367</v>
      </c>
      <c r="H195" t="str" cm="1">
        <f t="array" ref="H195:I195">_xlfn.TEXTSPLIT(G195,";")</f>
        <v>BELGIAN_QUADRUPEL</v>
      </c>
      <c r="I195" t="str">
        <v>QUADRUPEL</v>
      </c>
      <c r="M195" t="s">
        <v>10005</v>
      </c>
    </row>
    <row r="196" spans="1:16">
      <c r="A196" t="s">
        <v>47</v>
      </c>
      <c r="B196" t="s">
        <v>47</v>
      </c>
      <c r="G196" t="s">
        <v>5578</v>
      </c>
      <c r="H196" t="str" cm="1">
        <f t="array" ref="H196">_xlfn.TEXTSPLIT(G196,";")</f>
        <v>BELGIAN_QUADRUPEL</v>
      </c>
      <c r="M196" t="s">
        <v>7403</v>
      </c>
    </row>
    <row r="197" spans="1:16">
      <c r="A197" t="s">
        <v>8062</v>
      </c>
      <c r="B197" t="s">
        <v>8062</v>
      </c>
      <c r="G197" t="s">
        <v>1967</v>
      </c>
      <c r="H197" t="str" cm="1">
        <f t="array" ref="H197">_xlfn.TEXTSPLIT(G197,";")</f>
        <v>WHISKEY_INFUSED</v>
      </c>
      <c r="M197" t="s">
        <v>6513</v>
      </c>
    </row>
    <row r="198" spans="1:16">
      <c r="A198" t="s">
        <v>8066</v>
      </c>
      <c r="B198" t="s">
        <v>8066</v>
      </c>
      <c r="G198" t="s">
        <v>921</v>
      </c>
      <c r="H198" t="str" cm="1">
        <f t="array" ref="H198">_xlfn.TEXTSPLIT(G198,";")</f>
        <v>CALVADOS</v>
      </c>
      <c r="M198" t="s">
        <v>794</v>
      </c>
    </row>
    <row r="199" spans="1:16">
      <c r="A199" t="s">
        <v>8068</v>
      </c>
      <c r="B199" t="s">
        <v>8068</v>
      </c>
      <c r="G199" t="s">
        <v>6554</v>
      </c>
      <c r="H199" t="str" cm="1">
        <f t="array" ref="H199:K199">_xlfn.TEXTSPLIT(G199,";")</f>
        <v>QUADRUPEL</v>
      </c>
      <c r="I199" t="str">
        <v>DUBBEL</v>
      </c>
      <c r="J199" t="str">
        <v>BROWN</v>
      </c>
      <c r="K199" t="str">
        <v>CORE</v>
      </c>
      <c r="M199" t="s">
        <v>6351</v>
      </c>
      <c r="P199" t="s">
        <v>1438</v>
      </c>
    </row>
    <row r="200" spans="1:16">
      <c r="A200" t="s">
        <v>963</v>
      </c>
      <c r="B200" t="s">
        <v>963</v>
      </c>
      <c r="G200" t="s">
        <v>878</v>
      </c>
      <c r="H200" t="str" cm="1">
        <f t="array" ref="H200">_xlfn.TEXTSPLIT(G200,";")</f>
        <v>CHOCOLAT</v>
      </c>
      <c r="M200" t="s">
        <v>10017</v>
      </c>
    </row>
    <row r="201" spans="1:16">
      <c r="A201" t="s">
        <v>510</v>
      </c>
      <c r="B201" t="s">
        <v>510</v>
      </c>
      <c r="G201" t="s">
        <v>8864</v>
      </c>
      <c r="H201" t="str" cm="1">
        <f t="array" ref="H201">_xlfn.TEXTSPLIT(G201,";")</f>
        <v>RESERVE</v>
      </c>
      <c r="M201" t="s">
        <v>9482</v>
      </c>
    </row>
    <row r="202" spans="1:16">
      <c r="A202" t="s">
        <v>7813</v>
      </c>
      <c r="B202" t="s">
        <v>7813</v>
      </c>
      <c r="G202" t="s">
        <v>5518</v>
      </c>
      <c r="H202" t="str" cm="1">
        <f t="array" ref="H202:J202">_xlfn.TEXTSPLIT(G202,";")</f>
        <v>10</v>
      </c>
      <c r="I202" t="str">
        <v>QUADRUPEL</v>
      </c>
      <c r="J202" t="str">
        <v>BLUE</v>
      </c>
      <c r="M202" t="s">
        <v>929</v>
      </c>
    </row>
    <row r="203" spans="1:16">
      <c r="A203" t="s">
        <v>7640</v>
      </c>
      <c r="B203" t="s">
        <v>7640</v>
      </c>
      <c r="G203" t="s">
        <v>5517</v>
      </c>
      <c r="H203" t="e" cm="1" vm="4">
        <f t="array" aca="1" ref="H203" ca="1">_xlfn.TEXTSPLIT(G203,";")</f>
        <v>#VALUE!</v>
      </c>
      <c r="M203" t="s">
        <v>7039</v>
      </c>
    </row>
    <row r="204" spans="1:16">
      <c r="A204" t="s">
        <v>53</v>
      </c>
      <c r="B204" t="s">
        <v>53</v>
      </c>
      <c r="G204" t="s">
        <v>788</v>
      </c>
      <c r="H204" t="str" cm="1">
        <f t="array" ref="H204">_xlfn.TEXTSPLIT(G204,";")</f>
        <v>XMAS</v>
      </c>
      <c r="M204" t="s">
        <v>911</v>
      </c>
    </row>
    <row r="205" spans="1:16">
      <c r="A205" t="s">
        <v>322</v>
      </c>
      <c r="B205" t="s">
        <v>322</v>
      </c>
      <c r="G205" t="s">
        <v>757</v>
      </c>
      <c r="H205" t="str" cm="1">
        <f t="array" ref="H205">_xlfn.TEXTSPLIT(G205,";")</f>
        <v>10</v>
      </c>
      <c r="M205" t="s">
        <v>5580</v>
      </c>
    </row>
    <row r="206" spans="1:16">
      <c r="A206" t="s">
        <v>8086</v>
      </c>
      <c r="B206" t="s">
        <v>8086</v>
      </c>
      <c r="G206" t="s">
        <v>774</v>
      </c>
      <c r="H206" t="str" cm="1">
        <f t="array" ref="H206">_xlfn.TEXTSPLIT(G206,";")</f>
        <v>GRAND_CRU</v>
      </c>
      <c r="M206" t="s">
        <v>5181</v>
      </c>
    </row>
    <row r="207" spans="1:16">
      <c r="A207" t="s">
        <v>8088</v>
      </c>
      <c r="B207" t="s">
        <v>8088</v>
      </c>
      <c r="G207" t="s">
        <v>758</v>
      </c>
      <c r="H207" t="str" cm="1">
        <f t="array" ref="H207">_xlfn.TEXTSPLIT(G207,";")</f>
        <v>12</v>
      </c>
      <c r="M207" t="s">
        <v>964</v>
      </c>
    </row>
    <row r="208" spans="1:16">
      <c r="A208" t="s">
        <v>7717</v>
      </c>
      <c r="B208" t="s">
        <v>7717</v>
      </c>
      <c r="G208" t="s">
        <v>797</v>
      </c>
      <c r="H208" t="str" cm="1">
        <f t="array" ref="H208">_xlfn.TEXTSPLIT(G208,";")</f>
        <v>OAKED</v>
      </c>
      <c r="M208" t="s">
        <v>8328</v>
      </c>
    </row>
    <row r="209" spans="1:16">
      <c r="A209" t="s">
        <v>8115</v>
      </c>
      <c r="B209" t="s">
        <v>8115</v>
      </c>
      <c r="G209" t="s">
        <v>7475</v>
      </c>
      <c r="H209" t="str" cm="1">
        <f t="array" ref="H209">_xlfn.TEXTSPLIT(G209,";")</f>
        <v>MY_DEER</v>
      </c>
      <c r="M209" t="s">
        <v>961</v>
      </c>
    </row>
    <row r="210" spans="1:16">
      <c r="A210" t="s">
        <v>539</v>
      </c>
      <c r="B210" t="s">
        <v>539</v>
      </c>
      <c r="G210" t="s">
        <v>1992</v>
      </c>
      <c r="H210" t="str" cm="1">
        <f t="array" ref="H210">_xlfn.TEXTSPLIT(G210,";")</f>
        <v>CRU</v>
      </c>
      <c r="M210" t="s">
        <v>7265</v>
      </c>
    </row>
    <row r="211" spans="1:16">
      <c r="A211" t="s">
        <v>7641</v>
      </c>
      <c r="B211" t="s">
        <v>7641</v>
      </c>
      <c r="G211" t="s">
        <v>5579</v>
      </c>
      <c r="H211" t="str" cm="1">
        <f t="array" ref="H211">_xlfn.TEXTSPLIT(G211,";")</f>
        <v>BELGIAN_STRONG_DARK_ALE</v>
      </c>
      <c r="M211" t="s">
        <v>8426</v>
      </c>
    </row>
    <row r="212" spans="1:16">
      <c r="A212" t="s">
        <v>7816</v>
      </c>
      <c r="B212" t="s">
        <v>7816</v>
      </c>
      <c r="G212" t="s">
        <v>7872</v>
      </c>
      <c r="H212" t="str" cm="1">
        <f t="array" ref="H212">_xlfn.TEXTSPLIT(G212,";")</f>
        <v>ESPRESSO</v>
      </c>
      <c r="M212" t="s">
        <v>992</v>
      </c>
    </row>
    <row r="213" spans="1:16">
      <c r="A213" t="s">
        <v>8131</v>
      </c>
      <c r="B213" t="s">
        <v>8131</v>
      </c>
      <c r="G213" t="s">
        <v>7874</v>
      </c>
      <c r="H213" t="str" cm="1">
        <f t="array" ref="H213:I213">_xlfn.TEXTSPLIT(G213,";")</f>
        <v>PORT</v>
      </c>
      <c r="I213" t="str">
        <v>PORTER</v>
      </c>
      <c r="M213" t="s">
        <v>8904</v>
      </c>
    </row>
    <row r="214" spans="1:16">
      <c r="A214" t="s">
        <v>404</v>
      </c>
      <c r="B214" t="s">
        <v>404</v>
      </c>
      <c r="G214" t="s">
        <v>7906</v>
      </c>
      <c r="H214" t="str" cm="1">
        <f t="array" ref="H214">_xlfn.TEXTSPLIT(G214,";")</f>
        <v>SAREPTA</v>
      </c>
      <c r="M214" t="s">
        <v>10004</v>
      </c>
    </row>
    <row r="215" spans="1:16">
      <c r="A215" t="s">
        <v>323</v>
      </c>
      <c r="B215" t="s">
        <v>323</v>
      </c>
      <c r="G215" t="s">
        <v>7401</v>
      </c>
      <c r="H215" t="str" cm="1">
        <f t="array" ref="H215">_xlfn.TEXTSPLIT(G215,";")</f>
        <v>NIGHT</v>
      </c>
      <c r="M215" t="s">
        <v>9303</v>
      </c>
    </row>
    <row r="216" spans="1:16">
      <c r="A216" t="s">
        <v>56</v>
      </c>
      <c r="B216" t="s">
        <v>56</v>
      </c>
      <c r="G216" t="s">
        <v>783</v>
      </c>
      <c r="H216" t="str" cm="1">
        <f t="array" ref="H216">_xlfn.TEXTSPLIT(G216,";")</f>
        <v>GR_RESERVE</v>
      </c>
      <c r="M216" t="s">
        <v>5483</v>
      </c>
    </row>
    <row r="217" spans="1:16">
      <c r="A217" t="s">
        <v>57</v>
      </c>
      <c r="B217" t="s">
        <v>57</v>
      </c>
      <c r="G217" t="s">
        <v>6437</v>
      </c>
      <c r="H217" t="str" cm="1">
        <f t="array" ref="H217:L217">_xlfn.TEXTSPLIT(G217,";")</f>
        <v>BLUE</v>
      </c>
      <c r="I217" t="str">
        <v>9</v>
      </c>
      <c r="J217" t="str">
        <v>BROWN</v>
      </c>
      <c r="K217" t="str">
        <v>DUBBEL</v>
      </c>
      <c r="L217" t="str">
        <v>DARK</v>
      </c>
      <c r="M217" t="s">
        <v>988</v>
      </c>
      <c r="P217" t="s">
        <v>772</v>
      </c>
    </row>
    <row r="218" spans="1:16">
      <c r="A218" t="s">
        <v>8141</v>
      </c>
      <c r="B218" t="s">
        <v>8141</v>
      </c>
      <c r="G218" t="s">
        <v>5249</v>
      </c>
      <c r="H218" t="str" cm="1">
        <f t="array" ref="H218:I218">_xlfn.TEXTSPLIT(G218,";")</f>
        <v>DUBBEL_CHERRY</v>
      </c>
      <c r="I218" t="str">
        <v>RED</v>
      </c>
      <c r="M218" t="s">
        <v>5581</v>
      </c>
    </row>
    <row r="219" spans="1:16">
      <c r="A219" t="s">
        <v>324</v>
      </c>
      <c r="B219" t="s">
        <v>324</v>
      </c>
      <c r="G219" t="s">
        <v>763</v>
      </c>
      <c r="H219" t="str" cm="1">
        <f t="array" ref="H219">_xlfn.TEXTSPLIT(G219,";")</f>
        <v>BLACK</v>
      </c>
      <c r="M219" t="s">
        <v>9984</v>
      </c>
    </row>
    <row r="220" spans="1:16">
      <c r="A220" t="s">
        <v>365</v>
      </c>
      <c r="B220" t="s">
        <v>365</v>
      </c>
      <c r="G220" t="s">
        <v>790</v>
      </c>
      <c r="H220" t="str" cm="1">
        <f t="array" ref="H220">_xlfn.TEXTSPLIT(G220,";")</f>
        <v>NOCTURNUM</v>
      </c>
      <c r="M220" t="s">
        <v>7627</v>
      </c>
    </row>
    <row r="221" spans="1:16">
      <c r="A221" t="s">
        <v>8147</v>
      </c>
      <c r="B221" t="s">
        <v>8147</v>
      </c>
      <c r="G221" t="s">
        <v>9993</v>
      </c>
      <c r="H221" t="str" cm="1">
        <f t="array" ref="H221">_xlfn.TEXTSPLIT(G221,";")</f>
        <v>MELIOR</v>
      </c>
      <c r="M221" t="s">
        <v>7879</v>
      </c>
    </row>
    <row r="222" spans="1:16">
      <c r="A222" t="s">
        <v>258</v>
      </c>
      <c r="B222" t="s">
        <v>258</v>
      </c>
      <c r="G222">
        <v>9</v>
      </c>
      <c r="H222" t="str" cm="1">
        <f t="array" ref="H222">_xlfn.TEXTSPLIT(G222,";")</f>
        <v>9</v>
      </c>
      <c r="M222" t="s">
        <v>7908</v>
      </c>
    </row>
    <row r="223" spans="1:16">
      <c r="A223" t="s">
        <v>683</v>
      </c>
      <c r="B223" t="s">
        <v>683</v>
      </c>
      <c r="G223" t="s">
        <v>6548</v>
      </c>
      <c r="H223" t="str" cm="1">
        <f t="array" ref="H223:I223">_xlfn.TEXTSPLIT(G223,";")</f>
        <v>CLASSIC</v>
      </c>
      <c r="I223" t="str">
        <v>CORE</v>
      </c>
      <c r="M223" t="s">
        <v>785</v>
      </c>
    </row>
    <row r="224" spans="1:16">
      <c r="A224" t="s">
        <v>646</v>
      </c>
      <c r="B224" t="s">
        <v>646</v>
      </c>
      <c r="G224" t="s">
        <v>752</v>
      </c>
      <c r="H224" t="str" cm="1">
        <f t="array" ref="H224">_xlfn.TEXTSPLIT(G224,";")</f>
        <v>BREWMASTER</v>
      </c>
      <c r="M224" t="s">
        <v>804</v>
      </c>
    </row>
    <row r="225" spans="1:16">
      <c r="A225" t="s">
        <v>8181</v>
      </c>
      <c r="B225" t="s">
        <v>8181</v>
      </c>
      <c r="G225" t="s">
        <v>931</v>
      </c>
      <c r="H225" t="str" cm="1">
        <f t="array" ref="H225">_xlfn.TEXTSPLIT(G225,";")</f>
        <v>STRONG_DARK</v>
      </c>
      <c r="M225" t="s">
        <v>8499</v>
      </c>
    </row>
    <row r="226" spans="1:16">
      <c r="A226" t="s">
        <v>979</v>
      </c>
      <c r="B226" t="s">
        <v>979</v>
      </c>
      <c r="G226" t="s">
        <v>8497</v>
      </c>
      <c r="H226" t="str" cm="1">
        <f t="array" ref="H226">_xlfn.TEXTSPLIT(G226,";")</f>
        <v>RSRV</v>
      </c>
      <c r="M226" t="s">
        <v>9455</v>
      </c>
    </row>
    <row r="227" spans="1:16">
      <c r="A227" t="s">
        <v>8189</v>
      </c>
      <c r="B227" t="s">
        <v>8189</v>
      </c>
      <c r="G227" t="s">
        <v>851</v>
      </c>
      <c r="H227" t="str" cm="1">
        <f t="array" ref="H227">_xlfn.TEXTSPLIT(G227,";")</f>
        <v>ABT_12</v>
      </c>
      <c r="M227" t="s">
        <v>985</v>
      </c>
    </row>
    <row r="228" spans="1:16">
      <c r="A228" t="s">
        <v>62</v>
      </c>
      <c r="B228" t="s">
        <v>62</v>
      </c>
      <c r="G228" t="s">
        <v>6954</v>
      </c>
      <c r="H228" t="str" cm="1">
        <f t="array" ref="H228:J228">_xlfn.TEXTSPLIT(G228,";")</f>
        <v>BROWN</v>
      </c>
      <c r="I228" t="str">
        <v>DARK</v>
      </c>
      <c r="J228" t="str">
        <v>QUADRUPEL</v>
      </c>
      <c r="M228" t="s">
        <v>986</v>
      </c>
    </row>
    <row r="229" spans="1:16">
      <c r="A229" t="s">
        <v>7721</v>
      </c>
      <c r="B229" t="s">
        <v>7721</v>
      </c>
      <c r="G229" t="s">
        <v>8556</v>
      </c>
      <c r="H229" t="str" cm="1">
        <f t="array" ref="H229">_xlfn.TEXTSPLIT(G229,";")</f>
        <v>SCHACHTSTUIKER</v>
      </c>
      <c r="M229" t="s">
        <v>9305</v>
      </c>
    </row>
    <row r="230" spans="1:16">
      <c r="A230" t="s">
        <v>325</v>
      </c>
      <c r="B230" t="s">
        <v>325</v>
      </c>
      <c r="G230" t="s">
        <v>9997</v>
      </c>
      <c r="H230" t="str" cm="1">
        <f t="array" ref="H230">_xlfn.TEXTSPLIT(G230,";")</f>
        <v>XO</v>
      </c>
      <c r="M230" t="s">
        <v>10013</v>
      </c>
    </row>
    <row r="231" spans="1:16">
      <c r="A231" t="s">
        <v>7723</v>
      </c>
      <c r="B231" t="s">
        <v>7723</v>
      </c>
      <c r="G231" t="s">
        <v>776</v>
      </c>
      <c r="H231" t="str" cm="1">
        <f t="array" ref="H231">_xlfn.TEXTSPLIT(G231,";")</f>
        <v>WHITE</v>
      </c>
      <c r="M231" t="s">
        <v>853</v>
      </c>
    </row>
    <row r="232" spans="1:16">
      <c r="A232" t="s">
        <v>8228</v>
      </c>
      <c r="B232" t="s">
        <v>8228</v>
      </c>
      <c r="G232" t="s">
        <v>6660</v>
      </c>
      <c r="H232" t="str" cm="1">
        <f t="array" ref="H232">_xlfn.TEXTSPLIT(G232,";")</f>
        <v>WHISKEY</v>
      </c>
      <c r="M232" t="s">
        <v>10133</v>
      </c>
    </row>
    <row r="233" spans="1:16">
      <c r="A233" t="s">
        <v>9992</v>
      </c>
      <c r="B233" t="s">
        <v>9992</v>
      </c>
      <c r="G233" t="s">
        <v>8798</v>
      </c>
      <c r="H233" t="str" cm="1">
        <f t="array" ref="H233">_xlfn.TEXTSPLIT(G233,";")</f>
        <v>ARMAGNAC</v>
      </c>
      <c r="M233" t="s">
        <v>8995</v>
      </c>
    </row>
    <row r="234" spans="1:16">
      <c r="A234" t="s">
        <v>405</v>
      </c>
      <c r="B234" t="s">
        <v>405</v>
      </c>
      <c r="G234" t="s">
        <v>984</v>
      </c>
      <c r="H234" t="str" cm="1">
        <f t="array" ref="H234">_xlfn.TEXTSPLIT(G234,";")</f>
        <v>DARK_BRUT</v>
      </c>
      <c r="M234" t="s">
        <v>7324</v>
      </c>
    </row>
    <row r="235" spans="1:16">
      <c r="A235" t="s">
        <v>7394</v>
      </c>
      <c r="B235" t="s">
        <v>7394</v>
      </c>
      <c r="G235" t="s">
        <v>5417</v>
      </c>
      <c r="H235" t="str" cm="1">
        <f t="array" ref="H235:J235">_xlfn.TEXTSPLIT(G235,";")</f>
        <v>12</v>
      </c>
      <c r="I235" t="str">
        <v>BROWN</v>
      </c>
      <c r="J235" t="str">
        <v>DUBBEL</v>
      </c>
      <c r="M235" t="s">
        <v>5582</v>
      </c>
    </row>
    <row r="236" spans="1:16">
      <c r="A236" t="s">
        <v>306</v>
      </c>
      <c r="B236" t="s">
        <v>306</v>
      </c>
      <c r="G236" t="s">
        <v>10005</v>
      </c>
      <c r="H236" t="str" cm="1">
        <f t="array" ref="H236">_xlfn.TEXTSPLIT(G236,";")</f>
        <v>TOTAL</v>
      </c>
      <c r="M236" t="s">
        <v>5635</v>
      </c>
    </row>
    <row r="237" spans="1:16">
      <c r="A237" t="s">
        <v>406</v>
      </c>
      <c r="B237" t="s">
        <v>406</v>
      </c>
      <c r="G237" t="s">
        <v>5516</v>
      </c>
      <c r="H237" t="str" cm="1">
        <f t="array" ref="H237:K237">_xlfn.TEXTSPLIT(G237,";")</f>
        <v>6</v>
      </c>
      <c r="I237" t="str">
        <v>DUBBEL</v>
      </c>
      <c r="J237" t="str">
        <v>RED</v>
      </c>
      <c r="K237" t="str">
        <v>CORE</v>
      </c>
      <c r="M237" t="s">
        <v>5636</v>
      </c>
      <c r="P237" t="s">
        <v>1438</v>
      </c>
    </row>
    <row r="238" spans="1:16">
      <c r="A238" t="s">
        <v>407</v>
      </c>
      <c r="B238" t="s">
        <v>407</v>
      </c>
      <c r="G238" t="s">
        <v>5515</v>
      </c>
      <c r="H238" t="str" cm="1">
        <f t="array" ref="H238:J238">_xlfn.TEXTSPLIT(G238,";")</f>
        <v>8</v>
      </c>
      <c r="I238" t="str">
        <v>DARK</v>
      </c>
      <c r="J238" t="str">
        <v>GREEN</v>
      </c>
      <c r="M238" t="s">
        <v>5637</v>
      </c>
    </row>
    <row r="239" spans="1:16">
      <c r="A239" t="s">
        <v>9680</v>
      </c>
      <c r="B239" t="s">
        <v>9680</v>
      </c>
      <c r="G239" t="s">
        <v>7403</v>
      </c>
      <c r="H239" t="str" cm="1">
        <f t="array" ref="H239">_xlfn.TEXTSPLIT(G239,";")</f>
        <v>PASSE_TOUT</v>
      </c>
      <c r="M239" t="s">
        <v>5583</v>
      </c>
    </row>
    <row r="240" spans="1:16">
      <c r="A240" t="s">
        <v>261</v>
      </c>
      <c r="B240" t="s">
        <v>261</v>
      </c>
      <c r="G240" t="s">
        <v>6513</v>
      </c>
      <c r="H240" t="str" cm="1">
        <f t="array" ref="H240">_xlfn.TEXTSPLIT(G240,";")</f>
        <v>ARMAND</v>
      </c>
      <c r="M240" t="s">
        <v>5842</v>
      </c>
    </row>
    <row r="241" spans="1:16">
      <c r="A241" t="s">
        <v>68</v>
      </c>
      <c r="B241" t="s">
        <v>68</v>
      </c>
      <c r="G241" t="s">
        <v>794</v>
      </c>
      <c r="H241" t="str" cm="1">
        <f t="array" ref="H241">_xlfn.TEXTSPLIT(G241,";")</f>
        <v>WINTERBOCK</v>
      </c>
      <c r="M241" t="s">
        <v>5638</v>
      </c>
    </row>
    <row r="242" spans="1:16">
      <c r="A242" t="s">
        <v>326</v>
      </c>
      <c r="B242" t="s">
        <v>326</v>
      </c>
      <c r="G242" t="s">
        <v>6351</v>
      </c>
      <c r="H242" t="str" cm="1">
        <f t="array" ref="H242">_xlfn.TEXTSPLIT(G242,";")</f>
        <v>HELL</v>
      </c>
      <c r="M242" t="s">
        <v>5639</v>
      </c>
    </row>
    <row r="243" spans="1:16">
      <c r="A243" t="s">
        <v>7270</v>
      </c>
      <c r="B243" t="s">
        <v>7270</v>
      </c>
      <c r="G243" t="s">
        <v>10017</v>
      </c>
      <c r="H243" t="str" cm="1">
        <f t="array" ref="H243">_xlfn.TEXTSPLIT(G243,";")</f>
        <v>NERA</v>
      </c>
      <c r="M243" t="s">
        <v>5640</v>
      </c>
    </row>
    <row r="244" spans="1:16">
      <c r="A244" t="s">
        <v>8253</v>
      </c>
      <c r="B244" t="s">
        <v>8253</v>
      </c>
      <c r="G244" t="s">
        <v>9482</v>
      </c>
      <c r="H244" t="str" cm="1">
        <f t="array" ref="H244">_xlfn.TEXTSPLIT(G244,";")</f>
        <v>THOR</v>
      </c>
      <c r="M244" t="s">
        <v>919</v>
      </c>
    </row>
    <row r="245" spans="1:16">
      <c r="A245" t="s">
        <v>8263</v>
      </c>
      <c r="B245" t="s">
        <v>8263</v>
      </c>
      <c r="G245" t="s">
        <v>929</v>
      </c>
      <c r="H245" t="str" cm="1">
        <f t="array" ref="H245">_xlfn.TEXTSPLIT(G245,";")</f>
        <v>GENERAAL</v>
      </c>
      <c r="M245" t="s">
        <v>7859</v>
      </c>
    </row>
    <row r="246" spans="1:16">
      <c r="A246" t="s">
        <v>71</v>
      </c>
      <c r="B246" t="s">
        <v>71</v>
      </c>
      <c r="G246" t="s">
        <v>7039</v>
      </c>
      <c r="H246" t="str" cm="1">
        <f t="array" ref="H246">_xlfn.TEXTSPLIT(G246,";")</f>
        <v>OLD</v>
      </c>
      <c r="M246" t="s">
        <v>6584</v>
      </c>
    </row>
    <row r="247" spans="1:16">
      <c r="A247" t="s">
        <v>8433</v>
      </c>
      <c r="B247" t="s">
        <v>8433</v>
      </c>
      <c r="G247" t="s">
        <v>9499</v>
      </c>
      <c r="H247" t="str" cm="1">
        <f t="array" ref="H247:I247">_xlfn.TEXTSPLIT(G247,";")</f>
        <v>PORTER</v>
      </c>
      <c r="I247" t="str">
        <v>BARREL</v>
      </c>
      <c r="M247" t="s">
        <v>6643</v>
      </c>
    </row>
    <row r="248" spans="1:16">
      <c r="A248" t="s">
        <v>7077</v>
      </c>
      <c r="B248" t="s">
        <v>7077</v>
      </c>
      <c r="G248" t="s">
        <v>5580</v>
      </c>
      <c r="H248" t="str" cm="1">
        <f t="array" ref="H248">_xlfn.TEXTSPLIT(G248,";")</f>
        <v>BELGIAN_STRONG_GOLDEN_ALE</v>
      </c>
      <c r="M248" t="s">
        <v>778</v>
      </c>
    </row>
    <row r="249" spans="1:16">
      <c r="A249" t="s">
        <v>909</v>
      </c>
      <c r="B249" t="s">
        <v>909</v>
      </c>
      <c r="G249" t="s">
        <v>5181</v>
      </c>
      <c r="H249" t="str" cm="1">
        <f t="array" ref="H249">_xlfn.TEXTSPLIT(G249,";")</f>
        <v>CHARMES</v>
      </c>
      <c r="M249" t="s">
        <v>5641</v>
      </c>
    </row>
    <row r="250" spans="1:16">
      <c r="A250" t="s">
        <v>8279</v>
      </c>
      <c r="B250" t="s">
        <v>8279</v>
      </c>
      <c r="G250" t="s">
        <v>5379</v>
      </c>
      <c r="H250" t="str" cm="1">
        <f t="array" ref="H250:J250">_xlfn.TEXTSPLIT(G250,";")</f>
        <v>GOLD</v>
      </c>
      <c r="I250" t="str">
        <v>BLOND</v>
      </c>
      <c r="J250" t="str">
        <v>CORE</v>
      </c>
      <c r="M250" t="s">
        <v>5642</v>
      </c>
    </row>
    <row r="251" spans="1:16">
      <c r="A251" t="s">
        <v>7360</v>
      </c>
      <c r="B251" t="s">
        <v>7360</v>
      </c>
      <c r="G251" t="s">
        <v>5246</v>
      </c>
      <c r="H251" t="str" cm="1">
        <f t="array" ref="H251:K251">_xlfn.TEXTSPLIT(G251,";")</f>
        <v>BLOND</v>
      </c>
      <c r="I251" t="str">
        <v>STRONG_BLOND</v>
      </c>
      <c r="J251" t="str">
        <v>CORE</v>
      </c>
      <c r="K251" t="str">
        <v>STRONG</v>
      </c>
      <c r="M251" t="s">
        <v>5643</v>
      </c>
      <c r="P251" t="s">
        <v>930</v>
      </c>
    </row>
    <row r="252" spans="1:16">
      <c r="A252" t="s">
        <v>72</v>
      </c>
      <c r="B252" t="s">
        <v>72</v>
      </c>
      <c r="G252" t="s">
        <v>6547</v>
      </c>
      <c r="H252" t="str" cm="1">
        <f t="array" ref="H252:I252">_xlfn.TEXTSPLIT(G252,";")</f>
        <v>TREMENS</v>
      </c>
      <c r="I252" t="str">
        <v>BLUE</v>
      </c>
      <c r="M252" t="s">
        <v>5644</v>
      </c>
    </row>
    <row r="253" spans="1:16">
      <c r="A253" t="s">
        <v>7726</v>
      </c>
      <c r="B253" t="s">
        <v>7726</v>
      </c>
      <c r="G253" t="s">
        <v>8328</v>
      </c>
      <c r="H253" t="str" cm="1">
        <f t="array" ref="H253">_xlfn.TEXTSPLIT(G253,";")</f>
        <v>FINEST</v>
      </c>
      <c r="M253" t="s">
        <v>795</v>
      </c>
    </row>
    <row r="254" spans="1:16">
      <c r="A254" t="s">
        <v>367</v>
      </c>
      <c r="B254" t="s">
        <v>367</v>
      </c>
      <c r="G254" t="s">
        <v>961</v>
      </c>
      <c r="H254" t="str" cm="1">
        <f t="array" ref="H254">_xlfn.TEXTSPLIT(G254,";")</f>
        <v>STRONG_BLOND</v>
      </c>
      <c r="M254" t="s">
        <v>5645</v>
      </c>
    </row>
    <row r="255" spans="1:16">
      <c r="A255" t="s">
        <v>8291</v>
      </c>
      <c r="B255" t="s">
        <v>8291</v>
      </c>
      <c r="G255" t="s">
        <v>7265</v>
      </c>
      <c r="H255" t="str" cm="1">
        <f t="array" ref="H255">_xlfn.TEXTSPLIT(G255,";")</f>
        <v>ULTRA</v>
      </c>
      <c r="M255" t="s">
        <v>5646</v>
      </c>
    </row>
    <row r="256" spans="1:16">
      <c r="A256" t="s">
        <v>607</v>
      </c>
      <c r="B256" t="s">
        <v>607</v>
      </c>
      <c r="G256">
        <v>10</v>
      </c>
      <c r="H256" t="str" cm="1">
        <f t="array" ref="H256">_xlfn.TEXTSPLIT(G256,";")</f>
        <v>10</v>
      </c>
      <c r="M256" t="s">
        <v>5584</v>
      </c>
    </row>
    <row r="257" spans="1:16">
      <c r="A257" t="s">
        <v>73</v>
      </c>
      <c r="B257" t="s">
        <v>73</v>
      </c>
      <c r="G257">
        <v>12</v>
      </c>
      <c r="H257" t="str" cm="1">
        <f t="array" ref="H257">_xlfn.TEXTSPLIT(G257,";")</f>
        <v>12</v>
      </c>
      <c r="M257" t="s">
        <v>5647</v>
      </c>
    </row>
    <row r="258" spans="1:16">
      <c r="A258" t="s">
        <v>542</v>
      </c>
      <c r="B258" t="s">
        <v>542</v>
      </c>
      <c r="G258" t="s">
        <v>8426</v>
      </c>
      <c r="H258" t="str" cm="1">
        <f t="array" ref="H258">_xlfn.TEXTSPLIT(G258,";")</f>
        <v>TINTO</v>
      </c>
      <c r="M258" t="s">
        <v>5648</v>
      </c>
    </row>
    <row r="259" spans="1:16">
      <c r="A259" t="s">
        <v>7407</v>
      </c>
      <c r="B259" t="s">
        <v>7407</v>
      </c>
      <c r="G259" t="s">
        <v>5407</v>
      </c>
      <c r="H259" t="str" cm="1">
        <f t="array" ref="H259:L259">_xlfn.TEXTSPLIT(G259,";")</f>
        <v>AMBER</v>
      </c>
      <c r="I259" t="str">
        <v>ISID_OR</v>
      </c>
      <c r="J259" t="str">
        <v>GOLD</v>
      </c>
      <c r="K259" t="str">
        <v>ISID_OR</v>
      </c>
      <c r="L259" t="str">
        <v>GOLD</v>
      </c>
      <c r="M259" t="s">
        <v>5649</v>
      </c>
      <c r="P259" t="s">
        <v>10132</v>
      </c>
    </row>
    <row r="260" spans="1:16">
      <c r="A260" t="s">
        <v>78</v>
      </c>
      <c r="B260" t="s">
        <v>78</v>
      </c>
      <c r="G260" t="s">
        <v>992</v>
      </c>
      <c r="H260" t="str" cm="1">
        <f t="array" ref="H260">_xlfn.TEXTSPLIT(G260,";")</f>
        <v>RITUEL</v>
      </c>
      <c r="M260" t="s">
        <v>5650</v>
      </c>
    </row>
    <row r="261" spans="1:16">
      <c r="A261" t="s">
        <v>327</v>
      </c>
      <c r="B261" t="s">
        <v>327</v>
      </c>
      <c r="G261" t="s">
        <v>8904</v>
      </c>
      <c r="H261" t="str" cm="1">
        <f t="array" ref="H261">_xlfn.TEXTSPLIT(G261,";")</f>
        <v>ABBEY</v>
      </c>
      <c r="M261" t="s">
        <v>9407</v>
      </c>
    </row>
    <row r="262" spans="1:16">
      <c r="A262" t="s">
        <v>8317</v>
      </c>
      <c r="B262" t="s">
        <v>8317</v>
      </c>
      <c r="G262" t="s">
        <v>10004</v>
      </c>
      <c r="H262" t="str" cm="1">
        <f t="array" ref="H262">_xlfn.TEXTSPLIT(G262,";")</f>
        <v>HORSE</v>
      </c>
      <c r="M262" t="s">
        <v>5651</v>
      </c>
    </row>
    <row r="263" spans="1:16">
      <c r="A263" t="s">
        <v>609</v>
      </c>
      <c r="B263" t="s">
        <v>609</v>
      </c>
      <c r="G263" t="s">
        <v>9303</v>
      </c>
      <c r="H263" t="str" cm="1">
        <f t="array" ref="H263">_xlfn.TEXTSPLIT(G263,";")</f>
        <v>MAXIMA</v>
      </c>
      <c r="M263" t="s">
        <v>5585</v>
      </c>
    </row>
    <row r="264" spans="1:16">
      <c r="A264" t="s">
        <v>7728</v>
      </c>
      <c r="B264" t="s">
        <v>7728</v>
      </c>
      <c r="G264" t="s">
        <v>6555</v>
      </c>
      <c r="H264" t="str" cm="1">
        <f t="array" ref="H264:J264">_xlfn.TEXTSPLIT(G264,";")</f>
        <v>PILSNER</v>
      </c>
      <c r="I264" t="str">
        <v>BLOND</v>
      </c>
      <c r="J264" t="str">
        <v>CORE</v>
      </c>
      <c r="M264" t="s">
        <v>5586</v>
      </c>
    </row>
    <row r="265" spans="1:16">
      <c r="A265" t="s">
        <v>543</v>
      </c>
      <c r="B265" t="s">
        <v>543</v>
      </c>
      <c r="G265">
        <v>7</v>
      </c>
      <c r="H265" t="str" cm="1">
        <f t="array" ref="H265">_xlfn.TEXTSPLIT(G265,";")</f>
        <v>7</v>
      </c>
      <c r="M265" t="s">
        <v>5570</v>
      </c>
    </row>
    <row r="266" spans="1:16">
      <c r="A266" t="s">
        <v>8330</v>
      </c>
      <c r="B266" t="s">
        <v>8330</v>
      </c>
      <c r="G266" t="s">
        <v>5483</v>
      </c>
      <c r="H266" t="str" cm="1">
        <f t="array" ref="H266">_xlfn.TEXTSPLIT(G266,";")</f>
        <v>LUSTRUM</v>
      </c>
      <c r="M266" t="s">
        <v>1981</v>
      </c>
    </row>
    <row r="267" spans="1:16">
      <c r="A267" t="s">
        <v>8332</v>
      </c>
      <c r="B267" t="s">
        <v>8332</v>
      </c>
      <c r="G267" t="s">
        <v>988</v>
      </c>
      <c r="H267" t="str" cm="1">
        <f t="array" ref="H267">_xlfn.TEXTSPLIT(G267,";")</f>
        <v>WILD</v>
      </c>
      <c r="M267" t="s">
        <v>10014</v>
      </c>
    </row>
    <row r="268" spans="1:16">
      <c r="A268" t="s">
        <v>329</v>
      </c>
      <c r="B268" t="s">
        <v>329</v>
      </c>
      <c r="G268" t="s">
        <v>5442</v>
      </c>
      <c r="H268" t="str" cm="1">
        <f t="array" ref="H268:I268">_xlfn.TEXTSPLIT(G268,";")</f>
        <v>TRIPEL</v>
      </c>
      <c r="I268" t="str">
        <v>CORE</v>
      </c>
      <c r="M268" t="s">
        <v>7233</v>
      </c>
    </row>
    <row r="269" spans="1:16">
      <c r="A269" t="s">
        <v>262</v>
      </c>
      <c r="B269" t="s">
        <v>262</v>
      </c>
      <c r="G269" t="s">
        <v>6368</v>
      </c>
      <c r="H269" t="str" cm="1">
        <f t="array" ref="H269:I269">_xlfn.TEXTSPLIT(G269,";")</f>
        <v>BELGIAN_TRIPEL</v>
      </c>
      <c r="I269" t="str">
        <v>TRIPEL</v>
      </c>
      <c r="M269" t="s">
        <v>6858</v>
      </c>
    </row>
    <row r="270" spans="1:16">
      <c r="A270" t="s">
        <v>263</v>
      </c>
      <c r="B270" t="s">
        <v>263</v>
      </c>
      <c r="G270" t="s">
        <v>9984</v>
      </c>
      <c r="H270" t="str" cm="1">
        <f t="array" ref="H270">_xlfn.TEXTSPLIT(G270,";")</f>
        <v>BELGIAN_TRIPEL| ZERO</v>
      </c>
      <c r="M270" t="s">
        <v>897</v>
      </c>
    </row>
    <row r="271" spans="1:16">
      <c r="A271" t="s">
        <v>368</v>
      </c>
      <c r="B271" t="s">
        <v>368</v>
      </c>
      <c r="G271" t="s">
        <v>7627</v>
      </c>
      <c r="H271" t="str" cm="1">
        <f t="array" ref="H271">_xlfn.TEXTSPLIT(G271,";")</f>
        <v>OAK</v>
      </c>
      <c r="M271" t="s">
        <v>764</v>
      </c>
    </row>
    <row r="272" spans="1:16">
      <c r="A272" t="s">
        <v>8351</v>
      </c>
      <c r="B272" t="s">
        <v>8351</v>
      </c>
      <c r="G272" t="s">
        <v>7879</v>
      </c>
      <c r="H272" t="str" cm="1">
        <f t="array" ref="H272">_xlfn.TEXTSPLIT(G272,";")</f>
        <v>ZATTE</v>
      </c>
      <c r="M272" t="s">
        <v>10015</v>
      </c>
    </row>
    <row r="273" spans="1:16">
      <c r="A273" t="s">
        <v>8355</v>
      </c>
      <c r="B273" t="s">
        <v>8355</v>
      </c>
      <c r="G273" t="s">
        <v>7908</v>
      </c>
      <c r="H273" t="str" cm="1">
        <f t="array" ref="H273">_xlfn.TEXTSPLIT(G273,";")</f>
        <v>AXIDENT</v>
      </c>
      <c r="M273" t="s">
        <v>5652</v>
      </c>
    </row>
    <row r="274" spans="1:16">
      <c r="A274" t="s">
        <v>8357</v>
      </c>
      <c r="B274" t="s">
        <v>8357</v>
      </c>
      <c r="G274" t="s">
        <v>5233</v>
      </c>
      <c r="H274" t="str" cm="1">
        <f t="array" ref="H274:I274">_xlfn.TEXTSPLIT(G274,";")</f>
        <v>TRIPEL</v>
      </c>
      <c r="I274" t="str">
        <v>BLOND</v>
      </c>
      <c r="M274" t="s">
        <v>5653</v>
      </c>
    </row>
    <row r="275" spans="1:16">
      <c r="A275" t="s">
        <v>8362</v>
      </c>
      <c r="B275" t="s">
        <v>8362</v>
      </c>
      <c r="G275" t="s">
        <v>6944</v>
      </c>
      <c r="H275" t="str" cm="1">
        <f t="array" ref="H275:J275">_xlfn.TEXTSPLIT(G275,";")</f>
        <v>TRIPEL</v>
      </c>
      <c r="I275" t="str">
        <v>WHITE</v>
      </c>
      <c r="J275" t="str">
        <v>CORE</v>
      </c>
      <c r="M275" t="s">
        <v>5654</v>
      </c>
    </row>
    <row r="276" spans="1:16">
      <c r="A276" t="s">
        <v>265</v>
      </c>
      <c r="B276" t="s">
        <v>265</v>
      </c>
      <c r="G276" t="s">
        <v>785</v>
      </c>
      <c r="H276" t="str" cm="1">
        <f t="array" ref="H276">_xlfn.TEXTSPLIT(G276,";")</f>
        <v>ANGUS</v>
      </c>
      <c r="M276" t="s">
        <v>5655</v>
      </c>
    </row>
    <row r="277" spans="1:16">
      <c r="A277" t="s">
        <v>8369</v>
      </c>
      <c r="B277" t="s">
        <v>8369</v>
      </c>
      <c r="G277" t="s">
        <v>7411</v>
      </c>
      <c r="H277" t="str" cm="1">
        <f t="array" ref="H277:I277">_xlfn.TEXTSPLIT(G277,";")</f>
        <v>CORE</v>
      </c>
      <c r="I277" t="str">
        <v>TRIPEL</v>
      </c>
      <c r="M277" t="s">
        <v>5656</v>
      </c>
    </row>
    <row r="278" spans="1:16">
      <c r="A278" t="s">
        <v>369</v>
      </c>
      <c r="B278" t="s">
        <v>369</v>
      </c>
      <c r="G278" t="s">
        <v>804</v>
      </c>
      <c r="H278" t="str" cm="1">
        <f t="array" ref="H278">_xlfn.TEXTSPLIT(G278,";")</f>
        <v>VINTAGE</v>
      </c>
      <c r="M278" t="s">
        <v>5657</v>
      </c>
    </row>
    <row r="279" spans="1:16">
      <c r="A279" t="s">
        <v>546</v>
      </c>
      <c r="B279" t="s">
        <v>546</v>
      </c>
      <c r="G279" t="s">
        <v>5438</v>
      </c>
      <c r="H279" t="str" cm="1">
        <f t="array" ref="H279:J279">_xlfn.TEXTSPLIT(G279,";")</f>
        <v>TRIPEL</v>
      </c>
      <c r="I279" t="str">
        <v>BLOND</v>
      </c>
      <c r="J279" t="str">
        <v>CORE</v>
      </c>
      <c r="M279" t="s">
        <v>5658</v>
      </c>
    </row>
    <row r="280" spans="1:16">
      <c r="A280" t="s">
        <v>7390</v>
      </c>
      <c r="B280" t="s">
        <v>7390</v>
      </c>
      <c r="G280" t="s">
        <v>8499</v>
      </c>
      <c r="H280" t="str" cm="1">
        <f t="array" ref="H280">_xlfn.TEXTSPLIT(G280,";")</f>
        <v>PMPRNL</v>
      </c>
      <c r="M280" t="s">
        <v>5659</v>
      </c>
    </row>
    <row r="281" spans="1:16">
      <c r="A281" t="s">
        <v>547</v>
      </c>
      <c r="B281" t="s">
        <v>547</v>
      </c>
      <c r="G281" t="s">
        <v>9455</v>
      </c>
      <c r="H281" t="str" cm="1">
        <f t="array" ref="H281">_xlfn.TEXTSPLIT(G281,";")</f>
        <v>FAU</v>
      </c>
      <c r="M281" t="s">
        <v>5660</v>
      </c>
    </row>
    <row r="282" spans="1:16">
      <c r="A282" t="s">
        <v>7669</v>
      </c>
      <c r="B282" t="s">
        <v>7669</v>
      </c>
      <c r="G282" t="s">
        <v>985</v>
      </c>
      <c r="H282" t="str" cm="1">
        <f t="array" ref="H282">_xlfn.TEXTSPLIT(G282,";")</f>
        <v>INFINITUM</v>
      </c>
      <c r="M282" t="s">
        <v>5661</v>
      </c>
    </row>
    <row r="283" spans="1:16">
      <c r="A283" t="s">
        <v>8399</v>
      </c>
      <c r="B283" t="s">
        <v>8399</v>
      </c>
      <c r="G283" t="s">
        <v>986</v>
      </c>
      <c r="H283" t="str" cm="1">
        <f t="array" ref="H283">_xlfn.TEXTSPLIT(G283,";")</f>
        <v>CELESTE</v>
      </c>
      <c r="M283" t="s">
        <v>5662</v>
      </c>
    </row>
    <row r="284" spans="1:16">
      <c r="A284" t="s">
        <v>8298</v>
      </c>
      <c r="B284" t="s">
        <v>8298</v>
      </c>
      <c r="G284" t="s">
        <v>5421</v>
      </c>
      <c r="H284" t="str" cm="1">
        <f t="array" ref="H284:K284">_xlfn.TEXTSPLIT(G284,";")</f>
        <v>EXTRA</v>
      </c>
      <c r="I284" t="str">
        <v>TRIPEL</v>
      </c>
      <c r="J284" t="str">
        <v>TRIPEL</v>
      </c>
      <c r="K284" t="str">
        <v>TRIPEL</v>
      </c>
      <c r="M284" t="s">
        <v>746</v>
      </c>
      <c r="P284" t="s">
        <v>534</v>
      </c>
    </row>
    <row r="285" spans="1:16">
      <c r="A285" t="s">
        <v>7385</v>
      </c>
      <c r="B285" t="s">
        <v>7385</v>
      </c>
      <c r="G285" t="s">
        <v>9305</v>
      </c>
      <c r="H285" t="str" cm="1">
        <f t="array" ref="H285">_xlfn.TEXTSPLIT(G285,";")</f>
        <v>JACK</v>
      </c>
      <c r="M285" t="s">
        <v>1513</v>
      </c>
    </row>
    <row r="286" spans="1:16">
      <c r="A286" t="s">
        <v>8423</v>
      </c>
      <c r="B286" t="s">
        <v>8423</v>
      </c>
      <c r="G286" t="s">
        <v>10013</v>
      </c>
      <c r="H286" t="str" cm="1">
        <f t="array" ref="H286">_xlfn.TEXTSPLIT(G286,";")</f>
        <v>75</v>
      </c>
      <c r="M286" t="s">
        <v>876</v>
      </c>
    </row>
    <row r="287" spans="1:16">
      <c r="A287" t="s">
        <v>90</v>
      </c>
      <c r="B287" t="s">
        <v>90</v>
      </c>
      <c r="G287" t="s">
        <v>5427</v>
      </c>
      <c r="H287" t="str" cm="1">
        <f t="array" ref="H287:I287">_xlfn.TEXTSPLIT(G287,";")</f>
        <v>TRIPEL_AMBER</v>
      </c>
      <c r="I287" t="str">
        <v>AMBER</v>
      </c>
      <c r="M287" t="s">
        <v>1488</v>
      </c>
    </row>
    <row r="288" spans="1:16">
      <c r="A288" t="s">
        <v>8442</v>
      </c>
      <c r="B288" t="s">
        <v>8442</v>
      </c>
      <c r="G288" t="s">
        <v>5429</v>
      </c>
      <c r="H288" t="str" cm="1">
        <f t="array" ref="H288:I288">_xlfn.TEXTSPLIT(G288,";")</f>
        <v>TRIPEL_HOP</v>
      </c>
      <c r="I288" t="str">
        <v>CITRA</v>
      </c>
      <c r="M288" t="s">
        <v>1466</v>
      </c>
    </row>
    <row r="289" spans="1:16">
      <c r="A289" t="s">
        <v>8446</v>
      </c>
      <c r="B289" t="s">
        <v>8446</v>
      </c>
      <c r="G289" t="s">
        <v>5428</v>
      </c>
      <c r="H289" t="str" cm="1">
        <f t="array" ref="H289:K289">_xlfn.TEXTSPLIT(G289,";")</f>
        <v>TRIPEL_BLOND</v>
      </c>
      <c r="I289" t="str">
        <v>BLOND</v>
      </c>
      <c r="J289" t="str">
        <v>TRIPEL</v>
      </c>
      <c r="K289" t="str">
        <v>CORE</v>
      </c>
      <c r="M289" t="s">
        <v>1489</v>
      </c>
      <c r="P289" t="s">
        <v>1438</v>
      </c>
    </row>
    <row r="290" spans="1:16">
      <c r="A290" t="s">
        <v>414</v>
      </c>
      <c r="B290" t="s">
        <v>414</v>
      </c>
      <c r="G290" t="s">
        <v>7141</v>
      </c>
      <c r="H290" t="str" cm="1">
        <f t="array" ref="H290:J290">_xlfn.TEXTSPLIT(G290,";")</f>
        <v>TRIPEL</v>
      </c>
      <c r="I290" t="str">
        <v>GOLD</v>
      </c>
      <c r="J290" t="str">
        <v/>
      </c>
      <c r="M290" t="s">
        <v>5587</v>
      </c>
    </row>
    <row r="291" spans="1:16">
      <c r="A291" t="s">
        <v>8467</v>
      </c>
      <c r="B291" t="s">
        <v>8467</v>
      </c>
      <c r="G291" t="s">
        <v>6518</v>
      </c>
      <c r="H291" t="str" cm="1">
        <f t="array" ref="H291:I291">_xlfn.TEXTSPLIT(G291,";")</f>
        <v>TRIPEL</v>
      </c>
      <c r="I291" t="str">
        <v>PRIOR</v>
      </c>
      <c r="M291" t="s">
        <v>5588</v>
      </c>
    </row>
    <row r="292" spans="1:16">
      <c r="A292" t="s">
        <v>7818</v>
      </c>
      <c r="B292" t="s">
        <v>7818</v>
      </c>
      <c r="G292">
        <v>8</v>
      </c>
      <c r="H292" t="str" cm="1">
        <f t="array" ref="H292">_xlfn.TEXTSPLIT(G292,";")</f>
        <v>8</v>
      </c>
      <c r="M292" t="s">
        <v>5663</v>
      </c>
    </row>
    <row r="293" spans="1:16">
      <c r="A293" t="s">
        <v>416</v>
      </c>
      <c r="B293" t="s">
        <v>416</v>
      </c>
      <c r="G293">
        <v>3</v>
      </c>
      <c r="H293" t="str" cm="1">
        <f t="array" ref="H293">_xlfn.TEXTSPLIT(G293,";")</f>
        <v>3</v>
      </c>
      <c r="M293" t="s">
        <v>5589</v>
      </c>
    </row>
    <row r="294" spans="1:16">
      <c r="A294" t="s">
        <v>8478</v>
      </c>
      <c r="B294" t="s">
        <v>8478</v>
      </c>
      <c r="G294" t="s">
        <v>8995</v>
      </c>
      <c r="H294" t="str" cm="1">
        <f t="array" ref="H294">_xlfn.TEXTSPLIT(G294,";")</f>
        <v>MAGNA</v>
      </c>
      <c r="M294" t="s">
        <v>535</v>
      </c>
    </row>
    <row r="295" spans="1:16">
      <c r="A295" t="s">
        <v>8486</v>
      </c>
      <c r="B295" t="s">
        <v>8486</v>
      </c>
      <c r="G295" t="s">
        <v>5253</v>
      </c>
      <c r="H295" t="str" cm="1">
        <f t="array" ref="H295:J295">_xlfn.TEXTSPLIT(G295,";")</f>
        <v>TRIPEL</v>
      </c>
      <c r="I295" t="str">
        <v>CORE</v>
      </c>
      <c r="J295" t="str">
        <v>BLOND</v>
      </c>
      <c r="M295" t="s">
        <v>5664</v>
      </c>
    </row>
    <row r="296" spans="1:16">
      <c r="A296" t="s">
        <v>8495</v>
      </c>
      <c r="B296" t="s">
        <v>8495</v>
      </c>
      <c r="G296" t="s">
        <v>7324</v>
      </c>
      <c r="H296" t="str" cm="1">
        <f t="array" ref="H296">_xlfn.TEXTSPLIT(G296,";")</f>
        <v>MAGNUM_OPUS</v>
      </c>
      <c r="M296" t="s">
        <v>5665</v>
      </c>
    </row>
    <row r="297" spans="1:16">
      <c r="A297" t="s">
        <v>421</v>
      </c>
      <c r="B297" t="s">
        <v>421</v>
      </c>
      <c r="G297" t="s">
        <v>6369</v>
      </c>
      <c r="H297" t="str" cm="1">
        <f t="array" ref="H297:J297">_xlfn.TEXTSPLIT(G297,";")</f>
        <v>BIERE_DE_CHAMPAGNE_/_BIERE_BRUT</v>
      </c>
      <c r="I297" t="str">
        <v>BRUT</v>
      </c>
      <c r="J297" t="str">
        <v>CHAMPAGNE</v>
      </c>
      <c r="M297" t="s">
        <v>5666</v>
      </c>
    </row>
    <row r="298" spans="1:16">
      <c r="A298" t="s">
        <v>548</v>
      </c>
      <c r="B298" t="s">
        <v>548</v>
      </c>
      <c r="G298" t="s">
        <v>5582</v>
      </c>
      <c r="H298" t="str" cm="1">
        <f t="array" ref="H298">_xlfn.TEXTSPLIT(G298,";")</f>
        <v>BIERE_DE_CHAMPAGNE_/_BIERE_BRUT</v>
      </c>
      <c r="M298" t="s">
        <v>6360</v>
      </c>
    </row>
    <row r="299" spans="1:16">
      <c r="A299" t="s">
        <v>8511</v>
      </c>
      <c r="B299" t="s">
        <v>8511</v>
      </c>
      <c r="G299" t="s">
        <v>5635</v>
      </c>
      <c r="H299" t="str" cm="1">
        <f t="array" ref="H299">_xlfn.TEXTSPLIT(G299,";")</f>
        <v>BITTER &gt; BEST</v>
      </c>
      <c r="M299" t="s">
        <v>7498</v>
      </c>
    </row>
    <row r="300" spans="1:16">
      <c r="A300" t="s">
        <v>8517</v>
      </c>
      <c r="B300" t="s">
        <v>8517</v>
      </c>
      <c r="G300" t="s">
        <v>5636</v>
      </c>
      <c r="H300" t="str" cm="1">
        <f t="array" ref="H300">_xlfn.TEXTSPLIT(G300,";")</f>
        <v>BITTER &gt; EXTRA_SPECIAL_/_STRONG_(ESB)</v>
      </c>
      <c r="M300" t="s">
        <v>5667</v>
      </c>
    </row>
    <row r="301" spans="1:16">
      <c r="A301" t="s">
        <v>8521</v>
      </c>
      <c r="B301" t="s">
        <v>8521</v>
      </c>
      <c r="G301" t="s">
        <v>5637</v>
      </c>
      <c r="H301" t="str" cm="1">
        <f t="array" ref="H301">_xlfn.TEXTSPLIT(G301,";")</f>
        <v>BITTER &gt; SESSION_/_ORDINARY</v>
      </c>
      <c r="M301" t="s">
        <v>5668</v>
      </c>
    </row>
    <row r="302" spans="1:16">
      <c r="A302" t="s">
        <v>100</v>
      </c>
      <c r="B302" t="s">
        <v>100</v>
      </c>
      <c r="G302" t="s">
        <v>5583</v>
      </c>
      <c r="H302" t="str" cm="1">
        <f t="array" ref="H302">_xlfn.TEXTSPLIT(G302,";")</f>
        <v>BLACK_&amp;_TAN</v>
      </c>
      <c r="M302" t="s">
        <v>5669</v>
      </c>
    </row>
    <row r="303" spans="1:16">
      <c r="A303" t="s">
        <v>422</v>
      </c>
      <c r="B303" t="s">
        <v>422</v>
      </c>
      <c r="G303" t="s">
        <v>5842</v>
      </c>
      <c r="H303" t="str" cm="1">
        <f t="array" ref="H303">_xlfn.TEXTSPLIT(G303,";")</f>
        <v>BLOND_FRUITED</v>
      </c>
      <c r="M303" t="s">
        <v>5670</v>
      </c>
    </row>
    <row r="304" spans="1:16">
      <c r="A304" t="s">
        <v>101</v>
      </c>
      <c r="B304" t="s">
        <v>101</v>
      </c>
      <c r="G304" t="s">
        <v>5638</v>
      </c>
      <c r="H304" t="str" cm="1">
        <f t="array" ref="H304">_xlfn.TEXTSPLIT(G304,";")</f>
        <v>BLONDE_/_GOLDEN_ALE &gt; AMERICAN</v>
      </c>
      <c r="M304" t="s">
        <v>5671</v>
      </c>
    </row>
    <row r="305" spans="1:16">
      <c r="A305" t="s">
        <v>8529</v>
      </c>
      <c r="B305" t="s">
        <v>8529</v>
      </c>
      <c r="G305" t="s">
        <v>5639</v>
      </c>
      <c r="H305" t="str" cm="1">
        <f t="array" ref="H305">_xlfn.TEXTSPLIT(G305,";")</f>
        <v>BLONDE_/_GOLDEN_ALE &gt; ENGLISH</v>
      </c>
      <c r="M305" t="s">
        <v>7500</v>
      </c>
    </row>
    <row r="306" spans="1:16">
      <c r="A306" t="s">
        <v>549</v>
      </c>
      <c r="B306" t="s">
        <v>549</v>
      </c>
      <c r="G306" t="s">
        <v>6370</v>
      </c>
      <c r="H306" t="str" cm="1">
        <f t="array" ref="H306:I306">_xlfn.TEXTSPLIT(G306,";")</f>
        <v>BLONDE_/_GOLDEN_ALE &gt; OTHER</v>
      </c>
      <c r="I306" t="str">
        <v>BLOND</v>
      </c>
      <c r="M306" t="s">
        <v>7502</v>
      </c>
    </row>
    <row r="307" spans="1:16">
      <c r="A307" t="s">
        <v>424</v>
      </c>
      <c r="B307" t="s">
        <v>424</v>
      </c>
      <c r="G307" t="s">
        <v>5640</v>
      </c>
      <c r="H307" t="str" cm="1">
        <f t="array" ref="H307">_xlfn.TEXTSPLIT(G307,";")</f>
        <v>BLONDE_/_GOLDEN_ALE &gt; OTHER</v>
      </c>
      <c r="M307" t="s">
        <v>5672</v>
      </c>
    </row>
    <row r="308" spans="1:16">
      <c r="A308" t="s">
        <v>550</v>
      </c>
      <c r="B308" t="s">
        <v>550</v>
      </c>
      <c r="G308" t="s">
        <v>919</v>
      </c>
      <c r="H308" t="str" cm="1">
        <f t="array" ref="H308">_xlfn.TEXTSPLIT(G308,";")</f>
        <v>TRADITION</v>
      </c>
      <c r="M308" t="s">
        <v>7893</v>
      </c>
    </row>
    <row r="309" spans="1:16">
      <c r="A309" t="s">
        <v>8532</v>
      </c>
      <c r="B309" t="s">
        <v>8532</v>
      </c>
      <c r="G309" t="s">
        <v>7859</v>
      </c>
      <c r="H309" t="str" cm="1">
        <f t="array" ref="H309">_xlfn.TEXTSPLIT(G309,";")</f>
        <v>SANSHO</v>
      </c>
      <c r="M309" t="s">
        <v>6429</v>
      </c>
    </row>
    <row r="310" spans="1:16">
      <c r="A310" t="s">
        <v>268</v>
      </c>
      <c r="B310" t="s">
        <v>268</v>
      </c>
      <c r="G310" t="s">
        <v>6483</v>
      </c>
      <c r="H310" t="str" cm="1">
        <f t="array" ref="H310:K310">_xlfn.TEXTSPLIT(G310,";")</f>
        <v>GOLD</v>
      </c>
      <c r="I310" t="str">
        <v>BLOND</v>
      </c>
      <c r="J310" t="str">
        <v>TRIPEL</v>
      </c>
      <c r="K310" t="str">
        <v>CORE</v>
      </c>
      <c r="M310" t="s">
        <v>923</v>
      </c>
      <c r="P310" t="s">
        <v>1438</v>
      </c>
    </row>
    <row r="311" spans="1:16">
      <c r="A311" t="s">
        <v>8534</v>
      </c>
      <c r="B311" t="s">
        <v>8534</v>
      </c>
      <c r="G311" t="s">
        <v>6584</v>
      </c>
      <c r="H311" t="str" cm="1">
        <f t="array" ref="H311">_xlfn.TEXTSPLIT(G311,";")</f>
        <v>MILNUEVE</v>
      </c>
      <c r="M311" t="s">
        <v>8579</v>
      </c>
    </row>
    <row r="312" spans="1:16">
      <c r="A312" t="s">
        <v>552</v>
      </c>
      <c r="B312" t="s">
        <v>552</v>
      </c>
      <c r="G312" t="s">
        <v>6643</v>
      </c>
      <c r="H312" t="str" cm="1">
        <f t="array" ref="H312">_xlfn.TEXTSPLIT(G312,";")</f>
        <v>ABADIA</v>
      </c>
      <c r="M312" t="s">
        <v>8349</v>
      </c>
    </row>
    <row r="313" spans="1:16">
      <c r="A313" t="s">
        <v>553</v>
      </c>
      <c r="B313" t="s">
        <v>553</v>
      </c>
      <c r="G313" t="s">
        <v>778</v>
      </c>
      <c r="H313" t="str" cm="1">
        <f t="array" ref="H313">_xlfn.TEXTSPLIT(G313,";")</f>
        <v>BOCK</v>
      </c>
      <c r="M313" t="s">
        <v>979</v>
      </c>
    </row>
    <row r="314" spans="1:16">
      <c r="A314" t="s">
        <v>8550</v>
      </c>
      <c r="B314" t="s">
        <v>8550</v>
      </c>
      <c r="G314" t="s">
        <v>6371</v>
      </c>
      <c r="H314" t="str" cm="1">
        <f t="array" ref="H314:I314">_xlfn.TEXTSPLIT(G314,";")</f>
        <v>BOCK &gt; DOPPELBOCK</v>
      </c>
      <c r="I314" t="str">
        <v>DOPPELBOCK</v>
      </c>
      <c r="M314" t="s">
        <v>10019</v>
      </c>
    </row>
    <row r="315" spans="1:16">
      <c r="A315" t="s">
        <v>374</v>
      </c>
      <c r="B315" t="s">
        <v>374</v>
      </c>
      <c r="G315" t="s">
        <v>5641</v>
      </c>
      <c r="H315" t="str" cm="1">
        <f t="array" ref="H315">_xlfn.TEXTSPLIT(G315,";")</f>
        <v>BOCK &gt; DOPPELBOCK</v>
      </c>
      <c r="M315" t="s">
        <v>5590</v>
      </c>
    </row>
    <row r="316" spans="1:16">
      <c r="A316" t="s">
        <v>8558</v>
      </c>
      <c r="B316" t="s">
        <v>8558</v>
      </c>
      <c r="G316" t="s">
        <v>8347</v>
      </c>
      <c r="H316" t="str" cm="1">
        <f t="array" ref="H316:I316">_xlfn.TEXTSPLIT(G316,";")</f>
        <v>BOCK</v>
      </c>
      <c r="I316" t="str">
        <v>AUTUMN</v>
      </c>
      <c r="M316" t="s">
        <v>5591</v>
      </c>
    </row>
    <row r="317" spans="1:16">
      <c r="A317" t="s">
        <v>554</v>
      </c>
      <c r="B317" t="s">
        <v>554</v>
      </c>
      <c r="G317" t="s">
        <v>6372</v>
      </c>
      <c r="H317" t="str" cm="1">
        <f t="array" ref="H317:I317">_xlfn.TEXTSPLIT(G317,";")</f>
        <v>BOCK &gt; EISBOCK</v>
      </c>
      <c r="I317" t="str">
        <v>EISBOCK</v>
      </c>
      <c r="M317" t="s">
        <v>995</v>
      </c>
    </row>
    <row r="318" spans="1:16">
      <c r="A318" t="s">
        <v>330</v>
      </c>
      <c r="B318" t="s">
        <v>330</v>
      </c>
      <c r="G318" t="s">
        <v>5642</v>
      </c>
      <c r="H318" t="str" cm="1">
        <f t="array" ref="H318">_xlfn.TEXTSPLIT(G318,";")</f>
        <v>BOCK &gt; EISBOCK</v>
      </c>
      <c r="M318" t="s">
        <v>5592</v>
      </c>
    </row>
    <row r="319" spans="1:16">
      <c r="A319" t="s">
        <v>555</v>
      </c>
      <c r="B319" t="s">
        <v>555</v>
      </c>
      <c r="G319" t="s">
        <v>6373</v>
      </c>
      <c r="H319" t="str" cm="1">
        <f t="array" ref="H319:K319">_xlfn.TEXTSPLIT(G319,";")</f>
        <v>BOCK &gt; HELL_/_MAIBOCK_/_LENTEBOCK</v>
      </c>
      <c r="I319" t="str">
        <v>HELL</v>
      </c>
      <c r="J319" t="str">
        <v>MAIBOCK</v>
      </c>
      <c r="K319" t="str">
        <v>LENTEBOCK</v>
      </c>
      <c r="M319" t="s">
        <v>841</v>
      </c>
      <c r="P319" t="s">
        <v>795</v>
      </c>
    </row>
    <row r="320" spans="1:16">
      <c r="A320" t="s">
        <v>269</v>
      </c>
      <c r="B320" t="s">
        <v>269</v>
      </c>
      <c r="G320" t="s">
        <v>5643</v>
      </c>
      <c r="H320" t="str" cm="1">
        <f t="array" ref="H320">_xlfn.TEXTSPLIT(G320,";")</f>
        <v>BOCK &gt; HELL_/_MAIBOCK_/_LENTEBOCK</v>
      </c>
      <c r="M320" t="s">
        <v>994</v>
      </c>
    </row>
    <row r="321" spans="1:13">
      <c r="A321" t="s">
        <v>111</v>
      </c>
      <c r="B321" t="s">
        <v>111</v>
      </c>
      <c r="G321" t="s">
        <v>6374</v>
      </c>
      <c r="H321" t="str" cm="1">
        <f t="array" ref="H321:I321">_xlfn.TEXTSPLIT(G321,";")</f>
        <v>BOCK &gt; SINGLE_/_TRADITIONAL</v>
      </c>
      <c r="I321" t="str">
        <v>BOCK</v>
      </c>
      <c r="M321" t="s">
        <v>1207</v>
      </c>
    </row>
    <row r="322" spans="1:13">
      <c r="A322" t="s">
        <v>556</v>
      </c>
      <c r="B322" t="s">
        <v>556</v>
      </c>
      <c r="G322" t="s">
        <v>5644</v>
      </c>
      <c r="H322" t="str" cm="1">
        <f t="array" ref="H322">_xlfn.TEXTSPLIT(G322,";")</f>
        <v>BOCK &gt; SINGLE_/_TRADITIONAL</v>
      </c>
      <c r="M322" t="s">
        <v>6500</v>
      </c>
    </row>
    <row r="323" spans="1:13">
      <c r="A323" t="s">
        <v>8772</v>
      </c>
      <c r="B323" t="s">
        <v>8772</v>
      </c>
      <c r="G323" t="s">
        <v>8397</v>
      </c>
      <c r="H323" t="str" cm="1">
        <f t="array" ref="H323:I323">_xlfn.TEXTSPLIT(G323,";")</f>
        <v>LENTEBOCK</v>
      </c>
      <c r="I323" t="str">
        <v>SPRING</v>
      </c>
      <c r="M323" t="s">
        <v>881</v>
      </c>
    </row>
    <row r="324" spans="1:13">
      <c r="A324" t="s">
        <v>1015</v>
      </c>
      <c r="B324" t="s">
        <v>1015</v>
      </c>
      <c r="G324" t="s">
        <v>6375</v>
      </c>
      <c r="H324" t="str" cm="1">
        <f t="array" ref="H324:I324">_xlfn.TEXTSPLIT(G324,";")</f>
        <v>BOCK &gt; WEIZENBOCK</v>
      </c>
      <c r="I324" t="str">
        <v>WEIZENBOCK</v>
      </c>
      <c r="M324" t="s">
        <v>742</v>
      </c>
    </row>
    <row r="325" spans="1:13">
      <c r="A325" t="s">
        <v>8576</v>
      </c>
      <c r="B325" t="s">
        <v>8576</v>
      </c>
      <c r="G325" t="s">
        <v>5645</v>
      </c>
      <c r="H325" t="str" cm="1">
        <f t="array" ref="H325">_xlfn.TEXTSPLIT(G325,";")</f>
        <v>BOCK &gt; WEIZENBOCK</v>
      </c>
      <c r="M325" t="s">
        <v>6629</v>
      </c>
    </row>
    <row r="326" spans="1:13">
      <c r="A326" t="s">
        <v>8578</v>
      </c>
      <c r="B326" t="s">
        <v>8578</v>
      </c>
      <c r="G326" t="s">
        <v>6376</v>
      </c>
      <c r="H326" t="str" cm="1">
        <f t="array" ref="H326:I326">_xlfn.TEXTSPLIT(G326,";")</f>
        <v>BOCK &gt; WEIZENDOPPELBOCK</v>
      </c>
      <c r="I326" t="str">
        <v>WEIZENDOPPELBOCK</v>
      </c>
      <c r="M326" t="s">
        <v>5593</v>
      </c>
    </row>
    <row r="327" spans="1:13">
      <c r="A327" t="s">
        <v>8792</v>
      </c>
      <c r="B327" t="s">
        <v>8792</v>
      </c>
      <c r="G327" t="s">
        <v>5646</v>
      </c>
      <c r="H327" t="str" cm="1">
        <f t="array" ref="H327">_xlfn.TEXTSPLIT(G327,";")</f>
        <v>BOCK &gt; WEIZENDOPPELBOCK</v>
      </c>
      <c r="M327" t="s">
        <v>7594</v>
      </c>
    </row>
    <row r="328" spans="1:13">
      <c r="A328" t="s">
        <v>8583</v>
      </c>
      <c r="B328" t="s">
        <v>8583</v>
      </c>
      <c r="G328" t="s">
        <v>6377</v>
      </c>
      <c r="H328" t="str" cm="1">
        <f t="array" ref="H328:I328">_xlfn.TEXTSPLIT(G328,";")</f>
        <v>BRETT_BEER</v>
      </c>
      <c r="I328" t="str">
        <v>BRETT</v>
      </c>
      <c r="M328" t="s">
        <v>7610</v>
      </c>
    </row>
    <row r="329" spans="1:13">
      <c r="A329" t="s">
        <v>557</v>
      </c>
      <c r="B329" t="s">
        <v>557</v>
      </c>
      <c r="G329" t="s">
        <v>5584</v>
      </c>
      <c r="H329" t="str" cm="1">
        <f t="array" ref="H329">_xlfn.TEXTSPLIT(G329,";")</f>
        <v>BRETT_BEER</v>
      </c>
      <c r="M329" t="s">
        <v>868</v>
      </c>
    </row>
    <row r="330" spans="1:13">
      <c r="A330" t="s">
        <v>1016</v>
      </c>
      <c r="B330" t="s">
        <v>1016</v>
      </c>
      <c r="G330" t="s">
        <v>6636</v>
      </c>
      <c r="H330" t="str" cm="1">
        <f t="array" ref="H330:I330">_xlfn.TEXTSPLIT(G330,";")</f>
        <v>RED</v>
      </c>
      <c r="I330" t="str">
        <v>BROWN</v>
      </c>
      <c r="M330" t="s">
        <v>1965</v>
      </c>
    </row>
    <row r="331" spans="1:13">
      <c r="A331" t="s">
        <v>8588</v>
      </c>
      <c r="B331" t="s">
        <v>8588</v>
      </c>
      <c r="G331" t="s">
        <v>5647</v>
      </c>
      <c r="H331" t="str" cm="1">
        <f t="array" ref="H331">_xlfn.TEXTSPLIT(G331,";")</f>
        <v>BROWN_ALE &gt; AMERICAN</v>
      </c>
      <c r="M331" t="s">
        <v>1482</v>
      </c>
    </row>
    <row r="332" spans="1:13">
      <c r="A332" t="s">
        <v>426</v>
      </c>
      <c r="B332" t="s">
        <v>426</v>
      </c>
      <c r="G332" t="s">
        <v>5648</v>
      </c>
      <c r="H332" t="str" cm="1">
        <f t="array" ref="H332">_xlfn.TEXTSPLIT(G332,";")</f>
        <v>BROWN_ALE &gt; BELGIAN</v>
      </c>
      <c r="M332" t="s">
        <v>862</v>
      </c>
    </row>
    <row r="333" spans="1:13">
      <c r="A333" t="s">
        <v>8700</v>
      </c>
      <c r="B333" t="s">
        <v>8700</v>
      </c>
      <c r="G333" t="s">
        <v>5245</v>
      </c>
      <c r="H333" t="str" cm="1">
        <f t="array" ref="H333:I333">_xlfn.TEXTSPLIT(G333,";")</f>
        <v>BROWN</v>
      </c>
      <c r="I333" t="str">
        <v>CINEY | DUBBEL |</v>
      </c>
      <c r="M333" t="s">
        <v>750</v>
      </c>
    </row>
    <row r="334" spans="1:13">
      <c r="A334" t="s">
        <v>8704</v>
      </c>
      <c r="B334" t="s">
        <v>8704</v>
      </c>
      <c r="G334" t="s">
        <v>5649</v>
      </c>
      <c r="H334" t="str" cm="1">
        <f t="array" ref="H334">_xlfn.TEXTSPLIT(G334,";")</f>
        <v>BROWN_ALE &gt; ENGLISH</v>
      </c>
      <c r="M334" t="s">
        <v>875</v>
      </c>
    </row>
    <row r="335" spans="1:13">
      <c r="A335" t="s">
        <v>8599</v>
      </c>
      <c r="B335" t="s">
        <v>8599</v>
      </c>
      <c r="G335" t="s">
        <v>5650</v>
      </c>
      <c r="H335" t="str" cm="1">
        <f t="array" ref="H335">_xlfn.TEXTSPLIT(G335,";")</f>
        <v>BROWN_ALE &gt; IMPERIAL_/_DOUBLE</v>
      </c>
      <c r="M335" t="s">
        <v>129</v>
      </c>
    </row>
    <row r="336" spans="1:13">
      <c r="A336" t="s">
        <v>8601</v>
      </c>
      <c r="B336" t="s">
        <v>8601</v>
      </c>
      <c r="G336" t="s">
        <v>9407</v>
      </c>
      <c r="H336" t="str" cm="1">
        <f t="array" ref="H336">_xlfn.TEXTSPLIT(G336,";")</f>
        <v>MORENA</v>
      </c>
      <c r="M336" t="s">
        <v>8143</v>
      </c>
    </row>
    <row r="337" spans="1:13">
      <c r="A337" t="s">
        <v>8603</v>
      </c>
      <c r="B337" t="s">
        <v>8603</v>
      </c>
      <c r="G337" t="s">
        <v>6378</v>
      </c>
      <c r="H337" t="str" cm="1">
        <f t="array" ref="H337:I337">_xlfn.TEXTSPLIT(G337,";")</f>
        <v>BROWN_ALE &gt; OTHER</v>
      </c>
      <c r="I337" t="str">
        <v>BROWN</v>
      </c>
      <c r="M337" t="s">
        <v>8192</v>
      </c>
    </row>
    <row r="338" spans="1:13">
      <c r="A338" t="s">
        <v>8706</v>
      </c>
      <c r="B338" t="s">
        <v>8706</v>
      </c>
      <c r="G338" t="s">
        <v>5651</v>
      </c>
      <c r="H338" t="str" cm="1">
        <f t="array" ref="H338">_xlfn.TEXTSPLIT(G338,";")</f>
        <v>BROWN_ALE &gt; OTHER</v>
      </c>
      <c r="M338" t="s">
        <v>5055</v>
      </c>
    </row>
    <row r="339" spans="1:13">
      <c r="A339" t="s">
        <v>307</v>
      </c>
      <c r="B339" t="s">
        <v>307</v>
      </c>
      <c r="G339" t="s">
        <v>5585</v>
      </c>
      <c r="H339" t="str" cm="1">
        <f t="array" ref="H339">_xlfn.TEXTSPLIT(G339,";")</f>
        <v>CALIFORNIA_COMMON</v>
      </c>
      <c r="M339" t="s">
        <v>880</v>
      </c>
    </row>
    <row r="340" spans="1:13">
      <c r="A340" t="s">
        <v>558</v>
      </c>
      <c r="B340" t="s">
        <v>558</v>
      </c>
      <c r="G340" t="s">
        <v>5586</v>
      </c>
      <c r="H340" t="str" cm="1">
        <f t="array" ref="H340">_xlfn.TEXTSPLIT(G340,";")</f>
        <v>CHILLI_/_CHILE_BEER</v>
      </c>
      <c r="M340" t="s">
        <v>8308</v>
      </c>
    </row>
    <row r="341" spans="1:13">
      <c r="A341" t="s">
        <v>649</v>
      </c>
      <c r="B341" t="s">
        <v>649</v>
      </c>
      <c r="G341" t="s">
        <v>7078</v>
      </c>
      <c r="H341" t="str" cm="1">
        <f t="array" ref="H341:I341">_xlfn.TEXTSPLIT(G341,";")</f>
        <v>CIDER</v>
      </c>
      <c r="I341" t="str">
        <v>CORE</v>
      </c>
      <c r="M341" t="s">
        <v>8337</v>
      </c>
    </row>
    <row r="342" spans="1:13">
      <c r="A342" t="s">
        <v>559</v>
      </c>
      <c r="B342" t="s">
        <v>559</v>
      </c>
      <c r="G342" t="s">
        <v>1981</v>
      </c>
      <c r="H342" t="str" cm="1">
        <f t="array" ref="H342">_xlfn.TEXTSPLIT(G342,";")</f>
        <v>BLACKBERRY</v>
      </c>
      <c r="M342" t="s">
        <v>1979</v>
      </c>
    </row>
    <row r="343" spans="1:13">
      <c r="A343" t="s">
        <v>8619</v>
      </c>
      <c r="B343" t="s">
        <v>8619</v>
      </c>
      <c r="G343" t="s">
        <v>10014</v>
      </c>
      <c r="H343" t="str" cm="1">
        <f t="array" ref="H343">_xlfn.TEXTSPLIT(G343,";")</f>
        <v>DARK_FRUIT</v>
      </c>
      <c r="M343" t="s">
        <v>1985</v>
      </c>
    </row>
    <row r="344" spans="1:13">
      <c r="A344" t="s">
        <v>8623</v>
      </c>
      <c r="B344" t="s">
        <v>8623</v>
      </c>
      <c r="G344" t="s">
        <v>7233</v>
      </c>
      <c r="H344" t="str" cm="1">
        <f t="array" ref="H344">_xlfn.TEXTSPLIT(G344,";")</f>
        <v>RED_BERRIES</v>
      </c>
      <c r="M344" t="s">
        <v>761</v>
      </c>
    </row>
    <row r="345" spans="1:13">
      <c r="A345" t="s">
        <v>8627</v>
      </c>
      <c r="B345" t="s">
        <v>8627</v>
      </c>
      <c r="G345" t="s">
        <v>6858</v>
      </c>
      <c r="H345" t="str" cm="1">
        <f t="array" ref="H345">_xlfn.TEXTSPLIT(G345,";")</f>
        <v>POAR</v>
      </c>
      <c r="M345" t="s">
        <v>769</v>
      </c>
    </row>
    <row r="346" spans="1:13">
      <c r="A346" t="s">
        <v>662</v>
      </c>
      <c r="B346" t="s">
        <v>662</v>
      </c>
      <c r="G346" t="s">
        <v>897</v>
      </c>
      <c r="H346" t="str" cm="1">
        <f t="array" ref="H346">_xlfn.TEXTSPLIT(G346,";")</f>
        <v>ROSE</v>
      </c>
      <c r="M346" t="s">
        <v>885</v>
      </c>
    </row>
    <row r="347" spans="1:13">
      <c r="A347" t="s">
        <v>8730</v>
      </c>
      <c r="B347" t="s">
        <v>8730</v>
      </c>
      <c r="G347" t="s">
        <v>764</v>
      </c>
      <c r="H347" t="str" cm="1">
        <f t="array" ref="H347">_xlfn.TEXTSPLIT(G347,";")</f>
        <v>APPLE</v>
      </c>
      <c r="M347" t="s">
        <v>6868</v>
      </c>
    </row>
    <row r="348" spans="1:13">
      <c r="A348" t="s">
        <v>8645</v>
      </c>
      <c r="B348" t="s">
        <v>8645</v>
      </c>
      <c r="G348" t="s">
        <v>10015</v>
      </c>
      <c r="H348" t="str" cm="1">
        <f t="array" ref="H348">_xlfn.TEXTSPLIT(G348,";")</f>
        <v>GOLD_APPLE</v>
      </c>
      <c r="M348" t="s">
        <v>1470</v>
      </c>
    </row>
    <row r="349" spans="1:13">
      <c r="A349" t="s">
        <v>112</v>
      </c>
      <c r="B349" t="s">
        <v>112</v>
      </c>
      <c r="G349" t="s">
        <v>5652</v>
      </c>
      <c r="H349" t="str" cm="1">
        <f t="array" ref="H349">_xlfn.TEXTSPLIT(G349,";")</f>
        <v>CIDER &gt; APPLEWINE</v>
      </c>
      <c r="M349" t="s">
        <v>1498</v>
      </c>
    </row>
    <row r="350" spans="1:13">
      <c r="A350" t="s">
        <v>8733</v>
      </c>
      <c r="B350" t="s">
        <v>8733</v>
      </c>
      <c r="G350" t="s">
        <v>5653</v>
      </c>
      <c r="H350" t="str" cm="1">
        <f t="array" ref="H350">_xlfn.TEXTSPLIT(G350,";")</f>
        <v>CIDER &gt; BASQUE</v>
      </c>
      <c r="M350" t="s">
        <v>760</v>
      </c>
    </row>
    <row r="351" spans="1:13">
      <c r="A351" t="s">
        <v>635</v>
      </c>
      <c r="B351" t="s">
        <v>635</v>
      </c>
      <c r="G351" t="s">
        <v>5654</v>
      </c>
      <c r="H351" t="str" cm="1">
        <f t="array" ref="H351">_xlfn.TEXTSPLIT(G351,";")</f>
        <v>CIDER &gt; DRY</v>
      </c>
      <c r="M351" t="s">
        <v>877</v>
      </c>
    </row>
    <row r="352" spans="1:13">
      <c r="A352" t="s">
        <v>7579</v>
      </c>
      <c r="B352" t="s">
        <v>7579</v>
      </c>
      <c r="G352" t="s">
        <v>5655</v>
      </c>
      <c r="H352" t="str" cm="1">
        <f t="array" ref="H352">_xlfn.TEXTSPLIT(G352,";")</f>
        <v>CIDER &gt; GRAFF</v>
      </c>
      <c r="M352" t="s">
        <v>9082</v>
      </c>
    </row>
    <row r="353" spans="1:13">
      <c r="A353" t="s">
        <v>8662</v>
      </c>
      <c r="B353" t="s">
        <v>8662</v>
      </c>
      <c r="G353" t="s">
        <v>5656</v>
      </c>
      <c r="H353" t="str" cm="1">
        <f t="array" ref="H353">_xlfn.TEXTSPLIT(G353,";")</f>
        <v>CIDER &gt; HERBED_/_SPICED_/_HOPPED</v>
      </c>
      <c r="M353" t="s">
        <v>891</v>
      </c>
    </row>
    <row r="354" spans="1:13">
      <c r="A354" t="s">
        <v>8664</v>
      </c>
      <c r="B354" t="s">
        <v>8664</v>
      </c>
      <c r="G354" t="s">
        <v>5657</v>
      </c>
      <c r="H354" t="str" cm="1">
        <f t="array" ref="H354">_xlfn.TEXTSPLIT(G354,";")</f>
        <v>CIDER &gt; ICE</v>
      </c>
      <c r="M354" t="s">
        <v>9119</v>
      </c>
    </row>
    <row r="355" spans="1:13">
      <c r="A355" t="s">
        <v>8666</v>
      </c>
      <c r="B355" t="s">
        <v>8666</v>
      </c>
      <c r="G355" t="s">
        <v>6379</v>
      </c>
      <c r="H355" t="str" cm="1">
        <f t="array" ref="H355:I355">_xlfn.TEXTSPLIT(G355,";")</f>
        <v>CIDER &gt; OTHER_FRUIT</v>
      </c>
      <c r="I355" t="str">
        <v>CIDER</v>
      </c>
      <c r="M355" t="s">
        <v>895</v>
      </c>
    </row>
    <row r="356" spans="1:13">
      <c r="A356" t="s">
        <v>8753</v>
      </c>
      <c r="B356" t="s">
        <v>8753</v>
      </c>
      <c r="G356" t="s">
        <v>5658</v>
      </c>
      <c r="H356" t="str" cm="1">
        <f t="array" ref="H356">_xlfn.TEXTSPLIT(G356,";")</f>
        <v>CIDER &gt; OTHER_FRUIT</v>
      </c>
      <c r="M356" t="s">
        <v>1980</v>
      </c>
    </row>
    <row r="357" spans="1:13">
      <c r="A357" t="s">
        <v>308</v>
      </c>
      <c r="B357" t="s">
        <v>308</v>
      </c>
      <c r="G357" t="s">
        <v>5659</v>
      </c>
      <c r="H357" t="str" cm="1">
        <f t="array" ref="H357">_xlfn.TEXTSPLIT(G357,";")</f>
        <v>CIDER &gt; PERRY_/_POIRE</v>
      </c>
      <c r="M357" t="s">
        <v>9263</v>
      </c>
    </row>
    <row r="358" spans="1:13">
      <c r="A358" t="s">
        <v>8674</v>
      </c>
      <c r="B358" t="s">
        <v>8674</v>
      </c>
      <c r="G358" t="s">
        <v>5660</v>
      </c>
      <c r="H358" t="str" cm="1">
        <f t="array" ref="H358">_xlfn.TEXTSPLIT(G358,";")</f>
        <v>CIDER &gt; ROSE</v>
      </c>
      <c r="M358" t="s">
        <v>9389</v>
      </c>
    </row>
    <row r="359" spans="1:13">
      <c r="A359" t="s">
        <v>653</v>
      </c>
      <c r="B359" t="s">
        <v>653</v>
      </c>
      <c r="G359" t="s">
        <v>5661</v>
      </c>
      <c r="H359" t="str" cm="1">
        <f t="array" ref="H359">_xlfn.TEXTSPLIT(G359,";")</f>
        <v>CIDER &gt; SWEET</v>
      </c>
      <c r="M359" t="s">
        <v>9391</v>
      </c>
    </row>
    <row r="360" spans="1:13">
      <c r="A360" t="s">
        <v>332</v>
      </c>
      <c r="B360" t="s">
        <v>332</v>
      </c>
      <c r="G360" t="s">
        <v>5662</v>
      </c>
      <c r="H360" t="str" cm="1">
        <f t="array" ref="H360">_xlfn.TEXTSPLIT(G360,";")</f>
        <v>CIDER &gt; TRADITIONAL_/_APFELWEIN</v>
      </c>
      <c r="M360" t="s">
        <v>5325</v>
      </c>
    </row>
    <row r="361" spans="1:13">
      <c r="A361" t="s">
        <v>309</v>
      </c>
      <c r="B361" t="s">
        <v>309</v>
      </c>
      <c r="G361" t="s">
        <v>6531</v>
      </c>
      <c r="H361" t="str" cm="1">
        <f t="array" ref="H361:I361">_xlfn.TEXTSPLIT(G361,";")</f>
        <v>CHERRY</v>
      </c>
      <c r="I361" t="str">
        <v/>
      </c>
      <c r="M361" t="s">
        <v>9428</v>
      </c>
    </row>
    <row r="362" spans="1:13">
      <c r="A362" t="s">
        <v>8691</v>
      </c>
      <c r="B362" t="s">
        <v>8691</v>
      </c>
      <c r="G362" t="s">
        <v>1513</v>
      </c>
      <c r="H362" t="str" cm="1">
        <f t="array" ref="H362">_xlfn.TEXTSPLIT(G362,";")</f>
        <v>LEMON</v>
      </c>
      <c r="M362" t="s">
        <v>10031</v>
      </c>
    </row>
    <row r="363" spans="1:13">
      <c r="A363" t="s">
        <v>8981</v>
      </c>
      <c r="B363" t="s">
        <v>8981</v>
      </c>
      <c r="G363" t="s">
        <v>876</v>
      </c>
      <c r="H363" t="str" cm="1">
        <f t="array" ref="H363">_xlfn.TEXTSPLIT(G363,";")</f>
        <v>LIME</v>
      </c>
      <c r="M363" t="s">
        <v>1467</v>
      </c>
    </row>
    <row r="364" spans="1:13">
      <c r="A364" t="s">
        <v>685</v>
      </c>
      <c r="B364" t="s">
        <v>685</v>
      </c>
      <c r="G364" t="s">
        <v>5552</v>
      </c>
      <c r="H364" t="str" cm="1">
        <f t="array" ref="H364:I364">_xlfn.TEXTSPLIT(G364,";")</f>
        <v>CORE</v>
      </c>
      <c r="I364" t="str">
        <v>REGULAR</v>
      </c>
      <c r="M364" t="s">
        <v>1476</v>
      </c>
    </row>
    <row r="365" spans="1:13">
      <c r="A365" t="s">
        <v>686</v>
      </c>
      <c r="B365" t="s">
        <v>686</v>
      </c>
      <c r="G365" t="s">
        <v>1488</v>
      </c>
      <c r="H365" t="str" cm="1">
        <f t="array" ref="H365">_xlfn.TEXTSPLIT(G365,";")</f>
        <v>REGULAR</v>
      </c>
      <c r="M365" t="s">
        <v>5183</v>
      </c>
    </row>
    <row r="366" spans="1:13">
      <c r="A366" t="s">
        <v>8803</v>
      </c>
      <c r="B366" t="s">
        <v>8803</v>
      </c>
      <c r="G366" t="s">
        <v>1466</v>
      </c>
      <c r="H366" t="str" cm="1">
        <f t="array" ref="H366">_xlfn.TEXTSPLIT(G366,";")</f>
        <v>COLA</v>
      </c>
      <c r="M366" t="s">
        <v>1483</v>
      </c>
    </row>
    <row r="367" spans="1:13">
      <c r="A367" t="s">
        <v>334</v>
      </c>
      <c r="B367" t="s">
        <v>334</v>
      </c>
      <c r="G367" t="s">
        <v>6534</v>
      </c>
      <c r="H367" t="str" cm="1">
        <f t="array" ref="H367:J367">_xlfn.TEXTSPLIT(G367,";")</f>
        <v>CORE</v>
      </c>
      <c r="I367" t="str">
        <v>KOLA</v>
      </c>
      <c r="J367" t="str">
        <v>COLA</v>
      </c>
      <c r="M367" t="s">
        <v>4901</v>
      </c>
    </row>
    <row r="368" spans="1:13">
      <c r="A368" t="s">
        <v>335</v>
      </c>
      <c r="B368" t="s">
        <v>335</v>
      </c>
      <c r="G368" t="s">
        <v>1489</v>
      </c>
      <c r="H368" t="str" cm="1">
        <f t="array" ref="H368">_xlfn.TEXTSPLIT(G368,";")</f>
        <v>VANILLA</v>
      </c>
      <c r="M368" t="s">
        <v>6905</v>
      </c>
    </row>
    <row r="369" spans="1:13">
      <c r="A369" t="s">
        <v>8822</v>
      </c>
      <c r="B369" t="s">
        <v>8822</v>
      </c>
      <c r="G369" t="s">
        <v>5587</v>
      </c>
      <c r="H369" t="str" cm="1">
        <f t="array" ref="H369">_xlfn.TEXTSPLIT(G369,";")</f>
        <v>CORN_BEER_/_CHICHA_DE_JORA</v>
      </c>
      <c r="M369" t="s">
        <v>79</v>
      </c>
    </row>
    <row r="370" spans="1:13">
      <c r="A370" t="s">
        <v>687</v>
      </c>
      <c r="B370" t="s">
        <v>687</v>
      </c>
      <c r="G370" t="s">
        <v>5588</v>
      </c>
      <c r="H370" t="str" cm="1">
        <f t="array" ref="H370">_xlfn.TEXTSPLIT(G370,";")</f>
        <v>CREAM_ALE</v>
      </c>
      <c r="M370" t="s">
        <v>6896</v>
      </c>
    </row>
    <row r="371" spans="1:13">
      <c r="A371" t="s">
        <v>8832</v>
      </c>
      <c r="B371" t="s">
        <v>8832</v>
      </c>
      <c r="G371" t="s">
        <v>5663</v>
      </c>
      <c r="H371" t="str" cm="1">
        <f t="array" ref="H371">_xlfn.TEXTSPLIT(G371,";")</f>
        <v>CREAM_ALE &gt; IMPERIAL_/_DOUBLE</v>
      </c>
      <c r="M371" t="s">
        <v>6772</v>
      </c>
    </row>
    <row r="372" spans="1:13">
      <c r="A372" t="s">
        <v>8836</v>
      </c>
      <c r="B372" t="s">
        <v>8836</v>
      </c>
      <c r="G372" t="s">
        <v>5589</v>
      </c>
      <c r="H372" t="str" cm="1">
        <f t="array" ref="H372">_xlfn.TEXTSPLIT(G372,";")</f>
        <v>DARK_ALE</v>
      </c>
      <c r="M372" t="s">
        <v>5594</v>
      </c>
    </row>
    <row r="373" spans="1:13">
      <c r="A373" t="s">
        <v>688</v>
      </c>
      <c r="B373" t="s">
        <v>688</v>
      </c>
      <c r="G373" t="s">
        <v>535</v>
      </c>
      <c r="H373" t="str" cm="1">
        <f t="array" ref="H373">_xlfn.TEXTSPLIT(G373,";")</f>
        <v>SAISON</v>
      </c>
      <c r="M373" t="s">
        <v>5673</v>
      </c>
    </row>
    <row r="374" spans="1:13">
      <c r="A374" t="s">
        <v>7730</v>
      </c>
      <c r="B374" t="s">
        <v>7730</v>
      </c>
      <c r="G374" t="s">
        <v>5664</v>
      </c>
      <c r="H374" t="str" cm="1">
        <f t="array" ref="H374">_xlfn.TEXTSPLIT(G374,";")</f>
        <v>FARMHOUSE_ALE &gt; BIERE_DE_COUPAGE</v>
      </c>
      <c r="M374" t="s">
        <v>5674</v>
      </c>
    </row>
    <row r="375" spans="1:13">
      <c r="A375" t="s">
        <v>8838</v>
      </c>
      <c r="B375" t="s">
        <v>8838</v>
      </c>
      <c r="G375" t="s">
        <v>7367</v>
      </c>
      <c r="H375" t="str" cm="1">
        <f t="array" ref="H375:I375">_xlfn.TEXTSPLIT(G375,";")</f>
        <v>GRAND</v>
      </c>
      <c r="I375" t="str">
        <v>RESERVE</v>
      </c>
      <c r="M375" t="s">
        <v>5675</v>
      </c>
    </row>
    <row r="376" spans="1:13">
      <c r="A376" t="s">
        <v>310</v>
      </c>
      <c r="B376" t="s">
        <v>310</v>
      </c>
      <c r="G376" t="s">
        <v>5665</v>
      </c>
      <c r="H376" t="str" cm="1">
        <f t="array" ref="H376">_xlfn.TEXTSPLIT(G376,";")</f>
        <v>FARMHOUSE_ALE &gt; BIERE_DE_GARDE</v>
      </c>
      <c r="M376" t="s">
        <v>5595</v>
      </c>
    </row>
    <row r="377" spans="1:13">
      <c r="A377" t="s">
        <v>8849</v>
      </c>
      <c r="B377" t="s">
        <v>8849</v>
      </c>
      <c r="G377" t="s">
        <v>5666</v>
      </c>
      <c r="H377" t="str" cm="1">
        <f t="array" ref="H377">_xlfn.TEXTSPLIT(G377,";")</f>
        <v>FARMHOUSE_ALE &gt; BIERE_DE_MARS</v>
      </c>
      <c r="M377" t="s">
        <v>5596</v>
      </c>
    </row>
    <row r="378" spans="1:13">
      <c r="A378" t="s">
        <v>10001</v>
      </c>
      <c r="B378" t="s">
        <v>10001</v>
      </c>
      <c r="G378" t="s">
        <v>6360</v>
      </c>
      <c r="H378" t="str" cm="1">
        <f t="array" ref="H378">_xlfn.TEXTSPLIT(G378,";")</f>
        <v>RYE</v>
      </c>
      <c r="M378" t="s">
        <v>5597</v>
      </c>
    </row>
    <row r="379" spans="1:13">
      <c r="A379" t="s">
        <v>276</v>
      </c>
      <c r="B379" t="s">
        <v>276</v>
      </c>
      <c r="G379" t="s">
        <v>7498</v>
      </c>
      <c r="H379" t="str" cm="1">
        <f t="array" ref="H379">_xlfn.TEXTSPLIT(G379,";")</f>
        <v>THE_ONE</v>
      </c>
      <c r="M379" t="s">
        <v>5598</v>
      </c>
    </row>
    <row r="380" spans="1:13">
      <c r="A380" t="s">
        <v>8866</v>
      </c>
      <c r="B380" t="s">
        <v>8866</v>
      </c>
      <c r="G380" t="s">
        <v>5667</v>
      </c>
      <c r="H380" t="str" cm="1">
        <f t="array" ref="H380">_xlfn.TEXTSPLIT(G380,";")</f>
        <v>FARMHOUSE_ALE &gt; BRETT</v>
      </c>
      <c r="M380" t="s">
        <v>5599</v>
      </c>
    </row>
    <row r="381" spans="1:13">
      <c r="A381" t="s">
        <v>8871</v>
      </c>
      <c r="B381" t="s">
        <v>8871</v>
      </c>
      <c r="G381" t="s">
        <v>5668</v>
      </c>
      <c r="H381" t="str" cm="1">
        <f t="array" ref="H381">_xlfn.TEXTSPLIT(G381,";")</f>
        <v>FARMHOUSE_ALE &gt; GRISETTE</v>
      </c>
      <c r="M381" t="s">
        <v>10135</v>
      </c>
    </row>
    <row r="382" spans="1:13">
      <c r="A382" t="s">
        <v>8873</v>
      </c>
      <c r="B382" t="s">
        <v>8873</v>
      </c>
      <c r="G382" t="s">
        <v>5669</v>
      </c>
      <c r="H382" t="str" cm="1">
        <f t="array" ref="H382">_xlfn.TEXTSPLIT(G382,";")</f>
        <v>FARMHOUSE_ALE &gt; KORNØL</v>
      </c>
      <c r="M382" t="s">
        <v>5676</v>
      </c>
    </row>
    <row r="383" spans="1:13">
      <c r="A383" t="s">
        <v>122</v>
      </c>
      <c r="B383" t="s">
        <v>122</v>
      </c>
      <c r="G383" t="s">
        <v>5670</v>
      </c>
      <c r="H383" t="str" cm="1">
        <f t="array" ref="H383">_xlfn.TEXTSPLIT(G383,";")</f>
        <v>FARMHOUSE_ALE &gt; OTHER</v>
      </c>
      <c r="M383" t="s">
        <v>5677</v>
      </c>
    </row>
    <row r="384" spans="1:13">
      <c r="A384" t="s">
        <v>277</v>
      </c>
      <c r="B384" t="s">
        <v>277</v>
      </c>
      <c r="G384" t="s">
        <v>5671</v>
      </c>
      <c r="H384" t="str" cm="1">
        <f t="array" ref="H384">_xlfn.TEXTSPLIT(G384,";")</f>
        <v>FARMHOUSE_ALE &gt; SAHTI</v>
      </c>
      <c r="M384" t="s">
        <v>5678</v>
      </c>
    </row>
    <row r="385" spans="1:13">
      <c r="A385" t="s">
        <v>278</v>
      </c>
      <c r="B385" t="s">
        <v>278</v>
      </c>
      <c r="G385" t="s">
        <v>7500</v>
      </c>
      <c r="H385" t="str" cm="1">
        <f t="array" ref="H385">_xlfn.TEXTSPLIT(G385,";")</f>
        <v>DE_TABLE</v>
      </c>
      <c r="M385" t="s">
        <v>5679</v>
      </c>
    </row>
    <row r="386" spans="1:13">
      <c r="A386" t="s">
        <v>8892</v>
      </c>
      <c r="B386" t="s">
        <v>8892</v>
      </c>
      <c r="G386" t="s">
        <v>7502</v>
      </c>
      <c r="H386" t="str" cm="1">
        <f t="array" ref="H386">_xlfn.TEXTSPLIT(G386,";")</f>
        <v>LOCALE_II</v>
      </c>
      <c r="M386" t="s">
        <v>5680</v>
      </c>
    </row>
    <row r="387" spans="1:13">
      <c r="A387" t="s">
        <v>1817</v>
      </c>
      <c r="B387" t="s">
        <v>1817</v>
      </c>
      <c r="G387" t="s">
        <v>5672</v>
      </c>
      <c r="H387" t="str" cm="1">
        <f t="array" ref="H387">_xlfn.TEXTSPLIT(G387,";")</f>
        <v>FARMHOUSE_ALE &gt; SAISON</v>
      </c>
      <c r="M387" t="s">
        <v>5681</v>
      </c>
    </row>
    <row r="388" spans="1:13">
      <c r="A388" t="s">
        <v>8908</v>
      </c>
      <c r="B388" t="s">
        <v>8908</v>
      </c>
      <c r="G388" t="s">
        <v>7893</v>
      </c>
      <c r="H388" t="str" cm="1">
        <f t="array" ref="H388">_xlfn.TEXTSPLIT(G388,";")</f>
        <v>DRY</v>
      </c>
      <c r="M388" t="s">
        <v>5682</v>
      </c>
    </row>
    <row r="389" spans="1:13">
      <c r="A389" t="s">
        <v>8921</v>
      </c>
      <c r="B389" t="s">
        <v>8921</v>
      </c>
      <c r="G389" t="s">
        <v>6429</v>
      </c>
      <c r="H389" t="str" cm="1">
        <f t="array" ref="H389">_xlfn.TEXTSPLIT(G389,";")</f>
        <v>PLUM</v>
      </c>
      <c r="M389" t="s">
        <v>5683</v>
      </c>
    </row>
    <row r="390" spans="1:13">
      <c r="A390" t="s">
        <v>8923</v>
      </c>
      <c r="B390" t="s">
        <v>8923</v>
      </c>
      <c r="G390" t="s">
        <v>923</v>
      </c>
      <c r="H390" t="str" cm="1">
        <f t="array" ref="H390">_xlfn.TEXTSPLIT(G390,";")</f>
        <v>WITGOUD</v>
      </c>
      <c r="M390" t="s">
        <v>5684</v>
      </c>
    </row>
    <row r="391" spans="1:13">
      <c r="A391" t="s">
        <v>8925</v>
      </c>
      <c r="B391" t="s">
        <v>8925</v>
      </c>
      <c r="G391" t="s">
        <v>8579</v>
      </c>
      <c r="H391" t="str" cm="1">
        <f t="array" ref="H391">_xlfn.TEXTSPLIT(G391,";")</f>
        <v>ROSSE</v>
      </c>
      <c r="M391" t="s">
        <v>5685</v>
      </c>
    </row>
    <row r="392" spans="1:13">
      <c r="A392" t="s">
        <v>8928</v>
      </c>
      <c r="B392" t="s">
        <v>8928</v>
      </c>
      <c r="G392" t="s">
        <v>8349</v>
      </c>
      <c r="H392" t="str" cm="1">
        <f t="array" ref="H392">_xlfn.TEXTSPLIT(G392,";")</f>
        <v>AUTUMN</v>
      </c>
      <c r="M392" t="s">
        <v>5686</v>
      </c>
    </row>
    <row r="393" spans="1:13">
      <c r="A393" t="s">
        <v>336</v>
      </c>
      <c r="B393" t="s">
        <v>336</v>
      </c>
      <c r="G393" t="s">
        <v>979</v>
      </c>
      <c r="H393" t="str" cm="1">
        <f t="array" ref="H393">_xlfn.TEXTSPLIT(G393,";")</f>
        <v>ESTIVALE</v>
      </c>
      <c r="M393" t="s">
        <v>5687</v>
      </c>
    </row>
    <row r="394" spans="1:13">
      <c r="A394" t="s">
        <v>620</v>
      </c>
      <c r="B394" t="s">
        <v>620</v>
      </c>
      <c r="G394" t="s">
        <v>10019</v>
      </c>
      <c r="H394" t="str" cm="1">
        <f t="array" ref="H394">_xlfn.TEXTSPLIT(G394,";")</f>
        <v>COCHONNE</v>
      </c>
      <c r="M394" t="s">
        <v>5688</v>
      </c>
    </row>
    <row r="395" spans="1:13">
      <c r="A395" t="s">
        <v>7732</v>
      </c>
      <c r="B395" t="s">
        <v>7732</v>
      </c>
      <c r="G395" t="s">
        <v>6441</v>
      </c>
      <c r="H395" t="str" cm="1">
        <f t="array" ref="H395:I395">_xlfn.TEXTSPLIT(G395,";")</f>
        <v>IPA</v>
      </c>
      <c r="I395" t="str">
        <v>CORE</v>
      </c>
      <c r="M395" t="s">
        <v>5689</v>
      </c>
    </row>
    <row r="396" spans="1:13">
      <c r="A396" t="s">
        <v>7734</v>
      </c>
      <c r="B396" t="s">
        <v>7734</v>
      </c>
      <c r="G396" t="s">
        <v>5590</v>
      </c>
      <c r="H396" t="str" cm="1">
        <f t="array" ref="H396">_xlfn.TEXTSPLIT(G396,";")</f>
        <v>FESTBIER</v>
      </c>
      <c r="M396" t="s">
        <v>5600</v>
      </c>
    </row>
    <row r="397" spans="1:13">
      <c r="A397" t="s">
        <v>8939</v>
      </c>
      <c r="B397" t="s">
        <v>8939</v>
      </c>
      <c r="G397" t="s">
        <v>5591</v>
      </c>
      <c r="H397" t="str" cm="1">
        <f t="array" ref="H397">_xlfn.TEXTSPLIT(G397,";")</f>
        <v>FLAVORED_MALT_BEVERAGE</v>
      </c>
      <c r="M397" t="s">
        <v>5315</v>
      </c>
    </row>
    <row r="398" spans="1:13">
      <c r="A398" t="s">
        <v>8943</v>
      </c>
      <c r="B398" t="s">
        <v>8943</v>
      </c>
      <c r="G398" t="s">
        <v>995</v>
      </c>
      <c r="H398" t="str" cm="1">
        <f t="array" ref="H398">_xlfn.TEXTSPLIT(G398,";")</f>
        <v>ORANGE</v>
      </c>
      <c r="M398" t="s">
        <v>1472</v>
      </c>
    </row>
    <row r="399" spans="1:13">
      <c r="A399" t="s">
        <v>563</v>
      </c>
      <c r="B399" t="s">
        <v>563</v>
      </c>
      <c r="G399" t="s">
        <v>5592</v>
      </c>
      <c r="H399" t="str" cm="1">
        <f t="array" ref="H399">_xlfn.TEXTSPLIT(G399,";")</f>
        <v>FREEZE-DISTILLED_BEER</v>
      </c>
      <c r="M399" t="s">
        <v>942</v>
      </c>
    </row>
    <row r="400" spans="1:13">
      <c r="A400" t="s">
        <v>8947</v>
      </c>
      <c r="B400" t="s">
        <v>8947</v>
      </c>
      <c r="G400" t="s">
        <v>841</v>
      </c>
      <c r="H400" t="str" cm="1">
        <f t="array" ref="H400">_xlfn.TEXTSPLIT(G400,";")</f>
        <v>ROUGE</v>
      </c>
      <c r="M400" t="s">
        <v>6535</v>
      </c>
    </row>
    <row r="401" spans="1:13">
      <c r="A401" t="s">
        <v>8954</v>
      </c>
      <c r="B401" t="s">
        <v>8954</v>
      </c>
      <c r="G401" t="s">
        <v>994</v>
      </c>
      <c r="H401" t="str" cm="1">
        <f t="array" ref="H401">_xlfn.TEXTSPLIT(G401,";")</f>
        <v>STRAWBERRY</v>
      </c>
      <c r="M401" t="s">
        <v>1469</v>
      </c>
    </row>
    <row r="402" spans="1:13">
      <c r="A402" t="s">
        <v>8956</v>
      </c>
      <c r="B402" t="s">
        <v>8956</v>
      </c>
      <c r="G402" t="s">
        <v>1207</v>
      </c>
      <c r="H402" t="str" cm="1">
        <f t="array" ref="H402">_xlfn.TEXTSPLIT(G402,";")</f>
        <v>TANGO</v>
      </c>
      <c r="M402" t="s">
        <v>1506</v>
      </c>
    </row>
    <row r="403" spans="1:13">
      <c r="A403" t="s">
        <v>8960</v>
      </c>
      <c r="B403" t="s">
        <v>8960</v>
      </c>
      <c r="G403" t="s">
        <v>6500</v>
      </c>
      <c r="H403" t="str" cm="1">
        <f t="array" ref="H403">_xlfn.TEXTSPLIT(G403,";")</f>
        <v>FRUIT</v>
      </c>
      <c r="M403" t="s">
        <v>1478</v>
      </c>
    </row>
    <row r="404" spans="1:13">
      <c r="A404" t="s">
        <v>564</v>
      </c>
      <c r="B404" t="s">
        <v>564</v>
      </c>
      <c r="G404" t="s">
        <v>746</v>
      </c>
      <c r="H404" t="str" cm="1">
        <f t="array" ref="H404">_xlfn.TEXTSPLIT(G404,";")</f>
        <v>CHERRY</v>
      </c>
      <c r="M404" t="s">
        <v>1479</v>
      </c>
    </row>
    <row r="405" spans="1:13">
      <c r="A405" t="s">
        <v>9031</v>
      </c>
      <c r="B405" t="s">
        <v>9031</v>
      </c>
      <c r="G405" t="s">
        <v>792</v>
      </c>
      <c r="H405" t="str" cm="1">
        <f t="array" ref="H405">_xlfn.TEXTSPLIT(G405,";")</f>
        <v>RUBY</v>
      </c>
      <c r="M405" t="s">
        <v>1493</v>
      </c>
    </row>
    <row r="406" spans="1:13">
      <c r="A406" t="s">
        <v>566</v>
      </c>
      <c r="B406" t="s">
        <v>566</v>
      </c>
      <c r="G406" t="s">
        <v>881</v>
      </c>
      <c r="H406" t="str" cm="1">
        <f t="array" ref="H406">_xlfn.TEXTSPLIT(G406,";")</f>
        <v>PEACH</v>
      </c>
      <c r="M406" t="s">
        <v>882</v>
      </c>
    </row>
    <row r="407" spans="1:13">
      <c r="A407" t="s">
        <v>567</v>
      </c>
      <c r="B407" t="s">
        <v>567</v>
      </c>
      <c r="G407" t="s">
        <v>742</v>
      </c>
      <c r="H407" t="str" cm="1">
        <f t="array" ref="H407">_xlfn.TEXTSPLIT(G407,";")</f>
        <v>RADLER</v>
      </c>
      <c r="M407" t="s">
        <v>1975</v>
      </c>
    </row>
    <row r="408" spans="1:13">
      <c r="A408" t="s">
        <v>9045</v>
      </c>
      <c r="B408" t="s">
        <v>9045</v>
      </c>
      <c r="G408" t="s">
        <v>6628</v>
      </c>
      <c r="H408" t="str" cm="1">
        <f t="array" ref="H408:I408">_xlfn.TEXTSPLIT(G408,";")</f>
        <v>CORE</v>
      </c>
      <c r="I408" t="str">
        <v>KRIEK</v>
      </c>
      <c r="M408" t="s">
        <v>6616</v>
      </c>
    </row>
    <row r="409" spans="1:13">
      <c r="A409" t="s">
        <v>568</v>
      </c>
      <c r="B409" t="s">
        <v>568</v>
      </c>
      <c r="G409" t="s">
        <v>6629</v>
      </c>
      <c r="H409" t="str" cm="1">
        <f t="array" ref="H409">_xlfn.TEXTSPLIT(G409,";")</f>
        <v>KRIEK</v>
      </c>
      <c r="M409" t="s">
        <v>1999</v>
      </c>
    </row>
    <row r="410" spans="1:13">
      <c r="A410" t="s">
        <v>1115</v>
      </c>
      <c r="B410" t="s">
        <v>1115</v>
      </c>
      <c r="G410" t="s">
        <v>6380</v>
      </c>
      <c r="H410" t="e" cm="1" vm="5">
        <f t="array" aca="1" ref="H410" ca="1">_xlfn.TEXTSPLIT(G410,";")</f>
        <v>#VALUE!</v>
      </c>
      <c r="M410" t="s">
        <v>5690</v>
      </c>
    </row>
    <row r="411" spans="1:13">
      <c r="A411" t="s">
        <v>9057</v>
      </c>
      <c r="B411" t="s">
        <v>9057</v>
      </c>
      <c r="G411" t="s">
        <v>5593</v>
      </c>
      <c r="H411" t="str" cm="1">
        <f t="array" ref="H411">_xlfn.TEXTSPLIT(G411,";")</f>
        <v>FRUIT_BEER</v>
      </c>
      <c r="M411" t="s">
        <v>7853</v>
      </c>
    </row>
    <row r="412" spans="1:13">
      <c r="A412" t="s">
        <v>9069</v>
      </c>
      <c r="B412" t="s">
        <v>9069</v>
      </c>
      <c r="G412" t="s">
        <v>7594</v>
      </c>
      <c r="H412" t="str" cm="1">
        <f t="array" ref="H412">_xlfn.TEXTSPLIT(G412,";")</f>
        <v>VIOLET</v>
      </c>
      <c r="M412" t="s">
        <v>8167</v>
      </c>
    </row>
    <row r="413" spans="1:13">
      <c r="A413" t="s">
        <v>135</v>
      </c>
      <c r="B413" t="s">
        <v>135</v>
      </c>
      <c r="G413" t="s">
        <v>6543</v>
      </c>
      <c r="H413" t="str" cm="1">
        <f t="array" ref="H413:I413">_xlfn.TEXTSPLIT(G413,";")</f>
        <v>CHERRY</v>
      </c>
      <c r="I413" t="str">
        <v>CORE</v>
      </c>
      <c r="M413" t="s">
        <v>8232</v>
      </c>
    </row>
    <row r="414" spans="1:13">
      <c r="A414" t="s">
        <v>136</v>
      </c>
      <c r="B414" t="s">
        <v>136</v>
      </c>
      <c r="G414" t="s">
        <v>7610</v>
      </c>
      <c r="H414" t="str" cm="1">
        <f t="array" ref="H414">_xlfn.TEXTSPLIT(G414,";")</f>
        <v>EXTRA_KRIEK</v>
      </c>
      <c r="M414" t="s">
        <v>8245</v>
      </c>
    </row>
    <row r="415" spans="1:13">
      <c r="A415" t="s">
        <v>137</v>
      </c>
      <c r="B415" t="s">
        <v>137</v>
      </c>
      <c r="G415" t="s">
        <v>868</v>
      </c>
      <c r="H415" t="str" cm="1">
        <f t="array" ref="H415">_xlfn.TEXTSPLIT(G415,";")</f>
        <v>VIOLETTE</v>
      </c>
      <c r="M415" t="s">
        <v>8321</v>
      </c>
    </row>
    <row r="416" spans="1:13">
      <c r="A416" t="s">
        <v>9079</v>
      </c>
      <c r="B416" t="s">
        <v>9079</v>
      </c>
      <c r="G416" t="s">
        <v>1965</v>
      </c>
      <c r="H416" t="str" cm="1">
        <f t="array" ref="H416">_xlfn.TEXTSPLIT(G416,";")</f>
        <v>GRAPEFRUIT</v>
      </c>
      <c r="M416" t="s">
        <v>8465</v>
      </c>
    </row>
    <row r="417" spans="1:13">
      <c r="A417" t="s">
        <v>613</v>
      </c>
      <c r="B417" t="s">
        <v>613</v>
      </c>
      <c r="G417" t="s">
        <v>1482</v>
      </c>
      <c r="H417" t="str" cm="1">
        <f t="array" ref="H417">_xlfn.TEXTSPLIT(G417,";")</f>
        <v>BLUEBERRY</v>
      </c>
      <c r="M417" t="s">
        <v>8488</v>
      </c>
    </row>
    <row r="418" spans="1:13">
      <c r="A418" t="s">
        <v>9089</v>
      </c>
      <c r="B418" t="s">
        <v>9089</v>
      </c>
      <c r="G418" t="s">
        <v>862</v>
      </c>
      <c r="H418" t="str" cm="1">
        <f t="array" ref="H418">_xlfn.TEXTSPLIT(G418,";")</f>
        <v>OUDE_KRIEK</v>
      </c>
      <c r="M418" t="s">
        <v>933</v>
      </c>
    </row>
    <row r="419" spans="1:13">
      <c r="A419" t="s">
        <v>9187</v>
      </c>
      <c r="B419" t="s">
        <v>9187</v>
      </c>
      <c r="G419" t="s">
        <v>5374</v>
      </c>
      <c r="H419" t="str" cm="1">
        <f t="array" ref="H419:I419">_xlfn.TEXTSPLIT(G419,";")</f>
        <v>PILSNER</v>
      </c>
      <c r="I419" t="str">
        <v>CORE</v>
      </c>
      <c r="M419" t="s">
        <v>944</v>
      </c>
    </row>
    <row r="420" spans="1:13">
      <c r="A420" t="s">
        <v>573</v>
      </c>
      <c r="B420" t="s">
        <v>573</v>
      </c>
      <c r="G420" t="s">
        <v>750</v>
      </c>
      <c r="H420" t="str" cm="1">
        <f t="array" ref="H420">_xlfn.TEXTSPLIT(G420,";")</f>
        <v>EXOTIC</v>
      </c>
      <c r="M420" t="s">
        <v>7477</v>
      </c>
    </row>
    <row r="421" spans="1:13">
      <c r="A421" t="s">
        <v>141</v>
      </c>
      <c r="B421" t="s">
        <v>141</v>
      </c>
      <c r="G421" t="s">
        <v>875</v>
      </c>
      <c r="H421" t="str" cm="1">
        <f t="array" ref="H421">_xlfn.TEXTSPLIT(G421,";")</f>
        <v>PECHE</v>
      </c>
      <c r="M421" t="s">
        <v>5691</v>
      </c>
    </row>
    <row r="422" spans="1:13">
      <c r="A422" t="s">
        <v>280</v>
      </c>
      <c r="B422" t="s">
        <v>280</v>
      </c>
      <c r="G422" t="s">
        <v>5241</v>
      </c>
      <c r="H422" t="str" cm="1">
        <f t="array" ref="H422:I422">_xlfn.TEXTSPLIT(G422,";")</f>
        <v>CHERRY</v>
      </c>
      <c r="I422" t="str">
        <v>RED</v>
      </c>
      <c r="M422" t="s">
        <v>7604</v>
      </c>
    </row>
    <row r="423" spans="1:13">
      <c r="A423" t="s">
        <v>143</v>
      </c>
      <c r="B423" t="s">
        <v>143</v>
      </c>
      <c r="G423" t="s">
        <v>129</v>
      </c>
      <c r="H423" t="str" cm="1">
        <f t="array" ref="H423">_xlfn.TEXTSPLIT(G423,";")</f>
        <v>MOJITO</v>
      </c>
      <c r="M423" t="s">
        <v>5176</v>
      </c>
    </row>
    <row r="424" spans="1:13">
      <c r="A424" t="s">
        <v>144</v>
      </c>
      <c r="B424" t="s">
        <v>144</v>
      </c>
      <c r="G424" t="s">
        <v>8143</v>
      </c>
      <c r="H424" t="str" cm="1">
        <f t="array" ref="H424">_xlfn.TEXTSPLIT(G424,";")</f>
        <v>CUBERDON</v>
      </c>
      <c r="M424" t="s">
        <v>8060</v>
      </c>
    </row>
    <row r="425" spans="1:13">
      <c r="A425" t="s">
        <v>614</v>
      </c>
      <c r="B425" t="s">
        <v>614</v>
      </c>
      <c r="G425" t="s">
        <v>8192</v>
      </c>
      <c r="H425" t="str" cm="1">
        <f t="array" ref="H425">_xlfn.TEXTSPLIT(G425,";")</f>
        <v>GRIOTTES</v>
      </c>
      <c r="M425" t="s">
        <v>8148</v>
      </c>
    </row>
    <row r="426" spans="1:13">
      <c r="A426" t="s">
        <v>1330</v>
      </c>
      <c r="B426" t="s">
        <v>1330</v>
      </c>
      <c r="G426" t="s">
        <v>5055</v>
      </c>
      <c r="H426" t="str" cm="1">
        <f t="array" ref="H426">_xlfn.TEXTSPLIT(G426,";")</f>
        <v>MANGO_MANGO</v>
      </c>
      <c r="M426" t="s">
        <v>8764</v>
      </c>
    </row>
    <row r="427" spans="1:13">
      <c r="A427" t="s">
        <v>9124</v>
      </c>
      <c r="B427" t="s">
        <v>9124</v>
      </c>
      <c r="G427" t="s">
        <v>880</v>
      </c>
      <c r="H427" t="str" cm="1">
        <f t="array" ref="H427">_xlfn.TEXTSPLIT(G427,";")</f>
        <v>PASSION</v>
      </c>
      <c r="M427" t="s">
        <v>9284</v>
      </c>
    </row>
    <row r="428" spans="1:13">
      <c r="A428" t="s">
        <v>983</v>
      </c>
      <c r="B428" t="s">
        <v>983</v>
      </c>
      <c r="G428" t="s">
        <v>8308</v>
      </c>
      <c r="H428" t="str" cm="1">
        <f t="array" ref="H428">_xlfn.TEXTSPLIT(G428,";")</f>
        <v>BOOST</v>
      </c>
      <c r="M428" t="s">
        <v>5692</v>
      </c>
    </row>
    <row r="429" spans="1:13">
      <c r="A429" t="s">
        <v>438</v>
      </c>
      <c r="B429" t="s">
        <v>438</v>
      </c>
      <c r="G429" t="s">
        <v>8337</v>
      </c>
      <c r="H429" t="str" cm="1">
        <f t="array" ref="H429">_xlfn.TEXTSPLIT(G429,";")</f>
        <v>RUBIS</v>
      </c>
      <c r="M429" t="s">
        <v>5693</v>
      </c>
    </row>
    <row r="430" spans="1:13">
      <c r="A430" t="s">
        <v>574</v>
      </c>
      <c r="B430" t="s">
        <v>574</v>
      </c>
      <c r="G430" t="s">
        <v>1979</v>
      </c>
      <c r="H430" t="str" cm="1">
        <f t="array" ref="H430">_xlfn.TEXTSPLIT(G430,";")</f>
        <v>BERRY</v>
      </c>
      <c r="M430" t="s">
        <v>5694</v>
      </c>
    </row>
    <row r="431" spans="1:13">
      <c r="A431" t="s">
        <v>6614</v>
      </c>
      <c r="B431" t="s">
        <v>6614</v>
      </c>
      <c r="G431" t="s">
        <v>1985</v>
      </c>
      <c r="H431" t="str" cm="1">
        <f t="array" ref="H431">_xlfn.TEXTSPLIT(G431,";")</f>
        <v>VRUCHTEN</v>
      </c>
      <c r="M431" t="s">
        <v>5695</v>
      </c>
    </row>
    <row r="432" spans="1:13">
      <c r="A432" t="s">
        <v>9136</v>
      </c>
      <c r="B432" t="s">
        <v>9136</v>
      </c>
      <c r="G432" t="s">
        <v>6501</v>
      </c>
      <c r="H432" t="str" cm="1">
        <f t="array" ref="H432:J432">_xlfn.TEXTSPLIT(G432,";")</f>
        <v>ROSE</v>
      </c>
      <c r="I432" t="str">
        <v>PINK</v>
      </c>
      <c r="J432" t="str">
        <v>FRUIT</v>
      </c>
      <c r="M432" t="s">
        <v>5696</v>
      </c>
    </row>
    <row r="433" spans="1:16">
      <c r="A433" t="s">
        <v>281</v>
      </c>
      <c r="B433" t="s">
        <v>281</v>
      </c>
      <c r="G433" t="s">
        <v>761</v>
      </c>
      <c r="H433" t="str" cm="1">
        <f t="array" ref="H433">_xlfn.TEXTSPLIT(G433,";")</f>
        <v>MANGO</v>
      </c>
      <c r="M433" t="s">
        <v>5697</v>
      </c>
    </row>
    <row r="434" spans="1:16">
      <c r="A434" t="s">
        <v>7829</v>
      </c>
      <c r="B434" t="s">
        <v>7829</v>
      </c>
      <c r="G434" t="s">
        <v>5398</v>
      </c>
      <c r="H434" t="str" cm="1">
        <f t="array" ref="H434:J434">_xlfn.TEXTSPLIT(G434,";")</f>
        <v>RASPBERRY</v>
      </c>
      <c r="I434" t="str">
        <v>RUBY</v>
      </c>
      <c r="J434" t="str">
        <v>RUBY</v>
      </c>
      <c r="M434" t="s">
        <v>5698</v>
      </c>
    </row>
    <row r="435" spans="1:16">
      <c r="A435" t="s">
        <v>337</v>
      </c>
      <c r="B435" t="s">
        <v>337</v>
      </c>
      <c r="G435" t="s">
        <v>769</v>
      </c>
      <c r="H435" t="str" cm="1">
        <f t="array" ref="H435">_xlfn.TEXTSPLIT(G435,";")</f>
        <v>TROPICAL</v>
      </c>
      <c r="M435" t="s">
        <v>5699</v>
      </c>
    </row>
    <row r="436" spans="1:16">
      <c r="A436" t="s">
        <v>575</v>
      </c>
      <c r="B436" t="s">
        <v>575</v>
      </c>
      <c r="G436" t="s">
        <v>5399</v>
      </c>
      <c r="H436" t="str" cm="1">
        <f t="array" ref="H436:L436">_xlfn.TEXTSPLIT(G436,";")</f>
        <v>RED</v>
      </c>
      <c r="I436" t="str">
        <v>CORE</v>
      </c>
      <c r="J436" t="str">
        <v>CHERRY</v>
      </c>
      <c r="K436" t="str">
        <v>CORE</v>
      </c>
      <c r="L436" t="str">
        <v>CHERRY</v>
      </c>
      <c r="M436" t="s">
        <v>5700</v>
      </c>
      <c r="P436" t="s">
        <v>1438</v>
      </c>
    </row>
    <row r="437" spans="1:16">
      <c r="A437" t="s">
        <v>656</v>
      </c>
      <c r="B437" t="s">
        <v>656</v>
      </c>
      <c r="G437" t="s">
        <v>885</v>
      </c>
      <c r="H437" t="str" cm="1">
        <f t="array" ref="H437">_xlfn.TEXTSPLIT(G437,";")</f>
        <v>FOREST</v>
      </c>
      <c r="M437" t="s">
        <v>8817</v>
      </c>
    </row>
    <row r="438" spans="1:16">
      <c r="A438" t="s">
        <v>9152</v>
      </c>
      <c r="B438" t="s">
        <v>9152</v>
      </c>
      <c r="G438" t="s">
        <v>5401</v>
      </c>
      <c r="H438" t="str" cm="1">
        <f t="array" ref="H438:J438">_xlfn.TEXTSPLIT(G438,";")</f>
        <v>CHERRY</v>
      </c>
      <c r="I438" t="str">
        <v>RED</v>
      </c>
      <c r="J438" t="str">
        <v>RED</v>
      </c>
      <c r="M438" t="s">
        <v>8813</v>
      </c>
    </row>
    <row r="439" spans="1:16">
      <c r="A439" t="s">
        <v>377</v>
      </c>
      <c r="B439" t="s">
        <v>377</v>
      </c>
      <c r="G439" t="s">
        <v>5405</v>
      </c>
      <c r="H439" t="str" cm="1">
        <f t="array" ref="H439:I439">_xlfn.TEXTSPLIT(G439,";")</f>
        <v>CORE</v>
      </c>
      <c r="I439" t="str">
        <v>CHERRY</v>
      </c>
      <c r="M439" t="s">
        <v>220</v>
      </c>
    </row>
    <row r="440" spans="1:16">
      <c r="A440" t="s">
        <v>1079</v>
      </c>
      <c r="B440" t="s">
        <v>1079</v>
      </c>
      <c r="G440" t="s">
        <v>6868</v>
      </c>
      <c r="H440" t="str" cm="1">
        <f t="array" ref="H440">_xlfn.TEXTSPLIT(G440,";")</f>
        <v>BERRIES</v>
      </c>
      <c r="M440" t="s">
        <v>5701</v>
      </c>
    </row>
    <row r="441" spans="1:16">
      <c r="A441" t="s">
        <v>282</v>
      </c>
      <c r="B441" t="s">
        <v>282</v>
      </c>
      <c r="G441" t="s">
        <v>5461</v>
      </c>
      <c r="H441" t="e" cm="1" vm="6">
        <f t="array" aca="1" ref="H441" ca="1">_xlfn.TEXTSPLIT(G441,";")</f>
        <v>#VALUE!</v>
      </c>
      <c r="M441" t="s">
        <v>10036</v>
      </c>
    </row>
    <row r="442" spans="1:16">
      <c r="A442" t="s">
        <v>284</v>
      </c>
      <c r="B442" t="s">
        <v>284</v>
      </c>
      <c r="G442" t="s">
        <v>5410</v>
      </c>
      <c r="H442" t="str" cm="1">
        <f t="array" ref="H442:L442">_xlfn.TEXTSPLIT(G442,";")</f>
        <v>CHERRY</v>
      </c>
      <c r="I442" t="str">
        <v>CORE</v>
      </c>
      <c r="J442" t="str">
        <v>RED</v>
      </c>
      <c r="K442" t="str">
        <v>CORE</v>
      </c>
      <c r="L442" t="str">
        <v>RED</v>
      </c>
      <c r="M442" t="s">
        <v>5702</v>
      </c>
      <c r="P442" t="s">
        <v>1438</v>
      </c>
    </row>
    <row r="443" spans="1:16">
      <c r="A443" t="s">
        <v>338</v>
      </c>
      <c r="B443" t="s">
        <v>338</v>
      </c>
      <c r="G443" t="s">
        <v>5409</v>
      </c>
      <c r="H443" t="str" cm="1">
        <f t="array" ref="H443:J443">_xlfn.TEXTSPLIT(G443,";")</f>
        <v>BLACKCURRANT</v>
      </c>
      <c r="I443" t="str">
        <v>BERRY</v>
      </c>
      <c r="J443" t="str">
        <v>BERRY</v>
      </c>
      <c r="M443" t="s">
        <v>5703</v>
      </c>
    </row>
    <row r="444" spans="1:16">
      <c r="A444" t="s">
        <v>9184</v>
      </c>
      <c r="B444" t="s">
        <v>9184</v>
      </c>
      <c r="G444" t="s">
        <v>1498</v>
      </c>
      <c r="H444" t="str" cm="1">
        <f t="array" ref="H444">_xlfn.TEXTSPLIT(G444,";")</f>
        <v>LYCHEE</v>
      </c>
      <c r="M444" t="s">
        <v>5704</v>
      </c>
    </row>
    <row r="445" spans="1:16">
      <c r="A445" t="s">
        <v>577</v>
      </c>
      <c r="B445" t="s">
        <v>577</v>
      </c>
      <c r="G445" t="s">
        <v>760</v>
      </c>
      <c r="H445" t="str" cm="1">
        <f t="array" ref="H445">_xlfn.TEXTSPLIT(G445,";")</f>
        <v>BANANA</v>
      </c>
      <c r="M445" t="s">
        <v>5705</v>
      </c>
    </row>
    <row r="446" spans="1:16">
      <c r="A446" t="s">
        <v>9197</v>
      </c>
      <c r="B446" t="s">
        <v>9197</v>
      </c>
      <c r="G446" t="s">
        <v>877</v>
      </c>
      <c r="H446" t="str" cm="1">
        <f t="array" ref="H446">_xlfn.TEXTSPLIT(G446,";")</f>
        <v>BLOOD_ORANGE</v>
      </c>
      <c r="M446" t="s">
        <v>9994</v>
      </c>
    </row>
    <row r="447" spans="1:16">
      <c r="A447" t="s">
        <v>157</v>
      </c>
      <c r="B447" t="s">
        <v>157</v>
      </c>
      <c r="G447" t="s">
        <v>8951</v>
      </c>
      <c r="H447" t="str" cm="1">
        <f t="array" ref="H447:I447">_xlfn.TEXTSPLIT(G447,";")</f>
        <v>WHITE</v>
      </c>
      <c r="I447" t="str">
        <v>CHERRY</v>
      </c>
      <c r="M447" t="s">
        <v>745</v>
      </c>
    </row>
    <row r="448" spans="1:16">
      <c r="A448" t="s">
        <v>9203</v>
      </c>
      <c r="B448" t="s">
        <v>9203</v>
      </c>
      <c r="G448" t="s">
        <v>9082</v>
      </c>
      <c r="H448" t="str" cm="1">
        <f t="array" ref="H448">_xlfn.TEXTSPLIT(G448,";")</f>
        <v>ROZETTE</v>
      </c>
      <c r="M448" t="s">
        <v>5366</v>
      </c>
    </row>
    <row r="449" spans="1:13">
      <c r="A449" t="s">
        <v>9208</v>
      </c>
      <c r="B449" t="s">
        <v>9208</v>
      </c>
      <c r="G449" t="s">
        <v>891</v>
      </c>
      <c r="H449" t="str" cm="1">
        <f t="array" ref="H449">_xlfn.TEXTSPLIT(G449,";")</f>
        <v>RHUBARB</v>
      </c>
      <c r="M449" t="s">
        <v>9376</v>
      </c>
    </row>
    <row r="450" spans="1:13">
      <c r="A450" t="s">
        <v>579</v>
      </c>
      <c r="B450" t="s">
        <v>579</v>
      </c>
      <c r="G450" t="s">
        <v>9119</v>
      </c>
      <c r="H450" t="str" cm="1">
        <f t="array" ref="H450">_xlfn.TEXTSPLIT(G450,";")</f>
        <v>MYRTILLE</v>
      </c>
      <c r="M450" t="s">
        <v>956</v>
      </c>
    </row>
    <row r="451" spans="1:13">
      <c r="A451" t="s">
        <v>7715</v>
      </c>
      <c r="B451" t="s">
        <v>7715</v>
      </c>
      <c r="G451" t="s">
        <v>895</v>
      </c>
      <c r="H451" t="str" cm="1">
        <f t="array" ref="H451">_xlfn.TEXTSPLIT(G451,";")</f>
        <v>COINTESSENCE</v>
      </c>
      <c r="M451" t="s">
        <v>859</v>
      </c>
    </row>
    <row r="452" spans="1:13">
      <c r="A452" t="s">
        <v>10008</v>
      </c>
      <c r="B452" t="s">
        <v>10008</v>
      </c>
      <c r="G452" t="s">
        <v>9200</v>
      </c>
      <c r="H452" t="str" cm="1">
        <f t="array" ref="H452:I452">_xlfn.TEXTSPLIT(G452,";")</f>
        <v>APPLE</v>
      </c>
      <c r="I452" t="str">
        <v>RUM</v>
      </c>
      <c r="M452" t="s">
        <v>940</v>
      </c>
    </row>
    <row r="453" spans="1:13">
      <c r="A453" t="s">
        <v>580</v>
      </c>
      <c r="B453" t="s">
        <v>580</v>
      </c>
      <c r="G453" t="s">
        <v>1980</v>
      </c>
      <c r="H453" t="str" cm="1">
        <f t="array" ref="H453">_xlfn.TEXTSPLIT(G453,";")</f>
        <v>ELDERBERRY</v>
      </c>
      <c r="M453" t="s">
        <v>5706</v>
      </c>
    </row>
    <row r="454" spans="1:13">
      <c r="A454" t="s">
        <v>581</v>
      </c>
      <c r="B454" t="s">
        <v>581</v>
      </c>
      <c r="G454" t="s">
        <v>9263</v>
      </c>
      <c r="H454" t="str" cm="1">
        <f t="array" ref="H454">_xlfn.TEXTSPLIT(G454,";")</f>
        <v>VERGER</v>
      </c>
      <c r="M454" t="s">
        <v>5707</v>
      </c>
    </row>
    <row r="455" spans="1:13">
      <c r="A455" t="s">
        <v>9215</v>
      </c>
      <c r="B455" t="s">
        <v>9215</v>
      </c>
      <c r="G455" t="s">
        <v>9389</v>
      </c>
      <c r="H455" t="str" cm="1">
        <f t="array" ref="H455">_xlfn.TEXTSPLIT(G455,";")</f>
        <v>BLACA</v>
      </c>
      <c r="M455" t="s">
        <v>7845</v>
      </c>
    </row>
    <row r="456" spans="1:13">
      <c r="A456" t="s">
        <v>340</v>
      </c>
      <c r="B456" t="s">
        <v>340</v>
      </c>
      <c r="G456" t="s">
        <v>9391</v>
      </c>
      <c r="H456" t="str" cm="1">
        <f t="array" ref="H456">_xlfn.TEXTSPLIT(G456,";")</f>
        <v>WACA</v>
      </c>
      <c r="M456" t="s">
        <v>7849</v>
      </c>
    </row>
    <row r="457" spans="1:13">
      <c r="A457" t="s">
        <v>341</v>
      </c>
      <c r="B457" t="s">
        <v>341</v>
      </c>
      <c r="G457" t="s">
        <v>5325</v>
      </c>
      <c r="H457" t="str" cm="1">
        <f t="array" ref="H457">_xlfn.TEXTSPLIT(G457,";")</f>
        <v>YUZU</v>
      </c>
      <c r="M457" t="s">
        <v>941</v>
      </c>
    </row>
    <row r="458" spans="1:13">
      <c r="A458" t="s">
        <v>440</v>
      </c>
      <c r="B458" t="s">
        <v>440</v>
      </c>
      <c r="G458" t="s">
        <v>9428</v>
      </c>
      <c r="H458" t="str" cm="1">
        <f t="array" ref="H458">_xlfn.TEXTSPLIT(G458,";")</f>
        <v>GRIOTTEKE</v>
      </c>
      <c r="M458" t="s">
        <v>8107</v>
      </c>
    </row>
    <row r="459" spans="1:13">
      <c r="A459" t="s">
        <v>9254</v>
      </c>
      <c r="B459" t="s">
        <v>9254</v>
      </c>
      <c r="G459" t="s">
        <v>10031</v>
      </c>
      <c r="H459" t="str" cm="1">
        <f t="array" ref="H459">_xlfn.TEXTSPLIT(G459,";")</f>
        <v>RASBERRY</v>
      </c>
      <c r="M459" t="s">
        <v>8490</v>
      </c>
    </row>
    <row r="460" spans="1:13">
      <c r="A460" t="s">
        <v>9249</v>
      </c>
      <c r="B460" t="s">
        <v>9249</v>
      </c>
      <c r="G460" t="s">
        <v>1467</v>
      </c>
      <c r="H460" t="str" cm="1">
        <f t="array" ref="H460">_xlfn.TEXTSPLIT(G460,";")</f>
        <v>PASSIONFRUIT</v>
      </c>
      <c r="M460" t="s">
        <v>6601</v>
      </c>
    </row>
    <row r="461" spans="1:13">
      <c r="A461" t="s">
        <v>9270</v>
      </c>
      <c r="B461" t="s">
        <v>9270</v>
      </c>
      <c r="G461" t="s">
        <v>1476</v>
      </c>
      <c r="H461" t="str" cm="1">
        <f t="array" ref="H461">_xlfn.TEXTSPLIT(G461,";")</f>
        <v>TONIC_WATER</v>
      </c>
      <c r="M461" t="s">
        <v>8493</v>
      </c>
    </row>
    <row r="462" spans="1:13">
      <c r="A462" t="s">
        <v>9252</v>
      </c>
      <c r="B462" t="s">
        <v>9252</v>
      </c>
      <c r="G462" t="s">
        <v>5183</v>
      </c>
      <c r="H462" t="str" cm="1">
        <f t="array" ref="H462">_xlfn.TEXTSPLIT(G462,";")</f>
        <v>CLUB_SODA</v>
      </c>
      <c r="M462" t="s">
        <v>8780</v>
      </c>
    </row>
    <row r="463" spans="1:13">
      <c r="A463" t="s">
        <v>628</v>
      </c>
      <c r="B463" t="s">
        <v>628</v>
      </c>
      <c r="G463" t="s">
        <v>1483</v>
      </c>
      <c r="H463" t="str" cm="1">
        <f t="array" ref="H463">_xlfn.TEXTSPLIT(G463,";")</f>
        <v>CRANBERRY</v>
      </c>
      <c r="M463" t="s">
        <v>8782</v>
      </c>
    </row>
    <row r="464" spans="1:13">
      <c r="A464" t="s">
        <v>583</v>
      </c>
      <c r="B464" t="s">
        <v>583</v>
      </c>
      <c r="G464" t="s">
        <v>5234</v>
      </c>
      <c r="H464" t="str" cm="1">
        <f t="array" ref="H464:I464">_xlfn.TEXTSPLIT(G464,";")</f>
        <v>GINGER</v>
      </c>
      <c r="I464" t="str">
        <v>CORE</v>
      </c>
      <c r="M464" t="s">
        <v>8784</v>
      </c>
    </row>
    <row r="465" spans="1:13">
      <c r="A465" t="s">
        <v>586</v>
      </c>
      <c r="B465" t="s">
        <v>586</v>
      </c>
      <c r="G465" t="s">
        <v>4901</v>
      </c>
      <c r="H465" t="str" cm="1">
        <f t="array" ref="H465">_xlfn.TEXTSPLIT(G465,";")</f>
        <v>GINGER_ALE</v>
      </c>
      <c r="M465" t="s">
        <v>997</v>
      </c>
    </row>
    <row r="466" spans="1:13">
      <c r="A466" t="s">
        <v>9289</v>
      </c>
      <c r="B466" t="s">
        <v>9289</v>
      </c>
      <c r="G466" t="s">
        <v>6905</v>
      </c>
      <c r="H466" t="str" cm="1">
        <f t="array" ref="H466">_xlfn.TEXTSPLIT(G466,";")</f>
        <v>ALE</v>
      </c>
      <c r="M466" t="s">
        <v>889</v>
      </c>
    </row>
    <row r="467" spans="1:13">
      <c r="A467" t="s">
        <v>9293</v>
      </c>
      <c r="B467" t="s">
        <v>9293</v>
      </c>
      <c r="G467" t="s">
        <v>6759</v>
      </c>
      <c r="H467" t="str" cm="1">
        <f t="array" ref="H467:I467">_xlfn.TEXTSPLIT(G467,";")</f>
        <v>GINGER_BEER</v>
      </c>
      <c r="I467" t="str">
        <v>GINGER</v>
      </c>
      <c r="M467" t="s">
        <v>10002</v>
      </c>
    </row>
    <row r="468" spans="1:13">
      <c r="A468" t="s">
        <v>9299</v>
      </c>
      <c r="B468" t="s">
        <v>9299</v>
      </c>
      <c r="G468" t="s">
        <v>79</v>
      </c>
      <c r="H468" t="str" cm="1">
        <f t="array" ref="H468">_xlfn.TEXTSPLIT(G468,";")</f>
        <v>GINGER_BEER</v>
      </c>
      <c r="M468" t="s">
        <v>9115</v>
      </c>
    </row>
    <row r="469" spans="1:13">
      <c r="A469" t="s">
        <v>442</v>
      </c>
      <c r="B469" t="s">
        <v>442</v>
      </c>
      <c r="G469" t="s">
        <v>5394</v>
      </c>
      <c r="H469" t="str" cm="1">
        <f t="array" ref="H469:I469">_xlfn.TEXTSPLIT(G469,";")</f>
        <v>LEMON</v>
      </c>
      <c r="I469" t="str">
        <v>GINGER</v>
      </c>
      <c r="M469" t="s">
        <v>5544</v>
      </c>
    </row>
    <row r="470" spans="1:13">
      <c r="A470" t="s">
        <v>587</v>
      </c>
      <c r="B470" t="s">
        <v>587</v>
      </c>
      <c r="G470" t="s">
        <v>6785</v>
      </c>
      <c r="H470" t="str" cm="1">
        <f t="array" ref="H470:I470">_xlfn.TEXTSPLIT(G470,";")</f>
        <v>CRANBERRY</v>
      </c>
      <c r="I470" t="str">
        <v>GINGER</v>
      </c>
      <c r="M470" t="s">
        <v>10136</v>
      </c>
    </row>
    <row r="471" spans="1:13">
      <c r="A471" t="s">
        <v>9313</v>
      </c>
      <c r="B471" t="s">
        <v>9313</v>
      </c>
      <c r="G471" t="s">
        <v>6896</v>
      </c>
      <c r="H471" t="str" cm="1">
        <f t="array" ref="H471">_xlfn.TEXTSPLIT(G471,";")</f>
        <v>MULE</v>
      </c>
      <c r="M471" t="s">
        <v>10137</v>
      </c>
    </row>
    <row r="472" spans="1:13">
      <c r="A472" t="s">
        <v>9315</v>
      </c>
      <c r="B472" t="s">
        <v>9315</v>
      </c>
      <c r="G472" t="s">
        <v>6772</v>
      </c>
      <c r="H472" t="str" cm="1">
        <f t="array" ref="H472">_xlfn.TEXTSPLIT(G472,";")</f>
        <v>SARSAPARILLA</v>
      </c>
      <c r="M472" t="s">
        <v>10138</v>
      </c>
    </row>
    <row r="473" spans="1:13">
      <c r="A473" t="s">
        <v>443</v>
      </c>
      <c r="B473" t="s">
        <v>443</v>
      </c>
      <c r="G473" t="s">
        <v>5594</v>
      </c>
      <c r="H473" t="str" cm="1">
        <f t="array" ref="H473">_xlfn.TEXTSPLIT(G473,";")</f>
        <v>GLUTEN-FREE</v>
      </c>
      <c r="M473" t="s">
        <v>10034</v>
      </c>
    </row>
    <row r="474" spans="1:13">
      <c r="A474" t="s">
        <v>9320</v>
      </c>
      <c r="B474" t="s">
        <v>9320</v>
      </c>
      <c r="G474" t="s">
        <v>5673</v>
      </c>
      <c r="H474" t="str" cm="1">
        <f t="array" ref="H474">_xlfn.TEXTSPLIT(G474,";")</f>
        <v>GOLDEN_ALE &gt; UKRAINIAN</v>
      </c>
      <c r="M474" t="s">
        <v>1948</v>
      </c>
    </row>
    <row r="475" spans="1:13">
      <c r="A475" t="s">
        <v>9335</v>
      </c>
      <c r="B475" t="s">
        <v>9335</v>
      </c>
      <c r="G475" t="s">
        <v>5674</v>
      </c>
      <c r="H475" t="str" cm="1">
        <f t="array" ref="H475">_xlfn.TEXTSPLIT(G475,";")</f>
        <v>GRAPE_ALE &gt; ITALIAN</v>
      </c>
      <c r="M475" t="s">
        <v>943</v>
      </c>
    </row>
    <row r="476" spans="1:13">
      <c r="A476" t="s">
        <v>9353</v>
      </c>
      <c r="B476" t="s">
        <v>9353</v>
      </c>
      <c r="G476" t="s">
        <v>5675</v>
      </c>
      <c r="H476" t="str" cm="1">
        <f t="array" ref="H476">_xlfn.TEXTSPLIT(G476,";")</f>
        <v>GRAPE_ALE &gt; OTHER</v>
      </c>
      <c r="M476" t="s">
        <v>5708</v>
      </c>
    </row>
    <row r="477" spans="1:13">
      <c r="A477" t="s">
        <v>9355</v>
      </c>
      <c r="B477" t="s">
        <v>9355</v>
      </c>
      <c r="G477" t="s">
        <v>5595</v>
      </c>
      <c r="H477" t="str" cm="1">
        <f t="array" ref="H477">_xlfn.TEXTSPLIT(G477,";")</f>
        <v>GRODZISKIE_/_GRATZER</v>
      </c>
      <c r="M477" t="s">
        <v>5709</v>
      </c>
    </row>
    <row r="478" spans="1:13">
      <c r="A478" t="s">
        <v>600</v>
      </c>
      <c r="B478" t="s">
        <v>600</v>
      </c>
      <c r="G478" t="s">
        <v>5596</v>
      </c>
      <c r="H478" t="str" cm="1">
        <f t="array" ref="H478">_xlfn.TEXTSPLIT(G478,";")</f>
        <v>HAPPOSHU</v>
      </c>
      <c r="M478" t="s">
        <v>5710</v>
      </c>
    </row>
    <row r="479" spans="1:13">
      <c r="A479" t="s">
        <v>1007</v>
      </c>
      <c r="B479" t="s">
        <v>1007</v>
      </c>
      <c r="G479" t="s">
        <v>5597</v>
      </c>
      <c r="H479" t="str" cm="1">
        <f t="array" ref="H479">_xlfn.TEXTSPLIT(G479,";")</f>
        <v>HARD_GINGER_BEER</v>
      </c>
      <c r="M479" t="s">
        <v>5711</v>
      </c>
    </row>
    <row r="480" spans="1:13">
      <c r="A480" t="s">
        <v>1008</v>
      </c>
      <c r="B480" t="s">
        <v>1008</v>
      </c>
      <c r="G480" t="s">
        <v>5598</v>
      </c>
      <c r="H480" t="str" cm="1">
        <f t="array" ref="H480">_xlfn.TEXTSPLIT(G480,";")</f>
        <v>HARD_KOMBUCHA_/_JUN</v>
      </c>
      <c r="M480" t="s">
        <v>7847</v>
      </c>
    </row>
    <row r="481" spans="1:13">
      <c r="A481" t="s">
        <v>601</v>
      </c>
      <c r="B481" t="s">
        <v>601</v>
      </c>
      <c r="G481" t="s">
        <v>5599</v>
      </c>
      <c r="H481" t="str" cm="1">
        <f t="array" ref="H481">_xlfn.TEXTSPLIT(G481,";")</f>
        <v>HARD_SELTZER</v>
      </c>
      <c r="M481" t="s">
        <v>7851</v>
      </c>
    </row>
    <row r="482" spans="1:13">
      <c r="A482" t="s">
        <v>181</v>
      </c>
      <c r="B482" t="s">
        <v>181</v>
      </c>
      <c r="G482">
        <v>1863</v>
      </c>
      <c r="H482" t="str" cm="1">
        <f t="array" ref="H482">_xlfn.TEXTSPLIT(G482,";")</f>
        <v>1863</v>
      </c>
      <c r="M482" t="s">
        <v>7855</v>
      </c>
    </row>
    <row r="483" spans="1:13">
      <c r="A483" t="s">
        <v>912</v>
      </c>
      <c r="B483" t="s">
        <v>912</v>
      </c>
      <c r="G483" t="s">
        <v>5676</v>
      </c>
      <c r="H483" t="str" cm="1">
        <f t="array" ref="H483">_xlfn.TEXTSPLIT(G483,";")</f>
        <v>HISTORICAL_BEER &gt; ADAMBIER</v>
      </c>
      <c r="M483" t="s">
        <v>8266</v>
      </c>
    </row>
    <row r="484" spans="1:13">
      <c r="A484" t="s">
        <v>616</v>
      </c>
      <c r="B484" t="s">
        <v>616</v>
      </c>
      <c r="G484" t="s">
        <v>5677</v>
      </c>
      <c r="H484" t="str" cm="1">
        <f t="array" ref="H484">_xlfn.TEXTSPLIT(G484,";")</f>
        <v>HISTORICAL_BEER &gt; BERLINER_BRAUNBIER</v>
      </c>
      <c r="M484" t="s">
        <v>10139</v>
      </c>
    </row>
    <row r="485" spans="1:13">
      <c r="A485" t="s">
        <v>186</v>
      </c>
      <c r="B485" t="s">
        <v>186</v>
      </c>
      <c r="G485" t="s">
        <v>5678</v>
      </c>
      <c r="H485" t="str" cm="1">
        <f t="array" ref="H485">_xlfn.TEXTSPLIT(G485,";")</f>
        <v>HISTORICAL_BEER &gt; BROYHAN</v>
      </c>
      <c r="M485" t="s">
        <v>8819</v>
      </c>
    </row>
    <row r="486" spans="1:13">
      <c r="A486" t="s">
        <v>590</v>
      </c>
      <c r="B486" t="s">
        <v>590</v>
      </c>
      <c r="G486" t="s">
        <v>5679</v>
      </c>
      <c r="H486" t="str" cm="1">
        <f t="array" ref="H486">_xlfn.TEXTSPLIT(G486,";")</f>
        <v>HISTORICAL_BEER &gt; BURTON_ALE</v>
      </c>
      <c r="M486" t="s">
        <v>9435</v>
      </c>
    </row>
    <row r="487" spans="1:13">
      <c r="A487" t="s">
        <v>589</v>
      </c>
      <c r="B487" t="s">
        <v>589</v>
      </c>
      <c r="G487" t="s">
        <v>5680</v>
      </c>
      <c r="H487" t="str" cm="1">
        <f t="array" ref="H487">_xlfn.TEXTSPLIT(G487,";")</f>
        <v>HISTORICAL_BEER &gt; DAMPFBIER</v>
      </c>
      <c r="M487" t="s">
        <v>958</v>
      </c>
    </row>
    <row r="488" spans="1:13">
      <c r="A488" t="s">
        <v>9386</v>
      </c>
      <c r="B488" t="s">
        <v>9386</v>
      </c>
      <c r="G488" t="s">
        <v>5681</v>
      </c>
      <c r="H488" t="str" cm="1">
        <f t="array" ref="H488">_xlfn.TEXTSPLIT(G488,";")</f>
        <v>HISTORICAL_BEER &gt; GRUIT_/_ANCIENT_HERBED_ALE</v>
      </c>
      <c r="M488" t="s">
        <v>5712</v>
      </c>
    </row>
    <row r="489" spans="1:13">
      <c r="A489" t="s">
        <v>9395</v>
      </c>
      <c r="B489" t="s">
        <v>9395</v>
      </c>
      <c r="G489" t="s">
        <v>5682</v>
      </c>
      <c r="H489" t="str" cm="1">
        <f t="array" ref="H489">_xlfn.TEXTSPLIT(G489,";")</f>
        <v>HISTORICAL_BEER &gt; KENTUCKY_COMMON</v>
      </c>
      <c r="M489" t="s">
        <v>5713</v>
      </c>
    </row>
    <row r="490" spans="1:13">
      <c r="A490" t="s">
        <v>9403</v>
      </c>
      <c r="B490" t="s">
        <v>9403</v>
      </c>
      <c r="G490" t="s">
        <v>5683</v>
      </c>
      <c r="H490" t="str" cm="1">
        <f t="array" ref="H490">_xlfn.TEXTSPLIT(G490,";")</f>
        <v>HISTORICAL_BEER &gt; KOTTBUSSER</v>
      </c>
      <c r="M490" t="s">
        <v>5714</v>
      </c>
    </row>
    <row r="491" spans="1:13">
      <c r="A491" t="s">
        <v>291</v>
      </c>
      <c r="B491" t="s">
        <v>291</v>
      </c>
      <c r="G491" t="s">
        <v>5684</v>
      </c>
      <c r="H491" t="str" cm="1">
        <f t="array" ref="H491">_xlfn.TEXTSPLIT(G491,";")</f>
        <v>HISTORICAL_BEER &gt; KUIT_/_KUYT_/_KOYT</v>
      </c>
      <c r="M491" t="s">
        <v>5715</v>
      </c>
    </row>
    <row r="492" spans="1:13">
      <c r="A492" t="s">
        <v>343</v>
      </c>
      <c r="B492" t="s">
        <v>343</v>
      </c>
      <c r="G492" t="s">
        <v>5685</v>
      </c>
      <c r="H492" t="str" cm="1">
        <f t="array" ref="H492">_xlfn.TEXTSPLIT(G492,";")</f>
        <v>HISTORICAL_BEER &gt; LICHTENHAINER</v>
      </c>
      <c r="M492" t="s">
        <v>1983</v>
      </c>
    </row>
    <row r="493" spans="1:13">
      <c r="A493" t="s">
        <v>313</v>
      </c>
      <c r="B493" t="s">
        <v>313</v>
      </c>
      <c r="G493" t="s">
        <v>5686</v>
      </c>
      <c r="H493" t="str" cm="1">
        <f t="array" ref="H493">_xlfn.TEXTSPLIT(G493,";")</f>
        <v>HISTORICAL_BEER &gt; MUMME</v>
      </c>
      <c r="M493" t="s">
        <v>1971</v>
      </c>
    </row>
    <row r="494" spans="1:13">
      <c r="A494" t="s">
        <v>9415</v>
      </c>
      <c r="B494" t="s">
        <v>9415</v>
      </c>
      <c r="G494" t="s">
        <v>5687</v>
      </c>
      <c r="H494" t="str" cm="1">
        <f t="array" ref="H494">_xlfn.TEXTSPLIT(G494,";")</f>
        <v>HISTORICAL_BEER &gt; OTHER</v>
      </c>
      <c r="M494" t="s">
        <v>749</v>
      </c>
    </row>
    <row r="495" spans="1:13">
      <c r="A495" t="s">
        <v>8965</v>
      </c>
      <c r="B495" t="s">
        <v>8965</v>
      </c>
      <c r="G495" t="s">
        <v>5688</v>
      </c>
      <c r="H495" t="str" cm="1">
        <f t="array" ref="H495">_xlfn.TEXTSPLIT(G495,";")</f>
        <v>HISTORICAL_BEER &gt; STEINBIER</v>
      </c>
      <c r="M495" t="s">
        <v>5185</v>
      </c>
    </row>
    <row r="496" spans="1:13">
      <c r="A496" t="s">
        <v>8967</v>
      </c>
      <c r="B496" t="s">
        <v>8967</v>
      </c>
      <c r="G496" t="s">
        <v>5689</v>
      </c>
      <c r="H496" t="str" cm="1">
        <f t="array" ref="H496">_xlfn.TEXTSPLIT(G496,";")</f>
        <v>HISTORICAL_BEER &gt; ZOIGL</v>
      </c>
      <c r="M496" t="s">
        <v>5506</v>
      </c>
    </row>
    <row r="497" spans="1:13">
      <c r="A497" t="s">
        <v>192</v>
      </c>
      <c r="B497" t="s">
        <v>192</v>
      </c>
      <c r="G497" t="s">
        <v>7065</v>
      </c>
      <c r="H497" t="str" cm="1">
        <f t="array" ref="H497:I497">_xlfn.TEXTSPLIT(G497,";")</f>
        <v>HONEY</v>
      </c>
      <c r="I497" t="str">
        <v>CORE</v>
      </c>
      <c r="M497" t="s">
        <v>1481</v>
      </c>
    </row>
    <row r="498" spans="1:13">
      <c r="A498" t="s">
        <v>8969</v>
      </c>
      <c r="B498" t="s">
        <v>8969</v>
      </c>
      <c r="G498" t="s">
        <v>5600</v>
      </c>
      <c r="H498" t="str" cm="1">
        <f t="array" ref="H498">_xlfn.TEXTSPLIT(G498,";")</f>
        <v>HONEY_BEER</v>
      </c>
      <c r="M498" t="s">
        <v>896</v>
      </c>
    </row>
    <row r="499" spans="1:13">
      <c r="A499" t="s">
        <v>194</v>
      </c>
      <c r="B499" t="s">
        <v>194</v>
      </c>
      <c r="G499" t="s">
        <v>5315</v>
      </c>
      <c r="H499" t="str" cm="1">
        <f t="array" ref="H499">_xlfn.TEXTSPLIT(G499,";")</f>
        <v>CHAMOMILE</v>
      </c>
      <c r="M499" t="s">
        <v>4896</v>
      </c>
    </row>
    <row r="500" spans="1:13">
      <c r="A500" t="s">
        <v>292</v>
      </c>
      <c r="B500" t="s">
        <v>292</v>
      </c>
      <c r="G500" t="s">
        <v>1472</v>
      </c>
      <c r="H500" t="str" cm="1">
        <f t="array" ref="H500">_xlfn.TEXTSPLIT(G500,";")</f>
        <v>ELDERFLOWER</v>
      </c>
      <c r="M500" t="s">
        <v>5187</v>
      </c>
    </row>
    <row r="501" spans="1:13">
      <c r="A501" t="s">
        <v>196</v>
      </c>
      <c r="B501" t="s">
        <v>196</v>
      </c>
      <c r="G501" t="s">
        <v>5412</v>
      </c>
      <c r="H501" t="str" cm="1">
        <f t="array" ref="H501:I501">_xlfn.TEXTSPLIT(G501,";")</f>
        <v>GREEN</v>
      </c>
      <c r="I501" t="str">
        <v>MANGO</v>
      </c>
      <c r="M501" t="s">
        <v>5186</v>
      </c>
    </row>
    <row r="502" spans="1:13">
      <c r="A502" t="s">
        <v>448</v>
      </c>
      <c r="B502" t="s">
        <v>448</v>
      </c>
      <c r="G502" t="s">
        <v>5439</v>
      </c>
      <c r="H502" t="str" cm="1">
        <f t="array" ref="H502:J502">_xlfn.TEXTSPLIT(G502,";")</f>
        <v>GREEN</v>
      </c>
      <c r="I502" t="str">
        <v>JASMINE</v>
      </c>
      <c r="J502" t="str">
        <v>LIME</v>
      </c>
      <c r="M502" t="s">
        <v>1510</v>
      </c>
    </row>
    <row r="503" spans="1:13">
      <c r="A503" t="s">
        <v>8971</v>
      </c>
      <c r="B503" t="s">
        <v>8971</v>
      </c>
      <c r="G503" t="s">
        <v>942</v>
      </c>
      <c r="H503" t="str" cm="1">
        <f t="array" ref="H503">_xlfn.TEXTSPLIT(G503,";")</f>
        <v>HIBISCUS</v>
      </c>
      <c r="M503" t="s">
        <v>1511</v>
      </c>
    </row>
    <row r="504" spans="1:13">
      <c r="A504" t="s">
        <v>622</v>
      </c>
      <c r="B504" t="s">
        <v>622</v>
      </c>
      <c r="G504" t="s">
        <v>6535</v>
      </c>
      <c r="H504" t="str" cm="1">
        <f t="array" ref="H504">_xlfn.TEXTSPLIT(G504,";")</f>
        <v>BLACK_LEMON</v>
      </c>
      <c r="M504" t="s">
        <v>1988</v>
      </c>
    </row>
    <row r="505" spans="1:13">
      <c r="A505" t="s">
        <v>347</v>
      </c>
      <c r="B505" t="s">
        <v>347</v>
      </c>
      <c r="G505" t="s">
        <v>5383</v>
      </c>
      <c r="H505" t="str" cm="1">
        <f t="array" ref="H505:I505">_xlfn.TEXTSPLIT(G505,";")</f>
        <v>MINT</v>
      </c>
      <c r="I505" t="str">
        <v>LIME</v>
      </c>
      <c r="M505" t="s">
        <v>5601</v>
      </c>
    </row>
    <row r="506" spans="1:13">
      <c r="A506" t="s">
        <v>293</v>
      </c>
      <c r="B506" t="s">
        <v>293</v>
      </c>
      <c r="G506" t="s">
        <v>1469</v>
      </c>
      <c r="H506" t="str" cm="1">
        <f t="array" ref="H506">_xlfn.TEXTSPLIT(G506,";")</f>
        <v>BITTER_LEMON</v>
      </c>
      <c r="M506" t="s">
        <v>5602</v>
      </c>
    </row>
    <row r="507" spans="1:13">
      <c r="A507" t="s">
        <v>294</v>
      </c>
      <c r="B507" t="s">
        <v>294</v>
      </c>
      <c r="G507" t="s">
        <v>1506</v>
      </c>
      <c r="H507" t="str" cm="1">
        <f t="array" ref="H507">_xlfn.TEXTSPLIT(G507,";")</f>
        <v>HERBAL</v>
      </c>
      <c r="M507" t="s">
        <v>1000</v>
      </c>
    </row>
    <row r="508" spans="1:13">
      <c r="A508" t="s">
        <v>450</v>
      </c>
      <c r="B508" t="s">
        <v>450</v>
      </c>
      <c r="G508" t="s">
        <v>1478</v>
      </c>
      <c r="H508" t="str" cm="1">
        <f t="array" ref="H508">_xlfn.TEXTSPLIT(G508,";")</f>
        <v>POMEGRANATE</v>
      </c>
      <c r="M508" t="s">
        <v>1085</v>
      </c>
    </row>
    <row r="509" spans="1:13">
      <c r="A509" t="s">
        <v>203</v>
      </c>
      <c r="B509" t="s">
        <v>203</v>
      </c>
      <c r="G509" t="s">
        <v>1479</v>
      </c>
      <c r="H509" t="str" cm="1">
        <f t="array" ref="H509">_xlfn.TEXTSPLIT(G509,";")</f>
        <v>CHAMONILLE</v>
      </c>
      <c r="M509" t="s">
        <v>5603</v>
      </c>
    </row>
    <row r="510" spans="1:13">
      <c r="A510" t="s">
        <v>348</v>
      </c>
      <c r="B510" t="s">
        <v>348</v>
      </c>
      <c r="G510" t="s">
        <v>1493</v>
      </c>
      <c r="H510" t="str" cm="1">
        <f t="array" ref="H510">_xlfn.TEXTSPLIT(G510,";")</f>
        <v>AGRUMES</v>
      </c>
      <c r="M510" t="s">
        <v>6645</v>
      </c>
    </row>
    <row r="511" spans="1:13">
      <c r="A511" t="s">
        <v>295</v>
      </c>
      <c r="B511" t="s">
        <v>295</v>
      </c>
      <c r="G511" t="s">
        <v>882</v>
      </c>
      <c r="H511" t="str" cm="1">
        <f t="array" ref="H511">_xlfn.TEXTSPLIT(G511,";")</f>
        <v>WATERMELON</v>
      </c>
      <c r="M511" t="s">
        <v>6632</v>
      </c>
    </row>
    <row r="512" spans="1:13">
      <c r="A512" t="s">
        <v>1421</v>
      </c>
      <c r="B512" t="s">
        <v>1421</v>
      </c>
      <c r="G512" t="s">
        <v>1975</v>
      </c>
      <c r="H512" t="str" cm="1">
        <f t="array" ref="H512">_xlfn.TEXTSPLIT(G512,";")</f>
        <v>YELLOW</v>
      </c>
      <c r="M512" t="s">
        <v>6594</v>
      </c>
    </row>
    <row r="513" spans="1:16">
      <c r="A513" t="s">
        <v>9493</v>
      </c>
      <c r="B513" t="s">
        <v>9493</v>
      </c>
      <c r="G513" t="s">
        <v>5411</v>
      </c>
      <c r="H513" t="str" cm="1">
        <f t="array" ref="H513:L513">_xlfn.TEXTSPLIT(G513,";")</f>
        <v>CORE</v>
      </c>
      <c r="I513" t="str">
        <v>REGULAR</v>
      </c>
      <c r="J513" t="str">
        <v>ORIGINAL</v>
      </c>
      <c r="K513" t="str">
        <v>REGULAR</v>
      </c>
      <c r="L513" t="str">
        <v>ORIGINAL</v>
      </c>
      <c r="M513" t="s">
        <v>766</v>
      </c>
      <c r="P513" t="s">
        <v>1488</v>
      </c>
    </row>
    <row r="514" spans="1:16">
      <c r="A514" t="s">
        <v>8999</v>
      </c>
      <c r="B514" t="s">
        <v>8999</v>
      </c>
      <c r="G514" t="s">
        <v>5440</v>
      </c>
      <c r="H514" t="str" cm="1">
        <f t="array" ref="H514:J514">_xlfn.TEXTSPLIT(G514,";")</f>
        <v>WHITE</v>
      </c>
      <c r="I514" t="str">
        <v>PASSION</v>
      </c>
      <c r="J514" t="str">
        <v>POMEGRANATE</v>
      </c>
      <c r="M514" t="s">
        <v>900</v>
      </c>
    </row>
    <row r="515" spans="1:16">
      <c r="A515" t="s">
        <v>8973</v>
      </c>
      <c r="B515" t="s">
        <v>8973</v>
      </c>
      <c r="G515" t="s">
        <v>5384</v>
      </c>
      <c r="H515" t="str" cm="1">
        <f t="array" ref="H515:I515">_xlfn.TEXTSPLIT(G515,";")</f>
        <v>PASSION</v>
      </c>
      <c r="I515" t="str">
        <v>TROPICAL</v>
      </c>
      <c r="M515" t="s">
        <v>5716</v>
      </c>
    </row>
    <row r="516" spans="1:16">
      <c r="A516" t="s">
        <v>297</v>
      </c>
      <c r="B516" t="s">
        <v>297</v>
      </c>
      <c r="G516" t="s">
        <v>5382</v>
      </c>
      <c r="H516" t="str" cm="1">
        <f t="array" ref="H516:J516">_xlfn.TEXTSPLIT(G516,";")</f>
        <v>HIBISCUS</v>
      </c>
      <c r="I516" t="str">
        <v>PEACH</v>
      </c>
      <c r="J516" t="str">
        <v>CORE</v>
      </c>
      <c r="M516" t="s">
        <v>5717</v>
      </c>
    </row>
    <row r="517" spans="1:16">
      <c r="A517" t="s">
        <v>7573</v>
      </c>
      <c r="B517" t="s">
        <v>7573</v>
      </c>
      <c r="G517" t="s">
        <v>5385</v>
      </c>
      <c r="H517" t="str" cm="1">
        <f t="array" ref="H517:I517">_xlfn.TEXTSPLIT(G517,";")</f>
        <v>ELDERFLOWER</v>
      </c>
      <c r="I517" t="str">
        <v>BLACK</v>
      </c>
      <c r="M517" t="s">
        <v>8881</v>
      </c>
    </row>
    <row r="518" spans="1:16">
      <c r="A518" t="s">
        <v>298</v>
      </c>
      <c r="B518" t="s">
        <v>298</v>
      </c>
      <c r="G518" t="s">
        <v>5386</v>
      </c>
      <c r="H518" t="str" cm="1">
        <f t="array" ref="H518:I518">_xlfn.TEXTSPLIT(G518,";")</f>
        <v>RASPBERRY</v>
      </c>
      <c r="I518" t="str">
        <v>BERRY</v>
      </c>
      <c r="M518" t="s">
        <v>5718</v>
      </c>
    </row>
    <row r="519" spans="1:16">
      <c r="A519" t="s">
        <v>211</v>
      </c>
      <c r="B519" t="s">
        <v>211</v>
      </c>
      <c r="G519" t="s">
        <v>6807</v>
      </c>
      <c r="H519" t="str" cm="1">
        <f t="array" ref="H519:I519">_xlfn.TEXTSPLIT(G519,";")</f>
        <v>LEMON</v>
      </c>
      <c r="I519" t="str">
        <v>LEMONGRASS</v>
      </c>
      <c r="M519" t="s">
        <v>5719</v>
      </c>
    </row>
    <row r="520" spans="1:16">
      <c r="A520" t="s">
        <v>596</v>
      </c>
      <c r="B520" t="s">
        <v>596</v>
      </c>
      <c r="G520" t="s">
        <v>6810</v>
      </c>
      <c r="H520" t="str" cm="1">
        <f t="array" ref="H520:I520">_xlfn.TEXTSPLIT(G520,";")</f>
        <v>PEACH</v>
      </c>
      <c r="I520" t="str">
        <v>JASMINE</v>
      </c>
      <c r="M520" t="s">
        <v>5720</v>
      </c>
    </row>
    <row r="521" spans="1:16">
      <c r="A521" t="s">
        <v>315</v>
      </c>
      <c r="B521" t="s">
        <v>315</v>
      </c>
      <c r="G521" t="s">
        <v>6615</v>
      </c>
      <c r="H521" t="str" cm="1">
        <f t="array" ref="H521:I521">_xlfn.TEXTSPLIT(G521,";")</f>
        <v>DIPA</v>
      </c>
      <c r="I521" t="str">
        <v>CORE</v>
      </c>
      <c r="M521" t="s">
        <v>5721</v>
      </c>
    </row>
    <row r="522" spans="1:16">
      <c r="A522" t="s">
        <v>9001</v>
      </c>
      <c r="B522" t="s">
        <v>9001</v>
      </c>
      <c r="G522" t="s">
        <v>1999</v>
      </c>
      <c r="H522" t="str" cm="1">
        <f t="array" ref="H522">_xlfn.TEXTSPLIT(G522,";")</f>
        <v>SESSION</v>
      </c>
      <c r="M522" t="s">
        <v>5722</v>
      </c>
    </row>
    <row r="523" spans="1:16">
      <c r="A523" t="s">
        <v>316</v>
      </c>
      <c r="B523" t="s">
        <v>316</v>
      </c>
      <c r="G523" t="s">
        <v>5690</v>
      </c>
      <c r="H523" t="str" cm="1">
        <f t="array" ref="H523">_xlfn.TEXTSPLIT(G523,";")</f>
        <v>IPA &gt; AMERICAN</v>
      </c>
      <c r="M523" t="s">
        <v>5723</v>
      </c>
    </row>
    <row r="524" spans="1:16">
      <c r="A524" t="s">
        <v>8975</v>
      </c>
      <c r="B524" t="s">
        <v>8975</v>
      </c>
      <c r="G524" t="s">
        <v>7853</v>
      </c>
      <c r="H524" t="str" cm="1">
        <f t="array" ref="H524">_xlfn.TEXTSPLIT(G524,";")</f>
        <v>PUNK_IPA</v>
      </c>
      <c r="M524" t="s">
        <v>5724</v>
      </c>
    </row>
    <row r="525" spans="1:16">
      <c r="A525" t="s">
        <v>8977</v>
      </c>
      <c r="B525" t="s">
        <v>8977</v>
      </c>
      <c r="G525" t="s">
        <v>8167</v>
      </c>
      <c r="H525" t="str" cm="1">
        <f t="array" ref="H525">_xlfn.TEXTSPLIT(G525,";")</f>
        <v>KERMESS</v>
      </c>
      <c r="M525" t="s">
        <v>5725</v>
      </c>
    </row>
    <row r="526" spans="1:16">
      <c r="A526" t="s">
        <v>9003</v>
      </c>
      <c r="B526" t="s">
        <v>9003</v>
      </c>
      <c r="G526" t="s">
        <v>8232</v>
      </c>
      <c r="H526" t="str" cm="1">
        <f t="array" ref="H526">_xlfn.TEXTSPLIT(G526,";")</f>
        <v>ABSOLEM</v>
      </c>
      <c r="M526" t="s">
        <v>5726</v>
      </c>
    </row>
    <row r="527" spans="1:16">
      <c r="A527" t="s">
        <v>9515</v>
      </c>
      <c r="B527" t="s">
        <v>9515</v>
      </c>
      <c r="G527" t="s">
        <v>8245</v>
      </c>
      <c r="H527" t="str" cm="1">
        <f t="array" ref="H527">_xlfn.TEXTSPLIT(G527,";")</f>
        <v>HOPPER</v>
      </c>
      <c r="M527" t="s">
        <v>5727</v>
      </c>
    </row>
    <row r="528" spans="1:16">
      <c r="A528" t="s">
        <v>299</v>
      </c>
      <c r="B528" t="s">
        <v>299</v>
      </c>
      <c r="G528" t="s">
        <v>8321</v>
      </c>
      <c r="H528" t="str" cm="1">
        <f t="array" ref="H528">_xlfn.TEXTSPLIT(G528,";")</f>
        <v>REVOLUCION</v>
      </c>
      <c r="M528" t="s">
        <v>5728</v>
      </c>
    </row>
    <row r="529" spans="1:13">
      <c r="A529" t="s">
        <v>300</v>
      </c>
      <c r="B529" t="s">
        <v>300</v>
      </c>
      <c r="G529" t="s">
        <v>8465</v>
      </c>
      <c r="H529" t="str" cm="1">
        <f t="array" ref="H529">_xlfn.TEXTSPLIT(G529,";")</f>
        <v>CHEFS</v>
      </c>
      <c r="M529" t="s">
        <v>5729</v>
      </c>
    </row>
    <row r="530" spans="1:13">
      <c r="A530" t="s">
        <v>9005</v>
      </c>
      <c r="B530" t="s">
        <v>9005</v>
      </c>
      <c r="G530" t="s">
        <v>8488</v>
      </c>
      <c r="H530" t="str" cm="1">
        <f t="array" ref="H530">_xlfn.TEXTSPLIT(G530,";")</f>
        <v>CAROL</v>
      </c>
      <c r="M530" t="s">
        <v>8225</v>
      </c>
    </row>
    <row r="531" spans="1:13">
      <c r="A531" t="s">
        <v>351</v>
      </c>
      <c r="B531" t="s">
        <v>351</v>
      </c>
      <c r="G531" t="s">
        <v>933</v>
      </c>
      <c r="H531" t="str" cm="1">
        <f t="array" ref="H531">_xlfn.TEXTSPLIT(G531,";")</f>
        <v>PALE_ALE</v>
      </c>
      <c r="M531" t="s">
        <v>8463</v>
      </c>
    </row>
    <row r="532" spans="1:13">
      <c r="A532" t="s">
        <v>8979</v>
      </c>
      <c r="B532" t="s">
        <v>8979</v>
      </c>
      <c r="G532" t="s">
        <v>944</v>
      </c>
      <c r="H532" t="str" cm="1">
        <f t="array" ref="H532">_xlfn.TEXTSPLIT(G532,";")</f>
        <v>MASTER_IPA</v>
      </c>
      <c r="M532" t="s">
        <v>5730</v>
      </c>
    </row>
    <row r="533" spans="1:13">
      <c r="A533" t="s">
        <v>598</v>
      </c>
      <c r="B533" t="s">
        <v>598</v>
      </c>
      <c r="G533" t="s">
        <v>7477</v>
      </c>
      <c r="H533" t="str" cm="1">
        <f t="array" ref="H533">_xlfn.TEXTSPLIT(G533,";")</f>
        <v>LOUP</v>
      </c>
      <c r="M533" t="s">
        <v>9996</v>
      </c>
    </row>
    <row r="534" spans="1:13">
      <c r="A534" t="s">
        <v>225</v>
      </c>
      <c r="B534" t="s">
        <v>225</v>
      </c>
      <c r="G534" t="s">
        <v>5691</v>
      </c>
      <c r="H534" t="str" cm="1">
        <f t="array" ref="H534">_xlfn.TEXTSPLIT(G534,";")</f>
        <v>IPA &gt; BELGIAN</v>
      </c>
      <c r="M534" t="s">
        <v>9382</v>
      </c>
    </row>
    <row r="535" spans="1:13">
      <c r="A535" t="s">
        <v>9007</v>
      </c>
      <c r="B535" t="s">
        <v>9007</v>
      </c>
      <c r="G535" t="s">
        <v>7604</v>
      </c>
      <c r="H535" t="str" cm="1">
        <f t="array" ref="H535">_xlfn.TEXTSPLIT(G535,";")</f>
        <v>LUPPO</v>
      </c>
      <c r="M535" t="s">
        <v>10016</v>
      </c>
    </row>
    <row r="536" spans="1:13">
      <c r="A536" t="s">
        <v>599</v>
      </c>
      <c r="B536" t="s">
        <v>599</v>
      </c>
      <c r="G536" t="s">
        <v>5176</v>
      </c>
      <c r="H536" t="str" cm="1">
        <f t="array" ref="H536">_xlfn.TEXTSPLIT(G536,";")</f>
        <v>BITTER</v>
      </c>
      <c r="M536" t="s">
        <v>5731</v>
      </c>
    </row>
    <row r="537" spans="1:13">
      <c r="A537" t="s">
        <v>9009</v>
      </c>
      <c r="B537" t="s">
        <v>9009</v>
      </c>
      <c r="G537" t="s">
        <v>8060</v>
      </c>
      <c r="H537" t="str" cm="1">
        <f t="array" ref="H537">_xlfn.TEXTSPLIT(G537,";")</f>
        <v>AMER</v>
      </c>
      <c r="M537" t="s">
        <v>5732</v>
      </c>
    </row>
    <row r="538" spans="1:13">
      <c r="A538" t="s">
        <v>229</v>
      </c>
      <c r="B538" t="s">
        <v>229</v>
      </c>
      <c r="G538" t="s">
        <v>939</v>
      </c>
      <c r="H538" t="str" cm="1">
        <f t="array" ref="H538">_xlfn.TEXTSPLIT(G538,";")</f>
        <v>TRIPEL_HOP</v>
      </c>
      <c r="M538" t="s">
        <v>5733</v>
      </c>
    </row>
    <row r="539" spans="1:13">
      <c r="A539" t="s">
        <v>9011</v>
      </c>
      <c r="B539" t="s">
        <v>9011</v>
      </c>
      <c r="G539" t="s">
        <v>8448</v>
      </c>
      <c r="H539" t="str" cm="1">
        <f t="array" ref="H539:I539">_xlfn.TEXTSPLIT(G539,";")</f>
        <v>IPA</v>
      </c>
      <c r="I539" t="str">
        <v>WHITE</v>
      </c>
      <c r="M539" t="s">
        <v>945</v>
      </c>
    </row>
    <row r="540" spans="1:13">
      <c r="A540" t="s">
        <v>17</v>
      </c>
      <c r="B540" t="s">
        <v>17</v>
      </c>
      <c r="G540" t="s">
        <v>8148</v>
      </c>
      <c r="H540" t="str" cm="1">
        <f t="array" ref="H540">_xlfn.TEXTSPLIT(G540,";")</f>
        <v>HOLY</v>
      </c>
      <c r="M540" t="s">
        <v>930</v>
      </c>
    </row>
    <row r="541" spans="1:13">
      <c r="A541" t="s">
        <v>7771</v>
      </c>
      <c r="B541" t="s">
        <v>7771</v>
      </c>
      <c r="G541" t="s">
        <v>8764</v>
      </c>
      <c r="H541" t="str" cm="1">
        <f t="array" ref="H541">_xlfn.TEXTSPLIT(G541,";")</f>
        <v>HOUBLON</v>
      </c>
      <c r="M541" t="s">
        <v>7377</v>
      </c>
    </row>
    <row r="542" spans="1:13">
      <c r="A542" t="s">
        <v>249</v>
      </c>
      <c r="B542" t="s">
        <v>249</v>
      </c>
      <c r="G542" t="s">
        <v>9222</v>
      </c>
      <c r="H542" t="str" cm="1">
        <f t="array" ref="H542:I542">_xlfn.TEXTSPLIT(G542,";")</f>
        <v>HOP</v>
      </c>
      <c r="I542" t="str">
        <v>IPA</v>
      </c>
      <c r="M542" t="s">
        <v>5734</v>
      </c>
    </row>
    <row r="543" spans="1:13">
      <c r="A543" t="s">
        <v>9029</v>
      </c>
      <c r="B543" t="s">
        <v>9029</v>
      </c>
      <c r="G543" t="s">
        <v>9284</v>
      </c>
      <c r="H543" t="str" cm="1">
        <f t="array" ref="H543">_xlfn.TEXTSPLIT(G543,";")</f>
        <v>GROTTEN</v>
      </c>
      <c r="M543" t="s">
        <v>5735</v>
      </c>
    </row>
    <row r="544" spans="1:13">
      <c r="A544" t="s">
        <v>7930</v>
      </c>
      <c r="B544" t="s">
        <v>7930</v>
      </c>
      <c r="G544" t="s">
        <v>5692</v>
      </c>
      <c r="H544" t="str" cm="1">
        <f t="array" ref="H544">_xlfn.TEXTSPLIT(G544,";")</f>
        <v>IPA &gt; BLACK_/_CASCADIAN_DARK_ALE</v>
      </c>
      <c r="M544" t="s">
        <v>5736</v>
      </c>
    </row>
    <row r="545" spans="1:13">
      <c r="A545" t="s">
        <v>533</v>
      </c>
      <c r="B545" t="s">
        <v>533</v>
      </c>
      <c r="G545" t="s">
        <v>5693</v>
      </c>
      <c r="H545" t="str" cm="1">
        <f t="array" ref="H545">_xlfn.TEXTSPLIT(G545,";")</f>
        <v>IPA &gt; BRETT</v>
      </c>
      <c r="M545" t="s">
        <v>5737</v>
      </c>
    </row>
    <row r="546" spans="1:13">
      <c r="A546" t="s">
        <v>7961</v>
      </c>
      <c r="B546" t="s">
        <v>7961</v>
      </c>
      <c r="G546" t="s">
        <v>5694</v>
      </c>
      <c r="H546" t="str" cm="1">
        <f t="array" ref="H546">_xlfn.TEXTSPLIT(G546,";")</f>
        <v>IPA &gt; BROWN</v>
      </c>
      <c r="M546" t="s">
        <v>5738</v>
      </c>
    </row>
    <row r="547" spans="1:13">
      <c r="A547" t="s">
        <v>8002</v>
      </c>
      <c r="B547" t="s">
        <v>8002</v>
      </c>
      <c r="G547" t="s">
        <v>5695</v>
      </c>
      <c r="H547" t="str" cm="1">
        <f t="array" ref="H547">_xlfn.TEXTSPLIT(G547,";")</f>
        <v>IPA &gt; BRUT</v>
      </c>
      <c r="M547" t="s">
        <v>863</v>
      </c>
    </row>
    <row r="548" spans="1:13">
      <c r="A548" t="s">
        <v>8006</v>
      </c>
      <c r="B548" t="s">
        <v>8006</v>
      </c>
      <c r="G548" t="s">
        <v>5696</v>
      </c>
      <c r="H548" t="str" cm="1">
        <f t="array" ref="H548">_xlfn.TEXTSPLIT(G548,";")</f>
        <v>IPA &gt; COLD</v>
      </c>
      <c r="M548" t="s">
        <v>5739</v>
      </c>
    </row>
    <row r="549" spans="1:13">
      <c r="A549" t="s">
        <v>8014</v>
      </c>
      <c r="B549" t="s">
        <v>8014</v>
      </c>
      <c r="G549" t="s">
        <v>5697</v>
      </c>
      <c r="H549" t="str" cm="1">
        <f t="array" ref="H549">_xlfn.TEXTSPLIT(G549,";")</f>
        <v>IPA &gt; ENGLISH</v>
      </c>
      <c r="M549" t="s">
        <v>873</v>
      </c>
    </row>
    <row r="550" spans="1:13">
      <c r="A550" t="s">
        <v>679</v>
      </c>
      <c r="B550" t="s">
        <v>679</v>
      </c>
      <c r="G550" t="s">
        <v>5698</v>
      </c>
      <c r="H550" t="str" cm="1">
        <f t="array" ref="H550">_xlfn.TEXTSPLIT(G550,";")</f>
        <v>IPA &gt; FARMHOUSE</v>
      </c>
      <c r="M550" t="s">
        <v>869</v>
      </c>
    </row>
    <row r="551" spans="1:13">
      <c r="A551" t="s">
        <v>619</v>
      </c>
      <c r="B551" t="s">
        <v>619</v>
      </c>
      <c r="G551" t="s">
        <v>5699</v>
      </c>
      <c r="H551" t="str" cm="1">
        <f t="array" ref="H551">_xlfn.TEXTSPLIT(G551,";")</f>
        <v>IPA &gt; FRUITED</v>
      </c>
      <c r="M551" t="s">
        <v>5740</v>
      </c>
    </row>
    <row r="552" spans="1:13">
      <c r="A552" t="s">
        <v>55</v>
      </c>
      <c r="B552" t="s">
        <v>55</v>
      </c>
      <c r="G552" t="s">
        <v>5700</v>
      </c>
      <c r="H552" t="str" cm="1">
        <f t="array" ref="H552">_xlfn.TEXTSPLIT(G552,";")</f>
        <v>IPA &gt; IMPERIAL_/_DOUBLE</v>
      </c>
      <c r="M552" t="s">
        <v>5741</v>
      </c>
    </row>
    <row r="553" spans="1:13">
      <c r="A553" t="s">
        <v>8236</v>
      </c>
      <c r="B553" t="s">
        <v>8236</v>
      </c>
      <c r="G553" t="s">
        <v>8817</v>
      </c>
      <c r="H553" t="str" cm="1">
        <f t="array" ref="H553">_xlfn.TEXTSPLIT(G553,";")</f>
        <v>THEOREME</v>
      </c>
      <c r="M553" t="s">
        <v>8045</v>
      </c>
    </row>
    <row r="554" spans="1:13">
      <c r="A554" t="s">
        <v>606</v>
      </c>
      <c r="B554" t="s">
        <v>606</v>
      </c>
      <c r="G554" t="s">
        <v>8813</v>
      </c>
      <c r="H554" t="str" cm="1">
        <f t="array" ref="H554">_xlfn.TEXTSPLIT(G554,";")</f>
        <v>ASTRONAUT</v>
      </c>
      <c r="M554" t="s">
        <v>10024</v>
      </c>
    </row>
    <row r="555" spans="1:13">
      <c r="A555" t="s">
        <v>77</v>
      </c>
      <c r="B555" t="s">
        <v>77</v>
      </c>
      <c r="G555" t="s">
        <v>220</v>
      </c>
      <c r="H555" t="str" cm="1">
        <f t="array" ref="H555">_xlfn.TEXTSPLIT(G555,";")</f>
        <v>WILDEBEEST</v>
      </c>
      <c r="M555" t="s">
        <v>9095</v>
      </c>
    </row>
    <row r="556" spans="1:13">
      <c r="A556" t="s">
        <v>8379</v>
      </c>
      <c r="B556" t="s">
        <v>8379</v>
      </c>
      <c r="G556" t="s">
        <v>5701</v>
      </c>
      <c r="H556" t="str" cm="1">
        <f t="array" ref="H556">_xlfn.TEXTSPLIT(G556,";")</f>
        <v>IPA &gt; IMPERIAL_/_DOUBLE_BLACK</v>
      </c>
      <c r="M556" t="s">
        <v>861</v>
      </c>
    </row>
    <row r="557" spans="1:13">
      <c r="A557" t="s">
        <v>1903</v>
      </c>
      <c r="B557" t="s">
        <v>1903</v>
      </c>
      <c r="G557" t="s">
        <v>10036</v>
      </c>
      <c r="H557" t="str" cm="1">
        <f t="array" ref="H557">_xlfn.TEXTSPLIT(G557,";")</f>
        <v>WESTKUST</v>
      </c>
      <c r="M557" t="s">
        <v>10022</v>
      </c>
    </row>
    <row r="558" spans="1:13">
      <c r="A558" t="s">
        <v>8634</v>
      </c>
      <c r="B558" t="s">
        <v>8634</v>
      </c>
      <c r="G558" t="s">
        <v>5702</v>
      </c>
      <c r="H558" t="str" cm="1">
        <f t="array" ref="H558">_xlfn.TEXTSPLIT(G558,";")</f>
        <v>IPA &gt; IMPERIAL_/_DOUBLE_MILKSHAKE</v>
      </c>
      <c r="M558" t="s">
        <v>7419</v>
      </c>
    </row>
    <row r="559" spans="1:13">
      <c r="A559" t="s">
        <v>8770</v>
      </c>
      <c r="B559" t="s">
        <v>8770</v>
      </c>
      <c r="G559" t="s">
        <v>5703</v>
      </c>
      <c r="H559" t="str" cm="1">
        <f t="array" ref="H559">_xlfn.TEXTSPLIT(G559,";")</f>
        <v>IPA &gt; IMPERIAL_/_DOUBLE_NEW_ENGLAND_/_HAZY</v>
      </c>
      <c r="M559" t="s">
        <v>5742</v>
      </c>
    </row>
    <row r="560" spans="1:13">
      <c r="A560" t="s">
        <v>8805</v>
      </c>
      <c r="B560" t="s">
        <v>8805</v>
      </c>
      <c r="G560" t="s">
        <v>5704</v>
      </c>
      <c r="H560" t="str" cm="1">
        <f t="array" ref="H560">_xlfn.TEXTSPLIT(G560,";")</f>
        <v>IPA &gt; MILKSHAKE</v>
      </c>
      <c r="M560" t="s">
        <v>7781</v>
      </c>
    </row>
    <row r="561" spans="1:13">
      <c r="A561" t="s">
        <v>8900</v>
      </c>
      <c r="B561" t="s">
        <v>8900</v>
      </c>
      <c r="G561" t="s">
        <v>5705</v>
      </c>
      <c r="H561" t="str" cm="1">
        <f t="array" ref="H561">_xlfn.TEXTSPLIT(G561,";")</f>
        <v>IPA &gt; NEW_ENGLAND_/_HAZY</v>
      </c>
      <c r="M561" t="s">
        <v>7783</v>
      </c>
    </row>
    <row r="562" spans="1:13">
      <c r="A562" t="s">
        <v>9115</v>
      </c>
      <c r="B562" t="s">
        <v>9115</v>
      </c>
      <c r="G562" t="s">
        <v>9994</v>
      </c>
      <c r="H562" t="str" cm="1">
        <f t="array" ref="H562">_xlfn.TEXTSPLIT(G562,";")</f>
        <v>JUICE_PUNCH</v>
      </c>
      <c r="M562" t="s">
        <v>7785</v>
      </c>
    </row>
    <row r="563" spans="1:13">
      <c r="A563" t="s">
        <v>812</v>
      </c>
      <c r="B563" t="s">
        <v>812</v>
      </c>
      <c r="G563" t="s">
        <v>745</v>
      </c>
      <c r="H563" t="str" cm="1">
        <f t="array" ref="H563">_xlfn.TEXTSPLIT(G563,";")</f>
        <v>NEIPA</v>
      </c>
      <c r="M563" t="s">
        <v>7787</v>
      </c>
    </row>
    <row r="564" spans="1:13">
      <c r="A564" t="s">
        <v>615</v>
      </c>
      <c r="B564" t="s">
        <v>615</v>
      </c>
      <c r="G564" t="s">
        <v>5366</v>
      </c>
      <c r="H564" t="str" cm="1">
        <f t="array" ref="H564">_xlfn.TEXTSPLIT(G564,";")</f>
        <v>HAZY</v>
      </c>
      <c r="M564" t="s">
        <v>7789</v>
      </c>
    </row>
    <row r="565" spans="1:13">
      <c r="A565" t="s">
        <v>9357</v>
      </c>
      <c r="B565" t="s">
        <v>9357</v>
      </c>
      <c r="G565" t="s">
        <v>9376</v>
      </c>
      <c r="H565" t="str" cm="1">
        <f t="array" ref="H565">_xlfn.TEXTSPLIT(G565,";")</f>
        <v>CRUSH</v>
      </c>
      <c r="M565" t="s">
        <v>7943</v>
      </c>
    </row>
    <row r="566" spans="1:13">
      <c r="A566" t="s">
        <v>445</v>
      </c>
      <c r="B566" t="s">
        <v>445</v>
      </c>
      <c r="G566" t="s">
        <v>956</v>
      </c>
      <c r="H566" t="str" cm="1">
        <f t="array" ref="H566">_xlfn.TEXTSPLIT(G566,";")</f>
        <v>ZESTRA</v>
      </c>
      <c r="M566" t="s">
        <v>7945</v>
      </c>
    </row>
    <row r="567" spans="1:13">
      <c r="A567" t="s">
        <v>9417</v>
      </c>
      <c r="B567" t="s">
        <v>9417</v>
      </c>
      <c r="G567" t="s">
        <v>7022</v>
      </c>
      <c r="H567" t="str" cm="1">
        <f t="array" ref="H567:I567">_xlfn.TEXTSPLIT(G567,";")</f>
        <v>MAGMA</v>
      </c>
      <c r="I567" t="str">
        <v>IPA</v>
      </c>
      <c r="M567" t="s">
        <v>866</v>
      </c>
    </row>
    <row r="568" spans="1:13">
      <c r="A568" t="s">
        <v>595</v>
      </c>
      <c r="B568" t="s">
        <v>595</v>
      </c>
      <c r="G568" t="s">
        <v>940</v>
      </c>
      <c r="H568" t="str" cm="1">
        <f t="array" ref="H568">_xlfn.TEXTSPLIT(G568,";")</f>
        <v>NEW_ENGLAND_IPA</v>
      </c>
      <c r="M568" t="s">
        <v>6444</v>
      </c>
    </row>
    <row r="569" spans="1:13">
      <c r="A569" t="s">
        <v>453</v>
      </c>
      <c r="B569" t="s">
        <v>453</v>
      </c>
      <c r="G569" t="s">
        <v>5706</v>
      </c>
      <c r="H569" t="str" cm="1">
        <f t="array" ref="H569">_xlfn.TEXTSPLIT(G569,";")</f>
        <v>IPA &gt; NEW_ZEALAND</v>
      </c>
      <c r="M569" t="s">
        <v>10026</v>
      </c>
    </row>
    <row r="570" spans="1:13">
      <c r="A570" t="s">
        <v>382</v>
      </c>
      <c r="B570" t="s">
        <v>382</v>
      </c>
      <c r="G570" t="s">
        <v>5250</v>
      </c>
      <c r="H570" t="str" cm="1">
        <f t="array" ref="H570:I570">_xlfn.TEXTSPLIT(G570,";")</f>
        <v>CORE</v>
      </c>
      <c r="I570" t="str">
        <v>IPA</v>
      </c>
      <c r="M570" t="s">
        <v>1995</v>
      </c>
    </row>
    <row r="571" spans="1:13">
      <c r="A571" t="s">
        <v>352</v>
      </c>
      <c r="B571" t="s">
        <v>352</v>
      </c>
      <c r="G571" t="s">
        <v>5497</v>
      </c>
      <c r="H571" t="str" cm="1">
        <f t="array" ref="H571:I571">_xlfn.TEXTSPLIT(G571,";")</f>
        <v>HOP</v>
      </c>
      <c r="I571" t="str">
        <v>TRIPEL</v>
      </c>
      <c r="M571" t="s">
        <v>10027</v>
      </c>
    </row>
    <row r="572" spans="1:13">
      <c r="A572" t="s">
        <v>392</v>
      </c>
      <c r="B572" t="s">
        <v>392</v>
      </c>
      <c r="G572" t="s">
        <v>6965</v>
      </c>
      <c r="H572" t="str" cm="1">
        <f t="array" ref="H572:J572">_xlfn.TEXTSPLIT(G572,";")</f>
        <v>IPA &gt; OTHER</v>
      </c>
      <c r="I572" t="str">
        <v>IPA</v>
      </c>
      <c r="J572" t="str">
        <v>HOP</v>
      </c>
      <c r="M572" t="s">
        <v>9239</v>
      </c>
    </row>
    <row r="573" spans="1:13">
      <c r="A573" t="s">
        <v>7659</v>
      </c>
      <c r="B573" t="s">
        <v>7659</v>
      </c>
      <c r="G573" t="s">
        <v>5707</v>
      </c>
      <c r="H573" t="str" cm="1">
        <f t="array" ref="H573">_xlfn.TEXTSPLIT(G573,";")</f>
        <v>IPA &gt; OTHER</v>
      </c>
      <c r="M573" t="s">
        <v>5743</v>
      </c>
    </row>
    <row r="574" spans="1:13">
      <c r="A574" t="s">
        <v>8123</v>
      </c>
      <c r="B574" t="s">
        <v>8123</v>
      </c>
      <c r="G574" t="s">
        <v>7845</v>
      </c>
      <c r="H574" t="str" cm="1">
        <f t="array" ref="H574">_xlfn.TEXTSPLIT(G574,";")</f>
        <v>PUNK</v>
      </c>
      <c r="M574" t="s">
        <v>890</v>
      </c>
    </row>
    <row r="575" spans="1:13">
      <c r="A575" t="s">
        <v>682</v>
      </c>
      <c r="B575" t="s">
        <v>682</v>
      </c>
      <c r="G575" t="s">
        <v>7849</v>
      </c>
      <c r="H575" t="str" cm="1">
        <f t="array" ref="H575">_xlfn.TEXTSPLIT(G575,";")</f>
        <v>ELVIS</v>
      </c>
      <c r="M575" t="s">
        <v>5744</v>
      </c>
    </row>
    <row r="576" spans="1:13">
      <c r="A576" t="s">
        <v>85</v>
      </c>
      <c r="B576" t="s">
        <v>85</v>
      </c>
      <c r="G576" t="s">
        <v>941</v>
      </c>
      <c r="H576" t="str" cm="1">
        <f t="array" ref="H576">_xlfn.TEXTSPLIT(G576,";")</f>
        <v>CITRA</v>
      </c>
      <c r="M576" t="s">
        <v>5745</v>
      </c>
    </row>
    <row r="577" spans="1:13">
      <c r="A577" t="s">
        <v>611</v>
      </c>
      <c r="B577" t="s">
        <v>611</v>
      </c>
      <c r="G577" t="s">
        <v>8107</v>
      </c>
      <c r="H577" t="str" cm="1">
        <f t="array" ref="H577">_xlfn.TEXTSPLIT(G577,";")</f>
        <v>CITADELLA</v>
      </c>
      <c r="M577" t="s">
        <v>6777</v>
      </c>
    </row>
    <row r="578" spans="1:13">
      <c r="A578" t="s">
        <v>648</v>
      </c>
      <c r="B578" t="s">
        <v>648</v>
      </c>
      <c r="G578" t="s">
        <v>8490</v>
      </c>
      <c r="H578" t="str" cm="1">
        <f t="array" ref="H578">_xlfn.TEXTSPLIT(G578,";")</f>
        <v>MAX</v>
      </c>
      <c r="M578" t="s">
        <v>6754</v>
      </c>
    </row>
    <row r="579" spans="1:13">
      <c r="A579" t="s">
        <v>8476</v>
      </c>
      <c r="B579" t="s">
        <v>8476</v>
      </c>
      <c r="G579" t="s">
        <v>6601</v>
      </c>
      <c r="H579" t="str" cm="1">
        <f t="array" ref="H579">_xlfn.TEXTSPLIT(G579,";")</f>
        <v>POLAR</v>
      </c>
      <c r="M579" t="s">
        <v>6791</v>
      </c>
    </row>
    <row r="580" spans="1:13">
      <c r="A580" t="s">
        <v>133</v>
      </c>
      <c r="B580" t="s">
        <v>133</v>
      </c>
      <c r="G580" t="s">
        <v>8493</v>
      </c>
      <c r="H580" t="str" cm="1">
        <f t="array" ref="H580">_xlfn.TEXTSPLIT(G580,";")</f>
        <v>VOLVA</v>
      </c>
      <c r="M580" t="s">
        <v>6709</v>
      </c>
    </row>
    <row r="581" spans="1:13">
      <c r="A581" t="s">
        <v>9067</v>
      </c>
      <c r="B581" t="s">
        <v>9067</v>
      </c>
      <c r="G581" t="s">
        <v>8780</v>
      </c>
      <c r="H581" t="str" cm="1">
        <f t="array" ref="H581">_xlfn.TEXTSPLIT(G581,";")</f>
        <v>MAXIMUS</v>
      </c>
      <c r="M581" t="s">
        <v>6843</v>
      </c>
    </row>
    <row r="582" spans="1:13">
      <c r="A582" t="s">
        <v>9074</v>
      </c>
      <c r="B582" t="s">
        <v>9074</v>
      </c>
      <c r="G582" t="s">
        <v>8782</v>
      </c>
      <c r="H582" t="str" cm="1">
        <f t="array" ref="H582">_xlfn.TEXTSPLIT(G582,";")</f>
        <v>SUCKS</v>
      </c>
      <c r="M582" t="s">
        <v>6823</v>
      </c>
    </row>
    <row r="583" spans="1:13">
      <c r="A583" t="s">
        <v>153</v>
      </c>
      <c r="B583" t="s">
        <v>153</v>
      </c>
      <c r="G583" t="s">
        <v>8784</v>
      </c>
      <c r="H583" t="str" cm="1">
        <f t="array" ref="H583">_xlfn.TEXTSPLIT(G583,";")</f>
        <v>SUPER</v>
      </c>
      <c r="M583" t="s">
        <v>6733</v>
      </c>
    </row>
    <row r="584" spans="1:13">
      <c r="A584" t="s">
        <v>285</v>
      </c>
      <c r="B584" t="s">
        <v>285</v>
      </c>
      <c r="G584" t="s">
        <v>997</v>
      </c>
      <c r="H584" t="str" cm="1">
        <f t="array" ref="H584">_xlfn.TEXTSPLIT(G584,";")</f>
        <v>BOURBON</v>
      </c>
      <c r="M584" t="s">
        <v>6928</v>
      </c>
    </row>
    <row r="585" spans="1:13">
      <c r="A585" t="s">
        <v>588</v>
      </c>
      <c r="B585" t="s">
        <v>588</v>
      </c>
      <c r="G585" t="s">
        <v>889</v>
      </c>
      <c r="H585" t="str" cm="1">
        <f t="array" ref="H585">_xlfn.TEXTSPLIT(G585,";")</f>
        <v>FRUCTUS</v>
      </c>
      <c r="M585" t="s">
        <v>6737</v>
      </c>
    </row>
    <row r="586" spans="1:13">
      <c r="A586" t="s">
        <v>8435</v>
      </c>
      <c r="B586" t="s">
        <v>8435</v>
      </c>
      <c r="G586" t="s">
        <v>10002</v>
      </c>
      <c r="H586" t="str" cm="1">
        <f t="array" ref="H586">_xlfn.TEXTSPLIT(G586,";")</f>
        <v>DRY_HOPPING</v>
      </c>
      <c r="M586" t="s">
        <v>6739</v>
      </c>
    </row>
    <row r="587" spans="1:13">
      <c r="A587" t="s">
        <v>7535</v>
      </c>
      <c r="B587" t="s">
        <v>7535</v>
      </c>
      <c r="G587" t="s">
        <v>9115</v>
      </c>
      <c r="H587" t="str" cm="1">
        <f t="array" ref="H587">_xlfn.TEXTSPLIT(G587,";")</f>
        <v>PEAK</v>
      </c>
      <c r="M587" t="s">
        <v>6746</v>
      </c>
    </row>
    <row r="588" spans="1:13">
      <c r="A588" t="s">
        <v>7539</v>
      </c>
      <c r="B588" t="s">
        <v>7539</v>
      </c>
      <c r="G588" t="s">
        <v>5544</v>
      </c>
      <c r="H588" t="str" cm="1">
        <f t="array" ref="H588">_xlfn.TEXTSPLIT(G588,";")</f>
        <v>PLAY</v>
      </c>
      <c r="M588" t="s">
        <v>6893</v>
      </c>
    </row>
    <row r="589" spans="1:13">
      <c r="A589" t="s">
        <v>1013</v>
      </c>
      <c r="B589" t="s">
        <v>1013</v>
      </c>
      <c r="G589">
        <v>60</v>
      </c>
      <c r="H589" t="str" cm="1">
        <f t="array" ref="H589">_xlfn.TEXTSPLIT(G589,";")</f>
        <v>60</v>
      </c>
      <c r="M589" t="s">
        <v>5454</v>
      </c>
    </row>
    <row r="590" spans="1:13">
      <c r="A590" t="s">
        <v>618</v>
      </c>
      <c r="B590" t="s">
        <v>618</v>
      </c>
      <c r="G590">
        <v>90</v>
      </c>
      <c r="H590" t="str" cm="1">
        <f t="array" ref="H590">_xlfn.TEXTSPLIT(G590,";")</f>
        <v>90</v>
      </c>
      <c r="M590" t="s">
        <v>1474</v>
      </c>
    </row>
    <row r="591" spans="1:13">
      <c r="A591" t="s">
        <v>397</v>
      </c>
      <c r="B591" t="s">
        <v>397</v>
      </c>
      <c r="G591">
        <v>30</v>
      </c>
      <c r="H591" t="str" cm="1">
        <f t="array" ref="H591">_xlfn.TEXTSPLIT(G591,";")</f>
        <v>30</v>
      </c>
      <c r="M591" t="s">
        <v>6936</v>
      </c>
    </row>
    <row r="592" spans="1:13">
      <c r="A592" t="s">
        <v>251</v>
      </c>
      <c r="B592" t="s">
        <v>251</v>
      </c>
      <c r="G592" t="s">
        <v>10034</v>
      </c>
      <c r="H592" t="str" cm="1">
        <f t="array" ref="H592">_xlfn.TEXTSPLIT(G592,";")</f>
        <v>BLING</v>
      </c>
      <c r="M592" t="s">
        <v>5604</v>
      </c>
    </row>
    <row r="593" spans="1:13">
      <c r="A593" t="s">
        <v>932</v>
      </c>
      <c r="B593" t="s">
        <v>932</v>
      </c>
      <c r="G593" t="s">
        <v>1948</v>
      </c>
      <c r="H593" t="str" cm="1">
        <f t="array" ref="H593">_xlfn.TEXTSPLIT(G593,";")</f>
        <v>DRY_HOPPED</v>
      </c>
      <c r="M593" t="s">
        <v>5605</v>
      </c>
    </row>
    <row r="594" spans="1:13">
      <c r="A594" t="s">
        <v>8000</v>
      </c>
      <c r="B594" t="s">
        <v>8000</v>
      </c>
      <c r="G594" t="s">
        <v>7023</v>
      </c>
      <c r="H594" t="str" cm="1">
        <f t="array" ref="H594:J594">_xlfn.TEXTSPLIT(G594,";")</f>
        <v>IMPERIAL_IPA</v>
      </c>
      <c r="I594" t="str">
        <v>IPA</v>
      </c>
      <c r="J594" t="str">
        <v>CORE</v>
      </c>
      <c r="M594" t="s">
        <v>5606</v>
      </c>
    </row>
    <row r="595" spans="1:13">
      <c r="A595" t="s">
        <v>1754</v>
      </c>
      <c r="B595" t="s">
        <v>1754</v>
      </c>
      <c r="G595" t="s">
        <v>5708</v>
      </c>
      <c r="H595" t="str" cm="1">
        <f t="array" ref="H595">_xlfn.TEXTSPLIT(G595,";")</f>
        <v>IPA &gt; QUADRUPLE</v>
      </c>
      <c r="M595" t="s">
        <v>5607</v>
      </c>
    </row>
    <row r="596" spans="1:13">
      <c r="A596" t="s">
        <v>585</v>
      </c>
      <c r="B596" t="s">
        <v>585</v>
      </c>
      <c r="G596" t="s">
        <v>5709</v>
      </c>
      <c r="H596" t="str" cm="1">
        <f t="array" ref="H596">_xlfn.TEXTSPLIT(G596,";")</f>
        <v>IPA &gt; RED</v>
      </c>
      <c r="M596" t="s">
        <v>123</v>
      </c>
    </row>
    <row r="597" spans="1:13">
      <c r="A597" t="s">
        <v>257</v>
      </c>
      <c r="B597" t="s">
        <v>257</v>
      </c>
      <c r="G597" t="s">
        <v>5710</v>
      </c>
      <c r="H597" t="str" cm="1">
        <f t="array" ref="H597">_xlfn.TEXTSPLIT(G597,";")</f>
        <v>IPA &gt; RYE</v>
      </c>
      <c r="M597" t="s">
        <v>5746</v>
      </c>
    </row>
    <row r="598" spans="1:13">
      <c r="A598" t="s">
        <v>403</v>
      </c>
      <c r="B598" t="s">
        <v>403</v>
      </c>
      <c r="G598" t="s">
        <v>5711</v>
      </c>
      <c r="H598" t="str" cm="1">
        <f t="array" ref="H598">_xlfn.TEXTSPLIT(G598,";")</f>
        <v>IPA &gt; SESSION</v>
      </c>
      <c r="M598" t="s">
        <v>5747</v>
      </c>
    </row>
    <row r="599" spans="1:13">
      <c r="A599" t="s">
        <v>1261</v>
      </c>
      <c r="B599" t="s">
        <v>1261</v>
      </c>
      <c r="G599" t="s">
        <v>7847</v>
      </c>
      <c r="H599" t="str" cm="1">
        <f t="array" ref="H599">_xlfn.TEXTSPLIT(G599,";")</f>
        <v>NANNY</v>
      </c>
      <c r="M599" t="s">
        <v>5748</v>
      </c>
    </row>
    <row r="600" spans="1:13">
      <c r="A600" t="s">
        <v>81</v>
      </c>
      <c r="B600" t="s">
        <v>81</v>
      </c>
      <c r="G600" t="s">
        <v>7851</v>
      </c>
      <c r="H600" t="str" cm="1">
        <f t="array" ref="H600">_xlfn.TEXTSPLIT(G600,";")</f>
        <v>PONY</v>
      </c>
      <c r="M600" t="s">
        <v>5749</v>
      </c>
    </row>
    <row r="601" spans="1:13">
      <c r="A601" t="s">
        <v>328</v>
      </c>
      <c r="B601" t="s">
        <v>328</v>
      </c>
      <c r="G601" t="s">
        <v>7855</v>
      </c>
      <c r="H601" t="str" cm="1">
        <f t="array" ref="H601">_xlfn.TEXTSPLIT(G601,";")</f>
        <v>SESSION_IPA</v>
      </c>
      <c r="M601" t="s">
        <v>5750</v>
      </c>
    </row>
    <row r="602" spans="1:13">
      <c r="A602" t="s">
        <v>411</v>
      </c>
      <c r="B602" t="s">
        <v>411</v>
      </c>
      <c r="G602" t="s">
        <v>8266</v>
      </c>
      <c r="H602" t="str" cm="1">
        <f t="array" ref="H602">_xlfn.TEXTSPLIT(G602,";")</f>
        <v>RHODESIAN</v>
      </c>
      <c r="M602" t="s">
        <v>5751</v>
      </c>
    </row>
    <row r="603" spans="1:13">
      <c r="A603" t="s">
        <v>420</v>
      </c>
      <c r="B603" t="s">
        <v>420</v>
      </c>
      <c r="G603" t="s">
        <v>8288</v>
      </c>
      <c r="H603" t="str" cm="1">
        <f t="array" ref="H603:I603">_xlfn.TEXTSPLIT(G603,";")</f>
        <v>SPASH</v>
      </c>
      <c r="I603" t="str">
        <v>IPA</v>
      </c>
      <c r="M603" t="s">
        <v>5752</v>
      </c>
    </row>
    <row r="604" spans="1:13">
      <c r="A604" t="s">
        <v>672</v>
      </c>
      <c r="B604" t="s">
        <v>672</v>
      </c>
      <c r="G604" t="s">
        <v>8819</v>
      </c>
      <c r="H604" t="str" cm="1">
        <f t="array" ref="H604">_xlfn.TEXTSPLIT(G604,";")</f>
        <v>LANTERNE</v>
      </c>
      <c r="M604" t="s">
        <v>5753</v>
      </c>
    </row>
    <row r="605" spans="1:13">
      <c r="A605" t="s">
        <v>103</v>
      </c>
      <c r="B605" t="s">
        <v>103</v>
      </c>
      <c r="G605" t="s">
        <v>9435</v>
      </c>
      <c r="H605" t="str" cm="1">
        <f t="array" ref="H605">_xlfn.TEXTSPLIT(G605,";")</f>
        <v>NEED</v>
      </c>
      <c r="M605" t="s">
        <v>5754</v>
      </c>
    </row>
    <row r="606" spans="1:13">
      <c r="A606" t="s">
        <v>425</v>
      </c>
      <c r="B606" t="s">
        <v>425</v>
      </c>
      <c r="G606" t="s">
        <v>958</v>
      </c>
      <c r="H606" t="str" cm="1">
        <f t="array" ref="H606">_xlfn.TEXTSPLIT(G606,";")</f>
        <v>NADA_IPA</v>
      </c>
      <c r="M606" t="s">
        <v>5755</v>
      </c>
    </row>
    <row r="607" spans="1:13">
      <c r="A607" t="s">
        <v>8722</v>
      </c>
      <c r="B607" t="s">
        <v>8722</v>
      </c>
      <c r="G607" t="s">
        <v>5712</v>
      </c>
      <c r="H607" t="str" cm="1">
        <f t="array" ref="H607">_xlfn.TEXTSPLIT(G607,";")</f>
        <v>IPA &gt; SOUR</v>
      </c>
      <c r="M607" t="s">
        <v>5756</v>
      </c>
    </row>
    <row r="608" spans="1:13">
      <c r="A608" t="s">
        <v>8745</v>
      </c>
      <c r="B608" t="s">
        <v>8745</v>
      </c>
      <c r="G608" t="s">
        <v>5713</v>
      </c>
      <c r="H608" t="str" cm="1">
        <f t="array" ref="H608">_xlfn.TEXTSPLIT(G608,";")</f>
        <v>IPA &gt; TRIPLE</v>
      </c>
      <c r="M608" t="s">
        <v>5757</v>
      </c>
    </row>
    <row r="609" spans="1:13">
      <c r="A609" t="s">
        <v>8748</v>
      </c>
      <c r="B609" t="s">
        <v>8748</v>
      </c>
      <c r="G609" t="s">
        <v>5714</v>
      </c>
      <c r="H609" t="str" cm="1">
        <f t="array" ref="H609">_xlfn.TEXTSPLIT(G609,";")</f>
        <v>IPA &gt; TRIPLE_NEW_ENGLAND_/_HAZY</v>
      </c>
      <c r="M609" t="s">
        <v>5758</v>
      </c>
    </row>
    <row r="610" spans="1:13">
      <c r="A610" t="s">
        <v>333</v>
      </c>
      <c r="B610" t="s">
        <v>333</v>
      </c>
      <c r="G610" t="s">
        <v>5715</v>
      </c>
      <c r="H610" t="str" cm="1">
        <f t="array" ref="H610">_xlfn.TEXTSPLIT(G610,";")</f>
        <v>IPA &gt; WHITE_/_WHEAT</v>
      </c>
      <c r="M610" t="s">
        <v>5507</v>
      </c>
    </row>
    <row r="611" spans="1:13">
      <c r="A611" t="s">
        <v>627</v>
      </c>
      <c r="B611" t="s">
        <v>627</v>
      </c>
      <c r="G611" t="s">
        <v>5237</v>
      </c>
      <c r="H611" t="str" cm="1">
        <f t="array" ref="H611:I611">_xlfn.TEXTSPLIT(G611,";")</f>
        <v>CORE</v>
      </c>
      <c r="I611" t="str">
        <v>APPLE</v>
      </c>
      <c r="M611" t="s">
        <v>6650</v>
      </c>
    </row>
    <row r="612" spans="1:13">
      <c r="A612" t="s">
        <v>116</v>
      </c>
      <c r="B612" t="s">
        <v>116</v>
      </c>
      <c r="G612" t="s">
        <v>1983</v>
      </c>
      <c r="H612" t="str" cm="1">
        <f t="array" ref="H612">_xlfn.TEXTSPLIT(G612,";")</f>
        <v>PINEAPPLE</v>
      </c>
      <c r="M612" t="s">
        <v>5608</v>
      </c>
    </row>
    <row r="613" spans="1:13">
      <c r="A613" t="s">
        <v>128</v>
      </c>
      <c r="B613" t="s">
        <v>128</v>
      </c>
      <c r="G613" t="s">
        <v>1971</v>
      </c>
      <c r="H613" t="str" cm="1">
        <f t="array" ref="H613">_xlfn.TEXTSPLIT(G613,";")</f>
        <v>APPLE_CHERRY</v>
      </c>
      <c r="M613" t="s">
        <v>655</v>
      </c>
    </row>
    <row r="614" spans="1:13">
      <c r="A614" t="s">
        <v>654</v>
      </c>
      <c r="B614" t="s">
        <v>654</v>
      </c>
      <c r="G614" t="s">
        <v>749</v>
      </c>
      <c r="H614" t="str" cm="1">
        <f t="array" ref="H614">_xlfn.TEXTSPLIT(G614,";")</f>
        <v>CASSIS</v>
      </c>
      <c r="M614" t="s">
        <v>848</v>
      </c>
    </row>
    <row r="615" spans="1:13">
      <c r="A615" t="s">
        <v>434</v>
      </c>
      <c r="B615" t="s">
        <v>434</v>
      </c>
      <c r="G615" t="s">
        <v>5185</v>
      </c>
      <c r="H615" t="str" cm="1">
        <f t="array" ref="H615">_xlfn.TEXTSPLIT(G615,";")</f>
        <v>CHERRY_POMEGRANATE</v>
      </c>
      <c r="M615" t="s">
        <v>5759</v>
      </c>
    </row>
    <row r="616" spans="1:13">
      <c r="A616" t="s">
        <v>569</v>
      </c>
      <c r="B616" t="s">
        <v>569</v>
      </c>
      <c r="G616" t="s">
        <v>5506</v>
      </c>
      <c r="H616" t="str" cm="1">
        <f t="array" ref="H616">_xlfn.TEXTSPLIT(G616,";")</f>
        <v>LEMON_ORANGE</v>
      </c>
      <c r="M616" t="s">
        <v>8774</v>
      </c>
    </row>
    <row r="617" spans="1:13">
      <c r="A617" t="s">
        <v>147</v>
      </c>
      <c r="B617" t="s">
        <v>147</v>
      </c>
      <c r="G617" t="s">
        <v>1481</v>
      </c>
      <c r="H617" t="str" cm="1">
        <f t="array" ref="H617">_xlfn.TEXTSPLIT(G617,";")</f>
        <v>MULTIFRUIT</v>
      </c>
      <c r="M617" t="s">
        <v>8776</v>
      </c>
    </row>
    <row r="618" spans="1:13">
      <c r="A618" t="s">
        <v>312</v>
      </c>
      <c r="B618" t="s">
        <v>312</v>
      </c>
      <c r="G618" t="s">
        <v>896</v>
      </c>
      <c r="H618" t="str" cm="1">
        <f t="array" ref="H618">_xlfn.TEXTSPLIT(G618,";")</f>
        <v>JUNGLE</v>
      </c>
      <c r="M618" t="s">
        <v>5760</v>
      </c>
    </row>
    <row r="619" spans="1:13">
      <c r="A619" t="s">
        <v>9211</v>
      </c>
      <c r="B619" t="s">
        <v>9211</v>
      </c>
      <c r="G619" t="s">
        <v>6827</v>
      </c>
      <c r="H619" t="str" cm="1">
        <f t="array" ref="H619:I619">_xlfn.TEXTSPLIT(G619,";")</f>
        <v>ACE</v>
      </c>
      <c r="I619" t="str">
        <v>MULTIFRUIT</v>
      </c>
      <c r="M619" t="s">
        <v>5761</v>
      </c>
    </row>
    <row r="620" spans="1:13">
      <c r="A620" t="s">
        <v>7229</v>
      </c>
      <c r="B620" t="s">
        <v>7229</v>
      </c>
      <c r="G620" t="s">
        <v>5187</v>
      </c>
      <c r="H620" t="str" cm="1">
        <f t="array" ref="H620">_xlfn.TEXTSPLIT(G620,";")</f>
        <v>MULTIVITAMIN</v>
      </c>
      <c r="M620" t="s">
        <v>7573</v>
      </c>
    </row>
    <row r="621" spans="1:13">
      <c r="A621" t="s">
        <v>7400</v>
      </c>
      <c r="B621" t="s">
        <v>7400</v>
      </c>
      <c r="G621" t="s">
        <v>5186</v>
      </c>
      <c r="H621" t="str" cm="1">
        <f t="array" ref="H621">_xlfn.TEXTSPLIT(G621,";")</f>
        <v>ORANGE_PEACH</v>
      </c>
      <c r="M621" t="s">
        <v>7861</v>
      </c>
    </row>
    <row r="622" spans="1:13">
      <c r="A622" t="s">
        <v>168</v>
      </c>
      <c r="B622" t="s">
        <v>168</v>
      </c>
      <c r="G622" t="s">
        <v>5381</v>
      </c>
      <c r="H622" t="str" cm="1">
        <f t="array" ref="H622:I622">_xlfn.TEXTSPLIT(G622,";")</f>
        <v>ORANGE</v>
      </c>
      <c r="I622" t="str">
        <v>CORE</v>
      </c>
      <c r="M622" t="s">
        <v>10142</v>
      </c>
    </row>
    <row r="623" spans="1:13">
      <c r="A623" t="s">
        <v>9330</v>
      </c>
      <c r="B623" t="s">
        <v>9330</v>
      </c>
      <c r="G623" t="s">
        <v>4896</v>
      </c>
      <c r="H623" t="str" cm="1">
        <f t="array" ref="H623">_xlfn.TEXTSPLIT(G623,";")</f>
        <v>ACE</v>
      </c>
      <c r="M623" t="s">
        <v>8037</v>
      </c>
    </row>
    <row r="624" spans="1:13">
      <c r="A624" t="s">
        <v>344</v>
      </c>
      <c r="B624" t="s">
        <v>344</v>
      </c>
      <c r="G624" t="s">
        <v>1470</v>
      </c>
      <c r="H624" t="str" cm="1">
        <f t="array" ref="H624">_xlfn.TEXTSPLIT(G624,";")</f>
        <v>BLACKCURRANT</v>
      </c>
      <c r="M624" t="s">
        <v>10025</v>
      </c>
    </row>
    <row r="625" spans="1:16">
      <c r="A625" t="s">
        <v>1211</v>
      </c>
      <c r="B625" t="s">
        <v>1211</v>
      </c>
      <c r="G625" t="s">
        <v>1510</v>
      </c>
      <c r="H625" t="str" cm="1">
        <f t="array" ref="H625">_xlfn.TEXTSPLIT(G625,";")</f>
        <v>GRAPES</v>
      </c>
      <c r="M625" t="s">
        <v>998</v>
      </c>
    </row>
    <row r="626" spans="1:16">
      <c r="A626" t="s">
        <v>815</v>
      </c>
      <c r="B626" t="s">
        <v>815</v>
      </c>
      <c r="G626" t="s">
        <v>1511</v>
      </c>
      <c r="H626" t="str" cm="1">
        <f t="array" ref="H626">_xlfn.TEXTSPLIT(G626,";")</f>
        <v>TOMATO</v>
      </c>
      <c r="M626" t="s">
        <v>850</v>
      </c>
    </row>
    <row r="627" spans="1:16">
      <c r="A627" t="s">
        <v>457</v>
      </c>
      <c r="B627" t="s">
        <v>457</v>
      </c>
      <c r="G627" t="s">
        <v>1988</v>
      </c>
      <c r="H627" t="str" cm="1">
        <f t="array" ref="H627">_xlfn.TEXTSPLIT(G627,";")</f>
        <v>MELON</v>
      </c>
      <c r="M627" t="s">
        <v>9532</v>
      </c>
    </row>
    <row r="628" spans="1:16">
      <c r="A628" t="s">
        <v>7612</v>
      </c>
      <c r="B628" t="s">
        <v>7612</v>
      </c>
      <c r="G628" t="s">
        <v>5413</v>
      </c>
      <c r="H628" t="str" cm="1">
        <f t="array" ref="H628:L628">_xlfn.TEXTSPLIT(G628,";")</f>
        <v>ACE</v>
      </c>
      <c r="I628" t="str">
        <v>ORIGINAL</v>
      </c>
      <c r="J628" t="str">
        <v>CORE</v>
      </c>
      <c r="K628" t="str">
        <v>ORIGINAL</v>
      </c>
      <c r="L628" t="str">
        <v>CORE</v>
      </c>
      <c r="M628" t="s">
        <v>9530</v>
      </c>
      <c r="P628" t="s">
        <v>899</v>
      </c>
    </row>
    <row r="629" spans="1:16">
      <c r="A629" t="s">
        <v>528</v>
      </c>
      <c r="B629" t="s">
        <v>528</v>
      </c>
      <c r="G629" t="s">
        <v>6857</v>
      </c>
      <c r="H629" t="str" cm="1">
        <f t="array" ref="H629:I629">_xlfn.TEXTSPLIT(G629,";")</f>
        <v>POAR</v>
      </c>
      <c r="I629" t="str">
        <v>CORE</v>
      </c>
      <c r="M629" t="s">
        <v>5762</v>
      </c>
    </row>
    <row r="630" spans="1:16">
      <c r="A630" t="s">
        <v>7995</v>
      </c>
      <c r="B630" t="s">
        <v>7995</v>
      </c>
      <c r="G630" t="s">
        <v>6912</v>
      </c>
      <c r="H630" t="str" cm="1">
        <f t="array" ref="H630:I630">_xlfn.TEXTSPLIT(G630,";")</f>
        <v>CORE</v>
      </c>
      <c r="I630" t="str">
        <v>TOMATO</v>
      </c>
      <c r="M630" t="s">
        <v>5763</v>
      </c>
    </row>
    <row r="631" spans="1:16">
      <c r="A631" t="s">
        <v>50</v>
      </c>
      <c r="B631" t="s">
        <v>50</v>
      </c>
      <c r="G631" t="s">
        <v>5601</v>
      </c>
      <c r="H631" t="str" cm="1">
        <f t="array" ref="H631">_xlfn.TEXTSPLIT(G631,";")</f>
        <v>KELLERBIER_/_ZWICKELBIER</v>
      </c>
      <c r="M631" t="s">
        <v>5764</v>
      </c>
    </row>
    <row r="632" spans="1:16">
      <c r="A632" t="s">
        <v>7643</v>
      </c>
      <c r="B632" t="s">
        <v>7643</v>
      </c>
      <c r="G632" t="s">
        <v>5602</v>
      </c>
      <c r="H632" t="str" cm="1">
        <f t="array" ref="H632">_xlfn.TEXTSPLIT(G632,";")</f>
        <v>KOJI_/_GINJO_BEER</v>
      </c>
      <c r="M632" t="s">
        <v>5765</v>
      </c>
    </row>
    <row r="633" spans="1:16">
      <c r="A633" t="s">
        <v>66</v>
      </c>
      <c r="B633" t="s">
        <v>66</v>
      </c>
      <c r="G633" t="s">
        <v>1000</v>
      </c>
      <c r="H633" t="str" cm="1">
        <f t="array" ref="H633">_xlfn.TEXTSPLIT(G633,";")</f>
        <v>KOLSCH</v>
      </c>
      <c r="M633" t="s">
        <v>5766</v>
      </c>
    </row>
    <row r="634" spans="1:16">
      <c r="A634" t="s">
        <v>69</v>
      </c>
      <c r="B634" t="s">
        <v>69</v>
      </c>
      <c r="G634" t="s">
        <v>5393</v>
      </c>
      <c r="H634" t="str" cm="1">
        <f t="array" ref="H634:I634">_xlfn.TEXTSPLIT(G634,";")</f>
        <v>CORE</v>
      </c>
      <c r="I634" t="str">
        <v>ORIGINAL</v>
      </c>
      <c r="M634" t="s">
        <v>5767</v>
      </c>
    </row>
    <row r="635" spans="1:16">
      <c r="A635" t="s">
        <v>8273</v>
      </c>
      <c r="B635" t="s">
        <v>8273</v>
      </c>
      <c r="G635" t="s">
        <v>6836</v>
      </c>
      <c r="H635" t="str" cm="1">
        <f t="array" ref="H635:I635">_xlfn.TEXTSPLIT(G635,";")</f>
        <v>GRAPEFRUIT</v>
      </c>
      <c r="I635" t="str">
        <v>CARDEMON</v>
      </c>
      <c r="M635" t="s">
        <v>7881</v>
      </c>
    </row>
    <row r="636" spans="1:16">
      <c r="A636" t="s">
        <v>8367</v>
      </c>
      <c r="B636" t="s">
        <v>8367</v>
      </c>
      <c r="G636" t="s">
        <v>6833</v>
      </c>
      <c r="H636" t="str" cm="1">
        <f t="array" ref="H636:I636">_xlfn.TEXTSPLIT(G636,";")</f>
        <v>GINGER</v>
      </c>
      <c r="I636" t="str">
        <v>MANGO</v>
      </c>
      <c r="M636" t="s">
        <v>8912</v>
      </c>
    </row>
    <row r="637" spans="1:16">
      <c r="A637" t="s">
        <v>8374</v>
      </c>
      <c r="B637" t="s">
        <v>8374</v>
      </c>
      <c r="G637" t="s">
        <v>5395</v>
      </c>
      <c r="H637" t="str" cm="1">
        <f t="array" ref="H637:I637">_xlfn.TEXTSPLIT(G637,";")</f>
        <v>PASSIONFRUIT</v>
      </c>
      <c r="I637" t="str">
        <v>PASSION</v>
      </c>
      <c r="M637" t="s">
        <v>10028</v>
      </c>
    </row>
    <row r="638" spans="1:16">
      <c r="A638" t="s">
        <v>87</v>
      </c>
      <c r="B638" t="s">
        <v>87</v>
      </c>
      <c r="G638" t="s">
        <v>5396</v>
      </c>
      <c r="H638" t="str" cm="1">
        <f t="array" ref="H638:I638">_xlfn.TEXTSPLIT(G638,";")</f>
        <v>PEACH</v>
      </c>
      <c r="I638" t="str">
        <v>YUZU</v>
      </c>
      <c r="M638" t="s">
        <v>9393</v>
      </c>
    </row>
    <row r="639" spans="1:16">
      <c r="A639" t="s">
        <v>545</v>
      </c>
      <c r="B639" t="s">
        <v>545</v>
      </c>
      <c r="G639" t="s">
        <v>1085</v>
      </c>
      <c r="H639" t="str" cm="1">
        <f t="array" ref="H639">_xlfn.TEXTSPLIT(G639,";")</f>
        <v>LAVENDER</v>
      </c>
      <c r="M639" t="s">
        <v>10021</v>
      </c>
    </row>
    <row r="640" spans="1:16">
      <c r="A640" t="s">
        <v>266</v>
      </c>
      <c r="B640" t="s">
        <v>266</v>
      </c>
      <c r="G640" t="s">
        <v>5603</v>
      </c>
      <c r="H640" t="str" cm="1">
        <f t="array" ref="H640">_xlfn.TEXTSPLIT(G640,";")</f>
        <v>KVASS</v>
      </c>
      <c r="M640" t="s">
        <v>5768</v>
      </c>
    </row>
    <row r="641" spans="1:13">
      <c r="A641" t="s">
        <v>8425</v>
      </c>
      <c r="B641" t="s">
        <v>8425</v>
      </c>
      <c r="G641" t="s">
        <v>6645</v>
      </c>
      <c r="H641" t="str" cm="1">
        <f t="array" ref="H641">_xlfn.TEXTSPLIT(G641,";")</f>
        <v>SKY</v>
      </c>
      <c r="M641" t="s">
        <v>6924</v>
      </c>
    </row>
    <row r="642" spans="1:13">
      <c r="A642" t="s">
        <v>8439</v>
      </c>
      <c r="B642" t="s">
        <v>8439</v>
      </c>
      <c r="G642" t="s">
        <v>6632</v>
      </c>
      <c r="H642" t="str" cm="1">
        <f t="array" ref="H642">_xlfn.TEXTSPLIT(G642,";")</f>
        <v>SARDEGNA</v>
      </c>
      <c r="M642" t="s">
        <v>5769</v>
      </c>
    </row>
    <row r="643" spans="1:13">
      <c r="A643" t="s">
        <v>91</v>
      </c>
      <c r="B643" t="s">
        <v>91</v>
      </c>
      <c r="G643" t="s">
        <v>777</v>
      </c>
      <c r="H643" t="str" cm="1">
        <f t="array" ref="H643">_xlfn.TEXTSPLIT(G643,";")</f>
        <v>PILSNER</v>
      </c>
      <c r="M643" t="s">
        <v>5770</v>
      </c>
    </row>
    <row r="644" spans="1:13">
      <c r="A644" t="s">
        <v>417</v>
      </c>
      <c r="B644" t="s">
        <v>417</v>
      </c>
      <c r="G644" t="s">
        <v>6964</v>
      </c>
      <c r="H644" t="str" cm="1">
        <f t="array" ref="H644:I644">_xlfn.TEXTSPLIT(G644,";")</f>
        <v>HELLAS</v>
      </c>
      <c r="I644" t="str">
        <v>CORE</v>
      </c>
      <c r="M644" t="s">
        <v>5771</v>
      </c>
    </row>
    <row r="645" spans="1:13">
      <c r="A645" t="s">
        <v>684</v>
      </c>
      <c r="B645" t="s">
        <v>684</v>
      </c>
      <c r="G645" t="s">
        <v>766</v>
      </c>
      <c r="H645" t="str" cm="1">
        <f t="array" ref="H645">_xlfn.TEXTSPLIT(G645,";")</f>
        <v>EXPORT</v>
      </c>
      <c r="M645" t="s">
        <v>5772</v>
      </c>
    </row>
    <row r="646" spans="1:13">
      <c r="A646" t="s">
        <v>8540</v>
      </c>
      <c r="B646" t="s">
        <v>8540</v>
      </c>
      <c r="G646" t="s">
        <v>900</v>
      </c>
      <c r="H646" t="str" cm="1">
        <f t="array" ref="H646">_xlfn.TEXTSPLIT(G646,";")</f>
        <v>LAGER</v>
      </c>
      <c r="M646" t="s">
        <v>5773</v>
      </c>
    </row>
    <row r="647" spans="1:13">
      <c r="A647" t="s">
        <v>8702</v>
      </c>
      <c r="B647" t="s">
        <v>8702</v>
      </c>
      <c r="G647" t="s">
        <v>5716</v>
      </c>
      <c r="H647" t="str" cm="1">
        <f t="array" ref="H647">_xlfn.TEXTSPLIT(G647,";")</f>
        <v>LAGER &gt; AMBER_/_RED</v>
      </c>
      <c r="M647" t="s">
        <v>5774</v>
      </c>
    </row>
    <row r="648" spans="1:13">
      <c r="A648" t="s">
        <v>8431</v>
      </c>
      <c r="B648" t="s">
        <v>8431</v>
      </c>
      <c r="G648" t="s">
        <v>5717</v>
      </c>
      <c r="H648" t="str" cm="1">
        <f t="array" ref="H648">_xlfn.TEXTSPLIT(G648,";")</f>
        <v>LAGER &gt; AMERICAN</v>
      </c>
      <c r="M648" t="s">
        <v>8063</v>
      </c>
    </row>
    <row r="649" spans="1:13">
      <c r="A649" t="s">
        <v>9167</v>
      </c>
      <c r="B649" t="s">
        <v>9167</v>
      </c>
      <c r="G649" t="s">
        <v>8881</v>
      </c>
      <c r="H649" t="str" cm="1">
        <f t="array" ref="H649">_xlfn.TEXTSPLIT(G649,";")</f>
        <v>ROCK</v>
      </c>
      <c r="M649" t="s">
        <v>8158</v>
      </c>
    </row>
    <row r="650" spans="1:13">
      <c r="A650" t="s">
        <v>9220</v>
      </c>
      <c r="B650" t="s">
        <v>9220</v>
      </c>
      <c r="G650" t="s">
        <v>5718</v>
      </c>
      <c r="H650" t="str" cm="1">
        <f t="array" ref="H650">_xlfn.TEXTSPLIT(G650,";")</f>
        <v>LAGER &gt; AMERICAN_AMBER_/_RED</v>
      </c>
      <c r="M650" t="s">
        <v>8314</v>
      </c>
    </row>
    <row r="651" spans="1:13">
      <c r="A651" t="s">
        <v>441</v>
      </c>
      <c r="B651" t="s">
        <v>441</v>
      </c>
      <c r="G651" t="s">
        <v>5719</v>
      </c>
      <c r="H651" t="str" cm="1">
        <f t="array" ref="H651">_xlfn.TEXTSPLIT(G651,";")</f>
        <v>LAGER &gt; AMERICAN_LIGHT</v>
      </c>
      <c r="M651" t="s">
        <v>1459</v>
      </c>
    </row>
    <row r="652" spans="1:13">
      <c r="A652" t="s">
        <v>9307</v>
      </c>
      <c r="B652" t="s">
        <v>9307</v>
      </c>
      <c r="G652" t="s">
        <v>5720</v>
      </c>
      <c r="H652" t="str" cm="1">
        <f t="array" ref="H652">_xlfn.TEXTSPLIT(G652,";")</f>
        <v>LAGER &gt; AMERICAN_PRE-PROHIBITION</v>
      </c>
      <c r="M652" t="s">
        <v>5190</v>
      </c>
    </row>
    <row r="653" spans="1:13">
      <c r="A653" t="s">
        <v>171</v>
      </c>
      <c r="B653" t="s">
        <v>171</v>
      </c>
      <c r="G653" t="s">
        <v>5721</v>
      </c>
      <c r="H653" t="str" cm="1">
        <f t="array" ref="H653">_xlfn.TEXTSPLIT(G653,";")</f>
        <v>LAGER &gt; DARK</v>
      </c>
      <c r="M653" t="s">
        <v>216</v>
      </c>
    </row>
    <row r="654" spans="1:13">
      <c r="A654" t="s">
        <v>7531</v>
      </c>
      <c r="B654" t="s">
        <v>7531</v>
      </c>
      <c r="G654" t="s">
        <v>5722</v>
      </c>
      <c r="H654" t="str" cm="1">
        <f t="array" ref="H654">_xlfn.TEXTSPLIT(G654,";")</f>
        <v>LAGER &gt; DORTMUNDER_/_EXPORT</v>
      </c>
      <c r="M654" t="s">
        <v>5775</v>
      </c>
    </row>
    <row r="655" spans="1:13">
      <c r="A655" t="s">
        <v>207</v>
      </c>
      <c r="B655" t="s">
        <v>207</v>
      </c>
      <c r="G655" t="s">
        <v>5723</v>
      </c>
      <c r="H655" t="str" cm="1">
        <f t="array" ref="H655">_xlfn.TEXTSPLIT(G655,";")</f>
        <v>LAGER &gt; HELLES</v>
      </c>
      <c r="M655" t="s">
        <v>5776</v>
      </c>
    </row>
    <row r="656" spans="1:13">
      <c r="A656" t="s">
        <v>219</v>
      </c>
      <c r="B656" t="s">
        <v>219</v>
      </c>
      <c r="G656" t="s">
        <v>5724</v>
      </c>
      <c r="H656" t="str" cm="1">
        <f t="array" ref="H656">_xlfn.TEXTSPLIT(G656,";")</f>
        <v>LAGER &gt; IPL_(INDIA_PALE_LAGER)</v>
      </c>
      <c r="M656" t="s">
        <v>949</v>
      </c>
    </row>
    <row r="657" spans="1:16">
      <c r="A657" t="s">
        <v>517</v>
      </c>
      <c r="B657" t="s">
        <v>517</v>
      </c>
      <c r="G657" t="s">
        <v>5725</v>
      </c>
      <c r="H657" t="str" cm="1">
        <f t="array" ref="H657">_xlfn.TEXTSPLIT(G657,";")</f>
        <v>LAGER &gt; JAPANESE_RICE</v>
      </c>
      <c r="M657" t="s">
        <v>5777</v>
      </c>
    </row>
    <row r="658" spans="1:16">
      <c r="A658" t="s">
        <v>353</v>
      </c>
      <c r="B658" t="s">
        <v>353</v>
      </c>
      <c r="G658" t="s">
        <v>5726</v>
      </c>
      <c r="H658" t="str" cm="1">
        <f t="array" ref="H658">_xlfn.TEXTSPLIT(G658,";")</f>
        <v>LAGER &gt; LEICHTBIER</v>
      </c>
      <c r="M658" t="s">
        <v>5778</v>
      </c>
    </row>
    <row r="659" spans="1:16">
      <c r="A659" t="s">
        <v>1</v>
      </c>
      <c r="B659" t="s">
        <v>1</v>
      </c>
      <c r="G659" t="s">
        <v>5727</v>
      </c>
      <c r="H659" t="str" cm="1">
        <f t="array" ref="H659">_xlfn.TEXTSPLIT(G659,";")</f>
        <v>LAGER &gt; MEXICAN</v>
      </c>
      <c r="M659" t="s">
        <v>5779</v>
      </c>
    </row>
    <row r="660" spans="1:16">
      <c r="A660" t="s">
        <v>7452</v>
      </c>
      <c r="B660" t="s">
        <v>7452</v>
      </c>
      <c r="G660" t="s">
        <v>5728</v>
      </c>
      <c r="H660" t="str" cm="1">
        <f t="array" ref="H660">_xlfn.TEXTSPLIT(G660,";")</f>
        <v>LAGER &gt; MUNICH_DUNKEL</v>
      </c>
      <c r="M660" t="s">
        <v>10000</v>
      </c>
    </row>
    <row r="661" spans="1:16">
      <c r="A661" t="s">
        <v>7456</v>
      </c>
      <c r="B661" t="s">
        <v>7456</v>
      </c>
      <c r="G661" t="s">
        <v>6381</v>
      </c>
      <c r="H661" t="str" cm="1">
        <f t="array" ref="H661:I661">_xlfn.TEXTSPLIT(G661,";")</f>
        <v>LAGER &gt; OTHER</v>
      </c>
      <c r="I661" t="str">
        <v>LAGER</v>
      </c>
      <c r="M661" t="s">
        <v>5780</v>
      </c>
    </row>
    <row r="662" spans="1:16">
      <c r="A662" t="s">
        <v>1011</v>
      </c>
      <c r="B662" t="s">
        <v>1011</v>
      </c>
      <c r="G662" t="s">
        <v>5729</v>
      </c>
      <c r="H662" t="str" cm="1">
        <f t="array" ref="H662">_xlfn.TEXTSPLIT(G662,";")</f>
        <v>LAGER &gt; OTHER</v>
      </c>
      <c r="M662" t="s">
        <v>5781</v>
      </c>
    </row>
    <row r="663" spans="1:16">
      <c r="A663" t="s">
        <v>359</v>
      </c>
      <c r="B663" t="s">
        <v>359</v>
      </c>
      <c r="G663" t="s">
        <v>5236</v>
      </c>
      <c r="H663" t="str" cm="1">
        <f t="array" ref="H663:J663">_xlfn.TEXTSPLIT(G663,";")</f>
        <v>BLOND</v>
      </c>
      <c r="I663" t="str">
        <v>CORE</v>
      </c>
      <c r="J663" t="str">
        <v>PILSNER</v>
      </c>
      <c r="M663" t="s">
        <v>5782</v>
      </c>
    </row>
    <row r="664" spans="1:16">
      <c r="A664" t="s">
        <v>7569</v>
      </c>
      <c r="B664" t="s">
        <v>7569</v>
      </c>
      <c r="G664" t="s">
        <v>5460</v>
      </c>
      <c r="H664" t="str" cm="1">
        <f t="array" ref="H664:J664">_xlfn.TEXTSPLIT(G664,";")</f>
        <v>CORE</v>
      </c>
      <c r="I664" t="str">
        <v>BLOND</v>
      </c>
      <c r="J664" t="str">
        <v>PILSNER</v>
      </c>
      <c r="M664" t="s">
        <v>7556</v>
      </c>
    </row>
    <row r="665" spans="1:16">
      <c r="A665" t="s">
        <v>521</v>
      </c>
      <c r="B665" t="s">
        <v>521</v>
      </c>
      <c r="G665" t="s">
        <v>5248</v>
      </c>
      <c r="H665" t="str" cm="1">
        <f t="array" ref="H665:K665">_xlfn.TEXTSPLIT(G665,";")</f>
        <v>EXTRA</v>
      </c>
      <c r="I665" t="str">
        <v>LAGER</v>
      </c>
      <c r="J665" t="str">
        <v>PILSNER</v>
      </c>
      <c r="K665" t="str">
        <v>CORE</v>
      </c>
      <c r="M665" t="s">
        <v>5783</v>
      </c>
      <c r="P665" t="s">
        <v>1438</v>
      </c>
    </row>
    <row r="666" spans="1:16">
      <c r="A666" t="s">
        <v>7222</v>
      </c>
      <c r="B666" t="s">
        <v>7222</v>
      </c>
      <c r="G666" t="s">
        <v>8225</v>
      </c>
      <c r="H666" t="str" cm="1">
        <f t="array" ref="H666">_xlfn.TEXTSPLIT(G666,";")</f>
        <v>PREMIUM</v>
      </c>
      <c r="M666" t="s">
        <v>5609</v>
      </c>
    </row>
    <row r="667" spans="1:16">
      <c r="A667" t="s">
        <v>7707</v>
      </c>
      <c r="B667" t="s">
        <v>7707</v>
      </c>
      <c r="G667" t="s">
        <v>8463</v>
      </c>
      <c r="H667" t="str" cm="1">
        <f t="array" ref="H667">_xlfn.TEXTSPLIT(G667,";")</f>
        <v>SLIQ</v>
      </c>
      <c r="M667" t="s">
        <v>5610</v>
      </c>
    </row>
    <row r="668" spans="1:16">
      <c r="A668" t="s">
        <v>24</v>
      </c>
      <c r="B668" t="s">
        <v>24</v>
      </c>
      <c r="G668" t="s">
        <v>5730</v>
      </c>
      <c r="H668" t="str" cm="1">
        <f t="array" ref="H668">_xlfn.TEXTSPLIT(G668,";")</f>
        <v>LAGER &gt; PALE</v>
      </c>
      <c r="M668" t="s">
        <v>7192</v>
      </c>
    </row>
    <row r="669" spans="1:16">
      <c r="A669" t="s">
        <v>7747</v>
      </c>
      <c r="B669" t="s">
        <v>7747</v>
      </c>
      <c r="G669" t="s">
        <v>6492</v>
      </c>
      <c r="H669" t="str" cm="1">
        <f t="array" ref="H669:I669">_xlfn.TEXTSPLIT(G669,";")</f>
        <v>CORE</v>
      </c>
      <c r="I669" t="str">
        <v>PILSNER</v>
      </c>
      <c r="M669" t="s">
        <v>5784</v>
      </c>
    </row>
    <row r="670" spans="1:16">
      <c r="A670" t="s">
        <v>503</v>
      </c>
      <c r="B670" t="s">
        <v>503</v>
      </c>
      <c r="G670" t="s">
        <v>9996</v>
      </c>
      <c r="H670" t="str" cm="1">
        <f t="array" ref="H670">_xlfn.TEXTSPLIT(G670,";")</f>
        <v>BLOND| ZERO</v>
      </c>
      <c r="M670" t="s">
        <v>5785</v>
      </c>
    </row>
    <row r="671" spans="1:16">
      <c r="A671" t="s">
        <v>7764</v>
      </c>
      <c r="B671" t="s">
        <v>7764</v>
      </c>
      <c r="G671" t="s">
        <v>5397</v>
      </c>
      <c r="H671" t="str" cm="1">
        <f t="array" ref="H671:J671">_xlfn.TEXTSPLIT(G671,";")</f>
        <v>PILSNER</v>
      </c>
      <c r="I671" t="str">
        <v>CORE</v>
      </c>
      <c r="J671" t="str">
        <v>BLOND</v>
      </c>
      <c r="M671" t="s">
        <v>5786</v>
      </c>
    </row>
    <row r="672" spans="1:16">
      <c r="A672" t="s">
        <v>9985</v>
      </c>
      <c r="B672" t="s">
        <v>9985</v>
      </c>
      <c r="G672" t="s">
        <v>5402</v>
      </c>
      <c r="H672" t="str" cm="1">
        <f t="array" ref="H672:J672">_xlfn.TEXTSPLIT(G672,";")</f>
        <v>CORE</v>
      </c>
      <c r="I672" t="str">
        <v>BLOND</v>
      </c>
      <c r="J672" t="str">
        <v>BLOND</v>
      </c>
      <c r="M672" t="s">
        <v>5787</v>
      </c>
    </row>
    <row r="673" spans="1:13">
      <c r="A673" t="s">
        <v>250</v>
      </c>
      <c r="B673" t="s">
        <v>250</v>
      </c>
      <c r="G673" t="s">
        <v>9382</v>
      </c>
      <c r="H673" t="str" cm="1">
        <f t="array" ref="H673">_xlfn.TEXTSPLIT(G673,";")</f>
        <v>TWIN</v>
      </c>
      <c r="M673" t="s">
        <v>8796</v>
      </c>
    </row>
    <row r="674" spans="1:13">
      <c r="A674" t="s">
        <v>524</v>
      </c>
      <c r="B674" t="s">
        <v>524</v>
      </c>
      <c r="G674" t="s">
        <v>899</v>
      </c>
      <c r="H674" t="str" cm="1">
        <f t="array" ref="H674">_xlfn.TEXTSPLIT(G674,";")</f>
        <v>ORIGINAL</v>
      </c>
      <c r="M674" t="s">
        <v>5611</v>
      </c>
    </row>
    <row r="675" spans="1:13">
      <c r="A675" t="s">
        <v>525</v>
      </c>
      <c r="B675" t="s">
        <v>525</v>
      </c>
      <c r="G675" t="s">
        <v>10016</v>
      </c>
      <c r="H675" t="str" cm="1">
        <f t="array" ref="H675">_xlfn.TEXTSPLIT(G675,";")</f>
        <v>POVESTA</v>
      </c>
      <c r="M675" t="s">
        <v>5612</v>
      </c>
    </row>
    <row r="676" spans="1:13">
      <c r="A676" t="s">
        <v>526</v>
      </c>
      <c r="B676" t="s">
        <v>526</v>
      </c>
      <c r="G676" t="s">
        <v>5731</v>
      </c>
      <c r="H676" t="str" cm="1">
        <f t="array" ref="H676">_xlfn.TEXTSPLIT(G676,";")</f>
        <v>LAGER &gt; POLOTMAVE_(CZECH_AMBER)</v>
      </c>
      <c r="M676" t="s">
        <v>5613</v>
      </c>
    </row>
    <row r="677" spans="1:13">
      <c r="A677" t="s">
        <v>9035</v>
      </c>
      <c r="B677" t="s">
        <v>9035</v>
      </c>
      <c r="G677" t="s">
        <v>5732</v>
      </c>
      <c r="H677" t="str" cm="1">
        <f t="array" ref="H677">_xlfn.TEXTSPLIT(G677,";")</f>
        <v>LAGER &gt; ROTBIER</v>
      </c>
      <c r="M677" t="s">
        <v>5614</v>
      </c>
    </row>
    <row r="678" spans="1:13">
      <c r="A678" t="s">
        <v>1387</v>
      </c>
      <c r="B678" t="s">
        <v>1387</v>
      </c>
      <c r="G678" t="s">
        <v>5733</v>
      </c>
      <c r="H678" t="str" cm="1">
        <f t="array" ref="H678">_xlfn.TEXTSPLIT(G678,";")</f>
        <v>LAGER &gt; SMOKED</v>
      </c>
      <c r="M678" t="s">
        <v>1084</v>
      </c>
    </row>
    <row r="679" spans="1:13">
      <c r="A679" t="s">
        <v>7884</v>
      </c>
      <c r="B679" t="s">
        <v>7884</v>
      </c>
      <c r="G679" t="s">
        <v>945</v>
      </c>
      <c r="H679" t="str" cm="1">
        <f t="array" ref="H679">_xlfn.TEXTSPLIT(G679,";")</f>
        <v>EXTREME</v>
      </c>
      <c r="M679" t="s">
        <v>5615</v>
      </c>
    </row>
    <row r="680" spans="1:13">
      <c r="A680" t="s">
        <v>29</v>
      </c>
      <c r="B680" t="s">
        <v>29</v>
      </c>
      <c r="G680" t="s">
        <v>930</v>
      </c>
      <c r="H680" t="str" cm="1">
        <f t="array" ref="H680">_xlfn.TEXTSPLIT(G680,";")</f>
        <v>STRONG</v>
      </c>
      <c r="M680" t="s">
        <v>946</v>
      </c>
    </row>
    <row r="681" spans="1:13">
      <c r="A681" t="s">
        <v>396</v>
      </c>
      <c r="B681" t="s">
        <v>396</v>
      </c>
      <c r="G681" t="s">
        <v>7377</v>
      </c>
      <c r="H681" t="str" cm="1">
        <f t="array" ref="H681">_xlfn.TEXTSPLIT(G681,";")</f>
        <v>8_6</v>
      </c>
      <c r="M681" t="s">
        <v>5616</v>
      </c>
    </row>
    <row r="682" spans="1:13">
      <c r="A682" t="s">
        <v>532</v>
      </c>
      <c r="B682" t="s">
        <v>532</v>
      </c>
      <c r="G682" t="s">
        <v>5734</v>
      </c>
      <c r="H682" t="str" cm="1">
        <f t="array" ref="H682">_xlfn.TEXTSPLIT(G682,";")</f>
        <v>LAGER &gt; STRONG</v>
      </c>
      <c r="M682" t="s">
        <v>5617</v>
      </c>
    </row>
    <row r="683" spans="1:13">
      <c r="A683" t="s">
        <v>678</v>
      </c>
      <c r="B683" t="s">
        <v>678</v>
      </c>
      <c r="G683" t="s">
        <v>5735</v>
      </c>
      <c r="H683" t="str" cm="1">
        <f t="array" ref="H683">_xlfn.TEXTSPLIT(G683,";")</f>
        <v>LAGER &gt; SVETLE_(CZECH_PALE)</v>
      </c>
      <c r="M683" t="s">
        <v>5618</v>
      </c>
    </row>
    <row r="684" spans="1:13">
      <c r="A684" t="s">
        <v>7971</v>
      </c>
      <c r="B684" t="s">
        <v>7971</v>
      </c>
      <c r="G684" t="s">
        <v>5736</v>
      </c>
      <c r="H684" t="str" cm="1">
        <f t="array" ref="H684">_xlfn.TEXTSPLIT(G684,";")</f>
        <v>LAGER &gt; TMAVE_(CZECH_DARK)</v>
      </c>
      <c r="M684" t="s">
        <v>5619</v>
      </c>
    </row>
    <row r="685" spans="1:13">
      <c r="A685" t="s">
        <v>7836</v>
      </c>
      <c r="B685" t="s">
        <v>7836</v>
      </c>
      <c r="G685" t="s">
        <v>5737</v>
      </c>
      <c r="H685" t="str" cm="1">
        <f t="array" ref="H685">_xlfn.TEXTSPLIT(G685,";")</f>
        <v>LAGER &gt; VIENNA</v>
      </c>
      <c r="M685" t="s">
        <v>787</v>
      </c>
    </row>
    <row r="686" spans="1:13">
      <c r="A686" t="s">
        <v>7805</v>
      </c>
      <c r="B686" t="s">
        <v>7805</v>
      </c>
      <c r="G686" t="s">
        <v>5738</v>
      </c>
      <c r="H686" t="str" cm="1">
        <f t="array" ref="H686">_xlfn.TEXTSPLIT(G686,";")</f>
        <v>LAGER &gt; WINTER</v>
      </c>
      <c r="M686" t="s">
        <v>5620</v>
      </c>
    </row>
    <row r="687" spans="1:13">
      <c r="A687" t="s">
        <v>8056</v>
      </c>
      <c r="B687" t="s">
        <v>8056</v>
      </c>
      <c r="G687" t="s">
        <v>863</v>
      </c>
      <c r="H687" t="str" cm="1">
        <f t="array" ref="H687">_xlfn.TEXTSPLIT(G687,";")</f>
        <v>OUDE_GEUZE</v>
      </c>
      <c r="M687" t="s">
        <v>7311</v>
      </c>
    </row>
    <row r="688" spans="1:13">
      <c r="A688" t="s">
        <v>48</v>
      </c>
      <c r="B688" t="s">
        <v>48</v>
      </c>
      <c r="G688" t="s">
        <v>6382</v>
      </c>
      <c r="H688" t="str" cm="1">
        <f t="array" ref="H688:I688">_xlfn.TEXTSPLIT(G688,";")</f>
        <v>LAMBIC &gt; FARO</v>
      </c>
      <c r="I688" t="str">
        <v>LAMBIC_FARO</v>
      </c>
      <c r="M688" t="s">
        <v>7251</v>
      </c>
    </row>
    <row r="689" spans="1:13">
      <c r="A689" t="s">
        <v>8076</v>
      </c>
      <c r="B689" t="s">
        <v>8076</v>
      </c>
      <c r="G689" t="s">
        <v>5739</v>
      </c>
      <c r="H689" t="str" cm="1">
        <f t="array" ref="H689">_xlfn.TEXTSPLIT(G689,";")</f>
        <v>LAMBIC &gt; FARO</v>
      </c>
      <c r="M689" t="s">
        <v>6640</v>
      </c>
    </row>
    <row r="690" spans="1:13">
      <c r="A690" t="s">
        <v>52</v>
      </c>
      <c r="B690" t="s">
        <v>52</v>
      </c>
      <c r="G690" t="s">
        <v>873</v>
      </c>
      <c r="H690" t="str" cm="1">
        <f t="array" ref="H690">_xlfn.TEXTSPLIT(G690,";")</f>
        <v>FARO_LAMBIC</v>
      </c>
      <c r="M690" t="s">
        <v>7277</v>
      </c>
    </row>
    <row r="691" spans="1:13">
      <c r="A691" t="s">
        <v>9452</v>
      </c>
      <c r="B691" t="s">
        <v>9452</v>
      </c>
      <c r="G691" t="s">
        <v>869</v>
      </c>
      <c r="H691" t="str" cm="1">
        <f t="array" ref="H691">_xlfn.TEXTSPLIT(G691,";")</f>
        <v>FARO</v>
      </c>
      <c r="M691" t="s">
        <v>5788</v>
      </c>
    </row>
    <row r="692" spans="1:13">
      <c r="A692" t="s">
        <v>8119</v>
      </c>
      <c r="B692" t="s">
        <v>8119</v>
      </c>
      <c r="G692" t="s">
        <v>5740</v>
      </c>
      <c r="H692" t="str" cm="1">
        <f t="array" ref="H692">_xlfn.TEXTSPLIT(G692,";")</f>
        <v>LAMBIC &gt; FRAMBOISE</v>
      </c>
      <c r="M692" t="s">
        <v>5789</v>
      </c>
    </row>
    <row r="693" spans="1:13">
      <c r="A693" t="s">
        <v>8125</v>
      </c>
      <c r="B693" t="s">
        <v>8125</v>
      </c>
      <c r="G693" t="s">
        <v>5741</v>
      </c>
      <c r="H693" t="str" cm="1">
        <f t="array" ref="H693">_xlfn.TEXTSPLIT(G693,";")</f>
        <v>LAMBIC &gt; FRUIT</v>
      </c>
      <c r="M693" t="s">
        <v>5790</v>
      </c>
    </row>
    <row r="694" spans="1:13">
      <c r="A694" t="s">
        <v>540</v>
      </c>
      <c r="B694" t="s">
        <v>540</v>
      </c>
      <c r="G694" t="s">
        <v>8045</v>
      </c>
      <c r="H694" t="str" cm="1">
        <f t="array" ref="H694">_xlfn.TEXTSPLIT(G694,";")</f>
        <v>KROOSJES</v>
      </c>
      <c r="M694" t="s">
        <v>803</v>
      </c>
    </row>
    <row r="695" spans="1:13">
      <c r="A695" t="s">
        <v>541</v>
      </c>
      <c r="B695" t="s">
        <v>541</v>
      </c>
      <c r="G695" t="s">
        <v>10024</v>
      </c>
      <c r="H695" t="str" cm="1">
        <f t="array" ref="H695">_xlfn.TEXTSPLIT(G695,";")</f>
        <v>APRICOT</v>
      </c>
      <c r="M695" t="s">
        <v>959</v>
      </c>
    </row>
    <row r="696" spans="1:13">
      <c r="A696" t="s">
        <v>7841</v>
      </c>
      <c r="B696" t="s">
        <v>7841</v>
      </c>
      <c r="G696" t="s">
        <v>9095</v>
      </c>
      <c r="H696" t="str" cm="1">
        <f t="array" ref="H696">_xlfn.TEXTSPLIT(G696,";")</f>
        <v>UME</v>
      </c>
      <c r="M696" t="s">
        <v>1970</v>
      </c>
    </row>
    <row r="697" spans="1:13">
      <c r="A697" t="s">
        <v>8234</v>
      </c>
      <c r="B697" t="s">
        <v>8234</v>
      </c>
      <c r="G697" t="s">
        <v>6941</v>
      </c>
      <c r="H697" t="str" cm="1">
        <f t="array" ref="H697:J697">_xlfn.TEXTSPLIT(G697,";")</f>
        <v>OUDE_GUEUZE</v>
      </c>
      <c r="I697" t="str">
        <v>GUEUZE</v>
      </c>
      <c r="J697" t="str">
        <v>CORE</v>
      </c>
      <c r="M697" t="s">
        <v>5791</v>
      </c>
    </row>
    <row r="698" spans="1:13">
      <c r="A698" t="s">
        <v>8275</v>
      </c>
      <c r="B698" t="s">
        <v>8275</v>
      </c>
      <c r="G698" t="s">
        <v>10022</v>
      </c>
      <c r="H698" t="str" cm="1">
        <f t="array" ref="H698">_xlfn.TEXTSPLIT(G698,";")</f>
        <v>CUVEE_ARMAND_GASTON</v>
      </c>
      <c r="M698" t="s">
        <v>9378</v>
      </c>
    </row>
    <row r="699" spans="1:13">
      <c r="A699" t="s">
        <v>74</v>
      </c>
      <c r="B699" t="s">
        <v>74</v>
      </c>
      <c r="G699" t="s">
        <v>7419</v>
      </c>
      <c r="H699" t="str" cm="1">
        <f t="array" ref="H699">_xlfn.TEXTSPLIT(G699,";")</f>
        <v>OUDE_GUEZE</v>
      </c>
      <c r="M699" t="s">
        <v>5792</v>
      </c>
    </row>
    <row r="700" spans="1:13">
      <c r="A700" t="s">
        <v>544</v>
      </c>
      <c r="B700" t="s">
        <v>544</v>
      </c>
      <c r="G700" t="s">
        <v>6383</v>
      </c>
      <c r="H700" t="str" cm="1">
        <f t="array" ref="H700:I700">_xlfn.TEXTSPLIT(G700,";")</f>
        <v>LAMBIC &gt; GUEUZE</v>
      </c>
      <c r="I700" t="str">
        <v>GUEUZE</v>
      </c>
      <c r="M700" t="s">
        <v>7923</v>
      </c>
    </row>
    <row r="701" spans="1:13">
      <c r="A701" t="s">
        <v>86</v>
      </c>
      <c r="B701" t="s">
        <v>86</v>
      </c>
      <c r="G701" t="s">
        <v>5742</v>
      </c>
      <c r="H701" t="str" cm="1">
        <f t="array" ref="H701">_xlfn.TEXTSPLIT(G701,";")</f>
        <v>LAMBIC &gt; GUEUZE</v>
      </c>
      <c r="M701" t="s">
        <v>8916</v>
      </c>
    </row>
    <row r="702" spans="1:13">
      <c r="A702" t="s">
        <v>8371</v>
      </c>
      <c r="B702" t="s">
        <v>8371</v>
      </c>
      <c r="G702" t="s">
        <v>861</v>
      </c>
      <c r="H702" t="str" cm="1">
        <f t="array" ref="H702">_xlfn.TEXTSPLIT(G702,";")</f>
        <v>OUDE_GUEUZE</v>
      </c>
      <c r="M702" t="s">
        <v>5793</v>
      </c>
    </row>
    <row r="703" spans="1:13">
      <c r="A703" t="s">
        <v>412</v>
      </c>
      <c r="B703" t="s">
        <v>412</v>
      </c>
      <c r="G703" t="s">
        <v>7781</v>
      </c>
      <c r="H703" t="str" cm="1">
        <f t="array" ref="H703">_xlfn.TEXTSPLIT(G703,";")</f>
        <v>NO_5</v>
      </c>
      <c r="M703" t="s">
        <v>5794</v>
      </c>
    </row>
    <row r="704" spans="1:13">
      <c r="A704" t="s">
        <v>980</v>
      </c>
      <c r="B704" t="s">
        <v>980</v>
      </c>
      <c r="G704" t="s">
        <v>7783</v>
      </c>
      <c r="H704" t="str" cm="1">
        <f t="array" ref="H704">_xlfn.TEXTSPLIT(G704,";")</f>
        <v>NO_6</v>
      </c>
      <c r="M704" t="s">
        <v>5795</v>
      </c>
    </row>
    <row r="705" spans="1:13">
      <c r="A705" t="s">
        <v>94</v>
      </c>
      <c r="B705" t="s">
        <v>94</v>
      </c>
      <c r="G705" t="s">
        <v>7785</v>
      </c>
      <c r="H705" t="str" cm="1">
        <f t="array" ref="H705">_xlfn.TEXTSPLIT(G705,";")</f>
        <v>NO_7</v>
      </c>
      <c r="M705" t="s">
        <v>7564</v>
      </c>
    </row>
    <row r="706" spans="1:13">
      <c r="A706" t="s">
        <v>8526</v>
      </c>
      <c r="B706" t="s">
        <v>8526</v>
      </c>
      <c r="G706" t="s">
        <v>7787</v>
      </c>
      <c r="H706" t="str" cm="1">
        <f t="array" ref="H706">_xlfn.TEXTSPLIT(G706,";")</f>
        <v>NO_8</v>
      </c>
      <c r="M706" t="s">
        <v>773</v>
      </c>
    </row>
    <row r="707" spans="1:13">
      <c r="A707" t="s">
        <v>551</v>
      </c>
      <c r="B707" t="s">
        <v>551</v>
      </c>
      <c r="G707" t="s">
        <v>7789</v>
      </c>
      <c r="H707" t="str" cm="1">
        <f t="array" ref="H707">_xlfn.TEXTSPLIT(G707,";")</f>
        <v>NO_9</v>
      </c>
      <c r="M707" t="s">
        <v>8418</v>
      </c>
    </row>
    <row r="708" spans="1:13">
      <c r="A708" t="s">
        <v>106</v>
      </c>
      <c r="B708" t="s">
        <v>106</v>
      </c>
      <c r="G708" t="s">
        <v>7943</v>
      </c>
      <c r="H708" t="str" cm="1">
        <f t="array" ref="H708">_xlfn.TEXTSPLIT(G708,";")</f>
        <v>GUEZE</v>
      </c>
      <c r="M708" t="s">
        <v>8514</v>
      </c>
    </row>
    <row r="709" spans="1:13">
      <c r="A709" t="s">
        <v>8586</v>
      </c>
      <c r="B709" t="s">
        <v>8586</v>
      </c>
      <c r="G709" t="s">
        <v>7945</v>
      </c>
      <c r="H709" t="str" cm="1">
        <f t="array" ref="H709">_xlfn.TEXTSPLIT(G709,";")</f>
        <v>TROCH</v>
      </c>
      <c r="M709" t="s">
        <v>886</v>
      </c>
    </row>
    <row r="710" spans="1:13">
      <c r="A710" t="s">
        <v>8711</v>
      </c>
      <c r="B710" t="s">
        <v>8711</v>
      </c>
      <c r="G710" t="s">
        <v>866</v>
      </c>
      <c r="H710" t="str" cm="1">
        <f t="array" ref="H710">_xlfn.TEXTSPLIT(G710,";")</f>
        <v>GEUZE</v>
      </c>
      <c r="M710" t="s">
        <v>5796</v>
      </c>
    </row>
    <row r="711" spans="1:13">
      <c r="A711" t="s">
        <v>8612</v>
      </c>
      <c r="B711" t="s">
        <v>8612</v>
      </c>
      <c r="G711" t="s">
        <v>6444</v>
      </c>
      <c r="H711" t="str" cm="1">
        <f t="array" ref="H711">_xlfn.TEXTSPLIT(G711,";")</f>
        <v>OUDE_LAMBIEK</v>
      </c>
      <c r="M711" t="s">
        <v>5797</v>
      </c>
    </row>
    <row r="712" spans="1:13">
      <c r="A712" t="s">
        <v>9464</v>
      </c>
      <c r="B712" t="s">
        <v>9464</v>
      </c>
      <c r="G712" t="s">
        <v>10026</v>
      </c>
      <c r="H712" t="str" cm="1">
        <f t="array" ref="H712">_xlfn.TEXTSPLIT(G712,";")</f>
        <v>BLOSSOM</v>
      </c>
      <c r="M712" t="s">
        <v>5798</v>
      </c>
    </row>
    <row r="713" spans="1:13">
      <c r="A713" t="s">
        <v>331</v>
      </c>
      <c r="B713" t="s">
        <v>331</v>
      </c>
      <c r="G713" t="s">
        <v>6551</v>
      </c>
      <c r="H713" t="str" cm="1">
        <f t="array" ref="H713:I713">_xlfn.TEXTSPLIT(G713,";")</f>
        <v>GUEUZE</v>
      </c>
      <c r="I713" t="str">
        <v>CORE</v>
      </c>
      <c r="M713" t="s">
        <v>5799</v>
      </c>
    </row>
    <row r="714" spans="1:13">
      <c r="A714" t="s">
        <v>8728</v>
      </c>
      <c r="B714" t="s">
        <v>8728</v>
      </c>
      <c r="G714" t="s">
        <v>1995</v>
      </c>
      <c r="H714" t="str" cm="1">
        <f t="array" ref="H714">_xlfn.TEXTSPLIT(G714,";")</f>
        <v>BARREL_SELECT</v>
      </c>
      <c r="M714" t="s">
        <v>5621</v>
      </c>
    </row>
    <row r="715" spans="1:13">
      <c r="A715" t="s">
        <v>9461</v>
      </c>
      <c r="B715" t="s">
        <v>9461</v>
      </c>
      <c r="G715" t="s">
        <v>10027</v>
      </c>
      <c r="H715" t="str" cm="1">
        <f t="array" ref="H715">_xlfn.TEXTSPLIT(G715,";")</f>
        <v>OUDE_PIJPEN</v>
      </c>
      <c r="M715" t="s">
        <v>5622</v>
      </c>
    </row>
    <row r="716" spans="1:13">
      <c r="A716" t="s">
        <v>8651</v>
      </c>
      <c r="B716" t="s">
        <v>8651</v>
      </c>
      <c r="G716" t="s">
        <v>9239</v>
      </c>
      <c r="H716" t="str" cm="1">
        <f t="array" ref="H716">_xlfn.TEXTSPLIT(G716,";")</f>
        <v>SUREAU</v>
      </c>
      <c r="M716" t="s">
        <v>5629</v>
      </c>
    </row>
    <row r="717" spans="1:13">
      <c r="A717" t="s">
        <v>634</v>
      </c>
      <c r="B717" t="s">
        <v>634</v>
      </c>
      <c r="G717" t="s">
        <v>6542</v>
      </c>
      <c r="H717" t="str" cm="1">
        <f t="array" ref="H717:I717">_xlfn.TEXTSPLIT(G717,";")</f>
        <v>OUDE_KRIEK</v>
      </c>
      <c r="I717" t="str">
        <v>CHERRY</v>
      </c>
      <c r="M717" t="s">
        <v>1500</v>
      </c>
    </row>
    <row r="718" spans="1:13">
      <c r="A718" t="s">
        <v>960</v>
      </c>
      <c r="B718" t="s">
        <v>960</v>
      </c>
      <c r="G718" t="s">
        <v>5743</v>
      </c>
      <c r="H718" t="str" cm="1">
        <f t="array" ref="H718">_xlfn.TEXTSPLIT(G718,";")</f>
        <v>LAMBIC &gt; KRIEK</v>
      </c>
      <c r="M718" t="s">
        <v>8079</v>
      </c>
    </row>
    <row r="719" spans="1:13">
      <c r="A719" t="s">
        <v>8480</v>
      </c>
      <c r="B719" t="s">
        <v>8480</v>
      </c>
      <c r="G719" t="s">
        <v>6553</v>
      </c>
      <c r="H719" t="str" cm="1">
        <f t="array" ref="H719:J719">_xlfn.TEXTSPLIT(G719,";")</f>
        <v>KRIEK_LAMBIC</v>
      </c>
      <c r="I719" t="str">
        <v>CORE</v>
      </c>
      <c r="J719" t="str">
        <v>CHERRY</v>
      </c>
      <c r="M719" t="s">
        <v>8326</v>
      </c>
    </row>
    <row r="720" spans="1:13">
      <c r="A720" t="s">
        <v>9457</v>
      </c>
      <c r="B720" t="s">
        <v>9457</v>
      </c>
      <c r="G720" t="s">
        <v>6384</v>
      </c>
      <c r="H720" t="str" cm="1">
        <f t="array" ref="H720:I720">_xlfn.TEXTSPLIT(G720,";")</f>
        <v>LAMBIC &gt; OTHER</v>
      </c>
      <c r="I720" t="str">
        <v>LAMBIC</v>
      </c>
      <c r="M720" t="s">
        <v>5258</v>
      </c>
    </row>
    <row r="721" spans="1:13">
      <c r="A721" t="s">
        <v>9467</v>
      </c>
      <c r="B721" t="s">
        <v>9467</v>
      </c>
      <c r="G721" t="s">
        <v>5744</v>
      </c>
      <c r="H721" t="str" cm="1">
        <f t="array" ref="H721">_xlfn.TEXTSPLIT(G721,";")</f>
        <v>LAMBIC &gt; OTHER</v>
      </c>
      <c r="M721" t="s">
        <v>5800</v>
      </c>
    </row>
    <row r="722" spans="1:13">
      <c r="A722" t="s">
        <v>498</v>
      </c>
      <c r="B722" t="s">
        <v>498</v>
      </c>
      <c r="G722" t="s">
        <v>5745</v>
      </c>
      <c r="H722" t="str" cm="1">
        <f t="array" ref="H722">_xlfn.TEXTSPLIT(G722,";")</f>
        <v>LAMBIC &gt; TRADITIONAL</v>
      </c>
      <c r="M722" t="s">
        <v>7910</v>
      </c>
    </row>
    <row r="723" spans="1:13">
      <c r="A723" t="s">
        <v>9447</v>
      </c>
      <c r="B723" t="s">
        <v>9447</v>
      </c>
      <c r="G723" t="s">
        <v>5458</v>
      </c>
      <c r="H723" t="str" cm="1">
        <f t="array" ref="H723:I723">_xlfn.TEXTSPLIT(G723,";")</f>
        <v>AGRUMES</v>
      </c>
      <c r="I723" t="str">
        <v>GRAPEFRUIT</v>
      </c>
      <c r="M723" t="s">
        <v>5801</v>
      </c>
    </row>
    <row r="724" spans="1:13">
      <c r="A724" t="s">
        <v>562</v>
      </c>
      <c r="B724" t="s">
        <v>562</v>
      </c>
      <c r="G724" t="s">
        <v>6918</v>
      </c>
      <c r="H724" t="str" cm="1">
        <f t="array" ref="H724:I724">_xlfn.TEXTSPLIT(G724,";")</f>
        <v>APPLE</v>
      </c>
      <c r="I724" t="str">
        <v>CORE</v>
      </c>
      <c r="M724" t="s">
        <v>5271</v>
      </c>
    </row>
    <row r="725" spans="1:13">
      <c r="A725" t="s">
        <v>8919</v>
      </c>
      <c r="B725" t="s">
        <v>8919</v>
      </c>
      <c r="G725" t="s">
        <v>5433</v>
      </c>
      <c r="H725" t="str" cm="1">
        <f t="array" ref="H725:J725">_xlfn.TEXTSPLIT(G725,";")</f>
        <v>BLACKCURRANT</v>
      </c>
      <c r="I725" t="str">
        <v>BLUEBERRY</v>
      </c>
      <c r="J725" t="str">
        <v>GINSENG</v>
      </c>
      <c r="M725" t="s">
        <v>5802</v>
      </c>
    </row>
    <row r="726" spans="1:13">
      <c r="A726" t="s">
        <v>431</v>
      </c>
      <c r="B726" t="s">
        <v>431</v>
      </c>
      <c r="G726" t="s">
        <v>5376</v>
      </c>
      <c r="H726" t="str" cm="1">
        <f t="array" ref="H726:I726">_xlfn.TEXTSPLIT(G726,";")</f>
        <v>ORANGE</v>
      </c>
      <c r="I726" t="str">
        <v>BLOOD_ORANGE</v>
      </c>
      <c r="M726" t="s">
        <v>5803</v>
      </c>
    </row>
    <row r="727" spans="1:13">
      <c r="A727" t="s">
        <v>127</v>
      </c>
      <c r="B727" t="s">
        <v>127</v>
      </c>
      <c r="G727" t="s">
        <v>6777</v>
      </c>
      <c r="H727" t="str" cm="1">
        <f t="array" ref="H727">_xlfn.TEXTSPLIT(G727,";")</f>
        <v>BURGUNDEE</v>
      </c>
      <c r="M727" t="s">
        <v>5804</v>
      </c>
    </row>
    <row r="728" spans="1:13">
      <c r="A728" t="s">
        <v>8933</v>
      </c>
      <c r="B728" t="s">
        <v>8933</v>
      </c>
      <c r="G728" t="s">
        <v>6754</v>
      </c>
      <c r="H728" t="str" cm="1">
        <f t="array" ref="H728">_xlfn.TEXTSPLIT(G728,";")</f>
        <v>GRAPE</v>
      </c>
      <c r="M728" t="s">
        <v>5805</v>
      </c>
    </row>
    <row r="729" spans="1:13">
      <c r="A729" t="s">
        <v>565</v>
      </c>
      <c r="B729" t="s">
        <v>565</v>
      </c>
      <c r="G729" t="s">
        <v>5377</v>
      </c>
      <c r="H729" t="str" cm="1">
        <f t="array" ref="H729:I729">_xlfn.TEXTSPLIT(G729,";")</f>
        <v>PINK</v>
      </c>
      <c r="I729" t="str">
        <v>GRAPEFRUIT</v>
      </c>
      <c r="M729" t="s">
        <v>10035</v>
      </c>
    </row>
    <row r="730" spans="1:13">
      <c r="A730" t="s">
        <v>9059</v>
      </c>
      <c r="B730" t="s">
        <v>9059</v>
      </c>
      <c r="G730" t="s">
        <v>6790</v>
      </c>
      <c r="H730" t="str" cm="1">
        <f t="array" ref="H730:I730">_xlfn.TEXTSPLIT(G730,";")</f>
        <v>GRAPEFRUIT</v>
      </c>
      <c r="I730" t="str">
        <v>PINK</v>
      </c>
      <c r="M730" t="s">
        <v>5806</v>
      </c>
    </row>
    <row r="731" spans="1:13">
      <c r="A731" t="s">
        <v>9063</v>
      </c>
      <c r="B731" t="s">
        <v>9063</v>
      </c>
      <c r="G731" t="s">
        <v>6791</v>
      </c>
      <c r="H731" t="str" cm="1">
        <f t="array" ref="H731">_xlfn.TEXTSPLIT(G731,";")</f>
        <v>PINK_GRAPEFRUIT</v>
      </c>
      <c r="M731" t="s">
        <v>5807</v>
      </c>
    </row>
    <row r="732" spans="1:13">
      <c r="A732" t="s">
        <v>477</v>
      </c>
      <c r="B732" t="s">
        <v>477</v>
      </c>
      <c r="G732" t="s">
        <v>6861</v>
      </c>
      <c r="H732" t="str" cm="1">
        <f t="array" ref="H732:I732">_xlfn.TEXTSPLIT(G732,";")</f>
        <v>LEMON</v>
      </c>
      <c r="I732" t="str">
        <v>MINT</v>
      </c>
      <c r="M732" t="s">
        <v>5808</v>
      </c>
    </row>
    <row r="733" spans="1:13">
      <c r="A733" t="s">
        <v>570</v>
      </c>
      <c r="B733" t="s">
        <v>570</v>
      </c>
      <c r="G733" t="s">
        <v>5375</v>
      </c>
      <c r="H733" t="str" cm="1">
        <f t="array" ref="H733:I733">_xlfn.TEXTSPLIT(G733,";")</f>
        <v>LEMON</v>
      </c>
      <c r="I733" t="str">
        <v>LIME</v>
      </c>
      <c r="M733" t="s">
        <v>5809</v>
      </c>
    </row>
    <row r="734" spans="1:13">
      <c r="A734" t="s">
        <v>571</v>
      </c>
      <c r="B734" t="s">
        <v>571</v>
      </c>
      <c r="G734" t="s">
        <v>6774</v>
      </c>
      <c r="H734" t="str" cm="1">
        <f t="array" ref="H734:J734">_xlfn.TEXTSPLIT(G734,";")</f>
        <v>LEMON</v>
      </c>
      <c r="I734" t="str">
        <v>LIME</v>
      </c>
      <c r="J734" t="str">
        <v>BITTER</v>
      </c>
      <c r="M734" t="s">
        <v>5810</v>
      </c>
    </row>
    <row r="735" spans="1:13">
      <c r="A735" t="s">
        <v>436</v>
      </c>
      <c r="B735" t="s">
        <v>436</v>
      </c>
      <c r="G735" t="s">
        <v>6709</v>
      </c>
      <c r="H735" t="str" cm="1">
        <f t="array" ref="H735">_xlfn.TEXTSPLIT(G735,";")</f>
        <v>REFRESHING</v>
      </c>
      <c r="M735" t="s">
        <v>5811</v>
      </c>
    </row>
    <row r="736" spans="1:13">
      <c r="A736" t="s">
        <v>9445</v>
      </c>
      <c r="B736" t="s">
        <v>9445</v>
      </c>
      <c r="G736" t="s">
        <v>6843</v>
      </c>
      <c r="H736" t="str" cm="1">
        <f t="array" ref="H736">_xlfn.TEXTSPLIT(G736,";")</f>
        <v>LEMON_SODA</v>
      </c>
      <c r="M736" t="s">
        <v>5812</v>
      </c>
    </row>
    <row r="737" spans="1:13">
      <c r="A737" t="s">
        <v>142</v>
      </c>
      <c r="B737" t="s">
        <v>142</v>
      </c>
      <c r="G737" t="s">
        <v>6823</v>
      </c>
      <c r="H737" t="str" cm="1">
        <f t="array" ref="H737">_xlfn.TEXTSPLIT(G737,";")</f>
        <v>REFRESHER</v>
      </c>
      <c r="M737" t="s">
        <v>5813</v>
      </c>
    </row>
    <row r="738" spans="1:13">
      <c r="A738" t="s">
        <v>8058</v>
      </c>
      <c r="B738" t="s">
        <v>8058</v>
      </c>
      <c r="G738" t="s">
        <v>5425</v>
      </c>
      <c r="H738" t="str" cm="1">
        <f t="array" ref="H738:J738">_xlfn.TEXTSPLIT(G738,";")</f>
        <v>CORE</v>
      </c>
      <c r="I738" t="str">
        <v>LEMON</v>
      </c>
      <c r="J738" t="str">
        <v>LIME</v>
      </c>
      <c r="M738" t="s">
        <v>7548</v>
      </c>
    </row>
    <row r="739" spans="1:13">
      <c r="A739" t="s">
        <v>146</v>
      </c>
      <c r="B739" t="s">
        <v>146</v>
      </c>
      <c r="G739" t="s">
        <v>6769</v>
      </c>
      <c r="H739" t="str" cm="1">
        <f t="array" ref="H739:I739">_xlfn.TEXTSPLIT(G739,";")</f>
        <v>PINEAPPLE</v>
      </c>
      <c r="I739" t="str">
        <v>COCONUT</v>
      </c>
      <c r="M739" t="s">
        <v>5814</v>
      </c>
    </row>
    <row r="740" spans="1:13">
      <c r="A740" t="s">
        <v>9125</v>
      </c>
      <c r="B740" t="s">
        <v>9125</v>
      </c>
      <c r="G740" t="s">
        <v>6733</v>
      </c>
      <c r="H740" t="str" cm="1">
        <f t="array" ref="H740">_xlfn.TEXTSPLIT(G740,";")</f>
        <v>GUAVA</v>
      </c>
      <c r="M740" t="s">
        <v>948</v>
      </c>
    </row>
    <row r="741" spans="1:13">
      <c r="A741" t="s">
        <v>9127</v>
      </c>
      <c r="B741" t="s">
        <v>9127</v>
      </c>
      <c r="G741" t="s">
        <v>6796</v>
      </c>
      <c r="H741" t="str" cm="1">
        <f t="array" ref="H741:I741">_xlfn.TEXTSPLIT(G741,";")</f>
        <v>CUCUMBER</v>
      </c>
      <c r="I741" t="str">
        <v>WATERMELON</v>
      </c>
      <c r="M741" t="s">
        <v>5815</v>
      </c>
    </row>
    <row r="742" spans="1:13">
      <c r="A742" t="s">
        <v>10007</v>
      </c>
      <c r="B742" t="s">
        <v>10007</v>
      </c>
      <c r="G742" t="s">
        <v>6793</v>
      </c>
      <c r="H742" t="str" cm="1">
        <f t="array" ref="H742:I742">_xlfn.TEXTSPLIT(G742,";")</f>
        <v>POMEGRANATE</v>
      </c>
      <c r="I742" t="str">
        <v>BASIL</v>
      </c>
      <c r="M742" t="s">
        <v>5816</v>
      </c>
    </row>
    <row r="743" spans="1:13">
      <c r="A743" t="s">
        <v>9132</v>
      </c>
      <c r="B743" t="s">
        <v>9132</v>
      </c>
      <c r="G743" t="s">
        <v>6737</v>
      </c>
      <c r="H743" t="str" cm="1">
        <f t="array" ref="H743">_xlfn.TEXTSPLIT(G743,";")</f>
        <v>FRUIT_PUNCH</v>
      </c>
      <c r="M743" t="s">
        <v>5817</v>
      </c>
    </row>
    <row r="744" spans="1:13">
      <c r="A744" t="s">
        <v>9144</v>
      </c>
      <c r="B744" t="s">
        <v>9144</v>
      </c>
      <c r="G744" t="s">
        <v>6739</v>
      </c>
      <c r="H744" t="str" cm="1">
        <f t="array" ref="H744">_xlfn.TEXTSPLIT(G744,";")</f>
        <v>MANDARIN</v>
      </c>
      <c r="M744" t="s">
        <v>5818</v>
      </c>
    </row>
    <row r="745" spans="1:13">
      <c r="A745" t="s">
        <v>9160</v>
      </c>
      <c r="B745" t="s">
        <v>9160</v>
      </c>
      <c r="G745" t="s">
        <v>6746</v>
      </c>
      <c r="H745" t="str" cm="1">
        <f t="array" ref="H745">_xlfn.TEXTSPLIT(G745,";")</f>
        <v>TAMARIND</v>
      </c>
      <c r="M745" t="s">
        <v>970</v>
      </c>
    </row>
    <row r="746" spans="1:13">
      <c r="A746" t="s">
        <v>9171</v>
      </c>
      <c r="B746" t="s">
        <v>9171</v>
      </c>
      <c r="G746" t="s">
        <v>5422</v>
      </c>
      <c r="H746" t="str" cm="1">
        <f t="array" ref="H746:I746">_xlfn.TEXTSPLIT(G746,";")</f>
        <v>AGRUMES</v>
      </c>
      <c r="I746" t="str">
        <v>YLANG</v>
      </c>
      <c r="M746" t="s">
        <v>5819</v>
      </c>
    </row>
    <row r="747" spans="1:13">
      <c r="A747" t="s">
        <v>578</v>
      </c>
      <c r="B747" t="s">
        <v>578</v>
      </c>
      <c r="G747" t="s">
        <v>5423</v>
      </c>
      <c r="H747" t="str" cm="1">
        <f t="array" ref="H747:I747">_xlfn.TEXTSPLIT(G747,";")</f>
        <v>PINK</v>
      </c>
      <c r="I747" t="str">
        <v>BERRY</v>
      </c>
      <c r="M747" t="s">
        <v>5820</v>
      </c>
    </row>
    <row r="748" spans="1:13">
      <c r="A748" t="s">
        <v>286</v>
      </c>
      <c r="B748" t="s">
        <v>286</v>
      </c>
      <c r="G748" t="s">
        <v>6889</v>
      </c>
      <c r="H748" t="str" cm="1">
        <f t="array" ref="H748:I748">_xlfn.TEXTSPLIT(G748,";")</f>
        <v>ROSE</v>
      </c>
      <c r="I748" t="str">
        <v>LEMONADE</v>
      </c>
      <c r="M748" t="s">
        <v>5821</v>
      </c>
    </row>
    <row r="749" spans="1:13">
      <c r="A749" t="s">
        <v>7157</v>
      </c>
      <c r="B749" t="s">
        <v>7157</v>
      </c>
      <c r="G749" t="s">
        <v>6893</v>
      </c>
      <c r="H749" t="str" cm="1">
        <f t="array" ref="H749">_xlfn.TEXTSPLIT(G749,";")</f>
        <v>G_T</v>
      </c>
      <c r="M749" t="s">
        <v>5623</v>
      </c>
    </row>
    <row r="750" spans="1:13">
      <c r="A750" t="s">
        <v>584</v>
      </c>
      <c r="B750" t="s">
        <v>584</v>
      </c>
      <c r="G750" t="s">
        <v>5456</v>
      </c>
      <c r="H750" t="str" cm="1">
        <f t="array" ref="H750:I750">_xlfn.TEXTSPLIT(G750,";")</f>
        <v>PEPPER</v>
      </c>
      <c r="I750" t="str">
        <v>CHILI</v>
      </c>
      <c r="M750" t="s">
        <v>173</v>
      </c>
    </row>
    <row r="751" spans="1:13">
      <c r="A751" t="s">
        <v>9266</v>
      </c>
      <c r="B751" t="s">
        <v>9266</v>
      </c>
      <c r="G751" t="s">
        <v>5434</v>
      </c>
      <c r="H751" t="str" cm="1">
        <f t="array" ref="H751:J751">_xlfn.TEXTSPLIT(G751,";")</f>
        <v>DRAGONFRUIT</v>
      </c>
      <c r="I751" t="str">
        <v>ORANGE</v>
      </c>
      <c r="J751" t="str">
        <v>GINGER</v>
      </c>
      <c r="M751" t="s">
        <v>1978</v>
      </c>
    </row>
    <row r="752" spans="1:13">
      <c r="A752" t="s">
        <v>342</v>
      </c>
      <c r="B752" t="s">
        <v>342</v>
      </c>
      <c r="G752" t="s">
        <v>5435</v>
      </c>
      <c r="H752" t="str" cm="1">
        <f t="array" ref="H752:I752">_xlfn.TEXTSPLIT(G752,";")</f>
        <v>GREEN</v>
      </c>
      <c r="I752" t="str">
        <v>GINGKO</v>
      </c>
      <c r="M752" t="s">
        <v>1508</v>
      </c>
    </row>
    <row r="753" spans="1:13">
      <c r="A753" t="s">
        <v>621</v>
      </c>
      <c r="B753" t="s">
        <v>621</v>
      </c>
      <c r="G753" t="s">
        <v>5436</v>
      </c>
      <c r="H753" t="str" cm="1">
        <f t="array" ref="H753:I753">_xlfn.TEXTSPLIT(G753,";")</f>
        <v>RED</v>
      </c>
      <c r="I753" t="str">
        <v>ROSEHIP</v>
      </c>
      <c r="M753" t="s">
        <v>6926</v>
      </c>
    </row>
    <row r="754" spans="1:13">
      <c r="A754" t="s">
        <v>7200</v>
      </c>
      <c r="B754" t="s">
        <v>7200</v>
      </c>
      <c r="G754" t="s">
        <v>5378</v>
      </c>
      <c r="H754" t="str" cm="1">
        <f t="array" ref="H754:I754">_xlfn.TEXTSPLIT(G754,";")</f>
        <v>POMEGRANATE</v>
      </c>
      <c r="I754" t="str">
        <v>CRANBERRY</v>
      </c>
      <c r="M754" t="s">
        <v>6783</v>
      </c>
    </row>
    <row r="755" spans="1:13">
      <c r="A755" t="s">
        <v>9373</v>
      </c>
      <c r="B755" t="s">
        <v>9373</v>
      </c>
      <c r="G755" t="s">
        <v>6960</v>
      </c>
      <c r="H755" t="str" cm="1">
        <f t="array" ref="H755:I755">_xlfn.TEXTSPLIT(G755,";")</f>
        <v>GREEN</v>
      </c>
      <c r="I755" t="str">
        <v>CORE</v>
      </c>
      <c r="M755" t="s">
        <v>195</v>
      </c>
    </row>
    <row r="756" spans="1:13">
      <c r="A756" t="s">
        <v>6464</v>
      </c>
      <c r="B756" t="s">
        <v>6464</v>
      </c>
      <c r="G756" t="s">
        <v>6881</v>
      </c>
      <c r="H756" t="str" cm="1">
        <f t="array" ref="H756:I756">_xlfn.TEXTSPLIT(G756,";")</f>
        <v>MOJITO</v>
      </c>
      <c r="I756" t="str">
        <v>STRAWBERRY</v>
      </c>
      <c r="M756" t="s">
        <v>5624</v>
      </c>
    </row>
    <row r="757" spans="1:13">
      <c r="A757" t="s">
        <v>1206</v>
      </c>
      <c r="B757" t="s">
        <v>1206</v>
      </c>
      <c r="G757" t="s">
        <v>6885</v>
      </c>
      <c r="H757" t="str" cm="1">
        <f t="array" ref="H757:I757">_xlfn.TEXTSPLIT(G757,";")</f>
        <v>APPLE</v>
      </c>
      <c r="I757" t="str">
        <v>GRAPE</v>
      </c>
      <c r="M757" t="s">
        <v>996</v>
      </c>
    </row>
    <row r="758" spans="1:13">
      <c r="A758" t="s">
        <v>9013</v>
      </c>
      <c r="B758" t="s">
        <v>9013</v>
      </c>
      <c r="G758" t="s">
        <v>6871</v>
      </c>
      <c r="H758" t="str" cm="1">
        <f t="array" ref="H758:I758">_xlfn.TEXTSPLIT(G758,";")</f>
        <v>MANGO</v>
      </c>
      <c r="I758" t="str">
        <v>PEACH</v>
      </c>
      <c r="M758" t="s">
        <v>1990</v>
      </c>
    </row>
    <row r="759" spans="1:13">
      <c r="A759" t="s">
        <v>446</v>
      </c>
      <c r="B759" t="s">
        <v>446</v>
      </c>
      <c r="G759" t="s">
        <v>6875</v>
      </c>
      <c r="H759" t="str" cm="1">
        <f t="array" ref="H759:I759">_xlfn.TEXTSPLIT(G759,";")</f>
        <v>KIWI</v>
      </c>
      <c r="I759" t="str">
        <v>LIME</v>
      </c>
      <c r="M759" t="s">
        <v>7290</v>
      </c>
    </row>
    <row r="760" spans="1:13">
      <c r="A760" t="s">
        <v>314</v>
      </c>
      <c r="B760" t="s">
        <v>314</v>
      </c>
      <c r="G760" t="s">
        <v>6766</v>
      </c>
      <c r="H760" t="str" cm="1">
        <f t="array" ref="H760:I760">_xlfn.TEXTSPLIT(G760,";")</f>
        <v>MANGO</v>
      </c>
      <c r="I760" t="str">
        <v>TROPICAL</v>
      </c>
      <c r="M760" t="s">
        <v>5822</v>
      </c>
    </row>
    <row r="761" spans="1:13">
      <c r="A761" t="s">
        <v>592</v>
      </c>
      <c r="B761" t="s">
        <v>592</v>
      </c>
      <c r="G761" t="s">
        <v>6864</v>
      </c>
      <c r="H761" t="str" cm="1">
        <f t="array" ref="H761:J761">_xlfn.TEXTSPLIT(G761,";")</f>
        <v>BLUE</v>
      </c>
      <c r="I761" t="str">
        <v>HAWAII</v>
      </c>
      <c r="J761" t="str">
        <v>TROPICAL</v>
      </c>
      <c r="M761" t="s">
        <v>5823</v>
      </c>
    </row>
    <row r="762" spans="1:13">
      <c r="A762" t="s">
        <v>560</v>
      </c>
      <c r="B762" t="s">
        <v>560</v>
      </c>
      <c r="G762" t="s">
        <v>5604</v>
      </c>
      <c r="H762" t="str" cm="1">
        <f t="array" ref="H762">_xlfn.TEXTSPLIT(G762,";")</f>
        <v>MAKGEOLLI</v>
      </c>
      <c r="M762" t="s">
        <v>8301</v>
      </c>
    </row>
    <row r="763" spans="1:13">
      <c r="A763" t="s">
        <v>1856</v>
      </c>
      <c r="B763" t="s">
        <v>1856</v>
      </c>
      <c r="G763" t="s">
        <v>5605</v>
      </c>
      <c r="H763" t="str" cm="1">
        <f t="array" ref="H763">_xlfn.TEXTSPLIT(G763,";")</f>
        <v>MALT_BEER</v>
      </c>
      <c r="M763" t="s">
        <v>5824</v>
      </c>
    </row>
    <row r="764" spans="1:13">
      <c r="A764" t="s">
        <v>199</v>
      </c>
      <c r="B764" t="s">
        <v>199</v>
      </c>
      <c r="G764" t="s">
        <v>5606</v>
      </c>
      <c r="H764" t="str" cm="1">
        <f t="array" ref="H764">_xlfn.TEXTSPLIT(G764,";")</f>
        <v>MALT_LIQUOR</v>
      </c>
      <c r="M764" t="s">
        <v>5825</v>
      </c>
    </row>
    <row r="765" spans="1:13">
      <c r="A765" t="s">
        <v>200</v>
      </c>
      <c r="B765" t="s">
        <v>200</v>
      </c>
      <c r="G765" t="s">
        <v>5607</v>
      </c>
      <c r="H765" t="str" cm="1">
        <f t="array" ref="H765">_xlfn.TEXTSPLIT(G765,";")</f>
        <v>MARZEN</v>
      </c>
      <c r="M765" t="s">
        <v>1019</v>
      </c>
    </row>
    <row r="766" spans="1:13">
      <c r="A766" t="s">
        <v>9449</v>
      </c>
      <c r="B766" t="s">
        <v>9449</v>
      </c>
      <c r="G766" t="s">
        <v>123</v>
      </c>
      <c r="H766" t="str" cm="1">
        <f t="array" ref="H766">_xlfn.TEXTSPLIT(G766,";")</f>
        <v>MAZOUT</v>
      </c>
      <c r="M766" t="s">
        <v>8174</v>
      </c>
    </row>
    <row r="767" spans="1:13">
      <c r="A767" t="s">
        <v>8985</v>
      </c>
      <c r="B767" t="s">
        <v>8985</v>
      </c>
      <c r="G767" t="s">
        <v>5746</v>
      </c>
      <c r="H767" t="str" cm="1">
        <f t="array" ref="H767">_xlfn.TEXTSPLIT(G767,";")</f>
        <v>MEAD &gt; ACERGLYN_/_MAPLE_WINE</v>
      </c>
      <c r="M767" t="s">
        <v>8177</v>
      </c>
    </row>
    <row r="768" spans="1:13">
      <c r="A768" t="s">
        <v>7655</v>
      </c>
      <c r="B768" t="s">
        <v>7655</v>
      </c>
      <c r="G768" t="s">
        <v>5747</v>
      </c>
      <c r="H768" t="str" cm="1">
        <f t="array" ref="H768">_xlfn.TEXTSPLIT(G768,";")</f>
        <v>MEAD &gt; BOCHET</v>
      </c>
      <c r="M768" t="s">
        <v>8179</v>
      </c>
    </row>
    <row r="769" spans="1:13">
      <c r="A769" t="s">
        <v>8987</v>
      </c>
      <c r="B769" t="s">
        <v>8987</v>
      </c>
      <c r="G769" t="s">
        <v>5748</v>
      </c>
      <c r="H769" t="str" cm="1">
        <f t="array" ref="H769">_xlfn.TEXTSPLIT(G769,";")</f>
        <v>MEAD &gt; BRAGGOT</v>
      </c>
      <c r="M769" t="s">
        <v>5826</v>
      </c>
    </row>
    <row r="770" spans="1:13">
      <c r="A770" t="s">
        <v>9459</v>
      </c>
      <c r="B770" t="s">
        <v>9459</v>
      </c>
      <c r="G770" t="s">
        <v>5749</v>
      </c>
      <c r="H770" t="str" cm="1">
        <f t="array" ref="H770">_xlfn.TEXTSPLIT(G770,";")</f>
        <v>MEAD &gt; CYSER</v>
      </c>
      <c r="M770" t="s">
        <v>5827</v>
      </c>
    </row>
    <row r="771" spans="1:13">
      <c r="A771" t="s">
        <v>593</v>
      </c>
      <c r="B771" t="s">
        <v>593</v>
      </c>
      <c r="G771" t="s">
        <v>5750</v>
      </c>
      <c r="H771" t="str" cm="1">
        <f t="array" ref="H771">_xlfn.TEXTSPLIT(G771,";")</f>
        <v>MEAD &gt; MELOMEL</v>
      </c>
      <c r="M771" t="s">
        <v>5828</v>
      </c>
    </row>
    <row r="772" spans="1:13">
      <c r="A772" t="s">
        <v>9473</v>
      </c>
      <c r="B772" t="s">
        <v>9473</v>
      </c>
      <c r="G772" t="s">
        <v>5751</v>
      </c>
      <c r="H772" t="str" cm="1">
        <f t="array" ref="H772">_xlfn.TEXTSPLIT(G772,";")</f>
        <v>MEAD &gt; METHEGLIN</v>
      </c>
      <c r="M772" t="s">
        <v>8170</v>
      </c>
    </row>
    <row r="773" spans="1:13">
      <c r="A773" t="s">
        <v>594</v>
      </c>
      <c r="B773" t="s">
        <v>594</v>
      </c>
      <c r="G773" t="s">
        <v>6385</v>
      </c>
      <c r="H773" t="str" cm="1">
        <f t="array" ref="H773:I773">_xlfn.TEXTSPLIT(G773,";")</f>
        <v>MEAD &gt; OTHER</v>
      </c>
      <c r="I773" t="str">
        <v>MEAD</v>
      </c>
      <c r="M773" t="s">
        <v>5829</v>
      </c>
    </row>
    <row r="774" spans="1:13">
      <c r="A774" t="s">
        <v>1816</v>
      </c>
      <c r="B774" t="s">
        <v>1816</v>
      </c>
      <c r="G774" t="s">
        <v>5752</v>
      </c>
      <c r="H774" t="str" cm="1">
        <f t="array" ref="H774">_xlfn.TEXTSPLIT(G774,";")</f>
        <v>MEAD &gt; OTHER</v>
      </c>
      <c r="M774" t="s">
        <v>5830</v>
      </c>
    </row>
    <row r="775" spans="1:13">
      <c r="A775" t="s">
        <v>451</v>
      </c>
      <c r="B775" t="s">
        <v>451</v>
      </c>
      <c r="G775" t="s">
        <v>5753</v>
      </c>
      <c r="H775" t="str" cm="1">
        <f t="array" ref="H775">_xlfn.TEXTSPLIT(G775,";")</f>
        <v>MEAD &gt; PYMENT</v>
      </c>
      <c r="M775" t="s">
        <v>7424</v>
      </c>
    </row>
    <row r="776" spans="1:13">
      <c r="A776" t="s">
        <v>597</v>
      </c>
      <c r="B776" t="s">
        <v>597</v>
      </c>
      <c r="G776" t="s">
        <v>5754</v>
      </c>
      <c r="H776" t="str" cm="1">
        <f t="array" ref="H776">_xlfn.TEXTSPLIT(G776,";")</f>
        <v>MEAD &gt; SESSION_/_SHORT</v>
      </c>
      <c r="M776" t="s">
        <v>905</v>
      </c>
    </row>
    <row r="777" spans="1:13">
      <c r="A777" t="s">
        <v>218</v>
      </c>
      <c r="B777" t="s">
        <v>218</v>
      </c>
      <c r="G777" t="s">
        <v>5755</v>
      </c>
      <c r="H777" t="str" cm="1">
        <f t="array" ref="H777">_xlfn.TEXTSPLIT(G777,";")</f>
        <v>MEAD &gt; TRADITIONAL</v>
      </c>
      <c r="M777" t="s">
        <v>5831</v>
      </c>
    </row>
    <row r="778" spans="1:13">
      <c r="A778" t="s">
        <v>458</v>
      </c>
      <c r="B778" t="s">
        <v>458</v>
      </c>
      <c r="G778" t="s">
        <v>5756</v>
      </c>
      <c r="H778" t="str" cm="1">
        <f t="array" ref="H778">_xlfn.TEXTSPLIT(G778,";")</f>
        <v>MILD &gt; DARK</v>
      </c>
      <c r="M778" t="s">
        <v>950</v>
      </c>
    </row>
    <row r="779" spans="1:13">
      <c r="A779" t="s">
        <v>5066</v>
      </c>
      <c r="B779" t="s">
        <v>5066</v>
      </c>
      <c r="G779" t="s">
        <v>5757</v>
      </c>
      <c r="H779" t="str" cm="1">
        <f t="array" ref="H779">_xlfn.TEXTSPLIT(G779,";")</f>
        <v>MILD &gt; LIGHT</v>
      </c>
      <c r="M779" t="s">
        <v>7808</v>
      </c>
    </row>
    <row r="780" spans="1:13">
      <c r="A780" t="s">
        <v>6590</v>
      </c>
      <c r="B780" t="s">
        <v>6590</v>
      </c>
      <c r="G780" t="s">
        <v>5758</v>
      </c>
      <c r="H780" t="str" cm="1">
        <f t="array" ref="H780">_xlfn.TEXTSPLIT(G780,";")</f>
        <v>MILD &gt; OTHER</v>
      </c>
      <c r="M780" t="s">
        <v>8172</v>
      </c>
    </row>
    <row r="781" spans="1:13">
      <c r="A781" t="s">
        <v>7665</v>
      </c>
      <c r="B781" t="s">
        <v>7665</v>
      </c>
      <c r="G781" t="s">
        <v>5507</v>
      </c>
      <c r="H781" t="str" cm="1">
        <f t="array" ref="H781">_xlfn.TEXTSPLIT(G781,";")</f>
        <v>COLD</v>
      </c>
      <c r="M781" t="s">
        <v>8345</v>
      </c>
    </row>
    <row r="782" spans="1:13">
      <c r="A782" t="s">
        <v>7671</v>
      </c>
      <c r="B782" t="s">
        <v>7671</v>
      </c>
      <c r="G782" t="s">
        <v>6961</v>
      </c>
      <c r="H782" t="str" cm="1">
        <f t="array" ref="H782:I782">_xlfn.TEXTSPLIT(G782,";")</f>
        <v>CHOCOLAT</v>
      </c>
      <c r="I782" t="str">
        <v>CORE</v>
      </c>
      <c r="M782" t="s">
        <v>8421</v>
      </c>
    </row>
    <row r="783" spans="1:13">
      <c r="A783" t="s">
        <v>7677</v>
      </c>
      <c r="B783" t="s">
        <v>7677</v>
      </c>
      <c r="G783" t="s">
        <v>6717</v>
      </c>
      <c r="H783" t="str" cm="1">
        <f t="array" ref="H783:I783">_xlfn.TEXTSPLIT(G783,";")</f>
        <v>LEMON</v>
      </c>
      <c r="I783" t="str">
        <v>CORE</v>
      </c>
      <c r="M783" t="s">
        <v>8593</v>
      </c>
    </row>
    <row r="784" spans="1:13">
      <c r="A784" t="s">
        <v>7694</v>
      </c>
      <c r="B784" t="s">
        <v>7694</v>
      </c>
      <c r="G784" t="s">
        <v>6649</v>
      </c>
      <c r="H784" t="str" cm="1">
        <f t="array" ref="H784:I784">_xlfn.TEXTSPLIT(G784,";")</f>
        <v>MALT</v>
      </c>
      <c r="I784" t="str">
        <v>CORE</v>
      </c>
      <c r="M784" t="s">
        <v>9102</v>
      </c>
    </row>
    <row r="785" spans="1:16">
      <c r="A785" t="s">
        <v>522</v>
      </c>
      <c r="B785" t="s">
        <v>522</v>
      </c>
      <c r="G785" t="s">
        <v>5608</v>
      </c>
      <c r="H785" t="str" cm="1">
        <f t="array" ref="H785">_xlfn.TEXTSPLIT(G785,";")</f>
        <v>OLD_/_STOCK_ALE</v>
      </c>
      <c r="M785" t="s">
        <v>10009</v>
      </c>
    </row>
    <row r="786" spans="1:16">
      <c r="A786" t="s">
        <v>393</v>
      </c>
      <c r="B786" t="s">
        <v>393</v>
      </c>
      <c r="G786" t="s">
        <v>655</v>
      </c>
      <c r="H786" t="str" cm="1">
        <f t="array" ref="H786">_xlfn.TEXTSPLIT(G786,";")</f>
        <v>OUD_BRUIN</v>
      </c>
      <c r="M786" t="s">
        <v>9286</v>
      </c>
    </row>
    <row r="787" spans="1:16">
      <c r="A787" t="s">
        <v>7857</v>
      </c>
      <c r="B787" t="s">
        <v>7857</v>
      </c>
      <c r="G787" t="s">
        <v>848</v>
      </c>
      <c r="H787" t="str" cm="1">
        <f t="array" ref="H787">_xlfn.TEXTSPLIT(G787,";")</f>
        <v>PUUR</v>
      </c>
      <c r="M787" t="s">
        <v>10029</v>
      </c>
    </row>
    <row r="788" spans="1:16">
      <c r="A788" t="s">
        <v>7869</v>
      </c>
      <c r="B788" t="s">
        <v>7869</v>
      </c>
      <c r="G788" t="s">
        <v>5759</v>
      </c>
      <c r="H788" t="str" cm="1">
        <f t="array" ref="H788">_xlfn.TEXTSPLIT(G788,";")</f>
        <v>PALE_ALE &gt; AMERICAN</v>
      </c>
      <c r="M788" t="s">
        <v>10030</v>
      </c>
    </row>
    <row r="789" spans="1:16">
      <c r="A789" t="s">
        <v>538</v>
      </c>
      <c r="B789" t="s">
        <v>538</v>
      </c>
      <c r="G789" t="s">
        <v>8774</v>
      </c>
      <c r="H789" t="str" cm="1">
        <f t="array" ref="H789">_xlfn.TEXTSPLIT(G789,";")</f>
        <v>DAYTIME</v>
      </c>
      <c r="M789" t="s">
        <v>5832</v>
      </c>
    </row>
    <row r="790" spans="1:16">
      <c r="A790" t="s">
        <v>8473</v>
      </c>
      <c r="B790" t="s">
        <v>8473</v>
      </c>
      <c r="G790" t="s">
        <v>8776</v>
      </c>
      <c r="H790" t="str" cm="1">
        <f t="array" ref="H790">_xlfn.TEXTSPLIT(G790,";")</f>
        <v>SUMPIN</v>
      </c>
      <c r="M790" t="s">
        <v>5833</v>
      </c>
    </row>
    <row r="791" spans="1:16">
      <c r="A791" t="s">
        <v>8937</v>
      </c>
      <c r="B791" t="s">
        <v>8937</v>
      </c>
      <c r="G791" t="s">
        <v>5760</v>
      </c>
      <c r="H791" t="str" cm="1">
        <f t="array" ref="H791">_xlfn.TEXTSPLIT(G791,";")</f>
        <v>PALE_ALE &gt; AUSTRALIAN</v>
      </c>
      <c r="M791" t="s">
        <v>7028</v>
      </c>
    </row>
    <row r="792" spans="1:16">
      <c r="A792" t="s">
        <v>9169</v>
      </c>
      <c r="B792" t="s">
        <v>9169</v>
      </c>
      <c r="G792" t="s">
        <v>5761</v>
      </c>
      <c r="H792" t="str" cm="1">
        <f t="array" ref="H792">_xlfn.TEXTSPLIT(G792,";")</f>
        <v>PALE_ALE &gt; BELGIAN</v>
      </c>
      <c r="M792" t="s">
        <v>856</v>
      </c>
    </row>
    <row r="793" spans="1:16">
      <c r="A793" t="s">
        <v>591</v>
      </c>
      <c r="B793" t="s">
        <v>591</v>
      </c>
      <c r="G793" t="s">
        <v>7573</v>
      </c>
      <c r="H793" t="str" cm="1">
        <f t="array" ref="H793">_xlfn.TEXTSPLIT(G793,";")</f>
        <v>VIVA</v>
      </c>
      <c r="M793" t="s">
        <v>5625</v>
      </c>
    </row>
    <row r="794" spans="1:16">
      <c r="A794" t="s">
        <v>9016</v>
      </c>
      <c r="B794" t="s">
        <v>9016</v>
      </c>
      <c r="G794" t="s">
        <v>5231</v>
      </c>
      <c r="H794" t="str" cm="1">
        <f t="array" ref="H794:K794">_xlfn.TEXTSPLIT(G794,";")</f>
        <v>CORE</v>
      </c>
      <c r="I794" t="str">
        <v>BOLLEKE</v>
      </c>
      <c r="J794" t="str">
        <v>AMBER</v>
      </c>
      <c r="K794" t="str">
        <v>TRIPEL</v>
      </c>
      <c r="M794" t="s">
        <v>756</v>
      </c>
      <c r="P794" t="s">
        <v>534</v>
      </c>
    </row>
    <row r="795" spans="1:16">
      <c r="A795" t="s">
        <v>623</v>
      </c>
      <c r="B795" t="s">
        <v>623</v>
      </c>
      <c r="G795" t="s">
        <v>7861</v>
      </c>
      <c r="H795" t="str" cm="1">
        <f t="array" ref="H795">_xlfn.TEXTSPLIT(G795,";")</f>
        <v>PROUD</v>
      </c>
      <c r="M795" t="s">
        <v>5626</v>
      </c>
    </row>
    <row r="796" spans="1:16">
      <c r="A796" t="s">
        <v>515</v>
      </c>
      <c r="B796" t="s">
        <v>515</v>
      </c>
      <c r="G796">
        <v>350</v>
      </c>
      <c r="H796" t="str" cm="1">
        <f t="array" ref="H796">_xlfn.TEXTSPLIT(G796,";")</f>
        <v>350</v>
      </c>
      <c r="M796" t="s">
        <v>845</v>
      </c>
    </row>
    <row r="797" spans="1:16">
      <c r="A797" t="s">
        <v>350</v>
      </c>
      <c r="B797" t="s">
        <v>350</v>
      </c>
      <c r="G797" t="s">
        <v>8037</v>
      </c>
      <c r="H797" t="str" cm="1">
        <f t="array" ref="H797">_xlfn.TEXTSPLIT(G797,";")</f>
        <v>MIRAKEL</v>
      </c>
      <c r="M797" t="s">
        <v>5369</v>
      </c>
    </row>
    <row r="798" spans="1:16">
      <c r="A798">
        <v>1906</v>
      </c>
      <c r="B798">
        <v>1906</v>
      </c>
      <c r="G798" t="s">
        <v>10025</v>
      </c>
      <c r="H798" t="str" cm="1">
        <f t="array" ref="H798">_xlfn.TEXTSPLIT(G798,";")</f>
        <v>ASTRUM</v>
      </c>
      <c r="M798" t="s">
        <v>427</v>
      </c>
    </row>
    <row r="799" spans="1:16">
      <c r="A799" t="s">
        <v>185</v>
      </c>
      <c r="B799" t="s">
        <v>185</v>
      </c>
      <c r="G799" t="s">
        <v>998</v>
      </c>
      <c r="H799" t="str" cm="1">
        <f t="array" ref="H799">_xlfn.TEXTSPLIT(G799,";")</f>
        <v>PALE</v>
      </c>
      <c r="M799" t="s">
        <v>855</v>
      </c>
    </row>
    <row r="800" spans="1:16">
      <c r="A800" t="s">
        <v>236</v>
      </c>
      <c r="B800" t="s">
        <v>236</v>
      </c>
      <c r="G800" t="s">
        <v>850</v>
      </c>
      <c r="H800" t="str" cm="1">
        <f t="array" ref="H800">_xlfn.TEXTSPLIT(G800,";")</f>
        <v>ALTUS</v>
      </c>
      <c r="M800" t="s">
        <v>6423</v>
      </c>
    </row>
    <row r="801" spans="1:13">
      <c r="A801" t="s">
        <v>454</v>
      </c>
      <c r="B801" t="s">
        <v>454</v>
      </c>
      <c r="G801" t="s">
        <v>5418</v>
      </c>
      <c r="H801" t="str" cm="1">
        <f t="array" ref="H801:I801">_xlfn.TEXTSPLIT(G801,";")</f>
        <v>CORE</v>
      </c>
      <c r="I801" t="str">
        <v>PALE_ALE</v>
      </c>
      <c r="M801" t="s">
        <v>811</v>
      </c>
    </row>
    <row r="802" spans="1:13">
      <c r="A802" t="s">
        <v>8074</v>
      </c>
      <c r="B802" t="s">
        <v>8074</v>
      </c>
      <c r="G802" t="s">
        <v>9409</v>
      </c>
      <c r="H802" t="str" cm="1">
        <f t="array" ref="H802:I802">_xlfn.TEXTSPLIT(G802,";")</f>
        <v>CORE</v>
      </c>
      <c r="I802" t="str">
        <v>COPPER</v>
      </c>
      <c r="M802" t="s">
        <v>1080</v>
      </c>
    </row>
    <row r="803" spans="1:13">
      <c r="A803" t="s">
        <v>239</v>
      </c>
      <c r="B803" t="s">
        <v>239</v>
      </c>
      <c r="G803" t="s">
        <v>9532</v>
      </c>
      <c r="H803" t="str" cm="1">
        <f t="array" ref="H803">_xlfn.TEXTSPLIT(G803,";")</f>
        <v>SPECIAL</v>
      </c>
      <c r="M803" t="s">
        <v>999</v>
      </c>
    </row>
    <row r="804" spans="1:13">
      <c r="A804" t="s">
        <v>7769</v>
      </c>
      <c r="B804" t="s">
        <v>7769</v>
      </c>
      <c r="G804" t="s">
        <v>9530</v>
      </c>
      <c r="H804" t="str" cm="1">
        <f t="array" ref="H804">_xlfn.TEXTSPLIT(G804,";")</f>
        <v>STIMULO</v>
      </c>
      <c r="M804" t="s">
        <v>5332</v>
      </c>
    </row>
    <row r="805" spans="1:13">
      <c r="A805" t="s">
        <v>6635</v>
      </c>
      <c r="B805" t="s">
        <v>6635</v>
      </c>
      <c r="G805" t="s">
        <v>5762</v>
      </c>
      <c r="H805" t="str" cm="1">
        <f t="array" ref="H805">_xlfn.TEXTSPLIT(G805,";")</f>
        <v>PALE_ALE &gt; ENGLISH</v>
      </c>
      <c r="M805" t="s">
        <v>5334</v>
      </c>
    </row>
    <row r="806" spans="1:13">
      <c r="A806" t="s">
        <v>6623</v>
      </c>
      <c r="B806" t="s">
        <v>6623</v>
      </c>
      <c r="G806" t="s">
        <v>5763</v>
      </c>
      <c r="H806" t="str" cm="1">
        <f t="array" ref="H806">_xlfn.TEXTSPLIT(G806,";")</f>
        <v>PALE_ALE &gt; FRUITED</v>
      </c>
      <c r="M806" t="s">
        <v>5331</v>
      </c>
    </row>
    <row r="807" spans="1:13">
      <c r="A807" t="s">
        <v>7443</v>
      </c>
      <c r="B807" t="s">
        <v>7443</v>
      </c>
      <c r="G807" t="s">
        <v>5764</v>
      </c>
      <c r="H807" t="str" cm="1">
        <f t="array" ref="H807">_xlfn.TEXTSPLIT(G807,";")</f>
        <v>PALE_ALE &gt; MILKSHAKE</v>
      </c>
      <c r="M807" t="s">
        <v>5330</v>
      </c>
    </row>
    <row r="808" spans="1:13">
      <c r="A808" t="s">
        <v>7663</v>
      </c>
      <c r="B808" t="s">
        <v>7663</v>
      </c>
      <c r="G808" t="s">
        <v>5765</v>
      </c>
      <c r="H808" t="str" cm="1">
        <f t="array" ref="H808">_xlfn.TEXTSPLIT(G808,";")</f>
        <v>PALE_ALE &gt; NEW_ENGLAND_/_HAZY</v>
      </c>
      <c r="M808" t="s">
        <v>5328</v>
      </c>
    </row>
    <row r="809" spans="1:13">
      <c r="A809" t="s">
        <v>419</v>
      </c>
      <c r="B809" t="s">
        <v>419</v>
      </c>
      <c r="G809" t="s">
        <v>5766</v>
      </c>
      <c r="H809" t="str" cm="1">
        <f t="array" ref="H809">_xlfn.TEXTSPLIT(G809,";")</f>
        <v>PALE_ALE &gt; NEW_ZEALAND</v>
      </c>
      <c r="M809" t="s">
        <v>5329</v>
      </c>
    </row>
    <row r="810" spans="1:13">
      <c r="A810" t="s">
        <v>8507</v>
      </c>
      <c r="B810" t="s">
        <v>8507</v>
      </c>
      <c r="G810" t="s">
        <v>10044</v>
      </c>
      <c r="H810" t="str" cm="1">
        <f t="array" ref="H810:I810">_xlfn.TEXTSPLIT(G810,";")</f>
        <v>PALE_ALE</v>
      </c>
      <c r="I810" t="str">
        <v>CORE</v>
      </c>
      <c r="M810" t="s">
        <v>5364</v>
      </c>
    </row>
    <row r="811" spans="1:13">
      <c r="A811" t="s">
        <v>8790</v>
      </c>
      <c r="B811" t="s">
        <v>8790</v>
      </c>
      <c r="G811" t="s">
        <v>6386</v>
      </c>
      <c r="H811" t="str" cm="1">
        <f t="array" ref="H811:I811">_xlfn.TEXTSPLIT(G811,";")</f>
        <v>PALE_ALE &gt; OTHER</v>
      </c>
      <c r="I811" t="str">
        <v>PALE_ALE</v>
      </c>
      <c r="M811" t="s">
        <v>5179</v>
      </c>
    </row>
    <row r="812" spans="1:13">
      <c r="A812" t="s">
        <v>8608</v>
      </c>
      <c r="B812" t="s">
        <v>8608</v>
      </c>
      <c r="G812" t="s">
        <v>5767</v>
      </c>
      <c r="H812" t="str" cm="1">
        <f t="array" ref="H812">_xlfn.TEXTSPLIT(G812,";")</f>
        <v>PALE_ALE &gt; OTHER</v>
      </c>
      <c r="M812" t="s">
        <v>910</v>
      </c>
    </row>
    <row r="813" spans="1:13">
      <c r="A813" t="s">
        <v>8610</v>
      </c>
      <c r="B813" t="s">
        <v>8610</v>
      </c>
      <c r="G813" t="s">
        <v>7881</v>
      </c>
      <c r="H813" t="str" cm="1">
        <f t="array" ref="H813">_xlfn.TEXTSPLIT(G813,";")</f>
        <v>FLINK</v>
      </c>
      <c r="M813" t="s">
        <v>5252</v>
      </c>
    </row>
    <row r="814" spans="1:13">
      <c r="A814" t="s">
        <v>8639</v>
      </c>
      <c r="B814" t="s">
        <v>8639</v>
      </c>
      <c r="G814" t="s">
        <v>4900</v>
      </c>
      <c r="H814" t="str" cm="1">
        <f t="array" ref="H814:I814">_xlfn.TEXTSPLIT(G814,";")</f>
        <v>HOP</v>
      </c>
      <c r="I814" t="str">
        <v>HOPERA</v>
      </c>
      <c r="M814" t="s">
        <v>5046</v>
      </c>
    </row>
    <row r="815" spans="1:13">
      <c r="A815" t="s">
        <v>8739</v>
      </c>
      <c r="B815" t="s">
        <v>8739</v>
      </c>
      <c r="G815" t="s">
        <v>8912</v>
      </c>
      <c r="H815" t="str" cm="1">
        <f t="array" ref="H815">_xlfn.TEXTSPLIT(G815,";")</f>
        <v>BURST</v>
      </c>
      <c r="M815" t="s">
        <v>1993</v>
      </c>
    </row>
    <row r="816" spans="1:13">
      <c r="A816" t="s">
        <v>8656</v>
      </c>
      <c r="B816" t="s">
        <v>8656</v>
      </c>
      <c r="G816" t="s">
        <v>10028</v>
      </c>
      <c r="H816" t="str" cm="1">
        <f t="array" ref="H816">_xlfn.TEXTSPLIT(G816,";")</f>
        <v>LIEGE</v>
      </c>
      <c r="M816" t="s">
        <v>27</v>
      </c>
    </row>
    <row r="817" spans="1:13">
      <c r="A817" t="s">
        <v>8668</v>
      </c>
      <c r="B817" t="s">
        <v>8668</v>
      </c>
      <c r="G817" t="s">
        <v>9393</v>
      </c>
      <c r="H817" t="str" cm="1">
        <f t="array" ref="H817">_xlfn.TEXTSPLIT(G817,";")</f>
        <v>APY</v>
      </c>
      <c r="M817" t="s">
        <v>963</v>
      </c>
    </row>
    <row r="818" spans="1:13">
      <c r="A818" t="s">
        <v>428</v>
      </c>
      <c r="B818" t="s">
        <v>428</v>
      </c>
      <c r="G818" t="s">
        <v>10021</v>
      </c>
      <c r="H818" t="str" cm="1">
        <f t="array" ref="H818">_xlfn.TEXTSPLIT(G818,";")</f>
        <v>HOP| ZERO</v>
      </c>
      <c r="M818" t="s">
        <v>770</v>
      </c>
    </row>
    <row r="819" spans="1:13">
      <c r="A819" t="s">
        <v>8935</v>
      </c>
      <c r="B819" t="s">
        <v>8935</v>
      </c>
      <c r="G819" t="s">
        <v>5768</v>
      </c>
      <c r="H819" t="str" cm="1">
        <f t="array" ref="H819">_xlfn.TEXTSPLIT(G819,";")</f>
        <v>PALE_ALE &gt; XPA_(EXTRA_PALE)</v>
      </c>
      <c r="M819" t="s">
        <v>1997</v>
      </c>
    </row>
    <row r="820" spans="1:13">
      <c r="A820" t="s">
        <v>9442</v>
      </c>
      <c r="B820" t="s">
        <v>9442</v>
      </c>
      <c r="G820" t="s">
        <v>6602</v>
      </c>
      <c r="H820" t="str" cm="1">
        <f t="array" ref="H820:I820">_xlfn.TEXTSPLIT(G820,";")</f>
        <v>PILNSER</v>
      </c>
      <c r="I820" t="str">
        <v>CORE</v>
      </c>
      <c r="M820" t="s">
        <v>5311</v>
      </c>
    </row>
    <row r="821" spans="1:13">
      <c r="A821" t="s">
        <v>7304</v>
      </c>
      <c r="B821" t="s">
        <v>7304</v>
      </c>
      <c r="G821" t="s">
        <v>5769</v>
      </c>
      <c r="H821" t="str" cm="1">
        <f t="array" ref="H821">_xlfn.TEXTSPLIT(G821,";")</f>
        <v>PILSNER &gt; CZECH_/_BOHEMIAN</v>
      </c>
      <c r="M821" t="s">
        <v>1494</v>
      </c>
    </row>
    <row r="822" spans="1:13">
      <c r="A822" t="s">
        <v>6625</v>
      </c>
      <c r="B822" t="s">
        <v>6625</v>
      </c>
      <c r="G822" t="s">
        <v>5770</v>
      </c>
      <c r="H822" t="str" cm="1">
        <f t="array" ref="H822">_xlfn.TEXTSPLIT(G822,";")</f>
        <v>PILSNER &gt; GERMAN</v>
      </c>
      <c r="M822" t="s">
        <v>10145</v>
      </c>
    </row>
    <row r="823" spans="1:13">
      <c r="A823" t="s">
        <v>1203</v>
      </c>
      <c r="B823" t="s">
        <v>1203</v>
      </c>
      <c r="G823" t="s">
        <v>5771</v>
      </c>
      <c r="H823" t="str" cm="1">
        <f t="array" ref="H823">_xlfn.TEXTSPLIT(G823,";")</f>
        <v>PILSNER &gt; IMPERIAL_/_DOUBLE</v>
      </c>
      <c r="M823" t="s">
        <v>6536</v>
      </c>
    </row>
    <row r="824" spans="1:13">
      <c r="A824" t="s">
        <v>288</v>
      </c>
      <c r="B824" t="s">
        <v>288</v>
      </c>
      <c r="G824" t="s">
        <v>5772</v>
      </c>
      <c r="H824" t="str" cm="1">
        <f t="array" ref="H824">_xlfn.TEXTSPLIT(G824,";")</f>
        <v>PILSNER &gt; ITALIAN</v>
      </c>
      <c r="M824" t="s">
        <v>5490</v>
      </c>
    </row>
    <row r="825" spans="1:13">
      <c r="A825" t="s">
        <v>290</v>
      </c>
      <c r="B825" t="s">
        <v>290</v>
      </c>
      <c r="G825" t="s">
        <v>5773</v>
      </c>
      <c r="H825" t="str" cm="1">
        <f t="array" ref="H825">_xlfn.TEXTSPLIT(G825,";")</f>
        <v>PILSNER &gt; NEW_ZEALAND</v>
      </c>
      <c r="M825" t="s">
        <v>883</v>
      </c>
    </row>
    <row r="826" spans="1:13">
      <c r="A826" t="s">
        <v>7255</v>
      </c>
      <c r="B826" t="s">
        <v>7255</v>
      </c>
      <c r="G826" t="s">
        <v>6387</v>
      </c>
      <c r="H826" t="str" cm="1">
        <f t="array" ref="H826:I826">_xlfn.TEXTSPLIT(G826,";")</f>
        <v>PILSNER &gt; OTHER</v>
      </c>
      <c r="I826" t="str">
        <v>PILSNER</v>
      </c>
      <c r="M826" t="s">
        <v>6454</v>
      </c>
    </row>
    <row r="827" spans="1:13">
      <c r="A827" t="s">
        <v>6612</v>
      </c>
      <c r="B827" t="s">
        <v>6612</v>
      </c>
      <c r="G827" t="s">
        <v>5774</v>
      </c>
      <c r="H827" t="str" cm="1">
        <f t="array" ref="H827">_xlfn.TEXTSPLIT(G827,";")</f>
        <v>PILSNER &gt; OTHER</v>
      </c>
      <c r="M827" t="s">
        <v>1996</v>
      </c>
    </row>
    <row r="828" spans="1:13">
      <c r="A828" t="s">
        <v>6651</v>
      </c>
      <c r="B828" t="s">
        <v>6651</v>
      </c>
      <c r="G828" t="s">
        <v>8063</v>
      </c>
      <c r="H828" t="str" cm="1">
        <f t="array" ref="H828">_xlfn.TEXTSPLIT(G828,";")</f>
        <v>CARABIBI</v>
      </c>
      <c r="M828" t="s">
        <v>922</v>
      </c>
    </row>
    <row r="829" spans="1:13">
      <c r="A829" t="s">
        <v>1839</v>
      </c>
      <c r="B829" t="s">
        <v>1839</v>
      </c>
      <c r="G829" t="s">
        <v>8158</v>
      </c>
      <c r="H829" t="str" cm="1">
        <f t="array" ref="H829">_xlfn.TEXTSPLIT(G829,";")</f>
        <v>PAPY</v>
      </c>
      <c r="M829" t="s">
        <v>5297</v>
      </c>
    </row>
    <row r="830" spans="1:13">
      <c r="A830" t="s">
        <v>42</v>
      </c>
      <c r="B830" t="s">
        <v>42</v>
      </c>
      <c r="G830" t="s">
        <v>8314</v>
      </c>
      <c r="H830" t="str" cm="1">
        <f t="array" ref="H830">_xlfn.TEXTSPLIT(G830,";")</f>
        <v>LEIVES</v>
      </c>
      <c r="M830" t="s">
        <v>1075</v>
      </c>
    </row>
    <row r="831" spans="1:13">
      <c r="A831" t="s">
        <v>1465</v>
      </c>
      <c r="B831" t="s">
        <v>1465</v>
      </c>
      <c r="G831" t="s">
        <v>6924</v>
      </c>
      <c r="H831" t="str" cm="1">
        <f t="array" ref="H831">_xlfn.TEXTSPLIT(G831,";")</f>
        <v>PILNSER</v>
      </c>
      <c r="M831" t="s">
        <v>1922</v>
      </c>
    </row>
    <row r="832" spans="1:13">
      <c r="A832" t="s">
        <v>149</v>
      </c>
      <c r="B832" t="s">
        <v>149</v>
      </c>
      <c r="G832" t="s">
        <v>5239</v>
      </c>
      <c r="H832" t="str" cm="1">
        <f t="array" ref="H832:I832">_xlfn.TEXTSPLIT(G832,";")</f>
        <v>RED</v>
      </c>
      <c r="I832" t="str">
        <v>SPARKLING</v>
      </c>
      <c r="M832" t="s">
        <v>1916</v>
      </c>
    </row>
    <row r="833" spans="1:13">
      <c r="A833" t="s">
        <v>6839</v>
      </c>
      <c r="B833" t="s">
        <v>6839</v>
      </c>
      <c r="G833" t="s">
        <v>6845</v>
      </c>
      <c r="H833" t="str" cm="1">
        <f t="array" ref="H833:J833">_xlfn.TEXTSPLIT(G833,";")</f>
        <v>SPARKLING</v>
      </c>
      <c r="I833" t="str">
        <v>WATER</v>
      </c>
      <c r="J833" t="str">
        <v>SODA</v>
      </c>
      <c r="M833" t="s">
        <v>5362</v>
      </c>
    </row>
    <row r="834" spans="1:13">
      <c r="A834" t="s">
        <v>1447</v>
      </c>
      <c r="B834" t="s">
        <v>1447</v>
      </c>
      <c r="G834" t="s">
        <v>7327</v>
      </c>
      <c r="H834" t="str" cm="1">
        <f t="array" ref="H834:I834">_xlfn.TEXTSPLIT(G834,";")</f>
        <v>RED</v>
      </c>
      <c r="I834" t="str">
        <v>INTENSE</v>
      </c>
      <c r="M834" t="s">
        <v>1966</v>
      </c>
    </row>
    <row r="835" spans="1:13">
      <c r="A835" t="s">
        <v>6732</v>
      </c>
      <c r="B835" t="s">
        <v>6732</v>
      </c>
      <c r="G835" t="s">
        <v>1459</v>
      </c>
      <c r="H835" t="str" cm="1">
        <f t="array" ref="H835">_xlfn.TEXTSPLIT(G835,";")</f>
        <v>SPARKLING</v>
      </c>
      <c r="M835" t="s">
        <v>754</v>
      </c>
    </row>
    <row r="836" spans="1:13">
      <c r="A836" t="s">
        <v>6813</v>
      </c>
      <c r="B836" t="s">
        <v>6813</v>
      </c>
      <c r="G836" t="s">
        <v>6436</v>
      </c>
      <c r="H836" t="str" cm="1">
        <f t="array" ref="H836:I836">_xlfn.TEXTSPLIT(G836,";")</f>
        <v>SPARKLING</v>
      </c>
      <c r="I836" t="str">
        <v>RED</v>
      </c>
      <c r="M836" t="s">
        <v>7300</v>
      </c>
    </row>
    <row r="837" spans="1:13">
      <c r="A837" t="s">
        <v>711</v>
      </c>
      <c r="B837" t="s">
        <v>711</v>
      </c>
      <c r="G837" t="s">
        <v>6435</v>
      </c>
      <c r="H837" t="str" cm="1">
        <f t="array" ref="H837:J837">_xlfn.TEXTSPLIT(G837,";")</f>
        <v>STILL</v>
      </c>
      <c r="I837" t="str">
        <v>CORE</v>
      </c>
      <c r="J837" t="str">
        <v>BLUE</v>
      </c>
      <c r="M837" t="s">
        <v>5296</v>
      </c>
    </row>
    <row r="838" spans="1:13">
      <c r="A838" t="s">
        <v>6820</v>
      </c>
      <c r="B838" t="s">
        <v>6820</v>
      </c>
      <c r="G838" t="s">
        <v>5238</v>
      </c>
      <c r="H838" t="str" cm="1">
        <f t="array" ref="H838:J838">_xlfn.TEXTSPLIT(G838,";")</f>
        <v>BLUE</v>
      </c>
      <c r="I838" t="str">
        <v>CORE</v>
      </c>
      <c r="J838" t="str">
        <v>STILL</v>
      </c>
      <c r="M838" t="s">
        <v>684</v>
      </c>
    </row>
    <row r="839" spans="1:13">
      <c r="A839" t="s">
        <v>401</v>
      </c>
      <c r="B839" t="s">
        <v>401</v>
      </c>
      <c r="G839" t="s">
        <v>216</v>
      </c>
      <c r="H839" t="str" cm="1">
        <f t="array" ref="H839">_xlfn.TEXTSPLIT(G839,";")</f>
        <v>WATER</v>
      </c>
      <c r="M839" t="s">
        <v>371</v>
      </c>
    </row>
    <row r="840" spans="1:13">
      <c r="A840" t="s">
        <v>8112</v>
      </c>
      <c r="B840" t="s">
        <v>8112</v>
      </c>
      <c r="G840" t="s">
        <v>5554</v>
      </c>
      <c r="H840" t="str" cm="1">
        <f t="array" ref="H840:I840">_xlfn.TEXTSPLIT(G840,";")</f>
        <v>CORE</v>
      </c>
      <c r="I840" t="str">
        <v>STILL</v>
      </c>
      <c r="M840" t="s">
        <v>7149</v>
      </c>
    </row>
    <row r="841" spans="1:13">
      <c r="A841" t="s">
        <v>8117</v>
      </c>
      <c r="B841" t="s">
        <v>8117</v>
      </c>
      <c r="G841" t="s">
        <v>911</v>
      </c>
      <c r="H841" t="str" cm="1">
        <f t="array" ref="H841">_xlfn.TEXTSPLIT(G841,";")</f>
        <v>PORTER</v>
      </c>
      <c r="M841" t="s">
        <v>5273</v>
      </c>
    </row>
    <row r="842" spans="1:13">
      <c r="A842" t="s">
        <v>6854</v>
      </c>
      <c r="B842" t="s">
        <v>6854</v>
      </c>
      <c r="G842" t="s">
        <v>5775</v>
      </c>
      <c r="H842" t="str" cm="1">
        <f t="array" ref="H842">_xlfn.TEXTSPLIT(G842,";")</f>
        <v>PORTER &gt; AMERICAN</v>
      </c>
      <c r="M842" t="s">
        <v>953</v>
      </c>
    </row>
    <row r="843" spans="1:13">
      <c r="A843" t="s">
        <v>9980</v>
      </c>
      <c r="B843" t="s">
        <v>9980</v>
      </c>
      <c r="G843" t="s">
        <v>5776</v>
      </c>
      <c r="H843" t="str" cm="1">
        <f t="array" ref="H843">_xlfn.TEXTSPLIT(G843,";")</f>
        <v>PORTER &gt; BALTIC</v>
      </c>
      <c r="M843" t="s">
        <v>847</v>
      </c>
    </row>
    <row r="844" spans="1:13">
      <c r="A844" t="s">
        <v>6618</v>
      </c>
      <c r="B844" t="s">
        <v>6618</v>
      </c>
      <c r="G844" t="s">
        <v>949</v>
      </c>
      <c r="H844" t="str" cm="1">
        <f t="array" ref="H844">_xlfn.TEXTSPLIT(G844,";")</f>
        <v>OBSCURA</v>
      </c>
      <c r="M844" t="s">
        <v>1898</v>
      </c>
    </row>
    <row r="845" spans="1:13">
      <c r="A845" t="s">
        <v>7253</v>
      </c>
      <c r="B845" t="s">
        <v>7253</v>
      </c>
      <c r="G845" t="s">
        <v>5777</v>
      </c>
      <c r="H845" t="str" cm="1">
        <f t="array" ref="H845">_xlfn.TEXTSPLIT(G845,";")</f>
        <v>PORTER &gt; COFFEE</v>
      </c>
      <c r="M845" t="s">
        <v>1486</v>
      </c>
    </row>
    <row r="846" spans="1:13">
      <c r="A846" t="s">
        <v>8010</v>
      </c>
      <c r="B846" t="s">
        <v>8010</v>
      </c>
      <c r="G846" t="s">
        <v>5778</v>
      </c>
      <c r="H846" t="str" cm="1">
        <f t="array" ref="H846">_xlfn.TEXTSPLIT(G846,";")</f>
        <v>PORTER &gt; ENGLISH</v>
      </c>
      <c r="M846" t="s">
        <v>7225</v>
      </c>
    </row>
    <row r="847" spans="1:13">
      <c r="A847" t="s">
        <v>467</v>
      </c>
      <c r="B847" t="s">
        <v>467</v>
      </c>
      <c r="G847" t="s">
        <v>5779</v>
      </c>
      <c r="H847" t="str" cm="1">
        <f t="array" ref="H847">_xlfn.TEXTSPLIT(G847,";")</f>
        <v>PORTER &gt; IMPERIAL_/_DOUBLE</v>
      </c>
      <c r="M847" t="s">
        <v>5262</v>
      </c>
    </row>
    <row r="848" spans="1:13">
      <c r="A848" t="s">
        <v>7513</v>
      </c>
      <c r="B848" t="s">
        <v>7513</v>
      </c>
      <c r="G848" t="s">
        <v>10000</v>
      </c>
      <c r="H848" t="str" cm="1">
        <f t="array" ref="H848">_xlfn.TEXTSPLIT(G848,";")</f>
        <v>PORTER|</v>
      </c>
      <c r="M848" t="s">
        <v>888</v>
      </c>
    </row>
    <row r="849" spans="1:13">
      <c r="A849" t="s">
        <v>501</v>
      </c>
      <c r="B849" t="s">
        <v>501</v>
      </c>
      <c r="G849" t="s">
        <v>5780</v>
      </c>
      <c r="H849" t="str" cm="1">
        <f t="array" ref="H849">_xlfn.TEXTSPLIT(G849,";")</f>
        <v>PORTER &gt; IMPERIAL_/_DOUBLE_BALTIC</v>
      </c>
      <c r="M849" t="s">
        <v>5363</v>
      </c>
    </row>
    <row r="850" spans="1:13">
      <c r="A850" t="s">
        <v>7653</v>
      </c>
      <c r="B850" t="s">
        <v>7653</v>
      </c>
      <c r="G850" t="s">
        <v>5781</v>
      </c>
      <c r="H850" t="str" cm="1">
        <f t="array" ref="H850">_xlfn.TEXTSPLIT(G850,";")</f>
        <v>PORTER &gt; IMPERIAL_/_DOUBLE_COFFEE</v>
      </c>
      <c r="M850" t="s">
        <v>506</v>
      </c>
    </row>
    <row r="851" spans="1:13">
      <c r="A851" t="s">
        <v>32</v>
      </c>
      <c r="B851" t="s">
        <v>32</v>
      </c>
      <c r="G851" t="s">
        <v>6388</v>
      </c>
      <c r="H851" t="str" cm="1">
        <f t="array" ref="H851:I851">_xlfn.TEXTSPLIT(G851,";")</f>
        <v>PORTER &gt; OTHER</v>
      </c>
      <c r="I851" t="str">
        <v>PORTER</v>
      </c>
      <c r="M851" t="s">
        <v>1070</v>
      </c>
    </row>
    <row r="852" spans="1:13">
      <c r="A852" t="s">
        <v>7997</v>
      </c>
      <c r="B852" t="s">
        <v>7997</v>
      </c>
      <c r="G852" t="s">
        <v>5782</v>
      </c>
      <c r="H852" t="str" cm="1">
        <f t="array" ref="H852">_xlfn.TEXTSPLIT(G852,";")</f>
        <v>PORTER &gt; OTHER</v>
      </c>
      <c r="M852" t="s">
        <v>1991</v>
      </c>
    </row>
    <row r="853" spans="1:13">
      <c r="A853" t="s">
        <v>8020</v>
      </c>
      <c r="B853" t="s">
        <v>8020</v>
      </c>
      <c r="G853" t="s">
        <v>7556</v>
      </c>
      <c r="H853" t="str" cm="1">
        <f t="array" ref="H853">_xlfn.TEXTSPLIT(G853,";")</f>
        <v>KOUDVUUR</v>
      </c>
      <c r="M853" t="s">
        <v>1829</v>
      </c>
    </row>
    <row r="854" spans="1:13">
      <c r="A854" t="s">
        <v>8028</v>
      </c>
      <c r="B854" t="s">
        <v>8028</v>
      </c>
      <c r="G854" t="s">
        <v>5783</v>
      </c>
      <c r="H854" t="str" cm="1">
        <f t="array" ref="H854">_xlfn.TEXTSPLIT(G854,";")</f>
        <v>PORTER &gt; SMOKED</v>
      </c>
      <c r="M854" t="s">
        <v>849</v>
      </c>
    </row>
    <row r="855" spans="1:13">
      <c r="A855" t="s">
        <v>8051</v>
      </c>
      <c r="B855" t="s">
        <v>8051</v>
      </c>
      <c r="G855" t="s">
        <v>5609</v>
      </c>
      <c r="H855" t="str" cm="1">
        <f t="array" ref="H855">_xlfn.TEXTSPLIT(G855,";")</f>
        <v>PUMPKIN_/_YAM_BEER</v>
      </c>
      <c r="M855" t="s">
        <v>5337</v>
      </c>
    </row>
    <row r="856" spans="1:13">
      <c r="A856" t="s">
        <v>7807</v>
      </c>
      <c r="B856" t="s">
        <v>7807</v>
      </c>
      <c r="G856" t="s">
        <v>5610</v>
      </c>
      <c r="H856" t="str" cm="1">
        <f t="array" ref="H856">_xlfn.TEXTSPLIT(G856,";")</f>
        <v>RAUCHBIER</v>
      </c>
      <c r="M856" t="s">
        <v>858</v>
      </c>
    </row>
    <row r="857" spans="1:13">
      <c r="A857" t="s">
        <v>605</v>
      </c>
      <c r="B857" t="s">
        <v>605</v>
      </c>
      <c r="G857" t="s">
        <v>7192</v>
      </c>
      <c r="H857" t="str" cm="1">
        <f t="array" ref="H857">_xlfn.TEXTSPLIT(G857,";")</f>
        <v>TRIPEL_ROUGE</v>
      </c>
      <c r="M857" t="s">
        <v>6931</v>
      </c>
    </row>
    <row r="858" spans="1:13">
      <c r="A858" t="s">
        <v>58</v>
      </c>
      <c r="B858" t="s">
        <v>58</v>
      </c>
      <c r="G858" t="s">
        <v>5784</v>
      </c>
      <c r="H858" t="str" cm="1">
        <f t="array" ref="H858">_xlfn.TEXTSPLIT(G858,";")</f>
        <v>RED_ALE &gt; AMERICAN_AMBER_/_RED</v>
      </c>
      <c r="M858" t="s">
        <v>1491</v>
      </c>
    </row>
    <row r="859" spans="1:13">
      <c r="A859" t="s">
        <v>978</v>
      </c>
      <c r="B859" t="s">
        <v>978</v>
      </c>
      <c r="G859" t="s">
        <v>5785</v>
      </c>
      <c r="H859" t="str" cm="1">
        <f t="array" ref="H859">_xlfn.TEXTSPLIT(G859,";")</f>
        <v>RED_ALE &gt; IMPERIAL_/_DOUBLE</v>
      </c>
      <c r="M859" t="s">
        <v>5488</v>
      </c>
    </row>
    <row r="860" spans="1:13">
      <c r="A860" t="s">
        <v>89</v>
      </c>
      <c r="B860" t="s">
        <v>89</v>
      </c>
      <c r="G860" t="s">
        <v>5786</v>
      </c>
      <c r="H860" t="str" cm="1">
        <f t="array" ref="H860">_xlfn.TEXTSPLIT(G860,";")</f>
        <v>RED_ALE &gt; IRISH</v>
      </c>
      <c r="M860" t="s">
        <v>5283</v>
      </c>
    </row>
    <row r="861" spans="1:13">
      <c r="A861" t="s">
        <v>8590</v>
      </c>
      <c r="B861" t="s">
        <v>8590</v>
      </c>
      <c r="G861" t="s">
        <v>5787</v>
      </c>
      <c r="H861" t="str" cm="1">
        <f t="array" ref="H861">_xlfn.TEXTSPLIT(G861,";")</f>
        <v>RED_ALE &gt; OTHER</v>
      </c>
      <c r="M861" t="s">
        <v>5365</v>
      </c>
    </row>
    <row r="862" spans="1:13">
      <c r="A862" t="s">
        <v>8196</v>
      </c>
      <c r="B862" t="s">
        <v>8196</v>
      </c>
      <c r="G862" t="s">
        <v>8796</v>
      </c>
      <c r="H862" t="str" cm="1">
        <f t="array" ref="H862">_xlfn.TEXTSPLIT(G862,";")</f>
        <v>SHERRY</v>
      </c>
      <c r="M862" t="s">
        <v>5370</v>
      </c>
    </row>
    <row r="863" spans="1:13">
      <c r="A863" t="s">
        <v>8625</v>
      </c>
      <c r="B863" t="s">
        <v>8625</v>
      </c>
      <c r="G863" t="s">
        <v>5611</v>
      </c>
      <c r="H863" t="str" cm="1">
        <f t="array" ref="H863">_xlfn.TEXTSPLIT(G863,";")</f>
        <v>ROGGENBIER</v>
      </c>
      <c r="M863" t="s">
        <v>1969</v>
      </c>
    </row>
    <row r="864" spans="1:13">
      <c r="A864" t="s">
        <v>8840</v>
      </c>
      <c r="B864" t="s">
        <v>8840</v>
      </c>
      <c r="G864" t="s">
        <v>5612</v>
      </c>
      <c r="H864" t="str" cm="1">
        <f t="array" ref="H864">_xlfn.TEXTSPLIT(G864,";")</f>
        <v>ROOT_BEER</v>
      </c>
      <c r="M864" t="s">
        <v>1974</v>
      </c>
    </row>
    <row r="865" spans="1:13">
      <c r="A865" t="s">
        <v>9077</v>
      </c>
      <c r="B865" t="s">
        <v>9077</v>
      </c>
      <c r="G865" t="s">
        <v>6389</v>
      </c>
      <c r="H865" t="str" cm="1">
        <f t="array" ref="H865:I865">_xlfn.TEXTSPLIT(G865,";")</f>
        <v>RYE_BEER</v>
      </c>
      <c r="I865" t="str">
        <v>RYE</v>
      </c>
      <c r="M865" t="s">
        <v>1938</v>
      </c>
    </row>
    <row r="866" spans="1:13">
      <c r="A866" t="s">
        <v>9175</v>
      </c>
      <c r="B866" t="s">
        <v>9175</v>
      </c>
      <c r="G866" t="s">
        <v>5613</v>
      </c>
      <c r="H866" t="str" cm="1">
        <f t="array" ref="H866">_xlfn.TEXTSPLIT(G866,";")</f>
        <v>RYE_BEER</v>
      </c>
      <c r="M866" t="s">
        <v>1933</v>
      </c>
    </row>
    <row r="867" spans="1:13">
      <c r="A867" t="s">
        <v>9242</v>
      </c>
      <c r="B867" t="s">
        <v>9242</v>
      </c>
      <c r="G867" t="s">
        <v>5614</v>
      </c>
      <c r="H867" t="str" cm="1">
        <f t="array" ref="H867">_xlfn.TEXTSPLIT(G867,";")</f>
        <v>RYE_WINE</v>
      </c>
      <c r="M867" t="s">
        <v>9491</v>
      </c>
    </row>
    <row r="868" spans="1:13">
      <c r="A868" t="s">
        <v>10010</v>
      </c>
      <c r="B868" t="s">
        <v>10010</v>
      </c>
      <c r="G868" t="s">
        <v>1084</v>
      </c>
      <c r="H868" t="str" cm="1">
        <f t="array" ref="H868">_xlfn.TEXTSPLIT(G868,";")</f>
        <v>SCHWARZBIER</v>
      </c>
      <c r="M868" t="s">
        <v>4899</v>
      </c>
    </row>
    <row r="869" spans="1:13">
      <c r="A869" t="s">
        <v>8216</v>
      </c>
      <c r="B869" t="s">
        <v>8216</v>
      </c>
      <c r="G869" t="s">
        <v>6390</v>
      </c>
      <c r="H869" t="str" cm="1">
        <f t="array" ref="H869:I869">_xlfn.TEXTSPLIT(G869,";")</f>
        <v>SCOTCH_ALE_/_WEE_HEAVY</v>
      </c>
      <c r="I869" t="str">
        <v>SCOTCH</v>
      </c>
      <c r="M869" t="s">
        <v>5255</v>
      </c>
    </row>
    <row r="870" spans="1:13">
      <c r="A870" t="s">
        <v>537</v>
      </c>
      <c r="B870" t="s">
        <v>537</v>
      </c>
      <c r="G870" t="s">
        <v>5615</v>
      </c>
      <c r="H870" t="str" cm="1">
        <f t="array" ref="H870">_xlfn.TEXTSPLIT(G870,";")</f>
        <v>SCOTCH_ALE_/_WEE_HEAVY</v>
      </c>
      <c r="M870" t="s">
        <v>3791</v>
      </c>
    </row>
    <row r="871" spans="1:13">
      <c r="A871" t="s">
        <v>8202</v>
      </c>
      <c r="B871" t="s">
        <v>8202</v>
      </c>
      <c r="G871" t="s">
        <v>946</v>
      </c>
      <c r="H871" t="str" cm="1">
        <f t="array" ref="H871">_xlfn.TEXTSPLIT(G871,";")</f>
        <v>SCOTCH</v>
      </c>
      <c r="M871" t="s">
        <v>1274</v>
      </c>
    </row>
    <row r="872" spans="1:13">
      <c r="A872" t="s">
        <v>162</v>
      </c>
      <c r="B872" t="s">
        <v>162</v>
      </c>
      <c r="G872" t="s">
        <v>5441</v>
      </c>
      <c r="H872" t="str" cm="1">
        <f t="array" ref="H872:I872">_xlfn.TEXTSPLIT(G872,";")</f>
        <v>SCOTCH</v>
      </c>
      <c r="I872" t="str">
        <v>CORE</v>
      </c>
      <c r="M872" t="s">
        <v>6923</v>
      </c>
    </row>
    <row r="873" spans="1:13">
      <c r="A873" t="s">
        <v>7306</v>
      </c>
      <c r="B873" t="s">
        <v>7306</v>
      </c>
      <c r="G873" t="s">
        <v>5616</v>
      </c>
      <c r="H873" t="str" cm="1">
        <f t="array" ref="H873">_xlfn.TEXTSPLIT(G873,";")</f>
        <v>SCOTTISH_ALE</v>
      </c>
      <c r="M873" t="s">
        <v>6922</v>
      </c>
    </row>
    <row r="874" spans="1:13">
      <c r="A874" t="s">
        <v>8207</v>
      </c>
      <c r="B874" t="s">
        <v>8207</v>
      </c>
      <c r="G874" t="s">
        <v>5617</v>
      </c>
      <c r="H874" t="str" cm="1">
        <f t="array" ref="H874">_xlfn.TEXTSPLIT(G874,";")</f>
        <v>SCOTTISH_EXPORT_ALE</v>
      </c>
      <c r="M874" t="s">
        <v>7435</v>
      </c>
    </row>
    <row r="875" spans="1:13">
      <c r="A875" t="s">
        <v>8209</v>
      </c>
      <c r="B875" t="s">
        <v>8209</v>
      </c>
      <c r="G875" t="s">
        <v>6644</v>
      </c>
      <c r="H875" t="str" cm="1">
        <f t="array" ref="H875:J875">_xlfn.TEXTSPLIT(G875,";")</f>
        <v>RADLER</v>
      </c>
      <c r="I875" t="str">
        <v>GREEN</v>
      </c>
      <c r="J875" t="str">
        <v>LEMON</v>
      </c>
      <c r="M875" t="s">
        <v>5486</v>
      </c>
    </row>
    <row r="876" spans="1:13">
      <c r="A876" t="s">
        <v>8212</v>
      </c>
      <c r="B876" t="s">
        <v>8212</v>
      </c>
      <c r="G876" t="s">
        <v>6391</v>
      </c>
      <c r="H876" t="str" cm="1">
        <f t="array" ref="H876:I876">_xlfn.TEXTSPLIT(G876,";")</f>
        <v>SHANDY_/_RADLER</v>
      </c>
      <c r="I876" t="str">
        <v>RADLER</v>
      </c>
      <c r="M876" t="s">
        <v>10130</v>
      </c>
    </row>
    <row r="877" spans="1:13">
      <c r="A877" t="s">
        <v>163</v>
      </c>
      <c r="B877" t="s">
        <v>163</v>
      </c>
      <c r="G877" t="s">
        <v>5618</v>
      </c>
      <c r="H877" t="str" cm="1">
        <f t="array" ref="H877">_xlfn.TEXTSPLIT(G877,";")</f>
        <v>SHANDY_/_RADLER</v>
      </c>
      <c r="M877" t="s">
        <v>924</v>
      </c>
    </row>
    <row r="878" spans="1:13">
      <c r="A878" t="s">
        <v>9322</v>
      </c>
      <c r="B878" t="s">
        <v>9322</v>
      </c>
      <c r="G878" t="s">
        <v>5390</v>
      </c>
      <c r="H878" t="str" cm="1">
        <f t="array" ref="H878:I878">_xlfn.TEXTSPLIT(G878,";")</f>
        <v>AGRUMES</v>
      </c>
      <c r="I878" t="str">
        <v>RADLER</v>
      </c>
      <c r="M878" t="s">
        <v>972</v>
      </c>
    </row>
    <row r="879" spans="1:13">
      <c r="A879" t="s">
        <v>690</v>
      </c>
      <c r="B879" t="s">
        <v>690</v>
      </c>
      <c r="G879" t="s">
        <v>6550</v>
      </c>
      <c r="H879" t="str" cm="1">
        <f t="array" ref="H879:I879">_xlfn.TEXTSPLIT(G879,";")</f>
        <v>RADLER</v>
      </c>
      <c r="I879" t="str">
        <v>LEMON</v>
      </c>
      <c r="M879" t="s">
        <v>989</v>
      </c>
    </row>
    <row r="880" spans="1:13">
      <c r="A880" t="s">
        <v>188</v>
      </c>
      <c r="B880" t="s">
        <v>188</v>
      </c>
      <c r="G880" t="s">
        <v>5415</v>
      </c>
      <c r="H880" t="str" cm="1">
        <f t="array" ref="H880:I880">_xlfn.TEXTSPLIT(G880,";")</f>
        <v>LEMON</v>
      </c>
      <c r="I880" t="str">
        <v>RADLER</v>
      </c>
      <c r="M880" t="s">
        <v>715</v>
      </c>
    </row>
    <row r="881" spans="1:13">
      <c r="A881" t="s">
        <v>189</v>
      </c>
      <c r="B881" t="s">
        <v>189</v>
      </c>
      <c r="G881" t="s">
        <v>5619</v>
      </c>
      <c r="H881" t="str" cm="1">
        <f t="array" ref="H881">_xlfn.TEXTSPLIT(G881,";")</f>
        <v>SMOKED_BEER</v>
      </c>
      <c r="M881" t="s">
        <v>6355</v>
      </c>
    </row>
    <row r="882" spans="1:13">
      <c r="A882" t="s">
        <v>9479</v>
      </c>
      <c r="B882" t="s">
        <v>9479</v>
      </c>
      <c r="G882" t="s">
        <v>787</v>
      </c>
      <c r="H882" t="str" cm="1">
        <f t="array" ref="H882">_xlfn.TEXTSPLIT(G882,";")</f>
        <v>SMOKED</v>
      </c>
      <c r="M882" t="s">
        <v>10132</v>
      </c>
    </row>
    <row r="883" spans="1:13">
      <c r="A883" t="s">
        <v>8198</v>
      </c>
      <c r="B883" t="s">
        <v>8198</v>
      </c>
      <c r="G883" t="s">
        <v>5620</v>
      </c>
      <c r="H883" t="str" cm="1">
        <f t="array" ref="H883">_xlfn.TEXTSPLIT(G883,";")</f>
        <v>SORGHUM_/_MILLET_BEER</v>
      </c>
      <c r="M883" t="s">
        <v>6354</v>
      </c>
    </row>
    <row r="884" spans="1:13">
      <c r="A884" t="s">
        <v>9506</v>
      </c>
      <c r="B884" t="s">
        <v>9506</v>
      </c>
      <c r="G884" t="s">
        <v>7311</v>
      </c>
      <c r="H884" t="str" cm="1">
        <f t="array" ref="H884">_xlfn.TEXTSPLIT(G884,";")</f>
        <v>FLOSS</v>
      </c>
      <c r="M884" t="s">
        <v>6353</v>
      </c>
    </row>
    <row r="885" spans="1:13">
      <c r="A885" t="s">
        <v>456</v>
      </c>
      <c r="B885" t="s">
        <v>456</v>
      </c>
      <c r="G885" t="s">
        <v>7251</v>
      </c>
      <c r="H885" t="str" cm="1">
        <f t="array" ref="H885">_xlfn.TEXTSPLIT(G885,";")</f>
        <v>GEORGES</v>
      </c>
      <c r="M885" t="s">
        <v>6349</v>
      </c>
    </row>
    <row r="886" spans="1:13">
      <c r="A886" t="s">
        <v>8200</v>
      </c>
      <c r="B886" t="s">
        <v>8200</v>
      </c>
      <c r="G886" t="s">
        <v>6640</v>
      </c>
      <c r="H886" t="str" cm="1">
        <f t="array" ref="H886">_xlfn.TEXTSPLIT(G886,";")</f>
        <v>EVIL</v>
      </c>
      <c r="M886" t="s">
        <v>6350</v>
      </c>
    </row>
    <row r="887" spans="1:13">
      <c r="A887" t="s">
        <v>210</v>
      </c>
      <c r="B887" t="s">
        <v>210</v>
      </c>
      <c r="G887" t="s">
        <v>7277</v>
      </c>
      <c r="H887" t="str" cm="1">
        <f t="array" ref="H887">_xlfn.TEXTSPLIT(G887,";")</f>
        <v>AGED_PALE</v>
      </c>
      <c r="M887" t="s">
        <v>10134</v>
      </c>
    </row>
    <row r="888" spans="1:13">
      <c r="A888" t="s">
        <v>176</v>
      </c>
      <c r="B888" t="s">
        <v>176</v>
      </c>
      <c r="G888" t="s">
        <v>5788</v>
      </c>
      <c r="H888" t="str" cm="1">
        <f t="array" ref="H888">_xlfn.TEXTSPLIT(G888,";")</f>
        <v>SOUR &gt; BERLINER_WEISSE</v>
      </c>
      <c r="M888" t="s">
        <v>6932</v>
      </c>
    </row>
    <row r="889" spans="1:13">
      <c r="A889" t="s">
        <v>7209</v>
      </c>
      <c r="B889" t="s">
        <v>7209</v>
      </c>
      <c r="G889" t="s">
        <v>5789</v>
      </c>
      <c r="H889" t="str" cm="1">
        <f t="array" ref="H889">_xlfn.TEXTSPLIT(G889,";")</f>
        <v>SOUR &gt; CATHARINA</v>
      </c>
      <c r="M889" t="s">
        <v>4891</v>
      </c>
    </row>
    <row r="890" spans="1:13">
      <c r="A890" t="s">
        <v>279</v>
      </c>
      <c r="B890" t="s">
        <v>279</v>
      </c>
      <c r="G890" t="s">
        <v>5790</v>
      </c>
      <c r="H890" t="str" cm="1">
        <f t="array" ref="H890">_xlfn.TEXTSPLIT(G890,";")</f>
        <v>SOUR &gt; FLANDERS_OUD_BRUIN</v>
      </c>
      <c r="M890" t="s">
        <v>6930</v>
      </c>
    </row>
    <row r="891" spans="1:13">
      <c r="A891" t="s">
        <v>7231</v>
      </c>
      <c r="B891" t="s">
        <v>7231</v>
      </c>
      <c r="G891" t="s">
        <v>803</v>
      </c>
      <c r="H891" t="str" cm="1">
        <f t="array" ref="H891">_xlfn.TEXTSPLIT(G891,";")</f>
        <v>FRUITAGE</v>
      </c>
      <c r="M891" t="s">
        <v>6929</v>
      </c>
    </row>
    <row r="892" spans="1:13">
      <c r="A892" t="s">
        <v>354</v>
      </c>
      <c r="B892" t="s">
        <v>354</v>
      </c>
      <c r="G892" t="s">
        <v>959</v>
      </c>
      <c r="H892" t="str" cm="1">
        <f t="array" ref="H892">_xlfn.TEXTSPLIT(G892,";")</f>
        <v>ALEXANDER</v>
      </c>
      <c r="M892" t="s">
        <v>6933</v>
      </c>
    </row>
    <row r="893" spans="1:13">
      <c r="A893" t="s">
        <v>7458</v>
      </c>
      <c r="B893" t="s">
        <v>7458</v>
      </c>
      <c r="G893" t="s">
        <v>753</v>
      </c>
      <c r="H893" t="str" cm="1">
        <f t="array" ref="H893">_xlfn.TEXTSPLIT(G893,";")</f>
        <v>CLASSIC</v>
      </c>
      <c r="M893" t="s">
        <v>6358</v>
      </c>
    </row>
    <row r="894" spans="1:13">
      <c r="A894" t="s">
        <v>356</v>
      </c>
      <c r="B894" t="s">
        <v>356</v>
      </c>
      <c r="G894" t="s">
        <v>1970</v>
      </c>
      <c r="H894" t="str" cm="1">
        <f t="array" ref="H894">_xlfn.TEXTSPLIT(G894,";")</f>
        <v>REDBROWN</v>
      </c>
      <c r="M894" t="s">
        <v>6925</v>
      </c>
    </row>
    <row r="895" spans="1:13">
      <c r="A895" t="s">
        <v>358</v>
      </c>
      <c r="B895" t="s">
        <v>358</v>
      </c>
      <c r="G895" t="s">
        <v>5791</v>
      </c>
      <c r="H895" t="str" cm="1">
        <f t="array" ref="H895">_xlfn.TEXTSPLIT(G895,";")</f>
        <v>SOUR &gt; FLANDERS_RED_ALE</v>
      </c>
      <c r="M895" t="s">
        <v>6927</v>
      </c>
    </row>
    <row r="896" spans="1:13">
      <c r="A896" t="s">
        <v>15</v>
      </c>
      <c r="B896" t="s">
        <v>15</v>
      </c>
      <c r="G896" t="s">
        <v>9378</v>
      </c>
      <c r="H896" t="str" cm="1">
        <f t="array" ref="H896">_xlfn.TEXTSPLIT(G896,";")</f>
        <v>BUENAVEZA</v>
      </c>
      <c r="M896" t="s">
        <v>10140</v>
      </c>
    </row>
    <row r="897" spans="1:13">
      <c r="A897" t="s">
        <v>246</v>
      </c>
      <c r="B897" t="s">
        <v>246</v>
      </c>
      <c r="G897" t="s">
        <v>5792</v>
      </c>
      <c r="H897" t="str" cm="1">
        <f t="array" ref="H897">_xlfn.TEXTSPLIT(G897,";")</f>
        <v>SOUR &gt; FRUITED</v>
      </c>
      <c r="M897" t="s">
        <v>6937</v>
      </c>
    </row>
    <row r="898" spans="1:13">
      <c r="A898" t="s">
        <v>362</v>
      </c>
      <c r="B898" t="s">
        <v>362</v>
      </c>
      <c r="G898" t="s">
        <v>7923</v>
      </c>
      <c r="H898" t="str" cm="1">
        <f t="array" ref="H898">_xlfn.TEXTSPLIT(G898,";")</f>
        <v>FOU</v>
      </c>
      <c r="M898" t="s">
        <v>10141</v>
      </c>
    </row>
    <row r="899" spans="1:13">
      <c r="A899" t="s">
        <v>7634</v>
      </c>
      <c r="B899" t="s">
        <v>7634</v>
      </c>
      <c r="G899" t="s">
        <v>1474</v>
      </c>
      <c r="H899" t="str" cm="1">
        <f t="array" ref="H899">_xlfn.TEXTSPLIT(G899,";")</f>
        <v>DRAGONFRUIT</v>
      </c>
      <c r="M899" t="s">
        <v>1502</v>
      </c>
    </row>
    <row r="900" spans="1:13">
      <c r="A900" t="s">
        <v>1130</v>
      </c>
      <c r="B900" t="s">
        <v>1130</v>
      </c>
      <c r="G900" t="s">
        <v>8916</v>
      </c>
      <c r="H900" t="str" cm="1">
        <f t="array" ref="H900">_xlfn.TEXTSPLIT(G900,";")</f>
        <v>RIESLING</v>
      </c>
      <c r="M900" t="s">
        <v>6935</v>
      </c>
    </row>
    <row r="901" spans="1:13">
      <c r="A901" t="s">
        <v>7713</v>
      </c>
      <c r="B901" t="s">
        <v>7713</v>
      </c>
      <c r="G901" t="s">
        <v>5793</v>
      </c>
      <c r="H901" t="str" cm="1">
        <f t="array" ref="H901">_xlfn.TEXTSPLIT(G901,";")</f>
        <v>SOUR &gt; FRUITED_BERLINER_WEISSE</v>
      </c>
      <c r="M901" t="s">
        <v>6359</v>
      </c>
    </row>
    <row r="902" spans="1:13">
      <c r="A902" t="s">
        <v>248</v>
      </c>
      <c r="B902" t="s">
        <v>248</v>
      </c>
      <c r="G902" t="s">
        <v>5794</v>
      </c>
      <c r="H902" t="str" cm="1">
        <f t="array" ref="H902">_xlfn.TEXTSPLIT(G902,";")</f>
        <v>SOUR &gt; FRUITED_GOSE</v>
      </c>
      <c r="M902" t="s">
        <v>10143</v>
      </c>
    </row>
    <row r="903" spans="1:13">
      <c r="A903" t="s">
        <v>864</v>
      </c>
      <c r="B903" t="s">
        <v>864</v>
      </c>
      <c r="G903" t="s">
        <v>6392</v>
      </c>
      <c r="H903" t="str" cm="1">
        <f t="array" ref="H903:I903">_xlfn.TEXTSPLIT(G903,";")</f>
        <v>SOUR &gt; OTHER</v>
      </c>
      <c r="I903" t="str">
        <v>SOUR</v>
      </c>
      <c r="M903" t="s">
        <v>928</v>
      </c>
    </row>
    <row r="904" spans="1:13">
      <c r="A904" t="s">
        <v>9027</v>
      </c>
      <c r="B904" t="s">
        <v>9027</v>
      </c>
      <c r="G904" t="s">
        <v>5795</v>
      </c>
      <c r="H904" t="str" cm="1">
        <f t="array" ref="H904">_xlfn.TEXTSPLIT(G904,";")</f>
        <v>SOUR &gt; OTHER</v>
      </c>
      <c r="M904" t="s">
        <v>7328</v>
      </c>
    </row>
    <row r="905" spans="1:13">
      <c r="A905" t="s">
        <v>7867</v>
      </c>
      <c r="B905" t="s">
        <v>7867</v>
      </c>
      <c r="G905" t="s">
        <v>7564</v>
      </c>
      <c r="H905" t="str" cm="1">
        <f t="array" ref="H905">_xlfn.TEXTSPLIT(G905,";")</f>
        <v>WESH</v>
      </c>
      <c r="M905" t="s">
        <v>10144</v>
      </c>
    </row>
    <row r="906" spans="1:13">
      <c r="A906" t="s">
        <v>7937</v>
      </c>
      <c r="B906" t="s">
        <v>7937</v>
      </c>
      <c r="G906" t="s">
        <v>773</v>
      </c>
      <c r="H906" t="str" cm="1">
        <f t="array" ref="H906">_xlfn.TEXTSPLIT(G906,";")</f>
        <v>SOUR</v>
      </c>
      <c r="M906" t="s">
        <v>6361</v>
      </c>
    </row>
    <row r="907" spans="1:13">
      <c r="A907" t="s">
        <v>51</v>
      </c>
      <c r="B907" t="s">
        <v>51</v>
      </c>
      <c r="G907" t="s">
        <v>8418</v>
      </c>
      <c r="H907" t="str" cm="1">
        <f t="array" ref="H907">_xlfn.TEXTSPLIT(G907,";")</f>
        <v>TILDONK</v>
      </c>
      <c r="M907" t="s">
        <v>6362</v>
      </c>
    </row>
    <row r="908" spans="1:13">
      <c r="A908" t="s">
        <v>1818</v>
      </c>
      <c r="B908" t="s">
        <v>1818</v>
      </c>
      <c r="G908" t="s">
        <v>8514</v>
      </c>
      <c r="H908" t="str" cm="1">
        <f t="array" ref="H908">_xlfn.TEXTSPLIT(G908,";")</f>
        <v>MUSCAR</v>
      </c>
      <c r="M908" t="s">
        <v>6363</v>
      </c>
    </row>
    <row r="909" spans="1:13">
      <c r="A909" t="s">
        <v>8241</v>
      </c>
      <c r="B909" t="s">
        <v>8241</v>
      </c>
      <c r="G909" t="s">
        <v>886</v>
      </c>
      <c r="H909" t="str" cm="1">
        <f t="array" ref="H909">_xlfn.TEXTSPLIT(G909,";")</f>
        <v>QUARTZ</v>
      </c>
      <c r="M909" t="s">
        <v>10146</v>
      </c>
    </row>
    <row r="910" spans="1:13">
      <c r="A910" t="s">
        <v>260</v>
      </c>
      <c r="B910" t="s">
        <v>260</v>
      </c>
      <c r="G910" t="s">
        <v>6393</v>
      </c>
      <c r="H910" t="str" cm="1">
        <f t="array" ref="H910:I910">_xlfn.TEXTSPLIT(G910,";")</f>
        <v>SOUR &gt; OTHER_GOSE</v>
      </c>
      <c r="I910" t="str">
        <v>GOSE</v>
      </c>
      <c r="M910" t="s">
        <v>1001</v>
      </c>
    </row>
    <row r="911" spans="1:13">
      <c r="A911" t="s">
        <v>8307</v>
      </c>
      <c r="B911" t="s">
        <v>8307</v>
      </c>
      <c r="G911" t="s">
        <v>5796</v>
      </c>
      <c r="H911" t="str" cm="1">
        <f t="array" ref="H911">_xlfn.TEXTSPLIT(G911,";")</f>
        <v>SOUR &gt; OTHER_GOSE</v>
      </c>
      <c r="M911" t="s">
        <v>10148</v>
      </c>
    </row>
    <row r="912" spans="1:13">
      <c r="A912" t="s">
        <v>8469</v>
      </c>
      <c r="B912" t="s">
        <v>8469</v>
      </c>
      <c r="G912" t="s">
        <v>5797</v>
      </c>
      <c r="H912" t="str" cm="1">
        <f t="array" ref="H912">_xlfn.TEXTSPLIT(G912,";")</f>
        <v>SOUR &gt; SMOOTHIE_/_PASTRY</v>
      </c>
      <c r="M912" t="s">
        <v>10149</v>
      </c>
    </row>
    <row r="913" spans="1:13">
      <c r="A913" t="s">
        <v>8483</v>
      </c>
      <c r="B913" t="s">
        <v>8483</v>
      </c>
      <c r="G913" t="s">
        <v>5798</v>
      </c>
      <c r="H913" t="str" cm="1">
        <f t="array" ref="H913">_xlfn.TEXTSPLIT(G913,";")</f>
        <v>SOUR &gt; TOMATO_/_VEGETABLE_GOSE</v>
      </c>
      <c r="M913" t="s">
        <v>7329</v>
      </c>
    </row>
    <row r="914" spans="1:13">
      <c r="A914" t="s">
        <v>8519</v>
      </c>
      <c r="B914" t="s">
        <v>8519</v>
      </c>
      <c r="G914" t="s">
        <v>5799</v>
      </c>
      <c r="H914" t="str" cm="1">
        <f t="array" ref="H914">_xlfn.TEXTSPLIT(G914,";")</f>
        <v>SOUR &gt; TRADITIONAL_GOSE</v>
      </c>
      <c r="M914" t="s">
        <v>10150</v>
      </c>
    </row>
    <row r="915" spans="1:13">
      <c r="A915" t="s">
        <v>99</v>
      </c>
      <c r="B915" t="s">
        <v>99</v>
      </c>
      <c r="G915" t="s">
        <v>5621</v>
      </c>
      <c r="H915" t="str" cm="1">
        <f t="array" ref="H915">_xlfn.TEXTSPLIT(G915,";")</f>
        <v>SPECIALTY_GRAIN</v>
      </c>
      <c r="M915" t="s">
        <v>6516</v>
      </c>
    </row>
    <row r="916" spans="1:13">
      <c r="A916" t="s">
        <v>8546</v>
      </c>
      <c r="B916" t="s">
        <v>8546</v>
      </c>
      <c r="G916" t="s">
        <v>5622</v>
      </c>
      <c r="H916" t="str" cm="1">
        <f t="array" ref="H916">_xlfn.TEXTSPLIT(G916,";")</f>
        <v>SPICED_/_HERBED_BEER</v>
      </c>
      <c r="M916" t="s">
        <v>6356</v>
      </c>
    </row>
    <row r="917" spans="1:13">
      <c r="A917" t="s">
        <v>373</v>
      </c>
      <c r="B917" t="s">
        <v>373</v>
      </c>
      <c r="G917" t="s">
        <v>5629</v>
      </c>
      <c r="H917" t="str" cm="1">
        <f t="array" ref="H917">_xlfn.TEXTSPLIT(G917,";")</f>
        <v>SPIRIT_FLAVOURED_BEERS</v>
      </c>
      <c r="M917" t="s">
        <v>1059</v>
      </c>
    </row>
    <row r="918" spans="1:13">
      <c r="A918" t="s">
        <v>8570</v>
      </c>
      <c r="B918" t="s">
        <v>8570</v>
      </c>
      <c r="G918" t="s">
        <v>1500</v>
      </c>
      <c r="H918" t="str" cm="1">
        <f t="array" ref="H918">_xlfn.TEXTSPLIT(G918,";")</f>
        <v>CACTUS</v>
      </c>
      <c r="M918" t="s">
        <v>6352</v>
      </c>
    </row>
    <row r="919" spans="1:13">
      <c r="A919" t="s">
        <v>108</v>
      </c>
      <c r="B919" t="s">
        <v>108</v>
      </c>
      <c r="G919" t="s">
        <v>8079</v>
      </c>
      <c r="H919" t="str" cm="1">
        <f t="array" ref="H919">_xlfn.TEXTSPLIT(G919,";")</f>
        <v>CAIPIRINHA</v>
      </c>
      <c r="M919" t="s">
        <v>1496</v>
      </c>
    </row>
    <row r="920" spans="1:13">
      <c r="A920" t="s">
        <v>109</v>
      </c>
      <c r="B920" t="s">
        <v>109</v>
      </c>
      <c r="G920" t="s">
        <v>8326</v>
      </c>
      <c r="H920" t="str" cm="1">
        <f t="array" ref="H920">_xlfn.TEXTSPLIT(G920,";")</f>
        <v>PINA_COLADA</v>
      </c>
      <c r="M920" t="s">
        <v>6934</v>
      </c>
    </row>
    <row r="921" spans="1:13">
      <c r="A921" t="s">
        <v>8595</v>
      </c>
      <c r="B921" t="s">
        <v>8595</v>
      </c>
      <c r="G921" t="s">
        <v>5371</v>
      </c>
      <c r="H921" t="str" cm="1">
        <f t="array" ref="H921:I921">_xlfn.TEXTSPLIT(G921,";")</f>
        <v>BLUE</v>
      </c>
      <c r="I921" t="str">
        <v>ICE</v>
      </c>
      <c r="M921" t="s">
        <v>10147</v>
      </c>
    </row>
    <row r="922" spans="1:13">
      <c r="A922" t="s">
        <v>8724</v>
      </c>
      <c r="B922" t="s">
        <v>8724</v>
      </c>
      <c r="G922" t="s">
        <v>5373</v>
      </c>
      <c r="H922" t="str" cm="1">
        <f t="array" ref="H922:J922">_xlfn.TEXTSPLIT(G922,";")</f>
        <v>PEACH</v>
      </c>
      <c r="I922" t="str">
        <v>RED</v>
      </c>
      <c r="J922" t="str">
        <v>CORE</v>
      </c>
    </row>
    <row r="923" spans="1:13">
      <c r="A923" t="s">
        <v>8653</v>
      </c>
      <c r="B923" t="s">
        <v>8653</v>
      </c>
      <c r="G923" t="s">
        <v>5258</v>
      </c>
      <c r="H923" t="str" cm="1">
        <f t="array" ref="H923">_xlfn.TEXTSPLIT(G923,";")</f>
        <v>AADRINK</v>
      </c>
    </row>
    <row r="924" spans="1:13">
      <c r="A924" t="s">
        <v>8658</v>
      </c>
      <c r="B924" t="s">
        <v>8658</v>
      </c>
      <c r="G924" t="s">
        <v>5372</v>
      </c>
      <c r="H924" t="str" cm="1">
        <f t="array" ref="H924:I924">_xlfn.TEXTSPLIT(G924,";")</f>
        <v>LEMON</v>
      </c>
      <c r="I924" t="str">
        <v>WHITE</v>
      </c>
    </row>
    <row r="925" spans="1:13">
      <c r="A925" t="s">
        <v>8660</v>
      </c>
      <c r="B925" t="s">
        <v>8660</v>
      </c>
      <c r="G925" t="s">
        <v>7062</v>
      </c>
      <c r="H925" t="str" cm="1">
        <f t="array" ref="H925:I925">_xlfn.TEXTSPLIT(G925,";")</f>
        <v>STOUT</v>
      </c>
      <c r="I925" t="str">
        <v>CORE</v>
      </c>
    </row>
    <row r="926" spans="1:13">
      <c r="A926" t="s">
        <v>8672</v>
      </c>
      <c r="B926" t="s">
        <v>8672</v>
      </c>
      <c r="G926" t="s">
        <v>7074</v>
      </c>
      <c r="H926" t="str" cm="1">
        <f t="array" ref="H926:I926">_xlfn.TEXTSPLIT(G926,";")</f>
        <v>CORE</v>
      </c>
      <c r="I926" t="str">
        <v>STOUT</v>
      </c>
    </row>
    <row r="927" spans="1:13">
      <c r="A927" t="s">
        <v>8676</v>
      </c>
      <c r="B927" t="s">
        <v>8676</v>
      </c>
      <c r="G927" t="s">
        <v>5800</v>
      </c>
      <c r="H927" t="str" cm="1">
        <f t="array" ref="H927">_xlfn.TEXTSPLIT(G927,";")</f>
        <v>STOUT &gt; AMERICAN</v>
      </c>
    </row>
    <row r="928" spans="1:13">
      <c r="A928" t="s">
        <v>8697</v>
      </c>
      <c r="B928" t="s">
        <v>8697</v>
      </c>
      <c r="G928" t="s">
        <v>7910</v>
      </c>
      <c r="H928" t="str" cm="1">
        <f t="array" ref="H928">_xlfn.TEXTSPLIT(G928,";")</f>
        <v>ARISTIDE</v>
      </c>
    </row>
    <row r="929" spans="1:9">
      <c r="A929" t="s">
        <v>272</v>
      </c>
      <c r="B929" t="s">
        <v>272</v>
      </c>
      <c r="G929" t="s">
        <v>5801</v>
      </c>
      <c r="H929" t="str" cm="1">
        <f t="array" ref="H929">_xlfn.TEXTSPLIT(G929,";")</f>
        <v>STOUT &gt; BELGIAN</v>
      </c>
    </row>
    <row r="930" spans="1:9">
      <c r="A930" t="s">
        <v>273</v>
      </c>
      <c r="B930" t="s">
        <v>273</v>
      </c>
      <c r="G930" t="s">
        <v>5271</v>
      </c>
      <c r="H930" t="str" cm="1">
        <f t="array" ref="H930">_xlfn.TEXTSPLIT(G930,";")</f>
        <v>BLACK_GOLD</v>
      </c>
    </row>
    <row r="931" spans="1:9">
      <c r="A931" t="s">
        <v>7820</v>
      </c>
      <c r="B931" t="s">
        <v>7820</v>
      </c>
      <c r="G931" t="s">
        <v>5802</v>
      </c>
      <c r="H931" t="str" cm="1">
        <f t="array" ref="H931">_xlfn.TEXTSPLIT(G931,";")</f>
        <v>STOUT &gt; COFFEE</v>
      </c>
    </row>
    <row r="932" spans="1:9">
      <c r="A932" t="s">
        <v>612</v>
      </c>
      <c r="B932" t="s">
        <v>612</v>
      </c>
      <c r="G932" t="s">
        <v>5803</v>
      </c>
      <c r="H932" t="str" cm="1">
        <f t="array" ref="H932">_xlfn.TEXTSPLIT(G932,";")</f>
        <v>STOUT &gt; ENGLISH</v>
      </c>
    </row>
    <row r="933" spans="1:9">
      <c r="A933" t="s">
        <v>8958</v>
      </c>
      <c r="B933" t="s">
        <v>8958</v>
      </c>
      <c r="G933" t="s">
        <v>5804</v>
      </c>
      <c r="H933" t="str" cm="1">
        <f t="array" ref="H933">_xlfn.TEXTSPLIT(G933,";")</f>
        <v>STOUT &gt; FOREIGN_/_EXPORT</v>
      </c>
    </row>
    <row r="934" spans="1:9">
      <c r="A934" t="s">
        <v>1116</v>
      </c>
      <c r="B934" t="s">
        <v>1116</v>
      </c>
      <c r="G934" t="s">
        <v>5805</v>
      </c>
      <c r="H934" t="str" cm="1">
        <f t="array" ref="H934">_xlfn.TEXTSPLIT(G934,";")</f>
        <v>STOUT &gt; IMPERIAL_/_DOUBLE</v>
      </c>
    </row>
    <row r="935" spans="1:9">
      <c r="A935" t="s">
        <v>636</v>
      </c>
      <c r="B935" t="s">
        <v>636</v>
      </c>
      <c r="G935" t="s">
        <v>5388</v>
      </c>
      <c r="H935" t="str" cm="1">
        <f t="array" ref="H935:I935">_xlfn.TEXTSPLIT(G935,";")</f>
        <v>STOUT</v>
      </c>
      <c r="I935" t="str">
        <v>IMPERIAL</v>
      </c>
    </row>
    <row r="936" spans="1:9">
      <c r="A936" t="s">
        <v>9164</v>
      </c>
      <c r="B936" t="s">
        <v>9164</v>
      </c>
      <c r="G936" t="s">
        <v>10035</v>
      </c>
      <c r="H936" t="str" cm="1">
        <f t="array" ref="H936">_xlfn.TEXTSPLIT(G936,";")</f>
        <v>MOON</v>
      </c>
    </row>
    <row r="937" spans="1:9">
      <c r="A937" t="s">
        <v>9199</v>
      </c>
      <c r="B937" t="s">
        <v>9199</v>
      </c>
      <c r="G937" t="s">
        <v>5806</v>
      </c>
      <c r="H937" t="str" cm="1">
        <f t="array" ref="H937">_xlfn.TEXTSPLIT(G937,";")</f>
        <v>STOUT &gt; IMPERIAL_/_DOUBLE_COFFEE</v>
      </c>
    </row>
    <row r="938" spans="1:9">
      <c r="A938" t="s">
        <v>834</v>
      </c>
      <c r="B938" t="s">
        <v>834</v>
      </c>
      <c r="G938" t="s">
        <v>5807</v>
      </c>
      <c r="H938" t="str" cm="1">
        <f t="array" ref="H938">_xlfn.TEXTSPLIT(G938,";")</f>
        <v>STOUT &gt; IMPERIAL_/_DOUBLE_MILK</v>
      </c>
    </row>
    <row r="939" spans="1:9">
      <c r="A939" t="s">
        <v>9398</v>
      </c>
      <c r="B939" t="s">
        <v>9398</v>
      </c>
      <c r="G939" t="s">
        <v>5808</v>
      </c>
      <c r="H939" t="str" cm="1">
        <f t="array" ref="H939">_xlfn.TEXTSPLIT(G939,";")</f>
        <v>STOUT &gt; IMPERIAL_/_DOUBLE_OATMEAL</v>
      </c>
    </row>
    <row r="940" spans="1:9">
      <c r="A940" t="s">
        <v>637</v>
      </c>
      <c r="B940" t="s">
        <v>637</v>
      </c>
      <c r="G940" t="s">
        <v>5809</v>
      </c>
      <c r="H940" t="str" cm="1">
        <f t="array" ref="H940">_xlfn.TEXTSPLIT(G940,";")</f>
        <v>STOUT &gt; IMPERIAL_/_DOUBLE_PASTRY</v>
      </c>
    </row>
    <row r="941" spans="1:9">
      <c r="A941" t="s">
        <v>197</v>
      </c>
      <c r="B941" t="s">
        <v>197</v>
      </c>
      <c r="G941" t="s">
        <v>5810</v>
      </c>
      <c r="H941" t="str" cm="1">
        <f t="array" ref="H941">_xlfn.TEXTSPLIT(G941,";")</f>
        <v>STOUT &gt; IMPERIAL_/_DOUBLE_WHITE_/_GOLDEN</v>
      </c>
    </row>
    <row r="942" spans="1:9">
      <c r="A942" t="s">
        <v>224</v>
      </c>
      <c r="B942" t="s">
        <v>224</v>
      </c>
      <c r="G942" t="s">
        <v>5811</v>
      </c>
      <c r="H942" t="str" cm="1">
        <f t="array" ref="H942">_xlfn.TEXTSPLIT(G942,";")</f>
        <v>STOUT &gt; IRISH_DRY</v>
      </c>
    </row>
    <row r="943" spans="1:9">
      <c r="A943" t="s">
        <v>18</v>
      </c>
      <c r="B943" t="s">
        <v>18</v>
      </c>
      <c r="G943" t="s">
        <v>5812</v>
      </c>
      <c r="H943" t="str" cm="1">
        <f t="array" ref="H943">_xlfn.TEXTSPLIT(G943,";")</f>
        <v>STOUT &gt; MILK_/_SWEET</v>
      </c>
    </row>
    <row r="944" spans="1:9">
      <c r="A944" t="s">
        <v>34</v>
      </c>
      <c r="B944" t="s">
        <v>34</v>
      </c>
      <c r="G944" t="s">
        <v>5813</v>
      </c>
      <c r="H944" t="str" cm="1">
        <f t="array" ref="H944">_xlfn.TEXTSPLIT(G944,";")</f>
        <v>STOUT &gt; OATMEAL</v>
      </c>
    </row>
    <row r="945" spans="1:16">
      <c r="A945" t="s">
        <v>6779</v>
      </c>
      <c r="B945" t="s">
        <v>6779</v>
      </c>
      <c r="G945" t="s">
        <v>7548</v>
      </c>
      <c r="H945" t="str" cm="1">
        <f t="array" ref="H945">_xlfn.TEXTSPLIT(G945,";")</f>
        <v>OERKNAL</v>
      </c>
    </row>
    <row r="946" spans="1:16">
      <c r="A946" t="s">
        <v>1452</v>
      </c>
      <c r="B946" t="s">
        <v>1452</v>
      </c>
      <c r="G946" t="s">
        <v>6394</v>
      </c>
      <c r="H946" t="str" cm="1">
        <f t="array" ref="H946:I946">_xlfn.TEXTSPLIT(G946,";")</f>
        <v>STOUT &gt; OTHER</v>
      </c>
      <c r="I946" t="str">
        <v>STOUT</v>
      </c>
    </row>
    <row r="947" spans="1:16">
      <c r="A947" t="s">
        <v>117</v>
      </c>
      <c r="B947" t="s">
        <v>117</v>
      </c>
      <c r="G947" t="s">
        <v>5814</v>
      </c>
      <c r="H947" t="str" cm="1">
        <f t="array" ref="H947">_xlfn.TEXTSPLIT(G947,";")</f>
        <v>STOUT &gt; OTHER</v>
      </c>
    </row>
    <row r="948" spans="1:16">
      <c r="A948" t="s">
        <v>1858</v>
      </c>
      <c r="B948" t="s">
        <v>1858</v>
      </c>
      <c r="G948" t="s">
        <v>948</v>
      </c>
      <c r="H948" t="str" cm="1">
        <f t="array" ref="H948">_xlfn.TEXTSPLIT(G948,";")</f>
        <v>ONYX</v>
      </c>
    </row>
    <row r="949" spans="1:16">
      <c r="A949" t="s">
        <v>1347</v>
      </c>
      <c r="B949" t="s">
        <v>1347</v>
      </c>
      <c r="G949" t="s">
        <v>7834</v>
      </c>
      <c r="H949" t="str" cm="1">
        <f t="array" ref="H949:I949">_xlfn.TEXTSPLIT(G949,";")</f>
        <v>BLACK</v>
      </c>
      <c r="I949" t="str">
        <v>FOREST</v>
      </c>
    </row>
    <row r="950" spans="1:16">
      <c r="A950" t="s">
        <v>6888</v>
      </c>
      <c r="B950" t="s">
        <v>6888</v>
      </c>
      <c r="G950" t="s">
        <v>5815</v>
      </c>
      <c r="H950" t="str" cm="1">
        <f t="array" ref="H950">_xlfn.TEXTSPLIT(G950,";")</f>
        <v>STOUT &gt; OYSTER</v>
      </c>
    </row>
    <row r="951" spans="1:16">
      <c r="A951" t="s">
        <v>169</v>
      </c>
      <c r="B951" t="s">
        <v>169</v>
      </c>
      <c r="G951" t="s">
        <v>5816</v>
      </c>
      <c r="H951" t="str" cm="1">
        <f t="array" ref="H951">_xlfn.TEXTSPLIT(G951,";")</f>
        <v>STOUT &gt; PASTRY</v>
      </c>
    </row>
    <row r="952" spans="1:16">
      <c r="A952" t="s">
        <v>1446</v>
      </c>
      <c r="B952" t="s">
        <v>1446</v>
      </c>
      <c r="G952" t="s">
        <v>5817</v>
      </c>
      <c r="H952" t="str" cm="1">
        <f t="array" ref="H952">_xlfn.TEXTSPLIT(G952,";")</f>
        <v>STOUT &gt; RUSSIAN_IMPERIAL</v>
      </c>
    </row>
    <row r="953" spans="1:16">
      <c r="A953" t="s">
        <v>1440</v>
      </c>
      <c r="B953" t="s">
        <v>1440</v>
      </c>
      <c r="G953" t="s">
        <v>5818</v>
      </c>
      <c r="H953" t="str" cm="1">
        <f t="array" ref="H953">_xlfn.TEXTSPLIT(G953,";")</f>
        <v>STOUT &gt; WHITE_/_GOLDEN</v>
      </c>
    </row>
    <row r="954" spans="1:16">
      <c r="A954" t="s">
        <v>734</v>
      </c>
      <c r="B954" t="s">
        <v>734</v>
      </c>
      <c r="G954" t="s">
        <v>970</v>
      </c>
      <c r="H954" t="str" cm="1">
        <f t="array" ref="H954">_xlfn.TEXTSPLIT(G954,";")</f>
        <v>KAISHAKU</v>
      </c>
    </row>
    <row r="955" spans="1:16">
      <c r="A955" t="s">
        <v>721</v>
      </c>
      <c r="B955" t="s">
        <v>721</v>
      </c>
      <c r="G955" t="s">
        <v>5819</v>
      </c>
      <c r="H955" t="str" cm="1">
        <f t="array" ref="H955">_xlfn.TEXTSPLIT(G955,";")</f>
        <v>STRONG_ALE &gt; AMERICAN</v>
      </c>
    </row>
    <row r="956" spans="1:16">
      <c r="A956" t="s">
        <v>6758</v>
      </c>
      <c r="B956" t="s">
        <v>6758</v>
      </c>
      <c r="G956" t="s">
        <v>5820</v>
      </c>
      <c r="H956" t="str" cm="1">
        <f t="array" ref="H956">_xlfn.TEXTSPLIT(G956,";")</f>
        <v>STRONG_ALE &gt; ENGLISH</v>
      </c>
    </row>
    <row r="957" spans="1:16">
      <c r="A957" t="s">
        <v>6804</v>
      </c>
      <c r="B957" t="s">
        <v>6804</v>
      </c>
      <c r="G957" t="s">
        <v>5821</v>
      </c>
      <c r="H957" t="str" cm="1">
        <f t="array" ref="H957">_xlfn.TEXTSPLIT(G957,";")</f>
        <v>STRONG_ALE &gt; OTHER</v>
      </c>
    </row>
    <row r="958" spans="1:16">
      <c r="A958" t="s">
        <v>6860</v>
      </c>
      <c r="B958" t="s">
        <v>6860</v>
      </c>
      <c r="G958" t="s">
        <v>5623</v>
      </c>
      <c r="H958" t="str" cm="1">
        <f t="array" ref="H958">_xlfn.TEXTSPLIT(G958,";")</f>
        <v>TABLE_BEER</v>
      </c>
    </row>
    <row r="959" spans="1:16">
      <c r="A959" t="s">
        <v>6749</v>
      </c>
      <c r="B959" t="s">
        <v>6749</v>
      </c>
      <c r="G959" t="s">
        <v>173</v>
      </c>
      <c r="H959" t="str" cm="1">
        <f t="array" ref="H959">_xlfn.TEXTSPLIT(G959,";")</f>
        <v>SIMPLEX</v>
      </c>
    </row>
    <row r="960" spans="1:16">
      <c r="A960" t="s">
        <v>7316</v>
      </c>
      <c r="B960" t="s">
        <v>7316</v>
      </c>
      <c r="G960" t="s">
        <v>5387</v>
      </c>
      <c r="H960" t="str" cm="1">
        <f t="array" ref="H960:K960">_xlfn.TEXTSPLIT(G960,";")</f>
        <v>CORE</v>
      </c>
      <c r="I960" t="str">
        <v>AGRUMES</v>
      </c>
      <c r="J960" t="str">
        <v>BITTER_LEMON</v>
      </c>
      <c r="K960" t="str">
        <v>LIME</v>
      </c>
      <c r="P960" t="s">
        <v>876</v>
      </c>
    </row>
    <row r="961" spans="1:16">
      <c r="A961" t="s">
        <v>6631</v>
      </c>
      <c r="B961" t="s">
        <v>6631</v>
      </c>
      <c r="G961" t="s">
        <v>6900</v>
      </c>
      <c r="H961" t="str" cm="1">
        <f t="array" ref="H961:I961">_xlfn.TEXTSPLIT(G961,";")</f>
        <v>BITTER</v>
      </c>
      <c r="I961" t="str">
        <v>LEMON</v>
      </c>
    </row>
    <row r="962" spans="1:16">
      <c r="A962" t="s">
        <v>1928</v>
      </c>
      <c r="B962" t="s">
        <v>1928</v>
      </c>
      <c r="G962" t="s">
        <v>1978</v>
      </c>
      <c r="H962" t="str" cm="1">
        <f t="array" ref="H962">_xlfn.TEXTSPLIT(G962,";")</f>
        <v>MEDITERRANEAN</v>
      </c>
    </row>
    <row r="963" spans="1:16">
      <c r="A963" t="s">
        <v>7064</v>
      </c>
      <c r="B963" t="s">
        <v>7064</v>
      </c>
      <c r="G963" t="s">
        <v>1508</v>
      </c>
      <c r="H963" t="str" cm="1">
        <f t="array" ref="H963">_xlfn.TEXTSPLIT(G963,";")</f>
        <v>SPRITZ</v>
      </c>
    </row>
    <row r="964" spans="1:16">
      <c r="A964" t="s">
        <v>8509</v>
      </c>
      <c r="B964" t="s">
        <v>8509</v>
      </c>
      <c r="G964" t="s">
        <v>6780</v>
      </c>
      <c r="H964" t="str" cm="1">
        <f t="array" ref="H964:I964">_xlfn.TEXTSPLIT(G964,";")</f>
        <v>INDIAN</v>
      </c>
      <c r="I964" t="str">
        <v>CORE</v>
      </c>
    </row>
    <row r="965" spans="1:16">
      <c r="A965" t="s">
        <v>1453</v>
      </c>
      <c r="B965" t="s">
        <v>1453</v>
      </c>
      <c r="G965" t="s">
        <v>6783</v>
      </c>
      <c r="H965" t="str" cm="1">
        <f t="array" ref="H965">_xlfn.TEXTSPLIT(G965,";")</f>
        <v>SKINNY</v>
      </c>
    </row>
    <row r="966" spans="1:16">
      <c r="A966" t="s">
        <v>1443</v>
      </c>
      <c r="B966" t="s">
        <v>1443</v>
      </c>
      <c r="G966" t="s">
        <v>195</v>
      </c>
      <c r="H966" t="str" cm="1">
        <f t="array" ref="H966">_xlfn.TEXTSPLIT(G966,";")</f>
        <v>TONIC</v>
      </c>
    </row>
    <row r="967" spans="1:16">
      <c r="A967" t="s">
        <v>699</v>
      </c>
      <c r="B967" t="s">
        <v>699</v>
      </c>
      <c r="G967" t="s">
        <v>6532</v>
      </c>
      <c r="H967" t="str" cm="1">
        <f t="array" ref="H967:J967">_xlfn.TEXTSPLIT(G967,";")</f>
        <v>TONIC_WATER</v>
      </c>
      <c r="I967" t="str">
        <v>CORE</v>
      </c>
      <c r="J967" t="str">
        <v>INDIAN</v>
      </c>
    </row>
    <row r="968" spans="1:16">
      <c r="A968" t="s">
        <v>723</v>
      </c>
      <c r="B968" t="s">
        <v>723</v>
      </c>
      <c r="G968" t="s">
        <v>5424</v>
      </c>
      <c r="H968" t="str" cm="1">
        <f t="array" ref="H968:K968">_xlfn.TEXTSPLIT(G968,";")</f>
        <v>TONIC_WATER</v>
      </c>
      <c r="I968" t="str">
        <v>CORE</v>
      </c>
      <c r="J968" t="str">
        <v>CORE</v>
      </c>
      <c r="K968" t="str">
        <v>CORE</v>
      </c>
      <c r="P968" t="s">
        <v>1438</v>
      </c>
    </row>
    <row r="969" spans="1:16">
      <c r="A969" t="s">
        <v>1860</v>
      </c>
      <c r="B969" t="s">
        <v>1860</v>
      </c>
      <c r="G969" t="s">
        <v>6902</v>
      </c>
      <c r="H969" t="str" cm="1">
        <f t="array" ref="H969:J969">_xlfn.TEXTSPLIT(G969,";")</f>
        <v>TONIC</v>
      </c>
      <c r="I969" t="str">
        <v>CLASSIC</v>
      </c>
      <c r="J969" t="str">
        <v>CORE</v>
      </c>
    </row>
    <row r="970" spans="1:16">
      <c r="A970" t="s">
        <v>40</v>
      </c>
      <c r="B970" t="s">
        <v>40</v>
      </c>
      <c r="G970" t="s">
        <v>5459</v>
      </c>
      <c r="H970" t="str" cm="1">
        <f t="array" ref="H970:K970">_xlfn.TEXTSPLIT(G970,";")</f>
        <v>CORE</v>
      </c>
      <c r="I970" t="str">
        <v>ORIGINAL</v>
      </c>
      <c r="J970" t="str">
        <v>REGULAR</v>
      </c>
      <c r="K970" t="str">
        <v>TONIC_WATER</v>
      </c>
      <c r="P970" t="s">
        <v>1476</v>
      </c>
    </row>
    <row r="971" spans="1:16">
      <c r="A971" t="s">
        <v>6806</v>
      </c>
      <c r="B971" t="s">
        <v>6806</v>
      </c>
      <c r="G971" t="s">
        <v>5624</v>
      </c>
      <c r="H971" t="str" cm="1">
        <f t="array" ref="H971">_xlfn.TEXTSPLIT(G971,";")</f>
        <v>TRADITIONAL_ALE</v>
      </c>
    </row>
    <row r="972" spans="1:16">
      <c r="A972" t="s">
        <v>6642</v>
      </c>
      <c r="B972" t="s">
        <v>6642</v>
      </c>
      <c r="G972" t="s">
        <v>996</v>
      </c>
      <c r="H972" t="str" cm="1">
        <f t="array" ref="H972">_xlfn.TEXTSPLIT(G972,";")</f>
        <v>WEIZEN</v>
      </c>
    </row>
    <row r="973" spans="1:16">
      <c r="A973" t="s">
        <v>6617</v>
      </c>
      <c r="B973" t="s">
        <v>6617</v>
      </c>
      <c r="G973" t="s">
        <v>1990</v>
      </c>
      <c r="H973" t="str" cm="1">
        <f t="array" ref="H973">_xlfn.TEXTSPLIT(G973,";")</f>
        <v>WHEAT</v>
      </c>
    </row>
    <row r="974" spans="1:16">
      <c r="A974" t="s">
        <v>6622</v>
      </c>
      <c r="B974" t="s">
        <v>6622</v>
      </c>
      <c r="G974" t="s">
        <v>7290</v>
      </c>
      <c r="H974" t="str" cm="1">
        <f t="array" ref="H974">_xlfn.TEXTSPLIT(G974,";")</f>
        <v>TOKYO</v>
      </c>
    </row>
    <row r="975" spans="1:16">
      <c r="A975" t="s">
        <v>6451</v>
      </c>
      <c r="B975" t="s">
        <v>6451</v>
      </c>
      <c r="G975" t="s">
        <v>5822</v>
      </c>
      <c r="H975" t="str" cm="1">
        <f t="array" ref="H975">_xlfn.TEXTSPLIT(G975,";")</f>
        <v>WHEAT_BEER &gt; AMERICAN_PALE_WHEAT</v>
      </c>
    </row>
    <row r="976" spans="1:16">
      <c r="A976" t="s">
        <v>145</v>
      </c>
      <c r="B976" t="s">
        <v>145</v>
      </c>
      <c r="G976" t="s">
        <v>5823</v>
      </c>
      <c r="H976" t="str" cm="1">
        <f t="array" ref="H976">_xlfn.TEXTSPLIT(G976,";")</f>
        <v>WHEAT_BEER &gt; DUNKELWEIZEN</v>
      </c>
    </row>
    <row r="977" spans="1:9">
      <c r="A977" t="s">
        <v>7179</v>
      </c>
      <c r="B977" t="s">
        <v>7179</v>
      </c>
      <c r="G977" t="s">
        <v>8301</v>
      </c>
      <c r="H977" t="str" cm="1">
        <f t="array" ref="H977">_xlfn.TEXTSPLIT(G977,";")</f>
        <v>DUNKELWEIZEN</v>
      </c>
    </row>
    <row r="978" spans="1:9">
      <c r="A978" t="s">
        <v>6606</v>
      </c>
      <c r="B978" t="s">
        <v>6606</v>
      </c>
      <c r="G978" t="s">
        <v>5824</v>
      </c>
      <c r="H978" t="str" cm="1">
        <f t="array" ref="H978">_xlfn.TEXTSPLIT(G978,";")</f>
        <v>WHEAT_BEER &gt; FRUITED</v>
      </c>
    </row>
    <row r="979" spans="1:9">
      <c r="A979" t="s">
        <v>6620</v>
      </c>
      <c r="B979" t="s">
        <v>6620</v>
      </c>
      <c r="G979" t="s">
        <v>6395</v>
      </c>
      <c r="H979" t="str" cm="1">
        <f t="array" ref="H979:I979">_xlfn.TEXTSPLIT(G979,";")</f>
        <v>WHEAT_BEER &gt; HEFEWEIZEN</v>
      </c>
      <c r="I979" t="str">
        <v>HEFEWEIZEN</v>
      </c>
    </row>
    <row r="980" spans="1:9">
      <c r="A980" t="s">
        <v>6611</v>
      </c>
      <c r="B980" t="s">
        <v>6611</v>
      </c>
      <c r="G980" t="s">
        <v>5825</v>
      </c>
      <c r="H980" t="str" cm="1">
        <f t="array" ref="H980">_xlfn.TEXTSPLIT(G980,";")</f>
        <v>WHEAT_BEER &gt; HEFEWEIZEN</v>
      </c>
    </row>
    <row r="981" spans="1:9">
      <c r="A981" t="s">
        <v>6619</v>
      </c>
      <c r="B981" t="s">
        <v>6619</v>
      </c>
      <c r="G981" t="s">
        <v>6943</v>
      </c>
      <c r="H981" t="str" cm="1">
        <f t="array" ref="H981:I981">_xlfn.TEXTSPLIT(G981,";")</f>
        <v>WEISSBIER</v>
      </c>
      <c r="I981" t="str">
        <v>CORE</v>
      </c>
    </row>
    <row r="982" spans="1:9">
      <c r="A982" t="s">
        <v>1142</v>
      </c>
      <c r="B982" t="s">
        <v>1142</v>
      </c>
      <c r="G982" t="s">
        <v>8174</v>
      </c>
      <c r="H982" t="str" cm="1">
        <f t="array" ref="H982">_xlfn.TEXTSPLIT(G982,";")</f>
        <v>OKTOBERFEST</v>
      </c>
    </row>
    <row r="983" spans="1:9">
      <c r="A983" t="s">
        <v>602</v>
      </c>
      <c r="B983" t="s">
        <v>602</v>
      </c>
      <c r="G983" t="s">
        <v>8177</v>
      </c>
      <c r="H983" t="str" cm="1">
        <f t="array" ref="H983">_xlfn.TEXTSPLIT(G983,";")</f>
        <v>SCHNEEWEISSE</v>
      </c>
    </row>
    <row r="984" spans="1:9">
      <c r="A984" t="s">
        <v>395</v>
      </c>
      <c r="B984" t="s">
        <v>395</v>
      </c>
      <c r="G984" t="s">
        <v>8179</v>
      </c>
      <c r="H984" t="str" cm="1">
        <f t="array" ref="H984">_xlfn.TEXTSPLIT(G984,";")</f>
        <v>URWEISSE</v>
      </c>
    </row>
    <row r="985" spans="1:9">
      <c r="A985" t="s">
        <v>7877</v>
      </c>
      <c r="B985" t="s">
        <v>7877</v>
      </c>
      <c r="G985" t="s">
        <v>1019</v>
      </c>
      <c r="H985" t="str" cm="1">
        <f t="array" ref="H985">_xlfn.TEXTSPLIT(G985,";")</f>
        <v>WEISSBIER</v>
      </c>
    </row>
    <row r="986" spans="1:9">
      <c r="A986" t="s">
        <v>1034</v>
      </c>
      <c r="B986" t="s">
        <v>1034</v>
      </c>
      <c r="G986" t="s">
        <v>5826</v>
      </c>
      <c r="H986" t="str" cm="1">
        <f t="array" ref="H986">_xlfn.TEXTSPLIT(G986,";")</f>
        <v>WHEAT_BEER &gt; HEFEWEIZEN_LIGHT_/_LEICHT</v>
      </c>
    </row>
    <row r="987" spans="1:9">
      <c r="A987" t="s">
        <v>9988</v>
      </c>
      <c r="B987" t="s">
        <v>9988</v>
      </c>
      <c r="G987" t="s">
        <v>6396</v>
      </c>
      <c r="H987" t="str" cm="1">
        <f t="array" ref="H987:I987">_xlfn.TEXTSPLIT(G987,";")</f>
        <v>WHEAT_BEER &gt; HOPFENWEISSE</v>
      </c>
      <c r="I987" t="str">
        <v>HOPFENWEISSE</v>
      </c>
    </row>
    <row r="988" spans="1:9">
      <c r="A988" t="s">
        <v>8094</v>
      </c>
      <c r="B988" t="s">
        <v>8094</v>
      </c>
      <c r="G988" t="s">
        <v>5827</v>
      </c>
      <c r="H988" t="str" cm="1">
        <f t="array" ref="H988">_xlfn.TEXTSPLIT(G988,";")</f>
        <v>WHEAT_BEER &gt; HOPFENWEISSE</v>
      </c>
    </row>
    <row r="989" spans="1:9">
      <c r="A989" t="s">
        <v>8099</v>
      </c>
      <c r="B989" t="s">
        <v>8099</v>
      </c>
      <c r="G989" t="s">
        <v>6397</v>
      </c>
      <c r="H989" t="str" cm="1">
        <f t="array" ref="H989:I989">_xlfn.TEXTSPLIT(G989,";")</f>
        <v>WHEAT_BEER &gt; KRISTALLWEIZEN</v>
      </c>
      <c r="I989" t="str">
        <v>KRISTALLWEIZEN</v>
      </c>
    </row>
    <row r="990" spans="1:9">
      <c r="A990" t="s">
        <v>8110</v>
      </c>
      <c r="B990" t="s">
        <v>8110</v>
      </c>
      <c r="G990" t="s">
        <v>5828</v>
      </c>
      <c r="H990" t="str" cm="1">
        <f t="array" ref="H990">_xlfn.TEXTSPLIT(G990,";")</f>
        <v>WHEAT_BEER &gt; KRISTALLWEIZEN</v>
      </c>
    </row>
    <row r="991" spans="1:9">
      <c r="A991" t="s">
        <v>8166</v>
      </c>
      <c r="B991" t="s">
        <v>8166</v>
      </c>
      <c r="G991" t="s">
        <v>8170</v>
      </c>
      <c r="H991" t="str" cm="1">
        <f t="array" ref="H991">_xlfn.TEXTSPLIT(G991,";")</f>
        <v>KRISTALL</v>
      </c>
    </row>
    <row r="992" spans="1:9">
      <c r="A992" t="s">
        <v>471</v>
      </c>
      <c r="B992" t="s">
        <v>471</v>
      </c>
      <c r="G992" t="s">
        <v>5829</v>
      </c>
      <c r="H992" t="str" cm="1">
        <f t="array" ref="H992">_xlfn.TEXTSPLIT(G992,";")</f>
        <v>WHEAT_BEER &gt; OTHER</v>
      </c>
    </row>
    <row r="993" spans="1:10">
      <c r="A993" t="s">
        <v>408</v>
      </c>
      <c r="B993" t="s">
        <v>408</v>
      </c>
      <c r="G993" t="s">
        <v>5830</v>
      </c>
      <c r="H993" t="str" cm="1">
        <f t="array" ref="H993">_xlfn.TEXTSPLIT(G993,";")</f>
        <v>WHEAT_BEER &gt; WHEAT_WINE</v>
      </c>
    </row>
    <row r="994" spans="1:10">
      <c r="A994" t="s">
        <v>8277</v>
      </c>
      <c r="B994" t="s">
        <v>8277</v>
      </c>
      <c r="G994" t="s">
        <v>7424</v>
      </c>
      <c r="H994" t="str" cm="1">
        <f t="array" ref="H994">_xlfn.TEXTSPLIT(G994,";")</f>
        <v>WIT</v>
      </c>
    </row>
    <row r="995" spans="1:10">
      <c r="A995" t="s">
        <v>84</v>
      </c>
      <c r="B995" t="s">
        <v>84</v>
      </c>
      <c r="G995" t="s">
        <v>905</v>
      </c>
      <c r="H995" t="str" cm="1">
        <f t="array" ref="H995">_xlfn.TEXTSPLIT(G995,";")</f>
        <v>GIVREE</v>
      </c>
    </row>
    <row r="996" spans="1:10">
      <c r="A996" t="s">
        <v>660</v>
      </c>
      <c r="B996" t="s">
        <v>660</v>
      </c>
      <c r="G996" t="s">
        <v>6398</v>
      </c>
      <c r="H996" t="str" cm="1">
        <f t="array" ref="H996:I996">_xlfn.TEXTSPLIT(G996,";")</f>
        <v>WHEAT_BEER &gt; WITBIER_/_BLANCHE</v>
      </c>
      <c r="I996" t="str">
        <v>WHEAT</v>
      </c>
    </row>
    <row r="997" spans="1:10">
      <c r="A997" t="s">
        <v>6448</v>
      </c>
      <c r="B997" t="s">
        <v>6448</v>
      </c>
      <c r="G997" t="s">
        <v>5831</v>
      </c>
      <c r="H997" t="str" cm="1">
        <f t="array" ref="H997">_xlfn.TEXTSPLIT(G997,";")</f>
        <v>WHEAT_BEER &gt; WITBIER_/_BLANCHE</v>
      </c>
    </row>
    <row r="998" spans="1:10">
      <c r="A998" t="s">
        <v>418</v>
      </c>
      <c r="B998" t="s">
        <v>418</v>
      </c>
      <c r="G998" t="s">
        <v>6545</v>
      </c>
      <c r="H998" t="str" cm="1">
        <f t="array" ref="H998:I998">_xlfn.TEXTSPLIT(G998,";")</f>
        <v>WHITE</v>
      </c>
      <c r="I998" t="str">
        <v>CORE</v>
      </c>
    </row>
    <row r="999" spans="1:10">
      <c r="A999" t="s">
        <v>473</v>
      </c>
      <c r="B999" t="s">
        <v>473</v>
      </c>
      <c r="G999" t="s">
        <v>950</v>
      </c>
      <c r="H999" t="str" cm="1">
        <f t="array" ref="H999">_xlfn.TEXTSPLIT(G999,";")</f>
        <v>WITBIER</v>
      </c>
    </row>
    <row r="1000" spans="1:10">
      <c r="A1000" t="s">
        <v>8544</v>
      </c>
      <c r="B1000" t="s">
        <v>8544</v>
      </c>
      <c r="G1000" t="s">
        <v>7808</v>
      </c>
      <c r="H1000" t="str" cm="1">
        <f t="array" ref="H1000">_xlfn.TEXTSPLIT(G1000,";")</f>
        <v>WEISSE</v>
      </c>
    </row>
    <row r="1001" spans="1:10">
      <c r="A1001" t="s">
        <v>270</v>
      </c>
      <c r="B1001" t="s">
        <v>270</v>
      </c>
      <c r="G1001" t="s">
        <v>6956</v>
      </c>
      <c r="H1001" t="str" cm="1">
        <f t="array" ref="H1001:I1001">_xlfn.TEXTSPLIT(G1001,";")</f>
        <v>PASSION</v>
      </c>
      <c r="I1001" t="str">
        <v>CORE</v>
      </c>
    </row>
    <row r="1002" spans="1:10">
      <c r="A1002" t="s">
        <v>9998</v>
      </c>
      <c r="B1002" t="s">
        <v>9998</v>
      </c>
      <c r="G1002" t="s">
        <v>8172</v>
      </c>
      <c r="H1002" t="str" cm="1">
        <f t="array" ref="H1002">_xlfn.TEXTSPLIT(G1002,";")</f>
        <v>PIKANTUS</v>
      </c>
    </row>
    <row r="1003" spans="1:10">
      <c r="A1003" t="s">
        <v>7825</v>
      </c>
      <c r="B1003" t="s">
        <v>7825</v>
      </c>
      <c r="G1003" t="s">
        <v>8345</v>
      </c>
      <c r="H1003" t="str" cm="1">
        <f t="array" ref="H1003">_xlfn.TEXTSPLIT(G1003,";")</f>
        <v>SUMER</v>
      </c>
    </row>
    <row r="1004" spans="1:10">
      <c r="A1004" t="s">
        <v>8875</v>
      </c>
      <c r="B1004" t="s">
        <v>8875</v>
      </c>
      <c r="G1004" t="s">
        <v>5392</v>
      </c>
      <c r="H1004" t="str" cm="1">
        <f t="array" ref="H1004:J1004">_xlfn.TEXTSPLIT(G1004,";")</f>
        <v>WHITE</v>
      </c>
      <c r="I1004" t="str">
        <v>BLOND</v>
      </c>
      <c r="J1004" t="str">
        <v>CORE</v>
      </c>
    </row>
    <row r="1005" spans="1:10">
      <c r="A1005" t="s">
        <v>476</v>
      </c>
      <c r="B1005" t="s">
        <v>476</v>
      </c>
      <c r="G1005" t="s">
        <v>8421</v>
      </c>
      <c r="H1005" t="str" cm="1">
        <f t="array" ref="H1005">_xlfn.TEXTSPLIT(G1005,";")</f>
        <v>BOUTS</v>
      </c>
    </row>
    <row r="1006" spans="1:10">
      <c r="A1006" t="s">
        <v>8390</v>
      </c>
      <c r="B1006" t="s">
        <v>8390</v>
      </c>
      <c r="G1006" t="s">
        <v>8593</v>
      </c>
      <c r="H1006" t="str" cm="1">
        <f t="array" ref="H1006">_xlfn.TEXTSPLIT(G1006,";")</f>
        <v xml:space="preserve"> CORE</v>
      </c>
    </row>
    <row r="1007" spans="1:10">
      <c r="A1007" t="s">
        <v>9113</v>
      </c>
      <c r="B1007" t="s">
        <v>9113</v>
      </c>
      <c r="G1007" t="s">
        <v>9102</v>
      </c>
      <c r="H1007" t="str" cm="1">
        <f t="array" ref="H1007">_xlfn.TEXTSPLIT(G1007,";")</f>
        <v>WEISS</v>
      </c>
    </row>
    <row r="1008" spans="1:10">
      <c r="A1008" t="s">
        <v>154</v>
      </c>
      <c r="B1008" t="s">
        <v>154</v>
      </c>
      <c r="G1008" t="s">
        <v>10009</v>
      </c>
      <c r="H1008" t="str" cm="1">
        <f t="array" ref="H1008">_xlfn.TEXTSPLIT(G1008,";")</f>
        <v>LA_BELLE</v>
      </c>
    </row>
    <row r="1009" spans="1:9">
      <c r="A1009" t="s">
        <v>172</v>
      </c>
      <c r="B1009" t="s">
        <v>172</v>
      </c>
      <c r="G1009" t="s">
        <v>9286</v>
      </c>
      <c r="H1009" t="str" cm="1">
        <f t="array" ref="H1009">_xlfn.TEXTSPLIT(G1009,";")</f>
        <v>HOLY_WHITE</v>
      </c>
    </row>
    <row r="1010" spans="1:9">
      <c r="A1010" t="s">
        <v>174</v>
      </c>
      <c r="B1010" t="s">
        <v>174</v>
      </c>
      <c r="G1010" t="s">
        <v>10029</v>
      </c>
      <c r="H1010" t="str" cm="1">
        <f t="array" ref="H1010">_xlfn.TEXTSPLIT(G1010,";")</f>
        <v>SKUUMKOPPE</v>
      </c>
    </row>
    <row r="1011" spans="1:9">
      <c r="A1011" t="s">
        <v>9337</v>
      </c>
      <c r="B1011" t="s">
        <v>9337</v>
      </c>
      <c r="G1011" t="s">
        <v>10030</v>
      </c>
      <c r="H1011" t="str" cm="1">
        <f t="array" ref="H1011">_xlfn.TEXTSPLIT(G1011,";")</f>
        <v>LAMBICUS</v>
      </c>
    </row>
    <row r="1012" spans="1:9">
      <c r="A1012" t="s">
        <v>9360</v>
      </c>
      <c r="B1012" t="s">
        <v>9360</v>
      </c>
      <c r="G1012" t="s">
        <v>5832</v>
      </c>
      <c r="H1012" t="str" cm="1">
        <f t="array" ref="H1012">_xlfn.TEXTSPLIT(G1012,";")</f>
        <v>WILD_ALE &gt; AMERICAN</v>
      </c>
    </row>
    <row r="1013" spans="1:9">
      <c r="A1013" t="s">
        <v>378</v>
      </c>
      <c r="B1013" t="s">
        <v>378</v>
      </c>
      <c r="G1013" t="s">
        <v>5833</v>
      </c>
      <c r="H1013" t="str" cm="1">
        <f t="array" ref="H1013">_xlfn.TEXTSPLIT(G1013,";")</f>
        <v>WILD_ALE &gt; OTHER</v>
      </c>
    </row>
    <row r="1014" spans="1:9">
      <c r="A1014" t="s">
        <v>479</v>
      </c>
      <c r="B1014" t="s">
        <v>479</v>
      </c>
      <c r="G1014" t="s">
        <v>7028</v>
      </c>
      <c r="H1014" t="str" cm="1">
        <f t="array" ref="H1014">_xlfn.TEXTSPLIT(G1014,";")</f>
        <v>Winter Ale</v>
      </c>
    </row>
    <row r="1015" spans="1:9">
      <c r="A1015" t="s">
        <v>296</v>
      </c>
      <c r="B1015" t="s">
        <v>296</v>
      </c>
      <c r="G1015" t="s">
        <v>856</v>
      </c>
      <c r="H1015" t="str" cm="1">
        <f t="array" ref="H1015">_xlfn.TEXTSPLIT(G1015,";")</f>
        <v>DOBBEL</v>
      </c>
    </row>
    <row r="1016" spans="1:9">
      <c r="A1016" t="s">
        <v>209</v>
      </c>
      <c r="B1016" t="s">
        <v>209</v>
      </c>
      <c r="G1016" t="s">
        <v>6399</v>
      </c>
      <c r="H1016" t="str" cm="1">
        <f t="array" ref="H1016:I1016">_xlfn.TEXTSPLIT(G1016,";")</f>
        <v>WINTER_ALE</v>
      </c>
      <c r="I1016" t="str">
        <v>WINTER</v>
      </c>
    </row>
    <row r="1017" spans="1:9">
      <c r="A1017" t="s">
        <v>213</v>
      </c>
      <c r="B1017" t="s">
        <v>213</v>
      </c>
      <c r="G1017" t="s">
        <v>5625</v>
      </c>
      <c r="H1017" t="str" cm="1">
        <f t="array" ref="H1017">_xlfn.TEXTSPLIT(G1017,";")</f>
        <v>WINTER_ALE</v>
      </c>
    </row>
    <row r="1018" spans="1:9">
      <c r="A1018" t="s">
        <v>9508</v>
      </c>
      <c r="B1018" t="s">
        <v>9508</v>
      </c>
      <c r="G1018" t="s">
        <v>7130</v>
      </c>
      <c r="H1018" t="str" cm="1">
        <f t="array" ref="H1018:I1018">_xlfn.TEXTSPLIT(G1018,";")</f>
        <v>WINTERBOCK</v>
      </c>
      <c r="I1018" t="str">
        <v>WINTER</v>
      </c>
    </row>
    <row r="1019" spans="1:9">
      <c r="A1019" t="s">
        <v>217</v>
      </c>
      <c r="B1019" t="s">
        <v>217</v>
      </c>
      <c r="G1019" t="s">
        <v>756</v>
      </c>
      <c r="H1019" t="str" cm="1">
        <f t="array" ref="H1019">_xlfn.TEXTSPLIT(G1019,";")</f>
        <v>HIBERNATUS</v>
      </c>
    </row>
    <row r="1020" spans="1:9">
      <c r="A1020" t="s">
        <v>9519</v>
      </c>
      <c r="B1020" t="s">
        <v>9519</v>
      </c>
      <c r="G1020" t="s">
        <v>5437</v>
      </c>
      <c r="H1020" t="str" cm="1">
        <f t="array" ref="H1020:I1020">_xlfn.TEXTSPLIT(G1020,";")</f>
        <v>XMAS</v>
      </c>
      <c r="I1020" t="str">
        <v>WINTERBOCK</v>
      </c>
    </row>
    <row r="1021" spans="1:9">
      <c r="A1021" t="s">
        <v>9521</v>
      </c>
      <c r="B1021" t="s">
        <v>9521</v>
      </c>
      <c r="G1021" t="s">
        <v>5626</v>
      </c>
      <c r="H1021" t="str" cm="1">
        <f t="array" ref="H1021">_xlfn.TEXTSPLIT(G1021,";")</f>
        <v>WINTER_WARMER</v>
      </c>
    </row>
    <row r="1022" spans="1:9">
      <c r="A1022" t="s">
        <v>7896</v>
      </c>
      <c r="B1022" t="s">
        <v>7896</v>
      </c>
      <c r="G1022" t="s">
        <v>845</v>
      </c>
      <c r="H1022" t="str" cm="1">
        <f t="array" ref="H1022">_xlfn.TEXTSPLIT(G1022,";")</f>
        <v>BRUT_BEER</v>
      </c>
    </row>
    <row r="1023" spans="1:9">
      <c r="A1023" t="s">
        <v>674</v>
      </c>
      <c r="B1023" t="s">
        <v>674</v>
      </c>
      <c r="G1023" t="s">
        <v>5369</v>
      </c>
      <c r="H1023" t="str" cm="1">
        <f t="array" ref="H1023">_xlfn.TEXTSPLIT(G1023,";")</f>
        <v>BRUT_ROSE</v>
      </c>
    </row>
    <row r="1024" spans="1:9">
      <c r="A1024" t="s">
        <v>8393</v>
      </c>
      <c r="B1024" t="s">
        <v>8393</v>
      </c>
      <c r="G1024" t="s">
        <v>427</v>
      </c>
      <c r="H1024" t="str" cm="1">
        <f t="array" ref="H1024">_xlfn.TEXTSPLIT(G1024,";")</f>
        <v>LEUTE</v>
      </c>
    </row>
    <row r="1025" spans="1:9">
      <c r="A1025" t="s">
        <v>1419</v>
      </c>
      <c r="B1025" t="s">
        <v>1419</v>
      </c>
      <c r="G1025" t="s">
        <v>855</v>
      </c>
      <c r="H1025" t="str" cm="1">
        <f t="array" ref="H1025">_xlfn.TEXTSPLIT(G1025,";")</f>
        <v>BARREL_AGED</v>
      </c>
    </row>
    <row r="1026" spans="1:9">
      <c r="A1026" t="s">
        <v>1069</v>
      </c>
      <c r="B1026" t="s">
        <v>1069</v>
      </c>
      <c r="G1026" t="s">
        <v>5581</v>
      </c>
      <c r="H1026" t="str" cm="1">
        <f t="array" ref="H1026">_xlfn.TEXTSPLIT(G1026,";")</f>
        <v>BELGIAN_TRIPEL</v>
      </c>
    </row>
    <row r="1027" spans="1:9">
      <c r="A1027" t="s">
        <v>9283</v>
      </c>
      <c r="B1027" t="s">
        <v>9283</v>
      </c>
      <c r="G1027" t="s">
        <v>6423</v>
      </c>
      <c r="H1027" t="str" cm="1">
        <f t="array" ref="H1027">_xlfn.TEXTSPLIT(G1027,";")</f>
        <v>TASTING_MIX</v>
      </c>
    </row>
    <row r="1028" spans="1:9">
      <c r="A1028" t="s">
        <v>7898</v>
      </c>
      <c r="B1028" t="s">
        <v>7898</v>
      </c>
      <c r="G1028" t="s">
        <v>890</v>
      </c>
      <c r="H1028" t="str" cm="1">
        <f t="array" ref="H1028">_xlfn.TEXTSPLIT(G1028,";")</f>
        <v>KRIEK_LAMBIC</v>
      </c>
    </row>
    <row r="1029" spans="1:9">
      <c r="A1029" t="s">
        <v>9278</v>
      </c>
      <c r="B1029" t="s">
        <v>9278</v>
      </c>
      <c r="G1029" t="s">
        <v>811</v>
      </c>
      <c r="H1029" t="str" cm="1">
        <f t="array" ref="H1029">_xlfn.TEXTSPLIT(G1029,";")</f>
        <v>KRIEK_EXTRA</v>
      </c>
    </row>
    <row r="1030" spans="1:9">
      <c r="A1030" t="s">
        <v>8238</v>
      </c>
      <c r="B1030" t="s">
        <v>8238</v>
      </c>
      <c r="G1030" t="s">
        <v>1080</v>
      </c>
      <c r="H1030" t="str" cm="1">
        <f t="array" ref="H1030">_xlfn.TEXTSPLIT(G1030,";")</f>
        <v>BERLINER</v>
      </c>
    </row>
    <row r="1031" spans="1:9">
      <c r="A1031" t="s">
        <v>8268</v>
      </c>
      <c r="B1031" t="s">
        <v>8268</v>
      </c>
      <c r="G1031" t="s">
        <v>5558</v>
      </c>
      <c r="H1031" t="str" cm="1">
        <f t="array" ref="H1031:I1031">_xlfn.TEXTSPLIT(G1031,";")</f>
        <v>EXPORT</v>
      </c>
      <c r="I1031" t="str">
        <v>CORE</v>
      </c>
    </row>
    <row r="1032" spans="1:9">
      <c r="A1032" t="s">
        <v>8816</v>
      </c>
      <c r="B1032" t="s">
        <v>8816</v>
      </c>
      <c r="G1032" t="s">
        <v>999</v>
      </c>
      <c r="H1032" t="str" cm="1">
        <f t="array" ref="H1032">_xlfn.TEXTSPLIT(G1032,";")</f>
        <v>BRETT</v>
      </c>
    </row>
    <row r="1033" spans="1:9">
      <c r="A1033" t="s">
        <v>8812</v>
      </c>
      <c r="B1033" t="s">
        <v>8812</v>
      </c>
      <c r="G1033" t="s">
        <v>5332</v>
      </c>
      <c r="H1033" t="str" cm="1">
        <f t="array" ref="H1033">_xlfn.TEXTSPLIT(G1033,";")</f>
        <v>IJNDEJAARDS</v>
      </c>
    </row>
    <row r="1034" spans="1:9">
      <c r="A1034" t="s">
        <v>8879</v>
      </c>
      <c r="B1034" t="s">
        <v>8879</v>
      </c>
      <c r="G1034" t="s">
        <v>5334</v>
      </c>
      <c r="H1034" t="str" cm="1">
        <f t="array" ref="H1034">_xlfn.TEXTSPLIT(G1034,";")</f>
        <v>CALYPSO</v>
      </c>
    </row>
    <row r="1035" spans="1:9">
      <c r="A1035" t="s">
        <v>7337</v>
      </c>
      <c r="B1035" t="s">
        <v>7337</v>
      </c>
      <c r="G1035" t="s">
        <v>5331</v>
      </c>
      <c r="H1035" t="str" cm="1">
        <f t="array" ref="H1035">_xlfn.TEXTSPLIT(G1035,";")</f>
        <v>MOKUMS</v>
      </c>
    </row>
    <row r="1036" spans="1:9">
      <c r="A1036" t="s">
        <v>480</v>
      </c>
      <c r="B1036" t="s">
        <v>480</v>
      </c>
      <c r="G1036" t="s">
        <v>5330</v>
      </c>
      <c r="H1036" t="str" cm="1">
        <f t="array" ref="H1036">_xlfn.TEXTSPLIT(G1036,";")</f>
        <v>NATTE</v>
      </c>
    </row>
    <row r="1037" spans="1:9">
      <c r="A1037" t="s">
        <v>455</v>
      </c>
      <c r="B1037" t="s">
        <v>455</v>
      </c>
      <c r="G1037" t="s">
        <v>5328</v>
      </c>
      <c r="H1037" t="str" cm="1">
        <f t="array" ref="H1037">_xlfn.TEXTSPLIT(G1037,";")</f>
        <v>NIJPA</v>
      </c>
    </row>
    <row r="1038" spans="1:9">
      <c r="A1038" t="s">
        <v>1781</v>
      </c>
      <c r="B1038" t="s">
        <v>1781</v>
      </c>
      <c r="G1038" t="s">
        <v>5329</v>
      </c>
      <c r="H1038" t="str" cm="1">
        <f t="array" ref="H1038">_xlfn.TEXTSPLIT(G1038,";")</f>
        <v>BIRI</v>
      </c>
    </row>
    <row r="1039" spans="1:9">
      <c r="A1039" t="s">
        <v>427</v>
      </c>
      <c r="B1039" t="s">
        <v>427</v>
      </c>
      <c r="G1039" t="s">
        <v>5364</v>
      </c>
      <c r="H1039" t="str" cm="1">
        <f t="array" ref="H1039">_xlfn.TEXTSPLIT(G1039,";")</f>
        <v>FREE</v>
      </c>
    </row>
    <row r="1040" spans="1:9">
      <c r="A1040" t="s">
        <v>12</v>
      </c>
      <c r="B1040" t="s">
        <v>12</v>
      </c>
      <c r="G1040" t="s">
        <v>5179</v>
      </c>
      <c r="H1040" t="str" cm="1">
        <f t="array" ref="H1040">_xlfn.TEXTSPLIT(G1040,";")</f>
        <v>NUITS</v>
      </c>
    </row>
    <row r="1041" spans="1:10">
      <c r="A1041" t="s">
        <v>7983</v>
      </c>
      <c r="B1041" t="s">
        <v>7983</v>
      </c>
      <c r="G1041" t="s">
        <v>910</v>
      </c>
      <c r="H1041" t="str" cm="1">
        <f t="array" ref="H1041">_xlfn.TEXTSPLIT(G1041,";")</f>
        <v>SUPERIOR</v>
      </c>
    </row>
    <row r="1042" spans="1:10">
      <c r="A1042" t="s">
        <v>470</v>
      </c>
      <c r="B1042" t="s">
        <v>470</v>
      </c>
      <c r="G1042" t="s">
        <v>5252</v>
      </c>
      <c r="H1042" t="str" cm="1">
        <f t="array" ref="H1042">_xlfn.TEXTSPLIT(G1042,";")</f>
        <v>175</v>
      </c>
    </row>
    <row r="1043" spans="1:10">
      <c r="A1043" t="s">
        <v>472</v>
      </c>
      <c r="B1043" t="s">
        <v>472</v>
      </c>
      <c r="G1043" t="s">
        <v>5244</v>
      </c>
      <c r="H1043" t="str" cm="1">
        <f t="array" ref="H1043:J1043">_xlfn.TEXTSPLIT(G1043,";")</f>
        <v>NICE</v>
      </c>
      <c r="I1043" t="str">
        <v>WINTERBOCK</v>
      </c>
      <c r="J1043" t="str">
        <v>XMAS</v>
      </c>
    </row>
    <row r="1044" spans="1:10">
      <c r="A1044" t="s">
        <v>82</v>
      </c>
      <c r="B1044" t="s">
        <v>82</v>
      </c>
      <c r="G1044" t="s">
        <v>1993</v>
      </c>
      <c r="H1044" t="str" cm="1">
        <f t="array" ref="H1044">_xlfn.TEXTSPLIT(G1044,";")</f>
        <v>MAC</v>
      </c>
    </row>
    <row r="1045" spans="1:10">
      <c r="A1045" t="s">
        <v>8437</v>
      </c>
      <c r="B1045" t="s">
        <v>8437</v>
      </c>
      <c r="G1045" t="s">
        <v>27</v>
      </c>
      <c r="H1045" t="str" cm="1">
        <f t="array" ref="H1045">_xlfn.TEXTSPLIT(G1045,";")</f>
        <v>BOLLEKE</v>
      </c>
    </row>
    <row r="1046" spans="1:10">
      <c r="A1046" t="s">
        <v>97</v>
      </c>
      <c r="B1046" t="s">
        <v>97</v>
      </c>
      <c r="G1046" t="s">
        <v>6947</v>
      </c>
      <c r="H1046" t="str" cm="1">
        <f t="array" ref="H1046:J1046">_xlfn.TEXTSPLIT(G1046,";")</f>
        <v>BOLLEKE</v>
      </c>
      <c r="I1046" t="str">
        <v>CORE</v>
      </c>
      <c r="J1046" t="str">
        <v>AMBER</v>
      </c>
    </row>
    <row r="1047" spans="1:10">
      <c r="A1047" t="s">
        <v>474</v>
      </c>
      <c r="B1047" t="s">
        <v>474</v>
      </c>
      <c r="G1047" t="s">
        <v>963</v>
      </c>
      <c r="H1047" t="str" cm="1">
        <f t="array" ref="H1047">_xlfn.TEXTSPLIT(G1047,";")</f>
        <v>DELIRIA</v>
      </c>
    </row>
    <row r="1048" spans="1:10">
      <c r="A1048" t="s">
        <v>104</v>
      </c>
      <c r="B1048" t="s">
        <v>104</v>
      </c>
      <c r="G1048" t="s">
        <v>770</v>
      </c>
      <c r="H1048" t="str" cm="1">
        <f t="array" ref="H1048">_xlfn.TEXTSPLIT(G1048,";")</f>
        <v>IMPERIAL</v>
      </c>
    </row>
    <row r="1049" spans="1:10">
      <c r="A1049" t="s">
        <v>113</v>
      </c>
      <c r="B1049" t="s">
        <v>113</v>
      </c>
      <c r="G1049" t="s">
        <v>1997</v>
      </c>
      <c r="H1049" t="str" cm="1">
        <f t="array" ref="H1049">_xlfn.TEXTSPLIT(G1049,";")</f>
        <v>LIMITED</v>
      </c>
    </row>
    <row r="1050" spans="1:10">
      <c r="A1050" t="s">
        <v>8842</v>
      </c>
      <c r="B1050" t="s">
        <v>8842</v>
      </c>
      <c r="G1050" t="s">
        <v>5311</v>
      </c>
      <c r="H1050" t="str" cm="1">
        <f t="array" ref="H1050">_xlfn.TEXTSPLIT(G1050,";")</f>
        <v>TUTTI_FRUTTI</v>
      </c>
    </row>
    <row r="1051" spans="1:10">
      <c r="A1051" t="s">
        <v>475</v>
      </c>
      <c r="B1051" t="s">
        <v>475</v>
      </c>
      <c r="G1051" t="s">
        <v>5444</v>
      </c>
      <c r="H1051" t="str" cm="1">
        <f t="array" ref="H1051:I1051">_xlfn.TEXTSPLIT(G1051,";")</f>
        <v>PINEAPPLE</v>
      </c>
      <c r="I1051" t="str">
        <v>GRAPEFRUIT</v>
      </c>
    </row>
    <row r="1052" spans="1:10">
      <c r="A1052" t="s">
        <v>8101</v>
      </c>
      <c r="B1052" t="s">
        <v>8101</v>
      </c>
      <c r="G1052" t="s">
        <v>1494</v>
      </c>
      <c r="H1052" t="str" cm="1">
        <f t="array" ref="H1052">_xlfn.TEXTSPLIT(G1052,";")</f>
        <v>SHOKATA</v>
      </c>
    </row>
    <row r="1053" spans="1:10">
      <c r="A1053" t="s">
        <v>982</v>
      </c>
      <c r="B1053" t="s">
        <v>982</v>
      </c>
      <c r="G1053" t="s">
        <v>8264</v>
      </c>
      <c r="H1053" t="str" cm="1">
        <f t="array" ref="H1053:I1053">_xlfn.TEXTSPLIT(G1053,";")</f>
        <v>JUICE</v>
      </c>
      <c r="I1053" t="str">
        <v>PUNCH</v>
      </c>
    </row>
    <row r="1054" spans="1:10">
      <c r="A1054" t="s">
        <v>9054</v>
      </c>
      <c r="B1054" t="s">
        <v>9054</v>
      </c>
      <c r="G1054" t="s">
        <v>6536</v>
      </c>
      <c r="H1054" t="str" cm="1">
        <f t="array" ref="H1054">_xlfn.TEXTSPLIT(G1054,";")</f>
        <v>GREEN_LEMON</v>
      </c>
    </row>
    <row r="1055" spans="1:10">
      <c r="A1055" t="s">
        <v>437</v>
      </c>
      <c r="B1055" t="s">
        <v>437</v>
      </c>
      <c r="G1055" t="s">
        <v>8286</v>
      </c>
      <c r="H1055" t="str" cm="1">
        <f t="array" ref="H1055:I1055">_xlfn.TEXTSPLIT(G1055,";")</f>
        <v>FRUIT</v>
      </c>
      <c r="I1055" t="str">
        <v>FOREST</v>
      </c>
    </row>
    <row r="1056" spans="1:10">
      <c r="A1056" t="s">
        <v>9324</v>
      </c>
      <c r="B1056" t="s">
        <v>9324</v>
      </c>
      <c r="G1056" t="s">
        <v>5490</v>
      </c>
      <c r="H1056" t="str" cm="1">
        <f t="array" ref="H1056">_xlfn.TEXTSPLIT(G1056,";")</f>
        <v>EXPLOSION</v>
      </c>
    </row>
    <row r="1057" spans="1:10">
      <c r="A1057" t="s">
        <v>177</v>
      </c>
      <c r="B1057" t="s">
        <v>177</v>
      </c>
      <c r="G1057" t="s">
        <v>883</v>
      </c>
      <c r="H1057" t="str" cm="1">
        <f t="array" ref="H1057">_xlfn.TEXTSPLIT(G1057,";")</f>
        <v>CITRUS</v>
      </c>
    </row>
    <row r="1058" spans="1:10">
      <c r="A1058" t="s">
        <v>184</v>
      </c>
      <c r="B1058" t="s">
        <v>184</v>
      </c>
      <c r="G1058" t="s">
        <v>6454</v>
      </c>
      <c r="H1058" t="str" cm="1">
        <f t="array" ref="H1058">_xlfn.TEXTSPLIT(G1058,";")</f>
        <v>IMPERIAL_BLOND</v>
      </c>
    </row>
    <row r="1059" spans="1:10">
      <c r="A1059" t="s">
        <v>1366</v>
      </c>
      <c r="B1059" t="s">
        <v>1366</v>
      </c>
      <c r="G1059" t="s">
        <v>1996</v>
      </c>
      <c r="H1059" t="str" cm="1">
        <f t="array" ref="H1059">_xlfn.TEXTSPLIT(G1059,";")</f>
        <v>UNFILTERED</v>
      </c>
    </row>
    <row r="1060" spans="1:10">
      <c r="A1060" t="s">
        <v>9423</v>
      </c>
      <c r="B1060" t="s">
        <v>9423</v>
      </c>
      <c r="G1060" t="s">
        <v>7248</v>
      </c>
      <c r="H1060" t="str" cm="1">
        <f t="array" ref="H1060:J1060">_xlfn.TEXTSPLIT(G1060,";")</f>
        <v>BRUT</v>
      </c>
      <c r="I1060" t="str">
        <v>MAGNUM</v>
      </c>
      <c r="J1060" t="str">
        <v>OPUS</v>
      </c>
    </row>
    <row r="1061" spans="1:10">
      <c r="A1061" t="s">
        <v>9431</v>
      </c>
      <c r="B1061" t="s">
        <v>9431</v>
      </c>
      <c r="G1061" t="s">
        <v>922</v>
      </c>
      <c r="H1061" t="str" cm="1">
        <f t="array" ref="H1061">_xlfn.TEXTSPLIT(G1061,";")</f>
        <v>GRAND_PRESTIGE</v>
      </c>
    </row>
    <row r="1062" spans="1:10">
      <c r="A1062" t="s">
        <v>9437</v>
      </c>
      <c r="B1062" t="s">
        <v>9437</v>
      </c>
      <c r="G1062" t="s">
        <v>5297</v>
      </c>
      <c r="H1062" t="str" cm="1">
        <f t="array" ref="H1062">_xlfn.TEXTSPLIT(G1062,";")</f>
        <v>WINTERBEER</v>
      </c>
    </row>
    <row r="1063" spans="1:10">
      <c r="A1063" t="s">
        <v>9440</v>
      </c>
      <c r="B1063" t="s">
        <v>9440</v>
      </c>
      <c r="G1063" t="s">
        <v>5443</v>
      </c>
      <c r="H1063" t="str" cm="1">
        <f t="array" ref="H1063:J1063">_xlfn.TEXTSPLIT(G1063,";")</f>
        <v>LAPHROAIG</v>
      </c>
      <c r="I1063" t="str">
        <v>CUVEE</v>
      </c>
      <c r="J1063" t="str">
        <v>PRESTIGE</v>
      </c>
    </row>
    <row r="1064" spans="1:10">
      <c r="A1064" t="s">
        <v>9470</v>
      </c>
      <c r="B1064" t="s">
        <v>9470</v>
      </c>
      <c r="G1064" t="s">
        <v>795</v>
      </c>
      <c r="H1064" t="str" cm="1">
        <f t="array" ref="H1064">_xlfn.TEXTSPLIT(G1064,";")</f>
        <v>LENTEBOCK</v>
      </c>
    </row>
    <row r="1065" spans="1:10">
      <c r="A1065" t="s">
        <v>8103</v>
      </c>
      <c r="B1065" t="s">
        <v>8103</v>
      </c>
      <c r="G1065" t="s">
        <v>5510</v>
      </c>
      <c r="H1065" t="str" cm="1">
        <f t="array" ref="H1065:I1065">_xlfn.TEXTSPLIT(G1065,";")</f>
        <v>QUADRUPEL</v>
      </c>
      <c r="I1065" t="str">
        <v>9000</v>
      </c>
    </row>
    <row r="1066" spans="1:10">
      <c r="A1066" t="s">
        <v>7350</v>
      </c>
      <c r="B1066" t="s">
        <v>7350</v>
      </c>
      <c r="G1066" t="s">
        <v>1922</v>
      </c>
      <c r="H1066" t="str" cm="1">
        <f t="array" ref="H1066">_xlfn.TEXTSPLIT(G1066,";")</f>
        <v>COGNAC</v>
      </c>
    </row>
    <row r="1067" spans="1:10">
      <c r="A1067" t="s">
        <v>5492</v>
      </c>
      <c r="B1067" t="s">
        <v>5492</v>
      </c>
      <c r="G1067" t="s">
        <v>1916</v>
      </c>
      <c r="H1067" t="str" cm="1">
        <f t="array" ref="H1067">_xlfn.TEXTSPLIT(G1067,";")</f>
        <v>PORTO</v>
      </c>
    </row>
    <row r="1068" spans="1:10">
      <c r="A1068" t="s">
        <v>7577</v>
      </c>
      <c r="B1068" t="s">
        <v>7577</v>
      </c>
      <c r="G1068" t="s">
        <v>5362</v>
      </c>
      <c r="H1068" t="str" cm="1">
        <f t="array" ref="H1068">_xlfn.TEXTSPLIT(G1068,";")</f>
        <v>FIRE</v>
      </c>
    </row>
    <row r="1069" spans="1:10">
      <c r="A1069" t="s">
        <v>7597</v>
      </c>
      <c r="B1069" t="s">
        <v>7597</v>
      </c>
      <c r="G1069" t="s">
        <v>1966</v>
      </c>
      <c r="H1069" t="str" cm="1">
        <f t="array" ref="H1069">_xlfn.TEXTSPLIT(G1069,";")</f>
        <v>ULTRA_STRONG</v>
      </c>
    </row>
    <row r="1070" spans="1:10">
      <c r="A1070" t="s">
        <v>657</v>
      </c>
      <c r="B1070" t="s">
        <v>657</v>
      </c>
      <c r="G1070" t="s">
        <v>5389</v>
      </c>
      <c r="H1070" t="str" cm="1">
        <f t="array" ref="H1070:I1070">_xlfn.TEXTSPLIT(G1070,";")</f>
        <v>WHITE</v>
      </c>
      <c r="I1070" t="str">
        <v>WEIZEN</v>
      </c>
    </row>
    <row r="1071" spans="1:10">
      <c r="A1071" t="s">
        <v>7608</v>
      </c>
      <c r="B1071" t="s">
        <v>7608</v>
      </c>
      <c r="G1071" t="s">
        <v>8377</v>
      </c>
      <c r="H1071" t="str" cm="1">
        <f t="array" ref="H1071:I1071">_xlfn.TEXTSPLIT(G1071,";")</f>
        <v>PEACH</v>
      </c>
      <c r="I1071" t="str">
        <v>11</v>
      </c>
    </row>
    <row r="1072" spans="1:10">
      <c r="A1072" t="s">
        <v>7973</v>
      </c>
      <c r="B1072" t="s">
        <v>7973</v>
      </c>
      <c r="G1072" t="s">
        <v>754</v>
      </c>
      <c r="H1072" t="str" cm="1">
        <f t="array" ref="H1072">_xlfn.TEXTSPLIT(G1072,";")</f>
        <v>VESPER</v>
      </c>
    </row>
    <row r="1073" spans="1:10">
      <c r="A1073" t="s">
        <v>7979</v>
      </c>
      <c r="B1073" t="s">
        <v>7979</v>
      </c>
      <c r="G1073" t="s">
        <v>7300</v>
      </c>
      <c r="H1073" t="str" cm="1">
        <f t="array" ref="H1073">_xlfn.TEXTSPLIT(G1073,";")</f>
        <v>NOCTIS</v>
      </c>
    </row>
    <row r="1074" spans="1:10">
      <c r="A1074" t="s">
        <v>8042</v>
      </c>
      <c r="B1074" t="s">
        <v>8042</v>
      </c>
      <c r="G1074" t="s">
        <v>5296</v>
      </c>
      <c r="H1074" t="str" cm="1">
        <f t="array" ref="H1074">_xlfn.TEXTSPLIT(G1074,";")</f>
        <v>GRAND_PILSNER</v>
      </c>
    </row>
    <row r="1075" spans="1:10">
      <c r="A1075" t="s">
        <v>49</v>
      </c>
      <c r="B1075" t="s">
        <v>49</v>
      </c>
      <c r="G1075" t="s">
        <v>684</v>
      </c>
      <c r="H1075" t="str" cm="1">
        <f t="array" ref="H1075">_xlfn.TEXTSPLIT(G1075,";")</f>
        <v>JULIUS</v>
      </c>
    </row>
    <row r="1076" spans="1:10">
      <c r="A1076" t="s">
        <v>92</v>
      </c>
      <c r="B1076" t="s">
        <v>92</v>
      </c>
      <c r="G1076" t="s">
        <v>371</v>
      </c>
      <c r="H1076" t="str" cm="1">
        <f t="array" ref="H1076">_xlfn.TEXTSPLIT(G1076,";")</f>
        <v>HOPPY</v>
      </c>
    </row>
    <row r="1077" spans="1:10">
      <c r="A1077" t="s">
        <v>423</v>
      </c>
      <c r="B1077" t="s">
        <v>423</v>
      </c>
      <c r="G1077" t="s">
        <v>8527</v>
      </c>
      <c r="H1077" t="str" cm="1">
        <f t="array" ref="H1077:I1077">_xlfn.TEXTSPLIT(G1077,";")</f>
        <v>TRIPEL</v>
      </c>
      <c r="I1077" t="str">
        <v>10</v>
      </c>
    </row>
    <row r="1078" spans="1:10">
      <c r="A1078" t="s">
        <v>511</v>
      </c>
      <c r="B1078" t="s">
        <v>511</v>
      </c>
      <c r="G1078" t="s">
        <v>7149</v>
      </c>
      <c r="H1078" t="str" cm="1">
        <f t="array" ref="H1078">_xlfn.TEXTSPLIT(G1078,";")</f>
        <v>KAISHUKA</v>
      </c>
    </row>
    <row r="1079" spans="1:10">
      <c r="A1079" t="s">
        <v>8910</v>
      </c>
      <c r="B1079" t="s">
        <v>8910</v>
      </c>
      <c r="G1079" t="s">
        <v>5273</v>
      </c>
      <c r="H1079" t="str" cm="1">
        <f t="array" ref="H1079">_xlfn.TEXTSPLIT(G1079,";")</f>
        <v>SUMMERGOLD</v>
      </c>
    </row>
    <row r="1080" spans="1:10">
      <c r="A1080" t="s">
        <v>152</v>
      </c>
      <c r="B1080" t="s">
        <v>152</v>
      </c>
      <c r="G1080" t="s">
        <v>5403</v>
      </c>
      <c r="H1080" t="str" cm="1">
        <f t="array" ref="H1080:J1080">_xlfn.TEXTSPLIT(G1080,";")</f>
        <v>PILSNER</v>
      </c>
      <c r="I1080" t="str">
        <v>PILSNER</v>
      </c>
      <c r="J1080" t="str">
        <v>PILSNER</v>
      </c>
    </row>
    <row r="1081" spans="1:10">
      <c r="A1081" t="s">
        <v>9340</v>
      </c>
      <c r="B1081" t="s">
        <v>9340</v>
      </c>
      <c r="G1081" t="s">
        <v>953</v>
      </c>
      <c r="H1081" t="str" cm="1">
        <f t="array" ref="H1081">_xlfn.TEXTSPLIT(G1081,";")</f>
        <v>NILLIS</v>
      </c>
    </row>
    <row r="1082" spans="1:10">
      <c r="A1082" t="s">
        <v>9413</v>
      </c>
      <c r="B1082" t="s">
        <v>9413</v>
      </c>
      <c r="G1082" t="s">
        <v>847</v>
      </c>
      <c r="H1082" t="str" cm="1">
        <f t="array" ref="H1082">_xlfn.TEXTSPLIT(G1082,";")</f>
        <v>BOCKBIER</v>
      </c>
    </row>
    <row r="1083" spans="1:10">
      <c r="A1083" t="s">
        <v>191</v>
      </c>
      <c r="B1083" t="s">
        <v>191</v>
      </c>
      <c r="G1083" t="s">
        <v>1898</v>
      </c>
      <c r="H1083" t="str" cm="1">
        <f t="array" ref="H1083">_xlfn.TEXTSPLIT(G1083,";")</f>
        <v>EPOS</v>
      </c>
    </row>
    <row r="1084" spans="1:10">
      <c r="A1084" t="s">
        <v>447</v>
      </c>
      <c r="B1084" t="s">
        <v>447</v>
      </c>
      <c r="G1084" t="s">
        <v>1486</v>
      </c>
      <c r="H1084" t="str" cm="1">
        <f t="array" ref="H1084">_xlfn.TEXTSPLIT(G1084,";")</f>
        <v>RABARBER</v>
      </c>
    </row>
    <row r="1085" spans="1:10">
      <c r="A1085" t="s">
        <v>494</v>
      </c>
      <c r="B1085" t="s">
        <v>494</v>
      </c>
      <c r="G1085" t="s">
        <v>5408</v>
      </c>
      <c r="H1085" t="str" cm="1">
        <f t="array" ref="H1085:J1085">_xlfn.TEXTSPLIT(G1085,";")</f>
        <v>DUBBEL</v>
      </c>
      <c r="I1085" t="str">
        <v>BROWN</v>
      </c>
      <c r="J1085" t="str">
        <v>BROWN</v>
      </c>
    </row>
    <row r="1086" spans="1:10">
      <c r="A1086" t="s">
        <v>9534</v>
      </c>
      <c r="B1086" t="s">
        <v>9534</v>
      </c>
      <c r="G1086" t="s">
        <v>7225</v>
      </c>
      <c r="H1086" t="str" cm="1">
        <f t="array" ref="H1086">_xlfn.TEXTSPLIT(G1086,";")</f>
        <v>GOUDENBAND</v>
      </c>
    </row>
    <row r="1087" spans="1:10">
      <c r="A1087" t="s">
        <v>9536</v>
      </c>
      <c r="B1087" t="s">
        <v>9536</v>
      </c>
      <c r="G1087" t="s">
        <v>5262</v>
      </c>
      <c r="H1087" t="str" cm="1">
        <f t="array" ref="H1087">_xlfn.TEXTSPLIT(G1087,";")</f>
        <v>TAROT_NOIRE</v>
      </c>
    </row>
    <row r="1088" spans="1:10">
      <c r="A1088" t="s">
        <v>7575</v>
      </c>
      <c r="B1088" t="s">
        <v>7575</v>
      </c>
      <c r="G1088" t="s">
        <v>888</v>
      </c>
      <c r="H1088" t="str" cm="1">
        <f t="array" ref="H1088">_xlfn.TEXTSPLIT(G1088,";")</f>
        <v>TAROT_D_OR</v>
      </c>
    </row>
    <row r="1089" spans="1:9">
      <c r="A1089" t="s">
        <v>7462</v>
      </c>
      <c r="B1089" t="s">
        <v>7462</v>
      </c>
      <c r="G1089" t="s">
        <v>5414</v>
      </c>
      <c r="H1089" t="str" cm="1">
        <f t="array" ref="H1089:I1089">_xlfn.TEXTSPLIT(G1089,";")</f>
        <v>NEW_ENGLAND_IPA</v>
      </c>
      <c r="I1089" t="str">
        <v>IPA</v>
      </c>
    </row>
    <row r="1090" spans="1:9">
      <c r="A1090" t="s">
        <v>1012</v>
      </c>
      <c r="B1090" t="s">
        <v>1012</v>
      </c>
      <c r="G1090" t="s">
        <v>5363</v>
      </c>
      <c r="H1090" t="str" cm="1">
        <f t="array" ref="H1090">_xlfn.TEXTSPLIT(G1090,";")</f>
        <v>NELSON</v>
      </c>
    </row>
    <row r="1091" spans="1:9">
      <c r="A1091" t="s">
        <v>462</v>
      </c>
      <c r="B1091" t="s">
        <v>462</v>
      </c>
      <c r="G1091" t="s">
        <v>506</v>
      </c>
      <c r="H1091" t="str" cm="1">
        <f t="array" ref="H1091">_xlfn.TEXTSPLIT(G1091,";")</f>
        <v>ORGANIC</v>
      </c>
    </row>
    <row r="1092" spans="1:9">
      <c r="A1092" t="s">
        <v>7969</v>
      </c>
      <c r="B1092" t="s">
        <v>7969</v>
      </c>
      <c r="G1092" t="s">
        <v>8888</v>
      </c>
      <c r="H1092" t="str" cm="1">
        <f t="array" ref="H1092:I1092">_xlfn.TEXTSPLIT(G1092,";")</f>
        <v>WHITE</v>
      </c>
      <c r="I1092" t="str">
        <v>IPA</v>
      </c>
    </row>
    <row r="1093" spans="1:9">
      <c r="A1093" t="s">
        <v>8353</v>
      </c>
      <c r="B1093" t="s">
        <v>8353</v>
      </c>
      <c r="G1093" t="s">
        <v>1070</v>
      </c>
      <c r="H1093" t="str" cm="1">
        <f t="array" ref="H1093">_xlfn.TEXTSPLIT(G1093,";")</f>
        <v>JUICY_PASSION</v>
      </c>
    </row>
    <row r="1094" spans="1:9">
      <c r="A1094" t="s">
        <v>8381</v>
      </c>
      <c r="B1094" t="s">
        <v>8381</v>
      </c>
      <c r="G1094" t="s">
        <v>8948</v>
      </c>
      <c r="H1094" t="str" cm="1">
        <f t="array" ref="H1094:I1094">_xlfn.TEXTSPLIT(G1094,";")</f>
        <v>BLOND</v>
      </c>
      <c r="I1094" t="str">
        <v>BLUE</v>
      </c>
    </row>
    <row r="1095" spans="1:9">
      <c r="A1095" t="s">
        <v>8384</v>
      </c>
      <c r="B1095" t="s">
        <v>8384</v>
      </c>
      <c r="G1095" t="s">
        <v>1991</v>
      </c>
      <c r="H1095" t="str" cm="1">
        <f t="array" ref="H1095">_xlfn.TEXTSPLIT(G1095,";")</f>
        <v>PEER</v>
      </c>
    </row>
    <row r="1096" spans="1:9">
      <c r="A1096" t="s">
        <v>7166</v>
      </c>
      <c r="B1096" t="s">
        <v>7166</v>
      </c>
      <c r="G1096" t="s">
        <v>1829</v>
      </c>
      <c r="H1096" t="str" cm="1">
        <f t="array" ref="H1096">_xlfn.TEXTSPLIT(G1096,";")</f>
        <v>OUDE_KRIEK_LAMBIC</v>
      </c>
    </row>
    <row r="1097" spans="1:9">
      <c r="A1097" t="s">
        <v>9065</v>
      </c>
      <c r="B1097" t="s">
        <v>9065</v>
      </c>
      <c r="G1097" t="s">
        <v>849</v>
      </c>
      <c r="H1097" t="str" cm="1">
        <f t="array" ref="H1097">_xlfn.TEXTSPLIT(G1097,";")</f>
        <v>ROYALE</v>
      </c>
    </row>
    <row r="1098" spans="1:9">
      <c r="A1098" t="s">
        <v>140</v>
      </c>
      <c r="B1098" t="s">
        <v>140</v>
      </c>
      <c r="G1098" t="s">
        <v>5420</v>
      </c>
      <c r="H1098" t="str" cm="1">
        <f t="array" ref="H1098:I1098">_xlfn.TEXTSPLIT(G1098,";")</f>
        <v>RED</v>
      </c>
      <c r="I1098" t="str">
        <v>CHERRY</v>
      </c>
    </row>
    <row r="1099" spans="1:9">
      <c r="A1099" t="s">
        <v>502</v>
      </c>
      <c r="B1099" t="s">
        <v>502</v>
      </c>
      <c r="G1099" t="s">
        <v>5419</v>
      </c>
      <c r="H1099" t="str" cm="1">
        <f t="array" ref="H1099:I1099">_xlfn.TEXTSPLIT(G1099,";")</f>
        <v>AGED</v>
      </c>
      <c r="I1099" t="str">
        <v>PALE</v>
      </c>
    </row>
    <row r="1100" spans="1:9">
      <c r="A1100" t="s">
        <v>9502</v>
      </c>
      <c r="B1100" t="s">
        <v>9502</v>
      </c>
      <c r="G1100" t="s">
        <v>858</v>
      </c>
      <c r="H1100" t="str" cm="1">
        <f t="array" ref="H1100">_xlfn.TEXTSPLIT(G1100,";")</f>
        <v>HOPTIMALE</v>
      </c>
    </row>
    <row r="1101" spans="1:9">
      <c r="A1101" t="s">
        <v>7450</v>
      </c>
      <c r="B1101" t="s">
        <v>7450</v>
      </c>
      <c r="G1101" t="s">
        <v>5445</v>
      </c>
      <c r="H1101" t="str" cm="1">
        <f t="array" ref="H1101:I1101">_xlfn.TEXTSPLIT(G1101,";")</f>
        <v>MANGO</v>
      </c>
      <c r="I1101" t="str">
        <v>GOLDEN</v>
      </c>
    </row>
    <row r="1102" spans="1:9">
      <c r="A1102" t="s">
        <v>8898</v>
      </c>
      <c r="B1102" t="s">
        <v>8898</v>
      </c>
      <c r="G1102" t="s">
        <v>6817</v>
      </c>
      <c r="H1102" t="str" cm="1">
        <f t="array" ref="H1102:I1102">_xlfn.TEXTSPLIT(G1102,";")</f>
        <v>DOUBLE</v>
      </c>
      <c r="I1102" t="str">
        <v/>
      </c>
    </row>
    <row r="1103" spans="1:9">
      <c r="A1103" t="s">
        <v>478</v>
      </c>
      <c r="B1103" t="s">
        <v>478</v>
      </c>
      <c r="G1103" t="s">
        <v>1491</v>
      </c>
      <c r="H1103" t="str" cm="1">
        <f t="array" ref="H1103">_xlfn.TEXTSPLIT(G1103,";")</f>
        <v>ROSEHIP</v>
      </c>
    </row>
    <row r="1104" spans="1:9">
      <c r="A1104" t="s">
        <v>1441</v>
      </c>
      <c r="B1104" t="s">
        <v>1441</v>
      </c>
      <c r="G1104" t="s">
        <v>5488</v>
      </c>
      <c r="H1104" t="str" cm="1">
        <f t="array" ref="H1104">_xlfn.TEXTSPLIT(G1104,";")</f>
        <v>SAISON_&amp;_LAMBIC</v>
      </c>
    </row>
    <row r="1105" spans="1:16">
      <c r="A1105" t="s">
        <v>5</v>
      </c>
      <c r="B1105" t="s">
        <v>5</v>
      </c>
      <c r="G1105" t="s">
        <v>7326</v>
      </c>
      <c r="H1105" t="str" cm="1">
        <f t="array" ref="H1105:I1105">_xlfn.TEXTSPLIT(G1105,";")</f>
        <v>GREEN</v>
      </c>
      <c r="I1105" t="str">
        <v>FINESSE</v>
      </c>
    </row>
    <row r="1106" spans="1:16">
      <c r="A1106" t="s">
        <v>36</v>
      </c>
      <c r="B1106" t="s">
        <v>36</v>
      </c>
      <c r="G1106" t="s">
        <v>7325</v>
      </c>
      <c r="H1106" t="str" cm="1">
        <f t="array" ref="H1106:I1106">_xlfn.TEXTSPLIT(G1106,";")</f>
        <v>LEMON</v>
      </c>
      <c r="I1106" t="str">
        <v>TOUCH</v>
      </c>
    </row>
    <row r="1107" spans="1:16">
      <c r="A1107" t="s">
        <v>6825</v>
      </c>
      <c r="B1107" t="s">
        <v>6825</v>
      </c>
      <c r="G1107" t="s">
        <v>7143</v>
      </c>
      <c r="H1107" t="str" cm="1">
        <f t="array" ref="H1107:I1107">_xlfn.TEXTSPLIT(G1107,";")</f>
        <v>AMBER</v>
      </c>
      <c r="I1107" t="str">
        <v>ROUSSE</v>
      </c>
    </row>
    <row r="1108" spans="1:16">
      <c r="A1108" t="s">
        <v>705</v>
      </c>
      <c r="B1108" t="s">
        <v>705</v>
      </c>
      <c r="G1108" t="s">
        <v>5283</v>
      </c>
      <c r="H1108" t="str" cm="1">
        <f t="array" ref="H1108">_xlfn.TEXTSPLIT(G1108,";")</f>
        <v>LAMBIC</v>
      </c>
    </row>
    <row r="1109" spans="1:16">
      <c r="A1109" t="s">
        <v>125</v>
      </c>
      <c r="B1109" t="s">
        <v>125</v>
      </c>
      <c r="G1109" t="s">
        <v>5430</v>
      </c>
      <c r="H1109" t="str" cm="1">
        <f t="array" ref="H1109:J1109">_xlfn.TEXTSPLIT(G1109,";")</f>
        <v>CRU</v>
      </c>
      <c r="I1109" t="str">
        <v>CUVEE</v>
      </c>
      <c r="J1109" t="str">
        <v>CUVEE</v>
      </c>
    </row>
    <row r="1110" spans="1:16">
      <c r="A1110" t="s">
        <v>6921</v>
      </c>
      <c r="B1110" t="s">
        <v>6921</v>
      </c>
      <c r="G1110" t="s">
        <v>5365</v>
      </c>
      <c r="H1110" t="str" cm="1">
        <f t="array" ref="H1110">_xlfn.TEXTSPLIT(G1110,";")</f>
        <v>MANGO_PASSION</v>
      </c>
    </row>
    <row r="1111" spans="1:16">
      <c r="A1111" t="s">
        <v>5505</v>
      </c>
      <c r="B1111" t="s">
        <v>5505</v>
      </c>
      <c r="G1111" t="s">
        <v>5370</v>
      </c>
      <c r="H1111" t="str" cm="1">
        <f t="array" ref="H1111">_xlfn.TEXTSPLIT(G1111,";")</f>
        <v>RED_FRUITS</v>
      </c>
    </row>
    <row r="1112" spans="1:16">
      <c r="A1112" t="s">
        <v>1843</v>
      </c>
      <c r="B1112" t="s">
        <v>1843</v>
      </c>
      <c r="G1112" t="s">
        <v>7134</v>
      </c>
      <c r="H1112" t="str" cm="1">
        <f t="array" ref="H1112:J1112">_xlfn.TEXTSPLIT(G1112,";")</f>
        <v>REDBERRIES</v>
      </c>
      <c r="I1112" t="str">
        <v>BERRY</v>
      </c>
      <c r="J1112" t="str">
        <v>RED</v>
      </c>
    </row>
    <row r="1113" spans="1:16">
      <c r="A1113" t="s">
        <v>1350</v>
      </c>
      <c r="B1113" t="s">
        <v>1350</v>
      </c>
      <c r="G1113" t="s">
        <v>8388</v>
      </c>
      <c r="H1113" t="str" cm="1">
        <f t="array" ref="H1113:I1113">_xlfn.TEXTSPLIT(G1113,";")</f>
        <v>HOP</v>
      </c>
      <c r="I1113" t="str">
        <v>SAISON</v>
      </c>
    </row>
    <row r="1114" spans="1:16">
      <c r="A1114" t="s">
        <v>1456</v>
      </c>
      <c r="B1114" t="s">
        <v>1456</v>
      </c>
      <c r="G1114" t="s">
        <v>6950</v>
      </c>
      <c r="H1114" t="str" cm="1">
        <f t="array" ref="H1114:I1114">_xlfn.TEXTSPLIT(G1114,";")</f>
        <v>GOLD</v>
      </c>
      <c r="I1114" t="str">
        <v>CORE</v>
      </c>
    </row>
    <row r="1115" spans="1:16">
      <c r="A1115" t="s">
        <v>6856</v>
      </c>
      <c r="B1115" t="s">
        <v>6856</v>
      </c>
      <c r="G1115" t="s">
        <v>6951</v>
      </c>
      <c r="H1115" t="str" cm="1">
        <f t="array" ref="H1115:I1115">_xlfn.TEXTSPLIT(G1115,";")</f>
        <v>RED</v>
      </c>
      <c r="I1115" t="str">
        <v>BLACK</v>
      </c>
    </row>
    <row r="1116" spans="1:16">
      <c r="A1116" t="s">
        <v>6911</v>
      </c>
      <c r="B1116" t="s">
        <v>6911</v>
      </c>
      <c r="G1116" t="s">
        <v>6486</v>
      </c>
      <c r="H1116" t="str" cm="1">
        <f t="array" ref="H1116:L1116">_xlfn.TEXTSPLIT(G1116,";")</f>
        <v>BROWN</v>
      </c>
      <c r="I1116" t="str">
        <v>DUBBEL</v>
      </c>
      <c r="J1116" t="str">
        <v>OUD_BRUIN</v>
      </c>
      <c r="K1116" t="str">
        <v>DARK</v>
      </c>
      <c r="L1116" t="str">
        <v>RED</v>
      </c>
      <c r="P1116" t="s">
        <v>903</v>
      </c>
    </row>
    <row r="1117" spans="1:16">
      <c r="A1117" t="s">
        <v>1000</v>
      </c>
      <c r="B1117" t="s">
        <v>1000</v>
      </c>
      <c r="G1117" t="s">
        <v>6484</v>
      </c>
      <c r="H1117" t="str" cm="1">
        <f t="array" ref="H1117:I1117">_xlfn.TEXTSPLIT(G1117,";")</f>
        <v>SILVER</v>
      </c>
      <c r="I1117" t="str">
        <v>CORE</v>
      </c>
    </row>
    <row r="1118" spans="1:16">
      <c r="A1118" t="s">
        <v>7827</v>
      </c>
      <c r="B1118" t="s">
        <v>7827</v>
      </c>
      <c r="G1118" t="s">
        <v>1974</v>
      </c>
      <c r="H1118" t="str" cm="1">
        <f t="array" ref="H1118">_xlfn.TEXTSPLIT(G1118,";")</f>
        <v>GOSE</v>
      </c>
    </row>
    <row r="1119" spans="1:16">
      <c r="A1119" t="s">
        <v>95</v>
      </c>
      <c r="B1119" t="s">
        <v>95</v>
      </c>
      <c r="G1119" t="s">
        <v>1938</v>
      </c>
      <c r="H1119" t="str" cm="1">
        <f t="array" ref="H1119">_xlfn.TEXTSPLIT(G1119,";")</f>
        <v>TRIPEL_GUEUZE</v>
      </c>
    </row>
    <row r="1120" spans="1:16">
      <c r="A1120" t="s">
        <v>6832</v>
      </c>
      <c r="B1120" t="s">
        <v>6832</v>
      </c>
      <c r="G1120" t="s">
        <v>1933</v>
      </c>
      <c r="H1120" t="str" cm="1">
        <f t="array" ref="H1120">_xlfn.TEXTSPLIT(G1120,";")</f>
        <v>LINO</v>
      </c>
    </row>
    <row r="1121" spans="1:9">
      <c r="A1121" t="s">
        <v>1461</v>
      </c>
      <c r="B1121" t="s">
        <v>1461</v>
      </c>
      <c r="G1121" t="s">
        <v>9491</v>
      </c>
      <c r="H1121" t="str" cm="1">
        <f t="array" ref="H1121">_xlfn.TEXTSPLIT(G1121,";")</f>
        <v>TRIPEL_GEUZE</v>
      </c>
    </row>
    <row r="1122" spans="1:9">
      <c r="A1122" t="s">
        <v>738</v>
      </c>
      <c r="B1122" t="s">
        <v>738</v>
      </c>
      <c r="G1122" t="s">
        <v>4899</v>
      </c>
      <c r="H1122" t="str" cm="1">
        <f t="array" ref="H1122">_xlfn.TEXTSPLIT(G1122,";")</f>
        <v>CHEESE</v>
      </c>
    </row>
    <row r="1123" spans="1:9">
      <c r="A1123" t="s">
        <v>6641</v>
      </c>
      <c r="B1123" t="s">
        <v>6641</v>
      </c>
      <c r="G1123" t="s">
        <v>5255</v>
      </c>
      <c r="H1123" t="str" cm="1">
        <f t="array" ref="H1123">_xlfn.TEXTSPLIT(G1123,";")</f>
        <v>DUO</v>
      </c>
    </row>
    <row r="1124" spans="1:9">
      <c r="A1124" t="s">
        <v>1243</v>
      </c>
      <c r="B1124" t="s">
        <v>1243</v>
      </c>
      <c r="G1124" t="s">
        <v>759</v>
      </c>
      <c r="H1124" t="str" cm="1">
        <f t="array" ref="H1124">_xlfn.TEXTSPLIT(G1124,";")</f>
        <v>6</v>
      </c>
    </row>
    <row r="1125" spans="1:9">
      <c r="A1125" t="s">
        <v>7241</v>
      </c>
      <c r="B1125" t="s">
        <v>7241</v>
      </c>
      <c r="G1125" t="s">
        <v>7069</v>
      </c>
      <c r="H1125" t="str" cm="1">
        <f t="array" ref="H1125:I1125">_xlfn.TEXTSPLIT(G1125,";")</f>
        <v>CORE</v>
      </c>
      <c r="I1125" t="str">
        <v>DUBBEL</v>
      </c>
    </row>
    <row r="1126" spans="1:9">
      <c r="A1126" t="s">
        <v>1152</v>
      </c>
      <c r="B1126" t="s">
        <v>1152</v>
      </c>
      <c r="G1126" t="s">
        <v>3791</v>
      </c>
      <c r="H1126" t="str" cm="1">
        <f t="array" ref="H1126">_xlfn.TEXTSPLIT(G1126,";")</f>
        <v>11</v>
      </c>
    </row>
    <row r="1127" spans="1:9">
      <c r="A1127" t="s">
        <v>1982</v>
      </c>
      <c r="B1127" t="s">
        <v>1982</v>
      </c>
    </row>
    <row r="1128" spans="1:9">
      <c r="A1128" t="s">
        <v>6593</v>
      </c>
      <c r="B1128" t="s">
        <v>6593</v>
      </c>
    </row>
    <row r="1129" spans="1:9">
      <c r="A1129" t="s">
        <v>6633</v>
      </c>
      <c r="B1129" t="s">
        <v>6633</v>
      </c>
    </row>
    <row r="1130" spans="1:9">
      <c r="A1130" t="s">
        <v>1305</v>
      </c>
      <c r="B1130" t="s">
        <v>1305</v>
      </c>
    </row>
    <row r="1131" spans="1:9">
      <c r="A1131" t="s">
        <v>6646</v>
      </c>
      <c r="B1131" t="s">
        <v>6646</v>
      </c>
    </row>
    <row r="1132" spans="1:9">
      <c r="A1132" t="s">
        <v>6588</v>
      </c>
      <c r="B1132" t="s">
        <v>6588</v>
      </c>
    </row>
    <row r="1133" spans="1:9">
      <c r="A1133" t="s">
        <v>1200</v>
      </c>
      <c r="B1133" t="s">
        <v>1200</v>
      </c>
    </row>
    <row r="1134" spans="1:9">
      <c r="A1134" t="s">
        <v>1824</v>
      </c>
      <c r="B1134" t="s">
        <v>1824</v>
      </c>
    </row>
    <row r="1135" spans="1:9">
      <c r="A1135" t="s">
        <v>7912</v>
      </c>
      <c r="B1135" t="s">
        <v>7912</v>
      </c>
    </row>
    <row r="1136" spans="1:9">
      <c r="A1136" t="s">
        <v>8523</v>
      </c>
      <c r="B1136" t="s">
        <v>8523</v>
      </c>
    </row>
    <row r="1137" spans="1:2">
      <c r="A1137" t="s">
        <v>8128</v>
      </c>
      <c r="B1137" t="s">
        <v>8128</v>
      </c>
    </row>
    <row r="1138" spans="1:2">
      <c r="A1138" t="s">
        <v>819</v>
      </c>
      <c r="B1138" t="s">
        <v>819</v>
      </c>
    </row>
    <row r="1139" spans="1:2">
      <c r="A1139" t="s">
        <v>7340</v>
      </c>
      <c r="B1139" t="s">
        <v>7340</v>
      </c>
    </row>
    <row r="1140" spans="1:2">
      <c r="A1140" t="s">
        <v>7364</v>
      </c>
      <c r="B1140" t="s">
        <v>7364</v>
      </c>
    </row>
    <row r="1141" spans="1:2">
      <c r="A1141" t="s">
        <v>7454</v>
      </c>
      <c r="B1141" t="s">
        <v>7454</v>
      </c>
    </row>
    <row r="1142" spans="1:2">
      <c r="A1142" t="s">
        <v>19</v>
      </c>
      <c r="B1142" t="s">
        <v>19</v>
      </c>
    </row>
    <row r="1143" spans="1:2">
      <c r="A1143" t="s">
        <v>481</v>
      </c>
      <c r="B1143" t="s">
        <v>481</v>
      </c>
    </row>
    <row r="1144" spans="1:2">
      <c r="A1144" t="s">
        <v>37</v>
      </c>
      <c r="B1144" t="s">
        <v>37</v>
      </c>
    </row>
    <row r="1145" spans="1:2">
      <c r="A1145" t="s">
        <v>509</v>
      </c>
      <c r="B1145" t="s">
        <v>509</v>
      </c>
    </row>
    <row r="1146" spans="1:2">
      <c r="A1146" t="s">
        <v>43</v>
      </c>
      <c r="B1146" t="s">
        <v>43</v>
      </c>
    </row>
    <row r="1147" spans="1:2">
      <c r="A1147" t="s">
        <v>483</v>
      </c>
      <c r="B1147" t="s">
        <v>483</v>
      </c>
    </row>
    <row r="1148" spans="1:2">
      <c r="A1148" t="s">
        <v>321</v>
      </c>
      <c r="B1148" t="s">
        <v>321</v>
      </c>
    </row>
    <row r="1149" spans="1:2">
      <c r="A1149" t="s">
        <v>647</v>
      </c>
      <c r="B1149" t="s">
        <v>647</v>
      </c>
    </row>
    <row r="1150" spans="1:2">
      <c r="A1150" t="s">
        <v>484</v>
      </c>
      <c r="B1150" t="s">
        <v>484</v>
      </c>
    </row>
    <row r="1151" spans="1:2">
      <c r="A1151" t="s">
        <v>8223</v>
      </c>
      <c r="B1151" t="s">
        <v>8223</v>
      </c>
    </row>
    <row r="1152" spans="1:2">
      <c r="A1152" t="s">
        <v>8428</v>
      </c>
      <c r="B1152" t="s">
        <v>8428</v>
      </c>
    </row>
    <row r="1153" spans="1:2">
      <c r="A1153" t="s">
        <v>486</v>
      </c>
      <c r="B1153" t="s">
        <v>486</v>
      </c>
    </row>
    <row r="1154" spans="1:2">
      <c r="A1154" t="s">
        <v>487</v>
      </c>
      <c r="B1154" t="s">
        <v>487</v>
      </c>
    </row>
    <row r="1155" spans="1:2">
      <c r="A1155" t="s">
        <v>488</v>
      </c>
      <c r="B1155" t="s">
        <v>488</v>
      </c>
    </row>
    <row r="1156" spans="1:2">
      <c r="A1156" t="s">
        <v>8847</v>
      </c>
      <c r="B1156" t="s">
        <v>8847</v>
      </c>
    </row>
    <row r="1157" spans="1:2">
      <c r="A1157" t="s">
        <v>120</v>
      </c>
      <c r="B1157" t="s">
        <v>120</v>
      </c>
    </row>
    <row r="1158" spans="1:2">
      <c r="A1158" t="s">
        <v>8857</v>
      </c>
      <c r="B1158" t="s">
        <v>8857</v>
      </c>
    </row>
    <row r="1159" spans="1:2">
      <c r="A1159" t="s">
        <v>490</v>
      </c>
      <c r="B1159" t="s">
        <v>490</v>
      </c>
    </row>
    <row r="1160" spans="1:2">
      <c r="A1160" t="s">
        <v>429</v>
      </c>
      <c r="B1160" t="s">
        <v>429</v>
      </c>
    </row>
    <row r="1161" spans="1:2">
      <c r="A1161" t="s">
        <v>8906</v>
      </c>
      <c r="B1161" t="s">
        <v>8906</v>
      </c>
    </row>
    <row r="1162" spans="1:2">
      <c r="A1162" t="s">
        <v>432</v>
      </c>
      <c r="B1162" t="s">
        <v>432</v>
      </c>
    </row>
    <row r="1163" spans="1:2">
      <c r="A1163" t="s">
        <v>9037</v>
      </c>
      <c r="B1163" t="s">
        <v>9037</v>
      </c>
    </row>
    <row r="1164" spans="1:2">
      <c r="A1164" t="s">
        <v>506</v>
      </c>
      <c r="B1164" t="s">
        <v>506</v>
      </c>
    </row>
    <row r="1165" spans="1:2">
      <c r="A1165" t="s">
        <v>9158</v>
      </c>
      <c r="B1165" t="s">
        <v>9158</v>
      </c>
    </row>
    <row r="1166" spans="1:2">
      <c r="A1166" t="s">
        <v>9232</v>
      </c>
      <c r="B1166" t="s">
        <v>9232</v>
      </c>
    </row>
    <row r="1167" spans="1:2">
      <c r="A1167" t="s">
        <v>385</v>
      </c>
      <c r="B1167" t="s">
        <v>385</v>
      </c>
    </row>
    <row r="1168" spans="1:2">
      <c r="A1168" t="s">
        <v>166</v>
      </c>
      <c r="B1168" t="s">
        <v>166</v>
      </c>
    </row>
    <row r="1169" spans="1:2">
      <c r="A1169" t="s">
        <v>167</v>
      </c>
      <c r="B1169" t="s">
        <v>167</v>
      </c>
    </row>
    <row r="1170" spans="1:2">
      <c r="A1170" t="s">
        <v>9344</v>
      </c>
      <c r="B1170" t="s">
        <v>9344</v>
      </c>
    </row>
    <row r="1171" spans="1:2">
      <c r="A1171" t="s">
        <v>182</v>
      </c>
      <c r="B1171" t="s">
        <v>182</v>
      </c>
    </row>
    <row r="1172" spans="1:2">
      <c r="A1172" t="s">
        <v>1375</v>
      </c>
      <c r="B1172" t="s">
        <v>1375</v>
      </c>
    </row>
    <row r="1173" spans="1:2">
      <c r="A1173" t="s">
        <v>495</v>
      </c>
      <c r="B1173" t="s">
        <v>495</v>
      </c>
    </row>
    <row r="1174" spans="1:2">
      <c r="A1174" t="s">
        <v>496</v>
      </c>
      <c r="B1174" t="s">
        <v>496</v>
      </c>
    </row>
    <row r="1175" spans="1:2">
      <c r="A1175" t="s">
        <v>7</v>
      </c>
      <c r="B1175" t="s">
        <v>7</v>
      </c>
    </row>
    <row r="1176" spans="1:2">
      <c r="A1176" t="s">
        <v>7803</v>
      </c>
      <c r="B1176" t="s">
        <v>7803</v>
      </c>
    </row>
    <row r="1177" spans="1:2">
      <c r="A1177" t="s">
        <v>38</v>
      </c>
      <c r="B1177" t="s">
        <v>38</v>
      </c>
    </row>
    <row r="1178" spans="1:2">
      <c r="A1178" t="s">
        <v>482</v>
      </c>
      <c r="B1178" t="s">
        <v>482</v>
      </c>
    </row>
    <row r="1179" spans="1:2">
      <c r="A1179" t="s">
        <v>41</v>
      </c>
      <c r="B1179" t="s">
        <v>41</v>
      </c>
    </row>
    <row r="1180" spans="1:2">
      <c r="A1180" t="s">
        <v>45</v>
      </c>
      <c r="B1180" t="s">
        <v>45</v>
      </c>
    </row>
    <row r="1181" spans="1:2">
      <c r="A1181" t="s">
        <v>61</v>
      </c>
      <c r="B1181" t="s">
        <v>61</v>
      </c>
    </row>
    <row r="1182" spans="1:2">
      <c r="A1182" t="s">
        <v>8261</v>
      </c>
      <c r="B1182" t="s">
        <v>8261</v>
      </c>
    </row>
    <row r="1183" spans="1:2">
      <c r="A1183" t="s">
        <v>88</v>
      </c>
      <c r="B1183" t="s">
        <v>88</v>
      </c>
    </row>
    <row r="1184" spans="1:2">
      <c r="A1184" t="s">
        <v>267</v>
      </c>
      <c r="B1184" t="s">
        <v>267</v>
      </c>
    </row>
    <row r="1185" spans="1:2">
      <c r="A1185" t="s">
        <v>105</v>
      </c>
      <c r="B1185" t="s">
        <v>105</v>
      </c>
    </row>
    <row r="1186" spans="1:2">
      <c r="A1186" t="s">
        <v>8894</v>
      </c>
      <c r="B1186" t="s">
        <v>8894</v>
      </c>
    </row>
    <row r="1187" spans="1:2">
      <c r="A1187" t="s">
        <v>512</v>
      </c>
      <c r="B1187" t="s">
        <v>512</v>
      </c>
    </row>
    <row r="1188" spans="1:2">
      <c r="A1188" t="s">
        <v>9041</v>
      </c>
      <c r="B1188" t="s">
        <v>9041</v>
      </c>
    </row>
    <row r="1189" spans="1:2">
      <c r="A1189" t="s">
        <v>433</v>
      </c>
      <c r="B1189" t="s">
        <v>433</v>
      </c>
    </row>
    <row r="1190" spans="1:2">
      <c r="A1190" t="s">
        <v>283</v>
      </c>
      <c r="B1190" t="s">
        <v>283</v>
      </c>
    </row>
    <row r="1191" spans="1:2">
      <c r="A1191" t="s">
        <v>9020</v>
      </c>
      <c r="B1191" t="s">
        <v>9020</v>
      </c>
    </row>
    <row r="1192" spans="1:2">
      <c r="A1192" t="s">
        <v>232</v>
      </c>
      <c r="B1192" t="s">
        <v>232</v>
      </c>
    </row>
    <row r="1193" spans="1:2">
      <c r="A1193" t="s">
        <v>7492</v>
      </c>
      <c r="B1193" t="s">
        <v>7492</v>
      </c>
    </row>
    <row r="1194" spans="1:2">
      <c r="A1194" t="s">
        <v>7739</v>
      </c>
      <c r="B1194" t="s">
        <v>7739</v>
      </c>
    </row>
    <row r="1195" spans="1:2">
      <c r="A1195" t="s">
        <v>394</v>
      </c>
      <c r="B1195" t="s">
        <v>394</v>
      </c>
    </row>
    <row r="1196" spans="1:2">
      <c r="A1196" t="s">
        <v>384</v>
      </c>
      <c r="B1196" t="s">
        <v>384</v>
      </c>
    </row>
    <row r="1197" spans="1:2">
      <c r="A1197" t="s">
        <v>8810</v>
      </c>
      <c r="B1197" t="s">
        <v>8810</v>
      </c>
    </row>
    <row r="1198" spans="1:2">
      <c r="A1198" t="s">
        <v>9510</v>
      </c>
      <c r="B1198" t="s">
        <v>9510</v>
      </c>
    </row>
    <row r="1199" spans="1:2">
      <c r="A1199" t="s">
        <v>9543</v>
      </c>
      <c r="B1199" t="s">
        <v>9543</v>
      </c>
    </row>
    <row r="1200" spans="1:2">
      <c r="A1200" t="s">
        <v>7245</v>
      </c>
      <c r="B1200" t="s">
        <v>7245</v>
      </c>
    </row>
    <row r="1201" spans="1:2">
      <c r="A1201" t="s">
        <v>604</v>
      </c>
      <c r="B1201" t="s">
        <v>604</v>
      </c>
    </row>
    <row r="1202" spans="1:2">
      <c r="A1202" t="s">
        <v>1111</v>
      </c>
      <c r="B1202" t="s">
        <v>1111</v>
      </c>
    </row>
    <row r="1203" spans="1:2">
      <c r="A1203" t="s">
        <v>107</v>
      </c>
      <c r="B1203" t="s">
        <v>107</v>
      </c>
    </row>
    <row r="1204" spans="1:2">
      <c r="A1204" t="s">
        <v>500</v>
      </c>
      <c r="B1204" t="s">
        <v>500</v>
      </c>
    </row>
    <row r="1205" spans="1:2">
      <c r="A1205" t="s">
        <v>632</v>
      </c>
      <c r="B1205" t="s">
        <v>632</v>
      </c>
    </row>
    <row r="1206" spans="1:2">
      <c r="A1206" t="s">
        <v>6609</v>
      </c>
      <c r="B1206" t="s">
        <v>6609</v>
      </c>
    </row>
    <row r="1207" spans="1:2">
      <c r="A1207" t="s">
        <v>7418</v>
      </c>
      <c r="B1207" t="s">
        <v>7418</v>
      </c>
    </row>
    <row r="1208" spans="1:2">
      <c r="A1208" t="s">
        <v>671</v>
      </c>
      <c r="B1208" t="s">
        <v>671</v>
      </c>
    </row>
    <row r="1209" spans="1:2">
      <c r="A1209" t="s">
        <v>252</v>
      </c>
      <c r="B1209" t="s">
        <v>252</v>
      </c>
    </row>
    <row r="1210" spans="1:2">
      <c r="A1210" t="s">
        <v>631</v>
      </c>
      <c r="B1210" t="s">
        <v>631</v>
      </c>
    </row>
    <row r="1211" spans="1:2">
      <c r="A1211" t="s">
        <v>366</v>
      </c>
      <c r="B1211" t="s">
        <v>366</v>
      </c>
    </row>
    <row r="1212" spans="1:2">
      <c r="A1212" t="s">
        <v>8538</v>
      </c>
      <c r="B1212" t="s">
        <v>8538</v>
      </c>
    </row>
    <row r="1213" spans="1:2">
      <c r="A1213" t="s">
        <v>608</v>
      </c>
      <c r="B1213" t="s">
        <v>608</v>
      </c>
    </row>
    <row r="1214" spans="1:2">
      <c r="A1214" t="s">
        <v>9237</v>
      </c>
      <c r="B1214" t="s">
        <v>9237</v>
      </c>
    </row>
    <row r="1215" spans="1:2">
      <c r="A1215" t="s">
        <v>379</v>
      </c>
      <c r="B1215" t="s">
        <v>379</v>
      </c>
    </row>
    <row r="1216" spans="1:2">
      <c r="A1216" t="s">
        <v>9995</v>
      </c>
      <c r="B1216" t="s">
        <v>9995</v>
      </c>
    </row>
    <row r="1217" spans="1:2">
      <c r="A1217" t="s">
        <v>372</v>
      </c>
      <c r="B1217" t="s">
        <v>372</v>
      </c>
    </row>
    <row r="1218" spans="1:2">
      <c r="A1218" t="s">
        <v>717</v>
      </c>
      <c r="B1218" t="s">
        <v>717</v>
      </c>
    </row>
    <row r="1219" spans="1:2">
      <c r="A1219" t="s">
        <v>6917</v>
      </c>
      <c r="B1219" t="s">
        <v>6917</v>
      </c>
    </row>
    <row r="1220" spans="1:2">
      <c r="A1220" t="s">
        <v>0</v>
      </c>
      <c r="B1220" t="s">
        <v>0</v>
      </c>
    </row>
    <row r="1221" spans="1:2">
      <c r="A1221" t="s">
        <v>134</v>
      </c>
      <c r="B1221" t="s">
        <v>134</v>
      </c>
    </row>
    <row r="1222" spans="1:2">
      <c r="A1222" t="s">
        <v>952</v>
      </c>
      <c r="B1222" t="s">
        <v>952</v>
      </c>
    </row>
    <row r="1223" spans="1:2">
      <c r="A1223" t="s">
        <v>720</v>
      </c>
      <c r="B1223" t="s">
        <v>720</v>
      </c>
    </row>
    <row r="1224" spans="1:2">
      <c r="A1224" t="s">
        <v>179</v>
      </c>
      <c r="B1224" t="s">
        <v>179</v>
      </c>
    </row>
    <row r="1225" spans="1:2">
      <c r="A1225" t="s">
        <v>697</v>
      </c>
      <c r="B1225" t="s">
        <v>697</v>
      </c>
    </row>
    <row r="1226" spans="1:2">
      <c r="A1226" t="s">
        <v>131</v>
      </c>
      <c r="B1226" t="s">
        <v>131</v>
      </c>
    </row>
    <row r="1227" spans="1:2">
      <c r="A1227" t="s">
        <v>1442</v>
      </c>
      <c r="B1227" t="s">
        <v>1442</v>
      </c>
    </row>
    <row r="1228" spans="1:2">
      <c r="A1228" t="s">
        <v>1884</v>
      </c>
      <c r="B1228" t="s">
        <v>1884</v>
      </c>
    </row>
    <row r="1229" spans="1:2">
      <c r="A1229" t="s">
        <v>126</v>
      </c>
      <c r="B1229" t="s">
        <v>126</v>
      </c>
    </row>
    <row r="1230" spans="1:2">
      <c r="A1230" t="s">
        <v>138</v>
      </c>
      <c r="B1230" t="s">
        <v>138</v>
      </c>
    </row>
    <row r="1231" spans="1:2">
      <c r="A1231" t="s">
        <v>1448</v>
      </c>
      <c r="B1231" t="s">
        <v>1448</v>
      </c>
    </row>
    <row r="1232" spans="1:2">
      <c r="A1232" t="s">
        <v>6914</v>
      </c>
      <c r="B1232" t="s">
        <v>6914</v>
      </c>
    </row>
    <row r="1233" spans="1:2">
      <c r="A1233" t="s">
        <v>1927</v>
      </c>
      <c r="B1233" t="s">
        <v>1927</v>
      </c>
    </row>
    <row r="1234" spans="1:2">
      <c r="A1234" t="s">
        <v>1457</v>
      </c>
      <c r="B1234" t="s">
        <v>1457</v>
      </c>
    </row>
    <row r="1235" spans="1:2">
      <c r="A1235" t="s">
        <v>130</v>
      </c>
      <c r="B1235" t="s">
        <v>130</v>
      </c>
    </row>
    <row r="1236" spans="1:2">
      <c r="A1236" t="s">
        <v>233</v>
      </c>
      <c r="B1236" t="s">
        <v>233</v>
      </c>
    </row>
    <row r="1237" spans="1:2">
      <c r="A1237" t="s">
        <v>1327</v>
      </c>
      <c r="B1237" t="s">
        <v>1327</v>
      </c>
    </row>
    <row r="1238" spans="1:2">
      <c r="A1238" t="s">
        <v>1449</v>
      </c>
      <c r="B1238" t="s">
        <v>1449</v>
      </c>
    </row>
    <row r="1239" spans="1:2">
      <c r="A1239" t="s">
        <v>1191</v>
      </c>
      <c r="B1239" t="s">
        <v>1191</v>
      </c>
    </row>
    <row r="1240" spans="1:2">
      <c r="A1240" t="s">
        <v>159</v>
      </c>
      <c r="B1240" t="s">
        <v>159</v>
      </c>
    </row>
    <row r="1241" spans="1:2">
      <c r="A1241" t="s">
        <v>161</v>
      </c>
      <c r="B1241" t="s">
        <v>161</v>
      </c>
    </row>
    <row r="1242" spans="1:2">
      <c r="A1242" t="s">
        <v>63</v>
      </c>
      <c r="B1242" t="s">
        <v>63</v>
      </c>
    </row>
    <row r="1243" spans="1:2">
      <c r="A1243" t="s">
        <v>5266</v>
      </c>
      <c r="B1243" t="s">
        <v>5266</v>
      </c>
    </row>
    <row r="1244" spans="1:2">
      <c r="A1244" t="s">
        <v>4</v>
      </c>
      <c r="B1244" t="s">
        <v>4</v>
      </c>
    </row>
    <row r="1245" spans="1:2">
      <c r="A1245" t="s">
        <v>7362</v>
      </c>
      <c r="B1245" t="s">
        <v>7362</v>
      </c>
    </row>
    <row r="1246" spans="1:2">
      <c r="A1246" t="s">
        <v>234</v>
      </c>
      <c r="B1246" t="s">
        <v>234</v>
      </c>
    </row>
    <row r="1247" spans="1:2">
      <c r="A1247" t="s">
        <v>5509</v>
      </c>
      <c r="B1247" t="s">
        <v>5509</v>
      </c>
    </row>
    <row r="1248" spans="1:2">
      <c r="A1248" t="s">
        <v>6756</v>
      </c>
      <c r="B1248" t="s">
        <v>6756</v>
      </c>
    </row>
    <row r="1249" spans="1:2">
      <c r="A1249" t="s">
        <v>70</v>
      </c>
      <c r="B1249" t="s">
        <v>70</v>
      </c>
    </row>
    <row r="1250" spans="1:2">
      <c r="A1250" t="s">
        <v>5508</v>
      </c>
      <c r="B1250" t="s">
        <v>5508</v>
      </c>
    </row>
    <row r="1251" spans="1:2">
      <c r="A1251" t="s">
        <v>6726</v>
      </c>
      <c r="B1251" t="s">
        <v>6726</v>
      </c>
    </row>
    <row r="1252" spans="1:2">
      <c r="A1252" t="s">
        <v>6728</v>
      </c>
      <c r="B1252" t="s">
        <v>6728</v>
      </c>
    </row>
    <row r="1253" spans="1:2">
      <c r="A1253" t="s">
        <v>6959</v>
      </c>
      <c r="B1253" t="s">
        <v>6959</v>
      </c>
    </row>
    <row r="1254" spans="1:2">
      <c r="A1254" t="s">
        <v>7279</v>
      </c>
      <c r="B1254" t="s">
        <v>7279</v>
      </c>
    </row>
    <row r="1255" spans="1:2">
      <c r="A1255" t="s">
        <v>7323</v>
      </c>
      <c r="B1255" t="s">
        <v>7323</v>
      </c>
    </row>
    <row r="1256" spans="1:2">
      <c r="A1256" t="s">
        <v>7294</v>
      </c>
      <c r="B1256" t="s">
        <v>7294</v>
      </c>
    </row>
    <row r="1257" spans="1:2">
      <c r="A1257" t="s">
        <v>6648</v>
      </c>
      <c r="B1257" t="s">
        <v>6648</v>
      </c>
    </row>
    <row r="1258" spans="1:2">
      <c r="A1258" t="s">
        <v>6613</v>
      </c>
      <c r="B1258" t="s">
        <v>6613</v>
      </c>
    </row>
    <row r="1259" spans="1:2">
      <c r="A1259" t="s">
        <v>6586</v>
      </c>
      <c r="B1259" t="s">
        <v>6586</v>
      </c>
    </row>
    <row r="1260" spans="1:2">
      <c r="A1260" t="s">
        <v>6610</v>
      </c>
      <c r="B1260" t="s">
        <v>6610</v>
      </c>
    </row>
    <row r="1261" spans="1:2">
      <c r="A1261" t="s">
        <v>1339</v>
      </c>
      <c r="B1261" t="s">
        <v>1339</v>
      </c>
    </row>
    <row r="1262" spans="1:2">
      <c r="A1262" t="s">
        <v>6630</v>
      </c>
      <c r="B1262" t="s">
        <v>6630</v>
      </c>
    </row>
    <row r="1263" spans="1:2">
      <c r="A1263" t="s">
        <v>7429</v>
      </c>
      <c r="B1263" t="s">
        <v>7429</v>
      </c>
    </row>
    <row r="1264" spans="1:2">
      <c r="A1264" t="s">
        <v>902</v>
      </c>
      <c r="B1264" t="s">
        <v>902</v>
      </c>
    </row>
    <row r="1265" spans="1:2">
      <c r="A1265" t="s">
        <v>843</v>
      </c>
      <c r="B1265" t="s">
        <v>843</v>
      </c>
    </row>
    <row r="1266" spans="1:2">
      <c r="A1266" t="s">
        <v>59</v>
      </c>
      <c r="B1266" t="s">
        <v>59</v>
      </c>
    </row>
    <row r="1267" spans="1:2">
      <c r="A1267" t="s">
        <v>658</v>
      </c>
      <c r="B1267" t="s">
        <v>658</v>
      </c>
    </row>
    <row r="1268" spans="1:2">
      <c r="A1268" t="s">
        <v>8471</v>
      </c>
      <c r="B1268" t="s">
        <v>8471</v>
      </c>
    </row>
    <row r="1269" spans="1:2">
      <c r="A1269" t="s">
        <v>9225</v>
      </c>
      <c r="B1269" t="s">
        <v>9225</v>
      </c>
    </row>
    <row r="1270" spans="1:2">
      <c r="A1270" t="s">
        <v>175</v>
      </c>
      <c r="B1270" t="s">
        <v>175</v>
      </c>
    </row>
    <row r="1271" spans="1:2">
      <c r="A1271" t="s">
        <v>9367</v>
      </c>
      <c r="B1271" t="s">
        <v>9367</v>
      </c>
    </row>
    <row r="1272" spans="1:2">
      <c r="A1272" t="s">
        <v>214</v>
      </c>
      <c r="B1272" t="s">
        <v>214</v>
      </c>
    </row>
    <row r="1273" spans="1:2">
      <c r="A1273" t="s">
        <v>10020</v>
      </c>
      <c r="B1273" t="s">
        <v>10020</v>
      </c>
    </row>
    <row r="1274" spans="1:2">
      <c r="A1274" t="s">
        <v>7373</v>
      </c>
      <c r="B1274" t="s">
        <v>7373</v>
      </c>
    </row>
    <row r="1275" spans="1:2">
      <c r="A1275" t="s">
        <v>7441</v>
      </c>
      <c r="B1275" t="s">
        <v>7441</v>
      </c>
    </row>
    <row r="1276" spans="1:2">
      <c r="A1276" t="s">
        <v>9</v>
      </c>
      <c r="B1276" t="s">
        <v>9</v>
      </c>
    </row>
    <row r="1277" spans="1:2">
      <c r="A1277" t="s">
        <v>993</v>
      </c>
      <c r="B1277" t="s">
        <v>993</v>
      </c>
    </row>
    <row r="1278" spans="1:2">
      <c r="A1278" t="s">
        <v>7657</v>
      </c>
      <c r="B1278" t="s">
        <v>7657</v>
      </c>
    </row>
    <row r="1279" spans="1:2">
      <c r="A1279" t="s">
        <v>27</v>
      </c>
      <c r="B1279" t="s">
        <v>27</v>
      </c>
    </row>
    <row r="1280" spans="1:2">
      <c r="A1280" t="s">
        <v>997</v>
      </c>
      <c r="B1280" t="s">
        <v>997</v>
      </c>
    </row>
    <row r="1281" spans="1:2">
      <c r="A1281" t="s">
        <v>625</v>
      </c>
      <c r="B1281" t="s">
        <v>625</v>
      </c>
    </row>
    <row r="1282" spans="1:2">
      <c r="A1282" t="s">
        <v>469</v>
      </c>
      <c r="B1282" t="s">
        <v>469</v>
      </c>
    </row>
    <row r="1283" spans="1:2">
      <c r="A1283" t="s">
        <v>8121</v>
      </c>
      <c r="B1283" t="s">
        <v>8121</v>
      </c>
    </row>
    <row r="1284" spans="1:2">
      <c r="A1284" t="s">
        <v>626</v>
      </c>
      <c r="B1284" t="s">
        <v>626</v>
      </c>
    </row>
    <row r="1285" spans="1:2">
      <c r="A1285" t="s">
        <v>409</v>
      </c>
      <c r="B1285" t="s">
        <v>409</v>
      </c>
    </row>
    <row r="1286" spans="1:2">
      <c r="A1286" t="s">
        <v>8504</v>
      </c>
      <c r="B1286" t="s">
        <v>8504</v>
      </c>
    </row>
    <row r="1287" spans="1:2">
      <c r="A1287" t="s">
        <v>8605</v>
      </c>
      <c r="B1287" t="s">
        <v>8605</v>
      </c>
    </row>
    <row r="1288" spans="1:2">
      <c r="A1288" t="s">
        <v>8720</v>
      </c>
      <c r="B1288" t="s">
        <v>8720</v>
      </c>
    </row>
    <row r="1289" spans="1:2">
      <c r="A1289" t="s">
        <v>8637</v>
      </c>
      <c r="B1289" t="s">
        <v>8637</v>
      </c>
    </row>
    <row r="1290" spans="1:2">
      <c r="A1290" t="s">
        <v>8743</v>
      </c>
      <c r="B1290" t="s">
        <v>8743</v>
      </c>
    </row>
    <row r="1291" spans="1:2">
      <c r="A1291" t="s">
        <v>8751</v>
      </c>
      <c r="B1291" t="s">
        <v>8751</v>
      </c>
    </row>
    <row r="1292" spans="1:2">
      <c r="A1292" t="s">
        <v>8758</v>
      </c>
      <c r="B1292" t="s">
        <v>8758</v>
      </c>
    </row>
    <row r="1293" spans="1:2">
      <c r="A1293" t="s">
        <v>8678</v>
      </c>
      <c r="B1293" t="s">
        <v>8678</v>
      </c>
    </row>
    <row r="1294" spans="1:2">
      <c r="A1294" t="s">
        <v>121</v>
      </c>
      <c r="B1294" t="s">
        <v>121</v>
      </c>
    </row>
    <row r="1295" spans="1:2">
      <c r="A1295" t="s">
        <v>132</v>
      </c>
      <c r="B1295" t="s">
        <v>132</v>
      </c>
    </row>
    <row r="1296" spans="1:2">
      <c r="A1296" t="s">
        <v>139</v>
      </c>
      <c r="B1296" t="s">
        <v>139</v>
      </c>
    </row>
    <row r="1297" spans="1:2">
      <c r="A1297" t="s">
        <v>158</v>
      </c>
      <c r="B1297" t="s">
        <v>158</v>
      </c>
    </row>
    <row r="1298" spans="1:2">
      <c r="A1298" t="s">
        <v>7227</v>
      </c>
      <c r="B1298" t="s">
        <v>7227</v>
      </c>
    </row>
    <row r="1299" spans="1:2">
      <c r="A1299" t="s">
        <v>173</v>
      </c>
      <c r="B1299" t="s">
        <v>173</v>
      </c>
    </row>
    <row r="1300" spans="1:2">
      <c r="A1300" t="s">
        <v>10011</v>
      </c>
      <c r="B1300" t="s">
        <v>10011</v>
      </c>
    </row>
    <row r="1301" spans="1:2">
      <c r="A1301" t="s">
        <v>663</v>
      </c>
      <c r="B1301" t="s">
        <v>663</v>
      </c>
    </row>
    <row r="1302" spans="1:2">
      <c r="A1302" t="s">
        <v>187</v>
      </c>
      <c r="B1302" t="s">
        <v>187</v>
      </c>
    </row>
    <row r="1303" spans="1:2">
      <c r="A1303" t="s">
        <v>190</v>
      </c>
      <c r="B1303" t="s">
        <v>190</v>
      </c>
    </row>
    <row r="1304" spans="1:2">
      <c r="A1304" t="s">
        <v>9411</v>
      </c>
      <c r="B1304" t="s">
        <v>9411</v>
      </c>
    </row>
    <row r="1305" spans="1:2">
      <c r="A1305" t="s">
        <v>208</v>
      </c>
      <c r="B1305" t="s">
        <v>208</v>
      </c>
    </row>
    <row r="1306" spans="1:2">
      <c r="A1306" t="s">
        <v>967</v>
      </c>
      <c r="B1306" t="s">
        <v>967</v>
      </c>
    </row>
    <row r="1307" spans="1:2">
      <c r="A1307" t="s">
        <v>222</v>
      </c>
      <c r="B1307" t="s">
        <v>222</v>
      </c>
    </row>
    <row r="1308" spans="1:2">
      <c r="A1308" t="s">
        <v>9538</v>
      </c>
      <c r="B1308" t="s">
        <v>9538</v>
      </c>
    </row>
    <row r="1309" spans="1:2">
      <c r="A1309" t="s">
        <v>228</v>
      </c>
      <c r="B1309" t="s">
        <v>228</v>
      </c>
    </row>
    <row r="1310" spans="1:2">
      <c r="A1310" t="s">
        <v>7355</v>
      </c>
      <c r="B1310" t="s">
        <v>7355</v>
      </c>
    </row>
    <row r="1311" spans="1:2">
      <c r="A1311" t="s">
        <v>460</v>
      </c>
      <c r="B1311" t="s">
        <v>460</v>
      </c>
    </row>
    <row r="1312" spans="1:2">
      <c r="A1312" t="s">
        <v>7554</v>
      </c>
      <c r="B1312" t="s">
        <v>7554</v>
      </c>
    </row>
    <row r="1313" spans="1:2">
      <c r="A1313" t="s">
        <v>461</v>
      </c>
      <c r="B1313" t="s">
        <v>461</v>
      </c>
    </row>
    <row r="1314" spans="1:2">
      <c r="A1314" t="s">
        <v>659</v>
      </c>
      <c r="B1314" t="s">
        <v>659</v>
      </c>
    </row>
    <row r="1315" spans="1:2">
      <c r="A1315" t="s">
        <v>8828</v>
      </c>
      <c r="B1315" t="s">
        <v>8828</v>
      </c>
    </row>
    <row r="1316" spans="1:2">
      <c r="A1316" t="s">
        <v>375</v>
      </c>
      <c r="B1316" t="s">
        <v>375</v>
      </c>
    </row>
    <row r="1317" spans="1:2">
      <c r="A1317" t="s">
        <v>8945</v>
      </c>
      <c r="B1317" t="s">
        <v>8945</v>
      </c>
    </row>
    <row r="1318" spans="1:2">
      <c r="A1318" t="s">
        <v>178</v>
      </c>
      <c r="B1318" t="s">
        <v>178</v>
      </c>
    </row>
    <row r="1319" spans="1:2">
      <c r="A1319" t="s">
        <v>9526</v>
      </c>
      <c r="B1319" t="s">
        <v>9526</v>
      </c>
    </row>
    <row r="1320" spans="1:2">
      <c r="A1320" t="s">
        <v>6627</v>
      </c>
      <c r="B1320" t="s">
        <v>6627</v>
      </c>
    </row>
    <row r="1321" spans="1:2">
      <c r="A1321" t="s">
        <v>1318</v>
      </c>
      <c r="B1321" t="s">
        <v>1318</v>
      </c>
    </row>
    <row r="1322" spans="1:2">
      <c r="A1322" t="s">
        <v>7159</v>
      </c>
      <c r="B1322" t="s">
        <v>7159</v>
      </c>
    </row>
    <row r="1323" spans="1:2">
      <c r="A1323">
        <v>13</v>
      </c>
      <c r="B1323">
        <v>13</v>
      </c>
    </row>
    <row r="1324" spans="1:2">
      <c r="A1324" t="s">
        <v>6634</v>
      </c>
      <c r="B1324" t="s">
        <v>6634</v>
      </c>
    </row>
    <row r="1325" spans="1:2">
      <c r="A1325" t="s">
        <v>6592</v>
      </c>
      <c r="B1325" t="s">
        <v>6592</v>
      </c>
    </row>
    <row r="1326" spans="1:2">
      <c r="A1326" t="s">
        <v>6601</v>
      </c>
      <c r="B1326" t="s">
        <v>6601</v>
      </c>
    </row>
    <row r="1327" spans="1:2">
      <c r="A1327" t="s">
        <v>6600</v>
      </c>
      <c r="B1327" t="s">
        <v>6600</v>
      </c>
    </row>
    <row r="1328" spans="1:2">
      <c r="A1328" t="s">
        <v>9229</v>
      </c>
      <c r="B1328" t="s">
        <v>9229</v>
      </c>
    </row>
    <row r="1329" spans="1:2">
      <c r="A1329" t="s">
        <v>2</v>
      </c>
      <c r="B1329" t="s">
        <v>2</v>
      </c>
    </row>
    <row r="1330" spans="1:2">
      <c r="A1330" t="s">
        <v>244</v>
      </c>
      <c r="B1330" t="s">
        <v>244</v>
      </c>
    </row>
    <row r="1331" spans="1:2">
      <c r="A1331" t="s">
        <v>16</v>
      </c>
      <c r="B1331" t="s">
        <v>16</v>
      </c>
    </row>
    <row r="1332" spans="1:2">
      <c r="A1332" t="s">
        <v>83</v>
      </c>
      <c r="B1332" t="s">
        <v>83</v>
      </c>
    </row>
    <row r="1333" spans="1:2">
      <c r="A1333" t="s">
        <v>98</v>
      </c>
      <c r="B1333" t="s">
        <v>98</v>
      </c>
    </row>
    <row r="1334" spans="1:2">
      <c r="A1334" t="s">
        <v>110</v>
      </c>
      <c r="B1334" t="s">
        <v>110</v>
      </c>
    </row>
    <row r="1335" spans="1:2">
      <c r="A1335" t="s">
        <v>148</v>
      </c>
      <c r="B1335" t="s">
        <v>148</v>
      </c>
    </row>
    <row r="1336" spans="1:2">
      <c r="A1336" t="s">
        <v>9489</v>
      </c>
      <c r="B1336" t="s">
        <v>9489</v>
      </c>
    </row>
    <row r="1337" spans="1:2">
      <c r="A1337" t="s">
        <v>381</v>
      </c>
      <c r="B1337" t="s">
        <v>381</v>
      </c>
    </row>
    <row r="1338" spans="1:2">
      <c r="A1338" t="s">
        <v>226</v>
      </c>
      <c r="B1338" t="s">
        <v>226</v>
      </c>
    </row>
    <row r="1339" spans="1:2">
      <c r="A1339" t="s">
        <v>7600</v>
      </c>
      <c r="B1339" t="s">
        <v>7600</v>
      </c>
    </row>
    <row r="1340" spans="1:2">
      <c r="A1340" t="s">
        <v>383</v>
      </c>
      <c r="B1340" t="s">
        <v>383</v>
      </c>
    </row>
    <row r="1341" spans="1:2">
      <c r="A1341" t="s">
        <v>8187</v>
      </c>
      <c r="B1341" t="s">
        <v>8187</v>
      </c>
    </row>
    <row r="1342" spans="1:2">
      <c r="A1342" t="s">
        <v>8305</v>
      </c>
      <c r="B1342" t="s">
        <v>8305</v>
      </c>
    </row>
    <row r="1343" spans="1:2">
      <c r="A1343" t="s">
        <v>8313</v>
      </c>
      <c r="B1343" t="s">
        <v>8313</v>
      </c>
    </row>
    <row r="1344" spans="1:2">
      <c r="A1344" t="s">
        <v>8689</v>
      </c>
      <c r="B1344" t="s">
        <v>8689</v>
      </c>
    </row>
    <row r="1345" spans="1:2">
      <c r="A1345" t="s">
        <v>8834</v>
      </c>
      <c r="B1345" t="s">
        <v>8834</v>
      </c>
    </row>
    <row r="1346" spans="1:2">
      <c r="A1346" t="s">
        <v>489</v>
      </c>
      <c r="B1346" t="s">
        <v>489</v>
      </c>
    </row>
    <row r="1347" spans="1:2">
      <c r="A1347" t="s">
        <v>1819</v>
      </c>
      <c r="B1347" t="s">
        <v>1819</v>
      </c>
    </row>
    <row r="1348" spans="1:2">
      <c r="A1348" t="s">
        <v>9039</v>
      </c>
      <c r="B1348" t="s">
        <v>9039</v>
      </c>
    </row>
    <row r="1349" spans="1:2">
      <c r="A1349" t="s">
        <v>7358</v>
      </c>
      <c r="B1349" t="s">
        <v>7358</v>
      </c>
    </row>
    <row r="1350" spans="1:2">
      <c r="A1350" t="s">
        <v>664</v>
      </c>
      <c r="B1350" t="s">
        <v>664</v>
      </c>
    </row>
    <row r="1351" spans="1:2">
      <c r="A1351" t="s">
        <v>439</v>
      </c>
      <c r="B1351" t="s">
        <v>439</v>
      </c>
    </row>
    <row r="1352" spans="1:2">
      <c r="A1352" t="s">
        <v>339</v>
      </c>
      <c r="B1352" t="s">
        <v>339</v>
      </c>
    </row>
    <row r="1353" spans="1:2">
      <c r="A1353" t="s">
        <v>155</v>
      </c>
      <c r="B1353" t="s">
        <v>155</v>
      </c>
    </row>
    <row r="1354" spans="1:2">
      <c r="A1354" t="s">
        <v>493</v>
      </c>
      <c r="B1354" t="s">
        <v>493</v>
      </c>
    </row>
    <row r="1355" spans="1:2">
      <c r="A1355" t="s">
        <v>9421</v>
      </c>
      <c r="B1355" t="s">
        <v>9421</v>
      </c>
    </row>
    <row r="1356" spans="1:2">
      <c r="A1356" t="s">
        <v>1439</v>
      </c>
      <c r="B1356" t="s">
        <v>1439</v>
      </c>
    </row>
    <row r="1357" spans="1:2">
      <c r="A1357" t="s">
        <v>1455</v>
      </c>
      <c r="B1357" t="s">
        <v>1455</v>
      </c>
    </row>
    <row r="1358" spans="1:2">
      <c r="A1358" t="s">
        <v>722</v>
      </c>
      <c r="B1358" t="s">
        <v>722</v>
      </c>
    </row>
    <row r="1359" spans="1:2">
      <c r="A1359" t="s">
        <v>75</v>
      </c>
      <c r="B1359" t="s">
        <v>75</v>
      </c>
    </row>
    <row r="1360" spans="1:2">
      <c r="A1360" t="s">
        <v>151</v>
      </c>
      <c r="B1360" t="s">
        <v>151</v>
      </c>
    </row>
    <row r="1361" spans="1:2">
      <c r="A1361" t="s">
        <v>6724</v>
      </c>
      <c r="B1361" t="s">
        <v>6724</v>
      </c>
    </row>
    <row r="1362" spans="1:2">
      <c r="A1362" t="s">
        <v>389</v>
      </c>
      <c r="B1362" t="s">
        <v>389</v>
      </c>
    </row>
    <row r="1363" spans="1:2">
      <c r="A1363" t="s">
        <v>6647</v>
      </c>
      <c r="B1363" t="s">
        <v>6647</v>
      </c>
    </row>
    <row r="1364" spans="1:2">
      <c r="A1364" t="s">
        <v>1170</v>
      </c>
      <c r="B1364" t="s">
        <v>1170</v>
      </c>
    </row>
    <row r="1365" spans="1:2">
      <c r="A1365" t="s">
        <v>7194</v>
      </c>
      <c r="B1365" t="s">
        <v>7194</v>
      </c>
    </row>
    <row r="1366" spans="1:2">
      <c r="A1366" t="s">
        <v>180</v>
      </c>
      <c r="B1366" t="s">
        <v>180</v>
      </c>
    </row>
    <row r="1367" spans="1:2">
      <c r="A1367" t="s">
        <v>9419</v>
      </c>
      <c r="B1367" t="s">
        <v>9419</v>
      </c>
    </row>
    <row r="1368" spans="1:2">
      <c r="A1368" t="s">
        <v>28</v>
      </c>
      <c r="B1368" t="s">
        <v>28</v>
      </c>
    </row>
    <row r="1369" spans="1:2">
      <c r="A1369" t="s">
        <v>966</v>
      </c>
      <c r="B1369" t="s">
        <v>966</v>
      </c>
    </row>
    <row r="1370" spans="1:2">
      <c r="A1370" t="s">
        <v>8310</v>
      </c>
      <c r="B1370" t="s">
        <v>8310</v>
      </c>
    </row>
    <row r="1371" spans="1:2">
      <c r="A1371" t="s">
        <v>8386</v>
      </c>
      <c r="B1371" t="s">
        <v>8386</v>
      </c>
    </row>
    <row r="1372" spans="1:2">
      <c r="A1372" t="s">
        <v>8403</v>
      </c>
      <c r="B1372" t="s">
        <v>8403</v>
      </c>
    </row>
    <row r="1373" spans="1:2">
      <c r="A1373" t="s">
        <v>8767</v>
      </c>
      <c r="B1373" t="s">
        <v>8767</v>
      </c>
    </row>
    <row r="1374" spans="1:2">
      <c r="A1374" t="s">
        <v>9156</v>
      </c>
      <c r="B1374" t="s">
        <v>9156</v>
      </c>
    </row>
    <row r="1375" spans="1:2">
      <c r="A1375" t="s">
        <v>9281</v>
      </c>
      <c r="B1375" t="s">
        <v>9281</v>
      </c>
    </row>
    <row r="1376" spans="1:2">
      <c r="A1376" t="s">
        <v>346</v>
      </c>
      <c r="B1376" t="s">
        <v>346</v>
      </c>
    </row>
    <row r="1377" spans="1:2">
      <c r="A1377" t="s">
        <v>9504</v>
      </c>
      <c r="B1377" t="s">
        <v>9504</v>
      </c>
    </row>
    <row r="1378" spans="1:2">
      <c r="A1378" t="s">
        <v>6852</v>
      </c>
      <c r="B1378" t="s">
        <v>6852</v>
      </c>
    </row>
    <row r="1379" spans="1:2">
      <c r="A1379" t="s">
        <v>7758</v>
      </c>
      <c r="B1379" t="s">
        <v>7758</v>
      </c>
    </row>
    <row r="1380" spans="1:2">
      <c r="A1380" t="s">
        <v>1100</v>
      </c>
      <c r="B1380" t="s">
        <v>1100</v>
      </c>
    </row>
    <row r="1381" spans="1:2">
      <c r="A1381" t="s">
        <v>9986</v>
      </c>
      <c r="B1381" t="s">
        <v>9986</v>
      </c>
    </row>
    <row r="1382" spans="1:2">
      <c r="A1382" t="s">
        <v>9206</v>
      </c>
      <c r="B1382" t="s">
        <v>9206</v>
      </c>
    </row>
    <row r="1383" spans="1:2">
      <c r="A1383" t="s">
        <v>231</v>
      </c>
      <c r="B1383" t="s">
        <v>231</v>
      </c>
    </row>
    <row r="1384" spans="1:2">
      <c r="A1384" t="s">
        <v>164</v>
      </c>
      <c r="B1384" t="s">
        <v>164</v>
      </c>
    </row>
    <row r="1385" spans="1:2">
      <c r="A1385" t="s">
        <v>259</v>
      </c>
      <c r="B1385" t="s">
        <v>259</v>
      </c>
    </row>
    <row r="1386" spans="1:2">
      <c r="A1386" t="s">
        <v>9878</v>
      </c>
      <c r="B1386" t="s">
        <v>9878</v>
      </c>
    </row>
    <row r="1387" spans="1:2">
      <c r="A1387" t="s">
        <v>9879</v>
      </c>
      <c r="B1387" t="s">
        <v>9879</v>
      </c>
    </row>
    <row r="1388" spans="1:2">
      <c r="A1388" t="s">
        <v>8726</v>
      </c>
      <c r="B1388" t="s">
        <v>8726</v>
      </c>
    </row>
    <row r="1389" spans="1:2">
      <c r="A1389" t="s">
        <v>9342</v>
      </c>
      <c r="B1389" t="s">
        <v>9342</v>
      </c>
    </row>
    <row r="1390" spans="1:2">
      <c r="A1390" t="s">
        <v>6621</v>
      </c>
      <c r="B1390" t="s">
        <v>6621</v>
      </c>
    </row>
    <row r="1391" spans="1:2">
      <c r="A1391" t="s">
        <v>6624</v>
      </c>
      <c r="B1391" t="s">
        <v>6624</v>
      </c>
    </row>
    <row r="1392" spans="1:2">
      <c r="A1392" t="s">
        <v>7311</v>
      </c>
      <c r="B1392" t="s">
        <v>7311</v>
      </c>
    </row>
    <row r="1393" spans="1:2">
      <c r="A1393" t="s">
        <v>7071</v>
      </c>
      <c r="B1393" t="s">
        <v>7071</v>
      </c>
    </row>
    <row r="1394" spans="1:2">
      <c r="A1394" t="s">
        <v>655</v>
      </c>
      <c r="B1394" t="s">
        <v>655</v>
      </c>
    </row>
    <row r="1395" spans="1:2">
      <c r="A1395" t="s">
        <v>10018</v>
      </c>
      <c r="B1395" t="s">
        <v>10018</v>
      </c>
    </row>
    <row r="1396" spans="1:2">
      <c r="A1396" t="s">
        <v>9523</v>
      </c>
      <c r="B1396" t="s">
        <v>9523</v>
      </c>
    </row>
    <row r="1397" spans="1:2">
      <c r="A1397" t="s">
        <v>1025</v>
      </c>
      <c r="B1397" t="s">
        <v>1025</v>
      </c>
    </row>
    <row r="1398" spans="1:2">
      <c r="A1398" t="s">
        <v>642</v>
      </c>
      <c r="B1398" t="s">
        <v>642</v>
      </c>
    </row>
    <row r="1399" spans="1:2">
      <c r="A1399" t="s">
        <v>54</v>
      </c>
      <c r="B1399" t="s">
        <v>54</v>
      </c>
    </row>
    <row r="1400" spans="1:2">
      <c r="A1400" t="s">
        <v>415</v>
      </c>
      <c r="B1400" t="s">
        <v>415</v>
      </c>
    </row>
    <row r="1401" spans="1:2">
      <c r="A1401" t="s">
        <v>9348</v>
      </c>
      <c r="B1401" t="s">
        <v>9348</v>
      </c>
    </row>
    <row r="1402" spans="1:2">
      <c r="A1402" t="s">
        <v>9024</v>
      </c>
      <c r="B1402" t="s">
        <v>9024</v>
      </c>
    </row>
    <row r="1403" spans="1:2">
      <c r="A1403" t="s">
        <v>205</v>
      </c>
      <c r="B1403" t="s">
        <v>205</v>
      </c>
    </row>
    <row r="1404" spans="1:2">
      <c r="A1404" t="s">
        <v>8801</v>
      </c>
      <c r="B1404" t="s">
        <v>8801</v>
      </c>
    </row>
    <row r="1405" spans="1:2">
      <c r="A1405" t="s">
        <v>124</v>
      </c>
      <c r="B1405" t="s">
        <v>124</v>
      </c>
    </row>
    <row r="1406" spans="1:2">
      <c r="A1406" t="s">
        <v>6552</v>
      </c>
      <c r="B1406" t="s">
        <v>6552</v>
      </c>
    </row>
    <row r="1407" spans="1:2">
      <c r="A1407" t="s">
        <v>215</v>
      </c>
      <c r="B1407" t="s">
        <v>215</v>
      </c>
    </row>
    <row r="1408" spans="1:2">
      <c r="A1408" t="s">
        <v>9541</v>
      </c>
      <c r="B1408" t="s">
        <v>9541</v>
      </c>
    </row>
    <row r="1409" spans="1:2">
      <c r="A1409" t="s">
        <v>227</v>
      </c>
      <c r="B1409" t="s">
        <v>227</v>
      </c>
    </row>
    <row r="1410" spans="1:2">
      <c r="A1410" t="s">
        <v>9318</v>
      </c>
      <c r="B1410" t="s">
        <v>9318</v>
      </c>
    </row>
    <row r="1411" spans="1:2">
      <c r="A1411" t="s">
        <v>630</v>
      </c>
      <c r="B1411" t="s">
        <v>630</v>
      </c>
    </row>
    <row r="1412" spans="1:2">
      <c r="A1412" t="s">
        <v>399</v>
      </c>
      <c r="B1412" t="s">
        <v>399</v>
      </c>
    </row>
    <row r="1413" spans="1:2">
      <c r="A1413" t="s">
        <v>7335</v>
      </c>
      <c r="B1413" t="s">
        <v>7335</v>
      </c>
    </row>
    <row r="1414" spans="1:2">
      <c r="A1414" t="s">
        <v>8272</v>
      </c>
      <c r="B1414" t="s">
        <v>8272</v>
      </c>
    </row>
    <row r="1415" spans="1:2">
      <c r="A1415" t="s">
        <v>8513</v>
      </c>
      <c r="B1415" t="s">
        <v>8513</v>
      </c>
    </row>
    <row r="1416" spans="1:2">
      <c r="A1416" t="s">
        <v>661</v>
      </c>
      <c r="B1416" t="s">
        <v>661</v>
      </c>
    </row>
    <row r="1417" spans="1:2">
      <c r="A1417" t="s">
        <v>8830</v>
      </c>
      <c r="B1417" t="s">
        <v>8830</v>
      </c>
    </row>
    <row r="1418" spans="1:2">
      <c r="A1418" t="s">
        <v>8851</v>
      </c>
      <c r="B1418" t="s">
        <v>8851</v>
      </c>
    </row>
    <row r="1419" spans="1:2">
      <c r="A1419" t="s">
        <v>9401</v>
      </c>
      <c r="B1419" t="s">
        <v>9401</v>
      </c>
    </row>
    <row r="1420" spans="1:2">
      <c r="A1420" t="s">
        <v>514</v>
      </c>
      <c r="B1420" t="s">
        <v>514</v>
      </c>
    </row>
    <row r="1421" spans="1:2">
      <c r="A1421" t="s">
        <v>9022</v>
      </c>
      <c r="B1421" t="s">
        <v>9022</v>
      </c>
    </row>
    <row r="1422" spans="1:2">
      <c r="A1422" t="s">
        <v>9346</v>
      </c>
      <c r="B1422" t="s">
        <v>9346</v>
      </c>
    </row>
    <row r="1423" spans="1:2">
      <c r="A1423" t="s">
        <v>6</v>
      </c>
      <c r="B1423" t="s">
        <v>6</v>
      </c>
    </row>
    <row r="1424" spans="1:2">
      <c r="A1424" t="s">
        <v>1874</v>
      </c>
      <c r="B1424" t="s">
        <v>1874</v>
      </c>
    </row>
    <row r="1425" spans="1:2">
      <c r="A1425" t="s">
        <v>5258</v>
      </c>
      <c r="B1425" t="s">
        <v>5258</v>
      </c>
    </row>
    <row r="1426" spans="1:2">
      <c r="A1426" t="s">
        <v>1095</v>
      </c>
      <c r="B1426" t="s">
        <v>1095</v>
      </c>
    </row>
    <row r="1427" spans="1:2">
      <c r="A1427" t="s">
        <v>6638</v>
      </c>
      <c r="B1427" t="s">
        <v>6638</v>
      </c>
    </row>
    <row r="1428" spans="1:2">
      <c r="A1428" t="s">
        <v>7073</v>
      </c>
      <c r="B1428" t="s">
        <v>7073</v>
      </c>
    </row>
    <row r="1429" spans="1:2">
      <c r="A1429" t="s">
        <v>7661</v>
      </c>
      <c r="B1429" t="s">
        <v>7661</v>
      </c>
    </row>
    <row r="1430" spans="1:2">
      <c r="A1430" t="s">
        <v>7690</v>
      </c>
      <c r="B1430" t="s">
        <v>7690</v>
      </c>
    </row>
    <row r="1431" spans="1:2">
      <c r="A1431" t="s">
        <v>7692</v>
      </c>
      <c r="B1431" t="s">
        <v>7692</v>
      </c>
    </row>
    <row r="1432" spans="1:2">
      <c r="A1432" t="s">
        <v>497</v>
      </c>
      <c r="B1432" t="s">
        <v>497</v>
      </c>
    </row>
    <row r="1433" spans="1:2">
      <c r="A1433" t="s">
        <v>8648</v>
      </c>
      <c r="B1433" t="s">
        <v>8648</v>
      </c>
    </row>
    <row r="1434" spans="1:2">
      <c r="A1434" t="s">
        <v>8896</v>
      </c>
      <c r="B1434" t="s">
        <v>8896</v>
      </c>
    </row>
    <row r="1435" spans="1:2">
      <c r="A1435" t="s">
        <v>666</v>
      </c>
      <c r="B1435" t="s">
        <v>666</v>
      </c>
    </row>
    <row r="1436" spans="1:2">
      <c r="A1436" t="s">
        <v>8861</v>
      </c>
      <c r="B1436" t="s">
        <v>8861</v>
      </c>
    </row>
    <row r="1437" spans="1:2">
      <c r="A1437" t="s">
        <v>459</v>
      </c>
      <c r="B1437" t="s">
        <v>459</v>
      </c>
    </row>
    <row r="1438" spans="1:2">
      <c r="A1438" t="s">
        <v>7800</v>
      </c>
      <c r="B1438" t="s">
        <v>7800</v>
      </c>
    </row>
    <row r="1439" spans="1:2">
      <c r="A1439" t="s">
        <v>1837</v>
      </c>
      <c r="B1439" t="s">
        <v>1837</v>
      </c>
    </row>
    <row r="1440" spans="1:2">
      <c r="A1440" t="s">
        <v>8096</v>
      </c>
      <c r="B1440" t="s">
        <v>8096</v>
      </c>
    </row>
    <row r="1441" spans="1:2">
      <c r="A1441" t="s">
        <v>220</v>
      </c>
      <c r="B1441" t="s">
        <v>220</v>
      </c>
    </row>
    <row r="1442" spans="1:2">
      <c r="A1442" t="s">
        <v>7709</v>
      </c>
      <c r="B1442" t="s">
        <v>7709</v>
      </c>
    </row>
    <row r="1443" spans="1:2">
      <c r="A1443" t="s">
        <v>7925</v>
      </c>
      <c r="B1443" t="s">
        <v>7925</v>
      </c>
    </row>
    <row r="1444" spans="1:2">
      <c r="A1444" t="s">
        <v>645</v>
      </c>
      <c r="B1444" t="s">
        <v>645</v>
      </c>
    </row>
    <row r="1445" spans="1:2">
      <c r="A1445" t="s">
        <v>7811</v>
      </c>
      <c r="B1445" t="s">
        <v>7811</v>
      </c>
    </row>
    <row r="1446" spans="1:2">
      <c r="A1446" t="s">
        <v>8133</v>
      </c>
      <c r="B1446" t="s">
        <v>8133</v>
      </c>
    </row>
    <row r="1447" spans="1:2">
      <c r="A1447" t="s">
        <v>8221</v>
      </c>
      <c r="B1447" t="s">
        <v>8221</v>
      </c>
    </row>
    <row r="1448" spans="1:2">
      <c r="A1448" t="s">
        <v>264</v>
      </c>
      <c r="B1448" t="s">
        <v>264</v>
      </c>
    </row>
    <row r="1449" spans="1:2">
      <c r="A1449" t="s">
        <v>370</v>
      </c>
      <c r="B1449" t="s">
        <v>370</v>
      </c>
    </row>
    <row r="1450" spans="1:2">
      <c r="A1450" t="s">
        <v>499</v>
      </c>
      <c r="B1450" t="s">
        <v>499</v>
      </c>
    </row>
    <row r="1451" spans="1:2">
      <c r="A1451" t="s">
        <v>183</v>
      </c>
      <c r="B1451" t="s">
        <v>183</v>
      </c>
    </row>
    <row r="1452" spans="1:2">
      <c r="A1452" t="s">
        <v>202</v>
      </c>
      <c r="B1452" t="s">
        <v>202</v>
      </c>
    </row>
    <row r="1453" spans="1:2">
      <c r="A1453" t="s">
        <v>5491</v>
      </c>
      <c r="B1453" t="s">
        <v>5491</v>
      </c>
    </row>
    <row r="1454" spans="1:2">
      <c r="A1454" t="s">
        <v>80</v>
      </c>
      <c r="B1454" t="s">
        <v>80</v>
      </c>
    </row>
    <row r="1455" spans="1:2">
      <c r="A1455" t="s">
        <v>65</v>
      </c>
      <c r="B1455" t="s">
        <v>65</v>
      </c>
    </row>
    <row r="1456" spans="1:2">
      <c r="A1456" t="s">
        <v>1463</v>
      </c>
      <c r="B1456" t="s">
        <v>1463</v>
      </c>
    </row>
    <row r="1457" spans="1:2">
      <c r="A1457" t="s">
        <v>230</v>
      </c>
      <c r="B1457" t="s">
        <v>230</v>
      </c>
    </row>
    <row r="1458" spans="1:2">
      <c r="A1458" t="s">
        <v>1862</v>
      </c>
      <c r="B1458" t="s">
        <v>1862</v>
      </c>
    </row>
    <row r="1459" spans="1:2">
      <c r="A1459" t="s">
        <v>7263</v>
      </c>
      <c r="B1459" t="s">
        <v>7263</v>
      </c>
    </row>
    <row r="1460" spans="1:2">
      <c r="A1460" t="s">
        <v>6591</v>
      </c>
      <c r="B1460" t="s">
        <v>6591</v>
      </c>
    </row>
    <row r="1461" spans="1:2">
      <c r="A1461" t="s">
        <v>212</v>
      </c>
      <c r="B1461" t="s">
        <v>212</v>
      </c>
    </row>
    <row r="1462" spans="1:2">
      <c r="A1462" t="s">
        <v>8300</v>
      </c>
      <c r="B1462" t="s">
        <v>8300</v>
      </c>
    </row>
    <row r="1463" spans="1:2">
      <c r="A1463" t="s">
        <v>7618</v>
      </c>
      <c r="B1463" t="s">
        <v>7618</v>
      </c>
    </row>
    <row r="1464" spans="1:2">
      <c r="A1464" t="s">
        <v>7680</v>
      </c>
      <c r="B1464" t="s">
        <v>7680</v>
      </c>
    </row>
    <row r="1465" spans="1:2">
      <c r="A1465" t="s">
        <v>505</v>
      </c>
      <c r="B1465" t="s">
        <v>505</v>
      </c>
    </row>
    <row r="1466" spans="1:2">
      <c r="A1466" t="s">
        <v>610</v>
      </c>
      <c r="B1466" t="s">
        <v>610</v>
      </c>
    </row>
    <row r="1467" spans="1:2">
      <c r="A1467" t="s">
        <v>507</v>
      </c>
      <c r="B1467" t="s">
        <v>507</v>
      </c>
    </row>
    <row r="1468" spans="1:2">
      <c r="A1468" t="s">
        <v>508</v>
      </c>
      <c r="B1468" t="s">
        <v>508</v>
      </c>
    </row>
    <row r="1469" spans="1:2">
      <c r="A1469" t="s">
        <v>7482</v>
      </c>
      <c r="B1469" t="s">
        <v>7482</v>
      </c>
    </row>
    <row r="1470" spans="1:2">
      <c r="A1470" t="s">
        <v>13</v>
      </c>
      <c r="B1470" t="s">
        <v>13</v>
      </c>
    </row>
    <row r="1471" spans="1:2">
      <c r="A1471" t="s">
        <v>7684</v>
      </c>
      <c r="B1471" t="s">
        <v>7684</v>
      </c>
    </row>
    <row r="1472" spans="1:2">
      <c r="A1472" t="s">
        <v>7686</v>
      </c>
      <c r="B1472" t="s">
        <v>7686</v>
      </c>
    </row>
    <row r="1473" spans="1:2">
      <c r="A1473" t="s">
        <v>7688</v>
      </c>
      <c r="B1473" t="s">
        <v>7688</v>
      </c>
    </row>
    <row r="1474" spans="1:2">
      <c r="A1474" t="s">
        <v>7696</v>
      </c>
      <c r="B1474" t="s">
        <v>7696</v>
      </c>
    </row>
    <row r="1475" spans="1:2">
      <c r="A1475" t="s">
        <v>20</v>
      </c>
      <c r="B1475" t="s">
        <v>20</v>
      </c>
    </row>
    <row r="1476" spans="1:2">
      <c r="A1476" t="s">
        <v>21</v>
      </c>
      <c r="B1476" t="s">
        <v>21</v>
      </c>
    </row>
    <row r="1477" spans="1:2">
      <c r="A1477" t="s">
        <v>7698</v>
      </c>
      <c r="B1477" t="s">
        <v>7698</v>
      </c>
    </row>
    <row r="1478" spans="1:2">
      <c r="A1478" t="s">
        <v>629</v>
      </c>
      <c r="B1478" t="s">
        <v>629</v>
      </c>
    </row>
    <row r="1479" spans="1:2">
      <c r="A1479" t="s">
        <v>23</v>
      </c>
      <c r="B1479" t="s">
        <v>23</v>
      </c>
    </row>
    <row r="1480" spans="1:2">
      <c r="A1480" t="s">
        <v>7701</v>
      </c>
      <c r="B1480" t="s">
        <v>7701</v>
      </c>
    </row>
    <row r="1481" spans="1:2">
      <c r="A1481" t="s">
        <v>22</v>
      </c>
      <c r="B1481" t="s">
        <v>22</v>
      </c>
    </row>
    <row r="1482" spans="1:2">
      <c r="A1482" t="s">
        <v>7705</v>
      </c>
      <c r="B1482" t="s">
        <v>7705</v>
      </c>
    </row>
    <row r="1483" spans="1:2">
      <c r="A1483" t="s">
        <v>7743</v>
      </c>
      <c r="B1483" t="s">
        <v>7743</v>
      </c>
    </row>
    <row r="1484" spans="1:2">
      <c r="A1484" t="s">
        <v>26</v>
      </c>
      <c r="B1484" t="s">
        <v>26</v>
      </c>
    </row>
    <row r="1485" spans="1:2">
      <c r="A1485" t="s">
        <v>667</v>
      </c>
      <c r="B1485" t="s">
        <v>667</v>
      </c>
    </row>
    <row r="1486" spans="1:2">
      <c r="A1486" t="s">
        <v>30</v>
      </c>
      <c r="B1486" t="s">
        <v>30</v>
      </c>
    </row>
    <row r="1487" spans="1:2">
      <c r="A1487" t="s">
        <v>504</v>
      </c>
      <c r="B1487" t="s">
        <v>504</v>
      </c>
    </row>
    <row r="1488" spans="1:2">
      <c r="A1488" t="s">
        <v>5191</v>
      </c>
      <c r="B1488" t="s">
        <v>5191</v>
      </c>
    </row>
    <row r="1489" spans="1:2">
      <c r="A1489" t="s">
        <v>7981</v>
      </c>
      <c r="B1489" t="s">
        <v>7981</v>
      </c>
    </row>
    <row r="1490" spans="1:2">
      <c r="A1490" t="s">
        <v>8024</v>
      </c>
      <c r="B1490" t="s">
        <v>8024</v>
      </c>
    </row>
    <row r="1491" spans="1:2">
      <c r="A1491" t="s">
        <v>8026</v>
      </c>
      <c r="B1491" t="s">
        <v>8026</v>
      </c>
    </row>
    <row r="1492" spans="1:2">
      <c r="A1492" t="s">
        <v>8047</v>
      </c>
      <c r="B1492" t="s">
        <v>8047</v>
      </c>
    </row>
    <row r="1493" spans="1:2">
      <c r="A1493" t="s">
        <v>7638</v>
      </c>
      <c r="B1493" t="s">
        <v>7638</v>
      </c>
    </row>
    <row r="1494" spans="1:2">
      <c r="A1494" t="s">
        <v>1751</v>
      </c>
      <c r="B1494" t="s">
        <v>1751</v>
      </c>
    </row>
    <row r="1495" spans="1:2">
      <c r="A1495" t="s">
        <v>681</v>
      </c>
      <c r="B1495" t="s">
        <v>681</v>
      </c>
    </row>
    <row r="1496" spans="1:2">
      <c r="A1496" t="s">
        <v>8164</v>
      </c>
      <c r="B1496" t="s">
        <v>8164</v>
      </c>
    </row>
    <row r="1497" spans="1:2">
      <c r="A1497" t="s">
        <v>668</v>
      </c>
      <c r="B1497" t="s">
        <v>668</v>
      </c>
    </row>
    <row r="1498" spans="1:2">
      <c r="A1498" t="s">
        <v>8592</v>
      </c>
      <c r="B1498" t="s">
        <v>8592</v>
      </c>
    </row>
    <row r="1499" spans="1:2">
      <c r="A1499" t="s">
        <v>8621</v>
      </c>
      <c r="B1499" t="s">
        <v>8621</v>
      </c>
    </row>
    <row r="1500" spans="1:2">
      <c r="A1500" t="s">
        <v>669</v>
      </c>
      <c r="B1500" t="s">
        <v>669</v>
      </c>
    </row>
    <row r="1501" spans="1:2">
      <c r="A1501" t="s">
        <v>8687</v>
      </c>
      <c r="B1501" t="s">
        <v>8687</v>
      </c>
    </row>
    <row r="1502" spans="1:2">
      <c r="A1502" t="s">
        <v>650</v>
      </c>
      <c r="B1502" t="s">
        <v>650</v>
      </c>
    </row>
    <row r="1503" spans="1:2">
      <c r="A1503" t="s">
        <v>652</v>
      </c>
      <c r="B1503" t="s">
        <v>652</v>
      </c>
    </row>
    <row r="1504" spans="1:2">
      <c r="A1504" t="s">
        <v>7823</v>
      </c>
      <c r="B1504" t="s">
        <v>7823</v>
      </c>
    </row>
    <row r="1505" spans="1:2">
      <c r="A1505" t="s">
        <v>8890</v>
      </c>
      <c r="B1505" t="s">
        <v>8890</v>
      </c>
    </row>
    <row r="1506" spans="1:2">
      <c r="A1506" t="s">
        <v>9061</v>
      </c>
      <c r="B1506" t="s">
        <v>9061</v>
      </c>
    </row>
    <row r="1507" spans="1:2">
      <c r="A1507" t="s">
        <v>9173</v>
      </c>
      <c r="B1507" t="s">
        <v>9173</v>
      </c>
    </row>
    <row r="1508" spans="1:2">
      <c r="A1508" t="s">
        <v>9217</v>
      </c>
      <c r="B1508" t="s">
        <v>9217</v>
      </c>
    </row>
    <row r="1509" spans="1:2">
      <c r="A1509" t="s">
        <v>9991</v>
      </c>
      <c r="B1509" t="s">
        <v>9991</v>
      </c>
    </row>
    <row r="1510" spans="1:2">
      <c r="A1510" t="s">
        <v>198</v>
      </c>
      <c r="B1510" t="s">
        <v>198</v>
      </c>
    </row>
    <row r="1511" spans="1:2">
      <c r="A1511" t="s">
        <v>449</v>
      </c>
      <c r="B1511" t="s">
        <v>449</v>
      </c>
    </row>
    <row r="1512" spans="1:2">
      <c r="A1512" t="s">
        <v>9513</v>
      </c>
      <c r="B1512" t="s">
        <v>9513</v>
      </c>
    </row>
    <row r="1513" spans="1:2">
      <c r="A1513" t="s">
        <v>670</v>
      </c>
      <c r="B1513" t="s">
        <v>670</v>
      </c>
    </row>
    <row r="1514" spans="1:2">
      <c r="A1514" t="s">
        <v>6626</v>
      </c>
      <c r="B1514" t="s">
        <v>6626</v>
      </c>
    </row>
    <row r="1515" spans="1:2">
      <c r="A1515" t="s">
        <v>302</v>
      </c>
      <c r="B1515" t="s">
        <v>302</v>
      </c>
    </row>
    <row r="1516" spans="1:2">
      <c r="A1516" t="s">
        <v>8536</v>
      </c>
      <c r="B1516" t="s">
        <v>8536</v>
      </c>
    </row>
    <row r="1517" spans="1:2">
      <c r="A1517" t="s">
        <v>8643</v>
      </c>
      <c r="B1517" t="s">
        <v>8643</v>
      </c>
    </row>
    <row r="1518" spans="1:2">
      <c r="A1518" t="s">
        <v>8741</v>
      </c>
      <c r="B1518" t="s">
        <v>8741</v>
      </c>
    </row>
    <row r="1519" spans="1:2">
      <c r="A1519" t="s">
        <v>10003</v>
      </c>
      <c r="B1519" t="s">
        <v>10003</v>
      </c>
    </row>
    <row r="1520" spans="1:2">
      <c r="A1520" t="s">
        <v>9091</v>
      </c>
      <c r="B1520" t="s">
        <v>9091</v>
      </c>
    </row>
    <row r="1521" spans="1:2">
      <c r="A1521" t="s">
        <v>10006</v>
      </c>
      <c r="B1521" t="s">
        <v>10006</v>
      </c>
    </row>
    <row r="1522" spans="1:2">
      <c r="A1522" t="s">
        <v>9877</v>
      </c>
      <c r="B1522" t="s">
        <v>9877</v>
      </c>
    </row>
    <row r="1523" spans="1:2">
      <c r="A1523" t="s">
        <v>9528</v>
      </c>
      <c r="B1523" t="s">
        <v>9528</v>
      </c>
    </row>
    <row r="1524" spans="1:2">
      <c r="A1524" t="s">
        <v>5368</v>
      </c>
      <c r="B1524" t="s">
        <v>5368</v>
      </c>
    </row>
    <row r="1525" spans="1:2">
      <c r="A1525" t="s">
        <v>5367</v>
      </c>
      <c r="B1525" t="s">
        <v>5367</v>
      </c>
    </row>
    <row r="1526" spans="1:2">
      <c r="A1526" t="s">
        <v>1900</v>
      </c>
      <c r="B1526" t="s">
        <v>1900</v>
      </c>
    </row>
    <row r="1527" spans="1:2">
      <c r="A1527" t="s">
        <v>1866</v>
      </c>
      <c r="B1527" t="s">
        <v>1866</v>
      </c>
    </row>
    <row r="1528" spans="1:2">
      <c r="A1528" t="s">
        <v>1899</v>
      </c>
      <c r="B1528" t="s">
        <v>1899</v>
      </c>
    </row>
    <row r="1529" spans="1:2">
      <c r="A1529" t="s">
        <v>1214</v>
      </c>
      <c r="B1529" t="s">
        <v>1214</v>
      </c>
    </row>
    <row r="1530" spans="1:2">
      <c r="A1530" t="s">
        <v>1389</v>
      </c>
      <c r="B1530" t="s">
        <v>1389</v>
      </c>
    </row>
    <row r="1531" spans="1:2">
      <c r="A1531" t="s">
        <v>1140</v>
      </c>
      <c r="B1531" t="s">
        <v>1140</v>
      </c>
    </row>
    <row r="1532" spans="1:2">
      <c r="A1532" t="s">
        <v>1141</v>
      </c>
      <c r="B1532" t="s">
        <v>1141</v>
      </c>
    </row>
    <row r="1533" spans="1:2">
      <c r="A1533" t="s">
        <v>1215</v>
      </c>
      <c r="B1533" t="s">
        <v>1215</v>
      </c>
    </row>
    <row r="1534" spans="1:2">
      <c r="A1534" t="s">
        <v>938</v>
      </c>
      <c r="B1534" t="s">
        <v>938</v>
      </c>
    </row>
    <row r="1535" spans="1:2">
      <c r="A1535" t="s">
        <v>1216</v>
      </c>
      <c r="B1535" t="s">
        <v>1216</v>
      </c>
    </row>
    <row r="1536" spans="1:2">
      <c r="A1536" t="s">
        <v>1770</v>
      </c>
      <c r="B1536" t="s">
        <v>1770</v>
      </c>
    </row>
    <row r="1537" spans="1:2">
      <c r="A1537" t="s">
        <v>1445</v>
      </c>
      <c r="B1537" t="s">
        <v>1445</v>
      </c>
    </row>
    <row r="1538" spans="1:2">
      <c r="A1538" t="s">
        <v>1217</v>
      </c>
      <c r="B1538" t="s">
        <v>1217</v>
      </c>
    </row>
    <row r="1539" spans="1:2">
      <c r="A1539" t="s">
        <v>1014</v>
      </c>
      <c r="B1539" t="s">
        <v>1014</v>
      </c>
    </row>
    <row r="1540" spans="1:2">
      <c r="A1540" t="s">
        <v>1143</v>
      </c>
      <c r="B1540" t="s">
        <v>1143</v>
      </c>
    </row>
    <row r="1541" spans="1:2">
      <c r="A1541" t="s">
        <v>5170</v>
      </c>
      <c r="B1541" t="s">
        <v>5170</v>
      </c>
    </row>
    <row r="1542" spans="1:2">
      <c r="A1542" t="s">
        <v>1218</v>
      </c>
      <c r="B1542" t="s">
        <v>1218</v>
      </c>
    </row>
    <row r="1543" spans="1:2">
      <c r="A1543" t="s">
        <v>677</v>
      </c>
      <c r="B1543" t="s">
        <v>677</v>
      </c>
    </row>
    <row r="1544" spans="1:2">
      <c r="A1544" t="s">
        <v>1144</v>
      </c>
      <c r="B1544" t="s">
        <v>1144</v>
      </c>
    </row>
    <row r="1545" spans="1:2">
      <c r="A1545" t="s">
        <v>1810</v>
      </c>
      <c r="B1545" t="s">
        <v>1810</v>
      </c>
    </row>
    <row r="1546" spans="1:2">
      <c r="A1546" t="s">
        <v>832</v>
      </c>
      <c r="B1546" t="s">
        <v>832</v>
      </c>
    </row>
    <row r="1547" spans="1:2">
      <c r="A1547" t="s">
        <v>1145</v>
      </c>
      <c r="B1547" t="s">
        <v>1145</v>
      </c>
    </row>
    <row r="1548" spans="1:2">
      <c r="A1548" t="s">
        <v>1092</v>
      </c>
      <c r="B1548" t="s">
        <v>1092</v>
      </c>
    </row>
    <row r="1549" spans="1:2">
      <c r="A1549" t="s">
        <v>1091</v>
      </c>
      <c r="B1549" t="s">
        <v>1091</v>
      </c>
    </row>
    <row r="1550" spans="1:2">
      <c r="A1550" t="s">
        <v>1021</v>
      </c>
      <c r="B1550" t="s">
        <v>1021</v>
      </c>
    </row>
    <row r="1551" spans="1:2">
      <c r="A1551" t="s">
        <v>855</v>
      </c>
      <c r="B1551" t="s">
        <v>855</v>
      </c>
    </row>
    <row r="1552" spans="1:2">
      <c r="A1552" t="s">
        <v>1872</v>
      </c>
      <c r="B1552" t="s">
        <v>1872</v>
      </c>
    </row>
    <row r="1553" spans="1:2">
      <c r="A1553" t="s">
        <v>1219</v>
      </c>
      <c r="B1553" t="s">
        <v>1219</v>
      </c>
    </row>
    <row r="1554" spans="1:2">
      <c r="A1554" t="s">
        <v>1797</v>
      </c>
      <c r="B1554" t="s">
        <v>1797</v>
      </c>
    </row>
    <row r="1555" spans="1:2">
      <c r="A1555" t="s">
        <v>1220</v>
      </c>
      <c r="B1555" t="s">
        <v>1220</v>
      </c>
    </row>
    <row r="1556" spans="1:2">
      <c r="A1556" t="s">
        <v>1221</v>
      </c>
      <c r="B1556" t="s">
        <v>1221</v>
      </c>
    </row>
    <row r="1557" spans="1:2">
      <c r="A1557" t="s">
        <v>1831</v>
      </c>
      <c r="B1557" t="s">
        <v>1831</v>
      </c>
    </row>
    <row r="1558" spans="1:2">
      <c r="A1558" t="s">
        <v>518</v>
      </c>
      <c r="B1558" t="s">
        <v>518</v>
      </c>
    </row>
    <row r="1559" spans="1:2">
      <c r="A1559" t="s">
        <v>1093</v>
      </c>
      <c r="B1559" t="s">
        <v>1093</v>
      </c>
    </row>
    <row r="1560" spans="1:2">
      <c r="A1560" t="s">
        <v>1798</v>
      </c>
      <c r="B1560" t="s">
        <v>1798</v>
      </c>
    </row>
    <row r="1561" spans="1:2">
      <c r="A1561" t="s">
        <v>1787</v>
      </c>
      <c r="B1561" t="s">
        <v>1787</v>
      </c>
    </row>
    <row r="1562" spans="1:2">
      <c r="A1562" t="s">
        <v>1222</v>
      </c>
      <c r="B1562" t="s">
        <v>1222</v>
      </c>
    </row>
    <row r="1563" spans="1:2">
      <c r="A1563" t="s">
        <v>1390</v>
      </c>
      <c r="B1563" t="s">
        <v>1390</v>
      </c>
    </row>
    <row r="1564" spans="1:2">
      <c r="A1564" t="s">
        <v>1755</v>
      </c>
      <c r="B1564" t="s">
        <v>1755</v>
      </c>
    </row>
    <row r="1565" spans="1:2">
      <c r="A1565" t="s">
        <v>1869</v>
      </c>
      <c r="B1565" t="s">
        <v>1869</v>
      </c>
    </row>
    <row r="1566" spans="1:2">
      <c r="A1566" t="s">
        <v>1821</v>
      </c>
      <c r="B1566" t="s">
        <v>1821</v>
      </c>
    </row>
    <row r="1567" spans="1:2">
      <c r="A1567" t="s">
        <v>1094</v>
      </c>
      <c r="B1567" t="s">
        <v>1094</v>
      </c>
    </row>
    <row r="1568" spans="1:2">
      <c r="A1568" t="s">
        <v>1223</v>
      </c>
      <c r="B1568" t="s">
        <v>1223</v>
      </c>
    </row>
    <row r="1569" spans="1:2">
      <c r="A1569" t="s">
        <v>7667</v>
      </c>
      <c r="B1569" t="s">
        <v>7667</v>
      </c>
    </row>
    <row r="1570" spans="1:2">
      <c r="A1570" t="s">
        <v>7013</v>
      </c>
      <c r="B1570" t="s">
        <v>7013</v>
      </c>
    </row>
    <row r="1571" spans="1:2">
      <c r="A1571" t="s">
        <v>639</v>
      </c>
      <c r="B1571" t="s">
        <v>639</v>
      </c>
    </row>
    <row r="1572" spans="1:2">
      <c r="A1572" t="s">
        <v>7703</v>
      </c>
      <c r="B1572" t="s">
        <v>7703</v>
      </c>
    </row>
    <row r="1573" spans="1:2">
      <c r="A1573" t="s">
        <v>1131</v>
      </c>
      <c r="B1573" t="s">
        <v>1131</v>
      </c>
    </row>
    <row r="1574" spans="1:2">
      <c r="A1574" t="s">
        <v>1096</v>
      </c>
      <c r="B1574" t="s">
        <v>1096</v>
      </c>
    </row>
    <row r="1575" spans="1:2">
      <c r="A1575" t="s">
        <v>1225</v>
      </c>
      <c r="B1575" t="s">
        <v>1225</v>
      </c>
    </row>
    <row r="1576" spans="1:2">
      <c r="A1576" t="s">
        <v>1849</v>
      </c>
      <c r="B1576" t="s">
        <v>1849</v>
      </c>
    </row>
    <row r="1577" spans="1:2">
      <c r="A1577" t="s">
        <v>1147</v>
      </c>
      <c r="B1577" t="s">
        <v>1147</v>
      </c>
    </row>
    <row r="1578" spans="1:2">
      <c r="A1578" t="s">
        <v>1097</v>
      </c>
      <c r="B1578" t="s">
        <v>1097</v>
      </c>
    </row>
    <row r="1579" spans="1:2">
      <c r="A1579" t="s">
        <v>7765</v>
      </c>
      <c r="B1579" t="s">
        <v>7765</v>
      </c>
    </row>
    <row r="1580" spans="1:2">
      <c r="A1580" t="s">
        <v>1148</v>
      </c>
      <c r="B1580" t="s">
        <v>1148</v>
      </c>
    </row>
    <row r="1581" spans="1:2">
      <c r="A1581" t="s">
        <v>1226</v>
      </c>
      <c r="B1581" t="s">
        <v>1226</v>
      </c>
    </row>
    <row r="1582" spans="1:2">
      <c r="A1582" t="s">
        <v>1149</v>
      </c>
      <c r="B1582" t="s">
        <v>1149</v>
      </c>
    </row>
    <row r="1583" spans="1:2">
      <c r="A1583" t="s">
        <v>1227</v>
      </c>
      <c r="B1583" t="s">
        <v>1227</v>
      </c>
    </row>
    <row r="1584" spans="1:2">
      <c r="A1584" t="s">
        <v>1023</v>
      </c>
      <c r="B1584" t="s">
        <v>1023</v>
      </c>
    </row>
    <row r="1585" spans="1:2">
      <c r="A1585" t="s">
        <v>1228</v>
      </c>
      <c r="B1585" t="s">
        <v>1228</v>
      </c>
    </row>
    <row r="1586" spans="1:2">
      <c r="A1586" t="s">
        <v>1024</v>
      </c>
      <c r="B1586" t="s">
        <v>1024</v>
      </c>
    </row>
    <row r="1587" spans="1:2">
      <c r="A1587" t="s">
        <v>1763</v>
      </c>
      <c r="B1587" t="s">
        <v>1763</v>
      </c>
    </row>
    <row r="1588" spans="1:2">
      <c r="A1588" t="s">
        <v>640</v>
      </c>
      <c r="B1588" t="s">
        <v>640</v>
      </c>
    </row>
    <row r="1589" spans="1:2">
      <c r="A1589" t="s">
        <v>7002</v>
      </c>
      <c r="B1589" t="s">
        <v>7002</v>
      </c>
    </row>
    <row r="1590" spans="1:2">
      <c r="A1590" t="s">
        <v>1775</v>
      </c>
      <c r="B1590" t="s">
        <v>1775</v>
      </c>
    </row>
    <row r="1591" spans="1:2">
      <c r="A1591" t="s">
        <v>1808</v>
      </c>
      <c r="B1591" t="s">
        <v>1808</v>
      </c>
    </row>
    <row r="1592" spans="1:2">
      <c r="A1592" t="s">
        <v>1229</v>
      </c>
      <c r="B1592" t="s">
        <v>1229</v>
      </c>
    </row>
    <row r="1593" spans="1:2">
      <c r="A1593" t="s">
        <v>1890</v>
      </c>
      <c r="B1593" t="s">
        <v>1890</v>
      </c>
    </row>
    <row r="1594" spans="1:2">
      <c r="A1594" t="s">
        <v>1230</v>
      </c>
      <c r="B1594" t="s">
        <v>1230</v>
      </c>
    </row>
    <row r="1595" spans="1:2">
      <c r="A1595" t="s">
        <v>1231</v>
      </c>
      <c r="B1595" t="s">
        <v>1231</v>
      </c>
    </row>
    <row r="1596" spans="1:2">
      <c r="A1596" t="s">
        <v>1099</v>
      </c>
      <c r="B1596" t="s">
        <v>1099</v>
      </c>
    </row>
    <row r="1597" spans="1:2">
      <c r="A1597" t="s">
        <v>1232</v>
      </c>
      <c r="B1597" t="s">
        <v>1232</v>
      </c>
    </row>
    <row r="1598" spans="1:2">
      <c r="A1598" t="s">
        <v>7004</v>
      </c>
      <c r="B1598" t="s">
        <v>7004</v>
      </c>
    </row>
    <row r="1599" spans="1:2">
      <c r="A1599" t="s">
        <v>531</v>
      </c>
      <c r="B1599" t="s">
        <v>531</v>
      </c>
    </row>
    <row r="1600" spans="1:2">
      <c r="A1600" t="s">
        <v>921</v>
      </c>
      <c r="B1600" t="s">
        <v>921</v>
      </c>
    </row>
    <row r="1601" spans="1:2">
      <c r="A1601" t="s">
        <v>1233</v>
      </c>
      <c r="B1601" t="s">
        <v>1233</v>
      </c>
    </row>
    <row r="1602" spans="1:2">
      <c r="A1602" t="s">
        <v>1914</v>
      </c>
      <c r="B1602" t="s">
        <v>1914</v>
      </c>
    </row>
    <row r="1603" spans="1:2">
      <c r="A1603" t="s">
        <v>1235</v>
      </c>
      <c r="B1603" t="s">
        <v>1235</v>
      </c>
    </row>
    <row r="1604" spans="1:2">
      <c r="A1604" t="s">
        <v>1236</v>
      </c>
      <c r="B1604" t="s">
        <v>1236</v>
      </c>
    </row>
    <row r="1605" spans="1:2">
      <c r="A1605" t="s">
        <v>1237</v>
      </c>
      <c r="B1605" t="s">
        <v>1237</v>
      </c>
    </row>
    <row r="1606" spans="1:2">
      <c r="A1606" t="s">
        <v>1918</v>
      </c>
      <c r="B1606" t="s">
        <v>1918</v>
      </c>
    </row>
    <row r="1607" spans="1:2">
      <c r="A1607" t="s">
        <v>1151</v>
      </c>
      <c r="B1607" t="s">
        <v>1151</v>
      </c>
    </row>
    <row r="1608" spans="1:2">
      <c r="A1608" t="s">
        <v>1238</v>
      </c>
      <c r="B1608" t="s">
        <v>1238</v>
      </c>
    </row>
    <row r="1609" spans="1:2">
      <c r="A1609" t="s">
        <v>1239</v>
      </c>
      <c r="B1609" t="s">
        <v>1239</v>
      </c>
    </row>
    <row r="1610" spans="1:2">
      <c r="A1610" t="s">
        <v>320</v>
      </c>
      <c r="B1610" t="s">
        <v>320</v>
      </c>
    </row>
    <row r="1611" spans="1:2">
      <c r="A1611" t="s">
        <v>1240</v>
      </c>
      <c r="B1611" t="s">
        <v>1240</v>
      </c>
    </row>
    <row r="1612" spans="1:2">
      <c r="A1612" t="s">
        <v>1059</v>
      </c>
      <c r="B1612" t="s">
        <v>1059</v>
      </c>
    </row>
    <row r="1613" spans="1:2">
      <c r="A1613" t="s">
        <v>1026</v>
      </c>
      <c r="B1613" t="s">
        <v>1026</v>
      </c>
    </row>
    <row r="1614" spans="1:2">
      <c r="A1614" t="s">
        <v>1020</v>
      </c>
      <c r="B1614" t="s">
        <v>1020</v>
      </c>
    </row>
    <row r="1615" spans="1:2">
      <c r="A1615" t="s">
        <v>1241</v>
      </c>
      <c r="B1615" t="s">
        <v>1241</v>
      </c>
    </row>
    <row r="1616" spans="1:2">
      <c r="A1616" t="s">
        <v>1101</v>
      </c>
      <c r="B1616" t="s">
        <v>1101</v>
      </c>
    </row>
    <row r="1617" spans="1:2">
      <c r="A1617" t="s">
        <v>1102</v>
      </c>
      <c r="B1617" t="s">
        <v>1102</v>
      </c>
    </row>
    <row r="1618" spans="1:2">
      <c r="A1618" t="s">
        <v>1063</v>
      </c>
      <c r="B1618" t="s">
        <v>1063</v>
      </c>
    </row>
    <row r="1619" spans="1:2">
      <c r="A1619" t="s">
        <v>1153</v>
      </c>
      <c r="B1619" t="s">
        <v>1153</v>
      </c>
    </row>
    <row r="1620" spans="1:2">
      <c r="A1620" t="s">
        <v>7009</v>
      </c>
      <c r="B1620" t="s">
        <v>7009</v>
      </c>
    </row>
    <row r="1621" spans="1:2">
      <c r="A1621" t="s">
        <v>1911</v>
      </c>
      <c r="B1621" t="s">
        <v>1911</v>
      </c>
    </row>
    <row r="1622" spans="1:2">
      <c r="A1622" t="s">
        <v>1103</v>
      </c>
      <c r="B1622" t="s">
        <v>1103</v>
      </c>
    </row>
    <row r="1623" spans="1:2">
      <c r="A1623" t="s">
        <v>1060</v>
      </c>
      <c r="B1623" t="s">
        <v>1060</v>
      </c>
    </row>
    <row r="1624" spans="1:2">
      <c r="A1624" t="s">
        <v>1865</v>
      </c>
      <c r="B1624" t="s">
        <v>1865</v>
      </c>
    </row>
    <row r="1625" spans="1:2">
      <c r="A1625" t="s">
        <v>1154</v>
      </c>
      <c r="B1625" t="s">
        <v>1154</v>
      </c>
    </row>
    <row r="1626" spans="1:2">
      <c r="A1626" t="s">
        <v>1155</v>
      </c>
      <c r="B1626" t="s">
        <v>1155</v>
      </c>
    </row>
    <row r="1627" spans="1:2">
      <c r="A1627" t="s">
        <v>817</v>
      </c>
      <c r="B1627" t="s">
        <v>817</v>
      </c>
    </row>
    <row r="1628" spans="1:2">
      <c r="A1628" t="s">
        <v>1245</v>
      </c>
      <c r="B1628" t="s">
        <v>1245</v>
      </c>
    </row>
    <row r="1629" spans="1:2">
      <c r="A1629" t="s">
        <v>1061</v>
      </c>
      <c r="B1629" t="s">
        <v>1061</v>
      </c>
    </row>
    <row r="1630" spans="1:2">
      <c r="A1630" t="s">
        <v>810</v>
      </c>
      <c r="B1630" t="s">
        <v>810</v>
      </c>
    </row>
    <row r="1631" spans="1:2">
      <c r="A1631" t="s">
        <v>814</v>
      </c>
      <c r="B1631" t="s">
        <v>814</v>
      </c>
    </row>
    <row r="1632" spans="1:2">
      <c r="A1632" t="s">
        <v>1028</v>
      </c>
      <c r="B1632" t="s">
        <v>1028</v>
      </c>
    </row>
    <row r="1633" spans="1:2">
      <c r="A1633" t="s">
        <v>1766</v>
      </c>
      <c r="B1633" t="s">
        <v>1766</v>
      </c>
    </row>
    <row r="1634" spans="1:2">
      <c r="A1634" t="s">
        <v>1246</v>
      </c>
      <c r="B1634" t="s">
        <v>1246</v>
      </c>
    </row>
    <row r="1635" spans="1:2">
      <c r="A1635" t="s">
        <v>1156</v>
      </c>
      <c r="B1635" t="s">
        <v>1156</v>
      </c>
    </row>
    <row r="1636" spans="1:2">
      <c r="A1636" t="s">
        <v>1247</v>
      </c>
      <c r="B1636" t="s">
        <v>1247</v>
      </c>
    </row>
    <row r="1637" spans="1:2">
      <c r="A1637" t="s">
        <v>1029</v>
      </c>
      <c r="B1637" t="s">
        <v>1029</v>
      </c>
    </row>
    <row r="1638" spans="1:2">
      <c r="A1638" t="s">
        <v>1032</v>
      </c>
      <c r="B1638" t="s">
        <v>1032</v>
      </c>
    </row>
    <row r="1639" spans="1:2">
      <c r="A1639" t="s">
        <v>1062</v>
      </c>
      <c r="B1639" t="s">
        <v>1062</v>
      </c>
    </row>
    <row r="1640" spans="1:2">
      <c r="A1640" t="s">
        <v>1248</v>
      </c>
      <c r="B1640" t="s">
        <v>1248</v>
      </c>
    </row>
    <row r="1641" spans="1:2">
      <c r="A1641" t="s">
        <v>1030</v>
      </c>
      <c r="B1641" t="s">
        <v>1030</v>
      </c>
    </row>
    <row r="1642" spans="1:2">
      <c r="A1642" t="s">
        <v>1031</v>
      </c>
      <c r="B1642" t="s">
        <v>1031</v>
      </c>
    </row>
    <row r="1643" spans="1:2">
      <c r="A1643" t="s">
        <v>7001</v>
      </c>
      <c r="B1643" t="s">
        <v>7001</v>
      </c>
    </row>
    <row r="1644" spans="1:2">
      <c r="A1644" t="s">
        <v>1157</v>
      </c>
      <c r="B1644" t="s">
        <v>1157</v>
      </c>
    </row>
    <row r="1645" spans="1:2">
      <c r="A1645" t="s">
        <v>1249</v>
      </c>
      <c r="B1645" t="s">
        <v>1249</v>
      </c>
    </row>
    <row r="1646" spans="1:2">
      <c r="A1646" t="s">
        <v>1250</v>
      </c>
      <c r="B1646" t="s">
        <v>1250</v>
      </c>
    </row>
    <row r="1647" spans="1:2">
      <c r="A1647" t="s">
        <v>7012</v>
      </c>
      <c r="B1647" t="s">
        <v>7012</v>
      </c>
    </row>
    <row r="1648" spans="1:2">
      <c r="A1648" t="s">
        <v>1033</v>
      </c>
      <c r="B1648" t="s">
        <v>1033</v>
      </c>
    </row>
    <row r="1649" spans="1:2">
      <c r="A1649" t="s">
        <v>1804</v>
      </c>
      <c r="B1649" t="s">
        <v>1804</v>
      </c>
    </row>
    <row r="1650" spans="1:2">
      <c r="A1650" t="s">
        <v>1251</v>
      </c>
      <c r="B1650" t="s">
        <v>1251</v>
      </c>
    </row>
    <row r="1651" spans="1:2">
      <c r="A1651" t="s">
        <v>8090</v>
      </c>
      <c r="B1651" t="s">
        <v>8090</v>
      </c>
    </row>
    <row r="1652" spans="1:2">
      <c r="A1652" t="s">
        <v>1252</v>
      </c>
      <c r="B1652" t="s">
        <v>1252</v>
      </c>
    </row>
    <row r="1653" spans="1:2">
      <c r="A1653" t="s">
        <v>1861</v>
      </c>
      <c r="B1653" t="s">
        <v>1861</v>
      </c>
    </row>
    <row r="1654" spans="1:2">
      <c r="A1654" t="s">
        <v>1253</v>
      </c>
      <c r="B1654" t="s">
        <v>1253</v>
      </c>
    </row>
    <row r="1655" spans="1:2">
      <c r="A1655" t="s">
        <v>1104</v>
      </c>
      <c r="B1655" t="s">
        <v>1104</v>
      </c>
    </row>
    <row r="1656" spans="1:2">
      <c r="A1656" t="s">
        <v>1159</v>
      </c>
      <c r="B1656" t="s">
        <v>1159</v>
      </c>
    </row>
    <row r="1657" spans="1:2">
      <c r="A1657" t="s">
        <v>860</v>
      </c>
      <c r="B1657" t="s">
        <v>860</v>
      </c>
    </row>
    <row r="1658" spans="1:2">
      <c r="A1658" t="s">
        <v>680</v>
      </c>
      <c r="B1658" t="s">
        <v>680</v>
      </c>
    </row>
    <row r="1659" spans="1:2">
      <c r="A1659" t="s">
        <v>1906</v>
      </c>
      <c r="B1659" t="s">
        <v>1906</v>
      </c>
    </row>
    <row r="1660" spans="1:2">
      <c r="A1660" t="s">
        <v>5338</v>
      </c>
      <c r="B1660" t="s">
        <v>5338</v>
      </c>
    </row>
    <row r="1661" spans="1:2">
      <c r="A1661" t="s">
        <v>1256</v>
      </c>
      <c r="B1661" t="s">
        <v>1256</v>
      </c>
    </row>
    <row r="1662" spans="1:2">
      <c r="A1662" t="s">
        <v>1255</v>
      </c>
      <c r="B1662" t="s">
        <v>1255</v>
      </c>
    </row>
    <row r="1663" spans="1:2">
      <c r="A1663" t="s">
        <v>1822</v>
      </c>
      <c r="B1663" t="s">
        <v>1822</v>
      </c>
    </row>
    <row r="1664" spans="1:2">
      <c r="A1664" t="s">
        <v>1035</v>
      </c>
      <c r="B1664" t="s">
        <v>1035</v>
      </c>
    </row>
    <row r="1665" spans="1:2">
      <c r="A1665" t="s">
        <v>1777</v>
      </c>
      <c r="B1665" t="s">
        <v>1777</v>
      </c>
    </row>
    <row r="1666" spans="1:2">
      <c r="A1666" t="s">
        <v>1815</v>
      </c>
      <c r="B1666" t="s">
        <v>1815</v>
      </c>
    </row>
    <row r="1667" spans="1:2">
      <c r="A1667" t="s">
        <v>1257</v>
      </c>
      <c r="B1667" t="s">
        <v>1257</v>
      </c>
    </row>
    <row r="1668" spans="1:2">
      <c r="A1668" t="s">
        <v>1160</v>
      </c>
      <c r="B1668" t="s">
        <v>1160</v>
      </c>
    </row>
    <row r="1669" spans="1:2">
      <c r="A1669" t="s">
        <v>1464</v>
      </c>
      <c r="B1669" t="s">
        <v>1464</v>
      </c>
    </row>
    <row r="1670" spans="1:2">
      <c r="A1670" t="s">
        <v>64</v>
      </c>
      <c r="B1670" t="s">
        <v>64</v>
      </c>
    </row>
    <row r="1671" spans="1:2">
      <c r="A1671" t="s">
        <v>1081</v>
      </c>
      <c r="B1671" t="s">
        <v>1081</v>
      </c>
    </row>
    <row r="1672" spans="1:2">
      <c r="A1672" t="s">
        <v>726</v>
      </c>
      <c r="B1672" t="s">
        <v>726</v>
      </c>
    </row>
    <row r="1673" spans="1:2">
      <c r="A1673" t="s">
        <v>1823</v>
      </c>
      <c r="B1673" t="s">
        <v>1823</v>
      </c>
    </row>
    <row r="1674" spans="1:2">
      <c r="A1674" t="s">
        <v>8194</v>
      </c>
      <c r="B1674" t="s">
        <v>8194</v>
      </c>
    </row>
    <row r="1675" spans="1:2">
      <c r="A1675" t="s">
        <v>1036</v>
      </c>
      <c r="B1675" t="s">
        <v>1036</v>
      </c>
    </row>
    <row r="1676" spans="1:2">
      <c r="A1676" t="s">
        <v>1848</v>
      </c>
      <c r="B1676" t="s">
        <v>1848</v>
      </c>
    </row>
    <row r="1677" spans="1:2">
      <c r="A1677" t="s">
        <v>1864</v>
      </c>
      <c r="B1677" t="s">
        <v>1864</v>
      </c>
    </row>
    <row r="1678" spans="1:2">
      <c r="A1678" t="s">
        <v>485</v>
      </c>
      <c r="B1678" t="s">
        <v>485</v>
      </c>
    </row>
    <row r="1679" spans="1:2">
      <c r="A1679" t="s">
        <v>1037</v>
      </c>
      <c r="B1679" t="s">
        <v>1037</v>
      </c>
    </row>
    <row r="1680" spans="1:2">
      <c r="A1680" t="s">
        <v>1258</v>
      </c>
      <c r="B1680" t="s">
        <v>1258</v>
      </c>
    </row>
    <row r="1681" spans="1:2">
      <c r="A1681" t="s">
        <v>1259</v>
      </c>
      <c r="B1681" t="s">
        <v>1259</v>
      </c>
    </row>
    <row r="1682" spans="1:2">
      <c r="A1682" t="s">
        <v>839</v>
      </c>
      <c r="B1682" t="s">
        <v>839</v>
      </c>
    </row>
    <row r="1683" spans="1:2">
      <c r="A1683" t="s">
        <v>715</v>
      </c>
      <c r="B1683" t="s">
        <v>715</v>
      </c>
    </row>
    <row r="1684" spans="1:2">
      <c r="A1684" t="s">
        <v>1859</v>
      </c>
      <c r="B1684" t="s">
        <v>1859</v>
      </c>
    </row>
    <row r="1685" spans="1:2">
      <c r="A1685" t="s">
        <v>1768</v>
      </c>
      <c r="B1685" t="s">
        <v>1768</v>
      </c>
    </row>
    <row r="1686" spans="1:2">
      <c r="A1686" t="s">
        <v>1388</v>
      </c>
      <c r="B1686" t="s">
        <v>1388</v>
      </c>
    </row>
    <row r="1687" spans="1:2">
      <c r="A1687" t="s">
        <v>1064</v>
      </c>
      <c r="B1687" t="s">
        <v>1064</v>
      </c>
    </row>
    <row r="1688" spans="1:2">
      <c r="A1688" t="s">
        <v>1260</v>
      </c>
      <c r="B1688" t="s">
        <v>1260</v>
      </c>
    </row>
    <row r="1689" spans="1:2">
      <c r="A1689" t="s">
        <v>1038</v>
      </c>
      <c r="B1689" t="s">
        <v>1038</v>
      </c>
    </row>
    <row r="1690" spans="1:2">
      <c r="A1690" t="s">
        <v>820</v>
      </c>
      <c r="B1690" t="s">
        <v>820</v>
      </c>
    </row>
    <row r="1691" spans="1:2">
      <c r="A1691" t="s">
        <v>8249</v>
      </c>
      <c r="B1691" t="s">
        <v>8249</v>
      </c>
    </row>
    <row r="1692" spans="1:2">
      <c r="A1692" t="s">
        <v>1132</v>
      </c>
      <c r="B1692" t="s">
        <v>1132</v>
      </c>
    </row>
    <row r="1693" spans="1:2">
      <c r="A1693" t="s">
        <v>1065</v>
      </c>
      <c r="B1693" t="s">
        <v>1065</v>
      </c>
    </row>
    <row r="1694" spans="1:2">
      <c r="A1694" t="s">
        <v>1105</v>
      </c>
      <c r="B1694" t="s">
        <v>1105</v>
      </c>
    </row>
    <row r="1695" spans="1:2">
      <c r="A1695" t="s">
        <v>951</v>
      </c>
      <c r="B1695" t="s">
        <v>951</v>
      </c>
    </row>
    <row r="1696" spans="1:2">
      <c r="A1696" t="s">
        <v>1262</v>
      </c>
      <c r="B1696" t="s">
        <v>1262</v>
      </c>
    </row>
    <row r="1697" spans="1:2">
      <c r="A1697" t="s">
        <v>8270</v>
      </c>
      <c r="B1697" t="s">
        <v>8270</v>
      </c>
    </row>
    <row r="1698" spans="1:2">
      <c r="A1698" t="s">
        <v>1263</v>
      </c>
      <c r="B1698" t="s">
        <v>1263</v>
      </c>
    </row>
    <row r="1699" spans="1:2">
      <c r="A1699" t="s">
        <v>1264</v>
      </c>
      <c r="B1699" t="s">
        <v>1264</v>
      </c>
    </row>
    <row r="1700" spans="1:2">
      <c r="A1700" t="s">
        <v>1265</v>
      </c>
      <c r="B1700" t="s">
        <v>1265</v>
      </c>
    </row>
    <row r="1701" spans="1:2">
      <c r="A1701" t="s">
        <v>1039</v>
      </c>
      <c r="B1701" t="s">
        <v>1039</v>
      </c>
    </row>
    <row r="1702" spans="1:2">
      <c r="A1702" t="s">
        <v>1266</v>
      </c>
      <c r="B1702" t="s">
        <v>1266</v>
      </c>
    </row>
    <row r="1703" spans="1:2">
      <c r="A1703" t="s">
        <v>1267</v>
      </c>
      <c r="B1703" t="s">
        <v>1267</v>
      </c>
    </row>
    <row r="1704" spans="1:2">
      <c r="A1704" t="s">
        <v>835</v>
      </c>
      <c r="B1704" t="s">
        <v>835</v>
      </c>
    </row>
    <row r="1705" spans="1:2">
      <c r="A1705" t="s">
        <v>1268</v>
      </c>
      <c r="B1705" t="s">
        <v>1268</v>
      </c>
    </row>
    <row r="1706" spans="1:2">
      <c r="A1706" t="s">
        <v>1269</v>
      </c>
      <c r="B1706" t="s">
        <v>1269</v>
      </c>
    </row>
    <row r="1707" spans="1:2">
      <c r="A1707" t="s">
        <v>1270</v>
      </c>
      <c r="B1707" t="s">
        <v>1270</v>
      </c>
    </row>
    <row r="1708" spans="1:2">
      <c r="A1708" t="s">
        <v>1271</v>
      </c>
      <c r="B1708" t="s">
        <v>1271</v>
      </c>
    </row>
    <row r="1709" spans="1:2">
      <c r="A1709" t="s">
        <v>1794</v>
      </c>
      <c r="B1709" t="s">
        <v>1794</v>
      </c>
    </row>
    <row r="1710" spans="1:2">
      <c r="A1710" t="s">
        <v>1161</v>
      </c>
      <c r="B1710" t="s">
        <v>1161</v>
      </c>
    </row>
    <row r="1711" spans="1:2">
      <c r="A1711" t="s">
        <v>1841</v>
      </c>
      <c r="B1711" t="s">
        <v>1841</v>
      </c>
    </row>
    <row r="1712" spans="1:2">
      <c r="A1712" t="s">
        <v>76</v>
      </c>
      <c r="B1712" t="s">
        <v>76</v>
      </c>
    </row>
    <row r="1713" spans="1:2">
      <c r="A1713" t="s">
        <v>1040</v>
      </c>
      <c r="B1713" t="s">
        <v>1040</v>
      </c>
    </row>
    <row r="1714" spans="1:2">
      <c r="A1714" t="s">
        <v>1272</v>
      </c>
      <c r="B1714" t="s">
        <v>1272</v>
      </c>
    </row>
    <row r="1715" spans="1:2">
      <c r="A1715" t="s">
        <v>1066</v>
      </c>
      <c r="B1715" t="s">
        <v>1066</v>
      </c>
    </row>
    <row r="1716" spans="1:2">
      <c r="A1716" t="s">
        <v>6996</v>
      </c>
      <c r="B1716" t="s">
        <v>6996</v>
      </c>
    </row>
    <row r="1717" spans="1:2">
      <c r="A1717" t="s">
        <v>1041</v>
      </c>
      <c r="B1717" t="s">
        <v>1041</v>
      </c>
    </row>
    <row r="1718" spans="1:2">
      <c r="A1718" t="s">
        <v>5564</v>
      </c>
      <c r="B1718" t="s">
        <v>5564</v>
      </c>
    </row>
    <row r="1719" spans="1:2">
      <c r="A1719" t="s">
        <v>1926</v>
      </c>
      <c r="B1719" t="s">
        <v>1926</v>
      </c>
    </row>
    <row r="1720" spans="1:2">
      <c r="A1720" t="s">
        <v>1042</v>
      </c>
      <c r="B1720" t="s">
        <v>1042</v>
      </c>
    </row>
    <row r="1721" spans="1:2">
      <c r="A1721" t="s">
        <v>1162</v>
      </c>
      <c r="B1721" t="s">
        <v>1162</v>
      </c>
    </row>
    <row r="1722" spans="1:2">
      <c r="A1722" t="s">
        <v>962</v>
      </c>
      <c r="B1722" t="s">
        <v>962</v>
      </c>
    </row>
    <row r="1723" spans="1:2">
      <c r="A1723" t="s">
        <v>1043</v>
      </c>
      <c r="B1723" t="s">
        <v>1043</v>
      </c>
    </row>
    <row r="1724" spans="1:2">
      <c r="A1724" t="s">
        <v>1273</v>
      </c>
      <c r="B1724" t="s">
        <v>1273</v>
      </c>
    </row>
    <row r="1725" spans="1:2">
      <c r="A1725" t="s">
        <v>1782</v>
      </c>
      <c r="B1725" t="s">
        <v>1782</v>
      </c>
    </row>
    <row r="1726" spans="1:2">
      <c r="A1726" t="s">
        <v>1163</v>
      </c>
      <c r="B1726" t="s">
        <v>1163</v>
      </c>
    </row>
    <row r="1727" spans="1:2">
      <c r="A1727" t="s">
        <v>1836</v>
      </c>
      <c r="B1727" t="s">
        <v>1836</v>
      </c>
    </row>
    <row r="1728" spans="1:2">
      <c r="A1728" t="s">
        <v>1164</v>
      </c>
      <c r="B1728" t="s">
        <v>1164</v>
      </c>
    </row>
    <row r="1729" spans="1:2">
      <c r="A1729" t="s">
        <v>844</v>
      </c>
      <c r="B1729" t="s">
        <v>844</v>
      </c>
    </row>
    <row r="1730" spans="1:2">
      <c r="A1730" t="s">
        <v>1165</v>
      </c>
      <c r="B1730" t="s">
        <v>1165</v>
      </c>
    </row>
    <row r="1731" spans="1:2">
      <c r="A1731" t="s">
        <v>1044</v>
      </c>
      <c r="B1731" t="s">
        <v>1044</v>
      </c>
    </row>
    <row r="1732" spans="1:2">
      <c r="A1732" t="s">
        <v>1274</v>
      </c>
      <c r="B1732" t="s">
        <v>1274</v>
      </c>
    </row>
    <row r="1733" spans="1:2">
      <c r="A1733" t="s">
        <v>1022</v>
      </c>
      <c r="B1733" t="s">
        <v>1022</v>
      </c>
    </row>
    <row r="1734" spans="1:2">
      <c r="A1734" t="s">
        <v>1082</v>
      </c>
      <c r="B1734" t="s">
        <v>1082</v>
      </c>
    </row>
    <row r="1735" spans="1:2">
      <c r="A1735" t="s">
        <v>8365</v>
      </c>
      <c r="B1735" t="s">
        <v>8365</v>
      </c>
    </row>
    <row r="1736" spans="1:2">
      <c r="A1736" t="s">
        <v>1275</v>
      </c>
      <c r="B1736" t="s">
        <v>1275</v>
      </c>
    </row>
    <row r="1737" spans="1:2">
      <c r="A1737" t="s">
        <v>1276</v>
      </c>
      <c r="B1737" t="s">
        <v>1276</v>
      </c>
    </row>
    <row r="1738" spans="1:2">
      <c r="A1738" t="s">
        <v>1045</v>
      </c>
      <c r="B1738" t="s">
        <v>1045</v>
      </c>
    </row>
    <row r="1739" spans="1:2">
      <c r="A1739" t="s">
        <v>1793</v>
      </c>
      <c r="B1739" t="s">
        <v>1793</v>
      </c>
    </row>
    <row r="1740" spans="1:2">
      <c r="A1740" t="s">
        <v>837</v>
      </c>
      <c r="B1740" t="s">
        <v>837</v>
      </c>
    </row>
    <row r="1741" spans="1:2">
      <c r="A1741" t="s">
        <v>1277</v>
      </c>
      <c r="B1741" t="s">
        <v>1277</v>
      </c>
    </row>
    <row r="1742" spans="1:2">
      <c r="A1742" t="s">
        <v>1887</v>
      </c>
      <c r="B1742" t="s">
        <v>1887</v>
      </c>
    </row>
    <row r="1743" spans="1:2">
      <c r="A1743" t="s">
        <v>1067</v>
      </c>
      <c r="B1743" t="s">
        <v>1067</v>
      </c>
    </row>
    <row r="1744" spans="1:2">
      <c r="A1744" t="s">
        <v>1068</v>
      </c>
      <c r="B1744" t="s">
        <v>1068</v>
      </c>
    </row>
    <row r="1745" spans="1:2">
      <c r="A1745" t="s">
        <v>1134</v>
      </c>
      <c r="B1745" t="s">
        <v>1134</v>
      </c>
    </row>
    <row r="1746" spans="1:2">
      <c r="A1746" t="s">
        <v>1278</v>
      </c>
      <c r="B1746" t="s">
        <v>1278</v>
      </c>
    </row>
    <row r="1747" spans="1:2">
      <c r="A1747" t="s">
        <v>1790</v>
      </c>
      <c r="B1747" t="s">
        <v>1790</v>
      </c>
    </row>
    <row r="1748" spans="1:2">
      <c r="A1748" t="s">
        <v>1772</v>
      </c>
      <c r="B1748" t="s">
        <v>1772</v>
      </c>
    </row>
    <row r="1749" spans="1:2">
      <c r="A1749" t="s">
        <v>1773</v>
      </c>
      <c r="B1749" t="s">
        <v>1773</v>
      </c>
    </row>
    <row r="1750" spans="1:2">
      <c r="A1750" t="s">
        <v>1279</v>
      </c>
      <c r="B1750" t="s">
        <v>1279</v>
      </c>
    </row>
    <row r="1751" spans="1:2">
      <c r="A1751" t="s">
        <v>413</v>
      </c>
      <c r="B1751" t="s">
        <v>413</v>
      </c>
    </row>
    <row r="1752" spans="1:2">
      <c r="A1752" t="s">
        <v>1166</v>
      </c>
      <c r="B1752" t="s">
        <v>1166</v>
      </c>
    </row>
    <row r="1753" spans="1:2">
      <c r="A1753" t="s">
        <v>1046</v>
      </c>
      <c r="B1753" t="s">
        <v>1046</v>
      </c>
    </row>
    <row r="1754" spans="1:2">
      <c r="A1754" t="s">
        <v>1891</v>
      </c>
      <c r="B1754" t="s">
        <v>1891</v>
      </c>
    </row>
    <row r="1755" spans="1:2">
      <c r="A1755" t="s">
        <v>1280</v>
      </c>
      <c r="B1755" t="s">
        <v>1280</v>
      </c>
    </row>
    <row r="1756" spans="1:2">
      <c r="A1756" t="s">
        <v>1758</v>
      </c>
      <c r="B1756" t="s">
        <v>1758</v>
      </c>
    </row>
    <row r="1757" spans="1:2">
      <c r="A1757" t="s">
        <v>1047</v>
      </c>
      <c r="B1757" t="s">
        <v>1047</v>
      </c>
    </row>
    <row r="1758" spans="1:2">
      <c r="A1758" t="s">
        <v>1106</v>
      </c>
      <c r="B1758" t="s">
        <v>1106</v>
      </c>
    </row>
    <row r="1759" spans="1:2">
      <c r="A1759" t="s">
        <v>969</v>
      </c>
      <c r="B1759" t="s">
        <v>969</v>
      </c>
    </row>
    <row r="1760" spans="1:2">
      <c r="A1760" t="s">
        <v>1907</v>
      </c>
      <c r="B1760" t="s">
        <v>1907</v>
      </c>
    </row>
    <row r="1761" spans="1:2">
      <c r="A1761" t="s">
        <v>1281</v>
      </c>
      <c r="B1761" t="s">
        <v>1281</v>
      </c>
    </row>
    <row r="1762" spans="1:2">
      <c r="A1762" t="s">
        <v>1048</v>
      </c>
      <c r="B1762" t="s">
        <v>1048</v>
      </c>
    </row>
    <row r="1763" spans="1:2">
      <c r="A1763" t="s">
        <v>7003</v>
      </c>
      <c r="B1763" t="s">
        <v>7003</v>
      </c>
    </row>
    <row r="1764" spans="1:2">
      <c r="A1764" t="s">
        <v>93</v>
      </c>
      <c r="B1764" t="s">
        <v>93</v>
      </c>
    </row>
    <row r="1765" spans="1:2">
      <c r="A1765" t="s">
        <v>1282</v>
      </c>
      <c r="B1765" t="s">
        <v>1282</v>
      </c>
    </row>
    <row r="1766" spans="1:2">
      <c r="A1766" t="s">
        <v>1283</v>
      </c>
      <c r="B1766" t="s">
        <v>1283</v>
      </c>
    </row>
    <row r="1767" spans="1:2">
      <c r="A1767" t="s">
        <v>1284</v>
      </c>
      <c r="B1767" t="s">
        <v>1284</v>
      </c>
    </row>
    <row r="1768" spans="1:2">
      <c r="A1768" t="s">
        <v>1285</v>
      </c>
      <c r="B1768" t="s">
        <v>1285</v>
      </c>
    </row>
    <row r="1769" spans="1:2">
      <c r="A1769" t="s">
        <v>1807</v>
      </c>
      <c r="B1769" t="s">
        <v>1807</v>
      </c>
    </row>
    <row r="1770" spans="1:2">
      <c r="A1770" t="s">
        <v>1049</v>
      </c>
      <c r="B1770" t="s">
        <v>1049</v>
      </c>
    </row>
    <row r="1771" spans="1:2">
      <c r="A1771" t="s">
        <v>6999</v>
      </c>
      <c r="B1771" t="s">
        <v>6999</v>
      </c>
    </row>
    <row r="1772" spans="1:2">
      <c r="A1772" t="s">
        <v>1889</v>
      </c>
      <c r="B1772" t="s">
        <v>1889</v>
      </c>
    </row>
    <row r="1773" spans="1:2">
      <c r="A1773" t="s">
        <v>1796</v>
      </c>
      <c r="B1773" t="s">
        <v>1796</v>
      </c>
    </row>
    <row r="1774" spans="1:2">
      <c r="A1774" t="s">
        <v>816</v>
      </c>
      <c r="B1774" t="s">
        <v>816</v>
      </c>
    </row>
    <row r="1775" spans="1:2">
      <c r="A1775" t="s">
        <v>1167</v>
      </c>
      <c r="B1775" t="s">
        <v>1167</v>
      </c>
    </row>
    <row r="1776" spans="1:2">
      <c r="A1776" t="s">
        <v>96</v>
      </c>
      <c r="B1776" t="s">
        <v>96</v>
      </c>
    </row>
    <row r="1777" spans="1:2">
      <c r="A1777" t="s">
        <v>633</v>
      </c>
      <c r="B1777" t="s">
        <v>633</v>
      </c>
    </row>
    <row r="1778" spans="1:2">
      <c r="A1778" t="s">
        <v>7196</v>
      </c>
      <c r="B1778" t="s">
        <v>7196</v>
      </c>
    </row>
    <row r="1779" spans="1:2">
      <c r="A1779" t="s">
        <v>1286</v>
      </c>
      <c r="B1779" t="s">
        <v>1286</v>
      </c>
    </row>
    <row r="1780" spans="1:2">
      <c r="A1780" t="s">
        <v>1783</v>
      </c>
      <c r="B1780" t="s">
        <v>1783</v>
      </c>
    </row>
    <row r="1781" spans="1:2">
      <c r="A1781" t="s">
        <v>1135</v>
      </c>
      <c r="B1781" t="s">
        <v>1135</v>
      </c>
    </row>
    <row r="1782" spans="1:2">
      <c r="A1782" t="s">
        <v>1820</v>
      </c>
      <c r="B1782" t="s">
        <v>1820</v>
      </c>
    </row>
    <row r="1783" spans="1:2">
      <c r="A1783" t="s">
        <v>1287</v>
      </c>
      <c r="B1783" t="s">
        <v>1287</v>
      </c>
    </row>
    <row r="1784" spans="1:2">
      <c r="A1784" t="s">
        <v>1071</v>
      </c>
      <c r="B1784" t="s">
        <v>1071</v>
      </c>
    </row>
    <row r="1785" spans="1:2">
      <c r="A1785" t="s">
        <v>1050</v>
      </c>
      <c r="B1785" t="s">
        <v>1050</v>
      </c>
    </row>
    <row r="1786" spans="1:2">
      <c r="A1786" t="s">
        <v>1878</v>
      </c>
      <c r="B1786" t="s">
        <v>1878</v>
      </c>
    </row>
    <row r="1787" spans="1:2">
      <c r="A1787" t="s">
        <v>1756</v>
      </c>
      <c r="B1787" t="s">
        <v>1756</v>
      </c>
    </row>
    <row r="1788" spans="1:2">
      <c r="A1788" t="s">
        <v>1288</v>
      </c>
      <c r="B1788" t="s">
        <v>1288</v>
      </c>
    </row>
    <row r="1789" spans="1:2">
      <c r="A1789" t="s">
        <v>102</v>
      </c>
      <c r="B1789" t="s">
        <v>102</v>
      </c>
    </row>
    <row r="1790" spans="1:2">
      <c r="A1790" t="s">
        <v>1168</v>
      </c>
      <c r="B1790" t="s">
        <v>1168</v>
      </c>
    </row>
    <row r="1791" spans="1:2">
      <c r="A1791" t="s">
        <v>1107</v>
      </c>
      <c r="B1791" t="s">
        <v>1107</v>
      </c>
    </row>
    <row r="1792" spans="1:2">
      <c r="A1792" t="s">
        <v>1868</v>
      </c>
      <c r="B1792" t="s">
        <v>1868</v>
      </c>
    </row>
    <row r="1793" spans="1:2">
      <c r="A1793" t="s">
        <v>1169</v>
      </c>
      <c r="B1793" t="s">
        <v>1169</v>
      </c>
    </row>
    <row r="1794" spans="1:2">
      <c r="A1794" t="s">
        <v>1051</v>
      </c>
      <c r="B1794" t="s">
        <v>1051</v>
      </c>
    </row>
    <row r="1795" spans="1:2">
      <c r="A1795" t="s">
        <v>1108</v>
      </c>
      <c r="B1795" t="s">
        <v>1108</v>
      </c>
    </row>
    <row r="1796" spans="1:2">
      <c r="A1796" t="s">
        <v>1289</v>
      </c>
      <c r="B1796" t="s">
        <v>1289</v>
      </c>
    </row>
    <row r="1797" spans="1:2">
      <c r="A1797" t="s">
        <v>1172</v>
      </c>
      <c r="B1797" t="s">
        <v>1172</v>
      </c>
    </row>
    <row r="1798" spans="1:2">
      <c r="A1798" t="s">
        <v>1173</v>
      </c>
      <c r="B1798" t="s">
        <v>1173</v>
      </c>
    </row>
    <row r="1799" spans="1:2">
      <c r="A1799" t="s">
        <v>1109</v>
      </c>
      <c r="B1799" t="s">
        <v>1109</v>
      </c>
    </row>
    <row r="1800" spans="1:2">
      <c r="A1800" t="s">
        <v>1072</v>
      </c>
      <c r="B1800" t="s">
        <v>1072</v>
      </c>
    </row>
    <row r="1801" spans="1:2">
      <c r="A1801" t="s">
        <v>1769</v>
      </c>
      <c r="B1801" t="s">
        <v>1769</v>
      </c>
    </row>
    <row r="1802" spans="1:2">
      <c r="A1802" t="s">
        <v>1010</v>
      </c>
      <c r="B1802" t="s">
        <v>1010</v>
      </c>
    </row>
    <row r="1803" spans="1:2">
      <c r="A1803" t="s">
        <v>818</v>
      </c>
      <c r="B1803" t="s">
        <v>818</v>
      </c>
    </row>
    <row r="1804" spans="1:2">
      <c r="A1804" t="s">
        <v>1053</v>
      </c>
      <c r="B1804" t="s">
        <v>1053</v>
      </c>
    </row>
    <row r="1805" spans="1:2">
      <c r="A1805" t="s">
        <v>1073</v>
      </c>
      <c r="B1805" t="s">
        <v>1073</v>
      </c>
    </row>
    <row r="1806" spans="1:2">
      <c r="A1806" t="s">
        <v>1761</v>
      </c>
      <c r="B1806" t="s">
        <v>1761</v>
      </c>
    </row>
    <row r="1807" spans="1:2">
      <c r="A1807" t="s">
        <v>1054</v>
      </c>
      <c r="B1807" t="s">
        <v>1054</v>
      </c>
    </row>
    <row r="1808" spans="1:2">
      <c r="A1808" t="s">
        <v>1929</v>
      </c>
      <c r="B1808" t="s">
        <v>1929</v>
      </c>
    </row>
    <row r="1809" spans="1:2">
      <c r="A1809" t="s">
        <v>1290</v>
      </c>
      <c r="B1809" t="s">
        <v>1290</v>
      </c>
    </row>
    <row r="1810" spans="1:2">
      <c r="A1810" t="s">
        <v>1291</v>
      </c>
      <c r="B1810" t="s">
        <v>1291</v>
      </c>
    </row>
    <row r="1811" spans="1:2">
      <c r="A1811" t="s">
        <v>1292</v>
      </c>
      <c r="B1811" t="s">
        <v>1292</v>
      </c>
    </row>
    <row r="1812" spans="1:2">
      <c r="A1812" t="s">
        <v>1293</v>
      </c>
      <c r="B1812" t="s">
        <v>1293</v>
      </c>
    </row>
    <row r="1813" spans="1:2">
      <c r="A1813" t="s">
        <v>1294</v>
      </c>
      <c r="B1813" t="s">
        <v>1294</v>
      </c>
    </row>
    <row r="1814" spans="1:2">
      <c r="A1814" t="s">
        <v>1295</v>
      </c>
      <c r="B1814" t="s">
        <v>1295</v>
      </c>
    </row>
    <row r="1815" spans="1:2">
      <c r="A1815" t="s">
        <v>8641</v>
      </c>
      <c r="B1815" t="s">
        <v>8641</v>
      </c>
    </row>
    <row r="1816" spans="1:2">
      <c r="A1816" t="s">
        <v>981</v>
      </c>
      <c r="B1816" t="s">
        <v>981</v>
      </c>
    </row>
    <row r="1817" spans="1:2">
      <c r="A1817" t="s">
        <v>1296</v>
      </c>
      <c r="B1817" t="s">
        <v>1296</v>
      </c>
    </row>
    <row r="1818" spans="1:2">
      <c r="A1818" t="s">
        <v>1297</v>
      </c>
      <c r="B1818" t="s">
        <v>1297</v>
      </c>
    </row>
    <row r="1819" spans="1:2">
      <c r="A1819" t="s">
        <v>8670</v>
      </c>
      <c r="B1819" t="s">
        <v>8670</v>
      </c>
    </row>
    <row r="1820" spans="1:2">
      <c r="A1820" t="s">
        <v>8756</v>
      </c>
      <c r="B1820" t="s">
        <v>8756</v>
      </c>
    </row>
    <row r="1821" spans="1:2">
      <c r="A1821" t="s">
        <v>1298</v>
      </c>
      <c r="B1821" t="s">
        <v>1298</v>
      </c>
    </row>
    <row r="1822" spans="1:2">
      <c r="A1822" t="s">
        <v>1299</v>
      </c>
      <c r="B1822" t="s">
        <v>1299</v>
      </c>
    </row>
    <row r="1823" spans="1:2">
      <c r="A1823" t="s">
        <v>651</v>
      </c>
      <c r="B1823" t="s">
        <v>651</v>
      </c>
    </row>
    <row r="1824" spans="1:2">
      <c r="A1824" t="s">
        <v>8694</v>
      </c>
      <c r="B1824" t="s">
        <v>8694</v>
      </c>
    </row>
    <row r="1825" spans="1:2">
      <c r="A1825" t="s">
        <v>1074</v>
      </c>
      <c r="B1825" t="s">
        <v>1074</v>
      </c>
    </row>
    <row r="1826" spans="1:2">
      <c r="A1826" t="s">
        <v>1301</v>
      </c>
      <c r="B1826" t="s">
        <v>1301</v>
      </c>
    </row>
    <row r="1827" spans="1:2">
      <c r="A1827" t="s">
        <v>5168</v>
      </c>
      <c r="B1827" t="s">
        <v>5168</v>
      </c>
    </row>
    <row r="1828" spans="1:2">
      <c r="A1828" t="s">
        <v>115</v>
      </c>
      <c r="B1828" t="s">
        <v>115</v>
      </c>
    </row>
    <row r="1829" spans="1:2">
      <c r="A1829" t="s">
        <v>1055</v>
      </c>
      <c r="B1829" t="s">
        <v>1055</v>
      </c>
    </row>
    <row r="1830" spans="1:2">
      <c r="A1830" t="s">
        <v>1174</v>
      </c>
      <c r="B1830" t="s">
        <v>1174</v>
      </c>
    </row>
    <row r="1831" spans="1:2">
      <c r="A1831" t="s">
        <v>1391</v>
      </c>
      <c r="B1831" t="s">
        <v>1391</v>
      </c>
    </row>
    <row r="1832" spans="1:2">
      <c r="A1832" t="s">
        <v>1076</v>
      </c>
      <c r="B1832" t="s">
        <v>1076</v>
      </c>
    </row>
    <row r="1833" spans="1:2">
      <c r="A1833" t="s">
        <v>1300</v>
      </c>
      <c r="B1833" t="s">
        <v>1300</v>
      </c>
    </row>
    <row r="1834" spans="1:2">
      <c r="A1834" t="s">
        <v>8826</v>
      </c>
      <c r="B1834" t="s">
        <v>8826</v>
      </c>
    </row>
    <row r="1835" spans="1:2">
      <c r="A1835" t="s">
        <v>1077</v>
      </c>
      <c r="B1835" t="s">
        <v>1077</v>
      </c>
    </row>
    <row r="1836" spans="1:2">
      <c r="A1836" t="s">
        <v>1056</v>
      </c>
      <c r="B1836" t="s">
        <v>1056</v>
      </c>
    </row>
    <row r="1837" spans="1:2">
      <c r="A1837" t="s">
        <v>1090</v>
      </c>
      <c r="B1837" t="s">
        <v>1090</v>
      </c>
    </row>
    <row r="1838" spans="1:2">
      <c r="A1838" t="s">
        <v>1826</v>
      </c>
      <c r="B1838" t="s">
        <v>1826</v>
      </c>
    </row>
    <row r="1839" spans="1:2">
      <c r="A1839" t="s">
        <v>1302</v>
      </c>
      <c r="B1839" t="s">
        <v>1302</v>
      </c>
    </row>
    <row r="1840" spans="1:2">
      <c r="A1840" t="s">
        <v>1886</v>
      </c>
      <c r="B1840" t="s">
        <v>1886</v>
      </c>
    </row>
    <row r="1841" spans="1:2">
      <c r="A1841" t="s">
        <v>118</v>
      </c>
      <c r="B1841" t="s">
        <v>118</v>
      </c>
    </row>
    <row r="1842" spans="1:2">
      <c r="A1842" t="s">
        <v>1789</v>
      </c>
      <c r="B1842" t="s">
        <v>1789</v>
      </c>
    </row>
    <row r="1843" spans="1:2">
      <c r="A1843" t="s">
        <v>813</v>
      </c>
      <c r="B1843" t="s">
        <v>813</v>
      </c>
    </row>
    <row r="1844" spans="1:2">
      <c r="A1844" t="s">
        <v>1303</v>
      </c>
      <c r="B1844" t="s">
        <v>1303</v>
      </c>
    </row>
    <row r="1845" spans="1:2">
      <c r="A1845" t="s">
        <v>1304</v>
      </c>
      <c r="B1845" t="s">
        <v>1304</v>
      </c>
    </row>
    <row r="1846" spans="1:2">
      <c r="A1846" t="s">
        <v>119</v>
      </c>
      <c r="B1846" t="s">
        <v>119</v>
      </c>
    </row>
    <row r="1847" spans="1:2">
      <c r="A1847" t="s">
        <v>1001</v>
      </c>
      <c r="B1847" t="s">
        <v>1001</v>
      </c>
    </row>
    <row r="1848" spans="1:2">
      <c r="A1848" t="s">
        <v>8859</v>
      </c>
      <c r="B1848" t="s">
        <v>8859</v>
      </c>
    </row>
    <row r="1849" spans="1:2">
      <c r="A1849" t="s">
        <v>1058</v>
      </c>
      <c r="B1849" t="s">
        <v>1058</v>
      </c>
    </row>
    <row r="1850" spans="1:2">
      <c r="A1850" t="s">
        <v>1306</v>
      </c>
      <c r="B1850" t="s">
        <v>1306</v>
      </c>
    </row>
    <row r="1851" spans="1:2">
      <c r="A1851" t="s">
        <v>7021</v>
      </c>
      <c r="B1851" t="s">
        <v>7021</v>
      </c>
    </row>
    <row r="1852" spans="1:2">
      <c r="A1852" t="s">
        <v>1078</v>
      </c>
      <c r="B1852" t="s">
        <v>1078</v>
      </c>
    </row>
    <row r="1853" spans="1:2">
      <c r="A1853" t="s">
        <v>1875</v>
      </c>
      <c r="B1853" t="s">
        <v>1875</v>
      </c>
    </row>
    <row r="1854" spans="1:2">
      <c r="A1854" t="s">
        <v>430</v>
      </c>
      <c r="B1854" t="s">
        <v>430</v>
      </c>
    </row>
    <row r="1855" spans="1:2">
      <c r="A1855" t="s">
        <v>1307</v>
      </c>
      <c r="B1855" t="s">
        <v>1307</v>
      </c>
    </row>
    <row r="1856" spans="1:2">
      <c r="A1856" t="s">
        <v>1308</v>
      </c>
      <c r="B1856" t="s">
        <v>1308</v>
      </c>
    </row>
    <row r="1857" spans="1:2">
      <c r="A1857" t="s">
        <v>838</v>
      </c>
      <c r="B1857" t="s">
        <v>838</v>
      </c>
    </row>
    <row r="1858" spans="1:2">
      <c r="A1858" t="s">
        <v>1309</v>
      </c>
      <c r="B1858" t="s">
        <v>1309</v>
      </c>
    </row>
    <row r="1859" spans="1:2">
      <c r="A1859" t="s">
        <v>1310</v>
      </c>
      <c r="B1859" t="s">
        <v>1310</v>
      </c>
    </row>
    <row r="1860" spans="1:2">
      <c r="A1860" t="s">
        <v>7010</v>
      </c>
      <c r="B1860" t="s">
        <v>7010</v>
      </c>
    </row>
    <row r="1861" spans="1:2">
      <c r="A1861" t="s">
        <v>1311</v>
      </c>
      <c r="B1861" t="s">
        <v>1311</v>
      </c>
    </row>
    <row r="1862" spans="1:2">
      <c r="A1862" t="s">
        <v>1110</v>
      </c>
      <c r="B1862" t="s">
        <v>1110</v>
      </c>
    </row>
    <row r="1863" spans="1:2">
      <c r="A1863" t="s">
        <v>808</v>
      </c>
      <c r="B1863" t="s">
        <v>808</v>
      </c>
    </row>
    <row r="1864" spans="1:2">
      <c r="A1864" t="s">
        <v>1312</v>
      </c>
      <c r="B1864" t="s">
        <v>1312</v>
      </c>
    </row>
    <row r="1865" spans="1:2">
      <c r="A1865" t="s">
        <v>1177</v>
      </c>
      <c r="B1865" t="s">
        <v>1177</v>
      </c>
    </row>
    <row r="1866" spans="1:2">
      <c r="A1866" t="s">
        <v>1791</v>
      </c>
      <c r="B1866" t="s">
        <v>1791</v>
      </c>
    </row>
    <row r="1867" spans="1:2">
      <c r="A1867" t="s">
        <v>1827</v>
      </c>
      <c r="B1867" t="s">
        <v>1827</v>
      </c>
    </row>
    <row r="1868" spans="1:2">
      <c r="A1868" t="s">
        <v>1313</v>
      </c>
      <c r="B1868" t="s">
        <v>1313</v>
      </c>
    </row>
    <row r="1869" spans="1:2">
      <c r="A1869" t="s">
        <v>1178</v>
      </c>
      <c r="B1869" t="s">
        <v>1178</v>
      </c>
    </row>
    <row r="1870" spans="1:2">
      <c r="A1870" t="s">
        <v>1314</v>
      </c>
      <c r="B1870" t="s">
        <v>1314</v>
      </c>
    </row>
    <row r="1871" spans="1:2">
      <c r="A1871" t="s">
        <v>1179</v>
      </c>
      <c r="B1871" t="s">
        <v>1179</v>
      </c>
    </row>
    <row r="1872" spans="1:2">
      <c r="A1872" t="s">
        <v>1315</v>
      </c>
      <c r="B1872" t="s">
        <v>1315</v>
      </c>
    </row>
    <row r="1873" spans="1:2">
      <c r="A1873" t="s">
        <v>1316</v>
      </c>
      <c r="B1873" t="s">
        <v>1316</v>
      </c>
    </row>
    <row r="1874" spans="1:2">
      <c r="A1874" t="s">
        <v>1112</v>
      </c>
      <c r="B1874" t="s">
        <v>1112</v>
      </c>
    </row>
    <row r="1875" spans="1:2">
      <c r="A1875" t="s">
        <v>9025</v>
      </c>
      <c r="B1875" t="s">
        <v>9025</v>
      </c>
    </row>
    <row r="1876" spans="1:2">
      <c r="A1876" t="s">
        <v>1113</v>
      </c>
      <c r="B1876" t="s">
        <v>1113</v>
      </c>
    </row>
    <row r="1877" spans="1:2">
      <c r="A1877" t="s">
        <v>1183</v>
      </c>
      <c r="B1877" t="s">
        <v>1183</v>
      </c>
    </row>
    <row r="1878" spans="1:2">
      <c r="A1878" t="s">
        <v>1180</v>
      </c>
      <c r="B1878" t="s">
        <v>1180</v>
      </c>
    </row>
    <row r="1879" spans="1:2">
      <c r="A1879" t="s">
        <v>1181</v>
      </c>
      <c r="B1879" t="s">
        <v>1181</v>
      </c>
    </row>
    <row r="1880" spans="1:2">
      <c r="A1880" t="s">
        <v>1182</v>
      </c>
      <c r="B1880" t="s">
        <v>1182</v>
      </c>
    </row>
    <row r="1881" spans="1:2">
      <c r="A1881" t="s">
        <v>9033</v>
      </c>
      <c r="B1881" t="s">
        <v>9033</v>
      </c>
    </row>
    <row r="1882" spans="1:2">
      <c r="A1882" t="s">
        <v>836</v>
      </c>
      <c r="B1882" t="s">
        <v>836</v>
      </c>
    </row>
    <row r="1883" spans="1:2">
      <c r="A1883" t="s">
        <v>1317</v>
      </c>
      <c r="B1883" t="s">
        <v>1317</v>
      </c>
    </row>
    <row r="1884" spans="1:2">
      <c r="A1884" t="s">
        <v>1184</v>
      </c>
      <c r="B1884" t="s">
        <v>1184</v>
      </c>
    </row>
    <row r="1885" spans="1:2">
      <c r="A1885" t="s">
        <v>1185</v>
      </c>
      <c r="B1885" t="s">
        <v>1185</v>
      </c>
    </row>
    <row r="1886" spans="1:2">
      <c r="A1886" t="s">
        <v>9047</v>
      </c>
      <c r="B1886" t="s">
        <v>9047</v>
      </c>
    </row>
    <row r="1887" spans="1:2">
      <c r="A1887" t="s">
        <v>1114</v>
      </c>
      <c r="B1887" t="s">
        <v>1114</v>
      </c>
    </row>
    <row r="1888" spans="1:2">
      <c r="A1888" t="s">
        <v>1319</v>
      </c>
      <c r="B1888" t="s">
        <v>1319</v>
      </c>
    </row>
    <row r="1889" spans="1:2">
      <c r="A1889" t="s">
        <v>1186</v>
      </c>
      <c r="B1889" t="s">
        <v>1186</v>
      </c>
    </row>
    <row r="1890" spans="1:2">
      <c r="A1890" t="s">
        <v>1320</v>
      </c>
      <c r="B1890" t="s">
        <v>1320</v>
      </c>
    </row>
    <row r="1891" spans="1:2">
      <c r="A1891" t="s">
        <v>1321</v>
      </c>
      <c r="B1891" t="s">
        <v>1321</v>
      </c>
    </row>
    <row r="1892" spans="1:2">
      <c r="A1892" t="s">
        <v>1322</v>
      </c>
      <c r="B1892" t="s">
        <v>1322</v>
      </c>
    </row>
    <row r="1893" spans="1:2">
      <c r="A1893" t="s">
        <v>1784</v>
      </c>
      <c r="B1893" t="s">
        <v>1784</v>
      </c>
    </row>
    <row r="1894" spans="1:2">
      <c r="A1894" t="s">
        <v>1136</v>
      </c>
      <c r="B1894" t="s">
        <v>1136</v>
      </c>
    </row>
    <row r="1895" spans="1:2">
      <c r="A1895" t="s">
        <v>435</v>
      </c>
      <c r="B1895" t="s">
        <v>435</v>
      </c>
    </row>
    <row r="1896" spans="1:2">
      <c r="A1896" t="s">
        <v>1323</v>
      </c>
      <c r="B1896" t="s">
        <v>1323</v>
      </c>
    </row>
    <row r="1897" spans="1:2">
      <c r="A1897" t="s">
        <v>1187</v>
      </c>
      <c r="B1897" t="s">
        <v>1187</v>
      </c>
    </row>
    <row r="1898" spans="1:2">
      <c r="A1898" t="s">
        <v>1803</v>
      </c>
      <c r="B1898" t="s">
        <v>1803</v>
      </c>
    </row>
    <row r="1899" spans="1:2">
      <c r="A1899" t="s">
        <v>572</v>
      </c>
      <c r="B1899" t="s">
        <v>572</v>
      </c>
    </row>
    <row r="1900" spans="1:2">
      <c r="A1900" t="s">
        <v>1420</v>
      </c>
      <c r="B1900" t="s">
        <v>1420</v>
      </c>
    </row>
    <row r="1901" spans="1:2">
      <c r="A1901" t="s">
        <v>1832</v>
      </c>
      <c r="B1901" t="s">
        <v>1832</v>
      </c>
    </row>
    <row r="1902" spans="1:2">
      <c r="A1902" t="s">
        <v>1835</v>
      </c>
      <c r="B1902" t="s">
        <v>1835</v>
      </c>
    </row>
    <row r="1903" spans="1:2">
      <c r="A1903" t="s">
        <v>1828</v>
      </c>
      <c r="B1903" t="s">
        <v>1828</v>
      </c>
    </row>
    <row r="1904" spans="1:2">
      <c r="A1904" t="s">
        <v>1117</v>
      </c>
      <c r="B1904" t="s">
        <v>1117</v>
      </c>
    </row>
    <row r="1905" spans="1:2">
      <c r="A1905" t="s">
        <v>1867</v>
      </c>
      <c r="B1905" t="s">
        <v>1867</v>
      </c>
    </row>
    <row r="1906" spans="1:2">
      <c r="A1906" t="s">
        <v>1324</v>
      </c>
      <c r="B1906" t="s">
        <v>1324</v>
      </c>
    </row>
    <row r="1907" spans="1:2">
      <c r="A1907" t="s">
        <v>998</v>
      </c>
      <c r="B1907" t="s">
        <v>998</v>
      </c>
    </row>
    <row r="1908" spans="1:2">
      <c r="A1908" t="s">
        <v>1088</v>
      </c>
      <c r="B1908" t="s">
        <v>1088</v>
      </c>
    </row>
    <row r="1909" spans="1:2">
      <c r="A1909" t="s">
        <v>9104</v>
      </c>
      <c r="B1909" t="s">
        <v>9104</v>
      </c>
    </row>
    <row r="1910" spans="1:2">
      <c r="A1910" t="s">
        <v>1326</v>
      </c>
      <c r="B1910" t="s">
        <v>1326</v>
      </c>
    </row>
    <row r="1911" spans="1:2">
      <c r="A1911" t="s">
        <v>7007</v>
      </c>
      <c r="B1911" t="s">
        <v>7007</v>
      </c>
    </row>
    <row r="1912" spans="1:2">
      <c r="A1912" t="s">
        <v>1118</v>
      </c>
      <c r="B1912" t="s">
        <v>1118</v>
      </c>
    </row>
    <row r="1913" spans="1:2">
      <c r="A1913" t="s">
        <v>1188</v>
      </c>
      <c r="B1913" t="s">
        <v>1188</v>
      </c>
    </row>
    <row r="1914" spans="1:2">
      <c r="A1914" t="s">
        <v>7006</v>
      </c>
      <c r="B1914" t="s">
        <v>7006</v>
      </c>
    </row>
    <row r="1915" spans="1:2">
      <c r="A1915" t="s">
        <v>1328</v>
      </c>
      <c r="B1915" t="s">
        <v>1328</v>
      </c>
    </row>
    <row r="1916" spans="1:2">
      <c r="A1916" t="s">
        <v>1842</v>
      </c>
      <c r="B1916" t="s">
        <v>1842</v>
      </c>
    </row>
    <row r="1917" spans="1:2">
      <c r="A1917" t="s">
        <v>1189</v>
      </c>
      <c r="B1917" t="s">
        <v>1189</v>
      </c>
    </row>
    <row r="1918" spans="1:2">
      <c r="A1918" t="s">
        <v>1897</v>
      </c>
      <c r="B1918" t="s">
        <v>1897</v>
      </c>
    </row>
    <row r="1919" spans="1:2">
      <c r="A1919" t="s">
        <v>1331</v>
      </c>
      <c r="B1919" t="s">
        <v>1331</v>
      </c>
    </row>
    <row r="1920" spans="1:2">
      <c r="A1920" t="s">
        <v>1332</v>
      </c>
      <c r="B1920" t="s">
        <v>1332</v>
      </c>
    </row>
    <row r="1921" spans="1:2">
      <c r="A1921" t="s">
        <v>1190</v>
      </c>
      <c r="B1921" t="s">
        <v>1190</v>
      </c>
    </row>
    <row r="1922" spans="1:2">
      <c r="A1922" t="s">
        <v>1814</v>
      </c>
      <c r="B1922" t="s">
        <v>1814</v>
      </c>
    </row>
    <row r="1923" spans="1:2">
      <c r="A1923" t="s">
        <v>491</v>
      </c>
      <c r="B1923" t="s">
        <v>491</v>
      </c>
    </row>
    <row r="1924" spans="1:2">
      <c r="A1924" t="s">
        <v>150</v>
      </c>
      <c r="B1924" t="s">
        <v>150</v>
      </c>
    </row>
    <row r="1925" spans="1:2">
      <c r="A1925" t="s">
        <v>1333</v>
      </c>
      <c r="B1925" t="s">
        <v>1333</v>
      </c>
    </row>
    <row r="1926" spans="1:2">
      <c r="A1926" t="s">
        <v>1334</v>
      </c>
      <c r="B1926" t="s">
        <v>1334</v>
      </c>
    </row>
    <row r="1927" spans="1:2">
      <c r="A1927" t="s">
        <v>1335</v>
      </c>
      <c r="B1927" t="s">
        <v>1335</v>
      </c>
    </row>
    <row r="1928" spans="1:2">
      <c r="A1928" t="s">
        <v>975</v>
      </c>
      <c r="B1928" t="s">
        <v>975</v>
      </c>
    </row>
    <row r="1929" spans="1:2">
      <c r="A1929" t="s">
        <v>9138</v>
      </c>
      <c r="B1929" t="s">
        <v>9138</v>
      </c>
    </row>
    <row r="1930" spans="1:2">
      <c r="A1930" t="s">
        <v>9148</v>
      </c>
      <c r="B1930" t="s">
        <v>9148</v>
      </c>
    </row>
    <row r="1931" spans="1:2">
      <c r="A1931" t="s">
        <v>1336</v>
      </c>
      <c r="B1931" t="s">
        <v>1336</v>
      </c>
    </row>
    <row r="1932" spans="1:2">
      <c r="A1932" t="s">
        <v>1119</v>
      </c>
      <c r="B1932" t="s">
        <v>1119</v>
      </c>
    </row>
    <row r="1933" spans="1:2">
      <c r="A1933" t="s">
        <v>492</v>
      </c>
      <c r="B1933" t="s">
        <v>492</v>
      </c>
    </row>
    <row r="1934" spans="1:2">
      <c r="A1934" t="s">
        <v>1924</v>
      </c>
      <c r="B1934" t="s">
        <v>1924</v>
      </c>
    </row>
    <row r="1935" spans="1:2">
      <c r="A1935" t="s">
        <v>6997</v>
      </c>
      <c r="B1935" t="s">
        <v>6997</v>
      </c>
    </row>
    <row r="1936" spans="1:2">
      <c r="A1936" t="s">
        <v>1192</v>
      </c>
      <c r="B1936" t="s">
        <v>1192</v>
      </c>
    </row>
    <row r="1937" spans="1:2">
      <c r="A1937" t="s">
        <v>1120</v>
      </c>
      <c r="B1937" t="s">
        <v>1120</v>
      </c>
    </row>
    <row r="1938" spans="1:2">
      <c r="A1938" t="s">
        <v>987</v>
      </c>
      <c r="B1938" t="s">
        <v>987</v>
      </c>
    </row>
    <row r="1939" spans="1:2">
      <c r="A1939" t="s">
        <v>576</v>
      </c>
      <c r="B1939" t="s">
        <v>576</v>
      </c>
    </row>
    <row r="1940" spans="1:2">
      <c r="A1940" t="s">
        <v>1879</v>
      </c>
      <c r="B1940" t="s">
        <v>1879</v>
      </c>
    </row>
    <row r="1941" spans="1:2">
      <c r="A1941" t="s">
        <v>1193</v>
      </c>
      <c r="B1941" t="s">
        <v>1193</v>
      </c>
    </row>
    <row r="1942" spans="1:2">
      <c r="A1942" t="s">
        <v>1337</v>
      </c>
      <c r="B1942" t="s">
        <v>1337</v>
      </c>
    </row>
    <row r="1943" spans="1:2">
      <c r="A1943" t="s">
        <v>1338</v>
      </c>
      <c r="B1943" t="s">
        <v>1338</v>
      </c>
    </row>
    <row r="1944" spans="1:2">
      <c r="A1944" t="s">
        <v>5312</v>
      </c>
      <c r="B1944" t="s">
        <v>5312</v>
      </c>
    </row>
    <row r="1945" spans="1:2">
      <c r="A1945" t="s">
        <v>9180</v>
      </c>
      <c r="B1945" t="s">
        <v>9180</v>
      </c>
    </row>
    <row r="1946" spans="1:2">
      <c r="A1946" t="s">
        <v>9182</v>
      </c>
      <c r="B1946" t="s">
        <v>9182</v>
      </c>
    </row>
    <row r="1947" spans="1:2">
      <c r="A1947" t="s">
        <v>9189</v>
      </c>
      <c r="B1947" t="s">
        <v>9189</v>
      </c>
    </row>
    <row r="1948" spans="1:2">
      <c r="A1948" t="s">
        <v>848</v>
      </c>
      <c r="B1948" t="s">
        <v>848</v>
      </c>
    </row>
    <row r="1949" spans="1:2">
      <c r="A1949" t="s">
        <v>1086</v>
      </c>
      <c r="B1949" t="s">
        <v>1086</v>
      </c>
    </row>
    <row r="1950" spans="1:2">
      <c r="A1950" t="s">
        <v>9191</v>
      </c>
      <c r="B1950" t="s">
        <v>9191</v>
      </c>
    </row>
    <row r="1951" spans="1:2">
      <c r="A1951" t="s">
        <v>1194</v>
      </c>
      <c r="B1951" t="s">
        <v>1194</v>
      </c>
    </row>
    <row r="1952" spans="1:2">
      <c r="A1952" t="s">
        <v>156</v>
      </c>
      <c r="B1952" t="s">
        <v>156</v>
      </c>
    </row>
    <row r="1953" spans="1:2">
      <c r="A1953" t="s">
        <v>1195</v>
      </c>
      <c r="B1953" t="s">
        <v>1195</v>
      </c>
    </row>
    <row r="1954" spans="1:2">
      <c r="A1954" t="s">
        <v>1341</v>
      </c>
      <c r="B1954" t="s">
        <v>1341</v>
      </c>
    </row>
    <row r="1955" spans="1:2">
      <c r="A1955" t="s">
        <v>1342</v>
      </c>
      <c r="B1955" t="s">
        <v>1342</v>
      </c>
    </row>
    <row r="1956" spans="1:2">
      <c r="A1956" t="s">
        <v>1340</v>
      </c>
      <c r="B1956" t="s">
        <v>1340</v>
      </c>
    </row>
    <row r="1957" spans="1:2">
      <c r="A1957" t="s">
        <v>1343</v>
      </c>
      <c r="B1957" t="s">
        <v>1343</v>
      </c>
    </row>
    <row r="1958" spans="1:2">
      <c r="A1958" t="s">
        <v>1344</v>
      </c>
      <c r="B1958" t="s">
        <v>1344</v>
      </c>
    </row>
    <row r="1959" spans="1:2">
      <c r="A1959" t="s">
        <v>1345</v>
      </c>
      <c r="B1959" t="s">
        <v>1345</v>
      </c>
    </row>
    <row r="1960" spans="1:2">
      <c r="A1960" t="s">
        <v>160</v>
      </c>
      <c r="B1960" t="s">
        <v>160</v>
      </c>
    </row>
    <row r="1961" spans="1:2">
      <c r="A1961" t="s">
        <v>1121</v>
      </c>
      <c r="B1961" t="s">
        <v>1121</v>
      </c>
    </row>
    <row r="1962" spans="1:2">
      <c r="A1962" t="s">
        <v>1444</v>
      </c>
      <c r="B1962" t="s">
        <v>1444</v>
      </c>
    </row>
    <row r="1963" spans="1:2">
      <c r="A1963" t="s">
        <v>582</v>
      </c>
      <c r="B1963" t="s">
        <v>582</v>
      </c>
    </row>
    <row r="1964" spans="1:2">
      <c r="A1964" t="s">
        <v>1346</v>
      </c>
      <c r="B1964" t="s">
        <v>1346</v>
      </c>
    </row>
    <row r="1965" spans="1:2">
      <c r="A1965" t="s">
        <v>1894</v>
      </c>
      <c r="B1965" t="s">
        <v>1894</v>
      </c>
    </row>
    <row r="1966" spans="1:2">
      <c r="A1966" t="s">
        <v>7220</v>
      </c>
      <c r="B1966" t="s">
        <v>7220</v>
      </c>
    </row>
    <row r="1967" spans="1:2">
      <c r="A1967" t="s">
        <v>1196</v>
      </c>
      <c r="B1967" t="s">
        <v>1196</v>
      </c>
    </row>
    <row r="1968" spans="1:2">
      <c r="A1968" t="s">
        <v>1348</v>
      </c>
      <c r="B1968" t="s">
        <v>1348</v>
      </c>
    </row>
    <row r="1969" spans="1:2">
      <c r="A1969" t="s">
        <v>1909</v>
      </c>
      <c r="B1969" t="s">
        <v>1909</v>
      </c>
    </row>
    <row r="1970" spans="1:2">
      <c r="A1970" t="s">
        <v>1847</v>
      </c>
      <c r="B1970" t="s">
        <v>1847</v>
      </c>
    </row>
    <row r="1971" spans="1:2">
      <c r="A1971" t="s">
        <v>1845</v>
      </c>
      <c r="B1971" t="s">
        <v>1845</v>
      </c>
    </row>
    <row r="1972" spans="1:2">
      <c r="A1972" t="s">
        <v>1349</v>
      </c>
      <c r="B1972" t="s">
        <v>1349</v>
      </c>
    </row>
    <row r="1973" spans="1:2">
      <c r="A1973" t="s">
        <v>9247</v>
      </c>
      <c r="B1973" t="s">
        <v>9247</v>
      </c>
    </row>
    <row r="1974" spans="1:2">
      <c r="A1974" t="s">
        <v>1122</v>
      </c>
      <c r="B1974" t="s">
        <v>1122</v>
      </c>
    </row>
    <row r="1975" spans="1:2">
      <c r="A1975" t="s">
        <v>1351</v>
      </c>
      <c r="B1975" t="s">
        <v>1351</v>
      </c>
    </row>
    <row r="1976" spans="1:2">
      <c r="A1976" t="s">
        <v>8214</v>
      </c>
      <c r="B1976" t="s">
        <v>8214</v>
      </c>
    </row>
    <row r="1977" spans="1:2">
      <c r="A1977" t="s">
        <v>5488</v>
      </c>
      <c r="B1977" t="s">
        <v>5488</v>
      </c>
    </row>
    <row r="1978" spans="1:2">
      <c r="A1978" t="s">
        <v>689</v>
      </c>
      <c r="B1978" t="s">
        <v>689</v>
      </c>
    </row>
    <row r="1979" spans="1:2">
      <c r="A1979" t="s">
        <v>1083</v>
      </c>
      <c r="B1979" t="s">
        <v>1083</v>
      </c>
    </row>
    <row r="1980" spans="1:2">
      <c r="A1980" t="s">
        <v>7322</v>
      </c>
      <c r="B1980" t="s">
        <v>7322</v>
      </c>
    </row>
    <row r="1981" spans="1:2">
      <c r="A1981" t="s">
        <v>1774</v>
      </c>
      <c r="B1981" t="s">
        <v>1774</v>
      </c>
    </row>
    <row r="1982" spans="1:2">
      <c r="A1982" t="s">
        <v>165</v>
      </c>
      <c r="B1982" t="s">
        <v>165</v>
      </c>
    </row>
    <row r="1983" spans="1:2">
      <c r="A1983" t="s">
        <v>1352</v>
      </c>
      <c r="B1983" t="s">
        <v>1352</v>
      </c>
    </row>
    <row r="1984" spans="1:2">
      <c r="A1984" t="s">
        <v>1137</v>
      </c>
      <c r="B1984" t="s">
        <v>1137</v>
      </c>
    </row>
    <row r="1985" spans="1:2">
      <c r="A1985" t="s">
        <v>5065</v>
      </c>
      <c r="B1985" t="s">
        <v>5065</v>
      </c>
    </row>
    <row r="1986" spans="1:2">
      <c r="A1986" t="s">
        <v>1353</v>
      </c>
      <c r="B1986" t="s">
        <v>1353</v>
      </c>
    </row>
    <row r="1987" spans="1:2">
      <c r="A1987" t="s">
        <v>1197</v>
      </c>
      <c r="B1987" t="s">
        <v>1197</v>
      </c>
    </row>
    <row r="1988" spans="1:2">
      <c r="A1988" t="s">
        <v>1355</v>
      </c>
      <c r="B1988" t="s">
        <v>1355</v>
      </c>
    </row>
    <row r="1989" spans="1:2">
      <c r="A1989" t="s">
        <v>1760</v>
      </c>
      <c r="B1989" t="s">
        <v>1760</v>
      </c>
    </row>
    <row r="1990" spans="1:2">
      <c r="A1990" t="s">
        <v>1084</v>
      </c>
      <c r="B1990" t="s">
        <v>1084</v>
      </c>
    </row>
    <row r="1991" spans="1:2">
      <c r="A1991" t="s">
        <v>1834</v>
      </c>
      <c r="B1991" t="s">
        <v>1834</v>
      </c>
    </row>
    <row r="1992" spans="1:2">
      <c r="A1992" t="s">
        <v>665</v>
      </c>
      <c r="B1992" t="s">
        <v>665</v>
      </c>
    </row>
    <row r="1993" spans="1:2">
      <c r="A1993" t="s">
        <v>170</v>
      </c>
      <c r="B1993" t="s">
        <v>170</v>
      </c>
    </row>
    <row r="1994" spans="1:2">
      <c r="A1994" t="s">
        <v>9309</v>
      </c>
      <c r="B1994" t="s">
        <v>9309</v>
      </c>
    </row>
    <row r="1995" spans="1:2">
      <c r="A1995" t="s">
        <v>1809</v>
      </c>
      <c r="B1995" t="s">
        <v>1809</v>
      </c>
    </row>
    <row r="1996" spans="1:2">
      <c r="A1996" t="s">
        <v>1896</v>
      </c>
      <c r="B1996" t="s">
        <v>1896</v>
      </c>
    </row>
    <row r="1997" spans="1:2">
      <c r="A1997" t="s">
        <v>9311</v>
      </c>
      <c r="B1997" t="s">
        <v>9311</v>
      </c>
    </row>
    <row r="1998" spans="1:2">
      <c r="A1998" t="s">
        <v>1795</v>
      </c>
      <c r="B1998" t="s">
        <v>1795</v>
      </c>
    </row>
    <row r="1999" spans="1:2">
      <c r="A1999" t="s">
        <v>1802</v>
      </c>
      <c r="B1999" t="s">
        <v>1802</v>
      </c>
    </row>
    <row r="2000" spans="1:2">
      <c r="A2000" t="s">
        <v>1198</v>
      </c>
      <c r="B2000" t="s">
        <v>1198</v>
      </c>
    </row>
    <row r="2001" spans="1:2">
      <c r="A2001" t="s">
        <v>1199</v>
      </c>
      <c r="B2001" t="s">
        <v>1199</v>
      </c>
    </row>
    <row r="2002" spans="1:2">
      <c r="A2002" t="s">
        <v>1356</v>
      </c>
      <c r="B2002" t="s">
        <v>1356</v>
      </c>
    </row>
    <row r="2003" spans="1:2">
      <c r="A2003" t="s">
        <v>7011</v>
      </c>
      <c r="B2003" t="s">
        <v>7011</v>
      </c>
    </row>
    <row r="2004" spans="1:2">
      <c r="A2004" t="s">
        <v>1126</v>
      </c>
      <c r="B2004" t="s">
        <v>1126</v>
      </c>
    </row>
    <row r="2005" spans="1:2">
      <c r="A2005" t="s">
        <v>968</v>
      </c>
      <c r="B2005" t="s">
        <v>968</v>
      </c>
    </row>
    <row r="2006" spans="1:2">
      <c r="A2006" t="s">
        <v>1138</v>
      </c>
      <c r="B2006" t="s">
        <v>1138</v>
      </c>
    </row>
    <row r="2007" spans="1:2">
      <c r="A2007" t="s">
        <v>444</v>
      </c>
      <c r="B2007" t="s">
        <v>444</v>
      </c>
    </row>
    <row r="2008" spans="1:2">
      <c r="A2008" t="s">
        <v>1908</v>
      </c>
      <c r="B2008" t="s">
        <v>1908</v>
      </c>
    </row>
    <row r="2009" spans="1:2">
      <c r="A2009" t="s">
        <v>1357</v>
      </c>
      <c r="B2009" t="s">
        <v>1357</v>
      </c>
    </row>
    <row r="2010" spans="1:2">
      <c r="A2010" t="s">
        <v>9332</v>
      </c>
      <c r="B2010" t="s">
        <v>9332</v>
      </c>
    </row>
    <row r="2011" spans="1:2">
      <c r="A2011" t="s">
        <v>1201</v>
      </c>
      <c r="B2011" t="s">
        <v>1201</v>
      </c>
    </row>
    <row r="2012" spans="1:2">
      <c r="A2012" t="s">
        <v>1202</v>
      </c>
      <c r="B2012" t="s">
        <v>1202</v>
      </c>
    </row>
    <row r="2013" spans="1:2">
      <c r="A2013" t="s">
        <v>6998</v>
      </c>
      <c r="B2013" t="s">
        <v>6998</v>
      </c>
    </row>
    <row r="2014" spans="1:2">
      <c r="A2014" t="s">
        <v>1127</v>
      </c>
      <c r="B2014" t="s">
        <v>1127</v>
      </c>
    </row>
    <row r="2015" spans="1:2">
      <c r="A2015" t="s">
        <v>1358</v>
      </c>
      <c r="B2015" t="s">
        <v>1358</v>
      </c>
    </row>
    <row r="2016" spans="1:2">
      <c r="A2016" t="s">
        <v>1359</v>
      </c>
      <c r="B2016" t="s">
        <v>1359</v>
      </c>
    </row>
    <row r="2017" spans="1:2">
      <c r="A2017" t="s">
        <v>1360</v>
      </c>
      <c r="B2017" t="s">
        <v>1360</v>
      </c>
    </row>
    <row r="2018" spans="1:2">
      <c r="A2018" t="s">
        <v>857</v>
      </c>
      <c r="B2018" t="s">
        <v>857</v>
      </c>
    </row>
    <row r="2019" spans="1:2">
      <c r="A2019" t="s">
        <v>9351</v>
      </c>
      <c r="B2019" t="s">
        <v>9351</v>
      </c>
    </row>
    <row r="2020" spans="1:2">
      <c r="A2020" t="s">
        <v>1361</v>
      </c>
      <c r="B2020" t="s">
        <v>1361</v>
      </c>
    </row>
    <row r="2021" spans="1:2">
      <c r="A2021" t="s">
        <v>1204</v>
      </c>
      <c r="B2021" t="s">
        <v>1204</v>
      </c>
    </row>
    <row r="2022" spans="1:2">
      <c r="A2022" t="s">
        <v>1362</v>
      </c>
      <c r="B2022" t="s">
        <v>1362</v>
      </c>
    </row>
    <row r="2023" spans="1:2">
      <c r="A2023" t="s">
        <v>1364</v>
      </c>
      <c r="B2023" t="s">
        <v>1364</v>
      </c>
    </row>
    <row r="2024" spans="1:2">
      <c r="A2024" t="s">
        <v>5309</v>
      </c>
      <c r="B2024" t="s">
        <v>5309</v>
      </c>
    </row>
    <row r="2025" spans="1:2">
      <c r="A2025" t="s">
        <v>1910</v>
      </c>
      <c r="B2025" t="s">
        <v>1910</v>
      </c>
    </row>
    <row r="2026" spans="1:2">
      <c r="A2026" t="s">
        <v>1877</v>
      </c>
      <c r="B2026" t="s">
        <v>1877</v>
      </c>
    </row>
    <row r="2027" spans="1:2">
      <c r="A2027" t="s">
        <v>7202</v>
      </c>
      <c r="B2027" t="s">
        <v>7202</v>
      </c>
    </row>
    <row r="2028" spans="1:2">
      <c r="A2028" t="s">
        <v>1205</v>
      </c>
      <c r="B2028" t="s">
        <v>1205</v>
      </c>
    </row>
    <row r="2029" spans="1:2">
      <c r="A2029" t="s">
        <v>1087</v>
      </c>
      <c r="B2029" t="s">
        <v>1087</v>
      </c>
    </row>
    <row r="2030" spans="1:2">
      <c r="A2030" t="s">
        <v>1363</v>
      </c>
      <c r="B2030" t="s">
        <v>1363</v>
      </c>
    </row>
    <row r="2031" spans="1:2">
      <c r="A2031" t="s">
        <v>1904</v>
      </c>
      <c r="B2031" t="s">
        <v>1904</v>
      </c>
    </row>
    <row r="2032" spans="1:2">
      <c r="A2032" t="s">
        <v>1365</v>
      </c>
      <c r="B2032" t="s">
        <v>1365</v>
      </c>
    </row>
    <row r="2033" spans="1:2">
      <c r="A2033" t="s">
        <v>955</v>
      </c>
      <c r="B2033" t="s">
        <v>955</v>
      </c>
    </row>
    <row r="2034" spans="1:2">
      <c r="A2034" t="s">
        <v>1805</v>
      </c>
      <c r="B2034" t="s">
        <v>1805</v>
      </c>
    </row>
    <row r="2035" spans="1:2">
      <c r="A2035" t="s">
        <v>1771</v>
      </c>
      <c r="B2035" t="s">
        <v>1771</v>
      </c>
    </row>
    <row r="2036" spans="1:2">
      <c r="A2036" t="s">
        <v>1367</v>
      </c>
      <c r="B2036" t="s">
        <v>1367</v>
      </c>
    </row>
    <row r="2037" spans="1:2">
      <c r="A2037" t="s">
        <v>1888</v>
      </c>
      <c r="B2037" t="s">
        <v>1888</v>
      </c>
    </row>
    <row r="2038" spans="1:2">
      <c r="A2038" t="s">
        <v>1780</v>
      </c>
      <c r="B2038" t="s">
        <v>1780</v>
      </c>
    </row>
    <row r="2039" spans="1:2">
      <c r="A2039" t="s">
        <v>1368</v>
      </c>
      <c r="B2039" t="s">
        <v>1368</v>
      </c>
    </row>
    <row r="2040" spans="1:2">
      <c r="A2040" t="s">
        <v>1369</v>
      </c>
      <c r="B2040" t="s">
        <v>1369</v>
      </c>
    </row>
    <row r="2041" spans="1:2">
      <c r="A2041" t="s">
        <v>1855</v>
      </c>
      <c r="B2041" t="s">
        <v>1855</v>
      </c>
    </row>
    <row r="2042" spans="1:2">
      <c r="A2042" t="s">
        <v>1850</v>
      </c>
      <c r="B2042" t="s">
        <v>1850</v>
      </c>
    </row>
    <row r="2043" spans="1:2">
      <c r="A2043" t="s">
        <v>7000</v>
      </c>
      <c r="B2043" t="s">
        <v>7000</v>
      </c>
    </row>
    <row r="2044" spans="1:2">
      <c r="A2044" t="s">
        <v>1792</v>
      </c>
      <c r="B2044" t="s">
        <v>1792</v>
      </c>
    </row>
    <row r="2045" spans="1:2">
      <c r="A2045" t="s">
        <v>1786</v>
      </c>
      <c r="B2045" t="s">
        <v>1786</v>
      </c>
    </row>
    <row r="2046" spans="1:2">
      <c r="A2046" t="s">
        <v>1009</v>
      </c>
      <c r="B2046" t="s">
        <v>1009</v>
      </c>
    </row>
    <row r="2047" spans="1:2">
      <c r="A2047" t="s">
        <v>1208</v>
      </c>
      <c r="B2047" t="s">
        <v>1208</v>
      </c>
    </row>
    <row r="2048" spans="1:2">
      <c r="A2048" t="s">
        <v>1370</v>
      </c>
      <c r="B2048" t="s">
        <v>1370</v>
      </c>
    </row>
    <row r="2049" spans="1:2">
      <c r="A2049" t="s">
        <v>1371</v>
      </c>
      <c r="B2049" t="s">
        <v>1371</v>
      </c>
    </row>
    <row r="2050" spans="1:2">
      <c r="A2050" t="s">
        <v>1139</v>
      </c>
      <c r="B2050" t="s">
        <v>1139</v>
      </c>
    </row>
    <row r="2051" spans="1:2">
      <c r="A2051" t="s">
        <v>1853</v>
      </c>
      <c r="B2051" t="s">
        <v>1853</v>
      </c>
    </row>
    <row r="2052" spans="1:2">
      <c r="A2052" t="s">
        <v>1209</v>
      </c>
      <c r="B2052" t="s">
        <v>1209</v>
      </c>
    </row>
    <row r="2053" spans="1:2">
      <c r="A2053" t="s">
        <v>1825</v>
      </c>
      <c r="B2053" t="s">
        <v>1825</v>
      </c>
    </row>
    <row r="2054" spans="1:2">
      <c r="A2054" t="s">
        <v>193</v>
      </c>
      <c r="B2054" t="s">
        <v>193</v>
      </c>
    </row>
    <row r="2055" spans="1:2">
      <c r="A2055" t="s">
        <v>7005</v>
      </c>
      <c r="B2055" t="s">
        <v>7005</v>
      </c>
    </row>
    <row r="2056" spans="1:2">
      <c r="A2056" t="s">
        <v>1799</v>
      </c>
      <c r="B2056" t="s">
        <v>1799</v>
      </c>
    </row>
    <row r="2057" spans="1:2">
      <c r="A2057" t="s">
        <v>195</v>
      </c>
      <c r="B2057" t="s">
        <v>195</v>
      </c>
    </row>
    <row r="2058" spans="1:2">
      <c r="A2058" t="s">
        <v>1210</v>
      </c>
      <c r="B2058" t="s">
        <v>1210</v>
      </c>
    </row>
    <row r="2059" spans="1:2">
      <c r="A2059" t="s">
        <v>1372</v>
      </c>
      <c r="B2059" t="s">
        <v>1372</v>
      </c>
    </row>
    <row r="2060" spans="1:2">
      <c r="A2060" t="s">
        <v>1373</v>
      </c>
      <c r="B2060" t="s">
        <v>1373</v>
      </c>
    </row>
    <row r="2061" spans="1:2">
      <c r="A2061" t="s">
        <v>1374</v>
      </c>
      <c r="B2061" t="s">
        <v>1374</v>
      </c>
    </row>
    <row r="2062" spans="1:2">
      <c r="A2062" t="s">
        <v>977</v>
      </c>
      <c r="B2062" t="s">
        <v>977</v>
      </c>
    </row>
    <row r="2063" spans="1:2">
      <c r="A2063" t="s">
        <v>1870</v>
      </c>
      <c r="B2063" t="s">
        <v>1870</v>
      </c>
    </row>
    <row r="2064" spans="1:2">
      <c r="A2064" t="s">
        <v>7737</v>
      </c>
      <c r="B2064" t="s">
        <v>7737</v>
      </c>
    </row>
    <row r="2065" spans="1:2">
      <c r="A2065" t="s">
        <v>1128</v>
      </c>
      <c r="B2065" t="s">
        <v>1128</v>
      </c>
    </row>
    <row r="2066" spans="1:2">
      <c r="A2066" t="s">
        <v>1880</v>
      </c>
      <c r="B2066" t="s">
        <v>1880</v>
      </c>
    </row>
    <row r="2067" spans="1:2">
      <c r="A2067" t="s">
        <v>1376</v>
      </c>
      <c r="B2067" t="s">
        <v>1376</v>
      </c>
    </row>
    <row r="2068" spans="1:2">
      <c r="A2068" t="s">
        <v>1089</v>
      </c>
      <c r="B2068" t="s">
        <v>1089</v>
      </c>
    </row>
    <row r="2069" spans="1:2">
      <c r="A2069" t="s">
        <v>204</v>
      </c>
      <c r="B2069" t="s">
        <v>204</v>
      </c>
    </row>
    <row r="2070" spans="1:2">
      <c r="A2070" t="s">
        <v>1377</v>
      </c>
      <c r="B2070" t="s">
        <v>1377</v>
      </c>
    </row>
    <row r="2071" spans="1:2">
      <c r="A2071" t="s">
        <v>1378</v>
      </c>
      <c r="B2071" t="s">
        <v>1378</v>
      </c>
    </row>
    <row r="2072" spans="1:2">
      <c r="A2072" t="s">
        <v>754</v>
      </c>
      <c r="B2072" t="s">
        <v>754</v>
      </c>
    </row>
    <row r="2073" spans="1:2">
      <c r="A2073" t="s">
        <v>8542</v>
      </c>
      <c r="B2073" t="s">
        <v>8542</v>
      </c>
    </row>
    <row r="2074" spans="1:2">
      <c r="A2074" t="s">
        <v>1129</v>
      </c>
      <c r="B2074" t="s">
        <v>1129</v>
      </c>
    </row>
    <row r="2075" spans="1:2">
      <c r="A2075" t="s">
        <v>6994</v>
      </c>
      <c r="B2075" t="s">
        <v>6994</v>
      </c>
    </row>
    <row r="2076" spans="1:2">
      <c r="A2076" t="s">
        <v>349</v>
      </c>
      <c r="B2076" t="s">
        <v>349</v>
      </c>
    </row>
    <row r="2077" spans="1:2">
      <c r="A2077" t="s">
        <v>1380</v>
      </c>
      <c r="B2077" t="s">
        <v>1380</v>
      </c>
    </row>
    <row r="2078" spans="1:2">
      <c r="A2078" t="s">
        <v>317</v>
      </c>
      <c r="B2078" t="s">
        <v>317</v>
      </c>
    </row>
    <row r="2079" spans="1:2">
      <c r="A2079" t="s">
        <v>6995</v>
      </c>
      <c r="B2079" t="s">
        <v>6995</v>
      </c>
    </row>
    <row r="2080" spans="1:2">
      <c r="A2080" t="s">
        <v>809</v>
      </c>
      <c r="B2080" t="s">
        <v>809</v>
      </c>
    </row>
    <row r="2081" spans="1:2">
      <c r="A2081" t="s">
        <v>1885</v>
      </c>
      <c r="B2081" t="s">
        <v>1885</v>
      </c>
    </row>
    <row r="2082" spans="1:2">
      <c r="A2082" t="s">
        <v>7068</v>
      </c>
      <c r="B2082" t="s">
        <v>7068</v>
      </c>
    </row>
    <row r="2083" spans="1:2">
      <c r="A2083" t="s">
        <v>7008</v>
      </c>
      <c r="B2083" t="s">
        <v>7008</v>
      </c>
    </row>
    <row r="2084" spans="1:2">
      <c r="A2084" t="s">
        <v>221</v>
      </c>
      <c r="B2084" t="s">
        <v>221</v>
      </c>
    </row>
    <row r="2085" spans="1:2">
      <c r="A2085" t="s">
        <v>1382</v>
      </c>
      <c r="B2085" t="s">
        <v>1382</v>
      </c>
    </row>
    <row r="2086" spans="1:2">
      <c r="A2086" t="s">
        <v>950</v>
      </c>
      <c r="B2086" t="s">
        <v>950</v>
      </c>
    </row>
    <row r="2087" spans="1:2">
      <c r="A2087" t="s">
        <v>833</v>
      </c>
      <c r="B2087" t="s">
        <v>833</v>
      </c>
    </row>
    <row r="2088" spans="1:2">
      <c r="A2088" t="s">
        <v>223</v>
      </c>
      <c r="B2088" t="s">
        <v>223</v>
      </c>
    </row>
    <row r="2089" spans="1:2">
      <c r="A2089" t="s">
        <v>5051</v>
      </c>
      <c r="B2089" t="s">
        <v>5051</v>
      </c>
    </row>
    <row r="2090" spans="1:2">
      <c r="A2090" t="s">
        <v>1806</v>
      </c>
      <c r="B2090" t="s">
        <v>1806</v>
      </c>
    </row>
    <row r="2091" spans="1:2">
      <c r="A2091" t="s">
        <v>1383</v>
      </c>
      <c r="B2091" t="s">
        <v>1383</v>
      </c>
    </row>
    <row r="2092" spans="1:2">
      <c r="A2092" t="s">
        <v>1384</v>
      </c>
      <c r="B2092" t="s">
        <v>1384</v>
      </c>
    </row>
    <row r="2093" spans="1:2">
      <c r="A2093" t="s">
        <v>1902</v>
      </c>
      <c r="B2093" t="s">
        <v>1902</v>
      </c>
    </row>
    <row r="2094" spans="1:2">
      <c r="A2094" t="s">
        <v>1788</v>
      </c>
      <c r="B2094" t="s">
        <v>1788</v>
      </c>
    </row>
    <row r="2095" spans="1:2">
      <c r="A2095" t="s">
        <v>1385</v>
      </c>
      <c r="B2095" t="s">
        <v>1385</v>
      </c>
    </row>
    <row r="2096" spans="1:2">
      <c r="A2096" t="s">
        <v>1386</v>
      </c>
      <c r="B2096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BRAND</vt:lpstr>
      <vt:lpstr>BRAND_READS</vt:lpstr>
      <vt:lpstr>VARIANT</vt:lpstr>
      <vt:lpstr>SUB_VARIANT</vt:lpstr>
      <vt:lpstr>TAG_MAPPING</vt:lpstr>
      <vt:lpstr>CATEGORY</vt:lpstr>
      <vt:lpstr>HUISMERK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Peeters</dc:creator>
  <cp:lastModifiedBy>Miguel Amant</cp:lastModifiedBy>
  <dcterms:created xsi:type="dcterms:W3CDTF">2025-04-14T14:31:15Z</dcterms:created>
  <dcterms:modified xsi:type="dcterms:W3CDTF">2026-03-17T10:29:16Z</dcterms:modified>
</cp:coreProperties>
</file>